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8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756094B3-FC59-4E27-9C64-3143C60C33B1}" xr6:coauthVersionLast="47" xr6:coauthVersionMax="47" xr10:uidLastSave="{00000000-0000-0000-0000-000000000000}"/>
  <bookViews>
    <workbookView xWindow="-120" yWindow="-120" windowWidth="29040" windowHeight="15840" activeTab="2" xr2:uid="{88F85F70-FCC3-4DFC-8EAE-BA57EDCADD76}"/>
  </bookViews>
  <sheets>
    <sheet name="Chart1" sheetId="10" r:id="rId1"/>
    <sheet name="Chart2" sheetId="8" r:id="rId2"/>
    <sheet name="Chart3" sheetId="14" r:id="rId3"/>
    <sheet name="Chart Data" sheetId="6" r:id="rId4"/>
    <sheet name="HAVERD" sheetId="9" r:id="rId5"/>
    <sheet name="GMW" sheetId="2" r:id="rId6"/>
    <sheet name="Data" sheetId="5" r:id="rId7"/>
    <sheet name="ONS - Annex F" sheetId="7" r:id="rId8"/>
    <sheet name="ONS - Table 1" sheetId="12" r:id="rId9"/>
    <sheet name="ONS - Table 2" sheetId="13" r:id="rId10"/>
    <sheet name="ONS - B_3 " sheetId="15" r:id="rId11"/>
  </sheets>
  <externalReferences>
    <externalReference r:id="rId12"/>
    <externalReference r:id="rId13"/>
  </externalReferences>
  <definedNames>
    <definedName name="_DLX1.INC">HAVERD!$B$2:$BD$7</definedName>
    <definedName name="cdids">[2]Data!$A$2:$A$10</definedName>
    <definedName name="data" localSheetId="10">[2]Data!$B$2:$EZ$10</definedName>
    <definedName name="Data">[1]sheet0!$C$2</definedName>
    <definedName name="dates">[2]Data!$B$1:$EZ$1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4" i="15" l="1"/>
  <c r="J124" i="15"/>
  <c r="CN10" i="6" l="1"/>
  <c r="CO10" i="6"/>
  <c r="CP10" i="6"/>
  <c r="CQ10" i="6"/>
  <c r="CR10" i="6"/>
  <c r="CM10" i="6"/>
  <c r="A167" i="9"/>
  <c r="BV4" i="6"/>
  <c r="BW4" i="6"/>
  <c r="BV5" i="6"/>
  <c r="BW5" i="6"/>
  <c r="BV6" i="6"/>
  <c r="BW6" i="6"/>
  <c r="BV7" i="6"/>
  <c r="BW7" i="6"/>
  <c r="BV8" i="6"/>
  <c r="BW8" i="6"/>
  <c r="BV9" i="6"/>
  <c r="BW9" i="6"/>
  <c r="BV10" i="6"/>
  <c r="BW10" i="6"/>
  <c r="BV11" i="6"/>
  <c r="BW11" i="6"/>
  <c r="BV12" i="6"/>
  <c r="BW12" i="6"/>
  <c r="BV13" i="6"/>
  <c r="BW13" i="6"/>
  <c r="BV14" i="6"/>
  <c r="BW14" i="6"/>
  <c r="BV15" i="6"/>
  <c r="BW15" i="6"/>
  <c r="BV16" i="6"/>
  <c r="BW16" i="6"/>
  <c r="BV17" i="6"/>
  <c r="BW17" i="6"/>
  <c r="BV18" i="6"/>
  <c r="BW18" i="6"/>
  <c r="BV19" i="6"/>
  <c r="BW19" i="6"/>
  <c r="BV20" i="6"/>
  <c r="BW20" i="6"/>
  <c r="BV21" i="6"/>
  <c r="BW21" i="6"/>
  <c r="BV22" i="6"/>
  <c r="BW22" i="6"/>
  <c r="BV23" i="6"/>
  <c r="BW23" i="6"/>
  <c r="BV24" i="6"/>
  <c r="BW24" i="6"/>
  <c r="BV25" i="6"/>
  <c r="BW25" i="6"/>
  <c r="BV26" i="6"/>
  <c r="BW26" i="6"/>
  <c r="BV27" i="6"/>
  <c r="BW27" i="6"/>
  <c r="BW54" i="6" s="1"/>
  <c r="BV28" i="6"/>
  <c r="BW28" i="6"/>
  <c r="BV29" i="6"/>
  <c r="BW29" i="6"/>
  <c r="BV30" i="6"/>
  <c r="BW30" i="6"/>
  <c r="BV31" i="6"/>
  <c r="BW31" i="6"/>
  <c r="BV32" i="6"/>
  <c r="BW32" i="6"/>
  <c r="BV33" i="6"/>
  <c r="BW33" i="6"/>
  <c r="BV34" i="6"/>
  <c r="BW34" i="6"/>
  <c r="BV35" i="6"/>
  <c r="BW35" i="6"/>
  <c r="BV36" i="6"/>
  <c r="BW36" i="6"/>
  <c r="BV37" i="6"/>
  <c r="BW37" i="6"/>
  <c r="BV38" i="6"/>
  <c r="BW38" i="6"/>
  <c r="BV39" i="6"/>
  <c r="BW39" i="6"/>
  <c r="BV40" i="6"/>
  <c r="BW40" i="6"/>
  <c r="BV41" i="6"/>
  <c r="BW41" i="6"/>
  <c r="BV42" i="6"/>
  <c r="BW42" i="6"/>
  <c r="BV43" i="6"/>
  <c r="BW43" i="6"/>
  <c r="BV44" i="6"/>
  <c r="BW44" i="6"/>
  <c r="BV45" i="6"/>
  <c r="BW45" i="6"/>
  <c r="BV46" i="6"/>
  <c r="BW46" i="6"/>
  <c r="BV47" i="6"/>
  <c r="BW47" i="6"/>
  <c r="BV48" i="6"/>
  <c r="BW48" i="6"/>
  <c r="BV49" i="6"/>
  <c r="BW49" i="6"/>
  <c r="BV50" i="6"/>
  <c r="BW50" i="6"/>
  <c r="BW3" i="6"/>
  <c r="BV3" i="6"/>
  <c r="BV52" i="6" s="1"/>
  <c r="BQ4" i="6"/>
  <c r="BR4" i="6"/>
  <c r="BQ5" i="6"/>
  <c r="BR5" i="6"/>
  <c r="BQ6" i="6"/>
  <c r="BR6" i="6"/>
  <c r="BQ7" i="6"/>
  <c r="BR7" i="6"/>
  <c r="BQ8" i="6"/>
  <c r="BR8" i="6"/>
  <c r="BQ9" i="6"/>
  <c r="BR9" i="6"/>
  <c r="BQ10" i="6"/>
  <c r="BR10" i="6"/>
  <c r="BQ11" i="6"/>
  <c r="BR11" i="6"/>
  <c r="BQ12" i="6"/>
  <c r="BR12" i="6"/>
  <c r="BQ13" i="6"/>
  <c r="BR13" i="6"/>
  <c r="BQ14" i="6"/>
  <c r="BR14" i="6"/>
  <c r="BQ15" i="6"/>
  <c r="BR15" i="6"/>
  <c r="BQ16" i="6"/>
  <c r="BR16" i="6"/>
  <c r="BQ17" i="6"/>
  <c r="BR17" i="6"/>
  <c r="BQ18" i="6"/>
  <c r="BR18" i="6"/>
  <c r="BQ19" i="6"/>
  <c r="BR19" i="6"/>
  <c r="BQ20" i="6"/>
  <c r="BR20" i="6"/>
  <c r="BQ21" i="6"/>
  <c r="BR21" i="6"/>
  <c r="BQ22" i="6"/>
  <c r="BR22" i="6"/>
  <c r="BQ23" i="6"/>
  <c r="BR23" i="6"/>
  <c r="BQ24" i="6"/>
  <c r="BR24" i="6"/>
  <c r="BQ25" i="6"/>
  <c r="BR25" i="6"/>
  <c r="BQ26" i="6"/>
  <c r="BR26" i="6"/>
  <c r="BQ27" i="6"/>
  <c r="BR27" i="6"/>
  <c r="BQ28" i="6"/>
  <c r="BR28" i="6"/>
  <c r="BQ29" i="6"/>
  <c r="BR29" i="6"/>
  <c r="BQ30" i="6"/>
  <c r="BR30" i="6"/>
  <c r="BQ31" i="6"/>
  <c r="BR31" i="6"/>
  <c r="BQ32" i="6"/>
  <c r="BR32" i="6"/>
  <c r="BQ33" i="6"/>
  <c r="BR33" i="6"/>
  <c r="BQ34" i="6"/>
  <c r="BR34" i="6"/>
  <c r="BQ35" i="6"/>
  <c r="BR35" i="6"/>
  <c r="BQ36" i="6"/>
  <c r="BR36" i="6"/>
  <c r="BQ37" i="6"/>
  <c r="BR37" i="6"/>
  <c r="BQ38" i="6"/>
  <c r="BR38" i="6"/>
  <c r="BQ39" i="6"/>
  <c r="BR39" i="6"/>
  <c r="BQ40" i="6"/>
  <c r="BR40" i="6"/>
  <c r="BQ41" i="6"/>
  <c r="BR41" i="6"/>
  <c r="BQ42" i="6"/>
  <c r="BR42" i="6"/>
  <c r="BQ43" i="6"/>
  <c r="BR43" i="6"/>
  <c r="BQ44" i="6"/>
  <c r="BR44" i="6"/>
  <c r="BQ45" i="6"/>
  <c r="BR45" i="6"/>
  <c r="BQ46" i="6"/>
  <c r="BR46" i="6"/>
  <c r="BQ47" i="6"/>
  <c r="BR47" i="6"/>
  <c r="BQ48" i="6"/>
  <c r="BR48" i="6"/>
  <c r="BQ49" i="6"/>
  <c r="BR49" i="6"/>
  <c r="BQ50" i="6"/>
  <c r="BR50" i="6"/>
  <c r="BR3" i="6"/>
  <c r="BQ3" i="6"/>
  <c r="BL4" i="6"/>
  <c r="BM4" i="6"/>
  <c r="BL5" i="6"/>
  <c r="BM5" i="6"/>
  <c r="BL6" i="6"/>
  <c r="BM6" i="6"/>
  <c r="BL7" i="6"/>
  <c r="BM7" i="6"/>
  <c r="BL8" i="6"/>
  <c r="BM8" i="6"/>
  <c r="BL9" i="6"/>
  <c r="BM9" i="6"/>
  <c r="BL10" i="6"/>
  <c r="BM10" i="6"/>
  <c r="BL11" i="6"/>
  <c r="BM11" i="6"/>
  <c r="BL12" i="6"/>
  <c r="BM12" i="6"/>
  <c r="BL13" i="6"/>
  <c r="BM13" i="6"/>
  <c r="BL14" i="6"/>
  <c r="BM14" i="6"/>
  <c r="BL15" i="6"/>
  <c r="BM15" i="6"/>
  <c r="BL16" i="6"/>
  <c r="BM16" i="6"/>
  <c r="BL17" i="6"/>
  <c r="BM17" i="6"/>
  <c r="BL18" i="6"/>
  <c r="BM18" i="6"/>
  <c r="BL19" i="6"/>
  <c r="BM19" i="6"/>
  <c r="BL20" i="6"/>
  <c r="BM20" i="6"/>
  <c r="BL21" i="6"/>
  <c r="BM21" i="6"/>
  <c r="BL22" i="6"/>
  <c r="BM22" i="6"/>
  <c r="BL23" i="6"/>
  <c r="BM23" i="6"/>
  <c r="BL24" i="6"/>
  <c r="BM24" i="6"/>
  <c r="BL25" i="6"/>
  <c r="BM25" i="6"/>
  <c r="BL26" i="6"/>
  <c r="BM26" i="6"/>
  <c r="BL27" i="6"/>
  <c r="BM27" i="6"/>
  <c r="BL28" i="6"/>
  <c r="BM28" i="6"/>
  <c r="BL29" i="6"/>
  <c r="BM29" i="6"/>
  <c r="BL30" i="6"/>
  <c r="BM30" i="6"/>
  <c r="BL31" i="6"/>
  <c r="BM31" i="6"/>
  <c r="BL32" i="6"/>
  <c r="BM32" i="6"/>
  <c r="BL33" i="6"/>
  <c r="BM33" i="6"/>
  <c r="BL34" i="6"/>
  <c r="BM34" i="6"/>
  <c r="BL35" i="6"/>
  <c r="BM35" i="6"/>
  <c r="BL36" i="6"/>
  <c r="BM36" i="6"/>
  <c r="BL37" i="6"/>
  <c r="BM37" i="6"/>
  <c r="BL38" i="6"/>
  <c r="BM38" i="6"/>
  <c r="BL39" i="6"/>
  <c r="BM39" i="6"/>
  <c r="BL40" i="6"/>
  <c r="BM40" i="6"/>
  <c r="BL41" i="6"/>
  <c r="BM41" i="6"/>
  <c r="BL42" i="6"/>
  <c r="BM42" i="6"/>
  <c r="BL43" i="6"/>
  <c r="BM43" i="6"/>
  <c r="BL44" i="6"/>
  <c r="BM44" i="6"/>
  <c r="BL45" i="6"/>
  <c r="BM45" i="6"/>
  <c r="BL46" i="6"/>
  <c r="BM46" i="6"/>
  <c r="BL47" i="6"/>
  <c r="BM47" i="6"/>
  <c r="BL48" i="6"/>
  <c r="BM48" i="6"/>
  <c r="BL49" i="6"/>
  <c r="BM49" i="6"/>
  <c r="BL50" i="6"/>
  <c r="BM50" i="6"/>
  <c r="BM3" i="6"/>
  <c r="BL3" i="6"/>
  <c r="BW53" i="6" l="1"/>
  <c r="BW58" i="6" s="1"/>
  <c r="BV55" i="6"/>
  <c r="BV59" i="6" s="1"/>
  <c r="BV54" i="6"/>
  <c r="BV53" i="6"/>
  <c r="BV57" i="6" s="1"/>
  <c r="BW55" i="6"/>
  <c r="BW59" i="6" s="1"/>
  <c r="BW52" i="6"/>
  <c r="CQ4" i="6"/>
  <c r="CQ5" i="6"/>
  <c r="CQ6" i="6"/>
  <c r="CQ7" i="6"/>
  <c r="CQ8" i="6"/>
  <c r="CQ3" i="6"/>
  <c r="BC6" i="6"/>
  <c r="BC5" i="6"/>
  <c r="BC4" i="6"/>
  <c r="BC3" i="6"/>
  <c r="CR4" i="6"/>
  <c r="CR5" i="6"/>
  <c r="CR6" i="6"/>
  <c r="CR7" i="6"/>
  <c r="CR3" i="6"/>
  <c r="CP4" i="6"/>
  <c r="CP5" i="6"/>
  <c r="CP6" i="6"/>
  <c r="CP7" i="6"/>
  <c r="CP3" i="6"/>
  <c r="CO4" i="6"/>
  <c r="CO5" i="6"/>
  <c r="CO6" i="6"/>
  <c r="CO7" i="6"/>
  <c r="CO8" i="6"/>
  <c r="CO3" i="6"/>
  <c r="CN4" i="6"/>
  <c r="CN5" i="6"/>
  <c r="CN6" i="6"/>
  <c r="CN7" i="6"/>
  <c r="CN3" i="6"/>
  <c r="CM4" i="6"/>
  <c r="CM5" i="6"/>
  <c r="CM6" i="6"/>
  <c r="CM7" i="6"/>
  <c r="CM8" i="6"/>
  <c r="CM3" i="6"/>
  <c r="CL4" i="6"/>
  <c r="CL5" i="6" s="1"/>
  <c r="CL6" i="6" s="1"/>
  <c r="CL7" i="6" s="1"/>
  <c r="CL8" i="6" s="1"/>
  <c r="CJ2" i="6"/>
  <c r="CB2" i="6"/>
  <c r="CC2" i="6"/>
  <c r="CD2" i="6"/>
  <c r="CE2" i="6"/>
  <c r="CF2" i="6"/>
  <c r="CG2" i="6"/>
  <c r="CH2" i="6"/>
  <c r="CI2" i="6"/>
  <c r="CB3" i="6"/>
  <c r="CG3" i="6"/>
  <c r="CH3" i="6"/>
  <c r="CI3" i="6"/>
  <c r="CJ3" i="6"/>
  <c r="AV166" i="9"/>
  <c r="CF3" i="6"/>
  <c r="CR8" i="6"/>
  <c r="CD3" i="6"/>
  <c r="CP8" i="6"/>
  <c r="CA3" i="6"/>
  <c r="CA2" i="6"/>
  <c r="A13" i="9"/>
  <c r="A18" i="9" s="1"/>
  <c r="A23" i="9" s="1"/>
  <c r="A28" i="9" s="1"/>
  <c r="A33" i="9" s="1"/>
  <c r="A38" i="9" s="1"/>
  <c r="A43" i="9" s="1"/>
  <c r="A48" i="9" s="1"/>
  <c r="A53" i="9" s="1"/>
  <c r="A58" i="9" s="1"/>
  <c r="A63" i="9" s="1"/>
  <c r="A68" i="9" s="1"/>
  <c r="A73" i="9" s="1"/>
  <c r="A78" i="9" s="1"/>
  <c r="A83" i="9" s="1"/>
  <c r="A88" i="9" s="1"/>
  <c r="A93" i="9" s="1"/>
  <c r="A98" i="9" s="1"/>
  <c r="A103" i="9" s="1"/>
  <c r="A108" i="9" s="1"/>
  <c r="A113" i="9" s="1"/>
  <c r="A118" i="9" s="1"/>
  <c r="A123" i="9" s="1"/>
  <c r="A128" i="9" s="1"/>
  <c r="A133" i="9" s="1"/>
  <c r="A138" i="9" s="1"/>
  <c r="A143" i="9" s="1"/>
  <c r="A148" i="9" s="1"/>
  <c r="A153" i="9" s="1"/>
  <c r="A158" i="9" s="1"/>
  <c r="A163" i="9" s="1"/>
  <c r="A9" i="9"/>
  <c r="A14" i="9" s="1"/>
  <c r="A19" i="9" s="1"/>
  <c r="A24" i="9" s="1"/>
  <c r="A29" i="9" s="1"/>
  <c r="A34" i="9" s="1"/>
  <c r="A39" i="9" s="1"/>
  <c r="A44" i="9" s="1"/>
  <c r="A49" i="9" s="1"/>
  <c r="A54" i="9" s="1"/>
  <c r="A59" i="9" s="1"/>
  <c r="A64" i="9" s="1"/>
  <c r="A69" i="9" s="1"/>
  <c r="A74" i="9" s="1"/>
  <c r="A79" i="9" s="1"/>
  <c r="A84" i="9" s="1"/>
  <c r="A89" i="9" s="1"/>
  <c r="A94" i="9" s="1"/>
  <c r="A99" i="9" s="1"/>
  <c r="A104" i="9" s="1"/>
  <c r="A109" i="9" s="1"/>
  <c r="A114" i="9" s="1"/>
  <c r="A119" i="9" s="1"/>
  <c r="A124" i="9" s="1"/>
  <c r="A129" i="9" s="1"/>
  <c r="A134" i="9" s="1"/>
  <c r="A139" i="9" s="1"/>
  <c r="A144" i="9" s="1"/>
  <c r="A149" i="9" s="1"/>
  <c r="A154" i="9" s="1"/>
  <c r="A159" i="9" s="1"/>
  <c r="A164" i="9" s="1"/>
  <c r="BW57" i="6" l="1"/>
  <c r="BV58" i="6"/>
  <c r="CE3" i="6"/>
  <c r="CC3" i="6"/>
  <c r="CN8" i="6"/>
  <c r="BC11" i="6"/>
  <c r="AS5" i="6"/>
  <c r="BC10" i="6"/>
  <c r="AS6" i="6"/>
  <c r="BC9" i="6"/>
  <c r="AS7" i="6"/>
  <c r="AS3" i="6"/>
  <c r="AS4" i="6"/>
  <c r="A10" i="9"/>
  <c r="S4" i="6"/>
  <c r="S5" i="6"/>
  <c r="S6" i="6"/>
  <c r="S7" i="6"/>
  <c r="S8" i="6"/>
  <c r="S9" i="6"/>
  <c r="S10" i="6"/>
  <c r="S11" i="6"/>
  <c r="AC11" i="6" s="1"/>
  <c r="S12" i="6"/>
  <c r="S13" i="6"/>
  <c r="S14" i="6"/>
  <c r="S15" i="6"/>
  <c r="S16" i="6"/>
  <c r="S17" i="6"/>
  <c r="S18" i="6"/>
  <c r="S3" i="6"/>
  <c r="AC3" i="6" s="1"/>
  <c r="B18" i="6"/>
  <c r="AB18" i="6" s="1"/>
  <c r="C18" i="6"/>
  <c r="D18" i="6"/>
  <c r="E18" i="6"/>
  <c r="V18" i="6" s="1"/>
  <c r="F18" i="6"/>
  <c r="W18" i="6" s="1"/>
  <c r="G18" i="6"/>
  <c r="X18" i="6" s="1"/>
  <c r="H18" i="6"/>
  <c r="Y18" i="6" s="1"/>
  <c r="B4" i="6"/>
  <c r="AB4" i="6" s="1"/>
  <c r="C4" i="6"/>
  <c r="T4" i="6" s="1"/>
  <c r="D4" i="6"/>
  <c r="U4" i="6" s="1"/>
  <c r="E4" i="6"/>
  <c r="F4" i="6"/>
  <c r="G4" i="6"/>
  <c r="X4" i="6" s="1"/>
  <c r="H4" i="6"/>
  <c r="Y4" i="6" s="1"/>
  <c r="B5" i="6"/>
  <c r="AB5" i="6" s="1"/>
  <c r="C5" i="6"/>
  <c r="D5" i="6"/>
  <c r="U5" i="6" s="1"/>
  <c r="E5" i="6"/>
  <c r="V5" i="6" s="1"/>
  <c r="F5" i="6"/>
  <c r="W5" i="6" s="1"/>
  <c r="G5" i="6"/>
  <c r="X5" i="6" s="1"/>
  <c r="H5" i="6"/>
  <c r="Y5" i="6" s="1"/>
  <c r="B6" i="6"/>
  <c r="AB6" i="6" s="1"/>
  <c r="C6" i="6"/>
  <c r="T6" i="6" s="1"/>
  <c r="D6" i="6"/>
  <c r="E6" i="6"/>
  <c r="V6" i="6" s="1"/>
  <c r="F6" i="6"/>
  <c r="W6" i="6" s="1"/>
  <c r="G6" i="6"/>
  <c r="X6" i="6" s="1"/>
  <c r="H6" i="6"/>
  <c r="Y6" i="6" s="1"/>
  <c r="B7" i="6"/>
  <c r="AB7" i="6" s="1"/>
  <c r="C7" i="6"/>
  <c r="D7" i="6"/>
  <c r="U7" i="6" s="1"/>
  <c r="E7" i="6"/>
  <c r="F7" i="6"/>
  <c r="W7" i="6" s="1"/>
  <c r="G7" i="6"/>
  <c r="H7" i="6"/>
  <c r="B8" i="6"/>
  <c r="AB8" i="6" s="1"/>
  <c r="C8" i="6"/>
  <c r="T8" i="6" s="1"/>
  <c r="D8" i="6"/>
  <c r="E8" i="6"/>
  <c r="V8" i="6" s="1"/>
  <c r="F8" i="6"/>
  <c r="G8" i="6"/>
  <c r="X8" i="6" s="1"/>
  <c r="H8" i="6"/>
  <c r="Y8" i="6" s="1"/>
  <c r="B9" i="6"/>
  <c r="AB9" i="6" s="1"/>
  <c r="C9" i="6"/>
  <c r="T9" i="6" s="1"/>
  <c r="D9" i="6"/>
  <c r="U9" i="6" s="1"/>
  <c r="E9" i="6"/>
  <c r="F9" i="6"/>
  <c r="W9" i="6" s="1"/>
  <c r="G9" i="6"/>
  <c r="H9" i="6"/>
  <c r="Y9" i="6" s="1"/>
  <c r="B10" i="6"/>
  <c r="AB10" i="6" s="1"/>
  <c r="C10" i="6"/>
  <c r="D10" i="6"/>
  <c r="U10" i="6" s="1"/>
  <c r="E10" i="6"/>
  <c r="V10" i="6" s="1"/>
  <c r="F10" i="6"/>
  <c r="W10" i="6" s="1"/>
  <c r="G10" i="6"/>
  <c r="X10" i="6" s="1"/>
  <c r="H10" i="6"/>
  <c r="B11" i="6"/>
  <c r="AB11" i="6" s="1"/>
  <c r="C11" i="6"/>
  <c r="D11" i="6"/>
  <c r="E11" i="6"/>
  <c r="F11" i="6"/>
  <c r="W11" i="6" s="1"/>
  <c r="G11" i="6"/>
  <c r="H11" i="6"/>
  <c r="Y11" i="6" s="1"/>
  <c r="B12" i="6"/>
  <c r="AB12" i="6" s="1"/>
  <c r="C12" i="6"/>
  <c r="T12" i="6" s="1"/>
  <c r="D12" i="6"/>
  <c r="U12" i="6" s="1"/>
  <c r="E12" i="6"/>
  <c r="F12" i="6"/>
  <c r="G12" i="6"/>
  <c r="X12" i="6" s="1"/>
  <c r="H12" i="6"/>
  <c r="B13" i="6"/>
  <c r="AB13" i="6" s="1"/>
  <c r="C13" i="6"/>
  <c r="D13" i="6"/>
  <c r="U13" i="6" s="1"/>
  <c r="E13" i="6"/>
  <c r="V13" i="6" s="1"/>
  <c r="F13" i="6"/>
  <c r="W13" i="6" s="1"/>
  <c r="G13" i="6"/>
  <c r="X13" i="6" s="1"/>
  <c r="H13" i="6"/>
  <c r="Y13" i="6" s="1"/>
  <c r="B14" i="6"/>
  <c r="AB14" i="6" s="1"/>
  <c r="C14" i="6"/>
  <c r="T14" i="6" s="1"/>
  <c r="D14" i="6"/>
  <c r="E14" i="6"/>
  <c r="V14" i="6" s="1"/>
  <c r="F14" i="6"/>
  <c r="W14" i="6" s="1"/>
  <c r="G14" i="6"/>
  <c r="X14" i="6" s="1"/>
  <c r="H14" i="6"/>
  <c r="Y14" i="6" s="1"/>
  <c r="B15" i="6"/>
  <c r="AB15" i="6" s="1"/>
  <c r="C15" i="6"/>
  <c r="D15" i="6"/>
  <c r="E15" i="6"/>
  <c r="F15" i="6"/>
  <c r="W15" i="6" s="1"/>
  <c r="G15" i="6"/>
  <c r="H15" i="6"/>
  <c r="B16" i="6"/>
  <c r="AB16" i="6" s="1"/>
  <c r="C16" i="6"/>
  <c r="T16" i="6" s="1"/>
  <c r="D16" i="6"/>
  <c r="E16" i="6"/>
  <c r="V16" i="6" s="1"/>
  <c r="F16" i="6"/>
  <c r="G16" i="6"/>
  <c r="X16" i="6" s="1"/>
  <c r="H16" i="6"/>
  <c r="Y16" i="6" s="1"/>
  <c r="B17" i="6"/>
  <c r="AB17" i="6" s="1"/>
  <c r="C17" i="6"/>
  <c r="T17" i="6" s="1"/>
  <c r="D17" i="6"/>
  <c r="U17" i="6" s="1"/>
  <c r="E17" i="6"/>
  <c r="F17" i="6"/>
  <c r="W17" i="6" s="1"/>
  <c r="G17" i="6"/>
  <c r="H17" i="6"/>
  <c r="Y17" i="6" s="1"/>
  <c r="C3" i="6"/>
  <c r="D3" i="6"/>
  <c r="E3" i="6"/>
  <c r="F3" i="6"/>
  <c r="G3" i="6"/>
  <c r="H3" i="6"/>
  <c r="B3" i="6"/>
  <c r="AB3" i="6" s="1"/>
  <c r="BB7" i="6"/>
  <c r="BD7" i="6"/>
  <c r="BE7" i="6"/>
  <c r="BF7" i="6"/>
  <c r="BG7" i="6"/>
  <c r="BH7" i="6"/>
  <c r="BI7" i="6"/>
  <c r="BB4" i="6"/>
  <c r="BD4" i="6"/>
  <c r="BE4" i="6"/>
  <c r="BF4" i="6"/>
  <c r="BG4" i="6"/>
  <c r="BH4" i="6"/>
  <c r="BI4" i="6"/>
  <c r="BB5" i="6"/>
  <c r="BD5" i="6"/>
  <c r="BE5" i="6"/>
  <c r="BF5" i="6"/>
  <c r="BG5" i="6"/>
  <c r="BH5" i="6"/>
  <c r="BI5" i="6"/>
  <c r="BB6" i="6"/>
  <c r="BD6" i="6"/>
  <c r="BE6" i="6"/>
  <c r="BF6" i="6"/>
  <c r="BG6" i="6"/>
  <c r="BH6" i="6"/>
  <c r="BI6" i="6"/>
  <c r="BD3" i="6"/>
  <c r="BE3" i="6"/>
  <c r="AU3" i="6" s="1"/>
  <c r="BF3" i="6"/>
  <c r="AV3" i="6" s="1"/>
  <c r="BG3" i="6"/>
  <c r="AW3" i="6" s="1"/>
  <c r="BH3" i="6"/>
  <c r="AX3" i="6" s="1"/>
  <c r="BI3" i="6"/>
  <c r="AY3" i="6" s="1"/>
  <c r="BB3" i="6"/>
  <c r="AR3" i="6" s="1"/>
  <c r="A12" i="5"/>
  <c r="A16" i="5" s="1"/>
  <c r="A20" i="5" s="1"/>
  <c r="A24" i="5" s="1"/>
  <c r="A28" i="5" s="1"/>
  <c r="A32" i="5" s="1"/>
  <c r="A36" i="5" s="1"/>
  <c r="A40" i="5" s="1"/>
  <c r="A44" i="5" s="1"/>
  <c r="A48" i="5" s="1"/>
  <c r="A52" i="5" s="1"/>
  <c r="A56" i="5" s="1"/>
  <c r="A60" i="5" s="1"/>
  <c r="A64" i="5" s="1"/>
  <c r="A68" i="5" s="1"/>
  <c r="A72" i="5" s="1"/>
  <c r="A76" i="5" s="1"/>
  <c r="A80" i="5" s="1"/>
  <c r="A84" i="5" s="1"/>
  <c r="A88" i="5" s="1"/>
  <c r="A92" i="5" s="1"/>
  <c r="A96" i="5" s="1"/>
  <c r="A100" i="5" s="1"/>
  <c r="A104" i="5" s="1"/>
  <c r="A108" i="5" s="1"/>
  <c r="A112" i="5" s="1"/>
  <c r="A116" i="5" s="1"/>
  <c r="A120" i="5" s="1"/>
  <c r="A124" i="5" s="1"/>
  <c r="A128" i="5" s="1"/>
  <c r="A132" i="5" s="1"/>
  <c r="A136" i="5" s="1"/>
  <c r="A140" i="5" s="1"/>
  <c r="A144" i="5" s="1"/>
  <c r="A148" i="5" s="1"/>
  <c r="A152" i="5" s="1"/>
  <c r="A156" i="5" s="1"/>
  <c r="A160" i="5" s="1"/>
  <c r="A164" i="5" s="1"/>
  <c r="A168" i="5" s="1"/>
  <c r="A172" i="5" s="1"/>
  <c r="A176" i="5" s="1"/>
  <c r="A180" i="5" s="1"/>
  <c r="A184" i="5" s="1"/>
  <c r="A188" i="5" s="1"/>
  <c r="A192" i="5" s="1"/>
  <c r="A196" i="5" s="1"/>
  <c r="A200" i="5" s="1"/>
  <c r="A204" i="5" s="1"/>
  <c r="A208" i="5" s="1"/>
  <c r="A212" i="5" s="1"/>
  <c r="A216" i="5" s="1"/>
  <c r="A220" i="5" s="1"/>
  <c r="A224" i="5" s="1"/>
  <c r="A228" i="5" s="1"/>
  <c r="A232" i="5" s="1"/>
  <c r="A236" i="5" s="1"/>
  <c r="A240" i="5" s="1"/>
  <c r="A244" i="5" s="1"/>
  <c r="A248" i="5" s="1"/>
  <c r="A252" i="5" s="1"/>
  <c r="A256" i="5" s="1"/>
  <c r="A260" i="5" s="1"/>
  <c r="A264" i="5" s="1"/>
  <c r="A268" i="5" s="1"/>
  <c r="A272" i="5" s="1"/>
  <c r="A276" i="5" s="1"/>
  <c r="A280" i="5" s="1"/>
  <c r="A284" i="5" s="1"/>
  <c r="A288" i="5" s="1"/>
  <c r="A292" i="5" s="1"/>
  <c r="A296" i="5" s="1"/>
  <c r="A300" i="5" s="1"/>
  <c r="A304" i="5" s="1"/>
  <c r="A308" i="5" s="1"/>
  <c r="A312" i="5" s="1"/>
  <c r="A316" i="5" s="1"/>
  <c r="A13" i="5"/>
  <c r="A14" i="5"/>
  <c r="A15" i="5"/>
  <c r="A17" i="5"/>
  <c r="A21" i="5" s="1"/>
  <c r="A25" i="5" s="1"/>
  <c r="A29" i="5" s="1"/>
  <c r="A33" i="5" s="1"/>
  <c r="A37" i="5" s="1"/>
  <c r="A41" i="5" s="1"/>
  <c r="A45" i="5" s="1"/>
  <c r="A49" i="5" s="1"/>
  <c r="A53" i="5" s="1"/>
  <c r="A57" i="5" s="1"/>
  <c r="A61" i="5" s="1"/>
  <c r="A65" i="5" s="1"/>
  <c r="A69" i="5" s="1"/>
  <c r="A73" i="5" s="1"/>
  <c r="A77" i="5" s="1"/>
  <c r="A81" i="5" s="1"/>
  <c r="A85" i="5" s="1"/>
  <c r="A89" i="5" s="1"/>
  <c r="A93" i="5" s="1"/>
  <c r="A97" i="5" s="1"/>
  <c r="A101" i="5" s="1"/>
  <c r="A105" i="5" s="1"/>
  <c r="A109" i="5" s="1"/>
  <c r="A113" i="5" s="1"/>
  <c r="A117" i="5" s="1"/>
  <c r="A121" i="5" s="1"/>
  <c r="A125" i="5" s="1"/>
  <c r="A129" i="5" s="1"/>
  <c r="A133" i="5" s="1"/>
  <c r="A137" i="5" s="1"/>
  <c r="A141" i="5" s="1"/>
  <c r="A145" i="5" s="1"/>
  <c r="A149" i="5" s="1"/>
  <c r="A153" i="5" s="1"/>
  <c r="A157" i="5" s="1"/>
  <c r="A161" i="5" s="1"/>
  <c r="A165" i="5" s="1"/>
  <c r="A169" i="5" s="1"/>
  <c r="A173" i="5" s="1"/>
  <c r="A177" i="5" s="1"/>
  <c r="A181" i="5" s="1"/>
  <c r="A185" i="5" s="1"/>
  <c r="A189" i="5" s="1"/>
  <c r="A193" i="5" s="1"/>
  <c r="A197" i="5" s="1"/>
  <c r="A201" i="5" s="1"/>
  <c r="A205" i="5" s="1"/>
  <c r="A209" i="5" s="1"/>
  <c r="A213" i="5" s="1"/>
  <c r="A217" i="5" s="1"/>
  <c r="A221" i="5" s="1"/>
  <c r="A225" i="5" s="1"/>
  <c r="A229" i="5" s="1"/>
  <c r="A233" i="5" s="1"/>
  <c r="A237" i="5" s="1"/>
  <c r="A241" i="5" s="1"/>
  <c r="A245" i="5" s="1"/>
  <c r="A249" i="5" s="1"/>
  <c r="A253" i="5" s="1"/>
  <c r="A257" i="5" s="1"/>
  <c r="A261" i="5" s="1"/>
  <c r="A265" i="5" s="1"/>
  <c r="A269" i="5" s="1"/>
  <c r="A273" i="5" s="1"/>
  <c r="A277" i="5" s="1"/>
  <c r="A281" i="5" s="1"/>
  <c r="A285" i="5" s="1"/>
  <c r="A289" i="5" s="1"/>
  <c r="A293" i="5" s="1"/>
  <c r="A297" i="5" s="1"/>
  <c r="A301" i="5" s="1"/>
  <c r="A305" i="5" s="1"/>
  <c r="A309" i="5" s="1"/>
  <c r="A313" i="5" s="1"/>
  <c r="A317" i="5" s="1"/>
  <c r="A18" i="5"/>
  <c r="A22" i="5" s="1"/>
  <c r="A26" i="5" s="1"/>
  <c r="A30" i="5" s="1"/>
  <c r="A34" i="5" s="1"/>
  <c r="A38" i="5" s="1"/>
  <c r="A42" i="5" s="1"/>
  <c r="A46" i="5" s="1"/>
  <c r="A50" i="5" s="1"/>
  <c r="A54" i="5" s="1"/>
  <c r="A58" i="5" s="1"/>
  <c r="A62" i="5" s="1"/>
  <c r="A66" i="5" s="1"/>
  <c r="A70" i="5" s="1"/>
  <c r="A74" i="5" s="1"/>
  <c r="A78" i="5" s="1"/>
  <c r="A82" i="5" s="1"/>
  <c r="A86" i="5" s="1"/>
  <c r="A90" i="5" s="1"/>
  <c r="A94" i="5" s="1"/>
  <c r="A98" i="5" s="1"/>
  <c r="A102" i="5" s="1"/>
  <c r="A106" i="5" s="1"/>
  <c r="A110" i="5" s="1"/>
  <c r="A114" i="5" s="1"/>
  <c r="A118" i="5" s="1"/>
  <c r="A122" i="5" s="1"/>
  <c r="A126" i="5" s="1"/>
  <c r="A130" i="5" s="1"/>
  <c r="A134" i="5" s="1"/>
  <c r="A138" i="5" s="1"/>
  <c r="A142" i="5" s="1"/>
  <c r="A146" i="5" s="1"/>
  <c r="A150" i="5" s="1"/>
  <c r="A154" i="5" s="1"/>
  <c r="A158" i="5" s="1"/>
  <c r="A162" i="5" s="1"/>
  <c r="A166" i="5" s="1"/>
  <c r="A170" i="5" s="1"/>
  <c r="A174" i="5" s="1"/>
  <c r="A178" i="5" s="1"/>
  <c r="A182" i="5" s="1"/>
  <c r="A186" i="5" s="1"/>
  <c r="A190" i="5" s="1"/>
  <c r="A194" i="5" s="1"/>
  <c r="A198" i="5" s="1"/>
  <c r="A202" i="5" s="1"/>
  <c r="A206" i="5" s="1"/>
  <c r="A210" i="5" s="1"/>
  <c r="A214" i="5" s="1"/>
  <c r="A218" i="5" s="1"/>
  <c r="A222" i="5" s="1"/>
  <c r="A226" i="5" s="1"/>
  <c r="A230" i="5" s="1"/>
  <c r="A234" i="5" s="1"/>
  <c r="A238" i="5" s="1"/>
  <c r="A242" i="5" s="1"/>
  <c r="A246" i="5" s="1"/>
  <c r="A250" i="5" s="1"/>
  <c r="A254" i="5" s="1"/>
  <c r="A258" i="5" s="1"/>
  <c r="A262" i="5" s="1"/>
  <c r="A266" i="5" s="1"/>
  <c r="A270" i="5" s="1"/>
  <c r="A274" i="5" s="1"/>
  <c r="A278" i="5" s="1"/>
  <c r="A282" i="5" s="1"/>
  <c r="A286" i="5" s="1"/>
  <c r="A290" i="5" s="1"/>
  <c r="A294" i="5" s="1"/>
  <c r="A298" i="5" s="1"/>
  <c r="A302" i="5" s="1"/>
  <c r="A306" i="5" s="1"/>
  <c r="A310" i="5" s="1"/>
  <c r="A314" i="5" s="1"/>
  <c r="A318" i="5" s="1"/>
  <c r="A19" i="5"/>
  <c r="A23" i="5" s="1"/>
  <c r="A27" i="5" s="1"/>
  <c r="A31" i="5" s="1"/>
  <c r="A35" i="5" s="1"/>
  <c r="A39" i="5" s="1"/>
  <c r="A43" i="5" s="1"/>
  <c r="A47" i="5" s="1"/>
  <c r="A51" i="5" s="1"/>
  <c r="A55" i="5" s="1"/>
  <c r="A59" i="5" s="1"/>
  <c r="A63" i="5" s="1"/>
  <c r="A67" i="5" s="1"/>
  <c r="A71" i="5" s="1"/>
  <c r="A75" i="5" s="1"/>
  <c r="A79" i="5" s="1"/>
  <c r="A83" i="5" s="1"/>
  <c r="A87" i="5" s="1"/>
  <c r="A91" i="5" s="1"/>
  <c r="A95" i="5" s="1"/>
  <c r="A99" i="5" s="1"/>
  <c r="A103" i="5" s="1"/>
  <c r="A107" i="5" s="1"/>
  <c r="A111" i="5" s="1"/>
  <c r="A115" i="5" s="1"/>
  <c r="A119" i="5" s="1"/>
  <c r="A123" i="5" s="1"/>
  <c r="A127" i="5" s="1"/>
  <c r="A131" i="5" s="1"/>
  <c r="A135" i="5" s="1"/>
  <c r="A139" i="5" s="1"/>
  <c r="A143" i="5" s="1"/>
  <c r="A147" i="5" s="1"/>
  <c r="A151" i="5" s="1"/>
  <c r="A155" i="5" s="1"/>
  <c r="A159" i="5" s="1"/>
  <c r="A163" i="5" s="1"/>
  <c r="A167" i="5" s="1"/>
  <c r="A171" i="5" s="1"/>
  <c r="A175" i="5" s="1"/>
  <c r="A179" i="5" s="1"/>
  <c r="A183" i="5" s="1"/>
  <c r="A187" i="5" s="1"/>
  <c r="A191" i="5" s="1"/>
  <c r="A195" i="5" s="1"/>
  <c r="A199" i="5" s="1"/>
  <c r="A203" i="5" s="1"/>
  <c r="A207" i="5" s="1"/>
  <c r="A211" i="5" s="1"/>
  <c r="A215" i="5" s="1"/>
  <c r="A219" i="5" s="1"/>
  <c r="A223" i="5" s="1"/>
  <c r="A227" i="5" s="1"/>
  <c r="A231" i="5" s="1"/>
  <c r="A235" i="5" s="1"/>
  <c r="A239" i="5" s="1"/>
  <c r="A243" i="5" s="1"/>
  <c r="A247" i="5" s="1"/>
  <c r="A251" i="5" s="1"/>
  <c r="A255" i="5" s="1"/>
  <c r="A259" i="5" s="1"/>
  <c r="A263" i="5" s="1"/>
  <c r="A267" i="5" s="1"/>
  <c r="A271" i="5" s="1"/>
  <c r="A275" i="5" s="1"/>
  <c r="A279" i="5" s="1"/>
  <c r="A283" i="5" s="1"/>
  <c r="A287" i="5" s="1"/>
  <c r="A291" i="5" s="1"/>
  <c r="A295" i="5" s="1"/>
  <c r="A299" i="5" s="1"/>
  <c r="A303" i="5" s="1"/>
  <c r="A307" i="5" s="1"/>
  <c r="A311" i="5" s="1"/>
  <c r="A315" i="5" s="1"/>
  <c r="A11" i="5"/>
  <c r="A10" i="5"/>
  <c r="A9" i="5"/>
  <c r="A8" i="5"/>
  <c r="C8" i="5" a="1"/>
  <c r="C8" i="5" s="1"/>
  <c r="D8" i="5" a="1"/>
  <c r="D8" i="5" s="1"/>
  <c r="E8" i="5" a="1"/>
  <c r="E8" i="5" s="1"/>
  <c r="F8" i="5" a="1"/>
  <c r="F8" i="5"/>
  <c r="G8" i="5" a="1"/>
  <c r="G8" i="5" s="1"/>
  <c r="H8" i="5" a="1"/>
  <c r="H8" i="5" s="1"/>
  <c r="I8" i="5" a="1"/>
  <c r="I8" i="5" s="1"/>
  <c r="C9" i="5" a="1"/>
  <c r="C9" i="5" s="1"/>
  <c r="D9" i="5" a="1"/>
  <c r="D9" i="5" s="1"/>
  <c r="E9" i="5" a="1"/>
  <c r="E9" i="5" s="1"/>
  <c r="F9" i="5" a="1"/>
  <c r="F9" i="5" s="1"/>
  <c r="G9" i="5" a="1"/>
  <c r="G9" i="5" s="1"/>
  <c r="H9" i="5" a="1"/>
  <c r="H9" i="5" s="1"/>
  <c r="I9" i="5" a="1"/>
  <c r="I9" i="5" s="1"/>
  <c r="C10" i="5" a="1"/>
  <c r="C10" i="5" s="1"/>
  <c r="D10" i="5" a="1"/>
  <c r="D10" i="5" s="1"/>
  <c r="E10" i="5" a="1"/>
  <c r="E10" i="5" s="1"/>
  <c r="F10" i="5" a="1"/>
  <c r="F10" i="5" s="1"/>
  <c r="G10" i="5" a="1"/>
  <c r="G10" i="5" s="1"/>
  <c r="H10" i="5" a="1"/>
  <c r="H10" i="5" s="1"/>
  <c r="I10" i="5" a="1"/>
  <c r="I10" i="5" s="1"/>
  <c r="C11" i="5" a="1"/>
  <c r="C11" i="5" s="1"/>
  <c r="D11" i="5" a="1"/>
  <c r="D11" i="5" s="1"/>
  <c r="E11" i="5" a="1"/>
  <c r="E11" i="5"/>
  <c r="F11" i="5" a="1"/>
  <c r="F11" i="5" s="1"/>
  <c r="G11" i="5" a="1"/>
  <c r="G11" i="5" s="1"/>
  <c r="H11" i="5" a="1"/>
  <c r="H11" i="5" s="1"/>
  <c r="I11" i="5" a="1"/>
  <c r="I11" i="5"/>
  <c r="C12" i="5" a="1"/>
  <c r="C12" i="5" s="1"/>
  <c r="D12" i="5" a="1"/>
  <c r="D12" i="5" s="1"/>
  <c r="E12" i="5" a="1"/>
  <c r="E12" i="5" s="1"/>
  <c r="F12" i="5" a="1"/>
  <c r="F12" i="5"/>
  <c r="G12" i="5" a="1"/>
  <c r="G12" i="5" s="1"/>
  <c r="H12" i="5" a="1"/>
  <c r="H12" i="5" s="1"/>
  <c r="I12" i="5" a="1"/>
  <c r="I12" i="5" s="1"/>
  <c r="C13" i="5" a="1"/>
  <c r="C13" i="5" s="1"/>
  <c r="D13" i="5" a="1"/>
  <c r="D13" i="5" s="1"/>
  <c r="E13" i="5" a="1"/>
  <c r="E13" i="5" s="1"/>
  <c r="F13" i="5" a="1"/>
  <c r="F13" i="5" s="1"/>
  <c r="G13" i="5" a="1"/>
  <c r="G13" i="5" s="1"/>
  <c r="H13" i="5" a="1"/>
  <c r="H13" i="5" s="1"/>
  <c r="I13" i="5" a="1"/>
  <c r="I13" i="5" s="1"/>
  <c r="C14" i="5" a="1"/>
  <c r="C14" i="5" s="1"/>
  <c r="D14" i="5" a="1"/>
  <c r="D14" i="5" s="1"/>
  <c r="E14" i="5" a="1"/>
  <c r="E14" i="5" s="1"/>
  <c r="F14" i="5" a="1"/>
  <c r="F14" i="5" s="1"/>
  <c r="G14" i="5" a="1"/>
  <c r="G14" i="5" s="1"/>
  <c r="H14" i="5" a="1"/>
  <c r="H14" i="5" s="1"/>
  <c r="I14" i="5" a="1"/>
  <c r="I14" i="5" s="1"/>
  <c r="C15" i="5" a="1"/>
  <c r="C15" i="5" s="1"/>
  <c r="D15" i="5" a="1"/>
  <c r="D15" i="5" s="1"/>
  <c r="E15" i="5" a="1"/>
  <c r="E15" i="5" s="1"/>
  <c r="F15" i="5" a="1"/>
  <c r="F15" i="5" s="1"/>
  <c r="G15" i="5" a="1"/>
  <c r="G15" i="5" s="1"/>
  <c r="H15" i="5" a="1"/>
  <c r="H15" i="5" s="1"/>
  <c r="I15" i="5" a="1"/>
  <c r="I15" i="5"/>
  <c r="C16" i="5" a="1"/>
  <c r="C16" i="5" s="1"/>
  <c r="D16" i="5" a="1"/>
  <c r="D16" i="5" s="1"/>
  <c r="E16" i="5" a="1"/>
  <c r="E16" i="5" s="1"/>
  <c r="F16" i="5" a="1"/>
  <c r="F16" i="5"/>
  <c r="G16" i="5" a="1"/>
  <c r="G16" i="5" s="1"/>
  <c r="H16" i="5" a="1"/>
  <c r="H16" i="5" s="1"/>
  <c r="I16" i="5" a="1"/>
  <c r="I16" i="5" s="1"/>
  <c r="C17" i="5" a="1"/>
  <c r="C17" i="5"/>
  <c r="D17" i="5" a="1"/>
  <c r="D17" i="5" s="1"/>
  <c r="E17" i="5" a="1"/>
  <c r="E17" i="5" s="1"/>
  <c r="F17" i="5" a="1"/>
  <c r="F17" i="5" s="1"/>
  <c r="G17" i="5" a="1"/>
  <c r="G17" i="5" s="1"/>
  <c r="H17" i="5" a="1"/>
  <c r="H17" i="5" s="1"/>
  <c r="I17" i="5" a="1"/>
  <c r="I17" i="5" s="1"/>
  <c r="C18" i="5" a="1"/>
  <c r="C18" i="5" s="1"/>
  <c r="D18" i="5" a="1"/>
  <c r="D18" i="5" s="1"/>
  <c r="E18" i="5" a="1"/>
  <c r="E18" i="5" s="1"/>
  <c r="F18" i="5" a="1"/>
  <c r="F18" i="5" s="1"/>
  <c r="G18" i="5" a="1"/>
  <c r="G18" i="5" s="1"/>
  <c r="H18" i="5" a="1"/>
  <c r="H18" i="5" s="1"/>
  <c r="I18" i="5" a="1"/>
  <c r="I18" i="5" s="1"/>
  <c r="C19" i="5" a="1"/>
  <c r="C19" i="5" s="1"/>
  <c r="D19" i="5" a="1"/>
  <c r="D19" i="5" s="1"/>
  <c r="E19" i="5" a="1"/>
  <c r="E19" i="5" s="1"/>
  <c r="F19" i="5" a="1"/>
  <c r="F19" i="5" s="1"/>
  <c r="G19" i="5" a="1"/>
  <c r="G19" i="5" s="1"/>
  <c r="H19" i="5" a="1"/>
  <c r="H19" i="5" s="1"/>
  <c r="I19" i="5" a="1"/>
  <c r="I19" i="5" s="1"/>
  <c r="C20" i="5" a="1"/>
  <c r="C20" i="5" s="1"/>
  <c r="D20" i="5" a="1"/>
  <c r="D20" i="5" s="1"/>
  <c r="E20" i="5" a="1"/>
  <c r="E20" i="5" s="1"/>
  <c r="F20" i="5" a="1"/>
  <c r="F20" i="5"/>
  <c r="G20" i="5" a="1"/>
  <c r="G20" i="5" s="1"/>
  <c r="H20" i="5" a="1"/>
  <c r="H20" i="5" s="1"/>
  <c r="I20" i="5" a="1"/>
  <c r="I20" i="5" s="1"/>
  <c r="C21" i="5" a="1"/>
  <c r="C21" i="5"/>
  <c r="D21" i="5" a="1"/>
  <c r="D21" i="5" s="1"/>
  <c r="E21" i="5" a="1"/>
  <c r="E21" i="5" s="1"/>
  <c r="F21" i="5" a="1"/>
  <c r="F21" i="5" s="1"/>
  <c r="G21" i="5" a="1"/>
  <c r="G21" i="5"/>
  <c r="H21" i="5" a="1"/>
  <c r="H21" i="5" s="1"/>
  <c r="I21" i="5" a="1"/>
  <c r="I21" i="5" s="1"/>
  <c r="C22" i="5" a="1"/>
  <c r="C22" i="5" s="1"/>
  <c r="D22" i="5" a="1"/>
  <c r="D22" i="5" s="1"/>
  <c r="E22" i="5" a="1"/>
  <c r="E22" i="5" s="1"/>
  <c r="F22" i="5" a="1"/>
  <c r="F22" i="5" s="1"/>
  <c r="G22" i="5" a="1"/>
  <c r="G22" i="5" s="1"/>
  <c r="H22" i="5" a="1"/>
  <c r="H22" i="5" s="1"/>
  <c r="I22" i="5" a="1"/>
  <c r="I22" i="5" s="1"/>
  <c r="C23" i="5" a="1"/>
  <c r="C23" i="5" s="1"/>
  <c r="D23" i="5" a="1"/>
  <c r="D23" i="5" s="1"/>
  <c r="E23" i="5" a="1"/>
  <c r="E23" i="5" s="1"/>
  <c r="F23" i="5" a="1"/>
  <c r="F23" i="5" s="1"/>
  <c r="G23" i="5" a="1"/>
  <c r="G23" i="5" s="1"/>
  <c r="H23" i="5" a="1"/>
  <c r="H23" i="5" s="1"/>
  <c r="I23" i="5" a="1"/>
  <c r="I23" i="5" s="1"/>
  <c r="C24" i="5" a="1"/>
  <c r="C24" i="5" s="1"/>
  <c r="D24" i="5" a="1"/>
  <c r="D24" i="5" s="1"/>
  <c r="E24" i="5" a="1"/>
  <c r="E24" i="5" s="1"/>
  <c r="F24" i="5" a="1"/>
  <c r="F24" i="5" s="1"/>
  <c r="G24" i="5" a="1"/>
  <c r="G24" i="5" s="1"/>
  <c r="H24" i="5" a="1"/>
  <c r="H24" i="5" s="1"/>
  <c r="I24" i="5" a="1"/>
  <c r="I24" i="5" s="1"/>
  <c r="C25" i="5" a="1"/>
  <c r="C25" i="5"/>
  <c r="D25" i="5" a="1"/>
  <c r="D25" i="5" s="1"/>
  <c r="E25" i="5" a="1"/>
  <c r="E25" i="5" s="1"/>
  <c r="F25" i="5" a="1"/>
  <c r="F25" i="5" s="1"/>
  <c r="G25" i="5" a="1"/>
  <c r="G25" i="5"/>
  <c r="H25" i="5" a="1"/>
  <c r="H25" i="5" s="1"/>
  <c r="I25" i="5" a="1"/>
  <c r="I25" i="5" s="1"/>
  <c r="C26" i="5" a="1"/>
  <c r="C26" i="5" s="1"/>
  <c r="D26" i="5" a="1"/>
  <c r="D26" i="5"/>
  <c r="E26" i="5" a="1"/>
  <c r="E26" i="5" s="1"/>
  <c r="F26" i="5" a="1"/>
  <c r="F26" i="5" s="1"/>
  <c r="G26" i="5" a="1"/>
  <c r="G26" i="5" s="1"/>
  <c r="H26" i="5" a="1"/>
  <c r="H26" i="5" s="1"/>
  <c r="I26" i="5" a="1"/>
  <c r="I26" i="5" s="1"/>
  <c r="C27" i="5" a="1"/>
  <c r="C27" i="5" s="1"/>
  <c r="D27" i="5" a="1"/>
  <c r="D27" i="5" s="1"/>
  <c r="E27" i="5" a="1"/>
  <c r="E27" i="5" s="1"/>
  <c r="F27" i="5" a="1"/>
  <c r="F27" i="5" s="1"/>
  <c r="G27" i="5" a="1"/>
  <c r="G27" i="5" s="1"/>
  <c r="H27" i="5" a="1"/>
  <c r="H27" i="5" s="1"/>
  <c r="I27" i="5" a="1"/>
  <c r="I27" i="5" s="1"/>
  <c r="C28" i="5" a="1"/>
  <c r="C28" i="5" s="1"/>
  <c r="D28" i="5" a="1"/>
  <c r="D28" i="5" s="1"/>
  <c r="E28" i="5" a="1"/>
  <c r="E28" i="5" s="1"/>
  <c r="F28" i="5" a="1"/>
  <c r="F28" i="5" s="1"/>
  <c r="G28" i="5" a="1"/>
  <c r="G28" i="5" s="1"/>
  <c r="H28" i="5" a="1"/>
  <c r="H28" i="5" s="1"/>
  <c r="I28" i="5" a="1"/>
  <c r="I28" i="5" s="1"/>
  <c r="C29" i="5" a="1"/>
  <c r="C29" i="5" s="1"/>
  <c r="D29" i="5" a="1"/>
  <c r="D29" i="5" s="1"/>
  <c r="E29" i="5" a="1"/>
  <c r="E29" i="5" s="1"/>
  <c r="F29" i="5" a="1"/>
  <c r="F29" i="5" s="1"/>
  <c r="G29" i="5" a="1"/>
  <c r="G29" i="5"/>
  <c r="H29" i="5" a="1"/>
  <c r="H29" i="5" s="1"/>
  <c r="I29" i="5" a="1"/>
  <c r="I29" i="5" s="1"/>
  <c r="C30" i="5" a="1"/>
  <c r="C30" i="5" s="1"/>
  <c r="D30" i="5" a="1"/>
  <c r="D30" i="5"/>
  <c r="E30" i="5" a="1"/>
  <c r="E30" i="5" s="1"/>
  <c r="F30" i="5" a="1"/>
  <c r="F30" i="5" s="1"/>
  <c r="G30" i="5" a="1"/>
  <c r="G30" i="5" s="1"/>
  <c r="H30" i="5" a="1"/>
  <c r="H30" i="5"/>
  <c r="I30" i="5" a="1"/>
  <c r="I30" i="5" s="1"/>
  <c r="C31" i="5" a="1"/>
  <c r="C31" i="5" s="1"/>
  <c r="D31" i="5" a="1"/>
  <c r="D31" i="5" s="1"/>
  <c r="E31" i="5" a="1"/>
  <c r="E31" i="5" s="1"/>
  <c r="F31" i="5" a="1"/>
  <c r="F31" i="5" s="1"/>
  <c r="G31" i="5" a="1"/>
  <c r="G31" i="5" s="1"/>
  <c r="H31" i="5" a="1"/>
  <c r="H31" i="5" s="1"/>
  <c r="I31" i="5" a="1"/>
  <c r="I31" i="5" s="1"/>
  <c r="C32" i="5" a="1"/>
  <c r="C32" i="5" s="1"/>
  <c r="D32" i="5" a="1"/>
  <c r="D32" i="5" s="1"/>
  <c r="E32" i="5" a="1"/>
  <c r="E32" i="5" s="1"/>
  <c r="F32" i="5" a="1"/>
  <c r="F32" i="5" s="1"/>
  <c r="G32" i="5" a="1"/>
  <c r="G32" i="5" s="1"/>
  <c r="H32" i="5" a="1"/>
  <c r="H32" i="5" s="1"/>
  <c r="I32" i="5" a="1"/>
  <c r="I32" i="5" s="1"/>
  <c r="C33" i="5" a="1"/>
  <c r="C33" i="5" s="1"/>
  <c r="D33" i="5" a="1"/>
  <c r="D33" i="5" s="1"/>
  <c r="E33" i="5" a="1"/>
  <c r="E33" i="5" s="1"/>
  <c r="F33" i="5" a="1"/>
  <c r="F33" i="5" s="1"/>
  <c r="G33" i="5" a="1"/>
  <c r="G33" i="5" s="1"/>
  <c r="H33" i="5" a="1"/>
  <c r="H33" i="5" s="1"/>
  <c r="I33" i="5" a="1"/>
  <c r="I33" i="5" s="1"/>
  <c r="C34" i="5" a="1"/>
  <c r="C34" i="5" s="1"/>
  <c r="D34" i="5" a="1"/>
  <c r="D34" i="5"/>
  <c r="E34" i="5" a="1"/>
  <c r="E34" i="5" s="1"/>
  <c r="F34" i="5" a="1"/>
  <c r="F34" i="5" s="1"/>
  <c r="G34" i="5" a="1"/>
  <c r="G34" i="5" s="1"/>
  <c r="H34" i="5" a="1"/>
  <c r="H34" i="5"/>
  <c r="I34" i="5" a="1"/>
  <c r="I34" i="5" s="1"/>
  <c r="C35" i="5" a="1"/>
  <c r="C35" i="5" s="1"/>
  <c r="D35" i="5" a="1"/>
  <c r="D35" i="5" s="1"/>
  <c r="E35" i="5" a="1"/>
  <c r="E35" i="5"/>
  <c r="F35" i="5" a="1"/>
  <c r="F35" i="5" s="1"/>
  <c r="G35" i="5" a="1"/>
  <c r="G35" i="5" s="1"/>
  <c r="H35" i="5" a="1"/>
  <c r="H35" i="5" s="1"/>
  <c r="I35" i="5" a="1"/>
  <c r="I35" i="5" s="1"/>
  <c r="C36" i="5" a="1"/>
  <c r="C36" i="5" s="1"/>
  <c r="D36" i="5" a="1"/>
  <c r="D36" i="5" s="1"/>
  <c r="E36" i="5" a="1"/>
  <c r="E36" i="5" s="1"/>
  <c r="F36" i="5" a="1"/>
  <c r="F36" i="5" s="1"/>
  <c r="G36" i="5" a="1"/>
  <c r="G36" i="5" s="1"/>
  <c r="H36" i="5" a="1"/>
  <c r="H36" i="5" s="1"/>
  <c r="I36" i="5" a="1"/>
  <c r="I36" i="5" s="1"/>
  <c r="C37" i="5" a="1"/>
  <c r="C37" i="5" s="1"/>
  <c r="D37" i="5" a="1"/>
  <c r="D37" i="5" s="1"/>
  <c r="E37" i="5" a="1"/>
  <c r="E37" i="5" s="1"/>
  <c r="F37" i="5" a="1"/>
  <c r="F37" i="5" s="1"/>
  <c r="G37" i="5" a="1"/>
  <c r="G37" i="5" s="1"/>
  <c r="H37" i="5" a="1"/>
  <c r="H37" i="5" s="1"/>
  <c r="I37" i="5" a="1"/>
  <c r="I37" i="5" s="1"/>
  <c r="C38" i="5" a="1"/>
  <c r="C38" i="5" s="1"/>
  <c r="D38" i="5" a="1"/>
  <c r="D38" i="5" s="1"/>
  <c r="E38" i="5" a="1"/>
  <c r="E38" i="5" s="1"/>
  <c r="F38" i="5" a="1"/>
  <c r="F38" i="5" s="1"/>
  <c r="G38" i="5" a="1"/>
  <c r="G38" i="5" s="1"/>
  <c r="H38" i="5" a="1"/>
  <c r="H38" i="5"/>
  <c r="I38" i="5" a="1"/>
  <c r="I38" i="5" s="1"/>
  <c r="C39" i="5" a="1"/>
  <c r="C39" i="5" s="1"/>
  <c r="D39" i="5" a="1"/>
  <c r="D39" i="5" s="1"/>
  <c r="E39" i="5" a="1"/>
  <c r="E39" i="5"/>
  <c r="F39" i="5" a="1"/>
  <c r="F39" i="5" s="1"/>
  <c r="G39" i="5" a="1"/>
  <c r="G39" i="5" s="1"/>
  <c r="H39" i="5" a="1"/>
  <c r="H39" i="5" s="1"/>
  <c r="I39" i="5" a="1"/>
  <c r="I39" i="5"/>
  <c r="C40" i="5" a="1"/>
  <c r="C40" i="5" s="1"/>
  <c r="D40" i="5" a="1"/>
  <c r="D40" i="5" s="1"/>
  <c r="E40" i="5" a="1"/>
  <c r="E40" i="5" s="1"/>
  <c r="F40" i="5" a="1"/>
  <c r="F40" i="5" s="1"/>
  <c r="G40" i="5" a="1"/>
  <c r="G40" i="5" s="1"/>
  <c r="H40" i="5" a="1"/>
  <c r="H40" i="5" s="1"/>
  <c r="I40" i="5" a="1"/>
  <c r="I40" i="5" s="1"/>
  <c r="C41" i="5" a="1"/>
  <c r="C41" i="5" s="1"/>
  <c r="D41" i="5" a="1"/>
  <c r="D41" i="5" s="1"/>
  <c r="E41" i="5" a="1"/>
  <c r="E41" i="5" s="1"/>
  <c r="F41" i="5" a="1"/>
  <c r="F41" i="5" s="1"/>
  <c r="G41" i="5" a="1"/>
  <c r="G41" i="5" s="1"/>
  <c r="H41" i="5" a="1"/>
  <c r="H41" i="5" s="1"/>
  <c r="I41" i="5" a="1"/>
  <c r="I41" i="5" s="1"/>
  <c r="C42" i="5" a="1"/>
  <c r="C42" i="5" s="1"/>
  <c r="D42" i="5" a="1"/>
  <c r="D42" i="5" s="1"/>
  <c r="E42" i="5" a="1"/>
  <c r="E42" i="5" s="1"/>
  <c r="F42" i="5" a="1"/>
  <c r="F42" i="5" s="1"/>
  <c r="G42" i="5" a="1"/>
  <c r="G42" i="5" s="1"/>
  <c r="H42" i="5" a="1"/>
  <c r="H42" i="5" s="1"/>
  <c r="I42" i="5" a="1"/>
  <c r="I42" i="5" s="1"/>
  <c r="C43" i="5" a="1"/>
  <c r="C43" i="5" s="1"/>
  <c r="D43" i="5" a="1"/>
  <c r="D43" i="5" s="1"/>
  <c r="E43" i="5" a="1"/>
  <c r="E43" i="5"/>
  <c r="F43" i="5" a="1"/>
  <c r="F43" i="5" s="1"/>
  <c r="G43" i="5" a="1"/>
  <c r="G43" i="5" s="1"/>
  <c r="H43" i="5" a="1"/>
  <c r="H43" i="5" s="1"/>
  <c r="I43" i="5" a="1"/>
  <c r="I43" i="5"/>
  <c r="C44" i="5" a="1"/>
  <c r="C44" i="5" s="1"/>
  <c r="D44" i="5" a="1"/>
  <c r="D44" i="5" s="1"/>
  <c r="E44" i="5" a="1"/>
  <c r="E44" i="5" s="1"/>
  <c r="F44" i="5" a="1"/>
  <c r="F44" i="5"/>
  <c r="G44" i="5" a="1"/>
  <c r="G44" i="5" s="1"/>
  <c r="H44" i="5" a="1"/>
  <c r="H44" i="5" s="1"/>
  <c r="I44" i="5" a="1"/>
  <c r="I44" i="5" s="1"/>
  <c r="C45" i="5" a="1"/>
  <c r="C45" i="5" s="1"/>
  <c r="D45" i="5" a="1"/>
  <c r="D45" i="5" s="1"/>
  <c r="E45" i="5" a="1"/>
  <c r="E45" i="5" s="1"/>
  <c r="F45" i="5" a="1"/>
  <c r="F45" i="5" s="1"/>
  <c r="G45" i="5" a="1"/>
  <c r="G45" i="5" s="1"/>
  <c r="H45" i="5" a="1"/>
  <c r="H45" i="5" s="1"/>
  <c r="I45" i="5" a="1"/>
  <c r="I45" i="5" s="1"/>
  <c r="C46" i="5" a="1"/>
  <c r="C46" i="5" s="1"/>
  <c r="D46" i="5" a="1"/>
  <c r="D46" i="5" s="1"/>
  <c r="E46" i="5" a="1"/>
  <c r="E46" i="5" s="1"/>
  <c r="F46" i="5" a="1"/>
  <c r="F46" i="5" s="1"/>
  <c r="G46" i="5" a="1"/>
  <c r="G46" i="5" s="1"/>
  <c r="H46" i="5" a="1"/>
  <c r="H46" i="5" s="1"/>
  <c r="I46" i="5" a="1"/>
  <c r="I46" i="5" s="1"/>
  <c r="C47" i="5" a="1"/>
  <c r="C47" i="5" s="1"/>
  <c r="D47" i="5" a="1"/>
  <c r="D47" i="5" s="1"/>
  <c r="E47" i="5" a="1"/>
  <c r="E47" i="5" s="1"/>
  <c r="F47" i="5" a="1"/>
  <c r="F47" i="5" s="1"/>
  <c r="G47" i="5" a="1"/>
  <c r="G47" i="5" s="1"/>
  <c r="H47" i="5" a="1"/>
  <c r="H47" i="5" s="1"/>
  <c r="I47" i="5" a="1"/>
  <c r="I47" i="5"/>
  <c r="C48" i="5" a="1"/>
  <c r="C48" i="5" s="1"/>
  <c r="D48" i="5" a="1"/>
  <c r="D48" i="5" s="1"/>
  <c r="E48" i="5" a="1"/>
  <c r="E48" i="5" s="1"/>
  <c r="F48" i="5" a="1"/>
  <c r="F48" i="5"/>
  <c r="G48" i="5" a="1"/>
  <c r="G48" i="5" s="1"/>
  <c r="H48" i="5" a="1"/>
  <c r="H48" i="5" s="1"/>
  <c r="I48" i="5" a="1"/>
  <c r="I48" i="5" s="1"/>
  <c r="C49" i="5" a="1"/>
  <c r="C49" i="5"/>
  <c r="D49" i="5" a="1"/>
  <c r="D49" i="5" s="1"/>
  <c r="E49" i="5" a="1"/>
  <c r="E49" i="5" s="1"/>
  <c r="F49" i="5" a="1"/>
  <c r="F49" i="5" s="1"/>
  <c r="G49" i="5" a="1"/>
  <c r="G49" i="5" s="1"/>
  <c r="H49" i="5" a="1"/>
  <c r="H49" i="5" s="1"/>
  <c r="I49" i="5" a="1"/>
  <c r="I49" i="5" s="1"/>
  <c r="C50" i="5" a="1"/>
  <c r="C50" i="5" s="1"/>
  <c r="D50" i="5" a="1"/>
  <c r="D50" i="5" s="1"/>
  <c r="E50" i="5" a="1"/>
  <c r="E50" i="5" s="1"/>
  <c r="F50" i="5" a="1"/>
  <c r="F50" i="5" s="1"/>
  <c r="G50" i="5" a="1"/>
  <c r="G50" i="5" s="1"/>
  <c r="H50" i="5" a="1"/>
  <c r="H50" i="5" s="1"/>
  <c r="I50" i="5" a="1"/>
  <c r="I50" i="5" s="1"/>
  <c r="C51" i="5" a="1"/>
  <c r="C51" i="5" s="1"/>
  <c r="D51" i="5" a="1"/>
  <c r="D51" i="5" s="1"/>
  <c r="E51" i="5" a="1"/>
  <c r="E51" i="5" s="1"/>
  <c r="F51" i="5" a="1"/>
  <c r="F51" i="5" s="1"/>
  <c r="G51" i="5" a="1"/>
  <c r="G51" i="5" s="1"/>
  <c r="H51" i="5" a="1"/>
  <c r="H51" i="5" s="1"/>
  <c r="I51" i="5" a="1"/>
  <c r="I51" i="5" s="1"/>
  <c r="C52" i="5" a="1"/>
  <c r="C52" i="5" s="1"/>
  <c r="D52" i="5" a="1"/>
  <c r="D52" i="5" s="1"/>
  <c r="E52" i="5" a="1"/>
  <c r="E52" i="5" s="1"/>
  <c r="F52" i="5" a="1"/>
  <c r="F52" i="5"/>
  <c r="G52" i="5" a="1"/>
  <c r="G52" i="5" s="1"/>
  <c r="H52" i="5" a="1"/>
  <c r="H52" i="5" s="1"/>
  <c r="I52" i="5" a="1"/>
  <c r="I52" i="5" s="1"/>
  <c r="C53" i="5" a="1"/>
  <c r="C53" i="5"/>
  <c r="D53" i="5" a="1"/>
  <c r="D53" i="5" s="1"/>
  <c r="E53" i="5" a="1"/>
  <c r="E53" i="5" s="1"/>
  <c r="F53" i="5" a="1"/>
  <c r="F53" i="5" s="1"/>
  <c r="G53" i="5" a="1"/>
  <c r="G53" i="5" s="1"/>
  <c r="H53" i="5" a="1"/>
  <c r="H53" i="5" s="1"/>
  <c r="I53" i="5" a="1"/>
  <c r="I53" i="5" s="1"/>
  <c r="C54" i="5" a="1"/>
  <c r="C54" i="5" s="1"/>
  <c r="D54" i="5" a="1"/>
  <c r="D54" i="5" s="1"/>
  <c r="E54" i="5" a="1"/>
  <c r="E54" i="5" s="1"/>
  <c r="F54" i="5" a="1"/>
  <c r="F54" i="5" s="1"/>
  <c r="G54" i="5" a="1"/>
  <c r="G54" i="5" s="1"/>
  <c r="H54" i="5" a="1"/>
  <c r="H54" i="5"/>
  <c r="I54" i="5" a="1"/>
  <c r="I54" i="5" s="1"/>
  <c r="C55" i="5" a="1"/>
  <c r="C55" i="5"/>
  <c r="D55" i="5" a="1"/>
  <c r="D55" i="5" s="1"/>
  <c r="E55" i="5" a="1"/>
  <c r="E55" i="5" s="1"/>
  <c r="F55" i="5" a="1"/>
  <c r="F55" i="5" s="1"/>
  <c r="G55" i="5" a="1"/>
  <c r="G55" i="5" s="1"/>
  <c r="H55" i="5" a="1"/>
  <c r="H55" i="5" s="1"/>
  <c r="I55" i="5" a="1"/>
  <c r="I55" i="5" s="1"/>
  <c r="C56" i="5" a="1"/>
  <c r="C56" i="5"/>
  <c r="D56" i="5" a="1"/>
  <c r="D56" i="5"/>
  <c r="E56" i="5" a="1"/>
  <c r="E56" i="5" s="1"/>
  <c r="F56" i="5" a="1"/>
  <c r="F56" i="5"/>
  <c r="G56" i="5" a="1"/>
  <c r="G56" i="5" s="1"/>
  <c r="H56" i="5" a="1"/>
  <c r="H56" i="5" s="1"/>
  <c r="I56" i="5" a="1"/>
  <c r="I56" i="5"/>
  <c r="C57" i="5" a="1"/>
  <c r="C57" i="5"/>
  <c r="D57" i="5" a="1"/>
  <c r="D57" i="5" s="1"/>
  <c r="E57" i="5" a="1"/>
  <c r="E57" i="5"/>
  <c r="F57" i="5" a="1"/>
  <c r="F57" i="5" s="1"/>
  <c r="G57" i="5" a="1"/>
  <c r="G57" i="5" s="1"/>
  <c r="H57" i="5" a="1"/>
  <c r="H57" i="5" s="1"/>
  <c r="I57" i="5" a="1"/>
  <c r="I57" i="5" s="1"/>
  <c r="C58" i="5" a="1"/>
  <c r="C58" i="5" s="1"/>
  <c r="D58" i="5" a="1"/>
  <c r="D58" i="5"/>
  <c r="E58" i="5" a="1"/>
  <c r="E58" i="5" s="1"/>
  <c r="F58" i="5" a="1"/>
  <c r="F58" i="5"/>
  <c r="G58" i="5" a="1"/>
  <c r="G58" i="5"/>
  <c r="H58" i="5" a="1"/>
  <c r="H58" i="5" s="1"/>
  <c r="I58" i="5" a="1"/>
  <c r="I58" i="5" s="1"/>
  <c r="C59" i="5" a="1"/>
  <c r="C59" i="5"/>
  <c r="D59" i="5" a="1"/>
  <c r="D59" i="5" s="1"/>
  <c r="E59" i="5" a="1"/>
  <c r="E59" i="5" s="1"/>
  <c r="F59" i="5" a="1"/>
  <c r="F59" i="5" s="1"/>
  <c r="G59" i="5" a="1"/>
  <c r="G59" i="5" s="1"/>
  <c r="H59" i="5" a="1"/>
  <c r="H59" i="5"/>
  <c r="I59" i="5" a="1"/>
  <c r="I59" i="5"/>
  <c r="C60" i="5" a="1"/>
  <c r="C60" i="5" s="1"/>
  <c r="D60" i="5" a="1"/>
  <c r="D60" i="5"/>
  <c r="E60" i="5" a="1"/>
  <c r="E60" i="5"/>
  <c r="F60" i="5" a="1"/>
  <c r="F60" i="5" s="1"/>
  <c r="G60" i="5" a="1"/>
  <c r="G60" i="5" s="1"/>
  <c r="H60" i="5" a="1"/>
  <c r="H60" i="5" s="1"/>
  <c r="I60" i="5" a="1"/>
  <c r="I60" i="5" s="1"/>
  <c r="C61" i="5" a="1"/>
  <c r="C61" i="5"/>
  <c r="D61" i="5" a="1"/>
  <c r="D61" i="5" s="1"/>
  <c r="E61" i="5" a="1"/>
  <c r="E61" i="5" s="1"/>
  <c r="F61" i="5" a="1"/>
  <c r="F61" i="5"/>
  <c r="G61" i="5" a="1"/>
  <c r="G61" i="5"/>
  <c r="H61" i="5" a="1"/>
  <c r="H61" i="5" s="1"/>
  <c r="I61" i="5" a="1"/>
  <c r="I61" i="5"/>
  <c r="C62" i="5" a="1"/>
  <c r="C62" i="5" s="1"/>
  <c r="D62" i="5" a="1"/>
  <c r="D62" i="5" s="1"/>
  <c r="E62" i="5" a="1"/>
  <c r="E62" i="5" s="1"/>
  <c r="F62" i="5" a="1"/>
  <c r="F62" i="5" s="1"/>
  <c r="G62" i="5" a="1"/>
  <c r="G62" i="5" s="1"/>
  <c r="H62" i="5" a="1"/>
  <c r="H62" i="5"/>
  <c r="I62" i="5" a="1"/>
  <c r="I62" i="5" s="1"/>
  <c r="C63" i="5" a="1"/>
  <c r="C63" i="5"/>
  <c r="D63" i="5" a="1"/>
  <c r="D63" i="5"/>
  <c r="E63" i="5" a="1"/>
  <c r="E63" i="5" s="1"/>
  <c r="F63" i="5" a="1"/>
  <c r="F63" i="5" s="1"/>
  <c r="G63" i="5" a="1"/>
  <c r="G63" i="5"/>
  <c r="H63" i="5" a="1"/>
  <c r="H63" i="5" s="1"/>
  <c r="I63" i="5" a="1"/>
  <c r="I63" i="5" s="1"/>
  <c r="C64" i="5" a="1"/>
  <c r="C64" i="5" s="1"/>
  <c r="D64" i="5" a="1"/>
  <c r="D64" i="5" s="1"/>
  <c r="E64" i="5" a="1"/>
  <c r="E64" i="5"/>
  <c r="F64" i="5" a="1"/>
  <c r="F64" i="5"/>
  <c r="G64" i="5" a="1"/>
  <c r="G64" i="5" s="1"/>
  <c r="H64" i="5" a="1"/>
  <c r="H64" i="5"/>
  <c r="I64" i="5" a="1"/>
  <c r="I64" i="5"/>
  <c r="C65" i="5" a="1"/>
  <c r="C65" i="5" s="1"/>
  <c r="D65" i="5" a="1"/>
  <c r="D65" i="5" s="1"/>
  <c r="E65" i="5" a="1"/>
  <c r="E65" i="5" s="1"/>
  <c r="F65" i="5" a="1"/>
  <c r="F65" i="5" s="1"/>
  <c r="G65" i="5" a="1"/>
  <c r="G65" i="5"/>
  <c r="H65" i="5" a="1"/>
  <c r="H65" i="5" s="1"/>
  <c r="I65" i="5" a="1"/>
  <c r="I65" i="5" s="1"/>
  <c r="C66" i="5" a="1"/>
  <c r="C66" i="5"/>
  <c r="D66" i="5" a="1"/>
  <c r="D66" i="5"/>
  <c r="E66" i="5" a="1"/>
  <c r="E66" i="5" s="1"/>
  <c r="F66" i="5" a="1"/>
  <c r="F66" i="5"/>
  <c r="G66" i="5" a="1"/>
  <c r="G66" i="5" s="1"/>
  <c r="H66" i="5" a="1"/>
  <c r="H66" i="5" s="1"/>
  <c r="I66" i="5" a="1"/>
  <c r="I66" i="5" s="1"/>
  <c r="C67" i="5" a="1"/>
  <c r="C67" i="5" s="1"/>
  <c r="D67" i="5" a="1"/>
  <c r="D67" i="5" s="1"/>
  <c r="E67" i="5" a="1"/>
  <c r="E67" i="5"/>
  <c r="F67" i="5" a="1"/>
  <c r="F67" i="5" s="1"/>
  <c r="G67" i="5" a="1"/>
  <c r="G67" i="5"/>
  <c r="H67" i="5" a="1"/>
  <c r="H67" i="5"/>
  <c r="I67" i="5" a="1"/>
  <c r="I67" i="5" s="1"/>
  <c r="C68" i="5" a="1"/>
  <c r="C68" i="5" s="1"/>
  <c r="D68" i="5" a="1"/>
  <c r="D68" i="5"/>
  <c r="E68" i="5" a="1"/>
  <c r="E68" i="5" s="1"/>
  <c r="F68" i="5" a="1"/>
  <c r="F68" i="5" s="1"/>
  <c r="G68" i="5" a="1"/>
  <c r="G68" i="5" s="1"/>
  <c r="H68" i="5" a="1"/>
  <c r="H68" i="5" s="1"/>
  <c r="I68" i="5" a="1"/>
  <c r="I68" i="5"/>
  <c r="C69" i="5" a="1"/>
  <c r="C69" i="5"/>
  <c r="D69" i="5" a="1"/>
  <c r="D69" i="5" s="1"/>
  <c r="E69" i="5" a="1"/>
  <c r="E69" i="5"/>
  <c r="F69" i="5" a="1"/>
  <c r="F69" i="5"/>
  <c r="G69" i="5" a="1"/>
  <c r="G69" i="5" s="1"/>
  <c r="H69" i="5" a="1"/>
  <c r="H69" i="5" s="1"/>
  <c r="I69" i="5" a="1"/>
  <c r="I69" i="5" s="1"/>
  <c r="C70" i="5" a="1"/>
  <c r="C70" i="5" s="1"/>
  <c r="D70" i="5" a="1"/>
  <c r="D70" i="5"/>
  <c r="E70" i="5" a="1"/>
  <c r="E70" i="5" s="1"/>
  <c r="F70" i="5" a="1"/>
  <c r="F70" i="5" s="1"/>
  <c r="G70" i="5" a="1"/>
  <c r="G70" i="5"/>
  <c r="H70" i="5" a="1"/>
  <c r="H70" i="5"/>
  <c r="I70" i="5" a="1"/>
  <c r="I70" i="5" s="1"/>
  <c r="C71" i="5" a="1"/>
  <c r="C71" i="5"/>
  <c r="D71" i="5" a="1"/>
  <c r="D71" i="5" s="1"/>
  <c r="E71" i="5" a="1"/>
  <c r="E71" i="5" s="1"/>
  <c r="F71" i="5" a="1"/>
  <c r="F71" i="5" s="1"/>
  <c r="G71" i="5" a="1"/>
  <c r="G71" i="5" s="1"/>
  <c r="H71" i="5" a="1"/>
  <c r="H71" i="5" s="1"/>
  <c r="I71" i="5" a="1"/>
  <c r="I71" i="5"/>
  <c r="C72" i="5" a="1"/>
  <c r="C72" i="5" s="1"/>
  <c r="D72" i="5" a="1"/>
  <c r="D72" i="5"/>
  <c r="E72" i="5" a="1"/>
  <c r="E72" i="5"/>
  <c r="F72" i="5" a="1"/>
  <c r="F72" i="5" s="1"/>
  <c r="G72" i="5" a="1"/>
  <c r="G72" i="5" s="1"/>
  <c r="H72" i="5" a="1"/>
  <c r="H72" i="5"/>
  <c r="I72" i="5" a="1"/>
  <c r="I72" i="5" s="1"/>
  <c r="C73" i="5" a="1"/>
  <c r="C73" i="5" s="1"/>
  <c r="D73" i="5" a="1"/>
  <c r="D73" i="5" s="1"/>
  <c r="E73" i="5" a="1"/>
  <c r="E73" i="5" s="1"/>
  <c r="F73" i="5" a="1"/>
  <c r="F73" i="5"/>
  <c r="G73" i="5" a="1"/>
  <c r="G73" i="5"/>
  <c r="H73" i="5" a="1"/>
  <c r="H73" i="5" s="1"/>
  <c r="I73" i="5" a="1"/>
  <c r="I73" i="5"/>
  <c r="C74" i="5" a="1"/>
  <c r="C74" i="5"/>
  <c r="D74" i="5" a="1"/>
  <c r="D74" i="5" s="1"/>
  <c r="E74" i="5" a="1"/>
  <c r="E74" i="5" s="1"/>
  <c r="F74" i="5" a="1"/>
  <c r="F74" i="5" s="1"/>
  <c r="G74" i="5" a="1"/>
  <c r="G74" i="5" s="1"/>
  <c r="H74" i="5" a="1"/>
  <c r="H74" i="5"/>
  <c r="I74" i="5" a="1"/>
  <c r="I74" i="5" s="1"/>
  <c r="C75" i="5" a="1"/>
  <c r="C75" i="5" s="1"/>
  <c r="D75" i="5" a="1"/>
  <c r="D75" i="5"/>
  <c r="E75" i="5" a="1"/>
  <c r="E75" i="5"/>
  <c r="F75" i="5" a="1"/>
  <c r="F75" i="5" s="1"/>
  <c r="G75" i="5" a="1"/>
  <c r="G75" i="5"/>
  <c r="H75" i="5" a="1"/>
  <c r="H75" i="5" s="1"/>
  <c r="I75" i="5" a="1"/>
  <c r="I75" i="5" s="1"/>
  <c r="C76" i="5" a="1"/>
  <c r="C76" i="5" s="1"/>
  <c r="D76" i="5" a="1"/>
  <c r="D76" i="5" s="1"/>
  <c r="E76" i="5" a="1"/>
  <c r="E76" i="5" s="1"/>
  <c r="F76" i="5" a="1"/>
  <c r="F76" i="5"/>
  <c r="G76" i="5" a="1"/>
  <c r="G76" i="5" s="1"/>
  <c r="H76" i="5" a="1"/>
  <c r="H76" i="5"/>
  <c r="I76" i="5" a="1"/>
  <c r="I76" i="5"/>
  <c r="C77" i="5" a="1"/>
  <c r="C77" i="5" s="1"/>
  <c r="D77" i="5" a="1"/>
  <c r="D77" i="5" s="1"/>
  <c r="E77" i="5" a="1"/>
  <c r="E77" i="5"/>
  <c r="F77" i="5" a="1"/>
  <c r="F77" i="5" s="1"/>
  <c r="G77" i="5" a="1"/>
  <c r="G77" i="5" s="1"/>
  <c r="H77" i="5" a="1"/>
  <c r="H77" i="5" s="1"/>
  <c r="I77" i="5" a="1"/>
  <c r="I77" i="5" s="1"/>
  <c r="C78" i="5" a="1"/>
  <c r="C78" i="5"/>
  <c r="D78" i="5" a="1"/>
  <c r="D78" i="5"/>
  <c r="E78" i="5" a="1"/>
  <c r="E78" i="5" s="1"/>
  <c r="F78" i="5" a="1"/>
  <c r="F78" i="5"/>
  <c r="G78" i="5" a="1"/>
  <c r="G78" i="5"/>
  <c r="H78" i="5" a="1"/>
  <c r="H78" i="5" s="1"/>
  <c r="I78" i="5" a="1"/>
  <c r="I78" i="5" s="1"/>
  <c r="C79" i="5" a="1"/>
  <c r="C79" i="5" s="1"/>
  <c r="D79" i="5" a="1"/>
  <c r="D79" i="5" s="1"/>
  <c r="E79" i="5" a="1"/>
  <c r="E79" i="5"/>
  <c r="F79" i="5" a="1"/>
  <c r="F79" i="5" s="1"/>
  <c r="G79" i="5" a="1"/>
  <c r="G79" i="5" s="1"/>
  <c r="H79" i="5" a="1"/>
  <c r="H79" i="5"/>
  <c r="I79" i="5" a="1"/>
  <c r="I79" i="5"/>
  <c r="C80" i="5" a="1"/>
  <c r="C80" i="5" s="1"/>
  <c r="D80" i="5" a="1"/>
  <c r="D80" i="5"/>
  <c r="E80" i="5" a="1"/>
  <c r="E80" i="5" s="1"/>
  <c r="F80" i="5" a="1"/>
  <c r="F80" i="5" s="1"/>
  <c r="G80" i="5" a="1"/>
  <c r="G80" i="5" s="1"/>
  <c r="H80" i="5" a="1"/>
  <c r="H80" i="5" s="1"/>
  <c r="I80" i="5" a="1"/>
  <c r="I80" i="5" s="1"/>
  <c r="C81" i="5" a="1"/>
  <c r="C81" i="5"/>
  <c r="D81" i="5" a="1"/>
  <c r="D81" i="5" s="1"/>
  <c r="E81" i="5" a="1"/>
  <c r="E81" i="5"/>
  <c r="F81" i="5" a="1"/>
  <c r="F81" i="5"/>
  <c r="G81" i="5" a="1"/>
  <c r="G81" i="5" s="1"/>
  <c r="H81" i="5" a="1"/>
  <c r="H81" i="5" s="1"/>
  <c r="I81" i="5" a="1"/>
  <c r="I81" i="5"/>
  <c r="C82" i="5" a="1"/>
  <c r="C82" i="5" s="1"/>
  <c r="D82" i="5" a="1"/>
  <c r="D82" i="5" s="1"/>
  <c r="E82" i="5" a="1"/>
  <c r="E82" i="5" s="1"/>
  <c r="F82" i="5" a="1"/>
  <c r="F82" i="5" s="1"/>
  <c r="G82" i="5" a="1"/>
  <c r="G82" i="5"/>
  <c r="H82" i="5" a="1"/>
  <c r="H82" i="5"/>
  <c r="I82" i="5" a="1"/>
  <c r="I82" i="5" s="1"/>
  <c r="C83" i="5" a="1"/>
  <c r="C83" i="5"/>
  <c r="D83" i="5" a="1"/>
  <c r="D83" i="5"/>
  <c r="E83" i="5" a="1"/>
  <c r="E83" i="5" s="1"/>
  <c r="F83" i="5" a="1"/>
  <c r="F83" i="5" s="1"/>
  <c r="G83" i="5" a="1"/>
  <c r="G83" i="5" s="1"/>
  <c r="H83" i="5" a="1"/>
  <c r="H83" i="5" s="1"/>
  <c r="I83" i="5" a="1"/>
  <c r="I83" i="5"/>
  <c r="C84" i="5" a="1"/>
  <c r="C84" i="5" s="1"/>
  <c r="D84" i="5" a="1"/>
  <c r="D84" i="5" s="1"/>
  <c r="E84" i="5" a="1"/>
  <c r="E84" i="5"/>
  <c r="F84" i="5" a="1"/>
  <c r="F84" i="5"/>
  <c r="G84" i="5" a="1"/>
  <c r="G84" i="5" s="1"/>
  <c r="H84" i="5" a="1"/>
  <c r="H84" i="5"/>
  <c r="I84" i="5" a="1"/>
  <c r="I84" i="5" s="1"/>
  <c r="C85" i="5" a="1"/>
  <c r="C85" i="5" s="1"/>
  <c r="D85" i="5" a="1"/>
  <c r="D85" i="5" s="1"/>
  <c r="E85" i="5" a="1"/>
  <c r="E85" i="5" s="1"/>
  <c r="F85" i="5" a="1"/>
  <c r="F85" i="5" s="1"/>
  <c r="G85" i="5" a="1"/>
  <c r="G85" i="5"/>
  <c r="H85" i="5" a="1"/>
  <c r="H85" i="5" s="1"/>
  <c r="I85" i="5" a="1"/>
  <c r="I85" i="5"/>
  <c r="C86" i="5" a="1"/>
  <c r="C86" i="5"/>
  <c r="D86" i="5" a="1"/>
  <c r="D86" i="5" s="1"/>
  <c r="E86" i="5" a="1"/>
  <c r="E86" i="5" s="1"/>
  <c r="F86" i="5" a="1"/>
  <c r="F86" i="5"/>
  <c r="G86" i="5" a="1"/>
  <c r="G86" i="5" s="1"/>
  <c r="H86" i="5" a="1"/>
  <c r="H86" i="5" s="1"/>
  <c r="I86" i="5" a="1"/>
  <c r="I86" i="5" s="1"/>
  <c r="C87" i="5" a="1"/>
  <c r="C87" i="5" s="1"/>
  <c r="D87" i="5" a="1"/>
  <c r="D87" i="5"/>
  <c r="E87" i="5" a="1"/>
  <c r="E87" i="5"/>
  <c r="F87" i="5" a="1"/>
  <c r="F87" i="5" s="1"/>
  <c r="G87" i="5" a="1"/>
  <c r="G87" i="5"/>
  <c r="H87" i="5" a="1"/>
  <c r="H87" i="5"/>
  <c r="I87" i="5" a="1"/>
  <c r="I87" i="5" s="1"/>
  <c r="C88" i="5" a="1"/>
  <c r="C88" i="5" s="1"/>
  <c r="D88" i="5" a="1"/>
  <c r="D88" i="5" s="1"/>
  <c r="E88" i="5" a="1"/>
  <c r="E88" i="5" s="1"/>
  <c r="F88" i="5" a="1"/>
  <c r="F88" i="5"/>
  <c r="G88" i="5" a="1"/>
  <c r="G88" i="5" s="1"/>
  <c r="H88" i="5" a="1"/>
  <c r="H88" i="5" s="1"/>
  <c r="I88" i="5" a="1"/>
  <c r="I88" i="5"/>
  <c r="C89" i="5" a="1"/>
  <c r="C89" i="5"/>
  <c r="D89" i="5" a="1"/>
  <c r="D89" i="5" s="1"/>
  <c r="E89" i="5" a="1"/>
  <c r="E89" i="5"/>
  <c r="F89" i="5" a="1"/>
  <c r="F89" i="5" s="1"/>
  <c r="G89" i="5" a="1"/>
  <c r="G89" i="5" s="1"/>
  <c r="H89" i="5" a="1"/>
  <c r="H89" i="5" s="1"/>
  <c r="I89" i="5" a="1"/>
  <c r="I89" i="5" s="1"/>
  <c r="C90" i="5" a="1"/>
  <c r="C90" i="5" s="1"/>
  <c r="D90" i="5" a="1"/>
  <c r="D90" i="5"/>
  <c r="E90" i="5" a="1"/>
  <c r="E90" i="5" s="1"/>
  <c r="F90" i="5" a="1"/>
  <c r="F90" i="5"/>
  <c r="G90" i="5" a="1"/>
  <c r="G90" i="5"/>
  <c r="H90" i="5" a="1"/>
  <c r="H90" i="5" s="1"/>
  <c r="I90" i="5" a="1"/>
  <c r="I90" i="5" s="1"/>
  <c r="C91" i="5" a="1"/>
  <c r="C91" i="5"/>
  <c r="D91" i="5" a="1"/>
  <c r="D91" i="5" s="1"/>
  <c r="E91" i="5" a="1"/>
  <c r="E91" i="5" s="1"/>
  <c r="F91" i="5" a="1"/>
  <c r="F91" i="5" s="1"/>
  <c r="G91" i="5" a="1"/>
  <c r="G91" i="5" s="1"/>
  <c r="H91" i="5" a="1"/>
  <c r="H91" i="5"/>
  <c r="I91" i="5" a="1"/>
  <c r="I91" i="5"/>
  <c r="C92" i="5" a="1"/>
  <c r="C92" i="5" s="1"/>
  <c r="D92" i="5" a="1"/>
  <c r="D92" i="5"/>
  <c r="E92" i="5" a="1"/>
  <c r="E92" i="5"/>
  <c r="F92" i="5" a="1"/>
  <c r="F92" i="5" s="1"/>
  <c r="G92" i="5" a="1"/>
  <c r="G92" i="5" s="1"/>
  <c r="H92" i="5" a="1"/>
  <c r="H92" i="5" s="1"/>
  <c r="I92" i="5" a="1"/>
  <c r="I92" i="5" s="1"/>
  <c r="C93" i="5" a="1"/>
  <c r="C93" i="5"/>
  <c r="D93" i="5" a="1"/>
  <c r="D93" i="5" s="1"/>
  <c r="E93" i="5" a="1"/>
  <c r="E93" i="5" s="1"/>
  <c r="F93" i="5" a="1"/>
  <c r="F93" i="5"/>
  <c r="G93" i="5" a="1"/>
  <c r="G93" i="5"/>
  <c r="H93" i="5" a="1"/>
  <c r="H93" i="5" s="1"/>
  <c r="I93" i="5" a="1"/>
  <c r="I93" i="5"/>
  <c r="C94" i="5" a="1"/>
  <c r="C94" i="5" s="1"/>
  <c r="D94" i="5" a="1"/>
  <c r="D94" i="5" s="1"/>
  <c r="E94" i="5" a="1"/>
  <c r="E94" i="5" s="1"/>
  <c r="F94" i="5" a="1"/>
  <c r="F94" i="5" s="1"/>
  <c r="G94" i="5" a="1"/>
  <c r="G94" i="5" s="1"/>
  <c r="H94" i="5" a="1"/>
  <c r="H94" i="5"/>
  <c r="I94" i="5" a="1"/>
  <c r="I94" i="5" s="1"/>
  <c r="C95" i="5" a="1"/>
  <c r="C95" i="5" s="1"/>
  <c r="D95" i="5" a="1"/>
  <c r="D95" i="5"/>
  <c r="E95" i="5" a="1"/>
  <c r="E95" i="5" s="1"/>
  <c r="F95" i="5" a="1"/>
  <c r="F95" i="5" s="1"/>
  <c r="G95" i="5" a="1"/>
  <c r="G95" i="5"/>
  <c r="H95" i="5" a="1"/>
  <c r="H95" i="5" s="1"/>
  <c r="I95" i="5" a="1"/>
  <c r="I95" i="5" s="1"/>
  <c r="C96" i="5" a="1"/>
  <c r="C96" i="5" s="1"/>
  <c r="D96" i="5" a="1"/>
  <c r="D96" i="5" s="1"/>
  <c r="E96" i="5" a="1"/>
  <c r="E96" i="5"/>
  <c r="F96" i="5" a="1"/>
  <c r="F96" i="5"/>
  <c r="G96" i="5" a="1"/>
  <c r="G96" i="5" s="1"/>
  <c r="H96" i="5" a="1"/>
  <c r="H96" i="5"/>
  <c r="I96" i="5" a="1"/>
  <c r="I96" i="5"/>
  <c r="C97" i="5" a="1"/>
  <c r="C97" i="5" s="1"/>
  <c r="D97" i="5" a="1"/>
  <c r="D97" i="5" s="1"/>
  <c r="E97" i="5" a="1"/>
  <c r="E97" i="5" s="1"/>
  <c r="F97" i="5" a="1"/>
  <c r="F97" i="5" s="1"/>
  <c r="G97" i="5" a="1"/>
  <c r="G97" i="5" s="1"/>
  <c r="H97" i="5" a="1"/>
  <c r="H97" i="5" s="1"/>
  <c r="I97" i="5" a="1"/>
  <c r="I97" i="5"/>
  <c r="C98" i="5" a="1"/>
  <c r="C98" i="5"/>
  <c r="D98" i="5" a="1"/>
  <c r="D98" i="5"/>
  <c r="E98" i="5" a="1"/>
  <c r="E98" i="5" s="1"/>
  <c r="F98" i="5" a="1"/>
  <c r="F98" i="5"/>
  <c r="G98" i="5" a="1"/>
  <c r="G98" i="5" s="1"/>
  <c r="H98" i="5" a="1"/>
  <c r="H98" i="5"/>
  <c r="I98" i="5" a="1"/>
  <c r="I98" i="5" s="1"/>
  <c r="C99" i="5" a="1"/>
  <c r="C99" i="5" s="1"/>
  <c r="D99" i="5" a="1"/>
  <c r="D99" i="5" s="1"/>
  <c r="E99" i="5" a="1"/>
  <c r="E99" i="5" s="1"/>
  <c r="F99" i="5" a="1"/>
  <c r="F99" i="5" s="1"/>
  <c r="G99" i="5" a="1"/>
  <c r="G99" i="5" s="1"/>
  <c r="H99" i="5" a="1"/>
  <c r="H99" i="5" s="1"/>
  <c r="I99" i="5" a="1"/>
  <c r="I99" i="5" s="1"/>
  <c r="C100" i="5" a="1"/>
  <c r="C100" i="5"/>
  <c r="D100" i="5" a="1"/>
  <c r="D100" i="5" s="1"/>
  <c r="E100" i="5" a="1"/>
  <c r="E100" i="5" s="1"/>
  <c r="F100" i="5" a="1"/>
  <c r="F100" i="5"/>
  <c r="G100" i="5" a="1"/>
  <c r="G100" i="5" s="1"/>
  <c r="H100" i="5" a="1"/>
  <c r="H100" i="5" s="1"/>
  <c r="I100" i="5" a="1"/>
  <c r="I100" i="5" s="1"/>
  <c r="C101" i="5" a="1"/>
  <c r="C101" i="5" s="1"/>
  <c r="D101" i="5" a="1"/>
  <c r="D101" i="5" s="1"/>
  <c r="E101" i="5" a="1"/>
  <c r="E101" i="5"/>
  <c r="F101" i="5" a="1"/>
  <c r="F101" i="5" s="1"/>
  <c r="G101" i="5" a="1"/>
  <c r="G101" i="5" s="1"/>
  <c r="H101" i="5" a="1"/>
  <c r="H101" i="5"/>
  <c r="I101" i="5" a="1"/>
  <c r="I101" i="5" s="1"/>
  <c r="C102" i="5" a="1"/>
  <c r="C102" i="5" s="1"/>
  <c r="D102" i="5" a="1"/>
  <c r="D102" i="5" s="1"/>
  <c r="E102" i="5" a="1"/>
  <c r="E102" i="5" s="1"/>
  <c r="F102" i="5" a="1"/>
  <c r="F102" i="5" s="1"/>
  <c r="G102" i="5" a="1"/>
  <c r="G102" i="5" s="1"/>
  <c r="H102" i="5" a="1"/>
  <c r="H102" i="5" s="1"/>
  <c r="I102" i="5" a="1"/>
  <c r="I102" i="5" s="1"/>
  <c r="C103" i="5" a="1"/>
  <c r="C103" i="5"/>
  <c r="D103" i="5" a="1"/>
  <c r="D103" i="5" s="1"/>
  <c r="E103" i="5" a="1"/>
  <c r="E103" i="5"/>
  <c r="F103" i="5" a="1"/>
  <c r="F103" i="5" s="1"/>
  <c r="G103" i="5" a="1"/>
  <c r="G103" i="5" s="1"/>
  <c r="H103" i="5" a="1"/>
  <c r="H103" i="5" s="1"/>
  <c r="I103" i="5" a="1"/>
  <c r="I103" i="5" s="1"/>
  <c r="C104" i="5" a="1"/>
  <c r="C104" i="5" s="1"/>
  <c r="D104" i="5" a="1"/>
  <c r="D104" i="5" s="1"/>
  <c r="E104" i="5" a="1"/>
  <c r="E104" i="5" s="1"/>
  <c r="F104" i="5" a="1"/>
  <c r="F104" i="5"/>
  <c r="G104" i="5" a="1"/>
  <c r="G104" i="5"/>
  <c r="H104" i="5" a="1"/>
  <c r="H104" i="5" s="1"/>
  <c r="I104" i="5" a="1"/>
  <c r="I104" i="5" s="1"/>
  <c r="C105" i="5" a="1"/>
  <c r="C105" i="5"/>
  <c r="D105" i="5" a="1"/>
  <c r="D105" i="5" s="1"/>
  <c r="E105" i="5" a="1"/>
  <c r="E105" i="5" s="1"/>
  <c r="F105" i="5" a="1"/>
  <c r="F105" i="5" s="1"/>
  <c r="G105" i="5" a="1"/>
  <c r="G105" i="5" s="1"/>
  <c r="H105" i="5" a="1"/>
  <c r="H105" i="5" s="1"/>
  <c r="I105" i="5" a="1"/>
  <c r="I105" i="5"/>
  <c r="C106" i="5" a="1"/>
  <c r="C106" i="5" s="1"/>
  <c r="D106" i="5" a="1"/>
  <c r="D106" i="5" s="1"/>
  <c r="E106" i="5" a="1"/>
  <c r="E106" i="5"/>
  <c r="F106" i="5" a="1"/>
  <c r="F106" i="5" s="1"/>
  <c r="G106" i="5" a="1"/>
  <c r="G106" i="5" s="1"/>
  <c r="H106" i="5" a="1"/>
  <c r="H106" i="5" s="1"/>
  <c r="I106" i="5" a="1"/>
  <c r="I106" i="5" s="1"/>
  <c r="C107" i="5" a="1"/>
  <c r="C107" i="5"/>
  <c r="D107" i="5" a="1"/>
  <c r="D107" i="5" s="1"/>
  <c r="E107" i="5" a="1"/>
  <c r="E107" i="5" s="1"/>
  <c r="F107" i="5" a="1"/>
  <c r="F107" i="5" s="1"/>
  <c r="G107" i="5" a="1"/>
  <c r="G107" i="5"/>
  <c r="H107" i="5" a="1"/>
  <c r="H107" i="5" s="1"/>
  <c r="I107" i="5" a="1"/>
  <c r="I107" i="5"/>
  <c r="C108" i="5" a="1"/>
  <c r="C108" i="5" s="1"/>
  <c r="D108" i="5" a="1"/>
  <c r="D108" i="5" s="1"/>
  <c r="E108" i="5" a="1"/>
  <c r="E108" i="5" s="1"/>
  <c r="F108" i="5" a="1"/>
  <c r="F108" i="5" s="1"/>
  <c r="G108" i="5" a="1"/>
  <c r="G108" i="5" s="1"/>
  <c r="H108" i="5" a="1"/>
  <c r="H108" i="5" s="1"/>
  <c r="I108" i="5" a="1"/>
  <c r="I108" i="5" s="1"/>
  <c r="C109" i="5" a="1"/>
  <c r="C109" i="5" s="1"/>
  <c r="D109" i="5" a="1"/>
  <c r="D109" i="5"/>
  <c r="E109" i="5" a="1"/>
  <c r="E109" i="5" s="1"/>
  <c r="F109" i="5" a="1"/>
  <c r="F109" i="5" s="1"/>
  <c r="G109" i="5" a="1"/>
  <c r="G109" i="5"/>
  <c r="H109" i="5" a="1"/>
  <c r="H109" i="5" s="1"/>
  <c r="I109" i="5" a="1"/>
  <c r="I109" i="5" s="1"/>
  <c r="C110" i="5" a="1"/>
  <c r="C110" i="5" s="1"/>
  <c r="D110" i="5" a="1"/>
  <c r="D110" i="5" s="1"/>
  <c r="E110" i="5" a="1"/>
  <c r="E110" i="5"/>
  <c r="F110" i="5" a="1"/>
  <c r="F110" i="5"/>
  <c r="G110" i="5" a="1"/>
  <c r="G110" i="5" s="1"/>
  <c r="H110" i="5" a="1"/>
  <c r="H110" i="5" s="1"/>
  <c r="I110" i="5" a="1"/>
  <c r="I110" i="5"/>
  <c r="C111" i="5" a="1"/>
  <c r="C111" i="5" s="1"/>
  <c r="D111" i="5" a="1"/>
  <c r="D111" i="5" s="1"/>
  <c r="E111" i="5" a="1"/>
  <c r="E111" i="5" s="1"/>
  <c r="F111" i="5" a="1"/>
  <c r="F111" i="5" s="1"/>
  <c r="G111" i="5" a="1"/>
  <c r="G111" i="5" s="1"/>
  <c r="H111" i="5" a="1"/>
  <c r="H111" i="5" s="1"/>
  <c r="I111" i="5" a="1"/>
  <c r="I111" i="5" s="1"/>
  <c r="C112" i="5" a="1"/>
  <c r="C112" i="5" s="1"/>
  <c r="D112" i="5" a="1"/>
  <c r="D112" i="5"/>
  <c r="E112" i="5" a="1"/>
  <c r="E112" i="5" s="1"/>
  <c r="F112" i="5" a="1"/>
  <c r="F112" i="5"/>
  <c r="G112" i="5" a="1"/>
  <c r="G112" i="5" s="1"/>
  <c r="H112" i="5" a="1"/>
  <c r="H112" i="5" s="1"/>
  <c r="I112" i="5" a="1"/>
  <c r="I112" i="5" s="1"/>
  <c r="C113" i="5" a="1"/>
  <c r="C113" i="5" s="1"/>
  <c r="D113" i="5" a="1"/>
  <c r="D113" i="5" s="1"/>
  <c r="E113" i="5" a="1"/>
  <c r="E113" i="5" s="1"/>
  <c r="F113" i="5" a="1"/>
  <c r="F113" i="5" s="1"/>
  <c r="G113" i="5" a="1"/>
  <c r="G113" i="5"/>
  <c r="H113" i="5" a="1"/>
  <c r="H113" i="5"/>
  <c r="I113" i="5" a="1"/>
  <c r="I113" i="5" s="1"/>
  <c r="C114" i="5" a="1"/>
  <c r="C114" i="5" s="1"/>
  <c r="D114" i="5" a="1"/>
  <c r="D114" i="5"/>
  <c r="E114" i="5" a="1"/>
  <c r="E114" i="5" s="1"/>
  <c r="F114" i="5" a="1"/>
  <c r="F114" i="5" s="1"/>
  <c r="G114" i="5" a="1"/>
  <c r="G114" i="5" s="1"/>
  <c r="H114" i="5" a="1"/>
  <c r="H114" i="5" s="1"/>
  <c r="I114" i="5" a="1"/>
  <c r="I114" i="5"/>
  <c r="C115" i="5" a="1"/>
  <c r="C115" i="5"/>
  <c r="D115" i="5" a="1"/>
  <c r="D115" i="5" s="1"/>
  <c r="E115" i="5" a="1"/>
  <c r="E115" i="5" s="1"/>
  <c r="F115" i="5" a="1"/>
  <c r="F115" i="5"/>
  <c r="G115" i="5" a="1"/>
  <c r="G115" i="5" s="1"/>
  <c r="H115" i="5" a="1"/>
  <c r="H115" i="5" s="1"/>
  <c r="I115" i="5" a="1"/>
  <c r="I115" i="5" s="1"/>
  <c r="C116" i="5" a="1"/>
  <c r="C116" i="5" s="1"/>
  <c r="D116" i="5" a="1"/>
  <c r="D116" i="5" s="1"/>
  <c r="E116" i="5" a="1"/>
  <c r="E116" i="5" s="1"/>
  <c r="F116" i="5" a="1"/>
  <c r="F116" i="5" s="1"/>
  <c r="G116" i="5" a="1"/>
  <c r="G116" i="5" s="1"/>
  <c r="H116" i="5" a="1"/>
  <c r="H116" i="5"/>
  <c r="I116" i="5" a="1"/>
  <c r="I116" i="5" s="1"/>
  <c r="C117" i="5" a="1"/>
  <c r="C117" i="5"/>
  <c r="D117" i="5" a="1"/>
  <c r="D117" i="5" s="1"/>
  <c r="E117" i="5" a="1"/>
  <c r="E117" i="5" s="1"/>
  <c r="F117" i="5" a="1"/>
  <c r="F117" i="5" s="1"/>
  <c r="G117" i="5" a="1"/>
  <c r="G117" i="5" s="1"/>
  <c r="H117" i="5" a="1"/>
  <c r="H117" i="5" s="1"/>
  <c r="I117" i="5" a="1"/>
  <c r="I117" i="5" s="1"/>
  <c r="C118" i="5" a="1"/>
  <c r="C118" i="5" s="1"/>
  <c r="D118" i="5" a="1"/>
  <c r="D118" i="5"/>
  <c r="E118" i="5" a="1"/>
  <c r="E118" i="5"/>
  <c r="F118" i="5" a="1"/>
  <c r="F118" i="5" s="1"/>
  <c r="G118" i="5" a="1"/>
  <c r="G118" i="5" s="1"/>
  <c r="H118" i="5" a="1"/>
  <c r="H118" i="5"/>
  <c r="I118" i="5" a="1"/>
  <c r="I118" i="5" s="1"/>
  <c r="C119" i="5" a="1"/>
  <c r="C119" i="5" s="1"/>
  <c r="D119" i="5" a="1"/>
  <c r="D119" i="5" s="1"/>
  <c r="E119" i="5" a="1"/>
  <c r="E119" i="5" s="1"/>
  <c r="F119" i="5" a="1"/>
  <c r="F119" i="5" s="1"/>
  <c r="G119" i="5" a="1"/>
  <c r="G119" i="5"/>
  <c r="H119" i="5" a="1"/>
  <c r="H119" i="5" s="1"/>
  <c r="I119" i="5" a="1"/>
  <c r="I119" i="5" s="1"/>
  <c r="C120" i="5" a="1"/>
  <c r="C120" i="5"/>
  <c r="D120" i="5" a="1"/>
  <c r="D120" i="5" s="1"/>
  <c r="E120" i="5" a="1"/>
  <c r="E120" i="5" s="1"/>
  <c r="F120" i="5" a="1"/>
  <c r="F120" i="5" s="1"/>
  <c r="G120" i="5" a="1"/>
  <c r="G120" i="5" s="1"/>
  <c r="H120" i="5" a="1"/>
  <c r="H120" i="5" s="1"/>
  <c r="I120" i="5" a="1"/>
  <c r="I120" i="5" s="1"/>
  <c r="C121" i="5" a="1"/>
  <c r="C121" i="5" s="1"/>
  <c r="D121" i="5" a="1"/>
  <c r="D121" i="5" s="1"/>
  <c r="E121" i="5" a="1"/>
  <c r="E121" i="5"/>
  <c r="F121" i="5" a="1"/>
  <c r="F121" i="5" s="1"/>
  <c r="G121" i="5" a="1"/>
  <c r="G121" i="5"/>
  <c r="H121" i="5" a="1"/>
  <c r="H121" i="5" s="1"/>
  <c r="I121" i="5" a="1"/>
  <c r="I121" i="5" s="1"/>
  <c r="C122" i="5" a="1"/>
  <c r="C122" i="5" s="1"/>
  <c r="D122" i="5" a="1"/>
  <c r="D122" i="5" s="1"/>
  <c r="E122" i="5" a="1"/>
  <c r="E122" i="5" s="1"/>
  <c r="F122" i="5" a="1"/>
  <c r="F122" i="5" s="1"/>
  <c r="G122" i="5" a="1"/>
  <c r="G122" i="5" s="1"/>
  <c r="H122" i="5" a="1"/>
  <c r="H122" i="5"/>
  <c r="I122" i="5" a="1"/>
  <c r="I122" i="5"/>
  <c r="C123" i="5" a="1"/>
  <c r="C123" i="5" s="1"/>
  <c r="D123" i="5" a="1"/>
  <c r="D123" i="5" s="1"/>
  <c r="E123" i="5" a="1"/>
  <c r="E123" i="5"/>
  <c r="F123" i="5" a="1"/>
  <c r="F123" i="5" s="1"/>
  <c r="G123" i="5" a="1"/>
  <c r="G123" i="5" s="1"/>
  <c r="H123" i="5" a="1"/>
  <c r="H123" i="5" s="1"/>
  <c r="I123" i="5" a="1"/>
  <c r="I123" i="5" s="1"/>
  <c r="C124" i="5" a="1"/>
  <c r="C124" i="5"/>
  <c r="D124" i="5" a="1"/>
  <c r="D124" i="5"/>
  <c r="E124" i="5" a="1"/>
  <c r="E124" i="5" s="1"/>
  <c r="F124" i="5" a="1"/>
  <c r="F124" i="5" s="1"/>
  <c r="G124" i="5" a="1"/>
  <c r="G124" i="5"/>
  <c r="H124" i="5" a="1"/>
  <c r="H124" i="5" s="1"/>
  <c r="I124" i="5" a="1"/>
  <c r="I124" i="5" s="1"/>
  <c r="C125" i="5" a="1"/>
  <c r="C125" i="5" s="1"/>
  <c r="D125" i="5" a="1"/>
  <c r="D125" i="5" s="1"/>
  <c r="E125" i="5" a="1"/>
  <c r="E125" i="5" s="1"/>
  <c r="F125" i="5" a="1"/>
  <c r="F125" i="5" s="1"/>
  <c r="G125" i="5" a="1"/>
  <c r="G125" i="5" s="1"/>
  <c r="H125" i="5" a="1"/>
  <c r="H125" i="5" s="1"/>
  <c r="I125" i="5" a="1"/>
  <c r="I125" i="5"/>
  <c r="C126" i="5" a="1"/>
  <c r="C126" i="5" s="1"/>
  <c r="D126" i="5" a="1"/>
  <c r="D126" i="5"/>
  <c r="E126" i="5" a="1"/>
  <c r="E126" i="5" s="1"/>
  <c r="F126" i="5" a="1"/>
  <c r="F126" i="5" s="1"/>
  <c r="G126" i="5" a="1"/>
  <c r="G126" i="5" s="1"/>
  <c r="H126" i="5" a="1"/>
  <c r="H126" i="5" s="1"/>
  <c r="I126" i="5" a="1"/>
  <c r="I126" i="5" s="1"/>
  <c r="C127" i="5" a="1"/>
  <c r="C127" i="5" s="1"/>
  <c r="D127" i="5" a="1"/>
  <c r="D127" i="5" s="1"/>
  <c r="E127" i="5" a="1"/>
  <c r="E127" i="5"/>
  <c r="F127" i="5" a="1"/>
  <c r="F127" i="5"/>
  <c r="G127" i="5" a="1"/>
  <c r="G127" i="5" s="1"/>
  <c r="H127" i="5" a="1"/>
  <c r="H127" i="5" s="1"/>
  <c r="I127" i="5" a="1"/>
  <c r="I127" i="5"/>
  <c r="C128" i="5" a="1"/>
  <c r="C128" i="5" s="1"/>
  <c r="D128" i="5" a="1"/>
  <c r="D128" i="5" s="1"/>
  <c r="E128" i="5" a="1"/>
  <c r="E128" i="5" s="1"/>
  <c r="F128" i="5" a="1"/>
  <c r="F128" i="5" s="1"/>
  <c r="G128" i="5" a="1"/>
  <c r="G128" i="5" s="1"/>
  <c r="H128" i="5" a="1"/>
  <c r="H128" i="5"/>
  <c r="I128" i="5" a="1"/>
  <c r="I128" i="5" s="1"/>
  <c r="C129" i="5" a="1"/>
  <c r="C129" i="5" s="1"/>
  <c r="D129" i="5" a="1"/>
  <c r="D129" i="5"/>
  <c r="E129" i="5" a="1"/>
  <c r="E129" i="5" s="1"/>
  <c r="F129" i="5" a="1"/>
  <c r="F129" i="5" s="1"/>
  <c r="G129" i="5" a="1"/>
  <c r="G129" i="5" s="1"/>
  <c r="H129" i="5" a="1"/>
  <c r="H129" i="5" s="1"/>
  <c r="I129" i="5" a="1"/>
  <c r="I129" i="5"/>
  <c r="C130" i="5" a="1"/>
  <c r="C130" i="5" s="1"/>
  <c r="D130" i="5" a="1"/>
  <c r="D130" i="5" s="1"/>
  <c r="E130" i="5" a="1"/>
  <c r="E130" i="5" s="1"/>
  <c r="F130" i="5" a="1"/>
  <c r="F130" i="5"/>
  <c r="G130" i="5" a="1"/>
  <c r="G130" i="5" s="1"/>
  <c r="H130" i="5" a="1"/>
  <c r="H130" i="5"/>
  <c r="I130" i="5" a="1"/>
  <c r="I130" i="5" s="1"/>
  <c r="C131" i="5" a="1"/>
  <c r="C131" i="5" s="1"/>
  <c r="D131" i="5" a="1"/>
  <c r="D131" i="5" s="1"/>
  <c r="E131" i="5" a="1"/>
  <c r="E131" i="5" s="1"/>
  <c r="F131" i="5" a="1"/>
  <c r="F131" i="5" s="1"/>
  <c r="G131" i="5" a="1"/>
  <c r="G131" i="5" s="1"/>
  <c r="H131" i="5" a="1"/>
  <c r="H131" i="5" s="1"/>
  <c r="I131" i="5" a="1"/>
  <c r="I131" i="5"/>
  <c r="C132" i="5" a="1"/>
  <c r="C132" i="5"/>
  <c r="D132" i="5" a="1"/>
  <c r="D132" i="5" s="1"/>
  <c r="E132" i="5" a="1"/>
  <c r="E132" i="5" s="1"/>
  <c r="F132" i="5" a="1"/>
  <c r="F132" i="5"/>
  <c r="G132" i="5" a="1"/>
  <c r="G132" i="5" s="1"/>
  <c r="H132" i="5" a="1"/>
  <c r="H132" i="5" s="1"/>
  <c r="I132" i="5" a="1"/>
  <c r="I132" i="5" s="1"/>
  <c r="C133" i="5" a="1"/>
  <c r="C133" i="5" s="1"/>
  <c r="D133" i="5" a="1"/>
  <c r="D133" i="5"/>
  <c r="E133" i="5" a="1"/>
  <c r="E133" i="5"/>
  <c r="F133" i="5" a="1"/>
  <c r="F133" i="5" s="1"/>
  <c r="G133" i="5" a="1"/>
  <c r="G133" i="5" s="1"/>
  <c r="H133" i="5" a="1"/>
  <c r="H133" i="5"/>
  <c r="I133" i="5" a="1"/>
  <c r="I133" i="5" s="1"/>
  <c r="C134" i="5" a="1"/>
  <c r="C134" i="5" s="1"/>
  <c r="D134" i="5" a="1"/>
  <c r="D134" i="5" s="1"/>
  <c r="E134" i="5" a="1"/>
  <c r="E134" i="5" s="1"/>
  <c r="F134" i="5" a="1"/>
  <c r="F134" i="5"/>
  <c r="G134" i="5" a="1"/>
  <c r="G134" i="5" s="1"/>
  <c r="H134" i="5" a="1"/>
  <c r="H134" i="5" s="1"/>
  <c r="I134" i="5" a="1"/>
  <c r="I134" i="5" s="1"/>
  <c r="C135" i="5" a="1"/>
  <c r="C135" i="5"/>
  <c r="D135" i="5" a="1"/>
  <c r="D135" i="5" s="1"/>
  <c r="E135" i="5" a="1"/>
  <c r="E135" i="5"/>
  <c r="F135" i="5" a="1"/>
  <c r="F135" i="5" s="1"/>
  <c r="G135" i="5" a="1"/>
  <c r="G135" i="5" s="1"/>
  <c r="H135" i="5" a="1"/>
  <c r="H135" i="5" s="1"/>
  <c r="I135" i="5" a="1"/>
  <c r="I135" i="5" s="1"/>
  <c r="C136" i="5" a="1"/>
  <c r="C136" i="5" s="1"/>
  <c r="D136" i="5" a="1"/>
  <c r="D136" i="5" s="1"/>
  <c r="E136" i="5" a="1"/>
  <c r="E136" i="5" s="1"/>
  <c r="F136" i="5" a="1"/>
  <c r="F136" i="5" s="1"/>
  <c r="G136" i="5" a="1"/>
  <c r="G136" i="5"/>
  <c r="H136" i="5" a="1"/>
  <c r="H136" i="5" s="1"/>
  <c r="I136" i="5" a="1"/>
  <c r="I136" i="5" s="1"/>
  <c r="C137" i="5" a="1"/>
  <c r="C137" i="5"/>
  <c r="D137" i="5" a="1"/>
  <c r="D137" i="5" s="1"/>
  <c r="E137" i="5" a="1"/>
  <c r="E137" i="5" s="1"/>
  <c r="F137" i="5" a="1"/>
  <c r="F137" i="5" s="1"/>
  <c r="G137" i="5" a="1"/>
  <c r="G137" i="5" s="1"/>
  <c r="H137" i="5" a="1"/>
  <c r="H137" i="5" s="1"/>
  <c r="I137" i="5" a="1"/>
  <c r="I137" i="5"/>
  <c r="C138" i="5" a="1"/>
  <c r="C138" i="5" s="1"/>
  <c r="D138" i="5" a="1"/>
  <c r="D138" i="5" s="1"/>
  <c r="E138" i="5" a="1"/>
  <c r="E138" i="5"/>
  <c r="F138" i="5" a="1"/>
  <c r="F138" i="5" s="1"/>
  <c r="G138" i="5" a="1"/>
  <c r="G138" i="5" s="1"/>
  <c r="H138" i="5" a="1"/>
  <c r="H138" i="5" s="1"/>
  <c r="I138" i="5" a="1"/>
  <c r="I138" i="5" s="1"/>
  <c r="C139" i="5" a="1"/>
  <c r="C139" i="5" s="1"/>
  <c r="D139" i="5" a="1"/>
  <c r="D139" i="5" s="1"/>
  <c r="E139" i="5" a="1"/>
  <c r="E139" i="5" s="1"/>
  <c r="F139" i="5" a="1"/>
  <c r="F139" i="5" s="1"/>
  <c r="G139" i="5" a="1"/>
  <c r="G139" i="5"/>
  <c r="H139" i="5" a="1"/>
  <c r="H139" i="5" s="1"/>
  <c r="I139" i="5" a="1"/>
  <c r="I139" i="5"/>
  <c r="C140" i="5" a="1"/>
  <c r="C140" i="5" s="1"/>
  <c r="D140" i="5" a="1"/>
  <c r="D140" i="5" s="1"/>
  <c r="E140" i="5" a="1"/>
  <c r="E140" i="5" s="1"/>
  <c r="F140" i="5" a="1"/>
  <c r="F140" i="5" s="1"/>
  <c r="G140" i="5" a="1"/>
  <c r="G140" i="5" s="1"/>
  <c r="H140" i="5" a="1"/>
  <c r="H140" i="5" s="1"/>
  <c r="I140" i="5" a="1"/>
  <c r="I140" i="5" s="1"/>
  <c r="C141" i="5" a="1"/>
  <c r="C141" i="5"/>
  <c r="D141" i="5" a="1"/>
  <c r="D141" i="5"/>
  <c r="E141" i="5" a="1"/>
  <c r="E141" i="5" s="1"/>
  <c r="F141" i="5" a="1"/>
  <c r="F141" i="5" s="1"/>
  <c r="G141" i="5" a="1"/>
  <c r="G141" i="5"/>
  <c r="H141" i="5" a="1"/>
  <c r="H141" i="5" s="1"/>
  <c r="I141" i="5" a="1"/>
  <c r="I141" i="5" s="1"/>
  <c r="C142" i="5" a="1"/>
  <c r="C142" i="5" s="1"/>
  <c r="D142" i="5" a="1"/>
  <c r="D142" i="5" s="1"/>
  <c r="E142" i="5" a="1"/>
  <c r="E142" i="5" s="1"/>
  <c r="F142" i="5" a="1"/>
  <c r="F142" i="5"/>
  <c r="G142" i="5" a="1"/>
  <c r="G142" i="5" s="1"/>
  <c r="H142" i="5" a="1"/>
  <c r="H142" i="5" s="1"/>
  <c r="I142" i="5" a="1"/>
  <c r="I142" i="5"/>
  <c r="C143" i="5" a="1"/>
  <c r="C143" i="5" s="1"/>
  <c r="D143" i="5" a="1"/>
  <c r="D143" i="5" s="1"/>
  <c r="E143" i="5" a="1"/>
  <c r="E143" i="5" s="1"/>
  <c r="F143" i="5" a="1"/>
  <c r="F143" i="5" s="1"/>
  <c r="G143" i="5" a="1"/>
  <c r="G143" i="5"/>
  <c r="H143" i="5" a="1"/>
  <c r="H143" i="5" s="1"/>
  <c r="I143" i="5" a="1"/>
  <c r="I143" i="5" s="1"/>
  <c r="C144" i="5" a="1"/>
  <c r="C144" i="5" s="1"/>
  <c r="D144" i="5" a="1"/>
  <c r="D144" i="5"/>
  <c r="E144" i="5" a="1"/>
  <c r="E144" i="5" s="1"/>
  <c r="F144" i="5" a="1"/>
  <c r="F144" i="5"/>
  <c r="G144" i="5" a="1"/>
  <c r="G144" i="5" s="1"/>
  <c r="H144" i="5" a="1"/>
  <c r="H144" i="5" s="1"/>
  <c r="I144" i="5" a="1"/>
  <c r="I144" i="5" s="1"/>
  <c r="C145" i="5" a="1"/>
  <c r="C145" i="5" s="1"/>
  <c r="D145" i="5" a="1"/>
  <c r="D145" i="5" s="1"/>
  <c r="E145" i="5" a="1"/>
  <c r="E145" i="5" s="1"/>
  <c r="F145" i="5" a="1"/>
  <c r="F145" i="5" s="1"/>
  <c r="G145" i="5" a="1"/>
  <c r="G145" i="5" s="1"/>
  <c r="H145" i="5" a="1"/>
  <c r="H145" i="5"/>
  <c r="I145" i="5" a="1"/>
  <c r="I145" i="5" s="1"/>
  <c r="C146" i="5" a="1"/>
  <c r="C146" i="5" s="1"/>
  <c r="D146" i="5" a="1"/>
  <c r="D146" i="5"/>
  <c r="E146" i="5" a="1"/>
  <c r="E146" i="5" s="1"/>
  <c r="F146" i="5" a="1"/>
  <c r="F146" i="5" s="1"/>
  <c r="G146" i="5" a="1"/>
  <c r="G146" i="5" s="1"/>
  <c r="H146" i="5" a="1"/>
  <c r="H146" i="5" s="1"/>
  <c r="I146" i="5" a="1"/>
  <c r="I146" i="5"/>
  <c r="C147" i="5" a="1"/>
  <c r="C147" i="5"/>
  <c r="D147" i="5" a="1"/>
  <c r="D147" i="5" s="1"/>
  <c r="E147" i="5" a="1"/>
  <c r="E147" i="5" s="1"/>
  <c r="F147" i="5" a="1"/>
  <c r="F147" i="5"/>
  <c r="G147" i="5" a="1"/>
  <c r="G147" i="5" s="1"/>
  <c r="H147" i="5" a="1"/>
  <c r="H147" i="5" s="1"/>
  <c r="I147" i="5" a="1"/>
  <c r="I147" i="5" s="1"/>
  <c r="C148" i="5" a="1"/>
  <c r="C148" i="5" s="1"/>
  <c r="D148" i="5" a="1"/>
  <c r="D148" i="5" s="1"/>
  <c r="E148" i="5" a="1"/>
  <c r="E148" i="5" s="1"/>
  <c r="F148" i="5" a="1"/>
  <c r="F148" i="5" s="1"/>
  <c r="G148" i="5" a="1"/>
  <c r="G148" i="5" s="1"/>
  <c r="H148" i="5" a="1"/>
  <c r="H148" i="5"/>
  <c r="I148" i="5" a="1"/>
  <c r="I148" i="5" s="1"/>
  <c r="C149" i="5" a="1"/>
  <c r="C149" i="5"/>
  <c r="D149" i="5" a="1"/>
  <c r="D149" i="5" s="1"/>
  <c r="E149" i="5" a="1"/>
  <c r="E149" i="5" s="1"/>
  <c r="F149" i="5" a="1"/>
  <c r="F149" i="5" s="1"/>
  <c r="G149" i="5" a="1"/>
  <c r="G149" i="5" s="1"/>
  <c r="H149" i="5" a="1"/>
  <c r="H149" i="5" s="1"/>
  <c r="I149" i="5" a="1"/>
  <c r="I149" i="5" s="1"/>
  <c r="C150" i="5" a="1"/>
  <c r="C150" i="5" s="1"/>
  <c r="D150" i="5" a="1"/>
  <c r="D150" i="5" s="1"/>
  <c r="E150" i="5" a="1"/>
  <c r="E150" i="5"/>
  <c r="F150" i="5" a="1"/>
  <c r="F150" i="5" s="1"/>
  <c r="G150" i="5" a="1"/>
  <c r="G150" i="5" s="1"/>
  <c r="H150" i="5" a="1"/>
  <c r="H150" i="5"/>
  <c r="I150" i="5" a="1"/>
  <c r="I150" i="5" s="1"/>
  <c r="C151" i="5" a="1"/>
  <c r="C151" i="5" s="1"/>
  <c r="D151" i="5" a="1"/>
  <c r="D151" i="5" s="1"/>
  <c r="E151" i="5" a="1"/>
  <c r="E151" i="5" s="1"/>
  <c r="F151" i="5" a="1"/>
  <c r="F151" i="5"/>
  <c r="G151" i="5" a="1"/>
  <c r="G151" i="5"/>
  <c r="H151" i="5" a="1"/>
  <c r="H151" i="5" s="1"/>
  <c r="I151" i="5" a="1"/>
  <c r="I151" i="5" s="1"/>
  <c r="C152" i="5" a="1"/>
  <c r="C152" i="5"/>
  <c r="D152" i="5" a="1"/>
  <c r="D152" i="5" s="1"/>
  <c r="E152" i="5" a="1"/>
  <c r="E152" i="5" s="1"/>
  <c r="F152" i="5" a="1"/>
  <c r="F152" i="5" s="1"/>
  <c r="G152" i="5" a="1"/>
  <c r="G152" i="5" s="1"/>
  <c r="H152" i="5" a="1"/>
  <c r="H152" i="5" s="1"/>
  <c r="I152" i="5" a="1"/>
  <c r="I152" i="5" s="1"/>
  <c r="C153" i="5" a="1"/>
  <c r="C153" i="5" s="1"/>
  <c r="D153" i="5" a="1"/>
  <c r="D153" i="5" s="1"/>
  <c r="E153" i="5" a="1"/>
  <c r="E153" i="5"/>
  <c r="F153" i="5" a="1"/>
  <c r="F153" i="5" s="1"/>
  <c r="G153" i="5" a="1"/>
  <c r="G153" i="5"/>
  <c r="H153" i="5" a="1"/>
  <c r="H153" i="5" s="1"/>
  <c r="I153" i="5" a="1"/>
  <c r="I153" i="5" s="1"/>
  <c r="C154" i="5" a="1"/>
  <c r="C154" i="5" s="1"/>
  <c r="D154" i="5" a="1"/>
  <c r="D154" i="5" s="1"/>
  <c r="E154" i="5" a="1"/>
  <c r="E154" i="5" s="1"/>
  <c r="F154" i="5" a="1"/>
  <c r="F154" i="5" s="1"/>
  <c r="G154" i="5" a="1"/>
  <c r="G154" i="5" s="1"/>
  <c r="H154" i="5" a="1"/>
  <c r="H154" i="5"/>
  <c r="I154" i="5" a="1"/>
  <c r="I154" i="5"/>
  <c r="C155" i="5" a="1"/>
  <c r="C155" i="5" s="1"/>
  <c r="D155" i="5" a="1"/>
  <c r="D155" i="5" s="1"/>
  <c r="E155" i="5" a="1"/>
  <c r="E155" i="5"/>
  <c r="F155" i="5" a="1"/>
  <c r="F155" i="5" s="1"/>
  <c r="G155" i="5" a="1"/>
  <c r="G155" i="5" s="1"/>
  <c r="H155" i="5" a="1"/>
  <c r="H155" i="5" s="1"/>
  <c r="I155" i="5" a="1"/>
  <c r="I155" i="5" s="1"/>
  <c r="C156" i="5" a="1"/>
  <c r="C156" i="5" s="1"/>
  <c r="D156" i="5" a="1"/>
  <c r="D156" i="5"/>
  <c r="E156" i="5" a="1"/>
  <c r="E156" i="5" s="1"/>
  <c r="F156" i="5" a="1"/>
  <c r="F156" i="5" s="1"/>
  <c r="G156" i="5" a="1"/>
  <c r="G156" i="5"/>
  <c r="H156" i="5" a="1"/>
  <c r="H156" i="5" s="1"/>
  <c r="I156" i="5" a="1"/>
  <c r="I156" i="5" s="1"/>
  <c r="C157" i="5" a="1"/>
  <c r="C157" i="5" s="1"/>
  <c r="D157" i="5" a="1"/>
  <c r="D157" i="5" s="1"/>
  <c r="E157" i="5" a="1"/>
  <c r="E157" i="5" s="1"/>
  <c r="F157" i="5" a="1"/>
  <c r="F157" i="5" s="1"/>
  <c r="G157" i="5" a="1"/>
  <c r="G157" i="5" s="1"/>
  <c r="H157" i="5" a="1"/>
  <c r="H157" i="5" s="1"/>
  <c r="I157" i="5" a="1"/>
  <c r="I157" i="5"/>
  <c r="C158" i="5" a="1"/>
  <c r="C158" i="5" s="1"/>
  <c r="D158" i="5" a="1"/>
  <c r="D158" i="5"/>
  <c r="E158" i="5" a="1"/>
  <c r="E158" i="5" s="1"/>
  <c r="F158" i="5" a="1"/>
  <c r="F158" i="5" s="1"/>
  <c r="G158" i="5" a="1"/>
  <c r="G158" i="5" s="1"/>
  <c r="H158" i="5" a="1"/>
  <c r="H158" i="5" s="1"/>
  <c r="I158" i="5" a="1"/>
  <c r="I158" i="5" s="1"/>
  <c r="C159" i="5" a="1"/>
  <c r="C159" i="5" s="1"/>
  <c r="D159" i="5" a="1"/>
  <c r="D159" i="5" s="1"/>
  <c r="E159" i="5" a="1"/>
  <c r="E159" i="5"/>
  <c r="F159" i="5" a="1"/>
  <c r="F159" i="5"/>
  <c r="G159" i="5" a="1"/>
  <c r="G159" i="5" s="1"/>
  <c r="H159" i="5" a="1"/>
  <c r="H159" i="5" s="1"/>
  <c r="I159" i="5" a="1"/>
  <c r="I159" i="5"/>
  <c r="C160" i="5" a="1"/>
  <c r="C160" i="5" s="1"/>
  <c r="D160" i="5" a="1"/>
  <c r="D160" i="5" s="1"/>
  <c r="E160" i="5" a="1"/>
  <c r="E160" i="5" s="1"/>
  <c r="F160" i="5" a="1"/>
  <c r="F160" i="5" s="1"/>
  <c r="G160" i="5" a="1"/>
  <c r="G160" i="5"/>
  <c r="H160" i="5" a="1"/>
  <c r="H160" i="5"/>
  <c r="I160" i="5" a="1"/>
  <c r="I160" i="5" s="1"/>
  <c r="C161" i="5" a="1"/>
  <c r="C161" i="5" s="1"/>
  <c r="D161" i="5" a="1"/>
  <c r="D161" i="5"/>
  <c r="E161" i="5" a="1"/>
  <c r="E161" i="5" s="1"/>
  <c r="F161" i="5" a="1"/>
  <c r="F161" i="5" s="1"/>
  <c r="G161" i="5" a="1"/>
  <c r="G161" i="5" s="1"/>
  <c r="H161" i="5" a="1"/>
  <c r="H161" i="5" s="1"/>
  <c r="I161" i="5" a="1"/>
  <c r="I161" i="5" s="1"/>
  <c r="C162" i="5" a="1"/>
  <c r="C162" i="5" s="1"/>
  <c r="D162" i="5" a="1"/>
  <c r="D162" i="5" s="1"/>
  <c r="E162" i="5" a="1"/>
  <c r="E162" i="5" s="1"/>
  <c r="F162" i="5" a="1"/>
  <c r="F162" i="5"/>
  <c r="G162" i="5" a="1"/>
  <c r="G162" i="5" s="1"/>
  <c r="H162" i="5" a="1"/>
  <c r="H162" i="5"/>
  <c r="I162" i="5" a="1"/>
  <c r="I162" i="5" s="1"/>
  <c r="C163" i="5" a="1"/>
  <c r="C163" i="5" s="1"/>
  <c r="D163" i="5" a="1"/>
  <c r="D163" i="5" s="1"/>
  <c r="E163" i="5" a="1"/>
  <c r="E163" i="5" s="1"/>
  <c r="F163" i="5" a="1"/>
  <c r="F163" i="5" s="1"/>
  <c r="G163" i="5" a="1"/>
  <c r="G163" i="5" s="1"/>
  <c r="H163" i="5" a="1"/>
  <c r="H163" i="5" s="1"/>
  <c r="I163" i="5" a="1"/>
  <c r="I163" i="5"/>
  <c r="C164" i="5" a="1"/>
  <c r="C164" i="5"/>
  <c r="D164" i="5" a="1"/>
  <c r="D164" i="5" s="1"/>
  <c r="E164" i="5" a="1"/>
  <c r="E164" i="5" s="1"/>
  <c r="F164" i="5" a="1"/>
  <c r="F164" i="5"/>
  <c r="G164" i="5" a="1"/>
  <c r="G164" i="5" s="1"/>
  <c r="H164" i="5" a="1"/>
  <c r="H164" i="5" s="1"/>
  <c r="I164" i="5" a="1"/>
  <c r="I164" i="5" s="1"/>
  <c r="C165" i="5" a="1"/>
  <c r="C165" i="5" s="1"/>
  <c r="D165" i="5" a="1"/>
  <c r="D165" i="5" s="1"/>
  <c r="E165" i="5" a="1"/>
  <c r="E165" i="5"/>
  <c r="F165" i="5" a="1"/>
  <c r="F165" i="5" s="1"/>
  <c r="G165" i="5" a="1"/>
  <c r="G165" i="5" s="1"/>
  <c r="H165" i="5" a="1"/>
  <c r="H165" i="5"/>
  <c r="I165" i="5" a="1"/>
  <c r="I165" i="5" s="1"/>
  <c r="C166" i="5" a="1"/>
  <c r="C166" i="5" s="1"/>
  <c r="D166" i="5" a="1"/>
  <c r="D166" i="5" s="1"/>
  <c r="E166" i="5" a="1"/>
  <c r="E166" i="5" s="1"/>
  <c r="F166" i="5" a="1"/>
  <c r="F166" i="5"/>
  <c r="G166" i="5" a="1"/>
  <c r="G166" i="5" s="1"/>
  <c r="H166" i="5" a="1"/>
  <c r="H166" i="5" s="1"/>
  <c r="I166" i="5" a="1"/>
  <c r="I166" i="5" s="1"/>
  <c r="C167" i="5" a="1"/>
  <c r="C167" i="5"/>
  <c r="D167" i="5" a="1"/>
  <c r="D167" i="5" s="1"/>
  <c r="E167" i="5" a="1"/>
  <c r="E167" i="5"/>
  <c r="F167" i="5" a="1"/>
  <c r="F167" i="5" s="1"/>
  <c r="G167" i="5" a="1"/>
  <c r="G167" i="5" s="1"/>
  <c r="H167" i="5" a="1"/>
  <c r="H167" i="5" s="1"/>
  <c r="I167" i="5" a="1"/>
  <c r="I167" i="5" s="1"/>
  <c r="C168" i="5" a="1"/>
  <c r="C168" i="5" s="1"/>
  <c r="D168" i="5" a="1"/>
  <c r="D168" i="5" s="1"/>
  <c r="E168" i="5" a="1"/>
  <c r="E168" i="5" s="1"/>
  <c r="F168" i="5" a="1"/>
  <c r="F168" i="5"/>
  <c r="G168" i="5" a="1"/>
  <c r="G168" i="5"/>
  <c r="H168" i="5" a="1"/>
  <c r="H168" i="5" s="1"/>
  <c r="I168" i="5" a="1"/>
  <c r="I168" i="5" s="1"/>
  <c r="C169" i="5" a="1"/>
  <c r="C169" i="5"/>
  <c r="D169" i="5" a="1"/>
  <c r="D169" i="5" s="1"/>
  <c r="E169" i="5" a="1"/>
  <c r="E169" i="5" s="1"/>
  <c r="F169" i="5" a="1"/>
  <c r="F169" i="5" s="1"/>
  <c r="G169" i="5" a="1"/>
  <c r="G169" i="5" s="1"/>
  <c r="H169" i="5" a="1"/>
  <c r="H169" i="5" s="1"/>
  <c r="I169" i="5" a="1"/>
  <c r="I169" i="5"/>
  <c r="C170" i="5" a="1"/>
  <c r="C170" i="5" s="1"/>
  <c r="D170" i="5" a="1"/>
  <c r="D170" i="5" s="1"/>
  <c r="E170" i="5" a="1"/>
  <c r="E170" i="5"/>
  <c r="F170" i="5" a="1"/>
  <c r="F170" i="5" s="1"/>
  <c r="G170" i="5" a="1"/>
  <c r="G170" i="5" s="1"/>
  <c r="H170" i="5" a="1"/>
  <c r="H170" i="5" s="1"/>
  <c r="I170" i="5" a="1"/>
  <c r="I170" i="5" s="1"/>
  <c r="C171" i="5" a="1"/>
  <c r="C171" i="5"/>
  <c r="D171" i="5" a="1"/>
  <c r="D171" i="5" s="1"/>
  <c r="E171" i="5" a="1"/>
  <c r="E171" i="5" s="1"/>
  <c r="F171" i="5" a="1"/>
  <c r="F171" i="5" s="1"/>
  <c r="G171" i="5" a="1"/>
  <c r="G171" i="5"/>
  <c r="H171" i="5" a="1"/>
  <c r="H171" i="5" s="1"/>
  <c r="I171" i="5" a="1"/>
  <c r="I171" i="5"/>
  <c r="C172" i="5" a="1"/>
  <c r="C172" i="5" s="1"/>
  <c r="D172" i="5" a="1"/>
  <c r="D172" i="5" s="1"/>
  <c r="E172" i="5" a="1"/>
  <c r="E172" i="5" s="1"/>
  <c r="F172" i="5" a="1"/>
  <c r="F172" i="5" s="1"/>
  <c r="G172" i="5" a="1"/>
  <c r="G172" i="5"/>
  <c r="H172" i="5" a="1"/>
  <c r="H172" i="5" s="1"/>
  <c r="I172" i="5" a="1"/>
  <c r="I172" i="5" s="1"/>
  <c r="C173" i="5" a="1"/>
  <c r="C173" i="5" s="1"/>
  <c r="D173" i="5" a="1"/>
  <c r="D173" i="5"/>
  <c r="E173" i="5" a="1"/>
  <c r="E173" i="5"/>
  <c r="F173" i="5" a="1"/>
  <c r="F173" i="5" s="1"/>
  <c r="G173" i="5" a="1"/>
  <c r="G173" i="5"/>
  <c r="H173" i="5" a="1"/>
  <c r="H173" i="5" s="1"/>
  <c r="I173" i="5" a="1"/>
  <c r="I173" i="5"/>
  <c r="C174" i="5" a="1"/>
  <c r="C174" i="5" s="1"/>
  <c r="D174" i="5" a="1"/>
  <c r="D174" i="5" s="1"/>
  <c r="E174" i="5" a="1"/>
  <c r="E174" i="5" s="1"/>
  <c r="F174" i="5" a="1"/>
  <c r="F174" i="5"/>
  <c r="G174" i="5" a="1"/>
  <c r="G174" i="5" s="1"/>
  <c r="H174" i="5" a="1"/>
  <c r="H174" i="5" s="1"/>
  <c r="I174" i="5" a="1"/>
  <c r="I174" i="5"/>
  <c r="C175" i="5" a="1"/>
  <c r="C175" i="5" s="1"/>
  <c r="D175" i="5" a="1"/>
  <c r="D175" i="5" s="1"/>
  <c r="E175" i="5" a="1"/>
  <c r="E175" i="5" s="1"/>
  <c r="F175" i="5" a="1"/>
  <c r="F175" i="5" s="1"/>
  <c r="G175" i="5" a="1"/>
  <c r="G175" i="5" s="1"/>
  <c r="H175" i="5" a="1"/>
  <c r="H175" i="5" s="1"/>
  <c r="I175" i="5" a="1"/>
  <c r="I175" i="5" s="1"/>
  <c r="C176" i="5" a="1"/>
  <c r="C176" i="5" s="1"/>
  <c r="D176" i="5" a="1"/>
  <c r="D176" i="5"/>
  <c r="E176" i="5" a="1"/>
  <c r="E176" i="5" s="1"/>
  <c r="F176" i="5" a="1"/>
  <c r="F176" i="5"/>
  <c r="G176" i="5" a="1"/>
  <c r="G176" i="5" s="1"/>
  <c r="H176" i="5" a="1"/>
  <c r="H176" i="5" s="1"/>
  <c r="I176" i="5" a="1"/>
  <c r="I176" i="5" s="1"/>
  <c r="C177" i="5" a="1"/>
  <c r="C177" i="5" s="1"/>
  <c r="D177" i="5" a="1"/>
  <c r="D177" i="5" s="1"/>
  <c r="E177" i="5" a="1"/>
  <c r="E177" i="5" s="1"/>
  <c r="F177" i="5" a="1"/>
  <c r="F177" i="5" s="1"/>
  <c r="G177" i="5" a="1"/>
  <c r="G177" i="5"/>
  <c r="H177" i="5" a="1"/>
  <c r="H177" i="5"/>
  <c r="I177" i="5" a="1"/>
  <c r="I177" i="5" s="1"/>
  <c r="C178" i="5" a="1"/>
  <c r="C178" i="5" s="1"/>
  <c r="D178" i="5" a="1"/>
  <c r="D178" i="5"/>
  <c r="E178" i="5" a="1"/>
  <c r="E178" i="5" s="1"/>
  <c r="F178" i="5" a="1"/>
  <c r="F178" i="5" s="1"/>
  <c r="G178" i="5" a="1"/>
  <c r="G178" i="5" s="1"/>
  <c r="H178" i="5" a="1"/>
  <c r="H178" i="5" s="1"/>
  <c r="I178" i="5" a="1"/>
  <c r="I178" i="5"/>
  <c r="C179" i="5" a="1"/>
  <c r="C179" i="5"/>
  <c r="D179" i="5" a="1"/>
  <c r="D179" i="5" s="1"/>
  <c r="E179" i="5" a="1"/>
  <c r="E179" i="5"/>
  <c r="F179" i="5" a="1"/>
  <c r="F179" i="5"/>
  <c r="G179" i="5" a="1"/>
  <c r="G179" i="5" s="1"/>
  <c r="H179" i="5" a="1"/>
  <c r="H179" i="5"/>
  <c r="I179" i="5" a="1"/>
  <c r="I179" i="5" s="1"/>
  <c r="C180" i="5" a="1"/>
  <c r="C180" i="5"/>
  <c r="D180" i="5" a="1"/>
  <c r="D180" i="5" s="1"/>
  <c r="E180" i="5" a="1"/>
  <c r="E180" i="5" s="1"/>
  <c r="F180" i="5" a="1"/>
  <c r="F180" i="5" s="1"/>
  <c r="G180" i="5" a="1"/>
  <c r="G180" i="5"/>
  <c r="H180" i="5" a="1"/>
  <c r="H180" i="5" s="1"/>
  <c r="I180" i="5" a="1"/>
  <c r="I180" i="5"/>
  <c r="C181" i="5" a="1"/>
  <c r="C181" i="5"/>
  <c r="D181" i="5" a="1"/>
  <c r="D181" i="5"/>
  <c r="E181" i="5" a="1"/>
  <c r="E181" i="5" s="1"/>
  <c r="F181" i="5" a="1"/>
  <c r="F181" i="5"/>
  <c r="G181" i="5" a="1"/>
  <c r="G181" i="5" s="1"/>
  <c r="H181" i="5" a="1"/>
  <c r="H181" i="5" s="1"/>
  <c r="I181" i="5" a="1"/>
  <c r="I181" i="5" s="1"/>
  <c r="C182" i="5" a="1"/>
  <c r="C182" i="5" s="1"/>
  <c r="D182" i="5" a="1"/>
  <c r="D182" i="5"/>
  <c r="E182" i="5" a="1"/>
  <c r="E182" i="5"/>
  <c r="F182" i="5" a="1"/>
  <c r="F182" i="5" s="1"/>
  <c r="G182" i="5" a="1"/>
  <c r="G182" i="5"/>
  <c r="H182" i="5" a="1"/>
  <c r="H182" i="5"/>
  <c r="I182" i="5" a="1"/>
  <c r="I182" i="5" s="1"/>
  <c r="C183" i="5" a="1"/>
  <c r="C183" i="5" s="1"/>
  <c r="D183" i="5" a="1"/>
  <c r="D183" i="5" s="1"/>
  <c r="E183" i="5" a="1"/>
  <c r="E183" i="5" s="1"/>
  <c r="F183" i="5" a="1"/>
  <c r="F183" i="5"/>
  <c r="G183" i="5" a="1"/>
  <c r="G183" i="5" s="1"/>
  <c r="H183" i="5" a="1"/>
  <c r="H183" i="5" s="1"/>
  <c r="I183" i="5" a="1"/>
  <c r="I183" i="5"/>
  <c r="C184" i="5" a="1"/>
  <c r="C184" i="5"/>
  <c r="D184" i="5" a="1"/>
  <c r="D184" i="5" s="1"/>
  <c r="E184" i="5" a="1"/>
  <c r="E184" i="5"/>
  <c r="F184" i="5" a="1"/>
  <c r="F184" i="5" s="1"/>
  <c r="G184" i="5" a="1"/>
  <c r="G184" i="5" s="1"/>
  <c r="H184" i="5" a="1"/>
  <c r="H184" i="5" s="1"/>
  <c r="I184" i="5" a="1"/>
  <c r="I184" i="5" s="1"/>
  <c r="C185" i="5" a="1"/>
  <c r="C185" i="5" s="1"/>
  <c r="D185" i="5" a="1"/>
  <c r="D185" i="5"/>
  <c r="E185" i="5" a="1"/>
  <c r="E185" i="5" s="1"/>
  <c r="F185" i="5" a="1"/>
  <c r="F185" i="5"/>
  <c r="G185" i="5" a="1"/>
  <c r="G185" i="5"/>
  <c r="H185" i="5" a="1"/>
  <c r="H185" i="5" s="1"/>
  <c r="I185" i="5" a="1"/>
  <c r="I185" i="5" s="1"/>
  <c r="C186" i="5" a="1"/>
  <c r="C186" i="5"/>
  <c r="D186" i="5" a="1"/>
  <c r="D186" i="5" s="1"/>
  <c r="E186" i="5" a="1"/>
  <c r="E186" i="5" s="1"/>
  <c r="F186" i="5" a="1"/>
  <c r="F186" i="5" s="1"/>
  <c r="G186" i="5" a="1"/>
  <c r="G186" i="5" s="1"/>
  <c r="H186" i="5" a="1"/>
  <c r="H186" i="5" s="1"/>
  <c r="I186" i="5" a="1"/>
  <c r="I186" i="5"/>
  <c r="C187" i="5" a="1"/>
  <c r="C187" i="5" s="1"/>
  <c r="D187" i="5" a="1"/>
  <c r="D187" i="5"/>
  <c r="E187" i="5" a="1"/>
  <c r="E187" i="5"/>
  <c r="F187" i="5" a="1"/>
  <c r="F187" i="5" s="1"/>
  <c r="G187" i="5" a="1"/>
  <c r="G187" i="5" s="1"/>
  <c r="H187" i="5" a="1"/>
  <c r="H187" i="5" s="1"/>
  <c r="I187" i="5" a="1"/>
  <c r="I187" i="5" s="1"/>
  <c r="C188" i="5" a="1"/>
  <c r="C188" i="5" s="1"/>
  <c r="D188" i="5" a="1"/>
  <c r="D188" i="5" s="1"/>
  <c r="E188" i="5" a="1"/>
  <c r="E188" i="5" s="1"/>
  <c r="F188" i="5" a="1"/>
  <c r="F188" i="5"/>
  <c r="G188" i="5" a="1"/>
  <c r="G188" i="5"/>
  <c r="H188" i="5" a="1"/>
  <c r="H188" i="5" s="1"/>
  <c r="I188" i="5" a="1"/>
  <c r="I188" i="5"/>
  <c r="C189" i="5" a="1"/>
  <c r="C189" i="5" s="1"/>
  <c r="D189" i="5" a="1"/>
  <c r="D189" i="5" s="1"/>
  <c r="E189" i="5" a="1"/>
  <c r="E189" i="5" s="1"/>
  <c r="F189" i="5" a="1"/>
  <c r="F189" i="5" s="1"/>
  <c r="G189" i="5" a="1"/>
  <c r="G189" i="5" s="1"/>
  <c r="H189" i="5" a="1"/>
  <c r="H189" i="5"/>
  <c r="I189" i="5" a="1"/>
  <c r="I189" i="5" s="1"/>
  <c r="C190" i="5" a="1"/>
  <c r="C190" i="5" s="1"/>
  <c r="D190" i="5" a="1"/>
  <c r="D190" i="5"/>
  <c r="E190" i="5" a="1"/>
  <c r="E190" i="5" s="1"/>
  <c r="F190" i="5" a="1"/>
  <c r="F190" i="5" s="1"/>
  <c r="G190" i="5" a="1"/>
  <c r="G190" i="5"/>
  <c r="H190" i="5" a="1"/>
  <c r="H190" i="5" s="1"/>
  <c r="I190" i="5" a="1"/>
  <c r="I190" i="5" s="1"/>
  <c r="C191" i="5" a="1"/>
  <c r="C191" i="5" s="1"/>
  <c r="D191" i="5" a="1"/>
  <c r="D191" i="5" s="1"/>
  <c r="E191" i="5" a="1"/>
  <c r="E191" i="5"/>
  <c r="F191" i="5" a="1"/>
  <c r="F191" i="5"/>
  <c r="G191" i="5" a="1"/>
  <c r="G191" i="5" s="1"/>
  <c r="H191" i="5" a="1"/>
  <c r="H191" i="5"/>
  <c r="I191" i="5" a="1"/>
  <c r="I191" i="5"/>
  <c r="C192" i="5" a="1"/>
  <c r="C192" i="5" s="1"/>
  <c r="D192" i="5" a="1"/>
  <c r="D192" i="5" s="1"/>
  <c r="E192" i="5" a="1"/>
  <c r="E192" i="5" s="1"/>
  <c r="F192" i="5" a="1"/>
  <c r="F192" i="5" s="1"/>
  <c r="G192" i="5" a="1"/>
  <c r="G192" i="5"/>
  <c r="H192" i="5" a="1"/>
  <c r="H192" i="5" s="1"/>
  <c r="I192" i="5" a="1"/>
  <c r="I192" i="5" s="1"/>
  <c r="C193" i="5" a="1"/>
  <c r="C193" i="5"/>
  <c r="D193" i="5" a="1"/>
  <c r="D193" i="5"/>
  <c r="E193" i="5" a="1"/>
  <c r="E193" i="5" s="1"/>
  <c r="F193" i="5" a="1"/>
  <c r="F193" i="5"/>
  <c r="G193" i="5" a="1"/>
  <c r="G193" i="5" s="1"/>
  <c r="H193" i="5" a="1"/>
  <c r="H193" i="5" s="1"/>
  <c r="I193" i="5" a="1"/>
  <c r="I193" i="5" s="1"/>
  <c r="C194" i="5" a="1"/>
  <c r="C194" i="5" s="1"/>
  <c r="D194" i="5" a="1"/>
  <c r="D194" i="5" s="1"/>
  <c r="E194" i="5" a="1"/>
  <c r="E194" i="5"/>
  <c r="F194" i="5" a="1"/>
  <c r="F194" i="5" s="1"/>
  <c r="G194" i="5" a="1"/>
  <c r="G194" i="5"/>
  <c r="H194" i="5" a="1"/>
  <c r="H194" i="5"/>
  <c r="I194" i="5" a="1"/>
  <c r="I194" i="5" s="1"/>
  <c r="C195" i="5" a="1"/>
  <c r="C195" i="5" s="1"/>
  <c r="D195" i="5" a="1"/>
  <c r="D195" i="5"/>
  <c r="E195" i="5" a="1"/>
  <c r="E195" i="5" s="1"/>
  <c r="F195" i="5" a="1"/>
  <c r="F195" i="5" s="1"/>
  <c r="G195" i="5" a="1"/>
  <c r="G195" i="5" s="1"/>
  <c r="H195" i="5" a="1"/>
  <c r="H195" i="5" s="1"/>
  <c r="I195" i="5" a="1"/>
  <c r="I195" i="5" s="1"/>
  <c r="C196" i="5" a="1"/>
  <c r="C196" i="5"/>
  <c r="D196" i="5" a="1"/>
  <c r="D196" i="5" s="1"/>
  <c r="E196" i="5" a="1"/>
  <c r="E196" i="5"/>
  <c r="F196" i="5" a="1"/>
  <c r="F196" i="5"/>
  <c r="G196" i="5" a="1"/>
  <c r="G196" i="5" s="1"/>
  <c r="H196" i="5" a="1"/>
  <c r="H196" i="5" s="1"/>
  <c r="I196" i="5" a="1"/>
  <c r="I196" i="5" s="1"/>
  <c r="C197" i="5" a="1"/>
  <c r="C197" i="5" s="1"/>
  <c r="D197" i="5" a="1"/>
  <c r="D197" i="5" s="1"/>
  <c r="E197" i="5" a="1"/>
  <c r="E197" i="5" s="1"/>
  <c r="F197" i="5" a="1"/>
  <c r="F197" i="5" s="1"/>
  <c r="G197" i="5" a="1"/>
  <c r="G197" i="5"/>
  <c r="H197" i="5" a="1"/>
  <c r="H197" i="5"/>
  <c r="I197" i="5" a="1"/>
  <c r="I197" i="5" s="1"/>
  <c r="C198" i="5" a="1"/>
  <c r="C198" i="5" s="1"/>
  <c r="D198" i="5" a="1"/>
  <c r="D198" i="5"/>
  <c r="E198" i="5" a="1"/>
  <c r="E198" i="5"/>
  <c r="F198" i="5" a="1"/>
  <c r="F198" i="5" s="1"/>
  <c r="G198" i="5" a="1"/>
  <c r="G198" i="5"/>
  <c r="H198" i="5" a="1"/>
  <c r="H198" i="5"/>
  <c r="I198" i="5" a="1"/>
  <c r="I198" i="5" s="1"/>
  <c r="C199" i="5" a="1"/>
  <c r="C199" i="5" s="1"/>
  <c r="D199" i="5" a="1"/>
  <c r="D199" i="5" s="1"/>
  <c r="E199" i="5" a="1"/>
  <c r="E199" i="5"/>
  <c r="F199" i="5" a="1"/>
  <c r="F199" i="5"/>
  <c r="G199" i="5" a="1"/>
  <c r="G199" i="5" s="1"/>
  <c r="H199" i="5" a="1"/>
  <c r="H199" i="5"/>
  <c r="I199" i="5" a="1"/>
  <c r="I199" i="5"/>
  <c r="C200" i="5" a="1"/>
  <c r="C200" i="5" s="1"/>
  <c r="D200" i="5" a="1"/>
  <c r="D200" i="5" s="1"/>
  <c r="E200" i="5" a="1"/>
  <c r="E200" i="5"/>
  <c r="F200" i="5" a="1"/>
  <c r="F200" i="5" s="1"/>
  <c r="G200" i="5" a="1"/>
  <c r="G200" i="5" s="1"/>
  <c r="H200" i="5" a="1"/>
  <c r="H200" i="5" s="1"/>
  <c r="I200" i="5" a="1"/>
  <c r="I200" i="5" s="1"/>
  <c r="C201" i="5" a="1"/>
  <c r="C201" i="5"/>
  <c r="D201" i="5" a="1"/>
  <c r="D201" i="5"/>
  <c r="E201" i="5" a="1"/>
  <c r="E201" i="5" s="1"/>
  <c r="F201" i="5" a="1"/>
  <c r="F201" i="5"/>
  <c r="G201" i="5" a="1"/>
  <c r="G201" i="5"/>
  <c r="H201" i="5" a="1"/>
  <c r="H201" i="5" s="1"/>
  <c r="I201" i="5" a="1"/>
  <c r="I201" i="5" s="1"/>
  <c r="C202" i="5" a="1"/>
  <c r="C202" i="5" s="1"/>
  <c r="D202" i="5" a="1"/>
  <c r="D202" i="5" s="1"/>
  <c r="E202" i="5" a="1"/>
  <c r="E202" i="5"/>
  <c r="F202" i="5" a="1"/>
  <c r="F202" i="5" s="1"/>
  <c r="G202" i="5" a="1"/>
  <c r="G202" i="5" s="1"/>
  <c r="H202" i="5" a="1"/>
  <c r="H202" i="5"/>
  <c r="I202" i="5" a="1"/>
  <c r="I202" i="5"/>
  <c r="C203" i="5" a="1"/>
  <c r="C203" i="5" s="1"/>
  <c r="D203" i="5" a="1"/>
  <c r="D203" i="5"/>
  <c r="E203" i="5" a="1"/>
  <c r="E203" i="5" s="1"/>
  <c r="F203" i="5" a="1"/>
  <c r="F203" i="5" s="1"/>
  <c r="G203" i="5" a="1"/>
  <c r="G203" i="5" s="1"/>
  <c r="H203" i="5" a="1"/>
  <c r="H203" i="5" s="1"/>
  <c r="I203" i="5" a="1"/>
  <c r="I203" i="5" s="1"/>
  <c r="C204" i="5" a="1"/>
  <c r="C204" i="5"/>
  <c r="D204" i="5" a="1"/>
  <c r="D204" i="5" s="1"/>
  <c r="E204" i="5" a="1"/>
  <c r="E204" i="5"/>
  <c r="F204" i="5" a="1"/>
  <c r="F204" i="5"/>
  <c r="G204" i="5" a="1"/>
  <c r="G204" i="5" s="1"/>
  <c r="H204" i="5" a="1"/>
  <c r="H204" i="5" s="1"/>
  <c r="I204" i="5" a="1"/>
  <c r="I204" i="5"/>
  <c r="C205" i="5" a="1"/>
  <c r="C205" i="5" s="1"/>
  <c r="D205" i="5" a="1"/>
  <c r="D205" i="5" s="1"/>
  <c r="E205" i="5" a="1"/>
  <c r="E205" i="5" s="1"/>
  <c r="F205" i="5" a="1"/>
  <c r="F205" i="5" s="1"/>
  <c r="G205" i="5" a="1"/>
  <c r="G205" i="5"/>
  <c r="H205" i="5" a="1"/>
  <c r="H205" i="5"/>
  <c r="I205" i="5" a="1"/>
  <c r="I205" i="5" s="1"/>
  <c r="C206" i="5" a="1"/>
  <c r="C206" i="5"/>
  <c r="D206" i="5" a="1"/>
  <c r="D206" i="5"/>
  <c r="E206" i="5" a="1"/>
  <c r="E206" i="5" s="1"/>
  <c r="F206" i="5" a="1"/>
  <c r="F206" i="5" s="1"/>
  <c r="G206" i="5" a="1"/>
  <c r="G206" i="5" s="1"/>
  <c r="H206" i="5" a="1"/>
  <c r="H206" i="5" s="1"/>
  <c r="I206" i="5" a="1"/>
  <c r="I206" i="5"/>
  <c r="C207" i="5" a="1"/>
  <c r="C207" i="5" s="1"/>
  <c r="D207" i="5" a="1"/>
  <c r="D207" i="5" s="1"/>
  <c r="E207" i="5" a="1"/>
  <c r="E207" i="5"/>
  <c r="F207" i="5" a="1"/>
  <c r="F207" i="5"/>
  <c r="G207" i="5" a="1"/>
  <c r="G207" i="5" s="1"/>
  <c r="H207" i="5" a="1"/>
  <c r="H207" i="5"/>
  <c r="I207" i="5" a="1"/>
  <c r="I207" i="5" s="1"/>
  <c r="C208" i="5" a="1"/>
  <c r="C208" i="5" s="1"/>
  <c r="D208" i="5" a="1"/>
  <c r="D208" i="5" s="1"/>
  <c r="E208" i="5" a="1"/>
  <c r="E208" i="5" s="1"/>
  <c r="F208" i="5" a="1"/>
  <c r="F208" i="5" s="1"/>
  <c r="G208" i="5" a="1"/>
  <c r="G208" i="5"/>
  <c r="H208" i="5" a="1"/>
  <c r="H208" i="5" s="1"/>
  <c r="I208" i="5" a="1"/>
  <c r="I208" i="5"/>
  <c r="C209" i="5" a="1"/>
  <c r="C209" i="5"/>
  <c r="D209" i="5" a="1"/>
  <c r="D209" i="5" s="1"/>
  <c r="E209" i="5" a="1"/>
  <c r="E209" i="5" s="1"/>
  <c r="F209" i="5" a="1"/>
  <c r="F209" i="5"/>
  <c r="G209" i="5" a="1"/>
  <c r="G209" i="5" s="1"/>
  <c r="H209" i="5" a="1"/>
  <c r="H209" i="5" s="1"/>
  <c r="I209" i="5" a="1"/>
  <c r="I209" i="5" s="1"/>
  <c r="C210" i="5" a="1"/>
  <c r="C210" i="5" s="1"/>
  <c r="D210" i="5" a="1"/>
  <c r="D210" i="5"/>
  <c r="E210" i="5" a="1"/>
  <c r="E210" i="5"/>
  <c r="F210" i="5" a="1"/>
  <c r="F210" i="5" s="1"/>
  <c r="G210" i="5" a="1"/>
  <c r="G210" i="5"/>
  <c r="H210" i="5" a="1"/>
  <c r="H210" i="5"/>
  <c r="I210" i="5" a="1"/>
  <c r="I210" i="5" s="1"/>
  <c r="C211" i="5" a="1"/>
  <c r="C211" i="5" s="1"/>
  <c r="D211" i="5" a="1"/>
  <c r="D211" i="5" s="1"/>
  <c r="E211" i="5" a="1"/>
  <c r="E211" i="5" s="1"/>
  <c r="F211" i="5" a="1"/>
  <c r="F211" i="5"/>
  <c r="G211" i="5" a="1"/>
  <c r="G211" i="5" s="1"/>
  <c r="H211" i="5" a="1"/>
  <c r="H211" i="5" s="1"/>
  <c r="I211" i="5" a="1"/>
  <c r="I211" i="5"/>
  <c r="C212" i="5" a="1"/>
  <c r="C212" i="5"/>
  <c r="D212" i="5" a="1"/>
  <c r="D212" i="5" s="1"/>
  <c r="E212" i="5" a="1"/>
  <c r="E212" i="5"/>
  <c r="F212" i="5" a="1"/>
  <c r="F212" i="5" s="1"/>
  <c r="G212" i="5" a="1"/>
  <c r="G212" i="5" s="1"/>
  <c r="H212" i="5" a="1"/>
  <c r="H212" i="5" s="1"/>
  <c r="I212" i="5" a="1"/>
  <c r="I212" i="5" s="1"/>
  <c r="C213" i="5" a="1"/>
  <c r="C213" i="5" s="1"/>
  <c r="D213" i="5" a="1"/>
  <c r="D213" i="5"/>
  <c r="E213" i="5" a="1"/>
  <c r="E213" i="5" s="1"/>
  <c r="F213" i="5" a="1"/>
  <c r="F213" i="5"/>
  <c r="G213" i="5" a="1"/>
  <c r="G213" i="5"/>
  <c r="H213" i="5" a="1"/>
  <c r="H213" i="5" s="1"/>
  <c r="I213" i="5" a="1"/>
  <c r="I213" i="5" s="1"/>
  <c r="C214" i="5" a="1"/>
  <c r="C214" i="5"/>
  <c r="D214" i="5" a="1"/>
  <c r="D214" i="5" s="1"/>
  <c r="E214" i="5" a="1"/>
  <c r="E214" i="5" s="1"/>
  <c r="F214" i="5" a="1"/>
  <c r="F214" i="5" s="1"/>
  <c r="G214" i="5" a="1"/>
  <c r="G214" i="5" s="1"/>
  <c r="H214" i="5" a="1"/>
  <c r="H214" i="5"/>
  <c r="I214" i="5" a="1"/>
  <c r="I214" i="5"/>
  <c r="C215" i="5" a="1"/>
  <c r="C215" i="5" s="1"/>
  <c r="D215" i="5" a="1"/>
  <c r="D215" i="5"/>
  <c r="E215" i="5" a="1"/>
  <c r="E215" i="5"/>
  <c r="F215" i="5" a="1"/>
  <c r="F215" i="5" s="1"/>
  <c r="G215" i="5" a="1"/>
  <c r="G215" i="5" s="1"/>
  <c r="H215" i="5" a="1"/>
  <c r="H215" i="5" s="1"/>
  <c r="I215" i="5" a="1"/>
  <c r="I215" i="5" s="1"/>
  <c r="C216" i="5" a="1"/>
  <c r="C216" i="5"/>
  <c r="D216" i="5" a="1"/>
  <c r="D216" i="5" s="1"/>
  <c r="E216" i="5" a="1"/>
  <c r="E216" i="5" s="1"/>
  <c r="F216" i="5" a="1"/>
  <c r="F216" i="5"/>
  <c r="G216" i="5" a="1"/>
  <c r="G216" i="5"/>
  <c r="H216" i="5" a="1"/>
  <c r="H216" i="5" s="1"/>
  <c r="I216" i="5" a="1"/>
  <c r="I216" i="5"/>
  <c r="C217" i="5" a="1"/>
  <c r="C217" i="5" s="1"/>
  <c r="D217" i="5" a="1"/>
  <c r="D217" i="5" s="1"/>
  <c r="E217" i="5" a="1"/>
  <c r="E217" i="5" s="1"/>
  <c r="F217" i="5" a="1"/>
  <c r="F217" i="5" s="1"/>
  <c r="G217" i="5" a="1"/>
  <c r="G217" i="5" s="1"/>
  <c r="H217" i="5" a="1"/>
  <c r="H217" i="5"/>
  <c r="I217" i="5" a="1"/>
  <c r="I217" i="5" s="1"/>
  <c r="C218" i="5" a="1"/>
  <c r="C218" i="5"/>
  <c r="D218" i="5" a="1"/>
  <c r="D218" i="5"/>
  <c r="E218" i="5" a="1"/>
  <c r="E218" i="5" s="1"/>
  <c r="F218" i="5" a="1"/>
  <c r="F218" i="5" s="1"/>
  <c r="G218" i="5" a="1"/>
  <c r="G218" i="5"/>
  <c r="H218" i="5" a="1"/>
  <c r="H218" i="5" s="1"/>
  <c r="I218" i="5" a="1"/>
  <c r="I218" i="5" s="1"/>
  <c r="C219" i="5" a="1"/>
  <c r="C219" i="5" s="1"/>
  <c r="D219" i="5" a="1"/>
  <c r="D219" i="5" s="1"/>
  <c r="E219" i="5" a="1"/>
  <c r="E219" i="5"/>
  <c r="F219" i="5" a="1"/>
  <c r="F219" i="5"/>
  <c r="G219" i="5" a="1"/>
  <c r="G219" i="5" s="1"/>
  <c r="H219" i="5" a="1"/>
  <c r="H219" i="5"/>
  <c r="I219" i="5" a="1"/>
  <c r="I219" i="5"/>
  <c r="C220" i="5" a="1"/>
  <c r="C220" i="5" s="1"/>
  <c r="D220" i="5" a="1"/>
  <c r="D220" i="5" s="1"/>
  <c r="E220" i="5" a="1"/>
  <c r="E220" i="5" s="1"/>
  <c r="F220" i="5" a="1"/>
  <c r="F220" i="5" s="1"/>
  <c r="G220" i="5" a="1"/>
  <c r="G220" i="5"/>
  <c r="H220" i="5" a="1"/>
  <c r="H220" i="5" s="1"/>
  <c r="I220" i="5" a="1"/>
  <c r="I220" i="5" s="1"/>
  <c r="C221" i="5" a="1"/>
  <c r="C221" i="5"/>
  <c r="D221" i="5" a="1"/>
  <c r="D221" i="5"/>
  <c r="E221" i="5" a="1"/>
  <c r="E221" i="5" s="1"/>
  <c r="F221" i="5" a="1"/>
  <c r="F221" i="5"/>
  <c r="G221" i="5" a="1"/>
  <c r="G221" i="5" s="1"/>
  <c r="H221" i="5" a="1"/>
  <c r="H221" i="5" s="1"/>
  <c r="I221" i="5" a="1"/>
  <c r="I221" i="5" s="1"/>
  <c r="C222" i="5" a="1"/>
  <c r="C222" i="5" s="1"/>
  <c r="D222" i="5" a="1"/>
  <c r="D222" i="5" s="1"/>
  <c r="E222" i="5" a="1"/>
  <c r="E222" i="5"/>
  <c r="F222" i="5" a="1"/>
  <c r="F222" i="5" s="1"/>
  <c r="G222" i="5" a="1"/>
  <c r="G222" i="5"/>
  <c r="H222" i="5" a="1"/>
  <c r="H222" i="5"/>
  <c r="I222" i="5" a="1"/>
  <c r="I222" i="5" s="1"/>
  <c r="C223" i="5" a="1"/>
  <c r="C223" i="5" s="1"/>
  <c r="D223" i="5" a="1"/>
  <c r="D223" i="5"/>
  <c r="E223" i="5" a="1"/>
  <c r="E223" i="5" s="1"/>
  <c r="F223" i="5" a="1"/>
  <c r="F223" i="5" s="1"/>
  <c r="G223" i="5" a="1"/>
  <c r="G223" i="5" s="1"/>
  <c r="H223" i="5" a="1"/>
  <c r="H223" i="5" s="1"/>
  <c r="I223" i="5" a="1"/>
  <c r="I223" i="5"/>
  <c r="C224" i="5" a="1"/>
  <c r="C224" i="5"/>
  <c r="D224" i="5" a="1"/>
  <c r="D224" i="5" s="1"/>
  <c r="E224" i="5" a="1"/>
  <c r="E224" i="5"/>
  <c r="F224" i="5" a="1"/>
  <c r="F224" i="5"/>
  <c r="G224" i="5" a="1"/>
  <c r="G224" i="5" s="1"/>
  <c r="H224" i="5" a="1"/>
  <c r="H224" i="5" s="1"/>
  <c r="I224" i="5" a="1"/>
  <c r="I224" i="5" s="1"/>
  <c r="C225" i="5" a="1"/>
  <c r="C225" i="5" s="1"/>
  <c r="D225" i="5" a="1"/>
  <c r="D225" i="5"/>
  <c r="E225" i="5" a="1"/>
  <c r="E225" i="5" s="1"/>
  <c r="F225" i="5" a="1"/>
  <c r="F225" i="5" s="1"/>
  <c r="G225" i="5" a="1"/>
  <c r="G225" i="5"/>
  <c r="H225" i="5" a="1"/>
  <c r="H225" i="5"/>
  <c r="I225" i="5" a="1"/>
  <c r="I225" i="5" s="1"/>
  <c r="C226" i="5" a="1"/>
  <c r="C226" i="5"/>
  <c r="D226" i="5" a="1"/>
  <c r="D226" i="5" s="1"/>
  <c r="E226" i="5" a="1"/>
  <c r="E226" i="5" s="1"/>
  <c r="F226" i="5" a="1"/>
  <c r="F226" i="5" s="1"/>
  <c r="G226" i="5" a="1"/>
  <c r="G226" i="5" s="1"/>
  <c r="H226" i="5" a="1"/>
  <c r="H226" i="5" s="1"/>
  <c r="I226" i="5" a="1"/>
  <c r="I226" i="5"/>
  <c r="C227" i="5" a="1"/>
  <c r="C227" i="5" s="1"/>
  <c r="D227" i="5" a="1"/>
  <c r="D227" i="5"/>
  <c r="E227" i="5" a="1"/>
  <c r="E227" i="5"/>
  <c r="F227" i="5" a="1"/>
  <c r="F227" i="5" s="1"/>
  <c r="G227" i="5" a="1"/>
  <c r="G227" i="5" s="1"/>
  <c r="H227" i="5" a="1"/>
  <c r="H227" i="5"/>
  <c r="I227" i="5" a="1"/>
  <c r="I227" i="5" s="1"/>
  <c r="C228" i="5" a="1"/>
  <c r="C228" i="5" s="1"/>
  <c r="D228" i="5" a="1"/>
  <c r="D228" i="5" s="1"/>
  <c r="E228" i="5" a="1"/>
  <c r="E228" i="5" s="1"/>
  <c r="F228" i="5" a="1"/>
  <c r="F228" i="5"/>
  <c r="G228" i="5" a="1"/>
  <c r="G228" i="5"/>
  <c r="H228" i="5" a="1"/>
  <c r="H228" i="5" s="1"/>
  <c r="I228" i="5" a="1"/>
  <c r="I228" i="5"/>
  <c r="C229" i="5" a="1"/>
  <c r="C229" i="5"/>
  <c r="D229" i="5" a="1"/>
  <c r="D229" i="5" s="1"/>
  <c r="E229" i="5" a="1"/>
  <c r="E229" i="5" s="1"/>
  <c r="F229" i="5" a="1"/>
  <c r="F229" i="5" s="1"/>
  <c r="G229" i="5" a="1"/>
  <c r="G229" i="5" s="1"/>
  <c r="H229" i="5" a="1"/>
  <c r="H229" i="5"/>
  <c r="I229" i="5" a="1"/>
  <c r="I229" i="5" s="1"/>
  <c r="C230" i="5" a="1"/>
  <c r="C230" i="5" s="1"/>
  <c r="D230" i="5" a="1"/>
  <c r="D230" i="5"/>
  <c r="E230" i="5" a="1"/>
  <c r="E230" i="5"/>
  <c r="F230" i="5" a="1"/>
  <c r="F230" i="5" s="1"/>
  <c r="G230" i="5" a="1"/>
  <c r="G230" i="5"/>
  <c r="H230" i="5" a="1"/>
  <c r="H230" i="5" s="1"/>
  <c r="I230" i="5" a="1"/>
  <c r="I230" i="5" s="1"/>
  <c r="C231" i="5" a="1"/>
  <c r="C231" i="5" s="1"/>
  <c r="D231" i="5" a="1"/>
  <c r="D231" i="5" s="1"/>
  <c r="E231" i="5" a="1"/>
  <c r="E231" i="5" s="1"/>
  <c r="F231" i="5" a="1"/>
  <c r="F231" i="5"/>
  <c r="G231" i="5" a="1"/>
  <c r="G231" i="5" s="1"/>
  <c r="H231" i="5" a="1"/>
  <c r="H231" i="5"/>
  <c r="I231" i="5" a="1"/>
  <c r="I231" i="5"/>
  <c r="C232" i="5" a="1"/>
  <c r="C232" i="5" s="1"/>
  <c r="D232" i="5" a="1"/>
  <c r="D232" i="5" s="1"/>
  <c r="E232" i="5" a="1"/>
  <c r="E232" i="5"/>
  <c r="F232" i="5" a="1"/>
  <c r="F232" i="5" s="1"/>
  <c r="G232" i="5" a="1"/>
  <c r="G232" i="5" s="1"/>
  <c r="H232" i="5" a="1"/>
  <c r="H232" i="5" s="1"/>
  <c r="I232" i="5" a="1"/>
  <c r="I232" i="5" s="1"/>
  <c r="C233" i="5" a="1"/>
  <c r="C233" i="5"/>
  <c r="D233" i="5" a="1"/>
  <c r="D233" i="5"/>
  <c r="E233" i="5" a="1"/>
  <c r="E233" i="5" s="1"/>
  <c r="F233" i="5" a="1"/>
  <c r="F233" i="5"/>
  <c r="G233" i="5" a="1"/>
  <c r="G233" i="5"/>
  <c r="H233" i="5" a="1"/>
  <c r="H233" i="5" s="1"/>
  <c r="I233" i="5" a="1"/>
  <c r="I233" i="5" s="1"/>
  <c r="C234" i="5" a="1"/>
  <c r="C234" i="5" s="1"/>
  <c r="D234" i="5" a="1"/>
  <c r="D234" i="5" s="1"/>
  <c r="E234" i="5" a="1"/>
  <c r="E234" i="5"/>
  <c r="F234" i="5" a="1"/>
  <c r="F234" i="5" s="1"/>
  <c r="G234" i="5" a="1"/>
  <c r="G234" i="5" s="1"/>
  <c r="H234" i="5" a="1"/>
  <c r="H234" i="5"/>
  <c r="I234" i="5" a="1"/>
  <c r="I234" i="5"/>
  <c r="C235" i="5" a="1"/>
  <c r="C235" i="5" s="1"/>
  <c r="D235" i="5" a="1"/>
  <c r="D235" i="5"/>
  <c r="E235" i="5" a="1"/>
  <c r="E235" i="5" s="1"/>
  <c r="F235" i="5" a="1"/>
  <c r="F235" i="5" s="1"/>
  <c r="G235" i="5" a="1"/>
  <c r="G235" i="5" s="1"/>
  <c r="H235" i="5" a="1"/>
  <c r="H235" i="5" s="1"/>
  <c r="I235" i="5" a="1"/>
  <c r="I235" i="5" s="1"/>
  <c r="C236" i="5" a="1"/>
  <c r="C236" i="5"/>
  <c r="D236" i="5" a="1"/>
  <c r="D236" i="5" s="1"/>
  <c r="E236" i="5" a="1"/>
  <c r="E236" i="5"/>
  <c r="F236" i="5" a="1"/>
  <c r="F236" i="5"/>
  <c r="G236" i="5" a="1"/>
  <c r="G236" i="5" s="1"/>
  <c r="H236" i="5" a="1"/>
  <c r="H236" i="5" s="1"/>
  <c r="I236" i="5" a="1"/>
  <c r="I236" i="5"/>
  <c r="C237" i="5" a="1"/>
  <c r="C237" i="5" s="1"/>
  <c r="D237" i="5" a="1"/>
  <c r="D237" i="5" s="1"/>
  <c r="E237" i="5" a="1"/>
  <c r="E237" i="5" s="1"/>
  <c r="F237" i="5" a="1"/>
  <c r="F237" i="5" s="1"/>
  <c r="G237" i="5" a="1"/>
  <c r="G237" i="5"/>
  <c r="H237" i="5" a="1"/>
  <c r="H237" i="5"/>
  <c r="I237" i="5" a="1"/>
  <c r="I237" i="5" s="1"/>
  <c r="C238" i="5" a="1"/>
  <c r="C238" i="5"/>
  <c r="D238" i="5" a="1"/>
  <c r="D238" i="5"/>
  <c r="E238" i="5" a="1"/>
  <c r="E238" i="5" s="1"/>
  <c r="F238" i="5" a="1"/>
  <c r="F238" i="5" s="1"/>
  <c r="G238" i="5" a="1"/>
  <c r="G238" i="5" s="1"/>
  <c r="H238" i="5" a="1"/>
  <c r="H238" i="5" s="1"/>
  <c r="I238" i="5" a="1"/>
  <c r="I238" i="5"/>
  <c r="C239" i="5" a="1"/>
  <c r="C239" i="5" s="1"/>
  <c r="D239" i="5" a="1"/>
  <c r="D239" i="5" s="1"/>
  <c r="E239" i="5" a="1"/>
  <c r="E239" i="5"/>
  <c r="F239" i="5" a="1"/>
  <c r="F239" i="5"/>
  <c r="G239" i="5" a="1"/>
  <c r="G239" i="5" s="1"/>
  <c r="H239" i="5" a="1"/>
  <c r="H239" i="5"/>
  <c r="I239" i="5" a="1"/>
  <c r="I239" i="5" s="1"/>
  <c r="C240" i="5" a="1"/>
  <c r="C240" i="5" s="1"/>
  <c r="D240" i="5" a="1"/>
  <c r="D240" i="5" s="1"/>
  <c r="E240" i="5" a="1"/>
  <c r="E240" i="5" s="1"/>
  <c r="F240" i="5" a="1"/>
  <c r="F240" i="5" s="1"/>
  <c r="G240" i="5" a="1"/>
  <c r="G240" i="5"/>
  <c r="H240" i="5" a="1"/>
  <c r="H240" i="5" s="1"/>
  <c r="I240" i="5" a="1"/>
  <c r="I240" i="5"/>
  <c r="C241" i="5" a="1"/>
  <c r="C241" i="5"/>
  <c r="D241" i="5" a="1"/>
  <c r="D241" i="5" s="1"/>
  <c r="E241" i="5" a="1"/>
  <c r="E241" i="5" s="1"/>
  <c r="F241" i="5" a="1"/>
  <c r="F241" i="5"/>
  <c r="G241" i="5" a="1"/>
  <c r="G241" i="5" s="1"/>
  <c r="H241" i="5" a="1"/>
  <c r="H241" i="5" s="1"/>
  <c r="I241" i="5" a="1"/>
  <c r="I241" i="5" s="1"/>
  <c r="C242" i="5" a="1"/>
  <c r="C242" i="5" s="1"/>
  <c r="D242" i="5" a="1"/>
  <c r="D242" i="5"/>
  <c r="E242" i="5" a="1"/>
  <c r="E242" i="5"/>
  <c r="F242" i="5" a="1"/>
  <c r="F242" i="5" s="1"/>
  <c r="G242" i="5" a="1"/>
  <c r="G242" i="5"/>
  <c r="H242" i="5" a="1"/>
  <c r="H242" i="5"/>
  <c r="I242" i="5" a="1"/>
  <c r="I242" i="5" s="1"/>
  <c r="C243" i="5" a="1"/>
  <c r="C243" i="5" s="1"/>
  <c r="D243" i="5" a="1"/>
  <c r="D243" i="5" s="1"/>
  <c r="E243" i="5" a="1"/>
  <c r="E243" i="5" s="1"/>
  <c r="F243" i="5" a="1"/>
  <c r="F243" i="5"/>
  <c r="G243" i="5" a="1"/>
  <c r="G243" i="5" s="1"/>
  <c r="H243" i="5" a="1"/>
  <c r="H243" i="5" s="1"/>
  <c r="I243" i="5" a="1"/>
  <c r="I243" i="5"/>
  <c r="C244" i="5" a="1"/>
  <c r="C244" i="5"/>
  <c r="D244" i="5" a="1"/>
  <c r="D244" i="5" s="1"/>
  <c r="E244" i="5" a="1"/>
  <c r="E244" i="5"/>
  <c r="F244" i="5" a="1"/>
  <c r="F244" i="5" s="1"/>
  <c r="G244" i="5" a="1"/>
  <c r="G244" i="5" s="1"/>
  <c r="H244" i="5" a="1"/>
  <c r="H244" i="5" s="1"/>
  <c r="I244" i="5" a="1"/>
  <c r="I244" i="5" s="1"/>
  <c r="C245" i="5" a="1"/>
  <c r="C245" i="5" s="1"/>
  <c r="D245" i="5" a="1"/>
  <c r="D245" i="5"/>
  <c r="E245" i="5" a="1"/>
  <c r="E245" i="5" s="1"/>
  <c r="F245" i="5" a="1"/>
  <c r="F245" i="5"/>
  <c r="G245" i="5" a="1"/>
  <c r="G245" i="5"/>
  <c r="H245" i="5" a="1"/>
  <c r="H245" i="5" s="1"/>
  <c r="I245" i="5" a="1"/>
  <c r="I245" i="5" s="1"/>
  <c r="C246" i="5" a="1"/>
  <c r="C246" i="5"/>
  <c r="D246" i="5" a="1"/>
  <c r="D246" i="5" s="1"/>
  <c r="E246" i="5" a="1"/>
  <c r="E246" i="5" s="1"/>
  <c r="F246" i="5" a="1"/>
  <c r="F246" i="5" s="1"/>
  <c r="G246" i="5" a="1"/>
  <c r="G246" i="5" s="1"/>
  <c r="H246" i="5" a="1"/>
  <c r="H246" i="5"/>
  <c r="I246" i="5" a="1"/>
  <c r="I246" i="5"/>
  <c r="C247" i="5" a="1"/>
  <c r="C247" i="5" s="1"/>
  <c r="D247" i="5" a="1"/>
  <c r="D247" i="5"/>
  <c r="E247" i="5" a="1"/>
  <c r="E247" i="5"/>
  <c r="F247" i="5" a="1"/>
  <c r="F247" i="5" s="1"/>
  <c r="G247" i="5" a="1"/>
  <c r="G247" i="5" s="1"/>
  <c r="H247" i="5" a="1"/>
  <c r="H247" i="5" s="1"/>
  <c r="I247" i="5" a="1"/>
  <c r="I247" i="5" s="1"/>
  <c r="C248" i="5" a="1"/>
  <c r="C248" i="5"/>
  <c r="D248" i="5" a="1"/>
  <c r="D248" i="5" s="1"/>
  <c r="E248" i="5" a="1"/>
  <c r="E248" i="5" s="1"/>
  <c r="F248" i="5" a="1"/>
  <c r="F248" i="5"/>
  <c r="G248" i="5" a="1"/>
  <c r="G248" i="5"/>
  <c r="H248" i="5" a="1"/>
  <c r="H248" i="5" s="1"/>
  <c r="I248" i="5" a="1"/>
  <c r="I248" i="5"/>
  <c r="C249" i="5" a="1"/>
  <c r="C249" i="5" s="1"/>
  <c r="D249" i="5" a="1"/>
  <c r="D249" i="5" s="1"/>
  <c r="E249" i="5" a="1"/>
  <c r="E249" i="5" s="1"/>
  <c r="F249" i="5" a="1"/>
  <c r="F249" i="5" s="1"/>
  <c r="G249" i="5" a="1"/>
  <c r="G249" i="5" s="1"/>
  <c r="H249" i="5" a="1"/>
  <c r="H249" i="5"/>
  <c r="I249" i="5" a="1"/>
  <c r="I249" i="5" s="1"/>
  <c r="C250" i="5" a="1"/>
  <c r="C250" i="5"/>
  <c r="D250" i="5" a="1"/>
  <c r="D250" i="5"/>
  <c r="E250" i="5" a="1"/>
  <c r="E250" i="5" s="1"/>
  <c r="F250" i="5" a="1"/>
  <c r="F250" i="5" s="1"/>
  <c r="G250" i="5" a="1"/>
  <c r="G250" i="5" s="1"/>
  <c r="H250" i="5" a="1"/>
  <c r="H250" i="5" s="1"/>
  <c r="I250" i="5" a="1"/>
  <c r="I250" i="5" s="1"/>
  <c r="C251" i="5" a="1"/>
  <c r="C251" i="5" s="1"/>
  <c r="D251" i="5" a="1"/>
  <c r="D251" i="5" s="1"/>
  <c r="E251" i="5" a="1"/>
  <c r="E251" i="5"/>
  <c r="F251" i="5" a="1"/>
  <c r="F251" i="5"/>
  <c r="G251" i="5" a="1"/>
  <c r="G251" i="5" s="1"/>
  <c r="H251" i="5" a="1"/>
  <c r="H251" i="5"/>
  <c r="I251" i="5" a="1"/>
  <c r="I251" i="5" s="1"/>
  <c r="C252" i="5" a="1"/>
  <c r="C252" i="5" s="1"/>
  <c r="D252" i="5" a="1"/>
  <c r="D252" i="5" s="1"/>
  <c r="E252" i="5" a="1"/>
  <c r="E252" i="5" s="1"/>
  <c r="F252" i="5" a="1"/>
  <c r="F252" i="5" s="1"/>
  <c r="G252" i="5" a="1"/>
  <c r="G252" i="5"/>
  <c r="H252" i="5" a="1"/>
  <c r="H252" i="5" s="1"/>
  <c r="I252" i="5" a="1"/>
  <c r="I252" i="5" s="1"/>
  <c r="C253" i="5" a="1"/>
  <c r="C253" i="5"/>
  <c r="D253" i="5" a="1"/>
  <c r="D253" i="5" s="1"/>
  <c r="E253" i="5" a="1"/>
  <c r="E253" i="5" s="1"/>
  <c r="F253" i="5" a="1"/>
  <c r="F253" i="5"/>
  <c r="G253" i="5" a="1"/>
  <c r="G253" i="5" s="1"/>
  <c r="H253" i="5" a="1"/>
  <c r="H253" i="5" s="1"/>
  <c r="I253" i="5" a="1"/>
  <c r="I253" i="5" s="1"/>
  <c r="C254" i="5" a="1"/>
  <c r="C254" i="5" s="1"/>
  <c r="D254" i="5" a="1"/>
  <c r="D254" i="5" s="1"/>
  <c r="E254" i="5" a="1"/>
  <c r="E254" i="5"/>
  <c r="F254" i="5" a="1"/>
  <c r="F254" i="5" s="1"/>
  <c r="G254" i="5" a="1"/>
  <c r="G254" i="5"/>
  <c r="H254" i="5" a="1"/>
  <c r="H254" i="5"/>
  <c r="I254" i="5" a="1"/>
  <c r="I254" i="5" s="1"/>
  <c r="C255" i="5" a="1"/>
  <c r="C255" i="5" s="1"/>
  <c r="D255" i="5" a="1"/>
  <c r="D255" i="5" s="1"/>
  <c r="E255" i="5" a="1"/>
  <c r="E255" i="5" s="1"/>
  <c r="F255" i="5" a="1"/>
  <c r="F255" i="5" s="1"/>
  <c r="G255" i="5" a="1"/>
  <c r="G255" i="5" s="1"/>
  <c r="H255" i="5" a="1"/>
  <c r="H255" i="5" s="1"/>
  <c r="I255" i="5" a="1"/>
  <c r="I255" i="5"/>
  <c r="C256" i="5" a="1"/>
  <c r="C256" i="5"/>
  <c r="D256" i="5" a="1"/>
  <c r="D256" i="5" s="1"/>
  <c r="E256" i="5" a="1"/>
  <c r="E256" i="5"/>
  <c r="F256" i="5" a="1"/>
  <c r="F256" i="5" s="1"/>
  <c r="G256" i="5" a="1"/>
  <c r="G256" i="5" s="1"/>
  <c r="H256" i="5" a="1"/>
  <c r="H256" i="5" s="1"/>
  <c r="I256" i="5" a="1"/>
  <c r="I256" i="5" s="1"/>
  <c r="C257" i="5" a="1"/>
  <c r="C257" i="5" s="1"/>
  <c r="D257" i="5" a="1"/>
  <c r="D257" i="5"/>
  <c r="E257" i="5" a="1"/>
  <c r="E257" i="5" s="1"/>
  <c r="F257" i="5" a="1"/>
  <c r="F257" i="5" s="1"/>
  <c r="G257" i="5" a="1"/>
  <c r="G257" i="5"/>
  <c r="H257" i="5" a="1"/>
  <c r="H257" i="5" s="1"/>
  <c r="I257" i="5" a="1"/>
  <c r="I257" i="5" s="1"/>
  <c r="C258" i="5" a="1"/>
  <c r="C258" i="5"/>
  <c r="D258" i="5" a="1"/>
  <c r="D258" i="5" s="1"/>
  <c r="E258" i="5" a="1"/>
  <c r="E258" i="5" s="1"/>
  <c r="F258" i="5" a="1"/>
  <c r="F258" i="5" s="1"/>
  <c r="G258" i="5" a="1"/>
  <c r="G258" i="5" s="1"/>
  <c r="H258" i="5" a="1"/>
  <c r="H258" i="5" s="1"/>
  <c r="I258" i="5" a="1"/>
  <c r="I258" i="5"/>
  <c r="C259" i="5" a="1"/>
  <c r="C259" i="5" s="1"/>
  <c r="D259" i="5" a="1"/>
  <c r="D259" i="5"/>
  <c r="E259" i="5" a="1"/>
  <c r="E259" i="5"/>
  <c r="F259" i="5" a="1"/>
  <c r="F259" i="5" s="1"/>
  <c r="G259" i="5" a="1"/>
  <c r="G259" i="5" s="1"/>
  <c r="H259" i="5" a="1"/>
  <c r="H259" i="5" s="1"/>
  <c r="I259" i="5" a="1"/>
  <c r="I259" i="5" s="1"/>
  <c r="C260" i="5" a="1"/>
  <c r="C260" i="5" s="1"/>
  <c r="D260" i="5" a="1"/>
  <c r="D260" i="5" s="1"/>
  <c r="E260" i="5" a="1"/>
  <c r="E260" i="5" s="1"/>
  <c r="F260" i="5" a="1"/>
  <c r="F260" i="5"/>
  <c r="G260" i="5" a="1"/>
  <c r="G260" i="5"/>
  <c r="H260" i="5" a="1"/>
  <c r="H260" i="5" s="1"/>
  <c r="I260" i="5" a="1"/>
  <c r="I260" i="5"/>
  <c r="C261" i="5" a="1"/>
  <c r="C261" i="5" s="1"/>
  <c r="D261" i="5" a="1"/>
  <c r="D261" i="5" s="1"/>
  <c r="E261" i="5" a="1"/>
  <c r="E261" i="5" s="1"/>
  <c r="F261" i="5" a="1"/>
  <c r="F261" i="5" s="1"/>
  <c r="G261" i="5" a="1"/>
  <c r="G261" i="5" s="1"/>
  <c r="H261" i="5" a="1"/>
  <c r="H261" i="5"/>
  <c r="I261" i="5" a="1"/>
  <c r="I261" i="5" s="1"/>
  <c r="C262" i="5" a="1"/>
  <c r="C262" i="5" s="1"/>
  <c r="D262" i="5" a="1"/>
  <c r="D262" i="5"/>
  <c r="E262" i="5" a="1"/>
  <c r="E262" i="5" s="1"/>
  <c r="F262" i="5" a="1"/>
  <c r="F262" i="5" s="1"/>
  <c r="G262" i="5" a="1"/>
  <c r="G262" i="5"/>
  <c r="H262" i="5" a="1"/>
  <c r="H262" i="5" s="1"/>
  <c r="I262" i="5" a="1"/>
  <c r="I262" i="5" s="1"/>
  <c r="C263" i="5" a="1"/>
  <c r="C263" i="5" s="1"/>
  <c r="D263" i="5" a="1"/>
  <c r="D263" i="5" s="1"/>
  <c r="E263" i="5" a="1"/>
  <c r="E263" i="5" s="1"/>
  <c r="F263" i="5" a="1"/>
  <c r="F263" i="5"/>
  <c r="G263" i="5" a="1"/>
  <c r="G263" i="5" s="1"/>
  <c r="H263" i="5" a="1"/>
  <c r="H263" i="5"/>
  <c r="I263" i="5" a="1"/>
  <c r="I263" i="5"/>
  <c r="C264" i="5" a="1"/>
  <c r="C264" i="5" s="1"/>
  <c r="D264" i="5" a="1"/>
  <c r="D264" i="5" s="1"/>
  <c r="E264" i="5" a="1"/>
  <c r="E264" i="5" s="1"/>
  <c r="F264" i="5" a="1"/>
  <c r="F264" i="5" s="1"/>
  <c r="G264" i="5" a="1"/>
  <c r="G264" i="5" s="1"/>
  <c r="H264" i="5" a="1"/>
  <c r="H264" i="5" s="1"/>
  <c r="I264" i="5" a="1"/>
  <c r="I264" i="5" s="1"/>
  <c r="C265" i="5" a="1"/>
  <c r="C265" i="5"/>
  <c r="D265" i="5" a="1"/>
  <c r="D265" i="5"/>
  <c r="E265" i="5" a="1"/>
  <c r="E265" i="5" s="1"/>
  <c r="F265" i="5" a="1"/>
  <c r="F265" i="5"/>
  <c r="G265" i="5" a="1"/>
  <c r="G265" i="5" s="1"/>
  <c r="H265" i="5" a="1"/>
  <c r="H265" i="5" s="1"/>
  <c r="I265" i="5" a="1"/>
  <c r="I265" i="5" s="1"/>
  <c r="C266" i="5" a="1"/>
  <c r="C266" i="5" s="1"/>
  <c r="D266" i="5" a="1"/>
  <c r="D266" i="5" s="1"/>
  <c r="E266" i="5" a="1"/>
  <c r="E266" i="5"/>
  <c r="F266" i="5" a="1"/>
  <c r="F266" i="5" s="1"/>
  <c r="G266" i="5" a="1"/>
  <c r="G266" i="5" s="1"/>
  <c r="H266" i="5" a="1"/>
  <c r="H266" i="5"/>
  <c r="I266" i="5" a="1"/>
  <c r="I266" i="5" s="1"/>
  <c r="C267" i="5" a="1"/>
  <c r="C267" i="5" s="1"/>
  <c r="D267" i="5" a="1"/>
  <c r="D267" i="5"/>
  <c r="E267" i="5" a="1"/>
  <c r="E267" i="5" s="1"/>
  <c r="F267" i="5" a="1"/>
  <c r="F267" i="5" s="1"/>
  <c r="G267" i="5" a="1"/>
  <c r="G267" i="5" s="1"/>
  <c r="H267" i="5" a="1"/>
  <c r="H267" i="5" s="1"/>
  <c r="I267" i="5" a="1"/>
  <c r="I267" i="5" s="1"/>
  <c r="C268" i="5" a="1"/>
  <c r="C268" i="5"/>
  <c r="D268" i="5" a="1"/>
  <c r="D268" i="5" s="1"/>
  <c r="E268" i="5" a="1"/>
  <c r="E268" i="5"/>
  <c r="F268" i="5" a="1"/>
  <c r="F268" i="5"/>
  <c r="G268" i="5" a="1"/>
  <c r="G268" i="5" s="1"/>
  <c r="H268" i="5" a="1"/>
  <c r="H268" i="5" s="1"/>
  <c r="I268" i="5" a="1"/>
  <c r="I268" i="5" s="1"/>
  <c r="C269" i="5" a="1"/>
  <c r="C269" i="5" s="1"/>
  <c r="D269" i="5" a="1"/>
  <c r="D269" i="5" s="1"/>
  <c r="E269" i="5" a="1"/>
  <c r="E269" i="5" s="1"/>
  <c r="F269" i="5" a="1"/>
  <c r="F269" i="5" s="1"/>
  <c r="G269" i="5" a="1"/>
  <c r="G269" i="5"/>
  <c r="H269" i="5" a="1"/>
  <c r="H269" i="5"/>
  <c r="I269" i="5" a="1"/>
  <c r="I269" i="5" s="1"/>
  <c r="C270" i="5" a="1"/>
  <c r="C270" i="5"/>
  <c r="D270" i="5" a="1"/>
  <c r="D270" i="5" s="1"/>
  <c r="E270" i="5" a="1"/>
  <c r="E270" i="5" s="1"/>
  <c r="F270" i="5" a="1"/>
  <c r="F270" i="5" s="1"/>
  <c r="G270" i="5" a="1"/>
  <c r="G270" i="5" s="1"/>
  <c r="H270" i="5" a="1"/>
  <c r="H270" i="5" s="1"/>
  <c r="I270" i="5" a="1"/>
  <c r="I270" i="5"/>
  <c r="C271" i="5" a="1"/>
  <c r="C271" i="5" s="1"/>
  <c r="D271" i="5" a="1"/>
  <c r="D271" i="5" s="1"/>
  <c r="E271" i="5" a="1"/>
  <c r="E271" i="5"/>
  <c r="F271" i="5" a="1"/>
  <c r="F271" i="5" s="1"/>
  <c r="G271" i="5" a="1"/>
  <c r="G271" i="5" s="1"/>
  <c r="H271" i="5" a="1"/>
  <c r="H271" i="5"/>
  <c r="I271" i="5" a="1"/>
  <c r="I271" i="5" s="1"/>
  <c r="C272" i="5" a="1"/>
  <c r="C272" i="5" s="1"/>
  <c r="D272" i="5" a="1"/>
  <c r="D272" i="5" s="1"/>
  <c r="E272" i="5" a="1"/>
  <c r="E272" i="5" s="1"/>
  <c r="F272" i="5" a="1"/>
  <c r="F272" i="5" s="1"/>
  <c r="G272" i="5" a="1"/>
  <c r="G272" i="5"/>
  <c r="H272" i="5" a="1"/>
  <c r="H272" i="5" s="1"/>
  <c r="I272" i="5" a="1"/>
  <c r="I272" i="5"/>
  <c r="C273" i="5" a="1"/>
  <c r="C273" i="5"/>
  <c r="D273" i="5" a="1"/>
  <c r="D273" i="5" s="1"/>
  <c r="E273" i="5" a="1"/>
  <c r="E273" i="5" s="1"/>
  <c r="F273" i="5" a="1"/>
  <c r="F273" i="5" s="1"/>
  <c r="G273" i="5" a="1"/>
  <c r="G273" i="5" s="1"/>
  <c r="H273" i="5" a="1"/>
  <c r="H273" i="5" s="1"/>
  <c r="I273" i="5" a="1"/>
  <c r="I273" i="5" s="1"/>
  <c r="C274" i="5" a="1"/>
  <c r="C274" i="5" s="1"/>
  <c r="D274" i="5" a="1"/>
  <c r="D274" i="5"/>
  <c r="E274" i="5" a="1"/>
  <c r="E274" i="5"/>
  <c r="F274" i="5" a="1"/>
  <c r="F274" i="5" s="1"/>
  <c r="G274" i="5" a="1"/>
  <c r="G274" i="5"/>
  <c r="H274" i="5" a="1"/>
  <c r="H274" i="5" s="1"/>
  <c r="I274" i="5" a="1"/>
  <c r="I274" i="5" s="1"/>
  <c r="C275" i="5" a="1"/>
  <c r="C275" i="5" s="1"/>
  <c r="D275" i="5" a="1"/>
  <c r="D275" i="5" s="1"/>
  <c r="E275" i="5" a="1"/>
  <c r="E275" i="5" s="1"/>
  <c r="F275" i="5" a="1"/>
  <c r="F275" i="5"/>
  <c r="G275" i="5" a="1"/>
  <c r="G275" i="5" s="1"/>
  <c r="H275" i="5" a="1"/>
  <c r="H275" i="5" s="1"/>
  <c r="I275" i="5" a="1"/>
  <c r="I275" i="5"/>
  <c r="C276" i="5" a="1"/>
  <c r="C276" i="5" s="1"/>
  <c r="D276" i="5" a="1"/>
  <c r="D276" i="5" s="1"/>
  <c r="E276" i="5" a="1"/>
  <c r="E276" i="5"/>
  <c r="F276" i="5" a="1"/>
  <c r="F276" i="5" s="1"/>
  <c r="G276" i="5" a="1"/>
  <c r="G276" i="5" s="1"/>
  <c r="H276" i="5" a="1"/>
  <c r="H276" i="5" s="1"/>
  <c r="I276" i="5" a="1"/>
  <c r="I276" i="5" s="1"/>
  <c r="C277" i="5" a="1"/>
  <c r="C277" i="5"/>
  <c r="D277" i="5" a="1"/>
  <c r="D277" i="5"/>
  <c r="E277" i="5" a="1"/>
  <c r="E277" i="5" s="1"/>
  <c r="F277" i="5" a="1"/>
  <c r="F277" i="5"/>
  <c r="G277" i="5" a="1"/>
  <c r="G277" i="5"/>
  <c r="H277" i="5" a="1"/>
  <c r="H277" i="5" s="1"/>
  <c r="I277" i="5" a="1"/>
  <c r="I277" i="5" s="1"/>
  <c r="C278" i="5" a="1"/>
  <c r="C278" i="5" s="1"/>
  <c r="D278" i="5" a="1"/>
  <c r="D278" i="5" s="1"/>
  <c r="E278" i="5" a="1"/>
  <c r="E278" i="5" s="1"/>
  <c r="F278" i="5" a="1"/>
  <c r="F278" i="5" s="1"/>
  <c r="G278" i="5" a="1"/>
  <c r="G278" i="5" s="1"/>
  <c r="H278" i="5" a="1"/>
  <c r="H278" i="5"/>
  <c r="I278" i="5" a="1"/>
  <c r="I278" i="5"/>
  <c r="C279" i="5" a="1"/>
  <c r="C279" i="5" s="1"/>
  <c r="D279" i="5" a="1"/>
  <c r="D279" i="5"/>
  <c r="E279" i="5" a="1"/>
  <c r="E279" i="5" s="1"/>
  <c r="F279" i="5" a="1"/>
  <c r="F279" i="5" s="1"/>
  <c r="G279" i="5" a="1"/>
  <c r="G279" i="5" s="1"/>
  <c r="H279" i="5" a="1"/>
  <c r="H279" i="5" s="1"/>
  <c r="I279" i="5" a="1"/>
  <c r="I279" i="5" s="1"/>
  <c r="C280" i="5" a="1"/>
  <c r="C280" i="5"/>
  <c r="D280" i="5" a="1"/>
  <c r="D280" i="5" s="1"/>
  <c r="E280" i="5" a="1"/>
  <c r="E280" i="5" s="1"/>
  <c r="F280" i="5" a="1"/>
  <c r="F280" i="5" s="1"/>
  <c r="G280" i="5" a="1"/>
  <c r="G280" i="5" s="1"/>
  <c r="H280" i="5" a="1"/>
  <c r="H280" i="5" s="1"/>
  <c r="I280" i="5" a="1"/>
  <c r="I280" i="5"/>
  <c r="C281" i="5" a="1"/>
  <c r="C281" i="5" s="1"/>
  <c r="D281" i="5" a="1"/>
  <c r="D281" i="5" s="1"/>
  <c r="E281" i="5" a="1"/>
  <c r="E281" i="5" s="1"/>
  <c r="F281" i="5" a="1"/>
  <c r="F281" i="5" s="1"/>
  <c r="G281" i="5" a="1"/>
  <c r="G281" i="5"/>
  <c r="H281" i="5" a="1"/>
  <c r="H281" i="5" s="1"/>
  <c r="I281" i="5" a="1"/>
  <c r="I281" i="5" s="1"/>
  <c r="C282" i="5" a="1"/>
  <c r="C282" i="5"/>
  <c r="D282" i="5" a="1"/>
  <c r="D282" i="5"/>
  <c r="E282" i="5" a="1"/>
  <c r="E282" i="5"/>
  <c r="F282" i="5" a="1"/>
  <c r="F282" i="5" s="1"/>
  <c r="G282" i="5" a="1"/>
  <c r="G282" i="5" s="1"/>
  <c r="H282" i="5" a="1"/>
  <c r="H282" i="5" s="1"/>
  <c r="I282" i="5" a="1"/>
  <c r="I282" i="5"/>
  <c r="C283" i="5" a="1"/>
  <c r="C283" i="5"/>
  <c r="D283" i="5" a="1"/>
  <c r="D283" i="5" s="1"/>
  <c r="E283" i="5" a="1"/>
  <c r="E283" i="5" s="1"/>
  <c r="F283" i="5" a="1"/>
  <c r="F283" i="5" s="1"/>
  <c r="G283" i="5" a="1"/>
  <c r="G283" i="5"/>
  <c r="H283" i="5" a="1"/>
  <c r="H283" i="5" s="1"/>
  <c r="I283" i="5" a="1"/>
  <c r="I283" i="5"/>
  <c r="C284" i="5" a="1"/>
  <c r="C284" i="5" s="1"/>
  <c r="D284" i="5" a="1"/>
  <c r="D284" i="5"/>
  <c r="E284" i="5" a="1"/>
  <c r="E284" i="5" s="1"/>
  <c r="F284" i="5" a="1"/>
  <c r="F284" i="5" s="1"/>
  <c r="G284" i="5" a="1"/>
  <c r="G284" i="5" s="1"/>
  <c r="H284" i="5" a="1"/>
  <c r="H284" i="5" s="1"/>
  <c r="I284" i="5" a="1"/>
  <c r="I284" i="5" s="1"/>
  <c r="C285" i="5" a="1"/>
  <c r="C285" i="5"/>
  <c r="D285" i="5" a="1"/>
  <c r="D285" i="5"/>
  <c r="E285" i="5" a="1"/>
  <c r="E285" i="5" s="1"/>
  <c r="F285" i="5" a="1"/>
  <c r="F285" i="5" s="1"/>
  <c r="G285" i="5" a="1"/>
  <c r="G285" i="5"/>
  <c r="H285" i="5" a="1"/>
  <c r="H285" i="5" s="1"/>
  <c r="I285" i="5" a="1"/>
  <c r="I285" i="5" s="1"/>
  <c r="C286" i="5" a="1"/>
  <c r="C286" i="5" s="1"/>
  <c r="D286" i="5" a="1"/>
  <c r="D286" i="5"/>
  <c r="E286" i="5" a="1"/>
  <c r="E286" i="5"/>
  <c r="F286" i="5" a="1"/>
  <c r="F286" i="5"/>
  <c r="G286" i="5" a="1"/>
  <c r="G286" i="5" s="1"/>
  <c r="H286" i="5" a="1"/>
  <c r="H286" i="5" s="1"/>
  <c r="I286" i="5" a="1"/>
  <c r="I286" i="5"/>
  <c r="C287" i="5" a="1"/>
  <c r="C287" i="5" s="1"/>
  <c r="D287" i="5" a="1"/>
  <c r="D287" i="5" s="1"/>
  <c r="E287" i="5" a="1"/>
  <c r="E287" i="5" s="1"/>
  <c r="F287" i="5" a="1"/>
  <c r="F287" i="5"/>
  <c r="G287" i="5" a="1"/>
  <c r="G287" i="5"/>
  <c r="H287" i="5" a="1"/>
  <c r="H287" i="5" s="1"/>
  <c r="I287" i="5" a="1"/>
  <c r="I287" i="5" s="1"/>
  <c r="C288" i="5" a="1"/>
  <c r="C288" i="5" s="1"/>
  <c r="D288" i="5" a="1"/>
  <c r="D288" i="5"/>
  <c r="E288" i="5" a="1"/>
  <c r="E288" i="5" s="1"/>
  <c r="F288" i="5" a="1"/>
  <c r="F288" i="5"/>
  <c r="G288" i="5" a="1"/>
  <c r="G288" i="5" s="1"/>
  <c r="H288" i="5" a="1"/>
  <c r="H288" i="5"/>
  <c r="I288" i="5" a="1"/>
  <c r="I288" i="5" s="1"/>
  <c r="C289" i="5" a="1"/>
  <c r="C289" i="5" s="1"/>
  <c r="D289" i="5" a="1"/>
  <c r="D289" i="5" s="1"/>
  <c r="E289" i="5" a="1"/>
  <c r="E289" i="5" s="1"/>
  <c r="F289" i="5" a="1"/>
  <c r="F289" i="5" s="1"/>
  <c r="G289" i="5" a="1"/>
  <c r="G289" i="5"/>
  <c r="H289" i="5" a="1"/>
  <c r="H289" i="5"/>
  <c r="I289" i="5" a="1"/>
  <c r="I289" i="5" s="1"/>
  <c r="C290" i="5" a="1"/>
  <c r="C290" i="5" s="1"/>
  <c r="D290" i="5" a="1"/>
  <c r="D290" i="5"/>
  <c r="E290" i="5" a="1"/>
  <c r="E290" i="5" s="1"/>
  <c r="F290" i="5" a="1"/>
  <c r="F290" i="5" s="1"/>
  <c r="G290" i="5" a="1"/>
  <c r="G290" i="5" s="1"/>
  <c r="H290" i="5" a="1"/>
  <c r="H290" i="5"/>
  <c r="I290" i="5" a="1"/>
  <c r="I290" i="5"/>
  <c r="C291" i="5" a="1"/>
  <c r="C291" i="5"/>
  <c r="D291" i="5" a="1"/>
  <c r="D291" i="5" s="1"/>
  <c r="E291" i="5" a="1"/>
  <c r="E291" i="5" s="1"/>
  <c r="F291" i="5" a="1"/>
  <c r="F291" i="5"/>
  <c r="G291" i="5" a="1"/>
  <c r="G291" i="5" s="1"/>
  <c r="H291" i="5" a="1"/>
  <c r="H291" i="5" s="1"/>
  <c r="I291" i="5" a="1"/>
  <c r="I291" i="5" s="1"/>
  <c r="C292" i="5" a="1"/>
  <c r="C292" i="5"/>
  <c r="D292" i="5" a="1"/>
  <c r="D292" i="5"/>
  <c r="E292" i="5" a="1"/>
  <c r="E292" i="5" s="1"/>
  <c r="F292" i="5" a="1"/>
  <c r="F292" i="5" s="1"/>
  <c r="G292" i="5" a="1"/>
  <c r="G292" i="5" s="1"/>
  <c r="H292" i="5" a="1"/>
  <c r="H292" i="5"/>
  <c r="I292" i="5" a="1"/>
  <c r="I292" i="5" s="1"/>
  <c r="C293" i="5" a="1"/>
  <c r="C293" i="5"/>
  <c r="D293" i="5" a="1"/>
  <c r="D293" i="5" s="1"/>
  <c r="E293" i="5" a="1"/>
  <c r="E293" i="5"/>
  <c r="F293" i="5" a="1"/>
  <c r="F293" i="5" s="1"/>
  <c r="G293" i="5" a="1"/>
  <c r="G293" i="5" s="1"/>
  <c r="H293" i="5" a="1"/>
  <c r="H293" i="5" s="1"/>
  <c r="I293" i="5" a="1"/>
  <c r="I293" i="5" s="1"/>
  <c r="C294" i="5" a="1"/>
  <c r="C294" i="5" s="1"/>
  <c r="D294" i="5" a="1"/>
  <c r="D294" i="5"/>
  <c r="E294" i="5" a="1"/>
  <c r="E294" i="5"/>
  <c r="F294" i="5" a="1"/>
  <c r="F294" i="5" s="1"/>
  <c r="G294" i="5" a="1"/>
  <c r="G294" i="5" s="1"/>
  <c r="H294" i="5" a="1"/>
  <c r="H294" i="5"/>
  <c r="I294" i="5" a="1"/>
  <c r="I294" i="5" s="1"/>
  <c r="C295" i="5" a="1"/>
  <c r="C295" i="5" s="1"/>
  <c r="D295" i="5" a="1"/>
  <c r="D295" i="5" s="1"/>
  <c r="E295" i="5" a="1"/>
  <c r="E295" i="5"/>
  <c r="F295" i="5" a="1"/>
  <c r="F295" i="5"/>
  <c r="G295" i="5" a="1"/>
  <c r="G295" i="5"/>
  <c r="H295" i="5" a="1"/>
  <c r="H295" i="5" s="1"/>
  <c r="I295" i="5" a="1"/>
  <c r="I295" i="5" s="1"/>
  <c r="C296" i="5" a="1"/>
  <c r="C296" i="5"/>
  <c r="D296" i="5" a="1"/>
  <c r="D296" i="5" s="1"/>
  <c r="E296" i="5" a="1"/>
  <c r="E296" i="5" s="1"/>
  <c r="F296" i="5" a="1"/>
  <c r="F296" i="5" s="1"/>
  <c r="G296" i="5" a="1"/>
  <c r="G296" i="5"/>
  <c r="H296" i="5" a="1"/>
  <c r="H296" i="5"/>
  <c r="I296" i="5" a="1"/>
  <c r="I296" i="5" s="1"/>
  <c r="C297" i="5" a="1"/>
  <c r="C297" i="5" s="1"/>
  <c r="D297" i="5" a="1"/>
  <c r="D297" i="5" s="1"/>
  <c r="E297" i="5" a="1"/>
  <c r="E297" i="5"/>
  <c r="F297" i="5" a="1"/>
  <c r="F297" i="5" s="1"/>
  <c r="G297" i="5" a="1"/>
  <c r="G297" i="5"/>
  <c r="H297" i="5" a="1"/>
  <c r="H297" i="5" s="1"/>
  <c r="I297" i="5" a="1"/>
  <c r="I297" i="5"/>
  <c r="C298" i="5" a="1"/>
  <c r="C298" i="5" s="1"/>
  <c r="D298" i="5" a="1"/>
  <c r="D298" i="5" s="1"/>
  <c r="E298" i="5" a="1"/>
  <c r="E298" i="5" s="1"/>
  <c r="F298" i="5" a="1"/>
  <c r="F298" i="5" s="1"/>
  <c r="G298" i="5" a="1"/>
  <c r="G298" i="5" s="1"/>
  <c r="H298" i="5" a="1"/>
  <c r="H298" i="5"/>
  <c r="I298" i="5" a="1"/>
  <c r="I298" i="5"/>
  <c r="C299" i="5" a="1"/>
  <c r="C299" i="5" s="1"/>
  <c r="D299" i="5" a="1"/>
  <c r="D299" i="5" s="1"/>
  <c r="E299" i="5" a="1"/>
  <c r="E299" i="5"/>
  <c r="F299" i="5" a="1"/>
  <c r="F299" i="5" s="1"/>
  <c r="G299" i="5" a="1"/>
  <c r="G299" i="5" s="1"/>
  <c r="H299" i="5" a="1"/>
  <c r="H299" i="5" s="1"/>
  <c r="I299" i="5" a="1"/>
  <c r="I299" i="5"/>
  <c r="C300" i="5" a="1"/>
  <c r="C300" i="5"/>
  <c r="D300" i="5" a="1"/>
  <c r="D300" i="5"/>
  <c r="E300" i="5" a="1"/>
  <c r="E300" i="5" s="1"/>
  <c r="F300" i="5" a="1"/>
  <c r="F300" i="5" s="1"/>
  <c r="G300" i="5" a="1"/>
  <c r="G300" i="5"/>
  <c r="H300" i="5" a="1"/>
  <c r="H300" i="5" s="1"/>
  <c r="I300" i="5" a="1"/>
  <c r="I300" i="5" s="1"/>
  <c r="C301" i="5" a="1"/>
  <c r="C301" i="5" s="1"/>
  <c r="D301" i="5" a="1"/>
  <c r="D301" i="5"/>
  <c r="E301" i="5" a="1"/>
  <c r="E301" i="5"/>
  <c r="F301" i="5" a="1"/>
  <c r="F301" i="5" s="1"/>
  <c r="G301" i="5" a="1"/>
  <c r="G301" i="5" s="1"/>
  <c r="H301" i="5" a="1"/>
  <c r="H301" i="5" s="1"/>
  <c r="I301" i="5" a="1"/>
  <c r="I301" i="5"/>
  <c r="C302" i="5" a="1"/>
  <c r="C302" i="5" s="1"/>
  <c r="D302" i="5" a="1"/>
  <c r="D302" i="5"/>
  <c r="E302" i="5" a="1"/>
  <c r="E302" i="5" s="1"/>
  <c r="F302" i="5" a="1"/>
  <c r="F302" i="5"/>
  <c r="G302" i="5" a="1"/>
  <c r="G302" i="5" s="1"/>
  <c r="H302" i="5" a="1"/>
  <c r="H302" i="5" s="1"/>
  <c r="I302" i="5" a="1"/>
  <c r="I302" i="5" s="1"/>
  <c r="C303" i="5" a="1"/>
  <c r="C303" i="5" s="1"/>
  <c r="D303" i="5" a="1"/>
  <c r="D303" i="5" s="1"/>
  <c r="E303" i="5" a="1"/>
  <c r="E303" i="5"/>
  <c r="F303" i="5" a="1"/>
  <c r="F303" i="5"/>
  <c r="G303" i="5" a="1"/>
  <c r="G303" i="5" s="1"/>
  <c r="H303" i="5" a="1"/>
  <c r="H303" i="5" s="1"/>
  <c r="I303" i="5" a="1"/>
  <c r="I303" i="5"/>
  <c r="C304" i="5" a="1"/>
  <c r="C304" i="5" s="1"/>
  <c r="D304" i="5" a="1"/>
  <c r="D304" i="5" s="1"/>
  <c r="E304" i="5" a="1"/>
  <c r="E304" i="5" s="1"/>
  <c r="F304" i="5" a="1"/>
  <c r="F304" i="5"/>
  <c r="G304" i="5" a="1"/>
  <c r="G304" i="5"/>
  <c r="H304" i="5" a="1"/>
  <c r="H304" i="5"/>
  <c r="I304" i="5" a="1"/>
  <c r="I304" i="5" s="1"/>
  <c r="C305" i="5" a="1"/>
  <c r="C305" i="5" s="1"/>
  <c r="D305" i="5" a="1"/>
  <c r="D305" i="5"/>
  <c r="E305" i="5" a="1"/>
  <c r="E305" i="5" s="1"/>
  <c r="F305" i="5" a="1"/>
  <c r="F305" i="5" s="1"/>
  <c r="G305" i="5" a="1"/>
  <c r="G305" i="5" s="1"/>
  <c r="H305" i="5" a="1"/>
  <c r="H305" i="5"/>
  <c r="I305" i="5" a="1"/>
  <c r="I305" i="5"/>
  <c r="C306" i="5" a="1"/>
  <c r="C306" i="5" s="1"/>
  <c r="D306" i="5" a="1"/>
  <c r="D306" i="5" s="1"/>
  <c r="E306" i="5" a="1"/>
  <c r="E306" i="5" s="1"/>
  <c r="F306" i="5" a="1"/>
  <c r="F306" i="5"/>
  <c r="G306" i="5" a="1"/>
  <c r="G306" i="5" s="1"/>
  <c r="H306" i="5" a="1"/>
  <c r="H306" i="5"/>
  <c r="I306" i="5" a="1"/>
  <c r="I306" i="5" s="1"/>
  <c r="C307" i="5" a="1"/>
  <c r="C307" i="5"/>
  <c r="D307" i="5" a="1"/>
  <c r="D307" i="5" s="1"/>
  <c r="E307" i="5" a="1"/>
  <c r="E307" i="5" s="1"/>
  <c r="F307" i="5" a="1"/>
  <c r="F307" i="5" s="1"/>
  <c r="G307" i="5" a="1"/>
  <c r="G307" i="5" s="1"/>
  <c r="H307" i="5" a="1"/>
  <c r="H307" i="5" s="1"/>
  <c r="I307" i="5" a="1"/>
  <c r="I307" i="5"/>
  <c r="C308" i="5" a="1"/>
  <c r="C308" i="5"/>
  <c r="D308" i="5" a="1"/>
  <c r="D308" i="5" s="1"/>
  <c r="E308" i="5" a="1"/>
  <c r="E308" i="5" s="1"/>
  <c r="F308" i="5" a="1"/>
  <c r="F308" i="5"/>
  <c r="G308" i="5" a="1"/>
  <c r="G308" i="5" s="1"/>
  <c r="H308" i="5" a="1"/>
  <c r="H308" i="5" s="1"/>
  <c r="I308" i="5" a="1"/>
  <c r="I308" i="5" s="1"/>
  <c r="C309" i="5" a="1"/>
  <c r="C309" i="5"/>
  <c r="D309" i="5" a="1"/>
  <c r="D309" i="5"/>
  <c r="E309" i="5" a="1"/>
  <c r="E309" i="5"/>
  <c r="F309" i="5" a="1"/>
  <c r="F309" i="5" s="1"/>
  <c r="G309" i="5" a="1"/>
  <c r="G309" i="5" s="1"/>
  <c r="H309" i="5" a="1"/>
  <c r="H309" i="5"/>
  <c r="I309" i="5" a="1"/>
  <c r="I309" i="5" s="1"/>
  <c r="C310" i="5" a="1"/>
  <c r="C310" i="5" s="1"/>
  <c r="D310" i="5" a="1"/>
  <c r="D310" i="5" s="1"/>
  <c r="E310" i="5" a="1"/>
  <c r="E310" i="5"/>
  <c r="F310" i="5" a="1"/>
  <c r="F310" i="5"/>
  <c r="G310" i="5" a="1"/>
  <c r="G310" i="5" s="1"/>
  <c r="H310" i="5" a="1"/>
  <c r="H310" i="5" s="1"/>
  <c r="I310" i="5" a="1"/>
  <c r="I310" i="5" s="1"/>
  <c r="C311" i="5" a="1"/>
  <c r="C311" i="5"/>
  <c r="D311" i="5" a="1"/>
  <c r="D311" i="5" s="1"/>
  <c r="E311" i="5" a="1"/>
  <c r="E311" i="5"/>
  <c r="F311" i="5" a="1"/>
  <c r="F311" i="5" s="1"/>
  <c r="G311" i="5" a="1"/>
  <c r="G311" i="5"/>
  <c r="H311" i="5" a="1"/>
  <c r="H311" i="5" s="1"/>
  <c r="I311" i="5" a="1"/>
  <c r="I311" i="5" s="1"/>
  <c r="C312" i="5" a="1"/>
  <c r="C312" i="5" s="1"/>
  <c r="D312" i="5" a="1"/>
  <c r="D312" i="5" s="1"/>
  <c r="E312" i="5" a="1"/>
  <c r="E312" i="5" s="1"/>
  <c r="F312" i="5" a="1"/>
  <c r="F312" i="5"/>
  <c r="G312" i="5" a="1"/>
  <c r="G312" i="5"/>
  <c r="H312" i="5" a="1"/>
  <c r="H312" i="5" s="1"/>
  <c r="I312" i="5" a="1"/>
  <c r="I312" i="5" s="1"/>
  <c r="C313" i="5" a="1"/>
  <c r="C313" i="5"/>
  <c r="D313" i="5" a="1"/>
  <c r="D313" i="5" s="1"/>
  <c r="E313" i="5" a="1"/>
  <c r="E313" i="5" s="1"/>
  <c r="F313" i="5" a="1"/>
  <c r="F313" i="5" s="1"/>
  <c r="G313" i="5" a="1"/>
  <c r="G313" i="5"/>
  <c r="H313" i="5" a="1"/>
  <c r="H313" i="5"/>
  <c r="I313" i="5" a="1"/>
  <c r="I313" i="5"/>
  <c r="C314" i="5" a="1"/>
  <c r="C314" i="5" s="1"/>
  <c r="D314" i="5" a="1"/>
  <c r="D314" i="5" s="1"/>
  <c r="E314" i="5" a="1"/>
  <c r="E314" i="5"/>
  <c r="F314" i="5" a="1"/>
  <c r="F314" i="5" s="1"/>
  <c r="G314" i="5" a="1"/>
  <c r="G314" i="5" s="1"/>
  <c r="H314" i="5" a="1"/>
  <c r="H314" i="5" s="1"/>
  <c r="I314" i="5" a="1"/>
  <c r="I314" i="5"/>
  <c r="C315" i="5" a="1"/>
  <c r="C315" i="5"/>
  <c r="D315" i="5" a="1"/>
  <c r="D315" i="5" s="1"/>
  <c r="E315" i="5" a="1"/>
  <c r="E315" i="5" s="1"/>
  <c r="F315" i="5" a="1"/>
  <c r="F315" i="5" s="1"/>
  <c r="G315" i="5" a="1"/>
  <c r="G315" i="5"/>
  <c r="H315" i="5" a="1"/>
  <c r="H315" i="5" s="1"/>
  <c r="I315" i="5" a="1"/>
  <c r="I315" i="5"/>
  <c r="C316" i="5" a="1"/>
  <c r="C316" i="5" s="1"/>
  <c r="D316" i="5" a="1"/>
  <c r="D316" i="5"/>
  <c r="E316" i="5" a="1"/>
  <c r="E316" i="5" s="1"/>
  <c r="F316" i="5" a="1"/>
  <c r="F316" i="5" s="1"/>
  <c r="G316" i="5" a="1"/>
  <c r="G316" i="5" s="1"/>
  <c r="H316" i="5" a="1"/>
  <c r="H316" i="5" s="1"/>
  <c r="I316" i="5" a="1"/>
  <c r="I316" i="5" s="1"/>
  <c r="C317" i="5" a="1"/>
  <c r="C317" i="5"/>
  <c r="D317" i="5" a="1"/>
  <c r="D317" i="5"/>
  <c r="E317" i="5" a="1"/>
  <c r="E317" i="5" s="1"/>
  <c r="F317" i="5" a="1"/>
  <c r="F317" i="5" s="1"/>
  <c r="G317" i="5" a="1"/>
  <c r="G317" i="5"/>
  <c r="H317" i="5" a="1"/>
  <c r="H317" i="5" s="1"/>
  <c r="I317" i="5" a="1"/>
  <c r="I317" i="5" s="1"/>
  <c r="C318" i="5" a="1"/>
  <c r="C318" i="5" s="1"/>
  <c r="D318" i="5" a="1"/>
  <c r="D318" i="5"/>
  <c r="E318" i="5" a="1"/>
  <c r="E318" i="5"/>
  <c r="F318" i="5" a="1"/>
  <c r="F318" i="5"/>
  <c r="G318" i="5" a="1"/>
  <c r="G318" i="5" s="1"/>
  <c r="H318" i="5" a="1"/>
  <c r="H318" i="5" s="1"/>
  <c r="I318" i="5" a="1"/>
  <c r="I318" i="5"/>
  <c r="D6" i="5" a="1"/>
  <c r="D6" i="5" s="1"/>
  <c r="E6" i="5" a="1"/>
  <c r="E6" i="5" s="1"/>
  <c r="F6" i="5" a="1"/>
  <c r="F6" i="5" s="1"/>
  <c r="G6" i="5" a="1"/>
  <c r="G6" i="5" s="1"/>
  <c r="H6" i="5" a="1"/>
  <c r="H6" i="5" s="1"/>
  <c r="I6" i="5" a="1"/>
  <c r="I6" i="5" s="1"/>
  <c r="C7" i="5" a="1"/>
  <c r="C7" i="5" s="1"/>
  <c r="B8" i="5"/>
  <c r="B9" i="5" s="1"/>
  <c r="I1" i="5"/>
  <c r="H1" i="5"/>
  <c r="G1" i="5"/>
  <c r="F1" i="5"/>
  <c r="E1" i="5"/>
  <c r="D1" i="5"/>
  <c r="BD11" i="6" l="1"/>
  <c r="BB10" i="6"/>
  <c r="BE11" i="6"/>
  <c r="BD10" i="6"/>
  <c r="BF10" i="6"/>
  <c r="BF11" i="6"/>
  <c r="BE10" i="6"/>
  <c r="BH11" i="6"/>
  <c r="BG11" i="6"/>
  <c r="BI12" i="6"/>
  <c r="BG10" i="6"/>
  <c r="AS11" i="6"/>
  <c r="AS9" i="6"/>
  <c r="AS10" i="6"/>
  <c r="BI10" i="6"/>
  <c r="BH9" i="6"/>
  <c r="BG12" i="6"/>
  <c r="BB11" i="6"/>
  <c r="BI9" i="6"/>
  <c r="BH12" i="6"/>
  <c r="BI11" i="6"/>
  <c r="BH10" i="6"/>
  <c r="BG9" i="6"/>
  <c r="BF12" i="6"/>
  <c r="BF9" i="6"/>
  <c r="BE12" i="6"/>
  <c r="BE9" i="6"/>
  <c r="BD12" i="6"/>
  <c r="BD9" i="6"/>
  <c r="BB12" i="6"/>
  <c r="BB9" i="6"/>
  <c r="A15" i="9"/>
  <c r="A20" i="9" s="1"/>
  <c r="A25" i="9" s="1"/>
  <c r="A30" i="9" s="1"/>
  <c r="A35" i="9" s="1"/>
  <c r="A40" i="9" s="1"/>
  <c r="A45" i="9" s="1"/>
  <c r="A50" i="9" s="1"/>
  <c r="A55" i="9" s="1"/>
  <c r="A60" i="9" s="1"/>
  <c r="A65" i="9" s="1"/>
  <c r="A70" i="9" s="1"/>
  <c r="A75" i="9" s="1"/>
  <c r="A80" i="9" s="1"/>
  <c r="A85" i="9" s="1"/>
  <c r="A90" i="9" s="1"/>
  <c r="A95" i="9" s="1"/>
  <c r="A100" i="9" s="1"/>
  <c r="A105" i="9" s="1"/>
  <c r="A110" i="9" s="1"/>
  <c r="A115" i="9" s="1"/>
  <c r="A120" i="9" s="1"/>
  <c r="A125" i="9" s="1"/>
  <c r="A130" i="9" s="1"/>
  <c r="A135" i="9" s="1"/>
  <c r="A140" i="9" s="1"/>
  <c r="A145" i="9" s="1"/>
  <c r="A150" i="9" s="1"/>
  <c r="A155" i="9" s="1"/>
  <c r="A160" i="9" s="1"/>
  <c r="A165" i="9" s="1"/>
  <c r="A11" i="9"/>
  <c r="L18" i="6"/>
  <c r="K18" i="6"/>
  <c r="P11" i="6"/>
  <c r="J18" i="6"/>
  <c r="J3" i="6"/>
  <c r="O17" i="6"/>
  <c r="N16" i="6"/>
  <c r="M15" i="6"/>
  <c r="L14" i="6"/>
  <c r="K13" i="6"/>
  <c r="J12" i="6"/>
  <c r="P10" i="6"/>
  <c r="O9" i="6"/>
  <c r="N8" i="6"/>
  <c r="M7" i="6"/>
  <c r="L6" i="6"/>
  <c r="K5" i="6"/>
  <c r="J4" i="6"/>
  <c r="O18" i="6"/>
  <c r="L15" i="6"/>
  <c r="J13" i="6"/>
  <c r="AC18" i="6"/>
  <c r="AC10" i="6"/>
  <c r="AC17" i="6"/>
  <c r="AC9" i="6"/>
  <c r="AC16" i="6"/>
  <c r="AC8" i="6"/>
  <c r="AC15" i="6"/>
  <c r="AC7" i="6"/>
  <c r="L11" i="6"/>
  <c r="AC14" i="6"/>
  <c r="AC6" i="6"/>
  <c r="AC13" i="6"/>
  <c r="AC5" i="6"/>
  <c r="AC12" i="6"/>
  <c r="AC4" i="6"/>
  <c r="AR5" i="6"/>
  <c r="P3" i="6"/>
  <c r="P18" i="6"/>
  <c r="N17" i="6"/>
  <c r="U15" i="6"/>
  <c r="Y3" i="6"/>
  <c r="AR6" i="6"/>
  <c r="AY4" i="6"/>
  <c r="AY9" i="6" s="1"/>
  <c r="O3" i="6"/>
  <c r="P17" i="6"/>
  <c r="O16" i="6"/>
  <c r="N15" i="6"/>
  <c r="M14" i="6"/>
  <c r="P12" i="6"/>
  <c r="O11" i="6"/>
  <c r="N10" i="6"/>
  <c r="P9" i="6"/>
  <c r="O8" i="6"/>
  <c r="N7" i="6"/>
  <c r="M6" i="6"/>
  <c r="P4" i="6"/>
  <c r="T15" i="6"/>
  <c r="T7" i="6"/>
  <c r="U18" i="6"/>
  <c r="W16" i="6"/>
  <c r="X11" i="6"/>
  <c r="W8" i="6"/>
  <c r="X3" i="6"/>
  <c r="N3" i="6"/>
  <c r="N18" i="6"/>
  <c r="K14" i="6"/>
  <c r="W3" i="6"/>
  <c r="M3" i="6"/>
  <c r="K17" i="6"/>
  <c r="J16" i="6"/>
  <c r="P14" i="6"/>
  <c r="O13" i="6"/>
  <c r="N12" i="6"/>
  <c r="M11" i="6"/>
  <c r="L10" i="6"/>
  <c r="K9" i="6"/>
  <c r="J8" i="6"/>
  <c r="P6" i="6"/>
  <c r="O5" i="6"/>
  <c r="N4" i="6"/>
  <c r="T13" i="6"/>
  <c r="AJ13" i="6" s="1"/>
  <c r="T5" i="6"/>
  <c r="AE5" i="6" s="1"/>
  <c r="X17" i="6"/>
  <c r="U16" i="6"/>
  <c r="AK16" i="6" s="1"/>
  <c r="Y12" i="6"/>
  <c r="V11" i="6"/>
  <c r="X9" i="6"/>
  <c r="U8" i="6"/>
  <c r="V3" i="6"/>
  <c r="V7" i="6"/>
  <c r="AU7" i="6"/>
  <c r="L3" i="6"/>
  <c r="J17" i="6"/>
  <c r="P15" i="6"/>
  <c r="O14" i="6"/>
  <c r="N13" i="6"/>
  <c r="M12" i="6"/>
  <c r="K10" i="6"/>
  <c r="J9" i="6"/>
  <c r="P7" i="6"/>
  <c r="O6" i="6"/>
  <c r="N5" i="6"/>
  <c r="M4" i="6"/>
  <c r="Y15" i="6"/>
  <c r="U11" i="6"/>
  <c r="Y7" i="6"/>
  <c r="U3" i="6"/>
  <c r="V15" i="6"/>
  <c r="AW6" i="6"/>
  <c r="AV5" i="6"/>
  <c r="AU4" i="6"/>
  <c r="AU9" i="6" s="1"/>
  <c r="K3" i="6"/>
  <c r="P16" i="6"/>
  <c r="O15" i="6"/>
  <c r="N14" i="6"/>
  <c r="M13" i="6"/>
  <c r="L12" i="6"/>
  <c r="J11" i="6"/>
  <c r="J10" i="6"/>
  <c r="P8" i="6"/>
  <c r="O7" i="6"/>
  <c r="N6" i="6"/>
  <c r="M5" i="6"/>
  <c r="L4" i="6"/>
  <c r="T3" i="6"/>
  <c r="T11" i="6"/>
  <c r="V17" i="6"/>
  <c r="X15" i="6"/>
  <c r="U14" i="6"/>
  <c r="AJ14" i="6" s="1"/>
  <c r="W12" i="6"/>
  <c r="Y10" i="6"/>
  <c r="V9" i="6"/>
  <c r="X7" i="6"/>
  <c r="U6" i="6"/>
  <c r="AD6" i="6" s="1"/>
  <c r="W4" i="6"/>
  <c r="T18" i="6"/>
  <c r="T10" i="6"/>
  <c r="V12" i="6"/>
  <c r="V4" i="6"/>
  <c r="AV6" i="6"/>
  <c r="AU5" i="6"/>
  <c r="AT4" i="6"/>
  <c r="AT9" i="6" s="1"/>
  <c r="AR7" i="6"/>
  <c r="M17" i="6"/>
  <c r="L16" i="6"/>
  <c r="K15" i="6"/>
  <c r="J14" i="6"/>
  <c r="M9" i="6"/>
  <c r="L8" i="6"/>
  <c r="K7" i="6"/>
  <c r="J6" i="6"/>
  <c r="M16" i="6"/>
  <c r="O10" i="6"/>
  <c r="N9" i="6"/>
  <c r="M8" i="6"/>
  <c r="L7" i="6"/>
  <c r="K6" i="6"/>
  <c r="J5" i="6"/>
  <c r="AU6" i="6"/>
  <c r="AT5" i="6"/>
  <c r="AR4" i="6"/>
  <c r="AR9" i="6" s="1"/>
  <c r="M18" i="6"/>
  <c r="L17" i="6"/>
  <c r="K16" i="6"/>
  <c r="J15" i="6"/>
  <c r="P13" i="6"/>
  <c r="O12" i="6"/>
  <c r="N11" i="6"/>
  <c r="M10" i="6"/>
  <c r="L9" i="6"/>
  <c r="K8" i="6"/>
  <c r="J7" i="6"/>
  <c r="P5" i="6"/>
  <c r="O4" i="6"/>
  <c r="AY7" i="6"/>
  <c r="AX7" i="6"/>
  <c r="AT7" i="6"/>
  <c r="AY5" i="6"/>
  <c r="AX4" i="6"/>
  <c r="AX9" i="6" s="1"/>
  <c r="AW7" i="6"/>
  <c r="K11" i="6"/>
  <c r="AY6" i="6"/>
  <c r="AY11" i="6" s="1"/>
  <c r="AX5" i="6"/>
  <c r="AW4" i="6"/>
  <c r="AW9" i="6" s="1"/>
  <c r="AV7" i="6"/>
  <c r="L13" i="6"/>
  <c r="K12" i="6"/>
  <c r="L5" i="6"/>
  <c r="K4" i="6"/>
  <c r="AX6" i="6"/>
  <c r="AW5" i="6"/>
  <c r="AV4" i="6"/>
  <c r="AV9" i="6" s="1"/>
  <c r="AT6" i="6"/>
  <c r="AT3" i="6"/>
  <c r="B10" i="5"/>
  <c r="D7" i="5" a="1"/>
  <c r="D7" i="5" s="1"/>
  <c r="E7" i="5" a="1"/>
  <c r="E7" i="5" s="1"/>
  <c r="F7" i="5" a="1"/>
  <c r="F7" i="5" s="1"/>
  <c r="G7" i="5" a="1"/>
  <c r="G7" i="5" s="1"/>
  <c r="H7" i="5" a="1"/>
  <c r="H7" i="5" s="1"/>
  <c r="I7" i="5" a="1"/>
  <c r="I7" i="5" s="1"/>
  <c r="AT11" i="6" l="1"/>
  <c r="AR12" i="6"/>
  <c r="AD15" i="6"/>
  <c r="AW10" i="6"/>
  <c r="AX10" i="6"/>
  <c r="AW12" i="6"/>
  <c r="AR11" i="6"/>
  <c r="AY12" i="6"/>
  <c r="AU11" i="6"/>
  <c r="AV10" i="6"/>
  <c r="AU10" i="6"/>
  <c r="AW11" i="6"/>
  <c r="AV11" i="6"/>
  <c r="AD9" i="6"/>
  <c r="AR10" i="6"/>
  <c r="AY10" i="6"/>
  <c r="AX11" i="6"/>
  <c r="AV12" i="6"/>
  <c r="AT12" i="6"/>
  <c r="AU12" i="6"/>
  <c r="AX12" i="6"/>
  <c r="AT10" i="6"/>
  <c r="AD4" i="6"/>
  <c r="AN7" i="6"/>
  <c r="AD3" i="6"/>
  <c r="AD10" i="6"/>
  <c r="AL18" i="6"/>
  <c r="AL17" i="6"/>
  <c r="AD11" i="6"/>
  <c r="AO12" i="6"/>
  <c r="AD12" i="6"/>
  <c r="AD8" i="6"/>
  <c r="AL11" i="6"/>
  <c r="AD14" i="6"/>
  <c r="AM13" i="6"/>
  <c r="A12" i="9"/>
  <c r="A17" i="9" s="1"/>
  <c r="A22" i="9" s="1"/>
  <c r="A27" i="9" s="1"/>
  <c r="A32" i="9" s="1"/>
  <c r="A37" i="9" s="1"/>
  <c r="A42" i="9" s="1"/>
  <c r="A47" i="9" s="1"/>
  <c r="A52" i="9" s="1"/>
  <c r="A57" i="9" s="1"/>
  <c r="A62" i="9" s="1"/>
  <c r="A67" i="9" s="1"/>
  <c r="A72" i="9" s="1"/>
  <c r="A77" i="9" s="1"/>
  <c r="A82" i="9" s="1"/>
  <c r="A87" i="9" s="1"/>
  <c r="A92" i="9" s="1"/>
  <c r="A97" i="9" s="1"/>
  <c r="A102" i="9" s="1"/>
  <c r="A107" i="9" s="1"/>
  <c r="A112" i="9" s="1"/>
  <c r="A117" i="9" s="1"/>
  <c r="A122" i="9" s="1"/>
  <c r="A127" i="9" s="1"/>
  <c r="A132" i="9" s="1"/>
  <c r="A137" i="9" s="1"/>
  <c r="A142" i="9" s="1"/>
  <c r="A147" i="9" s="1"/>
  <c r="A152" i="9" s="1"/>
  <c r="A157" i="9" s="1"/>
  <c r="A162" i="9" s="1"/>
  <c r="A16" i="9"/>
  <c r="A21" i="9" s="1"/>
  <c r="A26" i="9" s="1"/>
  <c r="A31" i="9" s="1"/>
  <c r="A36" i="9" s="1"/>
  <c r="A41" i="9" s="1"/>
  <c r="A46" i="9" s="1"/>
  <c r="A51" i="9" s="1"/>
  <c r="A56" i="9" s="1"/>
  <c r="A61" i="9" s="1"/>
  <c r="A66" i="9" s="1"/>
  <c r="A71" i="9" s="1"/>
  <c r="A76" i="9" s="1"/>
  <c r="A81" i="9" s="1"/>
  <c r="A86" i="9" s="1"/>
  <c r="A91" i="9" s="1"/>
  <c r="A96" i="9" s="1"/>
  <c r="A101" i="9" s="1"/>
  <c r="A106" i="9" s="1"/>
  <c r="A111" i="9" s="1"/>
  <c r="A116" i="9" s="1"/>
  <c r="A121" i="9" s="1"/>
  <c r="A126" i="9" s="1"/>
  <c r="A131" i="9" s="1"/>
  <c r="A136" i="9" s="1"/>
  <c r="A141" i="9" s="1"/>
  <c r="A146" i="9" s="1"/>
  <c r="A151" i="9" s="1"/>
  <c r="A156" i="9" s="1"/>
  <c r="A161" i="9" s="1"/>
  <c r="A166" i="9" s="1"/>
  <c r="AD7" i="6"/>
  <c r="AL3" i="6"/>
  <c r="AD17" i="6"/>
  <c r="AD16" i="6"/>
  <c r="AD5" i="6"/>
  <c r="AD13" i="6"/>
  <c r="AN9" i="6"/>
  <c r="AE3" i="6"/>
  <c r="AF3" i="6" s="1"/>
  <c r="AD18" i="6"/>
  <c r="AN10" i="6"/>
  <c r="AO5" i="6"/>
  <c r="AN18" i="6"/>
  <c r="AN15" i="6"/>
  <c r="AN11" i="6"/>
  <c r="AM11" i="6"/>
  <c r="AJ12" i="6"/>
  <c r="AK5" i="6"/>
  <c r="AE9" i="6"/>
  <c r="AF9" i="6" s="1"/>
  <c r="AK6" i="6"/>
  <c r="AL6" i="6"/>
  <c r="AE13" i="6"/>
  <c r="AF13" i="6" s="1"/>
  <c r="AK14" i="6"/>
  <c r="AE15" i="6"/>
  <c r="AF15" i="6" s="1"/>
  <c r="AK13" i="6"/>
  <c r="AE6" i="6"/>
  <c r="AF6" i="6" s="1"/>
  <c r="AI3" i="6"/>
  <c r="AK8" i="6"/>
  <c r="AN6" i="6"/>
  <c r="AE18" i="6"/>
  <c r="AF18" i="6" s="1"/>
  <c r="AF5" i="6"/>
  <c r="AL4" i="6"/>
  <c r="AE11" i="6"/>
  <c r="AF11" i="6" s="1"/>
  <c r="AL5" i="6"/>
  <c r="AO18" i="6"/>
  <c r="AE4" i="6"/>
  <c r="AF4" i="6" s="1"/>
  <c r="AM7" i="6"/>
  <c r="AI12" i="6"/>
  <c r="AL13" i="6"/>
  <c r="AJ16" i="6"/>
  <c r="AE12" i="6"/>
  <c r="AF12" i="6" s="1"/>
  <c r="AE8" i="6"/>
  <c r="AF8" i="6" s="1"/>
  <c r="AJ3" i="6"/>
  <c r="AM9" i="6"/>
  <c r="AO16" i="6"/>
  <c r="AE7" i="6"/>
  <c r="AF7" i="6" s="1"/>
  <c r="AI9" i="6"/>
  <c r="AN13" i="6"/>
  <c r="AM14" i="6"/>
  <c r="AM10" i="6"/>
  <c r="AE16" i="6"/>
  <c r="AF16" i="6" s="1"/>
  <c r="AK12" i="6"/>
  <c r="AE17" i="6"/>
  <c r="AF17" i="6" s="1"/>
  <c r="AO4" i="6"/>
  <c r="AI11" i="6"/>
  <c r="AE14" i="6"/>
  <c r="AF14" i="6" s="1"/>
  <c r="AE10" i="6"/>
  <c r="AF10" i="6" s="1"/>
  <c r="AK4" i="6"/>
  <c r="AM4" i="6"/>
  <c r="AN3" i="6"/>
  <c r="AO3" i="6"/>
  <c r="AI16" i="6"/>
  <c r="AJ11" i="6"/>
  <c r="AJ4" i="6"/>
  <c r="AM8" i="6"/>
  <c r="AK15" i="6"/>
  <c r="AI4" i="6"/>
  <c r="AL14" i="6"/>
  <c r="AM6" i="6"/>
  <c r="AN14" i="6"/>
  <c r="AI8" i="6"/>
  <c r="AK17" i="6"/>
  <c r="AM15" i="6"/>
  <c r="AL9" i="6"/>
  <c r="AL15" i="6"/>
  <c r="AN16" i="6"/>
  <c r="AK9" i="6"/>
  <c r="AK11" i="6"/>
  <c r="AI10" i="6"/>
  <c r="AJ10" i="6"/>
  <c r="AO10" i="6"/>
  <c r="AN17" i="6"/>
  <c r="AM3" i="6"/>
  <c r="AK18" i="6"/>
  <c r="AO17" i="6"/>
  <c r="AJ9" i="6"/>
  <c r="AO6" i="6"/>
  <c r="AL10" i="6"/>
  <c r="AJ6" i="6"/>
  <c r="AI14" i="6"/>
  <c r="AL8" i="6"/>
  <c r="AO11" i="6"/>
  <c r="AL12" i="6"/>
  <c r="AM16" i="6"/>
  <c r="AN4" i="6"/>
  <c r="AJ18" i="6"/>
  <c r="AI18" i="6"/>
  <c r="AM12" i="6"/>
  <c r="AO7" i="6"/>
  <c r="AL7" i="6"/>
  <c r="AI5" i="6"/>
  <c r="AJ5" i="6"/>
  <c r="AN5" i="6"/>
  <c r="AI7" i="6"/>
  <c r="AJ7" i="6"/>
  <c r="AN8" i="6"/>
  <c r="AO8" i="6"/>
  <c r="AM18" i="6"/>
  <c r="AK10" i="6"/>
  <c r="AN12" i="6"/>
  <c r="AI6" i="6"/>
  <c r="AL16" i="6"/>
  <c r="AO15" i="6"/>
  <c r="AJ8" i="6"/>
  <c r="AI17" i="6"/>
  <c r="AK3" i="6"/>
  <c r="AJ17" i="6"/>
  <c r="AI15" i="6"/>
  <c r="AJ15" i="6"/>
  <c r="AO9" i="6"/>
  <c r="AI13" i="6"/>
  <c r="AM5" i="6"/>
  <c r="AO14" i="6"/>
  <c r="AO13" i="6"/>
  <c r="AK7" i="6"/>
  <c r="AM17" i="6"/>
  <c r="B11" i="5"/>
  <c r="B12" i="5" l="1"/>
  <c r="B13" i="5" l="1"/>
  <c r="B14" i="5" l="1"/>
  <c r="B15" i="5" l="1"/>
  <c r="B16" i="5" l="1"/>
  <c r="B17" i="5" l="1"/>
  <c r="B18" i="5" l="1"/>
  <c r="B19" i="5" l="1"/>
  <c r="B20" i="5" l="1"/>
  <c r="B21" i="5" l="1"/>
  <c r="B22" i="5" l="1"/>
  <c r="B23" i="5" l="1"/>
  <c r="B24" i="5" l="1"/>
  <c r="B25" i="5" l="1"/>
  <c r="B26" i="5" l="1"/>
  <c r="B27" i="5" l="1"/>
  <c r="B28" i="5" l="1"/>
  <c r="B29" i="5" l="1"/>
  <c r="B30" i="5" l="1"/>
  <c r="B31" i="5" l="1"/>
  <c r="B32" i="5" l="1"/>
  <c r="B33" i="5" l="1"/>
  <c r="B34" i="5" l="1"/>
  <c r="B35" i="5" l="1"/>
  <c r="B36" i="5" l="1"/>
  <c r="B37" i="5" l="1"/>
  <c r="B38" i="5" l="1"/>
  <c r="B39" i="5" l="1"/>
  <c r="B40" i="5" l="1"/>
  <c r="B41" i="5" l="1"/>
  <c r="B42" i="5" l="1"/>
  <c r="B43" i="5" l="1"/>
  <c r="B44" i="5" l="1"/>
  <c r="B45" i="5" l="1"/>
  <c r="B46" i="5" l="1"/>
  <c r="B47" i="5" l="1"/>
  <c r="B48" i="5" l="1"/>
  <c r="B49" i="5" l="1"/>
  <c r="B50" i="5" l="1"/>
  <c r="B51" i="5" l="1"/>
  <c r="B52" i="5" l="1"/>
  <c r="B53" i="5" l="1"/>
  <c r="B54" i="5" l="1"/>
  <c r="B55" i="5" l="1"/>
  <c r="B56" i="5" l="1"/>
  <c r="B57" i="5" l="1"/>
  <c r="B58" i="5" l="1"/>
  <c r="B59" i="5" l="1"/>
  <c r="B60" i="5" l="1"/>
  <c r="B61" i="5" l="1"/>
  <c r="B62" i="5" l="1"/>
  <c r="B63" i="5" l="1"/>
  <c r="B64" i="5" l="1"/>
  <c r="B65" i="5" l="1"/>
  <c r="B66" i="5" l="1"/>
  <c r="B67" i="5" l="1"/>
  <c r="B68" i="5" l="1"/>
  <c r="B69" i="5" l="1"/>
  <c r="B70" i="5" l="1"/>
  <c r="B71" i="5" l="1"/>
  <c r="B72" i="5" l="1"/>
  <c r="B73" i="5" l="1"/>
  <c r="B74" i="5" l="1"/>
  <c r="B75" i="5" l="1"/>
  <c r="B76" i="5" l="1"/>
  <c r="B77" i="5" l="1"/>
  <c r="B78" i="5" l="1"/>
  <c r="B79" i="5" l="1"/>
  <c r="B80" i="5" l="1"/>
  <c r="B81" i="5" l="1"/>
  <c r="B82" i="5" l="1"/>
  <c r="B83" i="5" l="1"/>
  <c r="B84" i="5" l="1"/>
  <c r="B85" i="5" l="1"/>
  <c r="B86" i="5" l="1"/>
  <c r="B87" i="5" l="1"/>
  <c r="B88" i="5" l="1"/>
  <c r="B89" i="5" l="1"/>
  <c r="B90" i="5" l="1"/>
  <c r="B91" i="5" l="1"/>
  <c r="B92" i="5" l="1"/>
  <c r="B93" i="5" l="1"/>
  <c r="B94" i="5" l="1"/>
  <c r="B95" i="5" l="1"/>
  <c r="B96" i="5" l="1"/>
  <c r="B97" i="5" l="1"/>
  <c r="B98" i="5" l="1"/>
  <c r="B99" i="5" l="1"/>
  <c r="B100" i="5" l="1"/>
  <c r="B101" i="5" l="1"/>
  <c r="B102" i="5" l="1"/>
  <c r="B103" i="5" l="1"/>
  <c r="B104" i="5" l="1"/>
  <c r="B105" i="5" l="1"/>
  <c r="B106" i="5" l="1"/>
  <c r="B107" i="5" l="1"/>
  <c r="B108" i="5" l="1"/>
  <c r="B109" i="5" l="1"/>
  <c r="B110" i="5" l="1"/>
  <c r="B111" i="5" l="1"/>
  <c r="B112" i="5" l="1"/>
  <c r="B113" i="5" l="1"/>
  <c r="B114" i="5" l="1"/>
  <c r="B115" i="5" l="1"/>
  <c r="B116" i="5" l="1"/>
  <c r="B117" i="5" l="1"/>
  <c r="B118" i="5" l="1"/>
  <c r="B119" i="5" l="1"/>
  <c r="B120" i="5" l="1"/>
  <c r="B121" i="5" l="1"/>
  <c r="B122" i="5" l="1"/>
  <c r="B123" i="5" l="1"/>
  <c r="B124" i="5" l="1"/>
  <c r="B125" i="5" l="1"/>
  <c r="B126" i="5" l="1"/>
  <c r="B127" i="5" l="1"/>
  <c r="B128" i="5" l="1"/>
  <c r="B129" i="5" l="1"/>
  <c r="B130" i="5" l="1"/>
  <c r="B131" i="5" l="1"/>
  <c r="B132" i="5" l="1"/>
  <c r="B133" i="5" l="1"/>
  <c r="B134" i="5" l="1"/>
  <c r="B135" i="5" l="1"/>
  <c r="B136" i="5" l="1"/>
  <c r="B137" i="5" l="1"/>
  <c r="B138" i="5" l="1"/>
  <c r="B139" i="5" l="1"/>
  <c r="B140" i="5" l="1"/>
  <c r="B141" i="5" l="1"/>
  <c r="B142" i="5" l="1"/>
  <c r="B143" i="5" l="1"/>
  <c r="B144" i="5" l="1"/>
  <c r="B145" i="5" l="1"/>
  <c r="B146" i="5" l="1"/>
  <c r="B147" i="5" l="1"/>
  <c r="B148" i="5" l="1"/>
  <c r="B149" i="5" l="1"/>
  <c r="B150" i="5" l="1"/>
  <c r="B151" i="5" l="1"/>
  <c r="B152" i="5" l="1"/>
  <c r="B153" i="5" l="1"/>
  <c r="B154" i="5" l="1"/>
  <c r="B155" i="5" l="1"/>
  <c r="B156" i="5" l="1"/>
  <c r="B157" i="5" l="1"/>
  <c r="B158" i="5" l="1"/>
  <c r="B159" i="5" l="1"/>
  <c r="B160" i="5" l="1"/>
  <c r="B161" i="5" l="1"/>
  <c r="B162" i="5" l="1"/>
  <c r="B163" i="5" l="1"/>
  <c r="B164" i="5" l="1"/>
  <c r="B165" i="5" l="1"/>
  <c r="B166" i="5" l="1"/>
  <c r="B167" i="5" l="1"/>
  <c r="B168" i="5" l="1"/>
  <c r="B169" i="5" l="1"/>
  <c r="B170" i="5" l="1"/>
  <c r="B171" i="5" l="1"/>
  <c r="B172" i="5" l="1"/>
  <c r="B173" i="5" l="1"/>
  <c r="B174" i="5" l="1"/>
  <c r="B175" i="5" l="1"/>
  <c r="B176" i="5" l="1"/>
  <c r="B177" i="5" l="1"/>
  <c r="B178" i="5" l="1"/>
  <c r="B179" i="5" l="1"/>
  <c r="B180" i="5" l="1"/>
  <c r="B181" i="5" l="1"/>
  <c r="B182" i="5" l="1"/>
  <c r="B183" i="5" l="1"/>
  <c r="B184" i="5" l="1"/>
  <c r="B185" i="5" l="1"/>
  <c r="B186" i="5" l="1"/>
  <c r="B187" i="5" l="1"/>
  <c r="B188" i="5" l="1"/>
  <c r="B189" i="5" l="1"/>
  <c r="B190" i="5" l="1"/>
  <c r="B191" i="5" l="1"/>
  <c r="B192" i="5" l="1"/>
  <c r="B193" i="5" l="1"/>
  <c r="B194" i="5" l="1"/>
  <c r="B195" i="5" l="1"/>
  <c r="B196" i="5" l="1"/>
  <c r="B197" i="5" l="1"/>
  <c r="B198" i="5" l="1"/>
  <c r="B199" i="5" l="1"/>
  <c r="B200" i="5" l="1"/>
  <c r="B201" i="5" l="1"/>
  <c r="B202" i="5" l="1"/>
  <c r="B203" i="5" l="1"/>
  <c r="B204" i="5" l="1"/>
  <c r="B205" i="5" l="1"/>
  <c r="B206" i="5" l="1"/>
  <c r="B207" i="5" l="1"/>
  <c r="B208" i="5" l="1"/>
  <c r="B209" i="5" l="1"/>
  <c r="B210" i="5" l="1"/>
  <c r="B211" i="5" l="1"/>
  <c r="B212" i="5" l="1"/>
  <c r="B213" i="5" l="1"/>
  <c r="B214" i="5" l="1"/>
  <c r="B215" i="5" l="1"/>
  <c r="B216" i="5" l="1"/>
  <c r="B217" i="5" l="1"/>
  <c r="B218" i="5" l="1"/>
  <c r="B219" i="5" l="1"/>
  <c r="B220" i="5" l="1"/>
  <c r="B221" i="5" l="1"/>
  <c r="B222" i="5" l="1"/>
  <c r="B223" i="5" l="1"/>
  <c r="B224" i="5" l="1"/>
  <c r="B225" i="5" l="1"/>
  <c r="B226" i="5" l="1"/>
  <c r="B227" i="5" l="1"/>
  <c r="B228" i="5" l="1"/>
  <c r="B229" i="5" l="1"/>
  <c r="B230" i="5" l="1"/>
  <c r="B231" i="5" l="1"/>
  <c r="B232" i="5" l="1"/>
  <c r="B233" i="5" l="1"/>
  <c r="B234" i="5" l="1"/>
  <c r="B235" i="5" l="1"/>
  <c r="B236" i="5" l="1"/>
  <c r="B237" i="5" l="1"/>
  <c r="B238" i="5" l="1"/>
  <c r="B239" i="5" l="1"/>
  <c r="B240" i="5" l="1"/>
  <c r="B241" i="5" l="1"/>
  <c r="B242" i="5" l="1"/>
  <c r="B243" i="5" l="1"/>
  <c r="B244" i="5" l="1"/>
  <c r="B245" i="5" l="1"/>
  <c r="B246" i="5" l="1"/>
  <c r="B247" i="5" l="1"/>
  <c r="B248" i="5" l="1"/>
  <c r="B249" i="5" l="1"/>
  <c r="B250" i="5" l="1"/>
  <c r="B251" i="5" l="1"/>
  <c r="B252" i="5" l="1"/>
  <c r="B253" i="5" l="1"/>
  <c r="B254" i="5" l="1"/>
  <c r="B255" i="5" l="1"/>
  <c r="B256" i="5" l="1"/>
  <c r="B257" i="5" l="1"/>
  <c r="B258" i="5" l="1"/>
  <c r="B259" i="5" l="1"/>
  <c r="B260" i="5" l="1"/>
  <c r="B261" i="5" l="1"/>
  <c r="B262" i="5" l="1"/>
  <c r="B263" i="5" l="1"/>
  <c r="B264" i="5" l="1"/>
  <c r="B265" i="5" l="1"/>
  <c r="B266" i="5" l="1"/>
  <c r="B267" i="5" l="1"/>
  <c r="B268" i="5" l="1"/>
  <c r="B269" i="5" l="1"/>
  <c r="B270" i="5" l="1"/>
  <c r="B271" i="5" l="1"/>
  <c r="B272" i="5" l="1"/>
  <c r="B273" i="5" l="1"/>
  <c r="B274" i="5" l="1"/>
  <c r="B275" i="5" l="1"/>
  <c r="B276" i="5" l="1"/>
  <c r="B277" i="5" l="1"/>
  <c r="B278" i="5" l="1"/>
  <c r="B279" i="5" l="1"/>
  <c r="B280" i="5" l="1"/>
  <c r="B281" i="5" l="1"/>
  <c r="B282" i="5" l="1"/>
  <c r="B283" i="5" l="1"/>
  <c r="B284" i="5" l="1"/>
  <c r="B285" i="5" l="1"/>
  <c r="B286" i="5" l="1"/>
  <c r="B287" i="5" l="1"/>
  <c r="B288" i="5" l="1"/>
  <c r="B289" i="5" l="1"/>
  <c r="B290" i="5" l="1"/>
  <c r="B291" i="5" l="1"/>
  <c r="B292" i="5" l="1"/>
  <c r="B293" i="5" l="1"/>
  <c r="B294" i="5" l="1"/>
  <c r="B295" i="5" l="1"/>
  <c r="B296" i="5" l="1"/>
  <c r="B297" i="5" l="1"/>
  <c r="B298" i="5" l="1"/>
  <c r="B299" i="5" l="1"/>
  <c r="B300" i="5" l="1"/>
  <c r="B301" i="5" l="1"/>
  <c r="B302" i="5" l="1"/>
  <c r="B303" i="5" l="1"/>
  <c r="B304" i="5" l="1"/>
  <c r="B305" i="5" l="1"/>
  <c r="B306" i="5" l="1"/>
  <c r="B307" i="5" l="1"/>
  <c r="B308" i="5" l="1"/>
  <c r="B309" i="5" l="1"/>
  <c r="B310" i="5" l="1"/>
  <c r="B311" i="5" l="1"/>
  <c r="B312" i="5" l="1"/>
  <c r="B313" i="5" l="1"/>
  <c r="B314" i="5" l="1"/>
  <c r="B315" i="5" l="1"/>
  <c r="B316" i="5" l="1"/>
  <c r="B317" i="5" l="1"/>
  <c r="B318" i="5" l="1"/>
  <c r="B6" i="5" l="1"/>
  <c r="C6" i="5" l="1" a="1"/>
  <c r="C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<sst xmlns="http://schemas.openxmlformats.org/spreadsheetml/2006/main" count="2266" uniqueCount="1335">
  <si>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</si>
  <si>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</si>
  <si>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</si>
  <si>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</si>
  <si>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</si>
  <si>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</si>
  <si>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</si>
  <si>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</si>
  <si>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</si>
  <si>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</si>
  <si>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</si>
  <si>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</si>
  <si>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</si>
  <si>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</si>
  <si>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</si>
  <si>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</si>
  <si>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</si>
  <si>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</si>
  <si>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</si>
  <si>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</si>
  <si>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</si>
  <si>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</si>
  <si>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</si>
  <si>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</si>
  <si>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</si>
  <si>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</si>
  <si>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</si>
  <si>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</si>
  <si>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</si>
  <si>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</si>
  <si>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</si>
  <si>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</si>
  <si>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</si>
  <si>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</si>
  <si>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</si>
  <si>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</si>
  <si>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</si>
  <si>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</si>
  <si>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</si>
  <si>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</si>
  <si>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</si>
  <si>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</si>
  <si>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</si>
  <si>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</si>
  <si>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</si>
  <si>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</si>
  <si>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</si>
  <si>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</si>
  <si>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</si>
  <si>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</si>
  <si>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</si>
  <si>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</si>
  <si>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</si>
  <si>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</si>
  <si>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</si>
  <si>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</si>
  <si>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</si>
  <si>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</si>
  <si>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</si>
  <si>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</si>
  <si>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</si>
  <si>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</si>
  <si>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</si>
  <si>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</si>
  <si>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</si>
  <si>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</si>
  <si>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</si>
  <si>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</si>
  <si>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</si>
  <si>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</si>
  <si>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</si>
  <si>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</si>
  <si>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</si>
  <si>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</si>
  <si>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</si>
  <si>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</si>
  <si>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</si>
  <si>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</si>
  <si>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</si>
  <si>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</si>
  <si>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</si>
  <si>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</si>
  <si>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</si>
  <si>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</si>
  <si>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</si>
  <si>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</si>
  <si>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</si>
  <si>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</si>
  <si>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</si>
  <si>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</si>
  <si>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</si>
  <si>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</si>
  <si>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</si>
  <si>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</si>
  <si>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</si>
  <si>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</si>
  <si>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</si>
  <si>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</si>
  <si>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</si>
  <si>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</si>
  <si>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</si>
  <si>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</si>
  <si>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</si>
  <si>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</si>
  <si>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</si>
  <si>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</si>
  <si>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</si>
  <si>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</si>
  <si>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</si>
  <si>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</si>
  <si>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</si>
  <si>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</si>
  <si>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</si>
  <si>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</si>
  <si>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</si>
  <si>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</si>
  <si>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</si>
  <si>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</si>
  <si>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</si>
  <si>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</si>
  <si>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</si>
  <si>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</si>
  <si>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</si>
  <si>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</si>
  <si>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</si>
  <si>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</si>
  <si>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</si>
  <si>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</si>
  <si>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</si>
  <si>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</si>
  <si>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</si>
  <si>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</si>
  <si>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</si>
  <si>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</si>
  <si>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</si>
  <si>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</si>
  <si>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</si>
  <si>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</si>
  <si>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</si>
  <si>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</si>
  <si>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</si>
  <si>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</si>
  <si>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</si>
  <si>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</si>
  <si>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</si>
  <si>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</si>
  <si>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</si>
  <si>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</si>
  <si>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</si>
  <si>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</si>
  <si>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</si>
  <si>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</si>
  <si>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</si>
  <si>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</si>
  <si>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</si>
  <si>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</si>
  <si>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</si>
  <si>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</si>
  <si>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</si>
  <si>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</si>
  <si>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</si>
  <si>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</si>
  <si>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</si>
  <si>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</si>
  <si>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</si>
  <si>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</si>
  <si>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</si>
  <si>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</si>
  <si>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</si>
  <si>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</si>
  <si>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</si>
  <si>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</si>
  <si>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</si>
  <si>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</si>
  <si>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</si>
  <si>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</si>
  <si>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</si>
  <si>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</si>
  <si>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</si>
  <si>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</si>
  <si>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</si>
  <si>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</si>
  <si>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</si>
  <si>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</si>
  <si>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</si>
  <si>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</si>
  <si>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</si>
  <si>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</si>
  <si>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</si>
  <si>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</si>
  <si>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</si>
  <si>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</si>
  <si>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</si>
  <si>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</si>
  <si>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</si>
  <si>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</si>
  <si>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</si>
  <si>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</si>
  <si>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</si>
  <si>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</si>
  <si>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</si>
  <si>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</si>
  <si>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</si>
  <si>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</si>
  <si>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</si>
  <si>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</si>
  <si>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</si>
  <si>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</si>
  <si>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</si>
  <si>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</si>
  <si>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</si>
  <si>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</si>
  <si>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</si>
  <si>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</si>
  <si>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</si>
  <si>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</si>
  <si>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</si>
  <si>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</si>
  <si>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</si>
  <si>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</si>
  <si>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</si>
  <si>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</si>
  <si>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</si>
  <si>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</si>
  <si>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</si>
  <si>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</si>
  <si>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</si>
  <si>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</si>
  <si>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</si>
  <si>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</si>
  <si>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</si>
  <si>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</si>
  <si>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</si>
  <si>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</si>
  <si>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</si>
  <si>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</si>
  <si>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</si>
  <si>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</si>
  <si>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</si>
  <si>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</si>
  <si>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</si>
  <si>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</si>
  <si>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</si>
  <si>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</si>
  <si>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</si>
  <si>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</si>
  <si>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</si>
  <si>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</si>
  <si>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</si>
  <si>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</si>
  <si>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</si>
  <si>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</si>
  <si>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</si>
  <si>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</si>
  <si>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</si>
  <si>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</si>
  <si>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</si>
  <si>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</si>
  <si>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</si>
  <si>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</si>
  <si>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</si>
  <si>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</si>
  <si>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</si>
  <si>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</si>
  <si>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</si>
  <si>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</si>
  <si>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</si>
  <si>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</si>
  <si>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</si>
  <si>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</si>
  <si>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</si>
  <si>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</si>
  <si>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</si>
  <si>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</si>
  <si>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</si>
  <si>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</si>
  <si>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</si>
  <si>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</si>
  <si>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</si>
  <si>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</si>
  <si>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</si>
  <si>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</si>
  <si>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</si>
  <si>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</si>
  <si>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</si>
  <si>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</si>
  <si>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</si>
  <si>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</si>
  <si>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</si>
  <si>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</si>
  <si>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</si>
  <si>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</si>
  <si>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</si>
  <si>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</si>
  <si>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</si>
  <si>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</si>
  <si>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</si>
  <si>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</si>
  <si>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</si>
  <si>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</si>
  <si>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</si>
  <si>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</si>
  <si>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</si>
  <si>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</si>
  <si>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</si>
  <si>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</si>
  <si>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</si>
  <si>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</si>
  <si>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</si>
  <si>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</si>
  <si>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</si>
  <si>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</si>
  <si>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</si>
  <si>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</si>
  <si>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</si>
  <si>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</si>
  <si>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</si>
  <si>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</si>
  <si>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</si>
  <si>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</si>
  <si>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</si>
  <si>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</si>
  <si>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</si>
  <si>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</si>
  <si>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</si>
  <si>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</si>
  <si>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</si>
  <si>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</si>
  <si>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</si>
  <si>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</si>
  <si>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</si>
  <si>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GDP, real, LCU</t>
  </si>
  <si>
    <t>AUG006N</t>
  </si>
  <si>
    <t>Pound</t>
  </si>
  <si>
    <t>Millions</t>
  </si>
  <si>
    <t>Level</t>
  </si>
  <si>
    <t>Office for National Statistics\Haver Analytics</t>
  </si>
  <si>
    <t>chained 2019</t>
  </si>
  <si>
    <t>NA</t>
  </si>
  <si>
    <t>ABMIQ@UK</t>
  </si>
  <si>
    <t>U.K.: Real Gross Domestic Product (SA, Mil.Chn.2019.GBP)</t>
  </si>
  <si>
    <t>GBR</t>
  </si>
  <si>
    <t>GDP</t>
  </si>
  <si>
    <t>AUG006N.db</t>
  </si>
  <si>
    <t>United States</t>
  </si>
  <si>
    <t>US$</t>
  </si>
  <si>
    <t>Billions</t>
  </si>
  <si>
    <t>Bureau of Economic Analysis\Haver Analytics</t>
  </si>
  <si>
    <t>chained 2017</t>
  </si>
  <si>
    <t>GDPH@USNA / 4</t>
  </si>
  <si>
    <t>Real Gross Domestic Product (SAAR, Bil.Chn.2017$) / 4</t>
  </si>
  <si>
    <t>USA</t>
  </si>
  <si>
    <t>Japan</t>
  </si>
  <si>
    <t>Yen</t>
  </si>
  <si>
    <t>Cabinet Office of Japan/Haver Analytics</t>
  </si>
  <si>
    <t>REDPC2@JAPAN/4</t>
  </si>
  <si>
    <t>Japan: Gross Domestic Product (SAAR, Bil.Chn.2015.Yen)</t>
  </si>
  <si>
    <t>JPN</t>
  </si>
  <si>
    <t>Germany</t>
  </si>
  <si>
    <t>Euro</t>
  </si>
  <si>
    <t>Federal Statistics Office\Haver Analytics</t>
  </si>
  <si>
    <t>chained 2015</t>
  </si>
  <si>
    <t>DESNGDPC@GERMANY</t>
  </si>
  <si>
    <t>Germany: Gross Domestic Product (SWDA, Bil.Chained.2015.Euros)</t>
  </si>
  <si>
    <t>DEU</t>
  </si>
  <si>
    <t>France</t>
  </si>
  <si>
    <t>Institut National de la Statistique et des Etudes Economiques\Haver Analytics</t>
  </si>
  <si>
    <t>chained 2020</t>
  </si>
  <si>
    <t>FRSNGDPC@FRANCE/1000</t>
  </si>
  <si>
    <t>France: Gross Domestic Product (SA/WDA, Mil.Chn.2020.Euros)/1000</t>
  </si>
  <si>
    <t>FRA</t>
  </si>
  <si>
    <t>Italy</t>
  </si>
  <si>
    <t>Statistical Office of the European Communities\Haver Analytics</t>
  </si>
  <si>
    <t>ITSNGDPC@ITALY/1000</t>
  </si>
  <si>
    <t>Italy: Gross Domestic Product (SWDA, Mil.Ch.15.EUR) /1000</t>
  </si>
  <si>
    <t>ITA</t>
  </si>
  <si>
    <t>Canada</t>
  </si>
  <si>
    <t>C$</t>
  </si>
  <si>
    <t>Statistics Canada\Haver Analytics</t>
  </si>
  <si>
    <t>V6E05752@CANADA/4</t>
  </si>
  <si>
    <t>Canada: Gross Domestic Product at Market Prices (SAAR, Mil.Chn.2017.C$)/4</t>
  </si>
  <si>
    <t>CAN</t>
  </si>
  <si>
    <t>UK</t>
  </si>
  <si>
    <t>L</t>
  </si>
  <si>
    <t>US</t>
  </si>
  <si>
    <t>Existing - 2019=100</t>
  </si>
  <si>
    <t>Annex F: Impact of Blue Book 2024 changes on quarterly growth rates of real gross domestic product (chained volume measure) (Per cent growth: Q2 1997 to Q4 2022)</t>
  </si>
  <si>
    <t>Figures are in chained volume measures, seasonally adjusted.</t>
  </si>
  <si>
    <t>Reference year = 2024 for Blue Book 2022, Reference year = 2019 for Blue Book 2023</t>
  </si>
  <si>
    <t>Source: Office for National Statistics, UK National Accounts</t>
  </si>
  <si>
    <t>Time period</t>
  </si>
  <si>
    <t>GDP at market prices, £ million: Blue Book 2023/QNA</t>
  </si>
  <si>
    <t>GDP at market prices, £ million: Blue Book 2024</t>
  </si>
  <si>
    <t>GDP at market prices, % growth on previous period: Blue Book 2023/QNA</t>
  </si>
  <si>
    <t>GDP at market prices, % growth on previous period: Blue Book 2024</t>
  </si>
  <si>
    <t>GDP at market prices, revision (percentage points)</t>
  </si>
  <si>
    <t>https://www.ons.gov.uk/economy/grossdomesticproductgdp/datasets/impactofbluebook2024changesongrossdomesticproductgdp</t>
  </si>
  <si>
    <t>New - 2019=100</t>
  </si>
  <si>
    <t>G7 range</t>
  </si>
  <si>
    <t>G7 median</t>
  </si>
  <si>
    <t>Bottom of range</t>
  </si>
  <si>
    <t>100 LINE</t>
  </si>
  <si>
    <t>S111SP5@INTDAILY</t>
  </si>
  <si>
    <t>S158TPX@INTDAILY</t>
  </si>
  <si>
    <t>S0235Z@INTDAILY</t>
  </si>
  <si>
    <t>S112FTA@INTDAILY</t>
  </si>
  <si>
    <t>SPGENN@DAILY</t>
  </si>
  <si>
    <t>S193SNP@INTDAILY</t>
  </si>
  <si>
    <t>S122TRI@INTDAILY</t>
  </si>
  <si>
    <t>S124B20@INTDAILY</t>
  </si>
  <si>
    <t>S223BOV@INTDAILY</t>
  </si>
  <si>
    <t>S918SOF@INTDAILY</t>
  </si>
  <si>
    <t>S156TOI@INTDAILY</t>
  </si>
  <si>
    <t>SPIGP@DAILY</t>
  </si>
  <si>
    <t>S924S@INTDAILY</t>
  </si>
  <si>
    <t>S960ZCX@INTDAILY</t>
  </si>
  <si>
    <t>S935P50@INTDAILY</t>
  </si>
  <si>
    <t>S128KFX@INTDAILY</t>
  </si>
  <si>
    <t>S172HEX@INTDAILY</t>
  </si>
  <si>
    <t>S132CAC@INTDAILY</t>
  </si>
  <si>
    <t>S134DAP@INTDAILY</t>
  </si>
  <si>
    <t>S174ASE@INTDAILY</t>
  </si>
  <si>
    <t>S532HNG@INTDAILY</t>
  </si>
  <si>
    <t>SPBUX@DAILY</t>
  </si>
  <si>
    <t>S534SX@INTDAILY</t>
  </si>
  <si>
    <t>S536JKC@INTDAILY</t>
  </si>
  <si>
    <t>SPISE@DAILY</t>
  </si>
  <si>
    <t>S136MBI@INTDAILY</t>
  </si>
  <si>
    <t>S664NS@INTDAILY</t>
  </si>
  <si>
    <t>S548KLS@INTDAILY</t>
  </si>
  <si>
    <t>S273IPC@INTDAILY</t>
  </si>
  <si>
    <t>S138CBS@INTDAILY</t>
  </si>
  <si>
    <t>S196K5P@INTDAILY</t>
  </si>
  <si>
    <t>S694SEA@INTDAILY</t>
  </si>
  <si>
    <t>S142OSE@INTDAILY</t>
  </si>
  <si>
    <t>S566MNC@INTDAILY</t>
  </si>
  <si>
    <t>S964WIG@INTDAILY</t>
  </si>
  <si>
    <t>S182PSI@INTDAILY</t>
  </si>
  <si>
    <t>S968BET@INTDAILY</t>
  </si>
  <si>
    <t>S922MXC@INTDAILY</t>
  </si>
  <si>
    <t>S576STT@INTDAILY</t>
  </si>
  <si>
    <t>S936SAX@INTDAILY</t>
  </si>
  <si>
    <t>S199FJA@INTDAILY</t>
  </si>
  <si>
    <t>S542CEX@INTDAILY</t>
  </si>
  <si>
    <t>S184MGI@INTDAILY</t>
  </si>
  <si>
    <t>S144AFF@INTDAILY</t>
  </si>
  <si>
    <t>S528TWN@INTDAILY</t>
  </si>
  <si>
    <t>S738DSI@INTDAILY</t>
  </si>
  <si>
    <t>S578BST@INTDAILY</t>
  </si>
  <si>
    <t>S186IMK@INTDAILY</t>
  </si>
  <si>
    <t>SPVEN@DAILY</t>
  </si>
  <si>
    <t>S001DJW@INTDAILY</t>
  </si>
  <si>
    <t>20240101 !D</t>
  </si>
  <si>
    <t>20240101</t>
  </si>
  <si>
    <t>.DTLM</t>
  </si>
  <si>
    <t>.LSOURCE</t>
  </si>
  <si>
    <t>.TN</t>
  </si>
  <si>
    <t>.T1</t>
  </si>
  <si>
    <t>.DESC</t>
  </si>
  <si>
    <t>Standard &amp; Poor's</t>
  </si>
  <si>
    <t>07-Aug-2024</t>
  </si>
  <si>
    <t>02-Jan-1953</t>
  </si>
  <si>
    <t>Standard &amp; Poor's 500 Stock Price Index (1941-43=10)</t>
  </si>
  <si>
    <t>Aug-08-2024 09:04</t>
  </si>
  <si>
    <t>Financial Times</t>
  </si>
  <si>
    <t>08-Aug-2024</t>
  </si>
  <si>
    <t>04-Jan-1989</t>
  </si>
  <si>
    <t>Japan: Tokyo Stock Price Index: Topix Cash Index (Jan-04-68=100)</t>
  </si>
  <si>
    <t>STOXX Limited</t>
  </si>
  <si>
    <t>31-Dec-1986</t>
  </si>
  <si>
    <t>Euro area: EURO STOXX 50 Price Index: Based in Euro (EOP, Dec-31-91=1000)</t>
  </si>
  <si>
    <t>01-Jan-1990</t>
  </si>
  <si>
    <t>UK: Stock Price Index: London Financial Times All Share (Apr-10-62=100)</t>
  </si>
  <si>
    <t>02-Jan-1991</t>
  </si>
  <si>
    <t>Stock Price Index: Argentina: Buenos Aires General (Jun-30-00=19570.98)</t>
  </si>
  <si>
    <t>Aug-08-2024 09:46</t>
  </si>
  <si>
    <t>17-Oct-2001</t>
  </si>
  <si>
    <t>Australia: Share Price Index: S&amp;P/ASX 200(Dec-31-79=500)</t>
  </si>
  <si>
    <t>Wall Street Journal</t>
  </si>
  <si>
    <t>07-Jan-1986</t>
  </si>
  <si>
    <t>Austria: Stock Price Index: Traded Index (Jan-2-91=1000)</t>
  </si>
  <si>
    <t>08-Apr-1991</t>
  </si>
  <si>
    <t>Belgium: Stock Price Index: Bel-20 Index (Jan-1-91=1000)</t>
  </si>
  <si>
    <t>03-Jan-1994</t>
  </si>
  <si>
    <t>Brazil: Equity Index: IBovespa [Total Return] (Jan-2-68=0.0000000001)</t>
  </si>
  <si>
    <t>Bulgarian Stock Exchange</t>
  </si>
  <si>
    <t>23-Oct-2000</t>
  </si>
  <si>
    <t>Bulgaria: Stock Price Index: SOFIX (Oct-20-00=100)</t>
  </si>
  <si>
    <t>Toronto Stock Exchange</t>
  </si>
  <si>
    <t>03-Jan-1977</t>
  </si>
  <si>
    <t>S&amp;P/TSX Composite Index, Close Price (Index)</t>
  </si>
  <si>
    <t>02-Jan-1990</t>
  </si>
  <si>
    <t>Stock Price Index: Chile: IGPA General (Dec-31-80=100)</t>
  </si>
  <si>
    <t>Aug-08-2024 11:21</t>
  </si>
  <si>
    <t>Shanghai Stock Exchange</t>
  </si>
  <si>
    <t>20-Dec-1990</t>
  </si>
  <si>
    <t>China: Shanghai Stock Price SSE Index (Dec-19-90=100)</t>
  </si>
  <si>
    <t>Aug-07-2024 16:01</t>
  </si>
  <si>
    <t>Zagreb Stock Exchange</t>
  </si>
  <si>
    <t>02-Sep-1997</t>
  </si>
  <si>
    <t>Croatia: Stock Price Index: CROBEX (Jul-1-97=1000)</t>
  </si>
  <si>
    <t>07-Sep-1993</t>
  </si>
  <si>
    <t>Czechia: Stock Price Index: PX50 (Apr-4-94=1000)</t>
  </si>
  <si>
    <t>OMX Nordic Exchange</t>
  </si>
  <si>
    <t>04-Dec-1989</t>
  </si>
  <si>
    <t>Denmark: Stock Price Index: OMX Copenhagen C20 (Jul-3-89=100)</t>
  </si>
  <si>
    <t>02-Jan-1995</t>
  </si>
  <si>
    <t>Finland: Stock Price Index: OMX Helsinki General (Dec-28-90=100)</t>
  </si>
  <si>
    <t>31-Dec-1987</t>
  </si>
  <si>
    <t>France: Stock Price Index: Paris CAC 40 (Dec-31-87=1000)</t>
  </si>
  <si>
    <t>Deutsche Bourse</t>
  </si>
  <si>
    <t>04-Jan-1999</t>
  </si>
  <si>
    <t>Germany: Stock Market Indexes: DAX Price Index (Dec-30-87=1000)</t>
  </si>
  <si>
    <t>Greece: Stock Price Index: Athens, SE (Dec-31-80=100)</t>
  </si>
  <si>
    <t>Aug-08-2024 11:15</t>
  </si>
  <si>
    <t>Hang Seng Indexes Company</t>
  </si>
  <si>
    <t>24-Nov-1969</t>
  </si>
  <si>
    <t>Hong Kong: Stock Price Index: Hang Seng (Jul-31-64=100)</t>
  </si>
  <si>
    <t>Stock Price Index: Hungary: BUX (Jan-2-91=1000)</t>
  </si>
  <si>
    <t>Aug-08-2024 11:56</t>
  </si>
  <si>
    <t>Bombay Stock Exchange</t>
  </si>
  <si>
    <t>03-Apr-1979</t>
  </si>
  <si>
    <t>India: Stock Price Index: BSE: Sensitive [Sensex] (1978-79=100)</t>
  </si>
  <si>
    <t>Aug-08-2024 13:00</t>
  </si>
  <si>
    <t>Indonesia: Stock Price Index: Jakarta Composite (Aug-10-82=100)</t>
  </si>
  <si>
    <t>03-Jan-1995</t>
  </si>
  <si>
    <t>Stock Price Index: Ireland: ISEQ Overall (Jan-4-88=1000)</t>
  </si>
  <si>
    <t>Borsa Italiana</t>
  </si>
  <si>
    <t>31-Dec-1997</t>
  </si>
  <si>
    <t>Italy: Stock Price Index: FTSE MIB (Dec-31-97=24401.54)</t>
  </si>
  <si>
    <t>Nairobi Stock Exchange</t>
  </si>
  <si>
    <t>13-Feb-2008</t>
  </si>
  <si>
    <t>Kenya: NSE 20-Share Index (1966=100)</t>
  </si>
  <si>
    <t>Aug-08-2024 11:05</t>
  </si>
  <si>
    <t>Malaysia: Stock Price Index: FTSE Bursa Malaysia KLCI (Jan-1-77=100)</t>
  </si>
  <si>
    <t>30-Oct-1978</t>
  </si>
  <si>
    <t>Mexico: Stock Price Index: IPC (Nov-78=0.78)</t>
  </si>
  <si>
    <t>03-Oct-1988</t>
  </si>
  <si>
    <t>Netherlands: Stock Price Index: Amsterdam ANP-CBS General (Dec-31-52=13.20)</t>
  </si>
  <si>
    <t>03-Jan-2003</t>
  </si>
  <si>
    <t>New Zealand: Stock Price Index: NZX 50 Price Index (Mar-03-03=1880.85)</t>
  </si>
  <si>
    <t>04-Sep-1997</t>
  </si>
  <si>
    <t>Nigeria: Stock Price Index: All Share Index (Jan-3-84=100)</t>
  </si>
  <si>
    <t>Oslo Bors ASA</t>
  </si>
  <si>
    <t>29-Dec-1995</t>
  </si>
  <si>
    <t>Norway: Stock Price Index: Oslo OSE All Share Index (Dec-29-95=100)</t>
  </si>
  <si>
    <t>02-Jan-1996</t>
  </si>
  <si>
    <t>Philippines: Stock Price Index: Manila Composite (Jan-2-85=100)</t>
  </si>
  <si>
    <t>Warsaw Stock Exchange</t>
  </si>
  <si>
    <t>16-Apr-1991</t>
  </si>
  <si>
    <t>Poland: Stock Price Index: WIG (Apr-16-91=1000)</t>
  </si>
  <si>
    <t>31-Dec-1992</t>
  </si>
  <si>
    <t>Portugal: Stock Price Index: PSI-20 (Dec-31-92=3000)</t>
  </si>
  <si>
    <t>Bucharest Stock Exchange</t>
  </si>
  <si>
    <t>19-Sep-1997</t>
  </si>
  <si>
    <t>Romania: Stock Price Index: BET (Sep-19-97=1000)</t>
  </si>
  <si>
    <t>Moscow Exchange</t>
  </si>
  <si>
    <t>22-Sep-1997</t>
  </si>
  <si>
    <t>Russia: MOEX Russia Index: Closing Value (Sep-22-97=100)</t>
  </si>
  <si>
    <t>02-Jan-1975</t>
  </si>
  <si>
    <t>Singapore: Stock Price Index: Straits Times (Jan-09-08=3344.53)</t>
  </si>
  <si>
    <t>Slovakia: Stock Price Index: SAX (Sep-14-93=100)</t>
  </si>
  <si>
    <t>21-Jun-2002</t>
  </si>
  <si>
    <t>South Africa: Stock Price Index: FTSE/JSE All Share Index (Jun-21-02=10815.08)</t>
  </si>
  <si>
    <t>Aug-08-2024 10:11</t>
  </si>
  <si>
    <t>Korea Stock Exchange</t>
  </si>
  <si>
    <t>06-Jan-1975</t>
  </si>
  <si>
    <t>Korea: Stock Price Index: KOSPI (Jan-4-80=100)</t>
  </si>
  <si>
    <t>Bolsa de Madrid</t>
  </si>
  <si>
    <t>02-Jan-1985</t>
  </si>
  <si>
    <t>Spain: Stock Price Index: Madrid General Index (Dec-30-85=100)</t>
  </si>
  <si>
    <t>02-Jan-1987</t>
  </si>
  <si>
    <t>Sweden: Stock Price Index: Stockholm Affarsvarlden (Dec-29-95=100)</t>
  </si>
  <si>
    <t>Aug-08-2024 10:05</t>
  </si>
  <si>
    <t>Taiwan Stock Exchange</t>
  </si>
  <si>
    <t>05-Jan-1994</t>
  </si>
  <si>
    <t>Taiwan Stock Exchange Capitalization Weighted Index (1966=100)</t>
  </si>
  <si>
    <t>Dar Es Salaam Stock Exchange</t>
  </si>
  <si>
    <t>16-May-2013</t>
  </si>
  <si>
    <t>Tanzania: All Shares Index (Dec-15-06=1000)</t>
  </si>
  <si>
    <t>Thailand: Stock Price Index: Bangkok SET (Apr-30-75=100)</t>
  </si>
  <si>
    <t>Central Bank of the Republic of Turkey</t>
  </si>
  <si>
    <t>07-Feb-1986</t>
  </si>
  <si>
    <t>Turkey: BIST 100 Stock Price Index (Jan-01-86=.01)</t>
  </si>
  <si>
    <t>12-Jun-2017</t>
  </si>
  <si>
    <t>Venezuela: Stock Price Index: Bursatil Index (Dec-31-93=0.000000001)</t>
  </si>
  <si>
    <t>Dow Jones</t>
  </si>
  <si>
    <t>31-Dec-1991</t>
  </si>
  <si>
    <t>Dow Jones Global Index: World (Avg, Dec-31-91=100)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</si>
  <si>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</si>
  <si>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</si>
  <si>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</si>
  <si>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</si>
  <si>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</si>
  <si>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</si>
  <si>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</si>
  <si>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</si>
  <si>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</si>
  <si>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</si>
  <si>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</si>
  <si>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</si>
  <si>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</si>
  <si>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</si>
  <si>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</si>
  <si>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</si>
  <si>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</si>
  <si>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</si>
  <si>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</si>
  <si>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</si>
  <si>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</si>
  <si>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</si>
  <si>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</si>
  <si>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</si>
  <si>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</si>
  <si>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</si>
  <si>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</si>
  <si>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</si>
  <si>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</si>
  <si>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</si>
  <si>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</si>
  <si>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</si>
  <si>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</si>
  <si>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</si>
  <si>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</si>
  <si>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</si>
  <si>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</si>
  <si>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</si>
  <si>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</si>
  <si>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</si>
  <si>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</si>
  <si>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</si>
  <si>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</si>
  <si>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</si>
  <si>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</si>
  <si>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</si>
  <si>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</si>
  <si>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</si>
  <si>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</si>
  <si>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</si>
  <si>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</si>
  <si>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</si>
  <si>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</si>
  <si>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</si>
  <si>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</si>
  <si>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</si>
  <si>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</si>
  <si>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</si>
  <si>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</si>
  <si>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</si>
  <si>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</si>
  <si>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</si>
  <si>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</si>
  <si>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</si>
  <si>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</si>
  <si>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</si>
  <si>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</si>
  <si>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</si>
  <si>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</si>
  <si>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</si>
  <si>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</si>
  <si>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</si>
  <si>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</si>
  <si>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</si>
  <si>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</si>
  <si>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</si>
  <si>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</si>
  <si>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</si>
  <si>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</si>
  <si>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</si>
  <si>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</si>
  <si>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</si>
  <si>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</si>
  <si>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</si>
  <si>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</si>
  <si>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</si>
  <si>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</si>
  <si>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</si>
  <si>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</si>
  <si>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</si>
  <si>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</si>
  <si>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</si>
  <si>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</si>
  <si>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</si>
  <si>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</si>
  <si>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</si>
  <si>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</si>
  <si>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</si>
  <si>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</si>
  <si>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</si>
  <si>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</si>
  <si>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</si>
  <si>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</si>
  <si>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</si>
  <si>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</si>
  <si>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</si>
  <si>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</si>
  <si>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</si>
  <si>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</si>
  <si>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</si>
  <si>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</si>
  <si>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</si>
  <si>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</si>
  <si>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</si>
  <si>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</si>
  <si>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</si>
  <si>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</si>
  <si>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</si>
  <si>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</si>
  <si>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</si>
  <si>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</si>
  <si>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</si>
  <si>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</si>
  <si>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</si>
  <si>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</si>
  <si>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</si>
  <si>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</si>
  <si>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</si>
  <si>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</si>
  <si>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</si>
  <si>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</si>
  <si>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</si>
  <si>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</si>
  <si>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</si>
  <si>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</si>
  <si>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</si>
  <si>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</si>
  <si>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</si>
  <si>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</si>
  <si>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</si>
  <si>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</si>
  <si>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</si>
  <si>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</si>
  <si>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</si>
  <si>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</si>
  <si>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</si>
  <si>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</si>
  <si>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</si>
  <si>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</si>
  <si>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</si>
  <si>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</si>
  <si>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</si>
  <si>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</si>
  <si>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</si>
  <si>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</si>
  <si>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</si>
  <si>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</si>
  <si>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</si>
  <si>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Eurozone</t>
  </si>
  <si>
    <t>Argentina</t>
  </si>
  <si>
    <t>Australia</t>
  </si>
  <si>
    <t>Austria</t>
  </si>
  <si>
    <t>Belgium</t>
  </si>
  <si>
    <t>Brazil</t>
  </si>
  <si>
    <t>Bulgaria</t>
  </si>
  <si>
    <t>Chile</t>
  </si>
  <si>
    <t>China</t>
  </si>
  <si>
    <t>Croatia</t>
  </si>
  <si>
    <t>Czechia</t>
  </si>
  <si>
    <t>Denmark</t>
  </si>
  <si>
    <t>Finland</t>
  </si>
  <si>
    <t>Greece</t>
  </si>
  <si>
    <t>Hong Kong</t>
  </si>
  <si>
    <t>Hungary</t>
  </si>
  <si>
    <t>India</t>
  </si>
  <si>
    <t>Indonesia</t>
  </si>
  <si>
    <t>Ireland</t>
  </si>
  <si>
    <t>Kenya</t>
  </si>
  <si>
    <t>Malaysia</t>
  </si>
  <si>
    <t>Mexico</t>
  </si>
  <si>
    <t>Netherlands</t>
  </si>
  <si>
    <t>New Zealand</t>
  </si>
  <si>
    <t>Nigeria</t>
  </si>
  <si>
    <t>Norway</t>
  </si>
  <si>
    <t>Philippines</t>
  </si>
  <si>
    <t>Poland</t>
  </si>
  <si>
    <t>Portugal</t>
  </si>
  <si>
    <t>Romania</t>
  </si>
  <si>
    <t>Russia</t>
  </si>
  <si>
    <t>Singapore</t>
  </si>
  <si>
    <t>Slovakia</t>
  </si>
  <si>
    <t>South Africa</t>
  </si>
  <si>
    <t>Korea</t>
  </si>
  <si>
    <t>Spain</t>
  </si>
  <si>
    <t>Sweden</t>
  </si>
  <si>
    <t>Taiwan</t>
  </si>
  <si>
    <t>Tanzania</t>
  </si>
  <si>
    <t>Thailand</t>
  </si>
  <si>
    <t>Turkey</t>
  </si>
  <si>
    <t>Venezuela</t>
  </si>
  <si>
    <t>Global</t>
  </si>
  <si>
    <t>Past week</t>
  </si>
  <si>
    <t>Equity prices - last week</t>
  </si>
  <si>
    <t>Equity prices - since August 1</t>
  </si>
  <si>
    <t>UK (new)</t>
  </si>
  <si>
    <t>UK (current)</t>
  </si>
  <si>
    <t>Annual - 2019=100</t>
  </si>
  <si>
    <t>Annual - levels</t>
  </si>
  <si>
    <t>Aug-08-2024 15:23</t>
  </si>
  <si>
    <t>Aug-08-2024 16:01</t>
  </si>
  <si>
    <t>Aug-08-2024 15:35</t>
  </si>
  <si>
    <t>Aug-08-2024 17:06</t>
  </si>
  <si>
    <t>Aug-08-2024 16:17</t>
  </si>
  <si>
    <t>Aug-08-2024 16:54</t>
  </si>
  <si>
    <t>Aug-08-2024 17:04</t>
  </si>
  <si>
    <t>Aug-08-2024 16:30</t>
  </si>
  <si>
    <t>Aug-08-2024 16:43</t>
  </si>
  <si>
    <t>Aug-08-2024 16:45</t>
  </si>
  <si>
    <t>Aug-08-2024 16:31</t>
  </si>
  <si>
    <t>Aug-08-2024 18:52</t>
  </si>
  <si>
    <t>Aug-08-2024 17:10</t>
  </si>
  <si>
    <t>Aug-08-2024 17:17</t>
  </si>
  <si>
    <t>Aug-08-2024 17:22</t>
  </si>
  <si>
    <t>Aug-08-2024 18:30</t>
  </si>
  <si>
    <t>Aug-08-2024 17:53</t>
  </si>
  <si>
    <t>Aug-08-2024 17:30</t>
  </si>
  <si>
    <t xml:space="preserve">Table 1: Blue Book 2023: Gross value added (GVA) index 2019 = 100, chained volume measures, UK, seasonally adjusted </t>
  </si>
  <si>
    <t>This worksheet contains one table. Some cells refer to notes which can be found on the notes worksheet.</t>
  </si>
  <si>
    <t xml:space="preserve">Some cells in this table are empty because data is not collected for these variables. </t>
  </si>
  <si>
    <t>Source: GDP Blue Book 2023 estimates</t>
  </si>
  <si>
    <t xml:space="preserve">Total GVA </t>
  </si>
  <si>
    <t xml:space="preserve">A
Agriculture </t>
  </si>
  <si>
    <t xml:space="preserve">B - F
Production and construction </t>
  </si>
  <si>
    <t xml:space="preserve">B - E
Production </t>
  </si>
  <si>
    <t xml:space="preserve">B
Mining and quarrying </t>
  </si>
  <si>
    <t xml:space="preserve">05
Mining of coal and lignite </t>
  </si>
  <si>
    <t xml:space="preserve">06
Extraction of crude petroleum and natural gas </t>
  </si>
  <si>
    <t xml:space="preserve">07, 08, 09
Mining of metal ores, 
Other mining and quarrying,
Mining support service activites </t>
  </si>
  <si>
    <t xml:space="preserve">C
Manufacturing </t>
  </si>
  <si>
    <t xml:space="preserve">CA
Manufacture of food products, beverages and tobacco
</t>
  </si>
  <si>
    <t xml:space="preserve">10
Manufacture of food products </t>
  </si>
  <si>
    <t xml:space="preserve">10.1
Processing and preserving of meat and production of meat products </t>
  </si>
  <si>
    <t xml:space="preserve">10.2-3
Processing and preserving of fish, crustaceans, molluscs, fruit and vegetables </t>
  </si>
  <si>
    <t xml:space="preserve">10.4
Vegetable and animal oils and fats </t>
  </si>
  <si>
    <t xml:space="preserve">10.5
Dairy products </t>
  </si>
  <si>
    <t xml:space="preserve">10.6
Grain mill products, starches and starch products </t>
  </si>
  <si>
    <t xml:space="preserve">10.7
Bakery and farinaceous products </t>
  </si>
  <si>
    <t xml:space="preserve">10.8 
Other food products </t>
  </si>
  <si>
    <t xml:space="preserve">10.9
Prepared animal feeds </t>
  </si>
  <si>
    <t>11.07
Manufacture of soft drinks; production of mineral waters and other bottled waters</t>
  </si>
  <si>
    <t>11.01-06 &amp; 12
Manufacture of Alcoholic Beverages and Tobacco Products</t>
  </si>
  <si>
    <t xml:space="preserve">CB
Manufacture of textiles, wearing apparel and leather products </t>
  </si>
  <si>
    <t xml:space="preserve">13
Manufacture of textiles </t>
  </si>
  <si>
    <t>14
Manufacture of wearing apparel £m</t>
  </si>
  <si>
    <t xml:space="preserve">15
Manufacture of leather and related products </t>
  </si>
  <si>
    <t xml:space="preserve">CC
Manufacture of wood and paper products, and printing </t>
  </si>
  <si>
    <t xml:space="preserve">16
Manufacture of wood and products of wood and cork, except furniture; Articles of straw and plaiting materials </t>
  </si>
  <si>
    <t xml:space="preserve">17
Manufacture of paper and paper products </t>
  </si>
  <si>
    <t xml:space="preserve">18
Manufacture of printing and reproduction of recorded media </t>
  </si>
  <si>
    <t xml:space="preserve">CD
Manufacture of coke, and refined petroleum products </t>
  </si>
  <si>
    <t xml:space="preserve">19
Manufacture of coke and refined petroleum products </t>
  </si>
  <si>
    <t xml:space="preserve">CE
Manufacture of chemicals and chemical products </t>
  </si>
  <si>
    <t xml:space="preserve">20
Manufacture of chemicals and chemical products </t>
  </si>
  <si>
    <t xml:space="preserve">20A
Industrial gases, inorganics and fertilisers (all inorganic chemicals)- 20.11/13/15  </t>
  </si>
  <si>
    <t xml:space="preserve">20B
Petrochemicals - 20.14/16/17/60 </t>
  </si>
  <si>
    <t xml:space="preserve">20C
Dyestuffs, agro-chemicals - 20.12/20 </t>
  </si>
  <si>
    <t xml:space="preserve">20.3
Paints, varnishes and similar coatings, printing ink and mastics </t>
  </si>
  <si>
    <t xml:space="preserve">20.4 
Soap and detergents, cleaning and polishing preparations, perfumes and toilet preparations </t>
  </si>
  <si>
    <t xml:space="preserve">20.5
Other chemical products </t>
  </si>
  <si>
    <t xml:space="preserve">CF
Manufacture of basic pharmaceutical products and pharmaceutical preparations </t>
  </si>
  <si>
    <t xml:space="preserve">21
Manufacture of basic pharmaceutical products and pharmaceutical preparations </t>
  </si>
  <si>
    <t xml:space="preserve">CG
Manufacture of rubber and plastic products, &amp; other non-metallic mineral products </t>
  </si>
  <si>
    <t xml:space="preserve">22
Manufacture of rubber and plastic products </t>
  </si>
  <si>
    <t xml:space="preserve">23
Manufacture of other non-metallic mineral products </t>
  </si>
  <si>
    <t xml:space="preserve">23OTHER
Glass, refractory, clay, porcelain, ceramic, stone products - 23.1-4/7-9 </t>
  </si>
  <si>
    <t xml:space="preserve">23.5-6
Cement, lime, plaster and articles of concrete, cement and plaster </t>
  </si>
  <si>
    <t xml:space="preserve">CH
Manufacture of basic metals and metal products </t>
  </si>
  <si>
    <t xml:space="preserve">24
Manufacture of basic metals </t>
  </si>
  <si>
    <t xml:space="preserve">24.1-3
Basic iron and steel </t>
  </si>
  <si>
    <t xml:space="preserve">24.4-5
Other basic metals and casting </t>
  </si>
  <si>
    <t xml:space="preserve">25
Manufacture of fabricated metal products, except machinery and equipment </t>
  </si>
  <si>
    <t xml:space="preserve">CI
Manufacture of computer, electronic &amp; optical products </t>
  </si>
  <si>
    <t xml:space="preserve">26
Manufacture of omputer, electronic and optical products </t>
  </si>
  <si>
    <t xml:space="preserve">CJ
Manufacture of electrical equipment </t>
  </si>
  <si>
    <t xml:space="preserve">27
Manufacture of electrical equipment </t>
  </si>
  <si>
    <t xml:space="preserve">CK
Manufacture of machinery and equipment n.e.c </t>
  </si>
  <si>
    <t xml:space="preserve">28
Manufacture of machinery and equipment n.e.c. </t>
  </si>
  <si>
    <t xml:space="preserve">CL
Manufacture of transport equipment </t>
  </si>
  <si>
    <t xml:space="preserve">29
Manufacture of motor vehicles, trailers and semi-trailers </t>
  </si>
  <si>
    <t xml:space="preserve">30
Manufacture of other transport equipment </t>
  </si>
  <si>
    <t xml:space="preserve">30.1 
Building of ships and boats </t>
  </si>
  <si>
    <t xml:space="preserve">30.3
Air and spacecraft and related machinery </t>
  </si>
  <si>
    <t xml:space="preserve">30OTHER
Other transport equipment - 30.2/4/9 </t>
  </si>
  <si>
    <t xml:space="preserve">CM
Other manufacturing </t>
  </si>
  <si>
    <t xml:space="preserve">31 - 32 </t>
  </si>
  <si>
    <t xml:space="preserve">31
Manufacture of furniture </t>
  </si>
  <si>
    <t xml:space="preserve">32 
Other manufacturing </t>
  </si>
  <si>
    <t xml:space="preserve">33
Repair and installation of machinery and equipment </t>
  </si>
  <si>
    <t xml:space="preserve">33.15
Repair and maintenance of ships and boats </t>
  </si>
  <si>
    <t xml:space="preserve">33.16
Repair and maintenance of aircraft and spacecraft </t>
  </si>
  <si>
    <t xml:space="preserve">33OTHER
Rest of repair; Installation - 33.11-14/17/19/20 </t>
  </si>
  <si>
    <t xml:space="preserve">D
Electricity, gas, steam and air conditioning supply </t>
  </si>
  <si>
    <t xml:space="preserve">35
Electricity, gas, steam and air conditioning supply </t>
  </si>
  <si>
    <t xml:space="preserve">35.1 
Electric power generation, transmission and distribution </t>
  </si>
  <si>
    <t xml:space="preserve">35.2-3
Gas; distribution of gaseous fuels through mains; Steam and air conditioning supply </t>
  </si>
  <si>
    <t xml:space="preserve">E
Water supply; sewerage, waste management and remediation activities </t>
  </si>
  <si>
    <t>36
Water collection, treatment and supply</t>
  </si>
  <si>
    <t xml:space="preserve">37 - 39
</t>
  </si>
  <si>
    <t xml:space="preserve">37
Sewerage </t>
  </si>
  <si>
    <t xml:space="preserve">38
Waste collection, treatment and disposal activities; materials recovery </t>
  </si>
  <si>
    <t xml:space="preserve">39
Remediation activities and other waste management services </t>
  </si>
  <si>
    <t xml:space="preserve">F
Construction </t>
  </si>
  <si>
    <t xml:space="preserve">G - U 
Services </t>
  </si>
  <si>
    <t xml:space="preserve">G - I
Distribution, transport, hotels and restaurants </t>
  </si>
  <si>
    <t xml:space="preserve">G
Wholesale and retail trade and repair of motor vehicles and motorcycles </t>
  </si>
  <si>
    <t xml:space="preserve">45
Wholesale and retail trade and repair of motor vehicles and motorcycles </t>
  </si>
  <si>
    <t xml:space="preserve">46
Wholesale trade, except of motor vehicles and motorcycles </t>
  </si>
  <si>
    <t xml:space="preserve">47
Retailtrade, except of motor vehicles and motorcycles </t>
  </si>
  <si>
    <t xml:space="preserve">H
Transportation and storage </t>
  </si>
  <si>
    <t xml:space="preserve">49
Land transport and transport via pipelines </t>
  </si>
  <si>
    <t xml:space="preserve">49.1-2
Rail transport </t>
  </si>
  <si>
    <t xml:space="preserve">49.3-5
Land transport services and transport services via pipelines, excluding rail transport </t>
  </si>
  <si>
    <t xml:space="preserve">50
Water transport </t>
  </si>
  <si>
    <t xml:space="preserve">51 
Air transport </t>
  </si>
  <si>
    <t xml:space="preserve">52
Warehousing and support activities for transportation </t>
  </si>
  <si>
    <t xml:space="preserve">53
Postal and courier activities </t>
  </si>
  <si>
    <t xml:space="preserve">I
Accommodation and food service activities </t>
  </si>
  <si>
    <t xml:space="preserve">55
Accommodation </t>
  </si>
  <si>
    <t xml:space="preserve">56
Food and beverage service activities </t>
  </si>
  <si>
    <t xml:space="preserve">J
Information and communication </t>
  </si>
  <si>
    <t xml:space="preserve">JA
Publishing, audiovisual and broadcasting activities </t>
  </si>
  <si>
    <t xml:space="preserve">58
Publishing activities </t>
  </si>
  <si>
    <t xml:space="preserve">59 - 60
</t>
  </si>
  <si>
    <t xml:space="preserve">59
Motion picture, video and TV programme production, sound recording and music publishing activities </t>
  </si>
  <si>
    <t xml:space="preserve">60
Programming and broadcasting activities </t>
  </si>
  <si>
    <t>JB
Telecommunications</t>
  </si>
  <si>
    <t>61
Telecommunications</t>
  </si>
  <si>
    <t xml:space="preserve">JC
IT and other information service activities
</t>
  </si>
  <si>
    <t xml:space="preserve">62
Computer programming, consultancy and related activities </t>
  </si>
  <si>
    <t xml:space="preserve">63
Information service activities </t>
  </si>
  <si>
    <t xml:space="preserve">K
Financial and insurance activities </t>
  </si>
  <si>
    <t xml:space="preserve">64
Financial service activities, except insurance and pension funding </t>
  </si>
  <si>
    <t xml:space="preserve">65
Insurance, reinsurance and pension funding, except compulsory social security </t>
  </si>
  <si>
    <t xml:space="preserve">65.1-2
Insurance and reinsurance, except compulsory social security </t>
  </si>
  <si>
    <t xml:space="preserve">66
Activities auxiliary to financial services and insurance activities </t>
  </si>
  <si>
    <t xml:space="preserve">L
Real estate activties  </t>
  </si>
  <si>
    <t xml:space="preserve">68.1-2
Buying and selling, renting and operating of own or leased real estate, excluding imputed rental </t>
  </si>
  <si>
    <t xml:space="preserve">68.2IMP
Imputed rental </t>
  </si>
  <si>
    <t xml:space="preserve">68.3
Real estate activities on a fee or contract basis </t>
  </si>
  <si>
    <t xml:space="preserve">M - N
Professional and support  </t>
  </si>
  <si>
    <t xml:space="preserve">M
Professional, scientific and technical activties </t>
  </si>
  <si>
    <t xml:space="preserve">MA
Legal, accounting, management, architecture, engineering, technical testing activities </t>
  </si>
  <si>
    <t xml:space="preserve">69 - 70
</t>
  </si>
  <si>
    <t xml:space="preserve">69
Legal and accounting activties </t>
  </si>
  <si>
    <t xml:space="preserve">69.1
Legal activities </t>
  </si>
  <si>
    <t xml:space="preserve">69.2
Accounting, bookkeeping and auditing activities; Tax consultancy </t>
  </si>
  <si>
    <t xml:space="preserve">70
Activities of head offices; Management consultancy activities </t>
  </si>
  <si>
    <t xml:space="preserve">71
Architectural and engineering activities; Technical testing and analysis </t>
  </si>
  <si>
    <t xml:space="preserve">MB
Scientific research and development </t>
  </si>
  <si>
    <t xml:space="preserve">72
Scientific research and development </t>
  </si>
  <si>
    <t xml:space="preserve">MC
Other professional, scientific and technical activities </t>
  </si>
  <si>
    <t xml:space="preserve">73
Advertising and market research </t>
  </si>
  <si>
    <t xml:space="preserve">74 - 75
</t>
  </si>
  <si>
    <t xml:space="preserve">74
Other professional, scientific and technical activities </t>
  </si>
  <si>
    <t xml:space="preserve">75
Veterinary activities </t>
  </si>
  <si>
    <t xml:space="preserve">N
Administrative and support service activities </t>
  </si>
  <si>
    <t xml:space="preserve">77
Rental and leasing activities </t>
  </si>
  <si>
    <t xml:space="preserve">78
Employment activities </t>
  </si>
  <si>
    <t xml:space="preserve">79
Travel agency, tour operator and other reservation service and related activities </t>
  </si>
  <si>
    <t xml:space="preserve">80 - 82
</t>
  </si>
  <si>
    <t xml:space="preserve">80
Security and investigation activities </t>
  </si>
  <si>
    <t xml:space="preserve">81
Services to buildings and landscape activities </t>
  </si>
  <si>
    <t xml:space="preserve">82
Office administrative, office support and other business support activities </t>
  </si>
  <si>
    <t xml:space="preserve">O - Q
Government, health and education </t>
  </si>
  <si>
    <t xml:space="preserve">O
Public administation and defence; compulsory social security </t>
  </si>
  <si>
    <t xml:space="preserve">84
Public administration and defence; Compulsory social security </t>
  </si>
  <si>
    <t xml:space="preserve">P
Education </t>
  </si>
  <si>
    <t xml:space="preserve">85
Education </t>
  </si>
  <si>
    <t xml:space="preserve">Q
Human health and social work activities </t>
  </si>
  <si>
    <t xml:space="preserve">QA 
Human health acitvities </t>
  </si>
  <si>
    <t xml:space="preserve">86
Human health activities </t>
  </si>
  <si>
    <t xml:space="preserve">QB
Residential care and social work activities </t>
  </si>
  <si>
    <t xml:space="preserve">87
Residential care activities </t>
  </si>
  <si>
    <t xml:space="preserve">88
Social work activities without accommodation </t>
  </si>
  <si>
    <t xml:space="preserve">R -U
Other services </t>
  </si>
  <si>
    <t xml:space="preserve">R
Arts, entrainment and recreation </t>
  </si>
  <si>
    <t xml:space="preserve">90 - 92
</t>
  </si>
  <si>
    <t xml:space="preserve">90
Creative, arts and entertainment activities </t>
  </si>
  <si>
    <t xml:space="preserve">91
Libraries, archives, museums and other cultural activities </t>
  </si>
  <si>
    <t xml:space="preserve">92
Gambling and betting activities </t>
  </si>
  <si>
    <t xml:space="preserve">93
Sports activities and amusement and recreation activities </t>
  </si>
  <si>
    <t xml:space="preserve">S
Other service activties  </t>
  </si>
  <si>
    <t xml:space="preserve">94
Activities of membership organisations </t>
  </si>
  <si>
    <t xml:space="preserve">95
Repair of computers and personal and household goods </t>
  </si>
  <si>
    <t xml:space="preserve">96
Other personal service activities </t>
  </si>
  <si>
    <t xml:space="preserve">T
Activities of households as employers </t>
  </si>
  <si>
    <t xml:space="preserve">97
Activities of households as employers of domestic personnel </t>
  </si>
  <si>
    <t>1997JAN</t>
  </si>
  <si>
    <t>1997FEB</t>
  </si>
  <si>
    <t>1997MAR</t>
  </si>
  <si>
    <t>1997APR</t>
  </si>
  <si>
    <t>1997MAY</t>
  </si>
  <si>
    <t>1997JUN</t>
  </si>
  <si>
    <t>1997JUL</t>
  </si>
  <si>
    <t>1997AUG</t>
  </si>
  <si>
    <t>1997SEP</t>
  </si>
  <si>
    <t>1997OCT</t>
  </si>
  <si>
    <t>1997NOV</t>
  </si>
  <si>
    <t>1997DEC</t>
  </si>
  <si>
    <t>1998JAN</t>
  </si>
  <si>
    <t>1998FEB</t>
  </si>
  <si>
    <t>1998MAR</t>
  </si>
  <si>
    <t>1998APR</t>
  </si>
  <si>
    <t>1998MAY</t>
  </si>
  <si>
    <t>1998JUN</t>
  </si>
  <si>
    <t>1998JUL</t>
  </si>
  <si>
    <t>1998AUG</t>
  </si>
  <si>
    <t>1998SEP</t>
  </si>
  <si>
    <t>1998OCT</t>
  </si>
  <si>
    <t>1998NOV</t>
  </si>
  <si>
    <t>1998DEC</t>
  </si>
  <si>
    <t>1999JAN</t>
  </si>
  <si>
    <t>1999FEB</t>
  </si>
  <si>
    <t>1999MAR</t>
  </si>
  <si>
    <t>1999APR</t>
  </si>
  <si>
    <t>1999MAY</t>
  </si>
  <si>
    <t>1999JUN</t>
  </si>
  <si>
    <t>1999JUL</t>
  </si>
  <si>
    <t>1999AUG</t>
  </si>
  <si>
    <t>1999SEP</t>
  </si>
  <si>
    <t>1999OCT</t>
  </si>
  <si>
    <t>1999NOV</t>
  </si>
  <si>
    <t>1999DEC</t>
  </si>
  <si>
    <t>2000JAN</t>
  </si>
  <si>
    <t>2000FEB</t>
  </si>
  <si>
    <t>2000MAR</t>
  </si>
  <si>
    <t>2000APR</t>
  </si>
  <si>
    <t>2000MAY</t>
  </si>
  <si>
    <t>2000JUN</t>
  </si>
  <si>
    <t>2000JUL</t>
  </si>
  <si>
    <t>2000AUG</t>
  </si>
  <si>
    <t>2000SEP</t>
  </si>
  <si>
    <t>2000OCT</t>
  </si>
  <si>
    <t>2000NOV</t>
  </si>
  <si>
    <t>2000DEC</t>
  </si>
  <si>
    <t>2001JAN</t>
  </si>
  <si>
    <t>2001FEB</t>
  </si>
  <si>
    <t>2001MAR</t>
  </si>
  <si>
    <t>2001APR</t>
  </si>
  <si>
    <t>2001MAY</t>
  </si>
  <si>
    <t>2001JUN</t>
  </si>
  <si>
    <t>2001JUL</t>
  </si>
  <si>
    <t>2001AUG</t>
  </si>
  <si>
    <t>2001SEP</t>
  </si>
  <si>
    <t>2001OCT</t>
  </si>
  <si>
    <t>2001NOV</t>
  </si>
  <si>
    <t>2001DEC</t>
  </si>
  <si>
    <t>2002JAN</t>
  </si>
  <si>
    <t>2002FEB</t>
  </si>
  <si>
    <t>2002MAR</t>
  </si>
  <si>
    <t>2002APR</t>
  </si>
  <si>
    <t>2002MAY</t>
  </si>
  <si>
    <t>2002JUN</t>
  </si>
  <si>
    <t>2002JUL</t>
  </si>
  <si>
    <t>2002AUG</t>
  </si>
  <si>
    <t>2002SEP</t>
  </si>
  <si>
    <t>2002OCT</t>
  </si>
  <si>
    <t>2002NOV</t>
  </si>
  <si>
    <t>2002DEC</t>
  </si>
  <si>
    <t>2003JAN</t>
  </si>
  <si>
    <t>2003FEB</t>
  </si>
  <si>
    <t>2003MAR</t>
  </si>
  <si>
    <t>2003APR</t>
  </si>
  <si>
    <t>2003MAY</t>
  </si>
  <si>
    <t>2003JUN</t>
  </si>
  <si>
    <t>2003JUL</t>
  </si>
  <si>
    <t>2003AUG</t>
  </si>
  <si>
    <t>2003SEP</t>
  </si>
  <si>
    <t>2003OCT</t>
  </si>
  <si>
    <t>2003NOV</t>
  </si>
  <si>
    <t>2003DEC</t>
  </si>
  <si>
    <t>2004JAN</t>
  </si>
  <si>
    <t>2004FEB</t>
  </si>
  <si>
    <t>2004MAR</t>
  </si>
  <si>
    <t>2004APR</t>
  </si>
  <si>
    <t>2004MAY</t>
  </si>
  <si>
    <t>2004JUN</t>
  </si>
  <si>
    <t>2004JUL</t>
  </si>
  <si>
    <t>2004AUG</t>
  </si>
  <si>
    <t>2004SEP</t>
  </si>
  <si>
    <t>2004OCT</t>
  </si>
  <si>
    <t>2004NOV</t>
  </si>
  <si>
    <t>2004DEC</t>
  </si>
  <si>
    <t>2005JAN</t>
  </si>
  <si>
    <t>2005FEB</t>
  </si>
  <si>
    <t>2005MAR</t>
  </si>
  <si>
    <t>2005APR</t>
  </si>
  <si>
    <t>2005MAY</t>
  </si>
  <si>
    <t>2005JUN</t>
  </si>
  <si>
    <t>2005JUL</t>
  </si>
  <si>
    <t>2005AUG</t>
  </si>
  <si>
    <t>2005SEP</t>
  </si>
  <si>
    <t>2005OCT</t>
  </si>
  <si>
    <t>2005NOV</t>
  </si>
  <si>
    <t>2005DEC</t>
  </si>
  <si>
    <t>2006JAN</t>
  </si>
  <si>
    <t>2006FEB</t>
  </si>
  <si>
    <t>2006MAR</t>
  </si>
  <si>
    <t>2006APR</t>
  </si>
  <si>
    <t>2006MAY</t>
  </si>
  <si>
    <t>2006JUN</t>
  </si>
  <si>
    <t>2006JUL</t>
  </si>
  <si>
    <t>2006AUG</t>
  </si>
  <si>
    <t>2006SEP</t>
  </si>
  <si>
    <t>2006OCT</t>
  </si>
  <si>
    <t>2006NOV</t>
  </si>
  <si>
    <t>2006DEC</t>
  </si>
  <si>
    <t>2007JAN</t>
  </si>
  <si>
    <t>2007FEB</t>
  </si>
  <si>
    <t>2007MAR</t>
  </si>
  <si>
    <t>2007APR</t>
  </si>
  <si>
    <t>2007MAY</t>
  </si>
  <si>
    <t>2007JUN</t>
  </si>
  <si>
    <t>2007JUL</t>
  </si>
  <si>
    <t>2007AUG</t>
  </si>
  <si>
    <t>2007SEP</t>
  </si>
  <si>
    <t>2007OCT</t>
  </si>
  <si>
    <t>2007NOV</t>
  </si>
  <si>
    <t>2007DEC</t>
  </si>
  <si>
    <t>2008JAN</t>
  </si>
  <si>
    <t>2008FEB</t>
  </si>
  <si>
    <t>2008MAR</t>
  </si>
  <si>
    <t>2008APR</t>
  </si>
  <si>
    <t>2008MAY</t>
  </si>
  <si>
    <t>2008JUN</t>
  </si>
  <si>
    <t>2008JUL</t>
  </si>
  <si>
    <t>2008AUG</t>
  </si>
  <si>
    <t>2008SEP</t>
  </si>
  <si>
    <t>2008OCT</t>
  </si>
  <si>
    <t>2008NOV</t>
  </si>
  <si>
    <t>2008DEC</t>
  </si>
  <si>
    <t>2009JAN</t>
  </si>
  <si>
    <t>2009FEB</t>
  </si>
  <si>
    <t>2009MAR</t>
  </si>
  <si>
    <t>2009APR</t>
  </si>
  <si>
    <t>2009MAY</t>
  </si>
  <si>
    <t>2009JUN</t>
  </si>
  <si>
    <t>2009JUL</t>
  </si>
  <si>
    <t>2009AUG</t>
  </si>
  <si>
    <t>2009SEP</t>
  </si>
  <si>
    <t>2009OCT</t>
  </si>
  <si>
    <t>2009NOV</t>
  </si>
  <si>
    <t>2009DEC</t>
  </si>
  <si>
    <t>2010JAN</t>
  </si>
  <si>
    <t>2010FEB</t>
  </si>
  <si>
    <t>2010MAR</t>
  </si>
  <si>
    <t>2010APR</t>
  </si>
  <si>
    <t>2010MAY</t>
  </si>
  <si>
    <t>2010JUN</t>
  </si>
  <si>
    <t>2010JUL</t>
  </si>
  <si>
    <t>2010AUG</t>
  </si>
  <si>
    <t>2010SEP</t>
  </si>
  <si>
    <t>2010OCT</t>
  </si>
  <si>
    <t>2010NOV</t>
  </si>
  <si>
    <t>2010DEC</t>
  </si>
  <si>
    <t>2011JAN</t>
  </si>
  <si>
    <t>2011FEB</t>
  </si>
  <si>
    <t>2011MAR</t>
  </si>
  <si>
    <t>2011APR</t>
  </si>
  <si>
    <t>2011MAY</t>
  </si>
  <si>
    <t>2011JUN</t>
  </si>
  <si>
    <t>2011JUL</t>
  </si>
  <si>
    <t>2011AUG</t>
  </si>
  <si>
    <t>2011SEP</t>
  </si>
  <si>
    <t>2011OCT</t>
  </si>
  <si>
    <t>2011NOV</t>
  </si>
  <si>
    <t>2011DEC</t>
  </si>
  <si>
    <t>2012JAN</t>
  </si>
  <si>
    <t>2012FEB</t>
  </si>
  <si>
    <t>2012MAR</t>
  </si>
  <si>
    <t>2012APR</t>
  </si>
  <si>
    <t>2012MAY</t>
  </si>
  <si>
    <t>2012JUN</t>
  </si>
  <si>
    <t>2012JUL</t>
  </si>
  <si>
    <t>2012AUG</t>
  </si>
  <si>
    <t>2012SEP</t>
  </si>
  <si>
    <t>2012OCT</t>
  </si>
  <si>
    <t>2012NOV</t>
  </si>
  <si>
    <t>2012DEC</t>
  </si>
  <si>
    <t>2013JAN</t>
  </si>
  <si>
    <t>2013FEB</t>
  </si>
  <si>
    <t>2013MAR</t>
  </si>
  <si>
    <t>2013APR</t>
  </si>
  <si>
    <t>2013MAY</t>
  </si>
  <si>
    <t>2013JUN</t>
  </si>
  <si>
    <t>2013JUL</t>
  </si>
  <si>
    <t>2013AUG</t>
  </si>
  <si>
    <t>2013SEP</t>
  </si>
  <si>
    <t>2013OCT</t>
  </si>
  <si>
    <t>2013NOV</t>
  </si>
  <si>
    <t>2013DEC</t>
  </si>
  <si>
    <t>2014JAN</t>
  </si>
  <si>
    <t>2014FEB</t>
  </si>
  <si>
    <t>2014MAR</t>
  </si>
  <si>
    <t>2014APR</t>
  </si>
  <si>
    <t>2014MAY</t>
  </si>
  <si>
    <t>2014JUN</t>
  </si>
  <si>
    <t>2014JUL</t>
  </si>
  <si>
    <t>2014AUG</t>
  </si>
  <si>
    <t>2014SEP</t>
  </si>
  <si>
    <t>2014OCT</t>
  </si>
  <si>
    <t>2014NOV</t>
  </si>
  <si>
    <t>2014DEC</t>
  </si>
  <si>
    <t>2015JAN</t>
  </si>
  <si>
    <t>2015FEB</t>
  </si>
  <si>
    <t>2015MAR</t>
  </si>
  <si>
    <t>2015APR</t>
  </si>
  <si>
    <t>2015MAY</t>
  </si>
  <si>
    <t>2015JUN</t>
  </si>
  <si>
    <t>2015JUL</t>
  </si>
  <si>
    <t>2015AUG</t>
  </si>
  <si>
    <t>2015SEP</t>
  </si>
  <si>
    <t>2015OCT</t>
  </si>
  <si>
    <t>2015NOV</t>
  </si>
  <si>
    <t>2015DEC</t>
  </si>
  <si>
    <t>2016JAN</t>
  </si>
  <si>
    <t>2016FEB</t>
  </si>
  <si>
    <t>2016MAR</t>
  </si>
  <si>
    <t>2016APR</t>
  </si>
  <si>
    <t>2016MAY</t>
  </si>
  <si>
    <t>2016JUN</t>
  </si>
  <si>
    <t>2016JUL</t>
  </si>
  <si>
    <t>2016AUG</t>
  </si>
  <si>
    <t>2016SEP</t>
  </si>
  <si>
    <t>2016OCT</t>
  </si>
  <si>
    <t>2016NOV</t>
  </si>
  <si>
    <t>2016DEC</t>
  </si>
  <si>
    <t>2017JAN</t>
  </si>
  <si>
    <t>2017FEB</t>
  </si>
  <si>
    <t>2017MAR</t>
  </si>
  <si>
    <t>2017APR</t>
  </si>
  <si>
    <t>2017MAY</t>
  </si>
  <si>
    <t>2017JUN</t>
  </si>
  <si>
    <t>2017JUL</t>
  </si>
  <si>
    <t>2017AUG</t>
  </si>
  <si>
    <t>2017SEP</t>
  </si>
  <si>
    <t>2017OCT</t>
  </si>
  <si>
    <t>2017NOV</t>
  </si>
  <si>
    <t>2017DEC</t>
  </si>
  <si>
    <t>2018JAN</t>
  </si>
  <si>
    <t>2018FEB</t>
  </si>
  <si>
    <t>2018MAR</t>
  </si>
  <si>
    <t>2018APR</t>
  </si>
  <si>
    <t>2018MAY</t>
  </si>
  <si>
    <t>2018JUN</t>
  </si>
  <si>
    <t>2018JUL</t>
  </si>
  <si>
    <t>2018AUG</t>
  </si>
  <si>
    <t>2018SEP</t>
  </si>
  <si>
    <t>2018OCT</t>
  </si>
  <si>
    <t>2018NOV</t>
  </si>
  <si>
    <t>2018DEC</t>
  </si>
  <si>
    <t>2019JAN</t>
  </si>
  <si>
    <t>2019FEB</t>
  </si>
  <si>
    <t>2019MAR</t>
  </si>
  <si>
    <t>2019APR</t>
  </si>
  <si>
    <t>2019MAY</t>
  </si>
  <si>
    <t>2019JUN</t>
  </si>
  <si>
    <t>2019JUL</t>
  </si>
  <si>
    <t>2019AUG</t>
  </si>
  <si>
    <t>2019SEP</t>
  </si>
  <si>
    <t>2019OCT</t>
  </si>
  <si>
    <t>2019NOV</t>
  </si>
  <si>
    <t>2019DEC</t>
  </si>
  <si>
    <t>2020JAN</t>
  </si>
  <si>
    <t>2020FEB</t>
  </si>
  <si>
    <t>2020MAR</t>
  </si>
  <si>
    <t>2020APR</t>
  </si>
  <si>
    <t>2020MAY</t>
  </si>
  <si>
    <t>2020JUN</t>
  </si>
  <si>
    <t>2020JUL</t>
  </si>
  <si>
    <t>2020AUG</t>
  </si>
  <si>
    <t>2020SEP</t>
  </si>
  <si>
    <t>2020OCT</t>
  </si>
  <si>
    <t>2020NOV</t>
  </si>
  <si>
    <t>2020DEC</t>
  </si>
  <si>
    <t>2021JAN</t>
  </si>
  <si>
    <t>2021FEB</t>
  </si>
  <si>
    <t>2021MAR</t>
  </si>
  <si>
    <t>2021APR</t>
  </si>
  <si>
    <t>2021MAY</t>
  </si>
  <si>
    <t>2021JUN</t>
  </si>
  <si>
    <t>2021JUL</t>
  </si>
  <si>
    <t>2021AUG</t>
  </si>
  <si>
    <t>2021SEP</t>
  </si>
  <si>
    <t>2021OCT</t>
  </si>
  <si>
    <t>2021NOV</t>
  </si>
  <si>
    <t>2021DEC</t>
  </si>
  <si>
    <t>2022JAN</t>
  </si>
  <si>
    <t>2022FEB</t>
  </si>
  <si>
    <t>2022MAR</t>
  </si>
  <si>
    <t>2022APR</t>
  </si>
  <si>
    <t>2022MAY</t>
  </si>
  <si>
    <t>2022JUN</t>
  </si>
  <si>
    <t>2022JUL</t>
  </si>
  <si>
    <t>2022AUG</t>
  </si>
  <si>
    <t>2022SEP</t>
  </si>
  <si>
    <t>2022OCT</t>
  </si>
  <si>
    <t>2022NOV</t>
  </si>
  <si>
    <t>2022DEC</t>
  </si>
  <si>
    <t xml:space="preserve">Table 2: Blue Book 2024: Gross value added (GVA) index 2022 = 100, chained volume measures, UK, seasonally adjusted </t>
  </si>
  <si>
    <t>Source: GDP Blue Book 2024 indicative estimates</t>
  </si>
  <si>
    <t>Sectors - retail (2019=100)</t>
  </si>
  <si>
    <t>New</t>
  </si>
  <si>
    <t>Sectors - health (2019=100)</t>
  </si>
  <si>
    <t>Sectors - manufacturing (2019=100)</t>
  </si>
  <si>
    <t>Current</t>
  </si>
  <si>
    <t>Aug-08-2024 21:40</t>
  </si>
  <si>
    <t>Aug-08-2024 23:08</t>
  </si>
  <si>
    <t>Aug-08-2024 22:46</t>
  </si>
  <si>
    <t>Aug-09-2024 02:22</t>
  </si>
  <si>
    <t>Aug-08-2024 22:01</t>
  </si>
  <si>
    <t>Aug-09-2024 05:09</t>
  </si>
  <si>
    <t>Worksheet B: The sector accounts: Key economic indicators (Current price £million unless otherwise stated)</t>
  </si>
  <si>
    <t>This worksheet contains one table.</t>
  </si>
  <si>
    <t>Table B_3: Household Sector</t>
  </si>
  <si>
    <t xml:space="preserve">Time period and dataset code row </t>
  </si>
  <si>
    <t>Households gross disposable income (£ mn)</t>
  </si>
  <si>
    <t>Implied deflator of households Individual consumption expenditure: Chained volume measure Index (2022=100)</t>
  </si>
  <si>
    <t>Real households disposable income: Chained volume measures (reference year 2022)</t>
  </si>
  <si>
    <t>Real households disposable income: Chained volume measure: Index (2022=100)</t>
  </si>
  <si>
    <t>Gross savings (£ mn)</t>
  </si>
  <si>
    <t>Households total resources from the use of disposal income account (£ mn)</t>
  </si>
  <si>
    <t>Households saving ratio (per cent)</t>
  </si>
  <si>
    <t>ESA code</t>
  </si>
  <si>
    <t>B.6g</t>
  </si>
  <si>
    <t>B.8g</t>
  </si>
  <si>
    <t>Dataset identifier code</t>
  </si>
  <si>
    <t>RPHA</t>
  </si>
  <si>
    <t>DG2Q</t>
  </si>
  <si>
    <t>DG2R</t>
  </si>
  <si>
    <t>DG43</t>
  </si>
  <si>
    <t>RPQG</t>
  </si>
  <si>
    <t>RPQF</t>
  </si>
  <si>
    <t>DGD8</t>
  </si>
  <si>
    <t>2010-2019</t>
  </si>
  <si>
    <t>2015-2019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</si>
</sst>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;\-###0.0;0.0;@"/>
    <numFmt numFmtId="165" formatCode="0.0"/>
    <numFmt numFmtId="166" formatCode="0.000"/>
    <numFmt numFmtId="167" formatCode="0.0000"/>
    <numFmt numFmtId="168" formatCode="#,##0,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  <scheme val="minor"/>
    </font>
    <font>
      <b/>
      <sz val="15"/>
      <color theme="3"/>
      <name val="Arial"/>
      <family val="2"/>
    </font>
    <font>
      <b/>
      <sz val="15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A8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1" fillId="0" borderId="0"/>
    <xf numFmtId="0" fontId="6" fillId="0" borderId="1" applyNumberFormat="0" applyFill="0" applyAlignment="0" applyProtection="0"/>
    <xf numFmtId="0" fontId="12" fillId="0" borderId="0"/>
    <xf numFmtId="0" fontId="14" fillId="0" borderId="0" applyNumberFormat="0" applyBorder="0" applyProtection="0"/>
    <xf numFmtId="0" fontId="17" fillId="0" borderId="0" applyNumberFormat="0" applyFill="0" applyAlignment="0" applyProtection="0"/>
    <xf numFmtId="0" fontId="18" fillId="0" borderId="0" applyNumberFormat="0" applyFill="0" applyAlignment="0" applyProtection="0"/>
    <xf numFmtId="0" fontId="14" fillId="0" borderId="0" applyNumberFormat="0" applyBorder="0" applyProtection="0"/>
  </cellStyleXfs>
  <cellXfs count="60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0" fillId="0" borderId="0" xfId="0" quotePrefix="1"/>
    <xf numFmtId="164" fontId="0" fillId="0" borderId="0" xfId="0" applyNumberFormat="1"/>
    <xf numFmtId="164" fontId="5" fillId="0" borderId="0" xfId="0" applyNumberFormat="1" applyFont="1"/>
    <xf numFmtId="0" fontId="1" fillId="0" borderId="0" xfId="2"/>
    <xf numFmtId="0" fontId="0" fillId="0" borderId="0" xfId="2" applyFont="1"/>
    <xf numFmtId="0" fontId="1" fillId="0" borderId="0" xfId="2" applyAlignment="1">
      <alignment horizontal="right"/>
    </xf>
    <xf numFmtId="0" fontId="2" fillId="0" borderId="0" xfId="0" applyFont="1"/>
    <xf numFmtId="165" fontId="0" fillId="0" borderId="0" xfId="0" applyNumberFormat="1"/>
    <xf numFmtId="0" fontId="7" fillId="0" borderId="0" xfId="3" applyFont="1" applyBorder="1"/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3" xfId="0" applyFont="1" applyBorder="1" applyAlignment="1">
      <alignment wrapText="1"/>
    </xf>
    <xf numFmtId="165" fontId="10" fillId="0" borderId="0" xfId="0" applyNumberFormat="1" applyFont="1"/>
    <xf numFmtId="0" fontId="0" fillId="0" borderId="0" xfId="0" applyAlignment="1">
      <alignment horizontal="right"/>
    </xf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6" fillId="0" borderId="0" xfId="3" applyFill="1" applyBorder="1" applyAlignment="1">
      <alignment horizontal="left" vertical="top"/>
    </xf>
    <xf numFmtId="0" fontId="9" fillId="0" borderId="0" xfId="4" applyFont="1" applyAlignment="1">
      <alignment horizontal="center"/>
    </xf>
    <xf numFmtId="0" fontId="13" fillId="0" borderId="0" xfId="4" applyFont="1"/>
    <xf numFmtId="49" fontId="9" fillId="0" borderId="0" xfId="4" applyNumberFormat="1" applyFont="1" applyAlignment="1">
      <alignment horizontal="left" vertical="top"/>
    </xf>
    <xf numFmtId="49" fontId="9" fillId="0" borderId="0" xfId="4" applyNumberFormat="1" applyFont="1" applyAlignment="1">
      <alignment horizontal="center"/>
    </xf>
    <xf numFmtId="168" fontId="15" fillId="0" borderId="4" xfId="5" applyNumberFormat="1" applyFont="1" applyBorder="1" applyAlignment="1">
      <alignment horizontal="left" wrapText="1"/>
    </xf>
    <xf numFmtId="0" fontId="16" fillId="0" borderId="4" xfId="4" applyFont="1" applyBorder="1" applyAlignment="1">
      <alignment horizontal="right" vertical="top" wrapText="1"/>
    </xf>
    <xf numFmtId="0" fontId="16" fillId="0" borderId="0" xfId="4" applyFont="1" applyAlignment="1">
      <alignment horizontal="right" vertical="top" wrapText="1"/>
    </xf>
    <xf numFmtId="0" fontId="16" fillId="0" borderId="0" xfId="4" applyFont="1" applyAlignment="1">
      <alignment horizontal="right" vertical="top"/>
    </xf>
    <xf numFmtId="0" fontId="9" fillId="0" borderId="0" xfId="2" applyFont="1" applyAlignment="1">
      <alignment horizontal="left" vertical="top"/>
    </xf>
    <xf numFmtId="165" fontId="9" fillId="0" borderId="0" xfId="4" applyNumberFormat="1" applyFont="1" applyAlignment="1">
      <alignment horizontal="right"/>
    </xf>
    <xf numFmtId="0" fontId="10" fillId="0" borderId="0" xfId="2" applyFont="1" applyAlignment="1">
      <alignment horizontal="left" vertical="top"/>
    </xf>
    <xf numFmtId="0" fontId="9" fillId="0" borderId="0" xfId="4" applyFont="1" applyAlignment="1">
      <alignment horizontal="left" vertical="top"/>
    </xf>
    <xf numFmtId="0" fontId="9" fillId="0" borderId="0" xfId="0" applyFont="1" applyAlignment="1">
      <alignment horizontal="center"/>
    </xf>
    <xf numFmtId="0" fontId="13" fillId="0" borderId="0" xfId="0" applyFont="1"/>
    <xf numFmtId="49" fontId="9" fillId="0" borderId="0" xfId="0" applyNumberFormat="1" applyFont="1" applyAlignment="1">
      <alignment horizontal="left" vertical="top"/>
    </xf>
    <xf numFmtId="49" fontId="9" fillId="0" borderId="0" xfId="0" applyNumberFormat="1" applyFont="1" applyAlignment="1">
      <alignment horizontal="center"/>
    </xf>
    <xf numFmtId="49" fontId="10" fillId="3" borderId="0" xfId="0" applyNumberFormat="1" applyFont="1" applyFill="1" applyAlignment="1">
      <alignment horizontal="center" wrapText="1"/>
    </xf>
    <xf numFmtId="17" fontId="0" fillId="0" borderId="0" xfId="0" applyNumberFormat="1"/>
    <xf numFmtId="0" fontId="0" fillId="0" borderId="0" xfId="0" applyNumberFormat="1"/>
    <xf numFmtId="0" fontId="16" fillId="0" borderId="0" xfId="6" applyFont="1" applyFill="1" applyAlignment="1">
      <alignment horizontal="left" vertical="top"/>
    </xf>
    <xf numFmtId="0" fontId="9" fillId="0" borderId="0" xfId="2" applyFont="1" applyAlignment="1">
      <alignment horizontal="right"/>
    </xf>
    <xf numFmtId="0" fontId="9" fillId="0" borderId="0" xfId="2" applyFont="1" applyAlignment="1">
      <alignment horizontal="right" wrapText="1"/>
    </xf>
    <xf numFmtId="0" fontId="10" fillId="0" borderId="0" xfId="2" applyFont="1"/>
    <xf numFmtId="0" fontId="9" fillId="0" borderId="0" xfId="2" applyFont="1" applyAlignment="1" applyProtection="1">
      <alignment horizontal="left"/>
      <protection locked="0"/>
    </xf>
    <xf numFmtId="0" fontId="16" fillId="0" borderId="0" xfId="7" applyFont="1" applyFill="1" applyAlignment="1">
      <alignment vertical="top"/>
    </xf>
    <xf numFmtId="168" fontId="15" fillId="0" borderId="4" xfId="8" applyNumberFormat="1" applyFont="1" applyBorder="1" applyAlignment="1">
      <alignment horizontal="left" wrapText="1"/>
    </xf>
    <xf numFmtId="0" fontId="16" fillId="0" borderId="0" xfId="2" applyFont="1" applyAlignment="1" applyProtection="1">
      <alignment horizontal="right" wrapText="1"/>
      <protection locked="0"/>
    </xf>
    <xf numFmtId="0" fontId="11" fillId="0" borderId="0" xfId="2" applyFont="1" applyAlignment="1" applyProtection="1">
      <alignment horizontal="right" wrapText="1"/>
      <protection locked="0"/>
    </xf>
    <xf numFmtId="0" fontId="16" fillId="0" borderId="4" xfId="2" applyFont="1" applyBorder="1" applyAlignment="1">
      <alignment horizontal="left"/>
    </xf>
    <xf numFmtId="0" fontId="11" fillId="0" borderId="3" xfId="2" applyFont="1" applyBorder="1" applyAlignment="1">
      <alignment horizontal="right"/>
    </xf>
    <xf numFmtId="0" fontId="16" fillId="0" borderId="4" xfId="2" applyFont="1" applyBorder="1" applyAlignment="1">
      <alignment horizontal="left" wrapText="1"/>
    </xf>
    <xf numFmtId="0" fontId="11" fillId="0" borderId="4" xfId="2" applyFont="1" applyBorder="1" applyAlignment="1">
      <alignment horizontal="right"/>
    </xf>
    <xf numFmtId="0" fontId="11" fillId="0" borderId="0" xfId="2" applyFont="1" applyAlignment="1">
      <alignment horizontal="right" vertical="top"/>
    </xf>
    <xf numFmtId="0" fontId="9" fillId="0" borderId="0" xfId="2" applyFont="1" applyAlignment="1">
      <alignment horizontal="left"/>
    </xf>
    <xf numFmtId="3" fontId="10" fillId="0" borderId="0" xfId="2" applyNumberFormat="1" applyFont="1" applyAlignment="1">
      <alignment horizontal="right"/>
    </xf>
    <xf numFmtId="165" fontId="10" fillId="0" borderId="0" xfId="2" applyNumberFormat="1" applyFont="1" applyAlignment="1">
      <alignment horizontal="right"/>
    </xf>
    <xf numFmtId="165" fontId="10" fillId="0" borderId="0" xfId="2" applyNumberFormat="1" applyFont="1"/>
  </cellXfs>
  <cellStyles count="9">
    <cellStyle name="Heading 1 2" xfId="3" xr:uid="{71F51629-A1F8-447B-A332-7916F77F549D}"/>
    <cellStyle name="Heading 1 2 2" xfId="6" xr:uid="{12AF1EBB-0AD1-4BE3-95EB-D960970BC042}"/>
    <cellStyle name="Heading 2 3" xfId="7" xr:uid="{1247D8DE-222A-4094-8C0C-923E95F69DA5}"/>
    <cellStyle name="Normal" xfId="0" builtinId="0"/>
    <cellStyle name="Normal 2" xfId="1" xr:uid="{D2E6B333-69CF-44E9-BADD-BACC4CB6F327}"/>
    <cellStyle name="Normal 2 2 2" xfId="5" xr:uid="{1F498A81-48E1-4F2F-9AAF-DA5A8969653F}"/>
    <cellStyle name="Normal 2 2 2 2" xfId="8" xr:uid="{ADC08811-EF43-499D-8C63-D14A08F195C0}"/>
    <cellStyle name="Normal 2 5" xfId="2" xr:uid="{62EA3F1F-C28B-40A2-B570-6592EAC3DA1E}"/>
    <cellStyle name="Normal 4" xfId="4" xr:uid="{C38AD955-6309-4DD0-B701-00888F9E2631}"/>
  </cellStyles>
  <dxfs count="3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4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chartsheet" Target="chartsheets/sheet2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styles" Target="styles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52454724575242E-2"/>
          <c:y val="0.14714391023940784"/>
          <c:w val="0.86356258014464882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Data'!$CM$2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Data'!$CL$3:$CL$8</c:f>
              <c:numCache>
                <c:formatCode>m/d/yyyy</c:formatCode>
                <c:ptCount val="6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</c:numCache>
            </c:numRef>
          </c:cat>
          <c:val>
            <c:numRef>
              <c:f>'Chart Data'!$CM$3:$CM$8</c:f>
              <c:numCache>
                <c:formatCode>0.0</c:formatCode>
                <c:ptCount val="6"/>
                <c:pt idx="0">
                  <c:v>100</c:v>
                </c:pt>
                <c:pt idx="1">
                  <c:v>98.44772769777444</c:v>
                </c:pt>
                <c:pt idx="2">
                  <c:v>96.320971627850696</c:v>
                </c:pt>
                <c:pt idx="3">
                  <c:v>96.607663450643031</c:v>
                </c:pt>
                <c:pt idx="4">
                  <c:v>98.187658830130147</c:v>
                </c:pt>
                <c:pt idx="5">
                  <c:v>97.921429278649924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Data'!$CN$2</c:f>
              <c:strCache>
                <c:ptCount val="1"/>
                <c:pt idx="0">
                  <c:v>Global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Data'!$CL$3:$CL$8</c:f>
              <c:numCache>
                <c:formatCode>m/d/yyyy</c:formatCode>
                <c:ptCount val="6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</c:numCache>
            </c:numRef>
          </c:cat>
          <c:val>
            <c:numRef>
              <c:f>'Chart Data'!$CN$3:$CN$8</c:f>
              <c:numCache>
                <c:formatCode>0.0</c:formatCode>
                <c:ptCount val="6"/>
                <c:pt idx="0">
                  <c:v>100</c:v>
                </c:pt>
                <c:pt idx="1">
                  <c:v>97.935863139469603</c:v>
                </c:pt>
                <c:pt idx="2">
                  <c:v>94.71250701806531</c:v>
                </c:pt>
                <c:pt idx="3">
                  <c:v>95.865121040985485</c:v>
                </c:pt>
                <c:pt idx="4">
                  <c:v>95.871726278939192</c:v>
                </c:pt>
                <c:pt idx="5">
                  <c:v>97.184517322236516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Data'!$CO$2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Data'!$CL$3:$CL$8</c:f>
              <c:numCache>
                <c:formatCode>m/d/yyyy</c:formatCode>
                <c:ptCount val="6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</c:numCache>
            </c:numRef>
          </c:cat>
          <c:val>
            <c:numRef>
              <c:f>'Chart Data'!$CO$3:$CO$8</c:f>
              <c:numCache>
                <c:formatCode>0.0</c:formatCode>
                <c:ptCount val="6"/>
                <c:pt idx="0">
                  <c:v>100</c:v>
                </c:pt>
                <c:pt idx="1">
                  <c:v>98.161816005346381</c:v>
                </c:pt>
                <c:pt idx="2">
                  <c:v>95.220023941189851</c:v>
                </c:pt>
                <c:pt idx="3">
                  <c:v>96.20594564027995</c:v>
                </c:pt>
                <c:pt idx="4">
                  <c:v>95.461822614877306</c:v>
                </c:pt>
                <c:pt idx="5">
                  <c:v>97.661511232530643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Data'!$CP$2</c:f>
              <c:strCache>
                <c:ptCount val="1"/>
                <c:pt idx="0">
                  <c:v>Eurozone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Data'!$CL$3:$CL$8</c:f>
              <c:numCache>
                <c:formatCode>m/d/yyyy</c:formatCode>
                <c:ptCount val="6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</c:numCache>
            </c:numRef>
          </c:cat>
          <c:val>
            <c:numRef>
              <c:f>'Chart Data'!$CP$3:$CP$8</c:f>
              <c:numCache>
                <c:formatCode>0.0</c:formatCode>
                <c:ptCount val="6"/>
                <c:pt idx="0">
                  <c:v>100</c:v>
                </c:pt>
                <c:pt idx="1">
                  <c:v>97.334715426000685</c:v>
                </c:pt>
                <c:pt idx="2">
                  <c:v>95.926743493113321</c:v>
                </c:pt>
                <c:pt idx="3">
                  <c:v>96.002702634649111</c:v>
                </c:pt>
                <c:pt idx="4">
                  <c:v>97.950781833594931</c:v>
                </c:pt>
                <c:pt idx="5">
                  <c:v>97.965050401618214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Data'!$CQ$2</c:f>
              <c:strCache>
                <c:ptCount val="1"/>
                <c:pt idx="0">
                  <c:v>Japan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'Chart Data'!$CL$3:$CL$8</c:f>
              <c:numCache>
                <c:formatCode>m/d/yyyy</c:formatCode>
                <c:ptCount val="6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</c:numCache>
            </c:numRef>
          </c:cat>
          <c:val>
            <c:numRef>
              <c:f>'Chart Data'!$CQ$3:$CQ$8</c:f>
              <c:numCache>
                <c:formatCode>0.0</c:formatCode>
                <c:ptCount val="6"/>
                <c:pt idx="0">
                  <c:v>100</c:v>
                </c:pt>
                <c:pt idx="1">
                  <c:v>93.856914069290482</c:v>
                </c:pt>
                <c:pt idx="2">
                  <c:v>82.37445861026967</c:v>
                </c:pt>
                <c:pt idx="3">
                  <c:v>90.032880988574874</c:v>
                </c:pt>
                <c:pt idx="4">
                  <c:v>92.067137874534438</c:v>
                </c:pt>
                <c:pt idx="5">
                  <c:v>91.049639566666286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'Chart Data'!$CR$2</c:f>
              <c:strCache>
                <c:ptCount val="1"/>
                <c:pt idx="0">
                  <c:v>Canada</c:v>
                </c:pt>
              </c:strCache>
            </c:strRef>
          </c:tx>
          <c:spPr>
            <a:ln w="38100">
              <a:solidFill>
                <a:srgbClr val="965793"/>
              </a:solidFill>
            </a:ln>
          </c:spPr>
          <c:marker>
            <c:symbol val="none"/>
          </c:marker>
          <c:cat>
            <c:numRef>
              <c:f>'Chart Data'!$CL$3:$CL$8</c:f>
              <c:numCache>
                <c:formatCode>m/d/yyyy</c:formatCode>
                <c:ptCount val="6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</c:numCache>
            </c:numRef>
          </c:cat>
          <c:val>
            <c:numRef>
              <c:f>'Chart Data'!$CR$3:$CR$8</c:f>
              <c:numCache>
                <c:formatCode>0.0</c:formatCode>
                <c:ptCount val="6"/>
                <c:pt idx="0">
                  <c:v>100</c:v>
                </c:pt>
                <c:pt idx="1">
                  <c:v>97.81905813483219</c:v>
                </c:pt>
                <c:pt idx="2">
                  <c:v>#N/A</c:v>
                </c:pt>
                <c:pt idx="3">
                  <c:v>96.726474824639666</c:v>
                </c:pt>
                <c:pt idx="4">
                  <c:v>96.293393407005439</c:v>
                </c:pt>
                <c:pt idx="5">
                  <c:v>97.81016854572924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ser>
          <c:idx val="6"/>
          <c:order val="6"/>
          <c:tx>
            <c:strRef>
              <c:f>'Chart Data'!$CS$2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Data'!$CL$3:$CL$8</c:f>
              <c:numCache>
                <c:formatCode>m/d/yyyy</c:formatCode>
                <c:ptCount val="6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</c:numCache>
            </c:numRef>
          </c:cat>
          <c:val>
            <c:numRef>
              <c:f>'Chart Data'!$CS$3:$CS$8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2-414D-9C5C-33D6591D5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100"/>
          <c:min val="8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9.8485519818497264E-2"/>
          <c:y val="0.79020919414776125"/>
          <c:w val="0.85029037472010915"/>
          <c:h val="6.6446149676834945E-2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4458966532899485E-2"/>
          <c:y val="0.14714391023940784"/>
          <c:w val="0.87726044979460416"/>
          <c:h val="0.712639860869834"/>
        </c:manualLayout>
      </c:layout>
      <c:areaChart>
        <c:grouping val="stacked"/>
        <c:varyColors val="0"/>
        <c:ser>
          <c:idx val="3"/>
          <c:order val="3"/>
          <c:tx>
            <c:strRef>
              <c:f>'Chart Data'!$AE$2</c:f>
              <c:strCache>
                <c:ptCount val="1"/>
                <c:pt idx="0">
                  <c:v>Bottom of range</c:v>
                </c:pt>
              </c:strCache>
            </c:strRef>
          </c:tx>
          <c:spPr>
            <a:noFill/>
            <a:ln w="38100">
              <a:noFill/>
            </a:ln>
          </c:spPr>
          <c:cat>
            <c:numRef>
              <c:f>'Chart Data'!$AA$3:$AA$18</c:f>
              <c:numCache>
                <c:formatCode>General</c:formatCode>
                <c:ptCount val="16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'Chart Data'!$AE$3:$AE$18</c:f>
              <c:numCache>
                <c:formatCode>0.0</c:formatCode>
                <c:ptCount val="16"/>
                <c:pt idx="0">
                  <c:v>98.661808129672693</c:v>
                </c:pt>
                <c:pt idx="1">
                  <c:v>99.479994780616764</c:v>
                </c:pt>
                <c:pt idx="2">
                  <c:v>100.14098989307014</c:v>
                </c:pt>
                <c:pt idx="3">
                  <c:v>98.049265277732786</c:v>
                </c:pt>
                <c:pt idx="4">
                  <c:v>93.608026526782467</c:v>
                </c:pt>
                <c:pt idx="5">
                  <c:v>77.88541555100646</c:v>
                </c:pt>
                <c:pt idx="6">
                  <c:v>90.960757726094215</c:v>
                </c:pt>
                <c:pt idx="7">
                  <c:v>92.203965250005552</c:v>
                </c:pt>
                <c:pt idx="8">
                  <c:v>91.245773963370652</c:v>
                </c:pt>
                <c:pt idx="9">
                  <c:v>97.49195423384765</c:v>
                </c:pt>
                <c:pt idx="10">
                  <c:v>98.099580662892535</c:v>
                </c:pt>
                <c:pt idx="11">
                  <c:v>99.294914942565342</c:v>
                </c:pt>
                <c:pt idx="12">
                  <c:v>98.740938932144644</c:v>
                </c:pt>
                <c:pt idx="13">
                  <c:v>99.897396432204815</c:v>
                </c:pt>
                <c:pt idx="14">
                  <c:v>99.706487553548314</c:v>
                </c:pt>
                <c:pt idx="15">
                  <c:v>100.07027864768894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Data'!$AF$2</c:f>
              <c:strCache>
                <c:ptCount val="1"/>
                <c:pt idx="0">
                  <c:v>G7 range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 w="38100">
              <a:noFill/>
            </a:ln>
          </c:spPr>
          <c:cat>
            <c:numRef>
              <c:f>'Chart Data'!$AA$3:$AA$18</c:f>
              <c:numCache>
                <c:formatCode>General</c:formatCode>
                <c:ptCount val="16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'Chart Data'!$AF$3:$AF$18</c:f>
              <c:numCache>
                <c:formatCode>0.0</c:formatCode>
                <c:ptCount val="16"/>
                <c:pt idx="0">
                  <c:v>1.6455681962870017</c:v>
                </c:pt>
                <c:pt idx="1">
                  <c:v>1.2504651581106856</c:v>
                </c:pt>
                <c:pt idx="2">
                  <c:v>0.7719085645099284</c:v>
                </c:pt>
                <c:pt idx="3">
                  <c:v>3.2024201481060572</c:v>
                </c:pt>
                <c:pt idx="4">
                  <c:v>6.2639052732764924</c:v>
                </c:pt>
                <c:pt idx="5">
                  <c:v>14.10524755230351</c:v>
                </c:pt>
                <c:pt idx="6">
                  <c:v>8.1678952380805185</c:v>
                </c:pt>
                <c:pt idx="7">
                  <c:v>7.9506831423760929</c:v>
                </c:pt>
                <c:pt idx="8">
                  <c:v>10.196322295588089</c:v>
                </c:pt>
                <c:pt idx="9">
                  <c:v>5.4917931866655039</c:v>
                </c:pt>
                <c:pt idx="10">
                  <c:v>5.7231342862909855</c:v>
                </c:pt>
                <c:pt idx="11">
                  <c:v>6.2893418510902137</c:v>
                </c:pt>
                <c:pt idx="12">
                  <c:v>6.317996603639557</c:v>
                </c:pt>
                <c:pt idx="13">
                  <c:v>5.0131733021382558</c:v>
                </c:pt>
                <c:pt idx="14">
                  <c:v>5.8946839080239641</c:v>
                </c:pt>
                <c:pt idx="15">
                  <c:v>6.2021634920648836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0D7-4B48-B02E-6F8BA6CDA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lineChart>
        <c:grouping val="standard"/>
        <c:varyColors val="0"/>
        <c:ser>
          <c:idx val="0"/>
          <c:order val="0"/>
          <c:tx>
            <c:strRef>
              <c:f>'Chart Data'!$AB$2</c:f>
              <c:strCache>
                <c:ptCount val="1"/>
                <c:pt idx="0">
                  <c:v>UK (current)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Data'!$AA$3:$AA$18</c:f>
              <c:numCache>
                <c:formatCode>General</c:formatCode>
                <c:ptCount val="16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'Chart Data'!$AB$3:$AB$18</c:f>
              <c:numCache>
                <c:formatCode>0.0</c:formatCode>
                <c:ptCount val="16"/>
                <c:pt idx="0">
                  <c:v>99.402082705699982</c:v>
                </c:pt>
                <c:pt idx="1">
                  <c:v>99.722774440098831</c:v>
                </c:pt>
                <c:pt idx="2">
                  <c:v>100.44885204087342</c:v>
                </c:pt>
                <c:pt idx="3">
                  <c:v>100.42629081332777</c:v>
                </c:pt>
                <c:pt idx="4">
                  <c:v>97.693159247797936</c:v>
                </c:pt>
                <c:pt idx="5">
                  <c:v>77.83945806498977</c:v>
                </c:pt>
                <c:pt idx="6">
                  <c:v>90.897216150436833</c:v>
                </c:pt>
                <c:pt idx="7">
                  <c:v>92.130563256265546</c:v>
                </c:pt>
                <c:pt idx="8">
                  <c:v>91.186930961300789</c:v>
                </c:pt>
                <c:pt idx="9">
                  <c:v>97.868993576764794</c:v>
                </c:pt>
                <c:pt idx="10">
                  <c:v>99.548014455300788</c:v>
                </c:pt>
                <c:pt idx="11">
                  <c:v>101.06122821711243</c:v>
                </c:pt>
                <c:pt idx="12">
                  <c:v>101.59643067055639</c:v>
                </c:pt>
                <c:pt idx="13">
                  <c:v>101.68470594976277</c:v>
                </c:pt>
                <c:pt idx="14">
                  <c:v>101.6052044812686</c:v>
                </c:pt>
                <c:pt idx="15">
                  <c:v>101.71066926717643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Data'!$AC$2</c:f>
              <c:strCache>
                <c:ptCount val="1"/>
                <c:pt idx="0">
                  <c:v>UK (new)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Data'!$AA$3:$AA$18</c:f>
              <c:numCache>
                <c:formatCode>General</c:formatCode>
                <c:ptCount val="16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'Chart Data'!$AC$3:$AC$18</c:f>
              <c:numCache>
                <c:formatCode>0.0</c:formatCode>
                <c:ptCount val="16"/>
                <c:pt idx="0">
                  <c:v>99.413922226780301</c:v>
                </c:pt>
                <c:pt idx="1">
                  <c:v>99.723834947630479</c:v>
                </c:pt>
                <c:pt idx="2">
                  <c:v>100.43095974731686</c:v>
                </c:pt>
                <c:pt idx="3">
                  <c:v>100.43128307827236</c:v>
                </c:pt>
                <c:pt idx="4">
                  <c:v>97.762186040590166</c:v>
                </c:pt>
                <c:pt idx="5">
                  <c:v>77.88541555100646</c:v>
                </c:pt>
                <c:pt idx="6">
                  <c:v>90.960757726094215</c:v>
                </c:pt>
                <c:pt idx="7">
                  <c:v>92.203965250005552</c:v>
                </c:pt>
                <c:pt idx="8">
                  <c:v>91.245773963370652</c:v>
                </c:pt>
                <c:pt idx="9">
                  <c:v>97.864681953484805</c:v>
                </c:pt>
                <c:pt idx="10">
                  <c:v>99.498473271644485</c:v>
                </c:pt>
                <c:pt idx="11">
                  <c:v>100.97496407995166</c:v>
                </c:pt>
                <c:pt idx="12">
                  <c:v>101.71167366206662</c:v>
                </c:pt>
                <c:pt idx="13">
                  <c:v>102.05262615464517</c:v>
                </c:pt>
                <c:pt idx="14">
                  <c:v>102.1688636331487</c:v>
                </c:pt>
                <c:pt idx="15">
                  <c:v>102.50302617566167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Data'!$AD$2</c:f>
              <c:strCache>
                <c:ptCount val="1"/>
                <c:pt idx="0">
                  <c:v>G7 median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Data'!$AA$3:$AA$18</c:f>
              <c:numCache>
                <c:formatCode>General</c:formatCode>
                <c:ptCount val="16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'Chart Data'!$AD$3:$AD$18</c:f>
              <c:numCache>
                <c:formatCode>0.0</c:formatCode>
                <c:ptCount val="16"/>
                <c:pt idx="0">
                  <c:v>99.672107611873045</c:v>
                </c:pt>
                <c:pt idx="1">
                  <c:v>100.05937096403375</c:v>
                </c:pt>
                <c:pt idx="2">
                  <c:v>100.33916895730677</c:v>
                </c:pt>
                <c:pt idx="3">
                  <c:v>100.14098989307014</c:v>
                </c:pt>
                <c:pt idx="4">
                  <c:v>97.90068385099282</c:v>
                </c:pt>
                <c:pt idx="5">
                  <c:v>87.810579364148438</c:v>
                </c:pt>
                <c:pt idx="6">
                  <c:v>95.957014009938916</c:v>
                </c:pt>
                <c:pt idx="7">
                  <c:v>97.586108755988022</c:v>
                </c:pt>
                <c:pt idx="8">
                  <c:v>96.895112881209783</c:v>
                </c:pt>
                <c:pt idx="9">
                  <c:v>98.415228259002603</c:v>
                </c:pt>
                <c:pt idx="10">
                  <c:v>100.27636758084651</c:v>
                </c:pt>
                <c:pt idx="11">
                  <c:v>100.97496407995166</c:v>
                </c:pt>
                <c:pt idx="12">
                  <c:v>101.30991028930944</c:v>
                </c:pt>
                <c:pt idx="13">
                  <c:v>102.05262615464517</c:v>
                </c:pt>
                <c:pt idx="14">
                  <c:v>102.1688636331487</c:v>
                </c:pt>
                <c:pt idx="15">
                  <c:v>102.50302617566167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5"/>
          <c:order val="5"/>
          <c:tx>
            <c:strRef>
              <c:f>'Chart Data'!$AG$2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Data'!$AA$3:$AA$18</c:f>
              <c:numCache>
                <c:formatCode>General</c:formatCode>
                <c:ptCount val="16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'Chart Data'!$AG$3:$AG$18</c:f>
              <c:numCache>
                <c:formatCode>0.0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6-4914-8ACB-D415AD4F6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in val="75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4528783902012249"/>
          <c:y val="8.6212045276518656E-2"/>
          <c:w val="0.75979690674258937"/>
          <c:h val="7.6986416301922669E-2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9178737543104619"/>
          <c:y val="0.14714391023940784"/>
          <c:w val="0.23721511209278212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Data'!$BL$2</c:f>
              <c:strCache>
                <c:ptCount val="1"/>
                <c:pt idx="0">
                  <c:v>Current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Data'!$BK$3:$BK$50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'Chart Data'!$BL$3:$BL$50</c:f>
              <c:numCache>
                <c:formatCode>0.0</c:formatCode>
                <c:ptCount val="48"/>
                <c:pt idx="0">
                  <c:v>100.90840903408618</c:v>
                </c:pt>
                <c:pt idx="1">
                  <c:v>101.10842570214183</c:v>
                </c:pt>
                <c:pt idx="2">
                  <c:v>101.00841736811401</c:v>
                </c:pt>
                <c:pt idx="3">
                  <c:v>100.90840903408618</c:v>
                </c:pt>
                <c:pt idx="4">
                  <c:v>100.00833402783564</c:v>
                </c:pt>
                <c:pt idx="5">
                  <c:v>100.30835902991915</c:v>
                </c:pt>
                <c:pt idx="6">
                  <c:v>100.60838403200265</c:v>
                </c:pt>
                <c:pt idx="7">
                  <c:v>100.00833402783564</c:v>
                </c:pt>
                <c:pt idx="8">
                  <c:v>98.708225685473778</c:v>
                </c:pt>
                <c:pt idx="9">
                  <c:v>99.508292357696476</c:v>
                </c:pt>
                <c:pt idx="10">
                  <c:v>98.908242353529459</c:v>
                </c:pt>
                <c:pt idx="11">
                  <c:v>98.008167347278928</c:v>
                </c:pt>
                <c:pt idx="12">
                  <c:v>97.508125677139759</c:v>
                </c:pt>
                <c:pt idx="13">
                  <c:v>96.608050670889227</c:v>
                </c:pt>
                <c:pt idx="14">
                  <c:v>82.806900575047919</c:v>
                </c:pt>
                <c:pt idx="15">
                  <c:v>64.505375447953995</c:v>
                </c:pt>
                <c:pt idx="16">
                  <c:v>76.406367197266434</c:v>
                </c:pt>
                <c:pt idx="17">
                  <c:v>88.50737561463454</c:v>
                </c:pt>
                <c:pt idx="18">
                  <c:v>90.707558963246939</c:v>
                </c:pt>
                <c:pt idx="19">
                  <c:v>91.807650637553124</c:v>
                </c:pt>
                <c:pt idx="20">
                  <c:v>93.007750645887157</c:v>
                </c:pt>
                <c:pt idx="21">
                  <c:v>93.807817318109826</c:v>
                </c:pt>
                <c:pt idx="22">
                  <c:v>90.207517293107756</c:v>
                </c:pt>
                <c:pt idx="23">
                  <c:v>91.70764230352529</c:v>
                </c:pt>
                <c:pt idx="24">
                  <c:v>85.607133927827306</c:v>
                </c:pt>
                <c:pt idx="25">
                  <c:v>87.707308942411871</c:v>
                </c:pt>
                <c:pt idx="26">
                  <c:v>92.40770064172014</c:v>
                </c:pt>
                <c:pt idx="27">
                  <c:v>101.20843403616968</c:v>
                </c:pt>
                <c:pt idx="28">
                  <c:v>100.00833402783564</c:v>
                </c:pt>
                <c:pt idx="29">
                  <c:v>101.70847570630886</c:v>
                </c:pt>
                <c:pt idx="30">
                  <c:v>99.408284023668642</c:v>
                </c:pt>
                <c:pt idx="31">
                  <c:v>100.40836736394701</c:v>
                </c:pt>
                <c:pt idx="32">
                  <c:v>100.50837569797481</c:v>
                </c:pt>
                <c:pt idx="33">
                  <c:v>101.00841736811401</c:v>
                </c:pt>
                <c:pt idx="34">
                  <c:v>101.20843403616968</c:v>
                </c:pt>
                <c:pt idx="35">
                  <c:v>100.50837569797481</c:v>
                </c:pt>
                <c:pt idx="36">
                  <c:v>100.10834236186348</c:v>
                </c:pt>
                <c:pt idx="37">
                  <c:v>99.408284023668642</c:v>
                </c:pt>
                <c:pt idx="38">
                  <c:v>98.908242353529459</c:v>
                </c:pt>
                <c:pt idx="39">
                  <c:v>98.308192349362429</c:v>
                </c:pt>
                <c:pt idx="40">
                  <c:v>97.208100675056258</c:v>
                </c:pt>
                <c:pt idx="41">
                  <c:v>96.908075672972743</c:v>
                </c:pt>
                <c:pt idx="42">
                  <c:v>97.208100675056258</c:v>
                </c:pt>
                <c:pt idx="43">
                  <c:v>95.70797566463871</c:v>
                </c:pt>
                <c:pt idx="44">
                  <c:v>94.607883990332525</c:v>
                </c:pt>
                <c:pt idx="45">
                  <c:v>95.70797566463871</c:v>
                </c:pt>
                <c:pt idx="46">
                  <c:v>94.807900658388192</c:v>
                </c:pt>
                <c:pt idx="47">
                  <c:v>93.207767313942824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Data'!$BM$2</c:f>
              <c:strCache>
                <c:ptCount val="1"/>
                <c:pt idx="0">
                  <c:v>New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Data'!$BK$3:$BK$50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'Chart Data'!$BM$3:$BM$50</c:f>
              <c:numCache>
                <c:formatCode>0.0</c:formatCode>
                <c:ptCount val="48"/>
                <c:pt idx="0">
                  <c:v>101.11317254174396</c:v>
                </c:pt>
                <c:pt idx="1">
                  <c:v>101.48423005565863</c:v>
                </c:pt>
                <c:pt idx="2">
                  <c:v>101.11317254174396</c:v>
                </c:pt>
                <c:pt idx="3">
                  <c:v>101.0204081632653</c:v>
                </c:pt>
                <c:pt idx="4">
                  <c:v>99.999999999999986</c:v>
                </c:pt>
                <c:pt idx="5">
                  <c:v>100.37105751391464</c:v>
                </c:pt>
                <c:pt idx="6">
                  <c:v>100.46382189239331</c:v>
                </c:pt>
                <c:pt idx="7">
                  <c:v>99.907235621521323</c:v>
                </c:pt>
                <c:pt idx="8">
                  <c:v>99.443413729128011</c:v>
                </c:pt>
                <c:pt idx="9">
                  <c:v>98.701298701298697</c:v>
                </c:pt>
                <c:pt idx="10">
                  <c:v>98.515769944341372</c:v>
                </c:pt>
                <c:pt idx="11">
                  <c:v>97.86641929499072</c:v>
                </c:pt>
                <c:pt idx="12">
                  <c:v>97.03153988868273</c:v>
                </c:pt>
                <c:pt idx="13">
                  <c:v>96.103896103896091</c:v>
                </c:pt>
                <c:pt idx="14">
                  <c:v>83.116883116883102</c:v>
                </c:pt>
                <c:pt idx="15">
                  <c:v>64.471243042671617</c:v>
                </c:pt>
                <c:pt idx="16">
                  <c:v>76.159554730983288</c:v>
                </c:pt>
                <c:pt idx="17">
                  <c:v>87.755102040816311</c:v>
                </c:pt>
                <c:pt idx="18">
                  <c:v>89.610389610389589</c:v>
                </c:pt>
                <c:pt idx="19">
                  <c:v>90.630797773654919</c:v>
                </c:pt>
                <c:pt idx="20">
                  <c:v>92.02226345083487</c:v>
                </c:pt>
                <c:pt idx="21">
                  <c:v>92.20779220779221</c:v>
                </c:pt>
                <c:pt idx="22">
                  <c:v>88.589981447124302</c:v>
                </c:pt>
                <c:pt idx="23">
                  <c:v>90.352504638218917</c:v>
                </c:pt>
                <c:pt idx="24">
                  <c:v>83.209647495361764</c:v>
                </c:pt>
                <c:pt idx="25">
                  <c:v>85.250463821892382</c:v>
                </c:pt>
                <c:pt idx="26">
                  <c:v>89.703153988868266</c:v>
                </c:pt>
                <c:pt idx="27">
                  <c:v>97.680890538033381</c:v>
                </c:pt>
                <c:pt idx="28">
                  <c:v>96.28942486085343</c:v>
                </c:pt>
                <c:pt idx="29">
                  <c:v>97.680890538033381</c:v>
                </c:pt>
                <c:pt idx="30">
                  <c:v>95.269016697588114</c:v>
                </c:pt>
                <c:pt idx="31">
                  <c:v>96.103896103896091</c:v>
                </c:pt>
                <c:pt idx="32">
                  <c:v>96.474953617810755</c:v>
                </c:pt>
                <c:pt idx="33">
                  <c:v>96.753246753246742</c:v>
                </c:pt>
                <c:pt idx="34">
                  <c:v>96.567717996289403</c:v>
                </c:pt>
                <c:pt idx="35">
                  <c:v>96.753246753246742</c:v>
                </c:pt>
                <c:pt idx="36">
                  <c:v>95.547309833024102</c:v>
                </c:pt>
                <c:pt idx="37">
                  <c:v>94.89795918367345</c:v>
                </c:pt>
                <c:pt idx="38">
                  <c:v>94.341372912801475</c:v>
                </c:pt>
                <c:pt idx="39">
                  <c:v>93.970315398886811</c:v>
                </c:pt>
                <c:pt idx="40">
                  <c:v>93.042671614100172</c:v>
                </c:pt>
                <c:pt idx="41">
                  <c:v>92.671614100185522</c:v>
                </c:pt>
                <c:pt idx="42">
                  <c:v>93.042671614100172</c:v>
                </c:pt>
                <c:pt idx="43">
                  <c:v>91.836734693877546</c:v>
                </c:pt>
                <c:pt idx="44">
                  <c:v>90.723562152133567</c:v>
                </c:pt>
                <c:pt idx="45">
                  <c:v>91.929499072356208</c:v>
                </c:pt>
                <c:pt idx="46">
                  <c:v>90.816326530612244</c:v>
                </c:pt>
                <c:pt idx="47">
                  <c:v>90.352504638218917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Data'!$BN$2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Data'!$BK$3:$BK$50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'Chart Data'!$BN$3:$BN$50</c:f>
              <c:numCache>
                <c:formatCode>0.0</c:formatCode>
                <c:ptCount val="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BF-4593-BB1C-1CCD3E654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  <c:max val="120"/>
          <c:min val="50"/>
        </c:scaling>
        <c:delete val="0"/>
        <c:axPos val="l"/>
        <c:numFmt formatCode="General" sourceLinked="0"/>
        <c:majorTickMark val="none"/>
        <c:minorTickMark val="none"/>
        <c:tickLblPos val="none"/>
        <c:spPr>
          <a:ln>
            <a:noFill/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2489733774452644"/>
          <c:y val="8.021783071832754E-2"/>
          <c:w val="0.53298062768162069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906562499999999"/>
          <c:y val="0.14714391023940784"/>
          <c:w val="0.69425555555555551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Data'!$BQ$2</c:f>
              <c:strCache>
                <c:ptCount val="1"/>
                <c:pt idx="0">
                  <c:v>Current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Data'!$BP$3:$BP$50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'Chart Data'!$BQ$3:$BQ$50</c:f>
              <c:numCache>
                <c:formatCode>0.0</c:formatCode>
                <c:ptCount val="48"/>
                <c:pt idx="0">
                  <c:v>97.5</c:v>
                </c:pt>
                <c:pt idx="1">
                  <c:v>99.1</c:v>
                </c:pt>
                <c:pt idx="2">
                  <c:v>100.49999999999999</c:v>
                </c:pt>
                <c:pt idx="3">
                  <c:v>99.5</c:v>
                </c:pt>
                <c:pt idx="4">
                  <c:v>99.4</c:v>
                </c:pt>
                <c:pt idx="5">
                  <c:v>100</c:v>
                </c:pt>
                <c:pt idx="6">
                  <c:v>102.1</c:v>
                </c:pt>
                <c:pt idx="7">
                  <c:v>100.1</c:v>
                </c:pt>
                <c:pt idx="8">
                  <c:v>100.9</c:v>
                </c:pt>
                <c:pt idx="9">
                  <c:v>99.7</c:v>
                </c:pt>
                <c:pt idx="10">
                  <c:v>100.1</c:v>
                </c:pt>
                <c:pt idx="11">
                  <c:v>101.1</c:v>
                </c:pt>
                <c:pt idx="12">
                  <c:v>101.8</c:v>
                </c:pt>
                <c:pt idx="13">
                  <c:v>102</c:v>
                </c:pt>
                <c:pt idx="14">
                  <c:v>86.9</c:v>
                </c:pt>
                <c:pt idx="15">
                  <c:v>50.9</c:v>
                </c:pt>
                <c:pt idx="16">
                  <c:v>52.300000000000004</c:v>
                </c:pt>
                <c:pt idx="17">
                  <c:v>56.999999999999993</c:v>
                </c:pt>
                <c:pt idx="18">
                  <c:v>60.8</c:v>
                </c:pt>
                <c:pt idx="19">
                  <c:v>63</c:v>
                </c:pt>
                <c:pt idx="20">
                  <c:v>65.2</c:v>
                </c:pt>
                <c:pt idx="21">
                  <c:v>66.5</c:v>
                </c:pt>
                <c:pt idx="22">
                  <c:v>66.400000000000006</c:v>
                </c:pt>
                <c:pt idx="23">
                  <c:v>66.8</c:v>
                </c:pt>
                <c:pt idx="24">
                  <c:v>68.400000000000006</c:v>
                </c:pt>
                <c:pt idx="25">
                  <c:v>70.8</c:v>
                </c:pt>
                <c:pt idx="26">
                  <c:v>77.8</c:v>
                </c:pt>
                <c:pt idx="27">
                  <c:v>85.1</c:v>
                </c:pt>
                <c:pt idx="28">
                  <c:v>90.6</c:v>
                </c:pt>
                <c:pt idx="29">
                  <c:v>96.1</c:v>
                </c:pt>
                <c:pt idx="30">
                  <c:v>97.6</c:v>
                </c:pt>
                <c:pt idx="31">
                  <c:v>101.70000000000002</c:v>
                </c:pt>
                <c:pt idx="32">
                  <c:v>105.60000000000001</c:v>
                </c:pt>
                <c:pt idx="33">
                  <c:v>111.20000000000002</c:v>
                </c:pt>
                <c:pt idx="34">
                  <c:v>114.1</c:v>
                </c:pt>
                <c:pt idx="35">
                  <c:v>114.5</c:v>
                </c:pt>
                <c:pt idx="36">
                  <c:v>109.59999999999998</c:v>
                </c:pt>
                <c:pt idx="37">
                  <c:v>110.2</c:v>
                </c:pt>
                <c:pt idx="38">
                  <c:v>110.9</c:v>
                </c:pt>
                <c:pt idx="39">
                  <c:v>104.90000000000002</c:v>
                </c:pt>
                <c:pt idx="40">
                  <c:v>105.69999999999999</c:v>
                </c:pt>
                <c:pt idx="41">
                  <c:v>101.1</c:v>
                </c:pt>
                <c:pt idx="42">
                  <c:v>101.70000000000002</c:v>
                </c:pt>
                <c:pt idx="43">
                  <c:v>102.1</c:v>
                </c:pt>
                <c:pt idx="44">
                  <c:v>102.90000000000002</c:v>
                </c:pt>
                <c:pt idx="45">
                  <c:v>103.2</c:v>
                </c:pt>
                <c:pt idx="46">
                  <c:v>103.90000000000002</c:v>
                </c:pt>
                <c:pt idx="47">
                  <c:v>101.29999999999998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7-4C3D-8BF3-D7BA9BC56232}"/>
            </c:ext>
          </c:extLst>
        </c:ser>
        <c:ser>
          <c:idx val="1"/>
          <c:order val="1"/>
          <c:tx>
            <c:strRef>
              <c:f>'Chart Data'!$BR$2</c:f>
              <c:strCache>
                <c:ptCount val="1"/>
                <c:pt idx="0">
                  <c:v>New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Data'!$BP$3:$BP$50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'Chart Data'!$BR$3:$BR$50</c:f>
              <c:numCache>
                <c:formatCode>0.0</c:formatCode>
                <c:ptCount val="48"/>
                <c:pt idx="0">
                  <c:v>98.038310639279928</c:v>
                </c:pt>
                <c:pt idx="1">
                  <c:v>99.607662127855974</c:v>
                </c:pt>
                <c:pt idx="2">
                  <c:v>101.45395799676895</c:v>
                </c:pt>
                <c:pt idx="3">
                  <c:v>100.06923609508422</c:v>
                </c:pt>
                <c:pt idx="4">
                  <c:v>99.884606508192903</c:v>
                </c:pt>
                <c:pt idx="5">
                  <c:v>100.71543964920376</c:v>
                </c:pt>
                <c:pt idx="6">
                  <c:v>102.6540503115624</c:v>
                </c:pt>
                <c:pt idx="7">
                  <c:v>100.34618047542116</c:v>
                </c:pt>
                <c:pt idx="8">
                  <c:v>101.17701361643199</c:v>
                </c:pt>
                <c:pt idx="9">
                  <c:v>100.16155088852985</c:v>
                </c:pt>
                <c:pt idx="10">
                  <c:v>98.499884606508175</c:v>
                </c:pt>
                <c:pt idx="11">
                  <c:v>97.392107085160376</c:v>
                </c:pt>
                <c:pt idx="12">
                  <c:v>98.222940226171218</c:v>
                </c:pt>
                <c:pt idx="13">
                  <c:v>97.022847911377767</c:v>
                </c:pt>
                <c:pt idx="14">
                  <c:v>83.17562889453032</c:v>
                </c:pt>
                <c:pt idx="15">
                  <c:v>55.48119086083544</c:v>
                </c:pt>
                <c:pt idx="16">
                  <c:v>55.204246480498483</c:v>
                </c:pt>
                <c:pt idx="17">
                  <c:v>58.250634664204924</c:v>
                </c:pt>
                <c:pt idx="18">
                  <c:v>62.497115162704809</c:v>
                </c:pt>
                <c:pt idx="19">
                  <c:v>65.543503346411242</c:v>
                </c:pt>
                <c:pt idx="20">
                  <c:v>67.666743595661188</c:v>
                </c:pt>
                <c:pt idx="21">
                  <c:v>69.328409877682873</c:v>
                </c:pt>
                <c:pt idx="22">
                  <c:v>69.420724671128525</c:v>
                </c:pt>
                <c:pt idx="23">
                  <c:v>70.066928225248077</c:v>
                </c:pt>
                <c:pt idx="24">
                  <c:v>71.267020540041528</c:v>
                </c:pt>
                <c:pt idx="25">
                  <c:v>74.498038310639259</c:v>
                </c:pt>
                <c:pt idx="26">
                  <c:v>81.790906992845578</c:v>
                </c:pt>
                <c:pt idx="27">
                  <c:v>86.683591045465008</c:v>
                </c:pt>
                <c:pt idx="28">
                  <c:v>88.991460881606258</c:v>
                </c:pt>
                <c:pt idx="29">
                  <c:v>90.745441957073595</c:v>
                </c:pt>
                <c:pt idx="30">
                  <c:v>92.222478652204003</c:v>
                </c:pt>
                <c:pt idx="31">
                  <c:v>93.330256173551788</c:v>
                </c:pt>
                <c:pt idx="32">
                  <c:v>95.26886683591043</c:v>
                </c:pt>
                <c:pt idx="33">
                  <c:v>97.115162704823419</c:v>
                </c:pt>
                <c:pt idx="34">
                  <c:v>97.022847911377767</c:v>
                </c:pt>
                <c:pt idx="35">
                  <c:v>96.838218324486476</c:v>
                </c:pt>
                <c:pt idx="36">
                  <c:v>92.314793445649627</c:v>
                </c:pt>
                <c:pt idx="37">
                  <c:v>94.622663281790878</c:v>
                </c:pt>
                <c:pt idx="38">
                  <c:v>96.376644357258229</c:v>
                </c:pt>
                <c:pt idx="39">
                  <c:v>91.66858989153009</c:v>
                </c:pt>
                <c:pt idx="40">
                  <c:v>92.868682206323527</c:v>
                </c:pt>
                <c:pt idx="41">
                  <c:v>89.729979229171448</c:v>
                </c:pt>
                <c:pt idx="42">
                  <c:v>90.653127163627943</c:v>
                </c:pt>
                <c:pt idx="43">
                  <c:v>91.576275098084452</c:v>
                </c:pt>
                <c:pt idx="44">
                  <c:v>92.222478652204003</c:v>
                </c:pt>
                <c:pt idx="45">
                  <c:v>92.40710823909528</c:v>
                </c:pt>
                <c:pt idx="46">
                  <c:v>92.868682206323527</c:v>
                </c:pt>
                <c:pt idx="47">
                  <c:v>90.468497576736652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7-4C3D-8BF3-D7BA9BC56232}"/>
            </c:ext>
          </c:extLst>
        </c:ser>
        <c:ser>
          <c:idx val="2"/>
          <c:order val="2"/>
          <c:tx>
            <c:strRef>
              <c:f>'Chart Data'!$BS$2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Data'!$BP$3:$BP$50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'Chart Data'!$BS$3:$BS$50</c:f>
              <c:numCache>
                <c:formatCode>0.0</c:formatCode>
                <c:ptCount val="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B7-4C3D-8BF3-D7BA9BC56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  <c:max val="120"/>
          <c:min val="50"/>
        </c:scaling>
        <c:delete val="0"/>
        <c:axPos val="l"/>
        <c:numFmt formatCode="General" sourceLinked="0"/>
        <c:majorTickMark val="none"/>
        <c:minorTickMark val="none"/>
        <c:tickLblPos val="none"/>
        <c:spPr>
          <a:ln>
            <a:noFill/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344965277777779"/>
          <c:y val="0.14714391023940784"/>
          <c:w val="0.73310069444444448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Data'!$BV$2</c:f>
              <c:strCache>
                <c:ptCount val="1"/>
                <c:pt idx="0">
                  <c:v>Current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Data'!$BU$3:$BU$50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'Chart Data'!$BV$3:$BV$50</c:f>
              <c:numCache>
                <c:formatCode>0.0</c:formatCode>
                <c:ptCount val="48"/>
                <c:pt idx="0">
                  <c:v>98.183636060656568</c:v>
                </c:pt>
                <c:pt idx="1">
                  <c:v>99.383436093984344</c:v>
                </c:pt>
                <c:pt idx="2">
                  <c:v>100.58323612731211</c:v>
                </c:pt>
                <c:pt idx="3">
                  <c:v>97.583736043992658</c:v>
                </c:pt>
                <c:pt idx="4">
                  <c:v>98.583569405099141</c:v>
                </c:pt>
                <c:pt idx="5">
                  <c:v>99.483419430094983</c:v>
                </c:pt>
                <c:pt idx="6">
                  <c:v>100.18330278286953</c:v>
                </c:pt>
                <c:pt idx="7">
                  <c:v>99.283452757873675</c:v>
                </c:pt>
                <c:pt idx="8">
                  <c:v>100.78320279953341</c:v>
                </c:pt>
                <c:pt idx="9">
                  <c:v>101.78303616063988</c:v>
                </c:pt>
                <c:pt idx="10">
                  <c:v>100.98316947175472</c:v>
                </c:pt>
                <c:pt idx="11">
                  <c:v>103.18280286618898</c:v>
                </c:pt>
                <c:pt idx="12">
                  <c:v>105.88235294117648</c:v>
                </c:pt>
                <c:pt idx="13">
                  <c:v>107.68205299116815</c:v>
                </c:pt>
                <c:pt idx="14">
                  <c:v>97.383769371771379</c:v>
                </c:pt>
                <c:pt idx="15">
                  <c:v>77.587068821863014</c:v>
                </c:pt>
                <c:pt idx="16">
                  <c:v>86.385602399600074</c:v>
                </c:pt>
                <c:pt idx="17">
                  <c:v>97.88368605232462</c:v>
                </c:pt>
                <c:pt idx="18">
                  <c:v>104.58256957173803</c:v>
                </c:pt>
                <c:pt idx="19">
                  <c:v>108.58190301616398</c:v>
                </c:pt>
                <c:pt idx="20">
                  <c:v>110.28161973004499</c:v>
                </c:pt>
                <c:pt idx="21">
                  <c:v>110.28161973004499</c:v>
                </c:pt>
                <c:pt idx="22">
                  <c:v>111.48141976337278</c:v>
                </c:pt>
                <c:pt idx="23">
                  <c:v>108.68188635227463</c:v>
                </c:pt>
                <c:pt idx="24">
                  <c:v>105.38243626062325</c:v>
                </c:pt>
                <c:pt idx="25">
                  <c:v>105.48241959673388</c:v>
                </c:pt>
                <c:pt idx="26">
                  <c:v>105.48241959673388</c:v>
                </c:pt>
                <c:pt idx="27">
                  <c:v>105.08248625229129</c:v>
                </c:pt>
                <c:pt idx="28">
                  <c:v>104.98250291618064</c:v>
                </c:pt>
                <c:pt idx="29">
                  <c:v>104.38260289951675</c:v>
                </c:pt>
                <c:pt idx="30">
                  <c:v>103.18280286618898</c:v>
                </c:pt>
                <c:pt idx="31">
                  <c:v>102.48291951341444</c:v>
                </c:pt>
                <c:pt idx="32">
                  <c:v>102.08298616897183</c:v>
                </c:pt>
                <c:pt idx="33">
                  <c:v>101.183136143976</c:v>
                </c:pt>
                <c:pt idx="34">
                  <c:v>103.18280286618898</c:v>
                </c:pt>
                <c:pt idx="35">
                  <c:v>103.18280286618898</c:v>
                </c:pt>
                <c:pt idx="36">
                  <c:v>102.1829695050825</c:v>
                </c:pt>
                <c:pt idx="37">
                  <c:v>101.78303616063988</c:v>
                </c:pt>
                <c:pt idx="38">
                  <c:v>101.38310281619731</c:v>
                </c:pt>
                <c:pt idx="39">
                  <c:v>100.68321946342276</c:v>
                </c:pt>
                <c:pt idx="40">
                  <c:v>101.28311948008665</c:v>
                </c:pt>
                <c:pt idx="41">
                  <c:v>100.08331944675888</c:v>
                </c:pt>
                <c:pt idx="42">
                  <c:v>99.283452757873675</c:v>
                </c:pt>
                <c:pt idx="43">
                  <c:v>99.483419430094983</c:v>
                </c:pt>
                <c:pt idx="44">
                  <c:v>99.083486085652382</c:v>
                </c:pt>
                <c:pt idx="45">
                  <c:v>100.18330278286953</c:v>
                </c:pt>
                <c:pt idx="46">
                  <c:v>99.583402766205637</c:v>
                </c:pt>
                <c:pt idx="47">
                  <c:v>99.983336110648224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9-4B12-AAB3-E9ED0651C368}"/>
            </c:ext>
          </c:extLst>
        </c:ser>
        <c:ser>
          <c:idx val="1"/>
          <c:order val="1"/>
          <c:tx>
            <c:strRef>
              <c:f>'Chart Data'!$BW$2</c:f>
              <c:strCache>
                <c:ptCount val="1"/>
                <c:pt idx="0">
                  <c:v>New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Data'!$BU$3:$BU$50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'Chart Data'!$BW$3:$BW$50</c:f>
              <c:numCache>
                <c:formatCode>0.0</c:formatCode>
                <c:ptCount val="48"/>
                <c:pt idx="0">
                  <c:v>98.640903880792536</c:v>
                </c:pt>
                <c:pt idx="1">
                  <c:v>99.328639266415578</c:v>
                </c:pt>
                <c:pt idx="2">
                  <c:v>100.21287047650236</c:v>
                </c:pt>
                <c:pt idx="3">
                  <c:v>97.854920582937595</c:v>
                </c:pt>
                <c:pt idx="4">
                  <c:v>98.542655968560652</c:v>
                </c:pt>
                <c:pt idx="5">
                  <c:v>99.328639266415578</c:v>
                </c:pt>
                <c:pt idx="6">
                  <c:v>100.21287047650236</c:v>
                </c:pt>
                <c:pt idx="7">
                  <c:v>99.525135090879303</c:v>
                </c:pt>
                <c:pt idx="8">
                  <c:v>100.90060586212542</c:v>
                </c:pt>
                <c:pt idx="9">
                  <c:v>101.49009333551659</c:v>
                </c:pt>
                <c:pt idx="10">
                  <c:v>100.90060586212542</c:v>
                </c:pt>
                <c:pt idx="11">
                  <c:v>103.06205993122646</c:v>
                </c:pt>
                <c:pt idx="12">
                  <c:v>105.7147535614868</c:v>
                </c:pt>
                <c:pt idx="13">
                  <c:v>107.87620763058783</c:v>
                </c:pt>
                <c:pt idx="14">
                  <c:v>97.75667267070574</c:v>
                </c:pt>
                <c:pt idx="15">
                  <c:v>77.026363189782217</c:v>
                </c:pt>
                <c:pt idx="16">
                  <c:v>84.493204519403946</c:v>
                </c:pt>
                <c:pt idx="17">
                  <c:v>96.67594563615522</c:v>
                </c:pt>
                <c:pt idx="18">
                  <c:v>103.65154740461765</c:v>
                </c:pt>
                <c:pt idx="19">
                  <c:v>108.36744719174716</c:v>
                </c:pt>
                <c:pt idx="20">
                  <c:v>111.11838873423937</c:v>
                </c:pt>
                <c:pt idx="21">
                  <c:v>110.23415752415259</c:v>
                </c:pt>
                <c:pt idx="22">
                  <c:v>112.59210741771734</c:v>
                </c:pt>
                <c:pt idx="23">
                  <c:v>111.11838873423937</c:v>
                </c:pt>
                <c:pt idx="24">
                  <c:v>107.3849680694285</c:v>
                </c:pt>
                <c:pt idx="25">
                  <c:v>108.17095136728344</c:v>
                </c:pt>
                <c:pt idx="26">
                  <c:v>108.85868675290649</c:v>
                </c:pt>
                <c:pt idx="27">
                  <c:v>108.95693466513836</c:v>
                </c:pt>
                <c:pt idx="28">
                  <c:v>107.58146389389225</c:v>
                </c:pt>
                <c:pt idx="29">
                  <c:v>106.40248894710986</c:v>
                </c:pt>
                <c:pt idx="30">
                  <c:v>105.32176191255935</c:v>
                </c:pt>
                <c:pt idx="31">
                  <c:v>105.61650564925493</c:v>
                </c:pt>
                <c:pt idx="32">
                  <c:v>104.83052235140002</c:v>
                </c:pt>
                <c:pt idx="33">
                  <c:v>102.3743245456034</c:v>
                </c:pt>
                <c:pt idx="34">
                  <c:v>104.14278696577696</c:v>
                </c:pt>
                <c:pt idx="35">
                  <c:v>103.45505158015391</c:v>
                </c:pt>
                <c:pt idx="36">
                  <c:v>101.39184542328475</c:v>
                </c:pt>
                <c:pt idx="37">
                  <c:v>100.31111838873422</c:v>
                </c:pt>
                <c:pt idx="38">
                  <c:v>99.426887178647448</c:v>
                </c:pt>
                <c:pt idx="39">
                  <c:v>99.132143441951854</c:v>
                </c:pt>
                <c:pt idx="40">
                  <c:v>99.132143441951854</c:v>
                </c:pt>
                <c:pt idx="41">
                  <c:v>97.65842475847387</c:v>
                </c:pt>
                <c:pt idx="42">
                  <c:v>96.774193548387089</c:v>
                </c:pt>
                <c:pt idx="43">
                  <c:v>96.970689372850813</c:v>
                </c:pt>
                <c:pt idx="44">
                  <c:v>96.67594563615522</c:v>
                </c:pt>
                <c:pt idx="45">
                  <c:v>96.970689372850813</c:v>
                </c:pt>
                <c:pt idx="46">
                  <c:v>97.068937285082683</c:v>
                </c:pt>
                <c:pt idx="47">
                  <c:v>97.560176846242001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9-4B12-AAB3-E9ED0651C368}"/>
            </c:ext>
          </c:extLst>
        </c:ser>
        <c:ser>
          <c:idx val="2"/>
          <c:order val="2"/>
          <c:tx>
            <c:strRef>
              <c:f>'Chart Data'!$BX$2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Data'!$BU$3:$BU$50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'Chart Data'!$BX$3:$BX$50</c:f>
              <c:numCache>
                <c:formatCode>0.0</c:formatCode>
                <c:ptCount val="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99-4B12-AAB3-E9ED0651C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  <c:max val="120"/>
          <c:min val="5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10E8C8-8A4B-4766-B18D-EAB5248F5C72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3475F4-248D-4055-A68F-B4989C52132D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0A8370C-7366-48D6-998D-AD4BE350AC90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584606-2727-046B-E0DF-2D5792ECF8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CC935D-8A87-AA3A-24EC-D383728C2B8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 Equity prices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C7BBE18-E9C0-96DD-CF33-33FAD0E4FC4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0.00113</cdr:x>
      <cdr:y>0.07124</cdr:y>
    </cdr:from>
    <cdr:to>
      <cdr:x>0.29579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D984636-5A7B-B7C3-CCC1-53363101D898}"/>
            </a:ext>
          </a:extLst>
        </cdr:cNvPr>
        <cdr:cNvSpPr txBox="1"/>
      </cdr:nvSpPr>
      <cdr:spPr>
        <a:xfrm xmlns:a="http://schemas.openxmlformats.org/drawingml/2006/main">
          <a:off x="9525" y="479425"/>
          <a:ext cx="2484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1st August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= 100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AF3A8-A24C-BC9A-4ADB-21E78B7B28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966B09-4748-1BF1-5455-76FCECD15A0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G7: GDP in the pandemic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C81B39A-616B-CB57-AC47-7DF7A45A8B32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 and ONS</a:t>
          </a:r>
        </a:p>
      </cdr:txBody>
    </cdr:sp>
  </cdr:relSizeAnchor>
  <cdr:relSizeAnchor xmlns:cdr="http://schemas.openxmlformats.org/drawingml/2006/chartDrawing">
    <cdr:from>
      <cdr:x>0.00113</cdr:x>
      <cdr:y>0.06841</cdr:y>
    </cdr:from>
    <cdr:to>
      <cdr:x>0.21465</cdr:x>
      <cdr:y>0.11936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E9381BA-FBD6-24F6-5EE9-9928DDA385A9}"/>
            </a:ext>
          </a:extLst>
        </cdr:cNvPr>
        <cdr:cNvSpPr txBox="1"/>
      </cdr:nvSpPr>
      <cdr:spPr>
        <a:xfrm xmlns:a="http://schemas.openxmlformats.org/drawingml/2006/main">
          <a:off x="9525" y="460375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2019=100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AE5B4-B99D-8174-693A-475B666520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0.65837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DAF02E19-22A9-A9CE-EB3B-F5BB44373F62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0.00565</cdr:x>
      <cdr:y>0</cdr:y>
    </cdr:from>
    <cdr:to>
      <cdr:x>0.34728</cdr:x>
      <cdr:y>1</cdr:y>
    </cdr:to>
    <cdr:graphicFrame macro="">
      <cdr:nvGraphicFramePr>
        <cdr:cNvPr id="8" name="Chart 1">
          <a:extLst xmlns:a="http://schemas.openxmlformats.org/drawingml/2006/main">
            <a:ext uri="{FF2B5EF4-FFF2-40B4-BE49-F238E27FC236}">
              <a16:creationId xmlns:a16="http://schemas.microsoft.com/office/drawing/2014/main" id="{6B34A407-5F38-60F6-4113-AC08D201233D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cdr:graphicFrame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5D8CF1-F334-8B7D-D8A4-336B8F54A10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Sectoral GVA estimates, 2019-2022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10C5136-2A45-C60F-F87D-CA6005239FC6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ONS</a:t>
          </a:r>
        </a:p>
      </cdr:txBody>
    </cdr:sp>
  </cdr:relSizeAnchor>
  <cdr:relSizeAnchor xmlns:cdr="http://schemas.openxmlformats.org/drawingml/2006/chartDrawing">
    <cdr:from>
      <cdr:x>0.44216</cdr:x>
      <cdr:y>0.13918</cdr:y>
    </cdr:from>
    <cdr:to>
      <cdr:x>0.59281</cdr:x>
      <cdr:y>0.21843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FA6D722-9A4C-0050-6CB5-49F18D7067E7}"/>
            </a:ext>
          </a:extLst>
        </cdr:cNvPr>
        <cdr:cNvSpPr txBox="1"/>
      </cdr:nvSpPr>
      <cdr:spPr>
        <a:xfrm xmlns:a="http://schemas.openxmlformats.org/drawingml/2006/main">
          <a:off x="3727450" y="93662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Retail</a:t>
          </a:r>
        </a:p>
      </cdr:txBody>
    </cdr:sp>
  </cdr:relSizeAnchor>
  <cdr:relSizeAnchor xmlns:cdr="http://schemas.openxmlformats.org/drawingml/2006/chartDrawing">
    <cdr:from>
      <cdr:x>0</cdr:x>
      <cdr:y>0.06982</cdr:y>
    </cdr:from>
    <cdr:to>
      <cdr:x>0.21352</cdr:x>
      <cdr:y>0.12078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DDE3527-EC97-3758-334B-F6E31930D7CF}"/>
            </a:ext>
          </a:extLst>
        </cdr:cNvPr>
        <cdr:cNvSpPr txBox="1"/>
      </cdr:nvSpPr>
      <cdr:spPr>
        <a:xfrm xmlns:a="http://schemas.openxmlformats.org/drawingml/2006/main">
          <a:off x="0" y="4699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2019=100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0.32846</cdr:x>
      <cdr:y>0.13776</cdr:y>
    </cdr:from>
    <cdr:to>
      <cdr:x>0.67573</cdr:x>
      <cdr:y>0.21702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FA6D722-9A4C-0050-6CB5-49F18D7067E7}"/>
            </a:ext>
          </a:extLst>
        </cdr:cNvPr>
        <cdr:cNvSpPr txBox="1"/>
      </cdr:nvSpPr>
      <cdr:spPr>
        <a:xfrm xmlns:a="http://schemas.openxmlformats.org/drawingml/2006/main">
          <a:off x="945979" y="927081"/>
          <a:ext cx="1000125" cy="5334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Health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0.28803</cdr:x>
      <cdr:y>0.13917</cdr:y>
    </cdr:from>
    <cdr:to>
      <cdr:x>0.94193</cdr:x>
      <cdr:y>0.21843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FA6D722-9A4C-0050-6CB5-49F18D7067E7}"/>
            </a:ext>
          </a:extLst>
        </cdr:cNvPr>
        <cdr:cNvSpPr txBox="1"/>
      </cdr:nvSpPr>
      <cdr:spPr>
        <a:xfrm xmlns:a="http://schemas.openxmlformats.org/drawingml/2006/main">
          <a:off x="829528" y="936606"/>
          <a:ext cx="1883228" cy="5334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Manufacturing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fficenationalstatistics.sharepoint.com/sites/MSDSFA/SFARD/2024_Q2_BB/Ltd_Master_Files/BB24_Table_B3_Master.xlsb" TargetMode="External"/><Relationship Id="rId1" Type="http://schemas.openxmlformats.org/officeDocument/2006/relationships/externalLinkPath" Target="https://officenationalstatistics.sharepoint.com/sites/MSDSFA/SFARD/2024_Q2_BB/Ltd_Master_Files/BB24_Table_B3_Maste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4"/>
      <sheetName val="B3 "/>
      <sheetName val="Chart data"/>
      <sheetName val="B3_PrevPub"/>
      <sheetName val="Sheet5"/>
      <sheetName val="Revisions"/>
      <sheetName val="Chart"/>
    </sheetNames>
    <sheetDataSet>
      <sheetData sheetId="0">
        <row r="1">
          <cell r="B1">
            <v>1997</v>
          </cell>
          <cell r="C1">
            <v>1998</v>
          </cell>
          <cell r="D1">
            <v>1999</v>
          </cell>
          <cell r="E1">
            <v>2000</v>
          </cell>
          <cell r="F1">
            <v>2001</v>
          </cell>
          <cell r="G1">
            <v>2002</v>
          </cell>
          <cell r="H1">
            <v>2003</v>
          </cell>
          <cell r="I1">
            <v>2004</v>
          </cell>
          <cell r="J1">
            <v>2005</v>
          </cell>
          <cell r="K1">
            <v>2006</v>
          </cell>
          <cell r="L1">
            <v>2007</v>
          </cell>
          <cell r="M1">
            <v>2008</v>
          </cell>
          <cell r="N1">
            <v>2009</v>
          </cell>
          <cell r="O1">
            <v>2010</v>
          </cell>
          <cell r="P1">
            <v>2011</v>
          </cell>
          <cell r="Q1">
            <v>2012</v>
          </cell>
          <cell r="R1">
            <v>2013</v>
          </cell>
          <cell r="S1">
            <v>2014</v>
          </cell>
          <cell r="T1">
            <v>2015</v>
          </cell>
          <cell r="U1">
            <v>2016</v>
          </cell>
          <cell r="V1">
            <v>2017</v>
          </cell>
          <cell r="W1">
            <v>2018</v>
          </cell>
          <cell r="X1">
            <v>2019</v>
          </cell>
          <cell r="Y1">
            <v>2020</v>
          </cell>
          <cell r="Z1">
            <v>2021</v>
          </cell>
          <cell r="AA1">
            <v>2022</v>
          </cell>
          <cell r="AC1" t="str">
            <v>IC10OB</v>
          </cell>
          <cell r="AD1" t="str">
            <v>1997 Q1</v>
          </cell>
          <cell r="AE1" t="str">
            <v>1997 Q2</v>
          </cell>
          <cell r="AF1" t="str">
            <v>1997 Q3</v>
          </cell>
          <cell r="AG1" t="str">
            <v>1997 Q4</v>
          </cell>
          <cell r="AH1" t="str">
            <v>1998 Q1</v>
          </cell>
          <cell r="AI1" t="str">
            <v>1998 Q2</v>
          </cell>
          <cell r="AJ1" t="str">
            <v>1998 Q3</v>
          </cell>
          <cell r="AK1" t="str">
            <v>1998 Q4</v>
          </cell>
          <cell r="AL1" t="str">
            <v>1999 Q1</v>
          </cell>
          <cell r="AM1" t="str">
            <v>1999 Q2</v>
          </cell>
          <cell r="AN1" t="str">
            <v>1999 Q3</v>
          </cell>
          <cell r="AO1" t="str">
            <v>1999 Q4</v>
          </cell>
          <cell r="AP1" t="str">
            <v>2000 Q1</v>
          </cell>
          <cell r="AQ1" t="str">
            <v>2000 Q2</v>
          </cell>
          <cell r="AR1" t="str">
            <v>2000 Q3</v>
          </cell>
          <cell r="AS1" t="str">
            <v>2000 Q4</v>
          </cell>
          <cell r="AT1" t="str">
            <v>2001 Q1</v>
          </cell>
          <cell r="AU1" t="str">
            <v>2001 Q2</v>
          </cell>
          <cell r="AV1" t="str">
            <v>2001 Q3</v>
          </cell>
          <cell r="AW1" t="str">
            <v>2001 Q4</v>
          </cell>
          <cell r="AX1" t="str">
            <v>2002 Q1</v>
          </cell>
          <cell r="AY1" t="str">
            <v>2002 Q2</v>
          </cell>
          <cell r="AZ1" t="str">
            <v>2002 Q3</v>
          </cell>
          <cell r="BA1" t="str">
            <v>2002 Q4</v>
          </cell>
          <cell r="BB1" t="str">
            <v>2003 Q1</v>
          </cell>
          <cell r="BC1" t="str">
            <v>2003 Q2</v>
          </cell>
          <cell r="BD1" t="str">
            <v>2003 Q3</v>
          </cell>
          <cell r="BE1" t="str">
            <v>2003 Q4</v>
          </cell>
          <cell r="BF1" t="str">
            <v>2004 Q1</v>
          </cell>
          <cell r="BG1" t="str">
            <v>2004 Q2</v>
          </cell>
          <cell r="BH1" t="str">
            <v>2004 Q3</v>
          </cell>
          <cell r="BI1" t="str">
            <v>2004 Q4</v>
          </cell>
          <cell r="BJ1" t="str">
            <v>2005 Q1</v>
          </cell>
          <cell r="BK1" t="str">
            <v>2005 Q2</v>
          </cell>
          <cell r="BL1" t="str">
            <v>2005 Q3</v>
          </cell>
          <cell r="BM1" t="str">
            <v>2005 Q4</v>
          </cell>
          <cell r="BN1" t="str">
            <v>2006 Q1</v>
          </cell>
          <cell r="BO1" t="str">
            <v>2006 Q2</v>
          </cell>
          <cell r="BP1" t="str">
            <v>2006 Q3</v>
          </cell>
          <cell r="BQ1" t="str">
            <v>2006 Q4</v>
          </cell>
          <cell r="BR1" t="str">
            <v>2007 Q1</v>
          </cell>
          <cell r="BS1" t="str">
            <v>2007 Q2</v>
          </cell>
          <cell r="BT1" t="str">
            <v>2007 Q3</v>
          </cell>
          <cell r="BU1" t="str">
            <v>2007 Q4</v>
          </cell>
          <cell r="BV1" t="str">
            <v>2008 Q1</v>
          </cell>
          <cell r="BW1" t="str">
            <v>2008 Q2</v>
          </cell>
          <cell r="BX1" t="str">
            <v>2008 Q3</v>
          </cell>
          <cell r="BY1" t="str">
            <v>2008 Q4</v>
          </cell>
          <cell r="BZ1" t="str">
            <v>2009 Q1</v>
          </cell>
          <cell r="CA1" t="str">
            <v>2009 Q2</v>
          </cell>
          <cell r="CB1" t="str">
            <v>2009 Q3</v>
          </cell>
          <cell r="CC1" t="str">
            <v>2009 Q4</v>
          </cell>
          <cell r="CD1" t="str">
            <v>2010 Q1</v>
          </cell>
          <cell r="CE1" t="str">
            <v>2010 Q2</v>
          </cell>
          <cell r="CF1" t="str">
            <v>2010 Q3</v>
          </cell>
          <cell r="CG1" t="str">
            <v>2010 Q4</v>
          </cell>
          <cell r="CH1" t="str">
            <v>2011 Q1</v>
          </cell>
          <cell r="CI1" t="str">
            <v>2011 Q2</v>
          </cell>
          <cell r="CJ1" t="str">
            <v>2011 Q3</v>
          </cell>
          <cell r="CK1" t="str">
            <v>2011 Q4</v>
          </cell>
          <cell r="CL1" t="str">
            <v>2012 Q1</v>
          </cell>
          <cell r="CM1" t="str">
            <v>2012 Q2</v>
          </cell>
          <cell r="CN1" t="str">
            <v>2012 Q3</v>
          </cell>
          <cell r="CO1" t="str">
            <v>2012 Q4</v>
          </cell>
          <cell r="CP1" t="str">
            <v>2013 Q1</v>
          </cell>
          <cell r="CQ1" t="str">
            <v>2013 Q2</v>
          </cell>
          <cell r="CR1" t="str">
            <v>2013 Q3</v>
          </cell>
          <cell r="CS1" t="str">
            <v>2013 Q4</v>
          </cell>
          <cell r="CT1" t="str">
            <v>2014 Q1</v>
          </cell>
          <cell r="CU1" t="str">
            <v>2014 Q2</v>
          </cell>
          <cell r="CV1" t="str">
            <v>2014 Q3</v>
          </cell>
          <cell r="CW1" t="str">
            <v>2014 Q4</v>
          </cell>
          <cell r="CX1" t="str">
            <v>2015 Q1</v>
          </cell>
          <cell r="CY1" t="str">
            <v>2015 Q2</v>
          </cell>
          <cell r="CZ1" t="str">
            <v>2015 Q3</v>
          </cell>
          <cell r="DA1" t="str">
            <v>2015 Q4</v>
          </cell>
          <cell r="DB1" t="str">
            <v>2016 Q1</v>
          </cell>
          <cell r="DC1" t="str">
            <v>2016 Q2</v>
          </cell>
          <cell r="DD1" t="str">
            <v>2016 Q3</v>
          </cell>
          <cell r="DE1" t="str">
            <v>2016 Q4</v>
          </cell>
          <cell r="DF1" t="str">
            <v>2017 Q1</v>
          </cell>
          <cell r="DG1" t="str">
            <v>2017 Q2</v>
          </cell>
          <cell r="DH1" t="str">
            <v>2017 Q3</v>
          </cell>
          <cell r="DI1" t="str">
            <v>2017 Q4</v>
          </cell>
          <cell r="DJ1" t="str">
            <v>2018 Q1</v>
          </cell>
          <cell r="DK1" t="str">
            <v>2018 Q2</v>
          </cell>
          <cell r="DL1" t="str">
            <v>2018 Q3</v>
          </cell>
          <cell r="DM1" t="str">
            <v>2018 Q4</v>
          </cell>
          <cell r="DN1" t="str">
            <v>2019 Q1</v>
          </cell>
          <cell r="DO1" t="str">
            <v>2019 Q2</v>
          </cell>
          <cell r="DP1" t="str">
            <v>2019 Q3</v>
          </cell>
          <cell r="DQ1" t="str">
            <v>2019 Q4</v>
          </cell>
          <cell r="DR1" t="str">
            <v>2020 Q1</v>
          </cell>
          <cell r="DS1" t="str">
            <v>2020 Q2</v>
          </cell>
          <cell r="DT1" t="str">
            <v>2020 Q3</v>
          </cell>
          <cell r="DU1" t="str">
            <v>2020 Q4</v>
          </cell>
          <cell r="DV1" t="str">
            <v>2021 Q1</v>
          </cell>
          <cell r="DW1" t="str">
            <v>2021 Q2</v>
          </cell>
          <cell r="DX1" t="str">
            <v>2021 Q3</v>
          </cell>
          <cell r="DY1" t="str">
            <v>2021 Q4</v>
          </cell>
          <cell r="DZ1" t="str">
            <v>2022 Q1</v>
          </cell>
          <cell r="EA1" t="str">
            <v>2022 Q2</v>
          </cell>
          <cell r="EB1" t="str">
            <v>2022 Q3</v>
          </cell>
          <cell r="EC1" t="str">
            <v>2022 Q4</v>
          </cell>
          <cell r="ED1" t="str">
            <v>2023 Q1</v>
          </cell>
          <cell r="EE1" t="str">
            <v>2023 Q2</v>
          </cell>
          <cell r="EF1" t="str">
            <v>2023 Q2</v>
          </cell>
          <cell r="EG1" t="str">
            <v>2023 Q3</v>
          </cell>
          <cell r="EH1" t="str">
            <v>2023 Q4</v>
          </cell>
          <cell r="EI1" t="str">
            <v>2024 Q1</v>
          </cell>
        </row>
        <row r="2">
          <cell r="A2" t="str">
            <v>RPHA</v>
          </cell>
          <cell r="B2">
            <v>617874</v>
          </cell>
          <cell r="C2">
            <v>632328</v>
          </cell>
          <cell r="D2">
            <v>663041</v>
          </cell>
          <cell r="E2">
            <v>700086</v>
          </cell>
          <cell r="F2">
            <v>730241</v>
          </cell>
          <cell r="G2">
            <v>750538</v>
          </cell>
          <cell r="H2">
            <v>776600</v>
          </cell>
          <cell r="I2">
            <v>812666</v>
          </cell>
          <cell r="J2">
            <v>848071</v>
          </cell>
          <cell r="K2">
            <v>889157</v>
          </cell>
          <cell r="L2">
            <v>937989</v>
          </cell>
          <cell r="M2">
            <v>970319</v>
          </cell>
          <cell r="N2">
            <v>993890</v>
          </cell>
          <cell r="O2">
            <v>1011098</v>
          </cell>
          <cell r="P2">
            <v>1029676</v>
          </cell>
          <cell r="Q2">
            <v>1074773</v>
          </cell>
          <cell r="R2">
            <v>1122811</v>
          </cell>
          <cell r="S2">
            <v>1167067</v>
          </cell>
          <cell r="T2">
            <v>1236905</v>
          </cell>
          <cell r="U2">
            <v>1261458</v>
          </cell>
          <cell r="V2">
            <v>1297998</v>
          </cell>
          <cell r="W2">
            <v>1352696</v>
          </cell>
          <cell r="X2">
            <v>1400236</v>
          </cell>
          <cell r="Y2">
            <v>1400083</v>
          </cell>
          <cell r="Z2">
            <v>1455387</v>
          </cell>
          <cell r="AA2">
            <v>1548544</v>
          </cell>
          <cell r="AC2" t="str">
            <v>RPHA</v>
          </cell>
          <cell r="AD2">
            <v>154380</v>
          </cell>
          <cell r="AE2">
            <v>153126</v>
          </cell>
          <cell r="AF2">
            <v>155497</v>
          </cell>
          <cell r="AG2">
            <v>154871</v>
          </cell>
          <cell r="AH2">
            <v>155741</v>
          </cell>
          <cell r="AI2">
            <v>157840</v>
          </cell>
          <cell r="AJ2">
            <v>157968</v>
          </cell>
          <cell r="AK2">
            <v>160779</v>
          </cell>
          <cell r="AL2">
            <v>159890</v>
          </cell>
          <cell r="AM2">
            <v>166484</v>
          </cell>
          <cell r="AN2">
            <v>165956</v>
          </cell>
          <cell r="AO2">
            <v>170711</v>
          </cell>
          <cell r="AP2">
            <v>171355</v>
          </cell>
          <cell r="AQ2">
            <v>173097</v>
          </cell>
          <cell r="AR2">
            <v>176661</v>
          </cell>
          <cell r="AS2">
            <v>178973</v>
          </cell>
          <cell r="AT2">
            <v>182245</v>
          </cell>
          <cell r="AU2">
            <v>181929</v>
          </cell>
          <cell r="AV2">
            <v>182687</v>
          </cell>
          <cell r="AW2">
            <v>183380</v>
          </cell>
          <cell r="AX2">
            <v>185245</v>
          </cell>
          <cell r="AY2">
            <v>187864</v>
          </cell>
          <cell r="AZ2">
            <v>187514</v>
          </cell>
          <cell r="BA2">
            <v>189915</v>
          </cell>
          <cell r="BB2">
            <v>191204</v>
          </cell>
          <cell r="BC2">
            <v>192328</v>
          </cell>
          <cell r="BD2">
            <v>195224</v>
          </cell>
          <cell r="BE2">
            <v>197844</v>
          </cell>
          <cell r="BF2">
            <v>199691</v>
          </cell>
          <cell r="BG2">
            <v>202293</v>
          </cell>
          <cell r="BH2">
            <v>204062</v>
          </cell>
          <cell r="BI2">
            <v>206620</v>
          </cell>
          <cell r="BJ2">
            <v>208684</v>
          </cell>
          <cell r="BK2">
            <v>210499</v>
          </cell>
          <cell r="BL2">
            <v>213688</v>
          </cell>
          <cell r="BM2">
            <v>215200</v>
          </cell>
          <cell r="BN2">
            <v>219054</v>
          </cell>
          <cell r="BO2">
            <v>220510</v>
          </cell>
          <cell r="BP2">
            <v>223998</v>
          </cell>
          <cell r="BQ2">
            <v>225595</v>
          </cell>
          <cell r="BR2">
            <v>231472</v>
          </cell>
          <cell r="BS2">
            <v>232991</v>
          </cell>
          <cell r="BT2">
            <v>236795</v>
          </cell>
          <cell r="BU2">
            <v>236731</v>
          </cell>
          <cell r="BV2">
            <v>237640</v>
          </cell>
          <cell r="BW2">
            <v>244075</v>
          </cell>
          <cell r="BX2">
            <v>243194</v>
          </cell>
          <cell r="BY2">
            <v>245410</v>
          </cell>
          <cell r="BZ2">
            <v>244602</v>
          </cell>
          <cell r="CA2">
            <v>250132</v>
          </cell>
          <cell r="CB2">
            <v>249432</v>
          </cell>
          <cell r="CC2">
            <v>249724</v>
          </cell>
          <cell r="CD2">
            <v>250645</v>
          </cell>
          <cell r="CE2">
            <v>252750</v>
          </cell>
          <cell r="CF2">
            <v>253583</v>
          </cell>
          <cell r="CG2">
            <v>254120</v>
          </cell>
          <cell r="CH2">
            <v>253168</v>
          </cell>
          <cell r="CI2">
            <v>257218</v>
          </cell>
          <cell r="CJ2">
            <v>259175</v>
          </cell>
          <cell r="CK2">
            <v>260115</v>
          </cell>
          <cell r="CL2">
            <v>266049</v>
          </cell>
          <cell r="CM2">
            <v>269808</v>
          </cell>
          <cell r="CN2">
            <v>268014</v>
          </cell>
          <cell r="CO2">
            <v>270902</v>
          </cell>
          <cell r="CP2">
            <v>272235</v>
          </cell>
          <cell r="CQ2">
            <v>278455</v>
          </cell>
          <cell r="CR2">
            <v>284016</v>
          </cell>
          <cell r="CS2">
            <v>288105</v>
          </cell>
          <cell r="CT2">
            <v>289441</v>
          </cell>
          <cell r="CU2">
            <v>291259</v>
          </cell>
          <cell r="CV2">
            <v>290728</v>
          </cell>
          <cell r="CW2">
            <v>295639</v>
          </cell>
          <cell r="CX2">
            <v>299687</v>
          </cell>
          <cell r="CY2">
            <v>307458</v>
          </cell>
          <cell r="CZ2">
            <v>314328</v>
          </cell>
          <cell r="DA2">
            <v>315432</v>
          </cell>
          <cell r="DB2">
            <v>314292</v>
          </cell>
          <cell r="DC2">
            <v>315618</v>
          </cell>
          <cell r="DD2">
            <v>315796</v>
          </cell>
          <cell r="DE2">
            <v>315752</v>
          </cell>
          <cell r="DF2">
            <v>316286</v>
          </cell>
          <cell r="DG2">
            <v>324602</v>
          </cell>
          <cell r="DH2">
            <v>327249</v>
          </cell>
          <cell r="DI2">
            <v>329861</v>
          </cell>
          <cell r="DJ2">
            <v>335845</v>
          </cell>
          <cell r="DK2">
            <v>334793</v>
          </cell>
          <cell r="DL2">
            <v>337797</v>
          </cell>
          <cell r="DM2">
            <v>344261</v>
          </cell>
          <cell r="DN2">
            <v>343714</v>
          </cell>
          <cell r="DO2">
            <v>350392</v>
          </cell>
          <cell r="DP2">
            <v>351426</v>
          </cell>
          <cell r="DQ2">
            <v>354704</v>
          </cell>
          <cell r="DR2">
            <v>348368</v>
          </cell>
          <cell r="DS2">
            <v>342817</v>
          </cell>
          <cell r="DT2">
            <v>353312</v>
          </cell>
          <cell r="DU2">
            <v>355586</v>
          </cell>
          <cell r="DV2">
            <v>359466</v>
          </cell>
          <cell r="DW2">
            <v>363406</v>
          </cell>
          <cell r="DX2">
            <v>365563</v>
          </cell>
          <cell r="DY2">
            <v>366952</v>
          </cell>
          <cell r="DZ2">
            <v>371922</v>
          </cell>
          <cell r="EA2">
            <v>380698</v>
          </cell>
          <cell r="EB2">
            <v>388424</v>
          </cell>
          <cell r="EC2">
            <v>407500</v>
          </cell>
          <cell r="ED2">
            <v>385394</v>
          </cell>
          <cell r="EE2">
            <v>439299</v>
          </cell>
          <cell r="EF2">
            <v>436667</v>
          </cell>
          <cell r="EG2">
            <v>429153</v>
          </cell>
          <cell r="EH2">
            <v>437817</v>
          </cell>
          <cell r="EI2">
            <v>410803</v>
          </cell>
        </row>
        <row r="3">
          <cell r="A3" t="str">
            <v>DG2Q</v>
          </cell>
          <cell r="B3">
            <v>64.2</v>
          </cell>
          <cell r="C3">
            <v>65</v>
          </cell>
          <cell r="D3">
            <v>65.5</v>
          </cell>
          <cell r="E3">
            <v>65.5</v>
          </cell>
          <cell r="F3">
            <v>66</v>
          </cell>
          <cell r="G3">
            <v>66.400000000000006</v>
          </cell>
          <cell r="H3">
            <v>67.3</v>
          </cell>
          <cell r="I3">
            <v>68.5</v>
          </cell>
          <cell r="J3">
            <v>69.8</v>
          </cell>
          <cell r="K3">
            <v>71.8</v>
          </cell>
          <cell r="L3">
            <v>72.8</v>
          </cell>
          <cell r="M3">
            <v>75.7</v>
          </cell>
          <cell r="N3">
            <v>76.3</v>
          </cell>
          <cell r="O3">
            <v>77.099999999999994</v>
          </cell>
          <cell r="P3">
            <v>80.099999999999994</v>
          </cell>
          <cell r="Q3">
            <v>81.5</v>
          </cell>
          <cell r="R3">
            <v>83.3</v>
          </cell>
          <cell r="S3">
            <v>84.2</v>
          </cell>
          <cell r="T3">
            <v>83.9</v>
          </cell>
          <cell r="U3">
            <v>85</v>
          </cell>
          <cell r="V3">
            <v>86.6</v>
          </cell>
          <cell r="W3">
            <v>88.4</v>
          </cell>
          <cell r="X3">
            <v>89.7</v>
          </cell>
          <cell r="Y3">
            <v>89.8</v>
          </cell>
          <cell r="Z3">
            <v>92.2</v>
          </cell>
          <cell r="AA3">
            <v>100</v>
          </cell>
          <cell r="AC3" t="str">
            <v>DG2Q</v>
          </cell>
          <cell r="AD3">
            <v>63.6</v>
          </cell>
          <cell r="AE3">
            <v>64.3</v>
          </cell>
          <cell r="AF3">
            <v>64.599999999999994</v>
          </cell>
          <cell r="AG3">
            <v>64.2</v>
          </cell>
          <cell r="AH3">
            <v>64.5</v>
          </cell>
          <cell r="AI3">
            <v>64.900000000000006</v>
          </cell>
          <cell r="AJ3">
            <v>65.3</v>
          </cell>
          <cell r="AK3">
            <v>65.400000000000006</v>
          </cell>
          <cell r="AL3">
            <v>65.7</v>
          </cell>
          <cell r="AM3">
            <v>65.599999999999994</v>
          </cell>
          <cell r="AN3">
            <v>65.2</v>
          </cell>
          <cell r="AO3">
            <v>65.400000000000006</v>
          </cell>
          <cell r="AP3">
            <v>65.599999999999994</v>
          </cell>
          <cell r="AQ3">
            <v>65.5</v>
          </cell>
          <cell r="AR3">
            <v>65.599999999999994</v>
          </cell>
          <cell r="AS3">
            <v>65.5</v>
          </cell>
          <cell r="AT3">
            <v>66.2</v>
          </cell>
          <cell r="AU3">
            <v>66.2</v>
          </cell>
          <cell r="AV3">
            <v>66.3</v>
          </cell>
          <cell r="AW3">
            <v>65.400000000000006</v>
          </cell>
          <cell r="AX3">
            <v>66.2</v>
          </cell>
          <cell r="AY3">
            <v>66.3</v>
          </cell>
          <cell r="AZ3">
            <v>66.400000000000006</v>
          </cell>
          <cell r="BA3">
            <v>66.8</v>
          </cell>
          <cell r="BB3">
            <v>67</v>
          </cell>
          <cell r="BC3">
            <v>67</v>
          </cell>
          <cell r="BD3">
            <v>67.400000000000006</v>
          </cell>
          <cell r="BE3">
            <v>67.7</v>
          </cell>
          <cell r="BF3">
            <v>67.900000000000006</v>
          </cell>
          <cell r="BG3">
            <v>68.3</v>
          </cell>
          <cell r="BH3">
            <v>68.599999999999994</v>
          </cell>
          <cell r="BI3">
            <v>69.2</v>
          </cell>
          <cell r="BJ3">
            <v>69.400000000000006</v>
          </cell>
          <cell r="BK3">
            <v>69.3</v>
          </cell>
          <cell r="BL3">
            <v>69.900000000000006</v>
          </cell>
          <cell r="BM3">
            <v>70.5</v>
          </cell>
          <cell r="BN3">
            <v>70.900000000000006</v>
          </cell>
          <cell r="BO3">
            <v>71.8</v>
          </cell>
          <cell r="BP3">
            <v>72.3</v>
          </cell>
          <cell r="BQ3">
            <v>72.400000000000006</v>
          </cell>
          <cell r="BR3">
            <v>71.8</v>
          </cell>
          <cell r="BS3">
            <v>72.900000000000006</v>
          </cell>
          <cell r="BT3">
            <v>73.2</v>
          </cell>
          <cell r="BU3">
            <v>73.400000000000006</v>
          </cell>
          <cell r="BV3">
            <v>74.5</v>
          </cell>
          <cell r="BW3">
            <v>75.599999999999994</v>
          </cell>
          <cell r="BX3">
            <v>76.7</v>
          </cell>
          <cell r="BY3">
            <v>76.099999999999994</v>
          </cell>
          <cell r="BZ3">
            <v>76.3</v>
          </cell>
          <cell r="CA3">
            <v>76.5</v>
          </cell>
          <cell r="CB3">
            <v>76.5</v>
          </cell>
          <cell r="CC3">
            <v>76.099999999999994</v>
          </cell>
          <cell r="CD3">
            <v>76.099999999999994</v>
          </cell>
          <cell r="CE3">
            <v>76.8</v>
          </cell>
          <cell r="CF3">
            <v>77.3</v>
          </cell>
          <cell r="CG3">
            <v>78</v>
          </cell>
          <cell r="CH3">
            <v>79.400000000000006</v>
          </cell>
          <cell r="CI3">
            <v>79.8</v>
          </cell>
          <cell r="CJ3">
            <v>80.400000000000006</v>
          </cell>
          <cell r="CK3">
            <v>81</v>
          </cell>
          <cell r="CL3">
            <v>81</v>
          </cell>
          <cell r="CM3">
            <v>81.5</v>
          </cell>
          <cell r="CN3">
            <v>81.400000000000006</v>
          </cell>
          <cell r="CO3">
            <v>82</v>
          </cell>
          <cell r="CP3">
            <v>82.8</v>
          </cell>
          <cell r="CQ3">
            <v>83.3</v>
          </cell>
          <cell r="CR3">
            <v>83.5</v>
          </cell>
          <cell r="CS3">
            <v>83.5</v>
          </cell>
          <cell r="CT3">
            <v>83.9</v>
          </cell>
          <cell r="CU3">
            <v>84.6</v>
          </cell>
          <cell r="CV3">
            <v>84.4</v>
          </cell>
          <cell r="CW3">
            <v>84.1</v>
          </cell>
          <cell r="CX3">
            <v>83.6</v>
          </cell>
          <cell r="CY3">
            <v>83.8</v>
          </cell>
          <cell r="CZ3">
            <v>84.1</v>
          </cell>
          <cell r="DA3">
            <v>84.2</v>
          </cell>
          <cell r="DB3">
            <v>84.3</v>
          </cell>
          <cell r="DC3">
            <v>84.6</v>
          </cell>
          <cell r="DD3">
            <v>85.3</v>
          </cell>
          <cell r="DE3">
            <v>85.7</v>
          </cell>
          <cell r="DF3">
            <v>85.7</v>
          </cell>
          <cell r="DG3">
            <v>86.4</v>
          </cell>
          <cell r="DH3">
            <v>86.8</v>
          </cell>
          <cell r="DI3">
            <v>87.3</v>
          </cell>
          <cell r="DJ3">
            <v>87.8</v>
          </cell>
          <cell r="DK3">
            <v>88.1</v>
          </cell>
          <cell r="DL3">
            <v>88.6</v>
          </cell>
          <cell r="DM3">
            <v>89.1</v>
          </cell>
          <cell r="DN3">
            <v>89.2</v>
          </cell>
          <cell r="DO3">
            <v>89.6</v>
          </cell>
          <cell r="DP3">
            <v>89.9</v>
          </cell>
          <cell r="DQ3">
            <v>90</v>
          </cell>
          <cell r="DR3">
            <v>89.6</v>
          </cell>
          <cell r="DS3">
            <v>89.4</v>
          </cell>
          <cell r="DT3">
            <v>90</v>
          </cell>
          <cell r="DU3">
            <v>90.1</v>
          </cell>
          <cell r="DV3">
            <v>90.6</v>
          </cell>
          <cell r="DW3">
            <v>91.1</v>
          </cell>
          <cell r="DX3">
            <v>92.5</v>
          </cell>
          <cell r="DY3">
            <v>94.5</v>
          </cell>
          <cell r="DZ3">
            <v>96.1</v>
          </cell>
          <cell r="EA3">
            <v>99.4</v>
          </cell>
          <cell r="EB3">
            <v>100.9</v>
          </cell>
          <cell r="EC3">
            <v>103.5</v>
          </cell>
          <cell r="EF3">
            <v>118.3</v>
          </cell>
          <cell r="EG3">
            <v>119.1</v>
          </cell>
          <cell r="EH3">
            <v>120.1</v>
          </cell>
          <cell r="EI3">
            <v>120.4</v>
          </cell>
        </row>
        <row r="4">
          <cell r="A4" t="str">
            <v>DG2R</v>
          </cell>
          <cell r="B4">
            <v>962935</v>
          </cell>
          <cell r="C4">
            <v>972314</v>
          </cell>
          <cell r="D4">
            <v>1012982</v>
          </cell>
          <cell r="E4">
            <v>1068345</v>
          </cell>
          <cell r="F4">
            <v>1106152</v>
          </cell>
          <cell r="G4">
            <v>1129666</v>
          </cell>
          <cell r="H4">
            <v>1154539</v>
          </cell>
          <cell r="I4">
            <v>1186146</v>
          </cell>
          <cell r="J4">
            <v>1215606</v>
          </cell>
          <cell r="K4">
            <v>1237764</v>
          </cell>
          <cell r="L4">
            <v>1287872</v>
          </cell>
          <cell r="M4">
            <v>1281384</v>
          </cell>
          <cell r="N4">
            <v>1301909</v>
          </cell>
          <cell r="O4">
            <v>1312196</v>
          </cell>
          <cell r="P4">
            <v>1285046</v>
          </cell>
          <cell r="Q4">
            <v>1319264</v>
          </cell>
          <cell r="R4">
            <v>1348281</v>
          </cell>
          <cell r="S4">
            <v>1385436</v>
          </cell>
          <cell r="T4">
            <v>1473793</v>
          </cell>
          <cell r="U4">
            <v>1484197</v>
          </cell>
          <cell r="V4">
            <v>1499434</v>
          </cell>
          <cell r="W4">
            <v>1530481</v>
          </cell>
          <cell r="X4">
            <v>1561142</v>
          </cell>
          <cell r="Y4">
            <v>1559770</v>
          </cell>
          <cell r="Z4">
            <v>1578307</v>
          </cell>
          <cell r="AA4">
            <v>1548544</v>
          </cell>
          <cell r="AC4" t="str">
            <v>DG2R</v>
          </cell>
          <cell r="AD4">
            <v>242787</v>
          </cell>
          <cell r="AE4">
            <v>238262</v>
          </cell>
          <cell r="AF4">
            <v>240642</v>
          </cell>
          <cell r="AG4">
            <v>241244</v>
          </cell>
          <cell r="AH4">
            <v>241411</v>
          </cell>
          <cell r="AI4">
            <v>243260</v>
          </cell>
          <cell r="AJ4">
            <v>241948</v>
          </cell>
          <cell r="AK4">
            <v>245695</v>
          </cell>
          <cell r="AL4">
            <v>243440</v>
          </cell>
          <cell r="AM4">
            <v>253940</v>
          </cell>
          <cell r="AN4">
            <v>254604</v>
          </cell>
          <cell r="AO4">
            <v>260998</v>
          </cell>
          <cell r="AP4">
            <v>261066</v>
          </cell>
          <cell r="AQ4">
            <v>264332</v>
          </cell>
          <cell r="AR4">
            <v>269498</v>
          </cell>
          <cell r="AS4">
            <v>273449</v>
          </cell>
          <cell r="AT4">
            <v>275352</v>
          </cell>
          <cell r="AU4">
            <v>274810</v>
          </cell>
          <cell r="AV4">
            <v>275694</v>
          </cell>
          <cell r="AW4">
            <v>280296</v>
          </cell>
          <cell r="AX4">
            <v>279786</v>
          </cell>
          <cell r="AY4">
            <v>283248</v>
          </cell>
          <cell r="AZ4">
            <v>282393</v>
          </cell>
          <cell r="BA4">
            <v>284239</v>
          </cell>
          <cell r="BB4">
            <v>285560</v>
          </cell>
          <cell r="BC4">
            <v>287234</v>
          </cell>
          <cell r="BD4">
            <v>289510</v>
          </cell>
          <cell r="BE4">
            <v>292235</v>
          </cell>
          <cell r="BF4">
            <v>293887</v>
          </cell>
          <cell r="BG4">
            <v>296185</v>
          </cell>
          <cell r="BH4">
            <v>297291</v>
          </cell>
          <cell r="BI4">
            <v>298783</v>
          </cell>
          <cell r="BJ4">
            <v>300832</v>
          </cell>
          <cell r="BK4">
            <v>303559</v>
          </cell>
          <cell r="BL4">
            <v>305918</v>
          </cell>
          <cell r="BM4">
            <v>305297</v>
          </cell>
          <cell r="BN4">
            <v>308788</v>
          </cell>
          <cell r="BO4">
            <v>307296</v>
          </cell>
          <cell r="BP4">
            <v>310020</v>
          </cell>
          <cell r="BQ4">
            <v>311660</v>
          </cell>
          <cell r="BR4">
            <v>322327</v>
          </cell>
          <cell r="BS4">
            <v>319628</v>
          </cell>
          <cell r="BT4">
            <v>323425</v>
          </cell>
          <cell r="BU4">
            <v>322492</v>
          </cell>
          <cell r="BV4">
            <v>319071</v>
          </cell>
          <cell r="BW4">
            <v>322925</v>
          </cell>
          <cell r="BX4">
            <v>316966</v>
          </cell>
          <cell r="BY4">
            <v>322422</v>
          </cell>
          <cell r="BZ4">
            <v>320427</v>
          </cell>
          <cell r="CA4">
            <v>327075</v>
          </cell>
          <cell r="CB4">
            <v>326226</v>
          </cell>
          <cell r="CC4">
            <v>328181</v>
          </cell>
          <cell r="CD4">
            <v>329401</v>
          </cell>
          <cell r="CE4">
            <v>329048</v>
          </cell>
          <cell r="CF4">
            <v>327940</v>
          </cell>
          <cell r="CG4">
            <v>325807</v>
          </cell>
          <cell r="CH4">
            <v>318757</v>
          </cell>
          <cell r="CI4">
            <v>322508</v>
          </cell>
          <cell r="CJ4">
            <v>322513</v>
          </cell>
          <cell r="CK4">
            <v>321268</v>
          </cell>
          <cell r="CL4">
            <v>328392</v>
          </cell>
          <cell r="CM4">
            <v>331133</v>
          </cell>
          <cell r="CN4">
            <v>329273</v>
          </cell>
          <cell r="CO4">
            <v>330466</v>
          </cell>
          <cell r="CP4">
            <v>328783</v>
          </cell>
          <cell r="CQ4">
            <v>334298</v>
          </cell>
          <cell r="CR4">
            <v>340201</v>
          </cell>
          <cell r="CS4">
            <v>344999</v>
          </cell>
          <cell r="CT4">
            <v>344918</v>
          </cell>
          <cell r="CU4">
            <v>344335</v>
          </cell>
          <cell r="CV4">
            <v>344655</v>
          </cell>
          <cell r="CW4">
            <v>351528</v>
          </cell>
          <cell r="CX4">
            <v>358282</v>
          </cell>
          <cell r="CY4">
            <v>366745</v>
          </cell>
          <cell r="CZ4">
            <v>373967</v>
          </cell>
          <cell r="DA4">
            <v>374799</v>
          </cell>
          <cell r="DB4">
            <v>372926</v>
          </cell>
          <cell r="DC4">
            <v>372851</v>
          </cell>
          <cell r="DD4">
            <v>370130</v>
          </cell>
          <cell r="DE4">
            <v>368290</v>
          </cell>
          <cell r="DF4">
            <v>368849</v>
          </cell>
          <cell r="DG4">
            <v>375675</v>
          </cell>
          <cell r="DH4">
            <v>377111</v>
          </cell>
          <cell r="DI4">
            <v>377799</v>
          </cell>
          <cell r="DJ4">
            <v>382488</v>
          </cell>
          <cell r="DK4">
            <v>380137</v>
          </cell>
          <cell r="DL4">
            <v>381367</v>
          </cell>
          <cell r="DM4">
            <v>386489</v>
          </cell>
          <cell r="DN4">
            <v>385409</v>
          </cell>
          <cell r="DO4">
            <v>391052</v>
          </cell>
          <cell r="DP4">
            <v>390720</v>
          </cell>
          <cell r="DQ4">
            <v>393961</v>
          </cell>
          <cell r="DR4">
            <v>389049</v>
          </cell>
          <cell r="DS4">
            <v>383332</v>
          </cell>
          <cell r="DT4">
            <v>392641</v>
          </cell>
          <cell r="DU4">
            <v>394748</v>
          </cell>
          <cell r="DV4">
            <v>396682</v>
          </cell>
          <cell r="DW4">
            <v>398701</v>
          </cell>
          <cell r="DX4">
            <v>394958</v>
          </cell>
          <cell r="DY4">
            <v>387966</v>
          </cell>
          <cell r="DZ4">
            <v>386881</v>
          </cell>
          <cell r="EA4">
            <v>382940</v>
          </cell>
          <cell r="EB4">
            <v>385064</v>
          </cell>
          <cell r="EC4">
            <v>393659</v>
          </cell>
          <cell r="ED4">
            <v>327262</v>
          </cell>
          <cell r="EE4">
            <v>371253</v>
          </cell>
          <cell r="EF4">
            <v>369049</v>
          </cell>
          <cell r="EG4">
            <v>360324</v>
          </cell>
          <cell r="EH4">
            <v>364611</v>
          </cell>
          <cell r="EI4">
            <v>341327</v>
          </cell>
        </row>
        <row r="5">
          <cell r="A5" t="str">
            <v>DG43</v>
          </cell>
          <cell r="B5">
            <v>62.2</v>
          </cell>
          <cell r="C5">
            <v>62.8</v>
          </cell>
          <cell r="D5">
            <v>65.400000000000006</v>
          </cell>
          <cell r="E5">
            <v>69</v>
          </cell>
          <cell r="F5">
            <v>71.400000000000006</v>
          </cell>
          <cell r="G5">
            <v>73</v>
          </cell>
          <cell r="H5">
            <v>74.599999999999994</v>
          </cell>
          <cell r="I5">
            <v>76.599999999999994</v>
          </cell>
          <cell r="J5">
            <v>78.5</v>
          </cell>
          <cell r="K5">
            <v>80</v>
          </cell>
          <cell r="L5">
            <v>83.2</v>
          </cell>
          <cell r="M5">
            <v>82.8</v>
          </cell>
          <cell r="N5">
            <v>84.1</v>
          </cell>
          <cell r="O5">
            <v>84.8</v>
          </cell>
          <cell r="P5">
            <v>83</v>
          </cell>
          <cell r="Q5">
            <v>85.2</v>
          </cell>
          <cell r="R5">
            <v>87.1</v>
          </cell>
          <cell r="S5">
            <v>89.5</v>
          </cell>
          <cell r="T5">
            <v>95.2</v>
          </cell>
          <cell r="U5">
            <v>95.8</v>
          </cell>
          <cell r="V5">
            <v>96.8</v>
          </cell>
          <cell r="W5">
            <v>98.8</v>
          </cell>
          <cell r="X5">
            <v>100.8</v>
          </cell>
          <cell r="Y5">
            <v>100.7</v>
          </cell>
          <cell r="Z5">
            <v>101.9</v>
          </cell>
          <cell r="AA5">
            <v>100</v>
          </cell>
          <cell r="AC5" t="str">
            <v>DG43</v>
          </cell>
          <cell r="AD5">
            <v>62.7</v>
          </cell>
          <cell r="AE5">
            <v>61.5</v>
          </cell>
          <cell r="AF5">
            <v>62.2</v>
          </cell>
          <cell r="AG5">
            <v>62.3</v>
          </cell>
          <cell r="AH5">
            <v>62.4</v>
          </cell>
          <cell r="AI5">
            <v>62.8</v>
          </cell>
          <cell r="AJ5">
            <v>62.5</v>
          </cell>
          <cell r="AK5">
            <v>63.5</v>
          </cell>
          <cell r="AL5">
            <v>62.9</v>
          </cell>
          <cell r="AM5">
            <v>65.599999999999994</v>
          </cell>
          <cell r="AN5">
            <v>65.8</v>
          </cell>
          <cell r="AO5">
            <v>67.400000000000006</v>
          </cell>
          <cell r="AP5">
            <v>67.400000000000006</v>
          </cell>
          <cell r="AQ5">
            <v>68.3</v>
          </cell>
          <cell r="AR5">
            <v>69.599999999999994</v>
          </cell>
          <cell r="AS5">
            <v>70.599999999999994</v>
          </cell>
          <cell r="AT5">
            <v>71.099999999999994</v>
          </cell>
          <cell r="AU5">
            <v>71</v>
          </cell>
          <cell r="AV5">
            <v>71.2</v>
          </cell>
          <cell r="AW5">
            <v>72.400000000000006</v>
          </cell>
          <cell r="AX5">
            <v>72.3</v>
          </cell>
          <cell r="AY5">
            <v>73.2</v>
          </cell>
          <cell r="AZ5">
            <v>72.900000000000006</v>
          </cell>
          <cell r="BA5">
            <v>73.400000000000006</v>
          </cell>
          <cell r="BB5">
            <v>73.8</v>
          </cell>
          <cell r="BC5">
            <v>74.2</v>
          </cell>
          <cell r="BD5">
            <v>74.8</v>
          </cell>
          <cell r="BE5">
            <v>75.5</v>
          </cell>
          <cell r="BF5">
            <v>75.900000000000006</v>
          </cell>
          <cell r="BG5">
            <v>76.5</v>
          </cell>
          <cell r="BH5">
            <v>76.8</v>
          </cell>
          <cell r="BI5">
            <v>77.2</v>
          </cell>
          <cell r="BJ5">
            <v>77.7</v>
          </cell>
          <cell r="BK5">
            <v>78.400000000000006</v>
          </cell>
          <cell r="BL5">
            <v>79</v>
          </cell>
          <cell r="BM5">
            <v>78.900000000000006</v>
          </cell>
          <cell r="BN5">
            <v>79.8</v>
          </cell>
          <cell r="BO5">
            <v>79.400000000000006</v>
          </cell>
          <cell r="BP5">
            <v>80.099999999999994</v>
          </cell>
          <cell r="BQ5">
            <v>80.5</v>
          </cell>
          <cell r="BR5">
            <v>83.3</v>
          </cell>
          <cell r="BS5">
            <v>82.6</v>
          </cell>
          <cell r="BT5">
            <v>83.5</v>
          </cell>
          <cell r="BU5">
            <v>83.3</v>
          </cell>
          <cell r="BV5">
            <v>82.4</v>
          </cell>
          <cell r="BW5">
            <v>83.4</v>
          </cell>
          <cell r="BX5">
            <v>81.900000000000006</v>
          </cell>
          <cell r="BY5">
            <v>83.3</v>
          </cell>
          <cell r="BZ5">
            <v>82.8</v>
          </cell>
          <cell r="CA5">
            <v>84.5</v>
          </cell>
          <cell r="CB5">
            <v>84.3</v>
          </cell>
          <cell r="CC5">
            <v>84.8</v>
          </cell>
          <cell r="CD5">
            <v>85.1</v>
          </cell>
          <cell r="CE5">
            <v>85</v>
          </cell>
          <cell r="CF5">
            <v>84.7</v>
          </cell>
          <cell r="CG5">
            <v>84.2</v>
          </cell>
          <cell r="CH5">
            <v>82.3</v>
          </cell>
          <cell r="CI5">
            <v>83.3</v>
          </cell>
          <cell r="CJ5">
            <v>83.3</v>
          </cell>
          <cell r="CK5">
            <v>83</v>
          </cell>
          <cell r="CL5">
            <v>84.8</v>
          </cell>
          <cell r="CM5">
            <v>85.5</v>
          </cell>
          <cell r="CN5">
            <v>85.1</v>
          </cell>
          <cell r="CO5">
            <v>85.4</v>
          </cell>
          <cell r="CP5">
            <v>84.9</v>
          </cell>
          <cell r="CQ5">
            <v>86.4</v>
          </cell>
          <cell r="CR5">
            <v>87.9</v>
          </cell>
          <cell r="CS5">
            <v>89.1</v>
          </cell>
          <cell r="CT5">
            <v>89.1</v>
          </cell>
          <cell r="CU5">
            <v>88.9</v>
          </cell>
          <cell r="CV5">
            <v>89</v>
          </cell>
          <cell r="CW5">
            <v>90.8</v>
          </cell>
          <cell r="CX5">
            <v>92.5</v>
          </cell>
          <cell r="CY5">
            <v>94.7</v>
          </cell>
          <cell r="CZ5">
            <v>96.6</v>
          </cell>
          <cell r="DA5">
            <v>96.8</v>
          </cell>
          <cell r="DB5">
            <v>96.3</v>
          </cell>
          <cell r="DC5">
            <v>96.3</v>
          </cell>
          <cell r="DD5">
            <v>95.6</v>
          </cell>
          <cell r="DE5">
            <v>95.1</v>
          </cell>
          <cell r="DF5">
            <v>95.3</v>
          </cell>
          <cell r="DG5">
            <v>97</v>
          </cell>
          <cell r="DH5">
            <v>97.4</v>
          </cell>
          <cell r="DI5">
            <v>97.6</v>
          </cell>
          <cell r="DJ5">
            <v>98.8</v>
          </cell>
          <cell r="DK5">
            <v>98.2</v>
          </cell>
          <cell r="DL5">
            <v>98.5</v>
          </cell>
          <cell r="DM5">
            <v>99.8</v>
          </cell>
          <cell r="DN5">
            <v>99.6</v>
          </cell>
          <cell r="DO5">
            <v>101</v>
          </cell>
          <cell r="DP5">
            <v>100.9</v>
          </cell>
          <cell r="DQ5">
            <v>101.8</v>
          </cell>
          <cell r="DR5">
            <v>100.5</v>
          </cell>
          <cell r="DS5">
            <v>99</v>
          </cell>
          <cell r="DT5">
            <v>101.4</v>
          </cell>
          <cell r="DU5">
            <v>102</v>
          </cell>
          <cell r="DV5">
            <v>102.5</v>
          </cell>
          <cell r="DW5">
            <v>103</v>
          </cell>
          <cell r="DX5">
            <v>102</v>
          </cell>
          <cell r="DY5">
            <v>100.2</v>
          </cell>
          <cell r="DZ5">
            <v>99.9</v>
          </cell>
          <cell r="EA5">
            <v>98.9</v>
          </cell>
          <cell r="EB5">
            <v>99.5</v>
          </cell>
          <cell r="EC5">
            <v>101.7</v>
          </cell>
          <cell r="ED5">
            <v>84.5</v>
          </cell>
          <cell r="EE5">
            <v>95.9</v>
          </cell>
          <cell r="EF5">
            <v>105.4</v>
          </cell>
          <cell r="EG5">
            <v>102.9</v>
          </cell>
          <cell r="EH5">
            <v>104.2</v>
          </cell>
          <cell r="EI5">
            <v>97.5</v>
          </cell>
        </row>
        <row r="6">
          <cell r="A6" t="str">
            <v>RPQG</v>
          </cell>
          <cell r="B6">
            <v>62018</v>
          </cell>
          <cell r="C6">
            <v>42604</v>
          </cell>
          <cell r="D6">
            <v>34802</v>
          </cell>
          <cell r="E6">
            <v>52017</v>
          </cell>
          <cell r="F6">
            <v>53661</v>
          </cell>
          <cell r="G6">
            <v>52555</v>
          </cell>
          <cell r="H6">
            <v>45255</v>
          </cell>
          <cell r="I6">
            <v>51413</v>
          </cell>
          <cell r="J6">
            <v>51607</v>
          </cell>
          <cell r="K6">
            <v>59813</v>
          </cell>
          <cell r="L6">
            <v>76828</v>
          </cell>
          <cell r="M6">
            <v>74496</v>
          </cell>
          <cell r="N6">
            <v>108098</v>
          </cell>
          <cell r="O6">
            <v>122241</v>
          </cell>
          <cell r="P6">
            <v>98843</v>
          </cell>
          <cell r="Q6">
            <v>94874</v>
          </cell>
          <cell r="R6">
            <v>93892</v>
          </cell>
          <cell r="S6">
            <v>87098</v>
          </cell>
          <cell r="T6">
            <v>124767</v>
          </cell>
          <cell r="U6">
            <v>79411</v>
          </cell>
          <cell r="V6">
            <v>68562</v>
          </cell>
          <cell r="W6">
            <v>76404</v>
          </cell>
          <cell r="X6">
            <v>80164</v>
          </cell>
          <cell r="Y6">
            <v>241969</v>
          </cell>
          <cell r="Z6">
            <v>191246</v>
          </cell>
          <cell r="AA6">
            <v>98084</v>
          </cell>
          <cell r="AC6" t="str">
            <v>RPQG</v>
          </cell>
          <cell r="AD6">
            <v>18882</v>
          </cell>
          <cell r="AE6">
            <v>15338</v>
          </cell>
          <cell r="AF6">
            <v>14971</v>
          </cell>
          <cell r="AG6">
            <v>12827</v>
          </cell>
          <cell r="AH6">
            <v>12154</v>
          </cell>
          <cell r="AI6">
            <v>12131</v>
          </cell>
          <cell r="AJ6">
            <v>9087</v>
          </cell>
          <cell r="AK6">
            <v>9232</v>
          </cell>
          <cell r="AL6">
            <v>4896</v>
          </cell>
          <cell r="AM6">
            <v>9187</v>
          </cell>
          <cell r="AN6">
            <v>8568</v>
          </cell>
          <cell r="AO6">
            <v>12151</v>
          </cell>
          <cell r="AP6">
            <v>11544</v>
          </cell>
          <cell r="AQ6">
            <v>11515</v>
          </cell>
          <cell r="AR6">
            <v>13217</v>
          </cell>
          <cell r="AS6">
            <v>15741</v>
          </cell>
          <cell r="AT6">
            <v>15257</v>
          </cell>
          <cell r="AU6">
            <v>13860</v>
          </cell>
          <cell r="AV6">
            <v>12024</v>
          </cell>
          <cell r="AW6">
            <v>12520</v>
          </cell>
          <cell r="AX6">
            <v>12811</v>
          </cell>
          <cell r="AY6">
            <v>15513</v>
          </cell>
          <cell r="AZ6">
            <v>13060</v>
          </cell>
          <cell r="BA6">
            <v>11171</v>
          </cell>
          <cell r="BB6">
            <v>12118</v>
          </cell>
          <cell r="BC6">
            <v>9918</v>
          </cell>
          <cell r="BD6">
            <v>11050</v>
          </cell>
          <cell r="BE6">
            <v>12169</v>
          </cell>
          <cell r="BF6">
            <v>13140</v>
          </cell>
          <cell r="BG6">
            <v>11887</v>
          </cell>
          <cell r="BH6">
            <v>13584</v>
          </cell>
          <cell r="BI6">
            <v>12802</v>
          </cell>
          <cell r="BJ6">
            <v>12215</v>
          </cell>
          <cell r="BK6">
            <v>14603</v>
          </cell>
          <cell r="BL6">
            <v>12708</v>
          </cell>
          <cell r="BM6">
            <v>12081</v>
          </cell>
          <cell r="BN6">
            <v>15377</v>
          </cell>
          <cell r="BO6">
            <v>12795</v>
          </cell>
          <cell r="BP6">
            <v>14403</v>
          </cell>
          <cell r="BQ6">
            <v>17238</v>
          </cell>
          <cell r="BR6">
            <v>22570</v>
          </cell>
          <cell r="BS6">
            <v>20111</v>
          </cell>
          <cell r="BT6">
            <v>18822</v>
          </cell>
          <cell r="BU6">
            <v>15325</v>
          </cell>
          <cell r="BV6">
            <v>13526</v>
          </cell>
          <cell r="BW6">
            <v>19095</v>
          </cell>
          <cell r="BX6">
            <v>16551</v>
          </cell>
          <cell r="BY6">
            <v>25324</v>
          </cell>
          <cell r="BZ6">
            <v>23430</v>
          </cell>
          <cell r="CA6">
            <v>28250</v>
          </cell>
          <cell r="CB6">
            <v>27804</v>
          </cell>
          <cell r="CC6">
            <v>28614</v>
          </cell>
          <cell r="CD6">
            <v>34300</v>
          </cell>
          <cell r="CE6">
            <v>30476</v>
          </cell>
          <cell r="CF6">
            <v>28372</v>
          </cell>
          <cell r="CG6">
            <v>29093</v>
          </cell>
          <cell r="CH6">
            <v>24533</v>
          </cell>
          <cell r="CI6">
            <v>27722</v>
          </cell>
          <cell r="CJ6">
            <v>24539</v>
          </cell>
          <cell r="CK6">
            <v>22049</v>
          </cell>
          <cell r="CL6">
            <v>28332</v>
          </cell>
          <cell r="CM6">
            <v>25541</v>
          </cell>
          <cell r="CN6">
            <v>22296</v>
          </cell>
          <cell r="CO6">
            <v>18705</v>
          </cell>
          <cell r="CP6">
            <v>19419</v>
          </cell>
          <cell r="CQ6">
            <v>23833</v>
          </cell>
          <cell r="CR6">
            <v>23370</v>
          </cell>
          <cell r="CS6">
            <v>27270</v>
          </cell>
          <cell r="CT6">
            <v>26253</v>
          </cell>
          <cell r="CU6">
            <v>23306</v>
          </cell>
          <cell r="CV6">
            <v>17867</v>
          </cell>
          <cell r="CW6">
            <v>19672</v>
          </cell>
          <cell r="CX6">
            <v>24323</v>
          </cell>
          <cell r="CY6">
            <v>32636</v>
          </cell>
          <cell r="CZ6">
            <v>31934</v>
          </cell>
          <cell r="DA6">
            <v>35874</v>
          </cell>
          <cell r="DB6">
            <v>25802</v>
          </cell>
          <cell r="DC6">
            <v>21744</v>
          </cell>
          <cell r="DD6">
            <v>14770</v>
          </cell>
          <cell r="DE6">
            <v>17095</v>
          </cell>
          <cell r="DF6">
            <v>13169</v>
          </cell>
          <cell r="DG6">
            <v>20294</v>
          </cell>
          <cell r="DH6">
            <v>18835</v>
          </cell>
          <cell r="DI6">
            <v>16264</v>
          </cell>
          <cell r="DJ6">
            <v>20406</v>
          </cell>
          <cell r="DK6">
            <v>18526</v>
          </cell>
          <cell r="DL6">
            <v>19245</v>
          </cell>
          <cell r="DM6">
            <v>18227</v>
          </cell>
          <cell r="DN6">
            <v>18549</v>
          </cell>
          <cell r="DO6">
            <v>21363</v>
          </cell>
          <cell r="DP6">
            <v>18629</v>
          </cell>
          <cell r="DQ6">
            <v>21623</v>
          </cell>
          <cell r="DR6">
            <v>25863</v>
          </cell>
          <cell r="DS6">
            <v>97068</v>
          </cell>
          <cell r="DT6">
            <v>56105</v>
          </cell>
          <cell r="DU6">
            <v>62933</v>
          </cell>
          <cell r="DV6">
            <v>81870</v>
          </cell>
          <cell r="DW6">
            <v>47148</v>
          </cell>
          <cell r="DX6">
            <v>35521</v>
          </cell>
          <cell r="DY6">
            <v>26707</v>
          </cell>
          <cell r="DZ6">
            <v>27254</v>
          </cell>
          <cell r="EA6">
            <v>18074</v>
          </cell>
          <cell r="EB6">
            <v>25036</v>
          </cell>
          <cell r="EC6">
            <v>27720</v>
          </cell>
          <cell r="ED6">
            <v>21831</v>
          </cell>
          <cell r="EE6">
            <v>61785</v>
          </cell>
          <cell r="EF6">
            <v>58573</v>
          </cell>
          <cell r="EG6">
            <v>42902</v>
          </cell>
          <cell r="EH6">
            <v>46085</v>
          </cell>
          <cell r="EI6">
            <v>41575</v>
          </cell>
        </row>
        <row r="7">
          <cell r="A7" t="str">
            <v>RPQF</v>
          </cell>
          <cell r="B7">
            <v>672432</v>
          </cell>
          <cell r="C7">
            <v>687212</v>
          </cell>
          <cell r="D7">
            <v>711404</v>
          </cell>
          <cell r="E7">
            <v>761411</v>
          </cell>
          <cell r="F7">
            <v>791515</v>
          </cell>
          <cell r="G7">
            <v>814730</v>
          </cell>
          <cell r="H7">
            <v>842737</v>
          </cell>
          <cell r="I7">
            <v>886199</v>
          </cell>
          <cell r="J7">
            <v>925749</v>
          </cell>
          <cell r="K7">
            <v>967348</v>
          </cell>
          <cell r="L7">
            <v>1028319</v>
          </cell>
          <cell r="M7">
            <v>1055573</v>
          </cell>
          <cell r="N7">
            <v>1065146</v>
          </cell>
          <cell r="O7">
            <v>1109261</v>
          </cell>
          <cell r="P7">
            <v>1121454</v>
          </cell>
          <cell r="Q7">
            <v>1153008</v>
          </cell>
          <cell r="R7">
            <v>1206124</v>
          </cell>
          <cell r="S7">
            <v>1246070</v>
          </cell>
          <cell r="T7">
            <v>1312798</v>
          </cell>
          <cell r="U7">
            <v>1328756</v>
          </cell>
          <cell r="V7">
            <v>1363131</v>
          </cell>
          <cell r="W7">
            <v>1420135</v>
          </cell>
          <cell r="X7">
            <v>1458813</v>
          </cell>
          <cell r="Y7">
            <v>1442315</v>
          </cell>
          <cell r="Z7">
            <v>1510569</v>
          </cell>
          <cell r="AA7">
            <v>1632828</v>
          </cell>
          <cell r="AC7" t="str">
            <v>RPQF</v>
          </cell>
          <cell r="AD7">
            <v>167403</v>
          </cell>
          <cell r="AE7">
            <v>167260</v>
          </cell>
          <cell r="AF7">
            <v>169619</v>
          </cell>
          <cell r="AG7">
            <v>168150</v>
          </cell>
          <cell r="AH7">
            <v>169516</v>
          </cell>
          <cell r="AI7">
            <v>171940</v>
          </cell>
          <cell r="AJ7">
            <v>172629</v>
          </cell>
          <cell r="AK7">
            <v>173127</v>
          </cell>
          <cell r="AL7">
            <v>171069</v>
          </cell>
          <cell r="AM7">
            <v>178206</v>
          </cell>
          <cell r="AN7">
            <v>178381</v>
          </cell>
          <cell r="AO7">
            <v>183748</v>
          </cell>
          <cell r="AP7">
            <v>186220</v>
          </cell>
          <cell r="AQ7">
            <v>187707</v>
          </cell>
          <cell r="AR7">
            <v>191731</v>
          </cell>
          <cell r="AS7">
            <v>195753</v>
          </cell>
          <cell r="AT7">
            <v>197571</v>
          </cell>
          <cell r="AU7">
            <v>197369</v>
          </cell>
          <cell r="AV7">
            <v>198464</v>
          </cell>
          <cell r="AW7">
            <v>198111</v>
          </cell>
          <cell r="AX7">
            <v>200785</v>
          </cell>
          <cell r="AY7">
            <v>204577</v>
          </cell>
          <cell r="AZ7">
            <v>204179</v>
          </cell>
          <cell r="BA7">
            <v>205189</v>
          </cell>
          <cell r="BB7">
            <v>207829</v>
          </cell>
          <cell r="BC7">
            <v>208025</v>
          </cell>
          <cell r="BD7">
            <v>211909</v>
          </cell>
          <cell r="BE7">
            <v>214974</v>
          </cell>
          <cell r="BF7">
            <v>217812</v>
          </cell>
          <cell r="BG7">
            <v>219483</v>
          </cell>
          <cell r="BH7">
            <v>223218</v>
          </cell>
          <cell r="BI7">
            <v>225686</v>
          </cell>
          <cell r="BJ7">
            <v>228022</v>
          </cell>
          <cell r="BK7">
            <v>230244</v>
          </cell>
          <cell r="BL7">
            <v>232457</v>
          </cell>
          <cell r="BM7">
            <v>235026</v>
          </cell>
          <cell r="BN7">
            <v>238570</v>
          </cell>
          <cell r="BO7">
            <v>238589</v>
          </cell>
          <cell r="BP7">
            <v>243238</v>
          </cell>
          <cell r="BQ7">
            <v>246951</v>
          </cell>
          <cell r="BR7">
            <v>252967</v>
          </cell>
          <cell r="BS7">
            <v>256526</v>
          </cell>
          <cell r="BT7">
            <v>260967</v>
          </cell>
          <cell r="BU7">
            <v>257859</v>
          </cell>
          <cell r="BV7">
            <v>260837</v>
          </cell>
          <cell r="BW7">
            <v>266847</v>
          </cell>
          <cell r="BX7">
            <v>263688</v>
          </cell>
          <cell r="BY7">
            <v>264201</v>
          </cell>
          <cell r="BZ7">
            <v>261911</v>
          </cell>
          <cell r="CA7">
            <v>266830</v>
          </cell>
          <cell r="CB7">
            <v>267433</v>
          </cell>
          <cell r="CC7">
            <v>268972</v>
          </cell>
          <cell r="CD7">
            <v>273480</v>
          </cell>
          <cell r="CE7">
            <v>277923</v>
          </cell>
          <cell r="CF7">
            <v>277649</v>
          </cell>
          <cell r="CG7">
            <v>280209</v>
          </cell>
          <cell r="CH7">
            <v>278096</v>
          </cell>
          <cell r="CI7">
            <v>281330</v>
          </cell>
          <cell r="CJ7">
            <v>280987</v>
          </cell>
          <cell r="CK7">
            <v>281041</v>
          </cell>
          <cell r="CL7">
            <v>287534</v>
          </cell>
          <cell r="CM7">
            <v>288150</v>
          </cell>
          <cell r="CN7">
            <v>287544</v>
          </cell>
          <cell r="CO7">
            <v>289780</v>
          </cell>
          <cell r="CP7">
            <v>291783</v>
          </cell>
          <cell r="CQ7">
            <v>300596</v>
          </cell>
          <cell r="CR7">
            <v>304231</v>
          </cell>
          <cell r="CS7">
            <v>309514</v>
          </cell>
          <cell r="CT7">
            <v>310774</v>
          </cell>
          <cell r="CU7">
            <v>311839</v>
          </cell>
          <cell r="CV7">
            <v>310336</v>
          </cell>
          <cell r="CW7">
            <v>313121</v>
          </cell>
          <cell r="CX7">
            <v>317689</v>
          </cell>
          <cell r="CY7">
            <v>327939</v>
          </cell>
          <cell r="CZ7">
            <v>331813</v>
          </cell>
          <cell r="DA7">
            <v>335357</v>
          </cell>
          <cell r="DB7">
            <v>332148</v>
          </cell>
          <cell r="DC7">
            <v>332112</v>
          </cell>
          <cell r="DD7">
            <v>330332</v>
          </cell>
          <cell r="DE7">
            <v>334164</v>
          </cell>
          <cell r="DF7">
            <v>332481</v>
          </cell>
          <cell r="DG7">
            <v>341890</v>
          </cell>
          <cell r="DH7">
            <v>343895</v>
          </cell>
          <cell r="DI7">
            <v>344865</v>
          </cell>
          <cell r="DJ7">
            <v>352799</v>
          </cell>
          <cell r="DK7">
            <v>351030</v>
          </cell>
          <cell r="DL7">
            <v>356007</v>
          </cell>
          <cell r="DM7">
            <v>360299</v>
          </cell>
          <cell r="DN7">
            <v>360658</v>
          </cell>
          <cell r="DO7">
            <v>366387</v>
          </cell>
          <cell r="DP7">
            <v>364593</v>
          </cell>
          <cell r="DQ7">
            <v>367175</v>
          </cell>
          <cell r="DR7">
            <v>359552</v>
          </cell>
          <cell r="DS7">
            <v>353343</v>
          </cell>
          <cell r="DT7">
            <v>364158</v>
          </cell>
          <cell r="DU7">
            <v>365262</v>
          </cell>
          <cell r="DV7">
            <v>375349</v>
          </cell>
          <cell r="DW7">
            <v>376238</v>
          </cell>
          <cell r="DX7">
            <v>379611</v>
          </cell>
          <cell r="DY7">
            <v>379371</v>
          </cell>
          <cell r="DZ7">
            <v>390521</v>
          </cell>
          <cell r="EA7">
            <v>400212</v>
          </cell>
          <cell r="EB7">
            <v>413452</v>
          </cell>
          <cell r="EC7">
            <v>428643</v>
          </cell>
          <cell r="ED7">
            <v>407473</v>
          </cell>
          <cell r="EE7">
            <v>463634</v>
          </cell>
          <cell r="EF7">
            <v>460422</v>
          </cell>
          <cell r="EG7">
            <v>451772</v>
          </cell>
          <cell r="EH7">
            <v>457971</v>
          </cell>
          <cell r="EI7">
            <v>434634</v>
          </cell>
        </row>
        <row r="8">
          <cell r="A8" t="str">
            <v>DGD8</v>
          </cell>
          <cell r="B8">
            <v>9.1999999999999993</v>
          </cell>
          <cell r="C8">
            <v>6.2</v>
          </cell>
          <cell r="D8">
            <v>4.9000000000000004</v>
          </cell>
          <cell r="E8">
            <v>6.8</v>
          </cell>
          <cell r="F8">
            <v>6.8</v>
          </cell>
          <cell r="G8">
            <v>6.5</v>
          </cell>
          <cell r="H8">
            <v>5.4</v>
          </cell>
          <cell r="I8">
            <v>5.8</v>
          </cell>
          <cell r="J8">
            <v>5.6</v>
          </cell>
          <cell r="K8">
            <v>6.2</v>
          </cell>
          <cell r="L8">
            <v>7.5</v>
          </cell>
          <cell r="M8">
            <v>7.1</v>
          </cell>
          <cell r="N8">
            <v>10.1</v>
          </cell>
          <cell r="O8">
            <v>11</v>
          </cell>
          <cell r="P8">
            <v>8.8000000000000007</v>
          </cell>
          <cell r="Q8">
            <v>8.1999999999999993</v>
          </cell>
          <cell r="R8">
            <v>7.8</v>
          </cell>
          <cell r="S8">
            <v>7</v>
          </cell>
          <cell r="T8">
            <v>9.5</v>
          </cell>
          <cell r="U8">
            <v>6</v>
          </cell>
          <cell r="V8">
            <v>5</v>
          </cell>
          <cell r="W8">
            <v>5.4</v>
          </cell>
          <cell r="X8">
            <v>5.5</v>
          </cell>
          <cell r="Y8">
            <v>16.8</v>
          </cell>
          <cell r="Z8">
            <v>12.7</v>
          </cell>
          <cell r="AA8">
            <v>6</v>
          </cell>
          <cell r="AC8" t="str">
            <v>DGD8</v>
          </cell>
          <cell r="AD8">
            <v>11.3</v>
          </cell>
          <cell r="AE8">
            <v>9.1999999999999993</v>
          </cell>
          <cell r="AF8">
            <v>8.8000000000000007</v>
          </cell>
          <cell r="AG8">
            <v>7.6</v>
          </cell>
          <cell r="AH8">
            <v>7.2</v>
          </cell>
          <cell r="AI8">
            <v>7.1</v>
          </cell>
          <cell r="AJ8">
            <v>5.3</v>
          </cell>
          <cell r="AK8">
            <v>5.3</v>
          </cell>
          <cell r="AL8">
            <v>2.9</v>
          </cell>
          <cell r="AM8">
            <v>5.2</v>
          </cell>
          <cell r="AN8">
            <v>4.8</v>
          </cell>
          <cell r="AO8">
            <v>6.6</v>
          </cell>
          <cell r="AP8">
            <v>6.2</v>
          </cell>
          <cell r="AQ8">
            <v>6.1</v>
          </cell>
          <cell r="AR8">
            <v>6.9</v>
          </cell>
          <cell r="AS8">
            <v>8</v>
          </cell>
          <cell r="AT8">
            <v>7.7</v>
          </cell>
          <cell r="AU8">
            <v>7</v>
          </cell>
          <cell r="AV8">
            <v>6.1</v>
          </cell>
          <cell r="AW8">
            <v>6.3</v>
          </cell>
          <cell r="AX8">
            <v>6.4</v>
          </cell>
          <cell r="AY8">
            <v>7.6</v>
          </cell>
          <cell r="AZ8">
            <v>6.4</v>
          </cell>
          <cell r="BA8">
            <v>5.4</v>
          </cell>
          <cell r="BB8">
            <v>5.8</v>
          </cell>
          <cell r="BC8">
            <v>4.8</v>
          </cell>
          <cell r="BD8">
            <v>5.2</v>
          </cell>
          <cell r="BE8">
            <v>5.7</v>
          </cell>
          <cell r="BF8">
            <v>6</v>
          </cell>
          <cell r="BG8">
            <v>5.4</v>
          </cell>
          <cell r="BH8">
            <v>6.1</v>
          </cell>
          <cell r="BI8">
            <v>5.7</v>
          </cell>
          <cell r="BJ8">
            <v>5.4</v>
          </cell>
          <cell r="BK8">
            <v>6.3</v>
          </cell>
          <cell r="BL8">
            <v>5.5</v>
          </cell>
          <cell r="BM8">
            <v>5.0999999999999996</v>
          </cell>
          <cell r="BN8">
            <v>6.4</v>
          </cell>
          <cell r="BO8">
            <v>5.4</v>
          </cell>
          <cell r="BP8">
            <v>5.9</v>
          </cell>
          <cell r="BQ8">
            <v>7</v>
          </cell>
          <cell r="BR8">
            <v>8.9</v>
          </cell>
          <cell r="BS8">
            <v>7.8</v>
          </cell>
          <cell r="BT8">
            <v>7.2</v>
          </cell>
          <cell r="BU8">
            <v>5.9</v>
          </cell>
          <cell r="BV8">
            <v>5.2</v>
          </cell>
          <cell r="BW8">
            <v>7.2</v>
          </cell>
          <cell r="BX8">
            <v>6.3</v>
          </cell>
          <cell r="BY8">
            <v>9.6</v>
          </cell>
          <cell r="BZ8">
            <v>8.9</v>
          </cell>
          <cell r="CA8">
            <v>10.6</v>
          </cell>
          <cell r="CB8">
            <v>10.4</v>
          </cell>
          <cell r="CC8">
            <v>10.6</v>
          </cell>
          <cell r="CD8">
            <v>12.5</v>
          </cell>
          <cell r="CE8">
            <v>11</v>
          </cell>
          <cell r="CF8">
            <v>10.199999999999999</v>
          </cell>
          <cell r="CG8">
            <v>10.4</v>
          </cell>
          <cell r="CH8">
            <v>8.8000000000000007</v>
          </cell>
          <cell r="CI8">
            <v>9.9</v>
          </cell>
          <cell r="CJ8">
            <v>8.6999999999999993</v>
          </cell>
          <cell r="CK8">
            <v>7.8</v>
          </cell>
          <cell r="CL8">
            <v>9.9</v>
          </cell>
          <cell r="CM8">
            <v>8.9</v>
          </cell>
          <cell r="CN8">
            <v>7.8</v>
          </cell>
          <cell r="CO8">
            <v>6.5</v>
          </cell>
          <cell r="CP8">
            <v>6.7</v>
          </cell>
          <cell r="CQ8">
            <v>7.9</v>
          </cell>
          <cell r="CR8">
            <v>7.7</v>
          </cell>
          <cell r="CS8">
            <v>8.8000000000000007</v>
          </cell>
          <cell r="CT8">
            <v>8.4</v>
          </cell>
          <cell r="CU8">
            <v>7.5</v>
          </cell>
          <cell r="CV8">
            <v>5.8</v>
          </cell>
          <cell r="CW8">
            <v>6.3</v>
          </cell>
          <cell r="CX8">
            <v>7.7</v>
          </cell>
          <cell r="CY8">
            <v>10</v>
          </cell>
          <cell r="CZ8">
            <v>9.6</v>
          </cell>
          <cell r="DA8">
            <v>10.7</v>
          </cell>
          <cell r="DB8">
            <v>7.8</v>
          </cell>
          <cell r="DC8">
            <v>6.5</v>
          </cell>
          <cell r="DD8">
            <v>4.5</v>
          </cell>
          <cell r="DE8">
            <v>5.0999999999999996</v>
          </cell>
          <cell r="DF8">
            <v>4</v>
          </cell>
          <cell r="DG8">
            <v>5.9</v>
          </cell>
          <cell r="DH8">
            <v>5.5</v>
          </cell>
          <cell r="DI8">
            <v>4.7</v>
          </cell>
          <cell r="DJ8">
            <v>5.8</v>
          </cell>
          <cell r="DK8">
            <v>5.3</v>
          </cell>
          <cell r="DL8">
            <v>5.4</v>
          </cell>
          <cell r="DM8">
            <v>5.0999999999999996</v>
          </cell>
          <cell r="DN8">
            <v>5.0999999999999996</v>
          </cell>
          <cell r="DO8">
            <v>5.8</v>
          </cell>
          <cell r="DP8">
            <v>5.0999999999999996</v>
          </cell>
          <cell r="DQ8">
            <v>5.9</v>
          </cell>
          <cell r="DR8">
            <v>7.2</v>
          </cell>
          <cell r="DS8">
            <v>27.5</v>
          </cell>
          <cell r="DT8">
            <v>15.4</v>
          </cell>
          <cell r="DU8">
            <v>17.2</v>
          </cell>
          <cell r="DV8">
            <v>21.8</v>
          </cell>
          <cell r="DW8">
            <v>12.5</v>
          </cell>
          <cell r="DX8">
            <v>9.4</v>
          </cell>
          <cell r="DY8">
            <v>7</v>
          </cell>
          <cell r="DZ8">
            <v>7</v>
          </cell>
          <cell r="EA8">
            <v>4.5</v>
          </cell>
          <cell r="EB8">
            <v>6.1</v>
          </cell>
          <cell r="EC8">
            <v>6.5</v>
          </cell>
          <cell r="ED8">
            <v>5.4</v>
          </cell>
          <cell r="EE8">
            <v>13.3</v>
          </cell>
          <cell r="EF8">
            <v>12.7</v>
          </cell>
          <cell r="EG8">
            <v>9.5</v>
          </cell>
          <cell r="EH8">
            <v>10.1</v>
          </cell>
          <cell r="EI8">
            <v>9.6</v>
          </cell>
        </row>
      </sheetData>
      <sheetData sheetId="1"/>
      <sheetData sheetId="2">
        <row r="4">
          <cell r="H4" t="str">
            <v>Households saving ratio (per cent)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6528E3-7640-4B39-AFB3-398BFA8B6B63}" name="BB23_1dp" displayName="BB23_1dp" ref="A5:FL317" totalsRowShown="0" headerRowDxfId="353" dataDxfId="351" headerRowBorderDxfId="352" tableBorderDxfId="350" headerRowCellStyle="Normal 4" dataCellStyle="Normal 4">
  <tableColumns count="168">
    <tableColumn id="1" xr3:uid="{52550118-DC32-4FD2-8F02-40E24DD6C6D9}" name="Time period" dataDxfId="349" dataCellStyle="Normal 4"/>
    <tableColumn id="2" xr3:uid="{114BF329-1CFF-416C-8C43-2EA80020B883}" name="Total GVA " dataDxfId="348" dataCellStyle="Normal 4"/>
    <tableColumn id="3" xr3:uid="{B03BAD5F-1008-4C67-8D88-60E2A1BDA7C9}" name="A_x000a_Agriculture " dataDxfId="347" dataCellStyle="Normal 4"/>
    <tableColumn id="4" xr3:uid="{0907CD34-A504-4B25-ACAD-B4789A45F6A7}" name="B - F_x000a_Production and construction " dataDxfId="346" dataCellStyle="Normal 4"/>
    <tableColumn id="5" xr3:uid="{0842CCFD-A930-4295-ABE9-2BFA4D077BF1}" name="B - E_x000a_Production " dataDxfId="345" dataCellStyle="Normal 4"/>
    <tableColumn id="6" xr3:uid="{10354777-1462-4B78-AB6A-0A6D8D423EEC}" name="B_x000a_Mining and quarrying " dataDxfId="344" dataCellStyle="Normal 4"/>
    <tableColumn id="7" xr3:uid="{9917E927-84C2-4869-BABC-57EB3442474F}" name="05_x000a_Mining of coal and lignite " dataDxfId="343" dataCellStyle="Normal 4"/>
    <tableColumn id="8" xr3:uid="{BE1EA197-C05F-4B3A-B95E-547D892108CA}" name="06_x000a_Extraction of crude petroleum and natural gas " dataDxfId="342" dataCellStyle="Normal 4"/>
    <tableColumn id="9" xr3:uid="{71A5B13F-BA12-496E-9947-64565BCC1269}" name="07, 08, 09_x000a_Mining of metal ores, _x000a_Other mining and quarrying,_x000a_Mining support service activites " dataDxfId="341" dataCellStyle="Normal 4"/>
    <tableColumn id="10" xr3:uid="{FDE64338-A3A3-4B0A-AD35-919B5FD8A40D}" name="C_x000a_Manufacturing " dataDxfId="340" dataCellStyle="Normal 4"/>
    <tableColumn id="11" xr3:uid="{82631AD0-5862-4C6D-BF1D-95630109422F}" name="CA_x000a_Manufacture of food products, beverages and tobacco_x000a_" dataDxfId="339" dataCellStyle="Normal 4"/>
    <tableColumn id="12" xr3:uid="{F9B8066F-F926-43C8-ADA8-D55FF2B10870}" name="10_x000a_Manufacture of food products " dataDxfId="338" dataCellStyle="Normal 4"/>
    <tableColumn id="13" xr3:uid="{F91897BE-31C1-4D9C-8332-3C97A5B2D3AC}" name="10.1_x000a_Processing and preserving of meat and production of meat products " dataDxfId="337" dataCellStyle="Normal 4"/>
    <tableColumn id="14" xr3:uid="{E9A5D5BE-5E6B-4908-A823-A72AFAFFA10E}" name="10.2-3_x000a_Processing and preserving of fish, crustaceans, molluscs, fruit and vegetables " dataDxfId="336" dataCellStyle="Normal 4"/>
    <tableColumn id="15" xr3:uid="{017809B7-D44A-4D68-8A21-22632EF8F9D7}" name="10.4_x000a_Vegetable and animal oils and fats " dataDxfId="335" dataCellStyle="Normal 4"/>
    <tableColumn id="16" xr3:uid="{FBF43E79-7B82-47FD-B4B8-6AAA562BEA8F}" name="10.5_x000a_Dairy products " dataDxfId="334" dataCellStyle="Normal 4"/>
    <tableColumn id="17" xr3:uid="{BDBCD768-7E29-43AD-8302-97879788D07D}" name="10.6_x000a_Grain mill products, starches and starch products " dataDxfId="333" dataCellStyle="Normal 4"/>
    <tableColumn id="18" xr3:uid="{E6B8CFCC-3F42-4FB5-A9BA-EC9124B316C8}" name="10.7_x000a_Bakery and farinaceous products " dataDxfId="332" dataCellStyle="Normal 4"/>
    <tableColumn id="19" xr3:uid="{7527B8CE-80D2-443A-BC70-DE75E246E46D}" name="10.8 _x000a_Other food products " dataDxfId="331" dataCellStyle="Normal 4"/>
    <tableColumn id="20" xr3:uid="{2B9E418D-BD51-492A-BFEC-EBE806A1596C}" name="10.9_x000a_Prepared animal feeds " dataDxfId="330" dataCellStyle="Normal 4"/>
    <tableColumn id="21" xr3:uid="{4A5EE6A2-172A-4D2F-8C9E-AC4BEF1C8375}" name="11.07_x000a_Manufacture of soft drinks; production of mineral waters and other bottled waters" dataDxfId="329" dataCellStyle="Normal 4"/>
    <tableColumn id="22" xr3:uid="{CFD86C75-4992-4941-BBBF-93312D894FBB}" name="11.01-06 &amp; 12_x000a_Manufacture of Alcoholic Beverages and Tobacco Products" dataDxfId="328" dataCellStyle="Normal 4"/>
    <tableColumn id="23" xr3:uid="{EAD10CC3-0A65-4D9B-93AD-D80141F10449}" name="CB_x000a_Manufacture of textiles, wearing apparel and leather products " dataDxfId="327" dataCellStyle="Normal 4"/>
    <tableColumn id="24" xr3:uid="{E5E9A5E5-475C-4300-ABA4-E9474A0BE7D3}" name="13_x000a_Manufacture of textiles " dataDxfId="326" dataCellStyle="Normal 4"/>
    <tableColumn id="25" xr3:uid="{8A454116-E4FF-4485-B169-FB46ABA302DD}" name="14_x000a_Manufacture of wearing apparel £m" dataDxfId="325" dataCellStyle="Normal 4"/>
    <tableColumn id="26" xr3:uid="{E605CA69-C442-4324-97AB-9D4FA13C21D3}" name="15_x000a_Manufacture of leather and related products " dataDxfId="324" dataCellStyle="Normal 4"/>
    <tableColumn id="27" xr3:uid="{D55005C0-C87E-4B8D-93AA-F688877A2454}" name="CC_x000a_Manufacture of wood and paper products, and printing " dataDxfId="323" dataCellStyle="Normal 4"/>
    <tableColumn id="28" xr3:uid="{9CFE9ED8-65FB-455F-BAB7-3F8B4D658A45}" name="16_x000a_Manufacture of wood and products of wood and cork, except furniture; Articles of straw and plaiting materials " dataDxfId="322" dataCellStyle="Normal 4"/>
    <tableColumn id="29" xr3:uid="{4A3A2500-15CE-4045-B02A-C5B46ED7D17D}" name="17_x000a_Manufacture of paper and paper products " dataDxfId="321" dataCellStyle="Normal 4"/>
    <tableColumn id="30" xr3:uid="{A87AFAF1-864A-4100-9799-C71378671F4F}" name="18_x000a_Manufacture of printing and reproduction of recorded media " dataDxfId="320" dataCellStyle="Normal 4"/>
    <tableColumn id="31" xr3:uid="{B9DAEFD2-D596-4700-A2E5-9BFFE5F4CC4B}" name="CD_x000a_Manufacture of coke, and refined petroleum products " dataDxfId="319" dataCellStyle="Normal 4"/>
    <tableColumn id="32" xr3:uid="{78EA18F2-CA24-4F99-A082-B3ACB0C2FA6F}" name="19_x000a_Manufacture of coke and refined petroleum products " dataDxfId="318" dataCellStyle="Normal 4"/>
    <tableColumn id="33" xr3:uid="{A5782271-2E71-4E0A-BD0D-0D3A497D9E60}" name="CE_x000a_Manufacture of chemicals and chemical products " dataDxfId="317" dataCellStyle="Normal 4"/>
    <tableColumn id="34" xr3:uid="{1FAB1FD5-1E3F-4F57-8B77-0836392273F1}" name="20_x000a_Manufacture of chemicals and chemical products " dataDxfId="316" dataCellStyle="Normal 4"/>
    <tableColumn id="35" xr3:uid="{8543973C-12E5-4C49-BEAC-28CD3C488ED2}" name="20A_x000a_Industrial gases, inorganics and fertilisers (all inorganic chemicals)- 20.11/13/15  " dataDxfId="315" dataCellStyle="Normal 4"/>
    <tableColumn id="36" xr3:uid="{4491ABAF-CC58-4777-9509-BA1100CC0090}" name="20B_x000a_Petrochemicals - 20.14/16/17/60 " dataDxfId="314" dataCellStyle="Normal 4"/>
    <tableColumn id="37" xr3:uid="{63FF62A7-08C1-4ECA-B601-F68650EB16B8}" name="20C_x000a_Dyestuffs, agro-chemicals - 20.12/20 " dataDxfId="313" dataCellStyle="Normal 4"/>
    <tableColumn id="38" xr3:uid="{327C197F-1E11-44A1-AD92-C10AB37126F8}" name="20.3_x000a_Paints, varnishes and similar coatings, printing ink and mastics " dataDxfId="312" dataCellStyle="Normal 4"/>
    <tableColumn id="39" xr3:uid="{CDD6BAC3-191D-4CF8-BA09-B2FBB321DBC3}" name="20.4 _x000a_Soap and detergents, cleaning and polishing preparations, perfumes and toilet preparations " dataDxfId="311" dataCellStyle="Normal 4"/>
    <tableColumn id="40" xr3:uid="{7B1318C5-3261-43B6-8CAF-BF524312B23B}" name="20.5_x000a_Other chemical products " dataDxfId="310" dataCellStyle="Normal 4"/>
    <tableColumn id="41" xr3:uid="{19D49296-E68C-4899-878C-4281E3254F6F}" name="CF_x000a_Manufacture of basic pharmaceutical products and pharmaceutical preparations " dataDxfId="309" dataCellStyle="Normal 4"/>
    <tableColumn id="42" xr3:uid="{0823CEDC-91C4-40F2-8700-36A77C273DAA}" name="21_x000a_Manufacture of basic pharmaceutical products and pharmaceutical preparations " dataDxfId="308" dataCellStyle="Normal 4"/>
    <tableColumn id="43" xr3:uid="{26AB085C-0F13-4A4C-A62E-2D74FB8EB02C}" name="CG_x000a_Manufacture of rubber and plastic products, &amp; other non-metallic mineral products " dataDxfId="307" dataCellStyle="Normal 4"/>
    <tableColumn id="44" xr3:uid="{AC34BF17-C5FF-41FF-B7B4-2016400B35F7}" name="22_x000a_Manufacture of rubber and plastic products " dataDxfId="306" dataCellStyle="Normal 4"/>
    <tableColumn id="45" xr3:uid="{03E14301-95A7-4EBC-AA2C-471BF792B4B0}" name="23_x000a_Manufacture of other non-metallic mineral products " dataDxfId="305" dataCellStyle="Normal 4"/>
    <tableColumn id="46" xr3:uid="{ADA9CD37-5F38-408B-B9FE-15554E70930C}" name="23OTHER_x000a_Glass, refractory, clay, porcelain, ceramic, stone products - 23.1-4/7-9 " dataDxfId="304" dataCellStyle="Normal 4"/>
    <tableColumn id="47" xr3:uid="{D665B8B8-9575-41FD-9BB0-D0877ED9067F}" name="23.5-6_x000a_Cement, lime, plaster and articles of concrete, cement and plaster " dataDxfId="303" dataCellStyle="Normal 4"/>
    <tableColumn id="48" xr3:uid="{66471362-35CD-4A39-BEF4-1BF0EE2F1F35}" name="CH_x000a_Manufacture of basic metals and metal products " dataDxfId="302" dataCellStyle="Normal 4"/>
    <tableColumn id="49" xr3:uid="{908F5BE5-3345-4622-88C2-BB5F09E8189E}" name="24_x000a_Manufacture of basic metals " dataDxfId="301" dataCellStyle="Normal 4"/>
    <tableColumn id="50" xr3:uid="{26059B7D-1761-450A-BBC6-29B207C2DCDD}" name="24.1-3_x000a_Basic iron and steel " dataDxfId="300" dataCellStyle="Normal 4"/>
    <tableColumn id="51" xr3:uid="{227FAE5C-718D-4453-BF83-D6F7BC3B6D1F}" name="24.4-5_x000a_Other basic metals and casting " dataDxfId="299" dataCellStyle="Normal 4"/>
    <tableColumn id="52" xr3:uid="{CAFDF655-0E21-452C-9580-E6219FC6F78B}" name="25_x000a_Manufacture of fabricated metal products, except machinery and equipment " dataDxfId="298" dataCellStyle="Normal 4"/>
    <tableColumn id="53" xr3:uid="{786D0C41-DA5A-474A-B1F7-62BDE7A6725D}" name="CI_x000a_Manufacture of computer, electronic &amp; optical products " dataDxfId="297" dataCellStyle="Normal 4"/>
    <tableColumn id="54" xr3:uid="{624BF1E0-C0B9-43C4-90E2-6CB3B3FEC8FB}" name="26_x000a_Manufacture of omputer, electronic and optical products " dataDxfId="296" dataCellStyle="Normal 4"/>
    <tableColumn id="55" xr3:uid="{3A8A2557-2CC5-4579-87FD-56F23F33AC64}" name="CJ_x000a_Manufacture of electrical equipment " dataDxfId="295" dataCellStyle="Normal 4"/>
    <tableColumn id="56" xr3:uid="{18122A16-6F05-471B-A807-E69FD7F4C1AE}" name="27_x000a_Manufacture of electrical equipment " dataDxfId="294" dataCellStyle="Normal 4"/>
    <tableColumn id="57" xr3:uid="{8223FB4E-F6BD-4E39-8C6F-9F4AADA9F793}" name="CK_x000a_Manufacture of machinery and equipment n.e.c " dataDxfId="293" dataCellStyle="Normal 4"/>
    <tableColumn id="58" xr3:uid="{9CD9E571-9A18-4162-98C0-C74688C4D578}" name="28_x000a_Manufacture of machinery and equipment n.e.c. " dataDxfId="292" dataCellStyle="Normal 4"/>
    <tableColumn id="59" xr3:uid="{F7CF1110-712B-4CA5-8441-FF5E7D9EC704}" name="CL_x000a_Manufacture of transport equipment " dataDxfId="291" dataCellStyle="Normal 4"/>
    <tableColumn id="60" xr3:uid="{5A555F4B-1C9E-45AE-A395-B5E79BC0966A}" name="29_x000a_Manufacture of motor vehicles, trailers and semi-trailers " dataDxfId="290" dataCellStyle="Normal 4"/>
    <tableColumn id="61" xr3:uid="{9F02D824-7FF1-45FF-806D-7D8EB509A6F8}" name="30_x000a_Manufacture of other transport equipment " dataDxfId="289" dataCellStyle="Normal 4"/>
    <tableColumn id="62" xr3:uid="{07537FD6-0795-4183-81EB-B97728364EB3}" name="30.1 _x000a_Building of ships and boats " dataDxfId="288" dataCellStyle="Normal 4"/>
    <tableColumn id="63" xr3:uid="{FA33011F-B447-4083-AADB-37168DDD382D}" name="30.3_x000a_Air and spacecraft and related machinery " dataDxfId="287" dataCellStyle="Normal 4"/>
    <tableColumn id="64" xr3:uid="{772B9AB6-E665-44E0-8617-6EBBBE3DC681}" name="30OTHER_x000a_Other transport equipment - 30.2/4/9 " dataDxfId="286" dataCellStyle="Normal 4"/>
    <tableColumn id="65" xr3:uid="{4756B070-54F3-4AFE-83FD-DD336F20854C}" name="CM_x000a_Other manufacturing " dataDxfId="285" dataCellStyle="Normal 4"/>
    <tableColumn id="66" xr3:uid="{C77F0CF9-BDEB-4CA9-A93A-D9CABA35424A}" name="31 - 32 " dataDxfId="284" dataCellStyle="Normal 4"/>
    <tableColumn id="67" xr3:uid="{9A436B8B-9565-4707-BDB5-5A6B9866C92C}" name="31_x000a_Manufacture of furniture " dataDxfId="283" dataCellStyle="Normal 4"/>
    <tableColumn id="68" xr3:uid="{74A870FF-C7D6-4948-A34F-3D2065E0A286}" name="32 _x000a_Other manufacturing " dataDxfId="282" dataCellStyle="Normal 4"/>
    <tableColumn id="69" xr3:uid="{A9FAA43E-727B-461E-B7BF-812DB68428FE}" name="33_x000a_Repair and installation of machinery and equipment " dataDxfId="281" dataCellStyle="Normal 4"/>
    <tableColumn id="70" xr3:uid="{36A090C3-16CD-4E3F-BE1D-23D7DF28238A}" name="33.15_x000a_Repair and maintenance of ships and boats " dataDxfId="280" dataCellStyle="Normal 4"/>
    <tableColumn id="71" xr3:uid="{1C7415A1-6D98-41DC-B665-9E8149168331}" name="33.16_x000a_Repair and maintenance of aircraft and spacecraft " dataDxfId="279" dataCellStyle="Normal 4"/>
    <tableColumn id="72" xr3:uid="{81828C51-D9E6-4A2D-917A-1122886E6540}" name="33OTHER_x000a_Rest of repair; Installation - 33.11-14/17/19/20 " dataDxfId="278" dataCellStyle="Normal 4"/>
    <tableColumn id="73" xr3:uid="{D3AFCB6E-916D-4151-87F1-68133FA2B338}" name="D_x000a_Electricity, gas, steam and air conditioning supply " dataDxfId="277" dataCellStyle="Normal 4"/>
    <tableColumn id="74" xr3:uid="{64F380E5-B500-4FEC-A13D-41CD63354F06}" name="35_x000a_Electricity, gas, steam and air conditioning supply " dataDxfId="276" dataCellStyle="Normal 4"/>
    <tableColumn id="75" xr3:uid="{75BDFAB1-E358-4C1C-BE79-05972DB0C668}" name="35.1 _x000a_Electric power generation, transmission and distribution " dataDxfId="275" dataCellStyle="Normal 4"/>
    <tableColumn id="76" xr3:uid="{C5751A06-A30E-4A76-A5D7-15B64C94C6D1}" name="35.2-3_x000a_Gas; distribution of gaseous fuels through mains; Steam and air conditioning supply " dataDxfId="274" dataCellStyle="Normal 4"/>
    <tableColumn id="77" xr3:uid="{F8424E2E-3171-4538-8EF4-BC0F0248C3D7}" name="E_x000a_Water supply; sewerage, waste management and remediation activities " dataDxfId="273" dataCellStyle="Normal 4"/>
    <tableColumn id="78" xr3:uid="{DA49CA2F-D636-4FD2-AB43-337E60E58008}" name="36_x000a_Water collection, treatment and supply" dataDxfId="272" dataCellStyle="Normal 4"/>
    <tableColumn id="79" xr3:uid="{5ADE827C-DD9A-4BCA-9A7A-24F55166D403}" name="37 - 39_x000a_" dataDxfId="271" dataCellStyle="Normal 4"/>
    <tableColumn id="80" xr3:uid="{E91BBC37-B0E7-472F-800A-19B055B20940}" name="37_x000a_Sewerage " dataDxfId="270" dataCellStyle="Normal 4"/>
    <tableColumn id="81" xr3:uid="{61B39A1D-9F48-4D84-9C66-5173F3B75CB3}" name="38_x000a_Waste collection, treatment and disposal activities; materials recovery " dataDxfId="269" dataCellStyle="Normal 4"/>
    <tableColumn id="82" xr3:uid="{0E807118-A1B7-463B-A426-5AAF10E29385}" name="39_x000a_Remediation activities and other waste management services " dataDxfId="268" dataCellStyle="Normal 4"/>
    <tableColumn id="83" xr3:uid="{13A40294-5408-4671-84C0-A36D4D59532B}" name="F_x000a_Construction " dataDxfId="267" dataCellStyle="Normal 4"/>
    <tableColumn id="84" xr3:uid="{92B53F76-1D09-4070-9044-14D9F9B264C0}" name="G - U _x000a_Services " dataDxfId="266" dataCellStyle="Normal 4"/>
    <tableColumn id="85" xr3:uid="{82FC7126-6652-4639-A8B5-9EEBC1597631}" name="G - I_x000a_Distribution, transport, hotels and restaurants " dataDxfId="265" dataCellStyle="Normal 4"/>
    <tableColumn id="86" xr3:uid="{C6F4CF32-0D1D-4029-AF6D-714E30C43A38}" name="G_x000a_Wholesale and retail trade and repair of motor vehicles and motorcycles " dataDxfId="264" dataCellStyle="Normal 4"/>
    <tableColumn id="87" xr3:uid="{CFA5DC2A-AECE-48C5-9AA4-4DE5BA72A662}" name="45_x000a_Wholesale and retail trade and repair of motor vehicles and motorcycles " dataDxfId="263" dataCellStyle="Normal 4"/>
    <tableColumn id="88" xr3:uid="{6F3E94B9-352C-4C9B-9CB1-2CD8D0237EFE}" name="46_x000a_Wholesale trade, except of motor vehicles and motorcycles " dataDxfId="262" dataCellStyle="Normal 4"/>
    <tableColumn id="89" xr3:uid="{FAB86EEB-F8D8-4E8E-BBF6-83BAD3825C32}" name="47_x000a_Retailtrade, except of motor vehicles and motorcycles " dataDxfId="261" dataCellStyle="Normal 4"/>
    <tableColumn id="90" xr3:uid="{71950682-15E9-4A1A-A9B0-CDB2D573C8A5}" name="H_x000a_Transportation and storage " dataDxfId="260" dataCellStyle="Normal 4"/>
    <tableColumn id="91" xr3:uid="{24194A22-2E71-4CDD-9FD6-5095BF6EFA2D}" name="49_x000a_Land transport and transport via pipelines " dataDxfId="259" dataCellStyle="Normal 4"/>
    <tableColumn id="92" xr3:uid="{A05598B8-7E29-4C43-86FA-67824F08D4FE}" name="49.1-2_x000a_Rail transport " dataDxfId="258" dataCellStyle="Normal 4"/>
    <tableColumn id="93" xr3:uid="{0EBB7F90-0FFE-4CF3-828E-DAE469160CD3}" name="49.3-5_x000a_Land transport services and transport services via pipelines, excluding rail transport " dataDxfId="257" dataCellStyle="Normal 4"/>
    <tableColumn id="94" xr3:uid="{8CF27333-B5B1-4B6E-BD2B-7B3CD5613756}" name="50_x000a_Water transport " dataDxfId="256" dataCellStyle="Normal 4"/>
    <tableColumn id="95" xr3:uid="{A0B5EAFA-0373-49C8-9A31-BCABD643AEFB}" name="51 _x000a_Air transport " dataDxfId="255" dataCellStyle="Normal 4"/>
    <tableColumn id="96" xr3:uid="{9BA5E990-B90A-4BCA-A16F-259F98EB87BA}" name="52_x000a_Warehousing and support activities for transportation " dataDxfId="254" dataCellStyle="Normal 4"/>
    <tableColumn id="97" xr3:uid="{4D425FD4-ECE9-4113-9FC4-BA3220BF1A65}" name="53_x000a_Postal and courier activities " dataDxfId="253" dataCellStyle="Normal 4"/>
    <tableColumn id="98" xr3:uid="{79CB2B3C-58DC-4F3E-AEB1-C16B365BB1A9}" name="I_x000a_Accommodation and food service activities " dataDxfId="252" dataCellStyle="Normal 4"/>
    <tableColumn id="99" xr3:uid="{B2083756-100A-4AC8-83F1-A6897B070AA8}" name="55_x000a_Accommodation " dataDxfId="251" dataCellStyle="Normal 4"/>
    <tableColumn id="100" xr3:uid="{C561DB1E-0D4B-4BC1-854C-AC4AA314FBD0}" name="56_x000a_Food and beverage service activities " dataDxfId="250" dataCellStyle="Normal 4"/>
    <tableColumn id="101" xr3:uid="{B765ED95-9476-481C-A982-8E7DC254820B}" name="J_x000a_Information and communication " dataDxfId="249" dataCellStyle="Normal 4"/>
    <tableColumn id="102" xr3:uid="{5D6E7FDB-A429-4453-BA3E-053209886561}" name="JA_x000a_Publishing, audiovisual and broadcasting activities " dataDxfId="248" dataCellStyle="Normal 4"/>
    <tableColumn id="103" xr3:uid="{E16F7F9D-8517-43A8-8D08-DEDA6F6FB789}" name="58_x000a_Publishing activities " dataDxfId="247" dataCellStyle="Normal 4"/>
    <tableColumn id="104" xr3:uid="{CEA75DFC-CF8F-410E-B742-43CC8708D35D}" name="59 - 60_x000a_" dataDxfId="246" dataCellStyle="Normal 4"/>
    <tableColumn id="105" xr3:uid="{C4CB0C2A-2073-4F08-925D-C15BE392FA16}" name="59_x000a_Motion picture, video and TV programme production, sound recording and music publishing activities " dataDxfId="245" dataCellStyle="Normal 4"/>
    <tableColumn id="106" xr3:uid="{F7B5EEE7-5082-470B-AF1F-019FDA4E603B}" name="60_x000a_Programming and broadcasting activities " dataDxfId="244" dataCellStyle="Normal 4"/>
    <tableColumn id="107" xr3:uid="{2283D921-7A65-447C-A6F3-072C7313CE1F}" name="JB_x000a_Telecommunications" dataDxfId="243" dataCellStyle="Normal 4"/>
    <tableColumn id="108" xr3:uid="{4C92BE1F-CB93-4C09-9B3E-5A776444203F}" name="61_x000a_Telecommunications" dataDxfId="242" dataCellStyle="Normal 4"/>
    <tableColumn id="109" xr3:uid="{04E34B2F-6D2F-4895-A62F-FF770D2B7761}" name="JC_x000a_IT and other information service activities_x000a_" dataDxfId="241" dataCellStyle="Normal 4"/>
    <tableColumn id="110" xr3:uid="{32A95DE3-25AC-4DC8-864C-7FE3D01DF436}" name="62_x000a_Computer programming, consultancy and related activities " dataDxfId="240" dataCellStyle="Normal 4"/>
    <tableColumn id="111" xr3:uid="{E841B95B-26A3-4BA1-9845-DBBF7D6C6885}" name="63_x000a_Information service activities " dataDxfId="239" dataCellStyle="Normal 4"/>
    <tableColumn id="112" xr3:uid="{77D8D124-2EC2-4C59-B0B8-47FFB132AAB5}" name="K_x000a_Financial and insurance activities " dataDxfId="238" dataCellStyle="Normal 4"/>
    <tableColumn id="113" xr3:uid="{0A5B9DD5-8273-4FC4-A506-7164C856C967}" name="64_x000a_Financial service activities, except insurance and pension funding " dataDxfId="237" dataCellStyle="Normal 4"/>
    <tableColumn id="114" xr3:uid="{6B3D1108-9225-4E9B-85BD-DFC894572E2A}" name="65_x000a_Insurance, reinsurance and pension funding, except compulsory social security " dataDxfId="236" dataCellStyle="Normal 4"/>
    <tableColumn id="115" xr3:uid="{16A94522-A449-40F6-94FE-7AD6EB7C4CC9}" name="65.1-2_x000a_Insurance and reinsurance, except compulsory social security " dataDxfId="235" dataCellStyle="Normal 4"/>
    <tableColumn id="116" xr3:uid="{05AAED82-698A-40EC-BD66-DB6979368869}" name="66_x000a_Activities auxiliary to financial services and insurance activities " dataDxfId="234" dataCellStyle="Normal 4"/>
    <tableColumn id="117" xr3:uid="{07071ADF-F216-458B-BDB6-F90AD2A14FC9}" name="L_x000a_Real estate activties  " dataDxfId="233" dataCellStyle="Normal 4"/>
    <tableColumn id="118" xr3:uid="{0BA20A86-FA91-483C-979F-E7A978135ABF}" name="68.1-2_x000a_Buying and selling, renting and operating of own or leased real estate, excluding imputed rental " dataDxfId="232" dataCellStyle="Normal 4"/>
    <tableColumn id="119" xr3:uid="{E17B357A-4610-4068-A5A2-119EF1AE0E91}" name="68.2IMP_x000a_Imputed rental " dataDxfId="231" dataCellStyle="Normal 4"/>
    <tableColumn id="120" xr3:uid="{C0B706F8-D88C-457A-8D1D-DC4A2E56B758}" name="68.3_x000a_Real estate activities on a fee or contract basis " dataDxfId="230" dataCellStyle="Normal 4"/>
    <tableColumn id="121" xr3:uid="{F40C6190-9AA6-454E-954D-C6EF73F46C79}" name="M - N_x000a_Professional and support  " dataDxfId="229" dataCellStyle="Normal 4"/>
    <tableColumn id="122" xr3:uid="{4DF4D5AE-34D6-4B5E-B404-16FCAFC0EB6C}" name="M_x000a_Professional, scientific and technical activties " dataDxfId="228" dataCellStyle="Normal 4"/>
    <tableColumn id="123" xr3:uid="{19B5CEB0-33F9-41DD-B0EA-24F4E91DAE54}" name="MA_x000a_Legal, accounting, management, architecture, engineering, technical testing activities " dataDxfId="227" dataCellStyle="Normal 4"/>
    <tableColumn id="124" xr3:uid="{A4BCA301-9676-494F-BE86-588F743A77BF}" name="69 - 70_x000a_" dataDxfId="226" dataCellStyle="Normal 4"/>
    <tableColumn id="125" xr3:uid="{680DAB0D-1F13-4C94-A58B-E586492366E1}" name="69_x000a_Legal and accounting activties " dataDxfId="225" dataCellStyle="Normal 4"/>
    <tableColumn id="126" xr3:uid="{C162C705-17F4-4ACF-9EB3-632E9A01BBFD}" name="69.1_x000a_Legal activities " dataDxfId="224" dataCellStyle="Normal 4"/>
    <tableColumn id="127" xr3:uid="{D97DA65E-28BC-41CD-A5EF-1CDD02DFAB9A}" name="69.2_x000a_Accounting, bookkeeping and auditing activities; Tax consultancy " dataDxfId="223" dataCellStyle="Normal 4"/>
    <tableColumn id="128" xr3:uid="{DD4E61B8-862C-4A21-8430-4A88045DF326}" name="70_x000a_Activities of head offices; Management consultancy activities " dataDxfId="222" dataCellStyle="Normal 4"/>
    <tableColumn id="129" xr3:uid="{47294DE1-12CC-45DF-AD55-B94540FC1158}" name="71_x000a_Architectural and engineering activities; Technical testing and analysis " dataDxfId="221" dataCellStyle="Normal 4"/>
    <tableColumn id="130" xr3:uid="{DE49F9D4-DFDF-4718-9A22-D7AAEE024D0D}" name="MB_x000a_Scientific research and development " dataDxfId="220" dataCellStyle="Normal 4"/>
    <tableColumn id="131" xr3:uid="{494D57E5-ADD7-40B3-A815-5419E69CDB31}" name="72_x000a_Scientific research and development " dataDxfId="219" dataCellStyle="Normal 4"/>
    <tableColumn id="132" xr3:uid="{EF63E4A1-38F6-407E-B5EC-C37AAD3D8DF9}" name="MC_x000a_Other professional, scientific and technical activities " dataDxfId="218" dataCellStyle="Normal 4"/>
    <tableColumn id="133" xr3:uid="{B2333573-39AD-4ECF-82B0-70E4FB8587C7}" name="73_x000a_Advertising and market research " dataDxfId="217" dataCellStyle="Normal 4"/>
    <tableColumn id="134" xr3:uid="{2C974D1A-FDD6-4027-94E3-1723C28A94A2}" name="74 - 75_x000a_" dataDxfId="216" dataCellStyle="Normal 4"/>
    <tableColumn id="135" xr3:uid="{17867B75-4213-48E6-8905-3E71DED4634C}" name="74_x000a_Other professional, scientific and technical activities " dataDxfId="215" dataCellStyle="Normal 4"/>
    <tableColumn id="136" xr3:uid="{9AB46A77-B40B-456E-997E-A25F40A0D4DA}" name="75_x000a_Veterinary activities " dataDxfId="214" dataCellStyle="Normal 4"/>
    <tableColumn id="137" xr3:uid="{F82EAD99-9F3D-4F80-BD61-67379078FEE5}" name="N_x000a_Administrative and support service activities " dataDxfId="213" dataCellStyle="Normal 4"/>
    <tableColumn id="138" xr3:uid="{418E7899-4051-464A-9ADB-238072A23BFE}" name="77_x000a_Rental and leasing activities " dataDxfId="212" dataCellStyle="Normal 4"/>
    <tableColumn id="139" xr3:uid="{DD066D83-66DE-4D5A-B9F1-7D23926EECE2}" name="78_x000a_Employment activities " dataDxfId="211" dataCellStyle="Normal 4"/>
    <tableColumn id="140" xr3:uid="{E7A96CDC-C9E1-49AB-A95D-4D04219DC284}" name="79_x000a_Travel agency, tour operator and other reservation service and related activities " dataDxfId="210" dataCellStyle="Normal 4"/>
    <tableColumn id="141" xr3:uid="{3EA5523A-DFC4-4031-86E6-8B5991E890A1}" name="80 - 82_x000a_" dataDxfId="209" dataCellStyle="Normal 4"/>
    <tableColumn id="142" xr3:uid="{3BBF018C-71EF-47E4-AA55-38A2A652AC7E}" name="80_x000a_Security and investigation activities " dataDxfId="208" dataCellStyle="Normal 4"/>
    <tableColumn id="143" xr3:uid="{D263017E-C42F-4782-B9A7-D38F5453F069}" name="81_x000a_Services to buildings and landscape activities " dataDxfId="207" dataCellStyle="Normal 4"/>
    <tableColumn id="144" xr3:uid="{57A94D9A-8852-4417-9CCA-B710896FC8BC}" name="82_x000a_Office administrative, office support and other business support activities " dataDxfId="206" dataCellStyle="Normal 4"/>
    <tableColumn id="145" xr3:uid="{43C67813-6460-4778-9E06-9AA62112E6CB}" name="O - Q_x000a_Government, health and education " dataDxfId="205" dataCellStyle="Normal 4"/>
    <tableColumn id="146" xr3:uid="{117A3C8A-825C-4BBC-B6D0-4664D862BB28}" name="O_x000a_Public administation and defence; compulsory social security " dataDxfId="204" dataCellStyle="Normal 4"/>
    <tableColumn id="147" xr3:uid="{6264F7FA-F6D0-451B-BAF6-12BBB7F6724C}" name="84_x000a_Public administration and defence; Compulsory social security " dataDxfId="203" dataCellStyle="Normal 4"/>
    <tableColumn id="148" xr3:uid="{B8904905-FB92-4DD4-BD40-F9A4CD5521AE}" name="P_x000a_Education " dataDxfId="202" dataCellStyle="Normal 4"/>
    <tableColumn id="149" xr3:uid="{C159DD77-4078-440E-A3F8-03322D794B5B}" name="85_x000a_Education " dataDxfId="201" dataCellStyle="Normal 4"/>
    <tableColumn id="150" xr3:uid="{3AB8CD7C-BB44-4562-A757-3BFB080BABE7}" name="Q_x000a_Human health and social work activities " dataDxfId="200" dataCellStyle="Normal 4"/>
    <tableColumn id="151" xr3:uid="{BA9BD955-C941-4939-A0D4-18D9CDD4B745}" name="QA _x000a_Human health acitvities " dataDxfId="199" dataCellStyle="Normal 4"/>
    <tableColumn id="152" xr3:uid="{17295B5A-73FA-480A-A197-813C68E0CCD6}" name="86_x000a_Human health activities " dataDxfId="198" dataCellStyle="Normal 4"/>
    <tableColumn id="153" xr3:uid="{84E6B682-EEF7-4C50-B5B6-17A0897CC39B}" name="QB_x000a_Residential care and social work activities " dataDxfId="197" dataCellStyle="Normal 4"/>
    <tableColumn id="154" xr3:uid="{CF799BF8-4E81-4F9E-BC17-CF239C7DF42B}" name="87_x000a_Residential care activities " dataDxfId="196" dataCellStyle="Normal 4"/>
    <tableColumn id="155" xr3:uid="{21DCBA1A-014D-4B03-8165-263DA92815B2}" name="88_x000a_Social work activities without accommodation " dataDxfId="195" dataCellStyle="Normal 4"/>
    <tableColumn id="156" xr3:uid="{3F71B08E-83FB-4D00-AD60-926B5813F1A2}" name="R -U_x000a_Other services " dataDxfId="194" dataCellStyle="Normal 4"/>
    <tableColumn id="157" xr3:uid="{8CC008E8-C1F8-4BC6-9E64-BE009116F304}" name="R_x000a_Arts, entrainment and recreation " dataDxfId="193" dataCellStyle="Normal 4"/>
    <tableColumn id="158" xr3:uid="{51A612CA-4F2D-4B03-BFC1-96AE94DC35BB}" name="90 - 92_x000a_" dataDxfId="192" dataCellStyle="Normal 4"/>
    <tableColumn id="159" xr3:uid="{1BC20D4B-5FF5-4949-85D0-649AEF8BE8E9}" name="90_x000a_Creative, arts and entertainment activities " dataDxfId="191" dataCellStyle="Normal 4"/>
    <tableColumn id="160" xr3:uid="{6113DC92-38BB-4A93-B17C-8DC0735FC7B3}" name="91_x000a_Libraries, archives, museums and other cultural activities " dataDxfId="190" dataCellStyle="Normal 4"/>
    <tableColumn id="161" xr3:uid="{11F024EF-0A5E-4772-90B4-6EA392FCAAC7}" name="92_x000a_Gambling and betting activities " dataDxfId="189" dataCellStyle="Normal 4"/>
    <tableColumn id="162" xr3:uid="{51D945D6-0BA1-4EFE-86C3-6A3B30C9503B}" name="93_x000a_Sports activities and amusement and recreation activities " dataDxfId="188" dataCellStyle="Normal 4"/>
    <tableColumn id="163" xr3:uid="{A634A9E4-3B43-420D-BBBF-9FDBF5597871}" name="S_x000a_Other service activties  " dataDxfId="187" dataCellStyle="Normal 4"/>
    <tableColumn id="164" xr3:uid="{2A60BC62-62D8-4B99-AA95-3912C345F167}" name="94_x000a_Activities of membership organisations " dataDxfId="186" dataCellStyle="Normal 4"/>
    <tableColumn id="165" xr3:uid="{0055B63F-8149-42F8-AD03-8FBF1649FB6C}" name="95_x000a_Repair of computers and personal and household goods " dataDxfId="185" dataCellStyle="Normal 4"/>
    <tableColumn id="166" xr3:uid="{8E49D7C9-2E89-4864-B79A-C0ED3A4C5910}" name="96_x000a_Other personal service activities " dataDxfId="184" dataCellStyle="Normal 4"/>
    <tableColumn id="167" xr3:uid="{7DE60A0E-DD9E-4EC5-8A2B-67066E20992C}" name="T_x000a_Activities of households as employers " dataDxfId="183" dataCellStyle="Normal 4"/>
    <tableColumn id="168" xr3:uid="{AE3EDF9F-14F9-45B8-BC30-2560390F892C}" name="97_x000a_Activities of households as employers of domestic personnel " dataDxfId="182" dataCellStyle="Normal 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DDDFD1-6734-4F73-9E51-E22A33BD9925}" name="BB24_1dp" displayName="BB24_1dp" ref="A5:FL317" totalsRowShown="0" headerRowDxfId="181" dataDxfId="179" headerRowBorderDxfId="180" tableBorderDxfId="178" headerRowCellStyle="Normal 4" dataCellStyle="Normal 4">
  <tableColumns count="168">
    <tableColumn id="1" xr3:uid="{3EF4A870-42F0-4875-8C34-633A14AD8A1F}" name="Time period" dataDxfId="177" dataCellStyle="Normal 4"/>
    <tableColumn id="2" xr3:uid="{E6AC6D23-4F82-4D56-A8FD-22C0B6DB58ED}" name="Total GVA " dataDxfId="176" dataCellStyle="Normal 4"/>
    <tableColumn id="3" xr3:uid="{9BD56654-449B-43EC-9D4C-C8C5EE5B4D8F}" name="A_x000a_Agriculture " dataDxfId="175" dataCellStyle="Normal 4"/>
    <tableColumn id="4" xr3:uid="{3349ED7C-9097-49E6-B472-AAD248B239D0}" name="B - F_x000a_Production and construction " dataDxfId="174" dataCellStyle="Normal 4"/>
    <tableColumn id="5" xr3:uid="{CB188991-63E2-44BE-B5AF-68C859FD5E99}" name="B - E_x000a_Production " dataDxfId="173" dataCellStyle="Normal 4"/>
    <tableColumn id="6" xr3:uid="{CBA41841-D60F-4F8F-BDB0-EA0A7E8DD5C8}" name="B_x000a_Mining and quarrying " dataDxfId="172" dataCellStyle="Normal 4"/>
    <tableColumn id="7" xr3:uid="{108EAF83-2EE1-4D28-A173-2453A9320CEB}" name="05_x000a_Mining of coal and lignite " dataDxfId="171" dataCellStyle="Normal 4"/>
    <tableColumn id="8" xr3:uid="{4BFDB1D2-25AA-43BC-A55D-2CC81214896C}" name="06_x000a_Extraction of crude petroleum and natural gas " dataDxfId="170" dataCellStyle="Normal 4"/>
    <tableColumn id="9" xr3:uid="{B8672A24-C8CA-4821-89EE-02197A711143}" name="07, 08, 09_x000a_Mining of metal ores, _x000a_Other mining and quarrying,_x000a_Mining support service activites " dataDxfId="169" dataCellStyle="Normal 4"/>
    <tableColumn id="10" xr3:uid="{0399F1E1-F09E-4BC1-852D-CBC3EDE7ECE5}" name="C_x000a_Manufacturing " dataDxfId="168" dataCellStyle="Normal 4"/>
    <tableColumn id="11" xr3:uid="{744657D8-5B63-4ECB-B122-228D4FCDDA78}" name="CA_x000a_Manufacture of food products, beverages and tobacco_x000a_" dataDxfId="167" dataCellStyle="Normal 4"/>
    <tableColumn id="12" xr3:uid="{E6073211-15C7-475A-B710-E5EF8564972C}" name="10_x000a_Manufacture of food products " dataDxfId="166" dataCellStyle="Normal 4"/>
    <tableColumn id="13" xr3:uid="{CDB375BD-FA81-42B5-B9F0-7B920E8B556A}" name="10.1_x000a_Processing and preserving of meat and production of meat products " dataDxfId="165" dataCellStyle="Normal 4"/>
    <tableColumn id="14" xr3:uid="{5E7B5CEC-171D-49B2-ADAD-C9226D7CC350}" name="10.2-3_x000a_Processing and preserving of fish, crustaceans, molluscs, fruit and vegetables " dataDxfId="164" dataCellStyle="Normal 4"/>
    <tableColumn id="15" xr3:uid="{04E8A3AD-0AF0-49AE-A3C7-813D4F04CEEE}" name="10.4_x000a_Vegetable and animal oils and fats " dataDxfId="163" dataCellStyle="Normal 4"/>
    <tableColumn id="16" xr3:uid="{13A3EDC3-BB52-4544-AA18-26B6B1444ECF}" name="10.5_x000a_Dairy products " dataDxfId="162" dataCellStyle="Normal 4"/>
    <tableColumn id="17" xr3:uid="{1FDD422E-16F9-4EEB-903E-48DF0F0E9037}" name="10.6_x000a_Grain mill products, starches and starch products " dataDxfId="161" dataCellStyle="Normal 4"/>
    <tableColumn id="18" xr3:uid="{18E9C0D1-C2F1-4783-A031-733F7B54BB5B}" name="10.7_x000a_Bakery and farinaceous products " dataDxfId="160" dataCellStyle="Normal 4"/>
    <tableColumn id="19" xr3:uid="{54F7F8FC-6DF2-4D82-AB27-C5DAF5C875CA}" name="10.8 _x000a_Other food products " dataDxfId="159" dataCellStyle="Normal 4"/>
    <tableColumn id="20" xr3:uid="{A0109DA3-473B-4AE2-93BD-0BEEA0D8F042}" name="10.9_x000a_Prepared animal feeds " dataDxfId="158" dataCellStyle="Normal 4"/>
    <tableColumn id="21" xr3:uid="{BE6CF185-7CDA-40A6-9859-A323DBAB5693}" name="11.07_x000a_Manufacture of soft drinks; production of mineral waters and other bottled waters" dataDxfId="157" dataCellStyle="Normal 4"/>
    <tableColumn id="22" xr3:uid="{E5CEC398-6002-4962-AADE-0AC373C317CC}" name="11.01-06 &amp; 12_x000a_Manufacture of Alcoholic Beverages and Tobacco Products" dataDxfId="156" dataCellStyle="Normal 4"/>
    <tableColumn id="23" xr3:uid="{83B9347E-436E-4F45-84D1-C877044266AE}" name="CB_x000a_Manufacture of textiles, wearing apparel and leather products " dataDxfId="155" dataCellStyle="Normal 4"/>
    <tableColumn id="24" xr3:uid="{4E3DD75D-01BB-4DB6-8E7B-4A52A8AA1A86}" name="13_x000a_Manufacture of textiles " dataDxfId="154" dataCellStyle="Normal 4"/>
    <tableColumn id="25" xr3:uid="{AD33818E-E57A-47AF-BDBF-D2E708B60B60}" name="14_x000a_Manufacture of wearing apparel £m" dataDxfId="153" dataCellStyle="Normal 4"/>
    <tableColumn id="26" xr3:uid="{D684F73A-CF25-4B82-9CF9-78B44BFF52C7}" name="15_x000a_Manufacture of leather and related products " dataDxfId="152" dataCellStyle="Normal 4"/>
    <tableColumn id="27" xr3:uid="{1ED5A62A-0F5B-4A03-8E22-8ECA8FF38474}" name="CC_x000a_Manufacture of wood and paper products, and printing " dataDxfId="151" dataCellStyle="Normal 4"/>
    <tableColumn id="28" xr3:uid="{F5AE9F51-5756-4065-AF8D-D2481436D4E3}" name="16_x000a_Manufacture of wood and products of wood and cork, except furniture; Articles of straw and plaiting materials " dataDxfId="150" dataCellStyle="Normal 4"/>
    <tableColumn id="29" xr3:uid="{7422790E-8BF7-4534-AB88-60CC5C8F3A77}" name="17_x000a_Manufacture of paper and paper products " dataDxfId="149" dataCellStyle="Normal 4"/>
    <tableColumn id="30" xr3:uid="{46792FD7-FA77-4B8D-A330-895015FEF7D5}" name="18_x000a_Manufacture of printing and reproduction of recorded media " dataDxfId="148" dataCellStyle="Normal 4"/>
    <tableColumn id="31" xr3:uid="{1C76DFAA-2B3B-4456-827F-22EA1F13E1C9}" name="CD_x000a_Manufacture of coke, and refined petroleum products " dataDxfId="147" dataCellStyle="Normal 4"/>
    <tableColumn id="32" xr3:uid="{0E91231A-F1CF-403C-8C68-41B124C461FB}" name="19_x000a_Manufacture of coke and refined petroleum products " dataDxfId="146" dataCellStyle="Normal 4"/>
    <tableColumn id="33" xr3:uid="{26170A56-8954-438A-A2FD-75505EE8B6CD}" name="CE_x000a_Manufacture of chemicals and chemical products " dataDxfId="145" dataCellStyle="Normal 4"/>
    <tableColumn id="34" xr3:uid="{779AD4BD-DF39-4AB8-A0EE-22660A03C4F9}" name="20_x000a_Manufacture of chemicals and chemical products " dataDxfId="144" dataCellStyle="Normal 4"/>
    <tableColumn id="35" xr3:uid="{D9860586-A45C-4F5A-9D98-1020A79E5E1F}" name="20A_x000a_Industrial gases, inorganics and fertilisers (all inorganic chemicals)- 20.11/13/15  " dataDxfId="143" dataCellStyle="Normal 4"/>
    <tableColumn id="36" xr3:uid="{DED5D116-F594-40B3-BDA5-D23AEE05B48D}" name="20B_x000a_Petrochemicals - 20.14/16/17/60 " dataDxfId="142" dataCellStyle="Normal 4"/>
    <tableColumn id="37" xr3:uid="{2C41999A-8CE9-4D7B-92B3-A1ABBA7E554F}" name="20C_x000a_Dyestuffs, agro-chemicals - 20.12/20 " dataDxfId="141" dataCellStyle="Normal 4"/>
    <tableColumn id="38" xr3:uid="{304C79DA-1378-4ADC-B6CF-224648712010}" name="20.3_x000a_Paints, varnishes and similar coatings, printing ink and mastics " dataDxfId="140" dataCellStyle="Normal 4"/>
    <tableColumn id="39" xr3:uid="{400FF721-4E71-4187-87D3-19B59577C576}" name="20.4 _x000a_Soap and detergents, cleaning and polishing preparations, perfumes and toilet preparations " dataDxfId="139" dataCellStyle="Normal 4"/>
    <tableColumn id="40" xr3:uid="{F8E9C17F-63BF-40A2-9242-D33629A89DA2}" name="20.5_x000a_Other chemical products " dataDxfId="138" dataCellStyle="Normal 4"/>
    <tableColumn id="41" xr3:uid="{11A40068-77CA-4296-ABBB-99697BC7B4C1}" name="CF_x000a_Manufacture of basic pharmaceutical products and pharmaceutical preparations " dataDxfId="137" dataCellStyle="Normal 4"/>
    <tableColumn id="42" xr3:uid="{34D387D8-FFF9-4731-BE09-7F421376A46A}" name="21_x000a_Manufacture of basic pharmaceutical products and pharmaceutical preparations " dataDxfId="136" dataCellStyle="Normal 4"/>
    <tableColumn id="43" xr3:uid="{D6A97A0E-1F40-41D1-8CFD-1F0DC1102E30}" name="CG_x000a_Manufacture of rubber and plastic products, &amp; other non-metallic mineral products " dataDxfId="135" dataCellStyle="Normal 4"/>
    <tableColumn id="44" xr3:uid="{AFE9B4F2-A8FF-4E3F-BDDC-B3E095517129}" name="22_x000a_Manufacture of rubber and plastic products " dataDxfId="134" dataCellStyle="Normal 4"/>
    <tableColumn id="45" xr3:uid="{5FB95B5B-C9F7-4E09-A8FE-BBD37884A337}" name="23_x000a_Manufacture of other non-metallic mineral products " dataDxfId="133" dataCellStyle="Normal 4"/>
    <tableColumn id="46" xr3:uid="{C47C53E3-41F8-4BDB-913A-F380F17AE478}" name="23OTHER_x000a_Glass, refractory, clay, porcelain, ceramic, stone products - 23.1-4/7-9 " dataDxfId="132" dataCellStyle="Normal 4"/>
    <tableColumn id="47" xr3:uid="{1BAD1063-BA97-4DAB-9C3A-008202187C49}" name="23.5-6_x000a_Cement, lime, plaster and articles of concrete, cement and plaster " dataDxfId="131" dataCellStyle="Normal 4"/>
    <tableColumn id="48" xr3:uid="{FEDE6428-3290-405F-8B3A-459DD120EC49}" name="CH_x000a_Manufacture of basic metals and metal products " dataDxfId="130" dataCellStyle="Normal 4"/>
    <tableColumn id="49" xr3:uid="{4206FBDF-B64B-4DFA-966A-752B4380D494}" name="24_x000a_Manufacture of basic metals " dataDxfId="129" dataCellStyle="Normal 4"/>
    <tableColumn id="50" xr3:uid="{ABE43CE5-9E50-4FDF-8778-F96CB82B2437}" name="24.1-3_x000a_Basic iron and steel " dataDxfId="128" dataCellStyle="Normal 4"/>
    <tableColumn id="51" xr3:uid="{B1D6C73E-0D44-44AA-BADB-9AD763C20B2D}" name="24.4-5_x000a_Other basic metals and casting " dataDxfId="127" dataCellStyle="Normal 4"/>
    <tableColumn id="52" xr3:uid="{CFA0031E-1CC6-4BAC-B2DA-0060D6E292AF}" name="25_x000a_Manufacture of fabricated metal products, except machinery and equipment " dataDxfId="126" dataCellStyle="Normal 4"/>
    <tableColumn id="55" xr3:uid="{51CAA561-018D-4A27-8C88-74B39ECD4BDB}" name="CI_x000a_Manufacture of computer, electronic &amp; optical products " dataDxfId="125" dataCellStyle="Normal 4"/>
    <tableColumn id="56" xr3:uid="{00856CAE-B58E-40F8-8922-D3F72B450AC4}" name="26_x000a_Manufacture of omputer, electronic and optical products " dataDxfId="124" dataCellStyle="Normal 4"/>
    <tableColumn id="57" xr3:uid="{97DB2E4E-30B3-4372-9459-3B84B1CAEA94}" name="CJ_x000a_Manufacture of electrical equipment " dataDxfId="123" dataCellStyle="Normal 4"/>
    <tableColumn id="58" xr3:uid="{290D695F-C202-435D-8E11-347201E16F73}" name="27_x000a_Manufacture of electrical equipment " dataDxfId="122" dataCellStyle="Normal 4"/>
    <tableColumn id="59" xr3:uid="{2F7E0445-E8D4-4FB4-A974-13C9B491AFB0}" name="CK_x000a_Manufacture of machinery and equipment n.e.c " dataDxfId="121" dataCellStyle="Normal 4"/>
    <tableColumn id="60" xr3:uid="{6D26F082-79CD-4259-9205-FE7E48D45859}" name="28_x000a_Manufacture of machinery and equipment n.e.c. " dataDxfId="120" dataCellStyle="Normal 4"/>
    <tableColumn id="61" xr3:uid="{C178565B-7E79-435D-AC53-796FEEFBCD0A}" name="CL_x000a_Manufacture of transport equipment " dataDxfId="119" dataCellStyle="Normal 4"/>
    <tableColumn id="62" xr3:uid="{8CABD628-D8F3-49BD-8172-9CBC4987DFF2}" name="29_x000a_Manufacture of motor vehicles, trailers and semi-trailers " dataDxfId="118" dataCellStyle="Normal 4"/>
    <tableColumn id="63" xr3:uid="{5AFFACC8-AACF-424C-9A4B-C909E9BE6AE9}" name="30_x000a_Manufacture of other transport equipment " dataDxfId="117" dataCellStyle="Normal 4"/>
    <tableColumn id="64" xr3:uid="{C26AF3F3-6245-4B6B-890F-71FE27D2D419}" name="30.1 _x000a_Building of ships and boats " dataDxfId="116" dataCellStyle="Normal 4"/>
    <tableColumn id="65" xr3:uid="{8C948036-95B7-4A74-A219-E8D7D09A8B8E}" name="30.3_x000a_Air and spacecraft and related machinery " dataDxfId="115" dataCellStyle="Normal 4"/>
    <tableColumn id="66" xr3:uid="{E387C7B4-E4A5-4703-A8C8-835707BF9608}" name="30OTHER_x000a_Other transport equipment - 30.2/4/9 " dataDxfId="114" dataCellStyle="Normal 4"/>
    <tableColumn id="67" xr3:uid="{2F9FE530-CA16-4B75-82D0-A940EA8C61D7}" name="CM_x000a_Other manufacturing " dataDxfId="113" dataCellStyle="Normal 4"/>
    <tableColumn id="68" xr3:uid="{984D95F9-C610-43B6-89F1-D1F465692FD7}" name="31 - 32 " dataDxfId="112" dataCellStyle="Normal 4"/>
    <tableColumn id="69" xr3:uid="{A4EBBB1F-48A9-4C0F-82A1-38512D899195}" name="31_x000a_Manufacture of furniture " dataDxfId="111" dataCellStyle="Normal 4"/>
    <tableColumn id="70" xr3:uid="{EAEBCE5E-13D0-4B6B-A701-F486B892C1F5}" name="32 _x000a_Other manufacturing " dataDxfId="110" dataCellStyle="Normal 4"/>
    <tableColumn id="71" xr3:uid="{1439F264-9373-4521-87EE-B4929E22CC05}" name="33_x000a_Repair and installation of machinery and equipment " dataDxfId="109" dataCellStyle="Normal 4"/>
    <tableColumn id="72" xr3:uid="{5F12CBC1-0E6A-43EF-B6D4-5BC11F25EBBB}" name="33.15_x000a_Repair and maintenance of ships and boats " dataDxfId="108" dataCellStyle="Normal 4"/>
    <tableColumn id="73" xr3:uid="{1AB2BC1E-160C-45F6-8F57-2E1F06066252}" name="33.16_x000a_Repair and maintenance of aircraft and spacecraft " dataDxfId="107" dataCellStyle="Normal 4"/>
    <tableColumn id="74" xr3:uid="{525614F9-88B7-499E-A645-E8E91EEECACB}" name="33OTHER_x000a_Rest of repair; Installation - 33.11-14/17/19/20 " dataDxfId="106" dataCellStyle="Normal 4"/>
    <tableColumn id="75" xr3:uid="{5666D989-CA98-4431-94AE-E9DED292782A}" name="D_x000a_Electricity, gas, steam and air conditioning supply " dataDxfId="105" dataCellStyle="Normal 4"/>
    <tableColumn id="76" xr3:uid="{FCB398BE-1C6C-4692-B024-1AA6AA1BD047}" name="35_x000a_Electricity, gas, steam and air conditioning supply " dataDxfId="104" dataCellStyle="Normal 4"/>
    <tableColumn id="77" xr3:uid="{115CE91A-4B89-40AB-A741-8D1835E64A52}" name="35.1 _x000a_Electric power generation, transmission and distribution " dataDxfId="103" dataCellStyle="Normal 4"/>
    <tableColumn id="78" xr3:uid="{44CD06E2-03E3-4D6B-AEDE-1E9C30E44FD7}" name="35.2-3_x000a_Gas; distribution of gaseous fuels through mains; Steam and air conditioning supply " dataDxfId="102" dataCellStyle="Normal 4"/>
    <tableColumn id="79" xr3:uid="{EC0C38A1-99D0-44E9-BC50-04B4B8019A66}" name="E_x000a_Water supply; sewerage, waste management and remediation activities " dataDxfId="101" dataCellStyle="Normal 4"/>
    <tableColumn id="80" xr3:uid="{5C6D493A-6236-414B-B25A-C8B4BA10E044}" name="36_x000a_Water collection, treatment and supply" dataDxfId="100" dataCellStyle="Normal 4"/>
    <tableColumn id="81" xr3:uid="{FA495345-AE6A-4AAA-BFC0-295C635EE01E}" name="37 - 39_x000a_" dataDxfId="99" dataCellStyle="Normal 4"/>
    <tableColumn id="82" xr3:uid="{FDABB902-D53E-4E9F-B34B-42A35AE50E64}" name="37_x000a_Sewerage " dataDxfId="98" dataCellStyle="Normal 4"/>
    <tableColumn id="83" xr3:uid="{C964DB40-2A4A-4CE8-94C7-5DBE340D2A30}" name="38_x000a_Waste collection, treatment and disposal activities; materials recovery " dataDxfId="97" dataCellStyle="Normal 4"/>
    <tableColumn id="84" xr3:uid="{29497A35-7522-4CA2-89FF-B34555CCBAC9}" name="39_x000a_Remediation activities and other waste management services " dataDxfId="96" dataCellStyle="Normal 4"/>
    <tableColumn id="85" xr3:uid="{601372AE-CF33-41EB-BBA9-60D3BF41AD39}" name="F_x000a_Construction " dataDxfId="95" dataCellStyle="Normal 4"/>
    <tableColumn id="86" xr3:uid="{60C14B7B-2345-48B0-91A6-65114C9D118F}" name="G - U _x000a_Services " dataDxfId="94" dataCellStyle="Normal 4"/>
    <tableColumn id="87" xr3:uid="{8F0B1E97-E50A-491A-921E-58CBB3DDBBBE}" name="G - I_x000a_Distribution, transport, hotels and restaurants " dataDxfId="93" dataCellStyle="Normal 4"/>
    <tableColumn id="88" xr3:uid="{F995788D-95CA-49F5-8B97-1F364B6DEA0F}" name="G_x000a_Wholesale and retail trade and repair of motor vehicles and motorcycles " dataDxfId="92" dataCellStyle="Normal 4"/>
    <tableColumn id="89" xr3:uid="{EF8EAD4F-2A65-4E20-A2D2-2F87BF8C21D9}" name="45_x000a_Wholesale and retail trade and repair of motor vehicles and motorcycles " dataDxfId="91" dataCellStyle="Normal 4"/>
    <tableColumn id="90" xr3:uid="{E9EE084F-4AFE-43E4-8A30-F9F1790CAFEC}" name="46_x000a_Wholesale trade, except of motor vehicles and motorcycles " dataDxfId="90" dataCellStyle="Normal 4"/>
    <tableColumn id="91" xr3:uid="{81478DDA-3CB6-41B6-A9DF-831BF71A8AD6}" name="47_x000a_Retailtrade, except of motor vehicles and motorcycles " dataDxfId="89" dataCellStyle="Normal 4"/>
    <tableColumn id="92" xr3:uid="{E272A5F1-89CE-46FA-9E46-EC1052693D41}" name="H_x000a_Transportation and storage " dataDxfId="88" dataCellStyle="Normal 4"/>
    <tableColumn id="93" xr3:uid="{92EAFBFA-73CE-4B0D-A2FA-1C8B76019DDD}" name="49_x000a_Land transport and transport via pipelines " dataDxfId="87" dataCellStyle="Normal 4"/>
    <tableColumn id="94" xr3:uid="{ABBEF14D-D8DA-4791-9929-8211246160D1}" name="49.1-2_x000a_Rail transport " dataDxfId="86" dataCellStyle="Normal 4"/>
    <tableColumn id="95" xr3:uid="{B9564BD2-D5D2-47B3-A867-E5F16560E09F}" name="49.3-5_x000a_Land transport services and transport services via pipelines, excluding rail transport " dataDxfId="85" dataCellStyle="Normal 4"/>
    <tableColumn id="96" xr3:uid="{51943E35-CB4B-4B38-B62F-3794EFFE5793}" name="50_x000a_Water transport " dataDxfId="84" dataCellStyle="Normal 4"/>
    <tableColumn id="97" xr3:uid="{39C4BF26-5017-4761-9800-4B38887A87C7}" name="51 _x000a_Air transport " dataDxfId="83" dataCellStyle="Normal 4"/>
    <tableColumn id="98" xr3:uid="{3721572C-3A1E-417A-8C46-6F008A3A0BBD}" name="52_x000a_Warehousing and support activities for transportation " dataDxfId="82" dataCellStyle="Normal 4"/>
    <tableColumn id="99" xr3:uid="{1742503A-D432-4B8F-99D3-D9078C17B793}" name="53_x000a_Postal and courier activities " dataDxfId="81" dataCellStyle="Normal 4"/>
    <tableColumn id="100" xr3:uid="{670F7A5D-5875-46D0-9408-5AC6A6154FAB}" name="I_x000a_Accommodation and food service activities " dataDxfId="80" dataCellStyle="Normal 4"/>
    <tableColumn id="101" xr3:uid="{F30FFD9D-A085-4D69-9A0D-39047C7464C6}" name="55_x000a_Accommodation " dataDxfId="79" dataCellStyle="Normal 4"/>
    <tableColumn id="102" xr3:uid="{25CA8721-5089-4C0E-AD44-92BFEF673E54}" name="56_x000a_Food and beverage service activities " dataDxfId="78" dataCellStyle="Normal 4"/>
    <tableColumn id="103" xr3:uid="{7ACB6072-8D80-49DD-9206-42E3DB50CEA4}" name="J_x000a_Information and communication " dataDxfId="77" dataCellStyle="Normal 4"/>
    <tableColumn id="104" xr3:uid="{CA600B01-E970-40B0-B761-37654780E3B7}" name="JA_x000a_Publishing, audiovisual and broadcasting activities " dataDxfId="76" dataCellStyle="Normal 4"/>
    <tableColumn id="105" xr3:uid="{4D880EE3-4435-41FF-8E4F-21CFDC830F3D}" name="58_x000a_Publishing activities " dataDxfId="75" dataCellStyle="Normal 4"/>
    <tableColumn id="106" xr3:uid="{71F7851B-6BC3-42B5-AB7A-9BAF571D0D78}" name="59 - 60_x000a_" dataDxfId="74" dataCellStyle="Normal 4"/>
    <tableColumn id="107" xr3:uid="{DFBAC286-C20B-4364-862A-3C8F161128D3}" name="59_x000a_Motion picture, video and TV programme production, sound recording and music publishing activities " dataDxfId="73" dataCellStyle="Normal 4"/>
    <tableColumn id="108" xr3:uid="{A8B0996D-A50A-4216-AD25-C4CA050F7C0B}" name="60_x000a_Programming and broadcasting activities " dataDxfId="72" dataCellStyle="Normal 4"/>
    <tableColumn id="109" xr3:uid="{5DE91790-C6DC-49B9-AD89-EAA0A92057D0}" name="JB_x000a_Telecommunications" dataDxfId="71" dataCellStyle="Normal 4"/>
    <tableColumn id="110" xr3:uid="{E25873E3-03EB-437E-A43A-44EE813F22C7}" name="61_x000a_Telecommunications" dataDxfId="70" dataCellStyle="Normal 4"/>
    <tableColumn id="111" xr3:uid="{1B875D98-60AD-4352-A908-994D7DDE574D}" name="JC_x000a_IT and other information service activities_x000a_" dataDxfId="69" dataCellStyle="Normal 4"/>
    <tableColumn id="112" xr3:uid="{18060C57-5A75-4AD0-B0A9-2860A40ECE7B}" name="62_x000a_Computer programming, consultancy and related activities " dataDxfId="68" dataCellStyle="Normal 4"/>
    <tableColumn id="113" xr3:uid="{DE8B51F6-D46A-4DD1-AB43-251CE6E14077}" name="63_x000a_Information service activities " dataDxfId="67" dataCellStyle="Normal 4"/>
    <tableColumn id="114" xr3:uid="{1E3C0D13-D972-412A-B3C3-5BA94F4C80FF}" name="K_x000a_Financial and insurance activities " dataDxfId="66" dataCellStyle="Normal 4"/>
    <tableColumn id="115" xr3:uid="{F7D5264E-2E38-452B-AEF5-190940845F52}" name="64_x000a_Financial service activities, except insurance and pension funding " dataDxfId="65" dataCellStyle="Normal 4"/>
    <tableColumn id="116" xr3:uid="{E3E8CA33-982E-41FD-98DD-471B1C12429B}" name="65_x000a_Insurance, reinsurance and pension funding, except compulsory social security " dataDxfId="64" dataCellStyle="Normal 4"/>
    <tableColumn id="118" xr3:uid="{58FA1C15-5D13-400F-A689-801B62459140}" name="65.1-2_x000a_Insurance and reinsurance, except compulsory social security " dataDxfId="63" dataCellStyle="Normal 4"/>
    <tableColumn id="119" xr3:uid="{3523525D-DCD1-41F5-B08D-D68463128368}" name="66_x000a_Activities auxiliary to financial services and insurance activities " dataDxfId="62" dataCellStyle="Normal 4"/>
    <tableColumn id="120" xr3:uid="{A62FE31F-A379-4D06-B596-F979E7E01BC8}" name="L_x000a_Real estate activties  " dataDxfId="61" dataCellStyle="Normal 4"/>
    <tableColumn id="121" xr3:uid="{E860CA53-58E9-4A95-AD68-2053A9CCE1E3}" name="68.1-2_x000a_Buying and selling, renting and operating of own or leased real estate, excluding imputed rental " dataDxfId="60" dataCellStyle="Normal 4"/>
    <tableColumn id="122" xr3:uid="{2FA45A8D-FD7D-403E-A774-FCBFE45394DA}" name="68.2IMP_x000a_Imputed rental " dataDxfId="59" dataCellStyle="Normal 4"/>
    <tableColumn id="123" xr3:uid="{C1830708-CDC0-4223-908B-6DA93CB6FBEF}" name="68.3_x000a_Real estate activities on a fee or contract basis " dataDxfId="58" dataCellStyle="Normal 4"/>
    <tableColumn id="124" xr3:uid="{2A3ACD2C-6E8C-46CC-A2EC-4DF2A711F2FE}" name="M - N_x000a_Professional and support  " dataDxfId="57" dataCellStyle="Normal 4"/>
    <tableColumn id="125" xr3:uid="{C2C4653A-B1BF-4C53-99F9-CEE20E56D6AB}" name="M_x000a_Professional, scientific and technical activties " dataDxfId="56" dataCellStyle="Normal 4"/>
    <tableColumn id="126" xr3:uid="{7D26646C-2632-4A47-B7C3-09C79DA90D01}" name="MA_x000a_Legal, accounting, management, architecture, engineering, technical testing activities " dataDxfId="55" dataCellStyle="Normal 4"/>
    <tableColumn id="127" xr3:uid="{323CF376-42D1-4E88-B9D2-62256042918D}" name="69 - 70_x000a_" dataDxfId="54" dataCellStyle="Normal 4"/>
    <tableColumn id="128" xr3:uid="{63AEC311-3457-4BEC-A7BD-908D225CDF14}" name="69_x000a_Legal and accounting activties " dataDxfId="53" dataCellStyle="Normal 4"/>
    <tableColumn id="129" xr3:uid="{AB200748-8E5B-42F2-8EB1-FA20F564FCD3}" name="69.1_x000a_Legal activities " dataDxfId="52" dataCellStyle="Normal 4"/>
    <tableColumn id="130" xr3:uid="{41442259-DF1F-45A9-8AD8-8D315BAAFEB1}" name="69.2_x000a_Accounting, bookkeeping and auditing activities; Tax consultancy " dataDxfId="51" dataCellStyle="Normal 4"/>
    <tableColumn id="131" xr3:uid="{706DF436-7482-41D8-B8D7-963C13BE5F7B}" name="70_x000a_Activities of head offices; Management consultancy activities " dataDxfId="50" dataCellStyle="Normal 4"/>
    <tableColumn id="132" xr3:uid="{D09EA158-5775-453D-9B80-8B9CB2ECC0EA}" name="71_x000a_Architectural and engineering activities; Technical testing and analysis " dataDxfId="49" dataCellStyle="Normal 4"/>
    <tableColumn id="133" xr3:uid="{BE1BBA41-EF08-45BF-B9CF-0FC1C4494EA0}" name="MB_x000a_Scientific research and development " dataDxfId="48" dataCellStyle="Normal 4"/>
    <tableColumn id="134" xr3:uid="{F87D45E2-9797-41C8-8EA3-07AF160EBB0E}" name="72_x000a_Scientific research and development " dataDxfId="47" dataCellStyle="Normal 4"/>
    <tableColumn id="135" xr3:uid="{172DAE21-64DC-4B2E-878F-38077D2827C7}" name="MC_x000a_Other professional, scientific and technical activities " dataDxfId="46" dataCellStyle="Normal 4"/>
    <tableColumn id="136" xr3:uid="{0224CB77-6A8E-48FC-B6B7-9749636DF60D}" name="73_x000a_Advertising and market research " dataDxfId="45" dataCellStyle="Normal 4"/>
    <tableColumn id="137" xr3:uid="{D60FD08F-E2D2-4896-9460-333ED57A3E92}" name="74 - 75_x000a_" dataDxfId="44" dataCellStyle="Normal 4"/>
    <tableColumn id="138" xr3:uid="{12E61F11-7A52-4CCD-8755-EB9E896978B9}" name="74_x000a_Other professional, scientific and technical activities " dataDxfId="43" dataCellStyle="Normal 4"/>
    <tableColumn id="139" xr3:uid="{390883BA-25B9-45E6-A352-DD077DDFE197}" name="75_x000a_Veterinary activities " dataDxfId="42" dataCellStyle="Normal 4"/>
    <tableColumn id="140" xr3:uid="{9011EB94-D78E-4374-94E8-967AD0DA203A}" name="N_x000a_Administrative and support service activities " dataDxfId="41" dataCellStyle="Normal 4"/>
    <tableColumn id="141" xr3:uid="{9AA1EC6F-2F08-4E33-BABA-1932C7977F80}" name="77_x000a_Rental and leasing activities " dataDxfId="40" dataCellStyle="Normal 4"/>
    <tableColumn id="142" xr3:uid="{82FE61F5-7047-4429-B258-F92D37B7F12D}" name="78_x000a_Employment activities " dataDxfId="39" dataCellStyle="Normal 4"/>
    <tableColumn id="143" xr3:uid="{A666A627-4308-4F59-9A43-E9CA854A730A}" name="79_x000a_Travel agency, tour operator and other reservation service and related activities " dataDxfId="38" dataCellStyle="Normal 4"/>
    <tableColumn id="144" xr3:uid="{06C31183-9A9D-423F-B0A6-DE7A567A566A}" name="80 - 82_x000a_" dataDxfId="37" dataCellStyle="Normal 4"/>
    <tableColumn id="145" xr3:uid="{24992714-9625-4CC0-AA50-9D7CD797E6FB}" name="80_x000a_Security and investigation activities " dataDxfId="36" dataCellStyle="Normal 4"/>
    <tableColumn id="146" xr3:uid="{72F3F52A-F105-431D-B976-DEAB2F3E5EBA}" name="81_x000a_Services to buildings and landscape activities " dataDxfId="35" dataCellStyle="Normal 4"/>
    <tableColumn id="147" xr3:uid="{B596D09D-B886-4E69-935C-87960081DDD7}" name="82_x000a_Office administrative, office support and other business support activities " dataDxfId="34" dataCellStyle="Normal 4"/>
    <tableColumn id="148" xr3:uid="{23447832-C10B-473D-AD6B-952B8950C95F}" name="O - Q_x000a_Government, health and education " dataDxfId="33" dataCellStyle="Normal 4"/>
    <tableColumn id="149" xr3:uid="{5A501C73-8107-4A01-BEB6-55476ACDA74B}" name="O_x000a_Public administation and defence; compulsory social security " dataDxfId="32" dataCellStyle="Normal 4"/>
    <tableColumn id="150" xr3:uid="{27ACCF4E-93DD-4B7F-AA94-35F18C4943C2}" name="84_x000a_Public administration and defence; Compulsory social security " dataDxfId="31" dataCellStyle="Normal 4"/>
    <tableColumn id="151" xr3:uid="{21F99666-2CAC-446D-B154-5D51D3490FD7}" name="P_x000a_Education " dataDxfId="30" dataCellStyle="Normal 4"/>
    <tableColumn id="152" xr3:uid="{EF7E389D-E8AD-4BD0-8893-B8A1C85142D4}" name="85_x000a_Education " dataDxfId="29" dataCellStyle="Normal 4"/>
    <tableColumn id="153" xr3:uid="{46FF3D55-2EC5-483B-83B5-DA4FA3DD59FB}" name="Q_x000a_Human health and social work activities " dataDxfId="28" dataCellStyle="Normal 4"/>
    <tableColumn id="154" xr3:uid="{E44FE7A6-AFC9-4206-A7DF-40F07CB7FE52}" name="QA _x000a_Human health acitvities " dataDxfId="27" dataCellStyle="Normal 4"/>
    <tableColumn id="155" xr3:uid="{36FAD887-630A-48B8-96B6-845F2D947820}" name="86_x000a_Human health activities " dataDxfId="26" dataCellStyle="Normal 4"/>
    <tableColumn id="156" xr3:uid="{C9C1D2E5-47D2-41E9-B792-797833A187C1}" name="QB_x000a_Residential care and social work activities " dataDxfId="25" dataCellStyle="Normal 4"/>
    <tableColumn id="157" xr3:uid="{2DA626D2-6640-4F8C-BBD5-C0B3E96E8C40}" name="87_x000a_Residential care activities " dataDxfId="24" dataCellStyle="Normal 4"/>
    <tableColumn id="158" xr3:uid="{F76EFE48-4A4F-4CE6-B42D-582165106FDC}" name="88_x000a_Social work activities without accommodation " dataDxfId="23" dataCellStyle="Normal 4"/>
    <tableColumn id="159" xr3:uid="{EC2C659F-0B3B-4EAD-BB8F-F862FD10F057}" name="R -U_x000a_Other services " dataDxfId="22" dataCellStyle="Normal 4"/>
    <tableColumn id="160" xr3:uid="{32886572-2EA7-47A5-B151-84A87642937D}" name="R_x000a_Arts, entrainment and recreation " dataDxfId="21" dataCellStyle="Normal 4"/>
    <tableColumn id="161" xr3:uid="{40C41617-62A2-4FDB-85DE-2C58BA289908}" name="90 - 92_x000a_" dataDxfId="20" dataCellStyle="Normal 4"/>
    <tableColumn id="162" xr3:uid="{EF475C89-CA82-4FFF-BC86-3922B8C04CCB}" name="90_x000a_Creative, arts and entertainment activities " dataDxfId="19" dataCellStyle="Normal 4"/>
    <tableColumn id="163" xr3:uid="{B1FEBE00-1D47-487E-B56E-189E3AEF8C9A}" name="91_x000a_Libraries, archives, museums and other cultural activities " dataDxfId="18" dataCellStyle="Normal 4"/>
    <tableColumn id="164" xr3:uid="{C7A839C6-6A8A-4ABE-8E5E-DA797390A010}" name="92_x000a_Gambling and betting activities " dataDxfId="17" dataCellStyle="Normal 4"/>
    <tableColumn id="165" xr3:uid="{DA85737A-9516-498A-A3C7-E2E25822F493}" name="93_x000a_Sports activities and amusement and recreation activities " dataDxfId="16" dataCellStyle="Normal 4"/>
    <tableColumn id="166" xr3:uid="{C0B6287F-6E7C-49CC-BABF-7BF1D7D748F9}" name="S_x000a_Other service activties  " dataDxfId="15" dataCellStyle="Normal 4"/>
    <tableColumn id="167" xr3:uid="{76EB83F5-AFE2-40D7-9F16-FD259423F6E9}" name="94_x000a_Activities of membership organisations " dataDxfId="14" dataCellStyle="Normal 4"/>
    <tableColumn id="168" xr3:uid="{21E4CEC4-687F-4D86-9AE6-F8EB2BCBCA0B}" name="95_x000a_Repair of computers and personal and household goods " dataDxfId="13" dataCellStyle="Normal 4"/>
    <tableColumn id="169" xr3:uid="{1EBDC429-50B0-47A7-8287-2374F457D89A}" name="96_x000a_Other personal service activities " dataDxfId="12" dataCellStyle="Normal 4"/>
    <tableColumn id="170" xr3:uid="{FA745077-A944-4850-A185-DD7EA614871A}" name="T_x000a_Activities of households as employers " dataDxfId="11" dataCellStyle="Normal 4"/>
    <tableColumn id="171" xr3:uid="{0AD4F8F3-52D7-485D-B8DB-ACB36F6E9DBE}" name="97_x000a_Activities of households as employers of domestic personnel " dataDxfId="10" dataCellStyle="Normal 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A6B02B-F01B-41CD-A6A8-BE97B3456DAF}" name="Table_B_3" displayName="Table_B_3" ref="A4:H136" totalsRowShown="0" headerRowDxfId="9" dataDxfId="8">
  <autoFilter ref="A4:H136" xr:uid="{DEA9D106-B334-4665-92E2-848E7A05AE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74249A9-7393-4120-9D45-A65EA4E78564}" name="Time period and dataset code row " dataDxfId="7"/>
    <tableColumn id="2" xr3:uid="{CE048D08-98C6-4F74-AB6E-7E7A9E00DC63}" name="Households gross disposable income (£ mn)" dataDxfId="6"/>
    <tableColumn id="3" xr3:uid="{002F5BE1-C2EB-440B-A26D-AC3E46AC7F30}" name="Implied deflator of households Individual consumption expenditure: Chained volume measure Index (2022=100)" dataDxfId="5"/>
    <tableColumn id="4" xr3:uid="{E738AF3F-AA04-40F0-B52A-48067B7555CE}" name="Real households disposable income: Chained volume measures (reference year 2022)" dataDxfId="4"/>
    <tableColumn id="5" xr3:uid="{5B3AE81F-CA7F-41A4-B33A-852298C6836C}" name="Real households disposable income: Chained volume measure: Index (2022=100)" dataDxfId="3"/>
    <tableColumn id="6" xr3:uid="{2E3BECC1-41C2-4372-905A-A9F6CE9A762F}" name="Gross savings (£ mn)" dataDxfId="2"/>
    <tableColumn id="7" xr3:uid="{14B6B3AE-6180-4BBB-A0F6-E4287D0AC7CB}" name="Households total resources from the use of disposal income account (£ mn)" dataDxfId="1"/>
    <tableColumn id="8" xr3:uid="{8F7B212A-EF53-4E5E-BBA4-7E3D9AAF80B1}" name="Households saving ratio (per cent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31FF-19A8-490B-A8C5-BBDB18746434}">
  <dimension ref="A1:CS59"/>
  <sheetViews>
    <sheetView workbookViewId="0">
      <pane xSplit="1" ySplit="2" topLeftCell="BQ3" activePane="bottomRight" state="frozen"/>
      <selection pane="topRight" activeCell="B1" sqref="B1"/>
      <selection pane="bottomLeft" activeCell="A3" sqref="A3"/>
      <selection pane="bottomRight" activeCell="CM9" sqref="CM9"/>
    </sheetView>
  </sheetViews>
  <sheetFormatPr defaultRowHeight="15" x14ac:dyDescent="0.25"/>
  <cols>
    <col min="9" max="9" width="2.7109375" customWidth="1"/>
    <col min="17" max="17" width="2.7109375" customWidth="1"/>
    <col min="26" max="26" width="2.7109375" customWidth="1"/>
    <col min="28" max="30" width="7.28515625" customWidth="1"/>
    <col min="31" max="31" width="9" customWidth="1"/>
    <col min="32" max="32" width="12" bestFit="1" customWidth="1"/>
    <col min="33" max="33" width="12" customWidth="1"/>
    <col min="34" max="34" width="2.7109375" customWidth="1"/>
    <col min="42" max="42" width="2.7109375" customWidth="1"/>
    <col min="52" max="52" width="2.7109375" customWidth="1"/>
    <col min="54" max="55" width="9.140625" customWidth="1"/>
    <col min="62" max="62" width="2.7109375" customWidth="1"/>
    <col min="63" max="66" width="9.140625" customWidth="1"/>
    <col min="67" max="67" width="2.7109375" customWidth="1"/>
    <col min="68" max="71" width="9.140625" customWidth="1"/>
    <col min="72" max="72" width="2.7109375" customWidth="1"/>
    <col min="73" max="76" width="9.140625" customWidth="1"/>
    <col min="77" max="77" width="2.7109375" customWidth="1"/>
    <col min="78" max="78" width="10.85546875" customWidth="1"/>
    <col min="89" max="89" width="2.7109375" customWidth="1"/>
    <col min="90" max="90" width="10.85546875" customWidth="1"/>
    <col min="98" max="98" width="2.7109375" customWidth="1"/>
  </cols>
  <sheetData>
    <row r="1" spans="1:97" x14ac:dyDescent="0.25">
      <c r="A1" s="8" t="s">
        <v>385</v>
      </c>
      <c r="R1" s="8" t="s">
        <v>397</v>
      </c>
      <c r="AA1" s="8" t="s">
        <v>397</v>
      </c>
      <c r="AQ1" s="8" t="s">
        <v>795</v>
      </c>
      <c r="BA1" s="8" t="s">
        <v>796</v>
      </c>
      <c r="BK1" s="8" t="s">
        <v>1300</v>
      </c>
      <c r="BP1" s="8" t="s">
        <v>1302</v>
      </c>
      <c r="BU1" s="8" t="s">
        <v>1303</v>
      </c>
      <c r="BZ1" s="8" t="s">
        <v>791</v>
      </c>
      <c r="CL1" s="8" t="s">
        <v>792</v>
      </c>
    </row>
    <row r="2" spans="1:97" x14ac:dyDescent="0.25">
      <c r="B2" s="16" t="s">
        <v>382</v>
      </c>
      <c r="C2" s="16" t="s">
        <v>384</v>
      </c>
      <c r="D2" s="16" t="s">
        <v>352</v>
      </c>
      <c r="E2" s="16" t="s">
        <v>358</v>
      </c>
      <c r="F2" s="16" t="s">
        <v>365</v>
      </c>
      <c r="G2" s="16" t="s">
        <v>371</v>
      </c>
      <c r="H2" s="16" t="s">
        <v>376</v>
      </c>
      <c r="J2" s="16" t="s">
        <v>382</v>
      </c>
      <c r="K2" s="16" t="s">
        <v>384</v>
      </c>
      <c r="L2" s="16" t="s">
        <v>352</v>
      </c>
      <c r="M2" s="16" t="s">
        <v>358</v>
      </c>
      <c r="N2" s="16" t="s">
        <v>365</v>
      </c>
      <c r="O2" s="16" t="s">
        <v>371</v>
      </c>
      <c r="P2" s="16" t="s">
        <v>376</v>
      </c>
      <c r="S2" s="16" t="s">
        <v>382</v>
      </c>
      <c r="T2" s="16" t="s">
        <v>384</v>
      </c>
      <c r="U2" s="16" t="s">
        <v>352</v>
      </c>
      <c r="V2" s="16" t="s">
        <v>358</v>
      </c>
      <c r="W2" s="16" t="s">
        <v>365</v>
      </c>
      <c r="X2" s="16" t="s">
        <v>371</v>
      </c>
      <c r="Y2" s="16" t="s">
        <v>376</v>
      </c>
      <c r="AB2" s="16" t="s">
        <v>794</v>
      </c>
      <c r="AC2" s="16" t="s">
        <v>793</v>
      </c>
      <c r="AD2" s="16" t="s">
        <v>399</v>
      </c>
      <c r="AE2" s="16" t="s">
        <v>400</v>
      </c>
      <c r="AF2" s="16" t="s">
        <v>398</v>
      </c>
      <c r="AG2" s="16" t="s">
        <v>401</v>
      </c>
      <c r="AI2" s="16" t="s">
        <v>382</v>
      </c>
      <c r="AJ2" s="16" t="s">
        <v>384</v>
      </c>
      <c r="AK2" s="16" t="s">
        <v>352</v>
      </c>
      <c r="AL2" s="16" t="s">
        <v>358</v>
      </c>
      <c r="AM2" s="16" t="s">
        <v>365</v>
      </c>
      <c r="AN2" s="16" t="s">
        <v>371</v>
      </c>
      <c r="AO2" s="16" t="s">
        <v>376</v>
      </c>
      <c r="AR2" t="s">
        <v>794</v>
      </c>
      <c r="AS2" t="s">
        <v>793</v>
      </c>
      <c r="AT2" t="s">
        <v>384</v>
      </c>
      <c r="AU2" t="s">
        <v>352</v>
      </c>
      <c r="AV2" t="s">
        <v>358</v>
      </c>
      <c r="AW2" t="s">
        <v>365</v>
      </c>
      <c r="AX2" t="s">
        <v>371</v>
      </c>
      <c r="AY2" t="s">
        <v>376</v>
      </c>
      <c r="BB2" t="s">
        <v>794</v>
      </c>
      <c r="BC2" t="s">
        <v>793</v>
      </c>
      <c r="BD2" t="s">
        <v>384</v>
      </c>
      <c r="BE2" t="s">
        <v>352</v>
      </c>
      <c r="BF2" t="s">
        <v>358</v>
      </c>
      <c r="BG2" t="s">
        <v>365</v>
      </c>
      <c r="BH2" t="s">
        <v>371</v>
      </c>
      <c r="BI2" t="s">
        <v>376</v>
      </c>
      <c r="BL2" t="s">
        <v>1304</v>
      </c>
      <c r="BM2" t="s">
        <v>1301</v>
      </c>
      <c r="BN2" t="s">
        <v>401</v>
      </c>
      <c r="BQ2" t="s">
        <v>1304</v>
      </c>
      <c r="BR2" t="s">
        <v>1301</v>
      </c>
      <c r="BS2" t="s">
        <v>401</v>
      </c>
      <c r="BV2" t="s">
        <v>1304</v>
      </c>
      <c r="BW2" t="s">
        <v>1301</v>
      </c>
      <c r="BX2" t="s">
        <v>401</v>
      </c>
      <c r="CA2" s="16" t="str">
        <f>HAVERD!C1</f>
        <v>US</v>
      </c>
      <c r="CB2" s="16" t="str">
        <f>HAVERD!D1</f>
        <v>Japan</v>
      </c>
      <c r="CC2" s="16" t="str">
        <f>HAVERD!E1</f>
        <v>Eurozone</v>
      </c>
      <c r="CD2" s="16" t="str">
        <f>HAVERD!F1</f>
        <v>UK</v>
      </c>
      <c r="CE2" s="16" t="str">
        <f>HAVERD!M1</f>
        <v>Canada</v>
      </c>
      <c r="CF2" s="16" t="str">
        <f>HAVERD!T1</f>
        <v>France</v>
      </c>
      <c r="CG2" s="16" t="str">
        <f>HAVERD!U1</f>
        <v>Germany</v>
      </c>
      <c r="CH2" s="16" t="str">
        <f>HAVERD!Y1</f>
        <v>India</v>
      </c>
      <c r="CI2" s="16" t="str">
        <f>HAVERD!AB1</f>
        <v>Italy</v>
      </c>
      <c r="CJ2" s="16" t="str">
        <f>HAVERD!AZ1</f>
        <v>Global</v>
      </c>
      <c r="CM2" s="16" t="s">
        <v>382</v>
      </c>
      <c r="CN2" s="16" t="s">
        <v>789</v>
      </c>
      <c r="CO2" s="16" t="s">
        <v>384</v>
      </c>
      <c r="CP2" s="16" t="s">
        <v>747</v>
      </c>
      <c r="CQ2" s="16" t="s">
        <v>352</v>
      </c>
      <c r="CR2" s="16" t="s">
        <v>376</v>
      </c>
      <c r="CS2" s="16" t="s">
        <v>401</v>
      </c>
    </row>
    <row r="3" spans="1:97" x14ac:dyDescent="0.25">
      <c r="A3">
        <v>2019</v>
      </c>
      <c r="B3" s="9">
        <f>100*(Data!C191/AVERAGE(Data!C$191:C$194))</f>
        <v>99.402082705699982</v>
      </c>
      <c r="C3" s="9">
        <f>100*(Data!D191/AVERAGE(Data!D$191:D$194))</f>
        <v>98.661808129672693</v>
      </c>
      <c r="D3" s="9">
        <f>100*(Data!E191/AVERAGE(Data!E$191:E$194))</f>
        <v>100.30737632595969</v>
      </c>
      <c r="E3" s="9">
        <f>100*(Data!F191/AVERAGE(Data!F$191:F$194))</f>
        <v>99.806170248597255</v>
      </c>
      <c r="F3" s="9">
        <f>100*(Data!G191/AVERAGE(Data!G$191:G$194))</f>
        <v>99.672107611873045</v>
      </c>
      <c r="G3" s="9">
        <f>100*(Data!H191/AVERAGE(Data!H$191:H$194))</f>
        <v>99.885229552464665</v>
      </c>
      <c r="H3" s="9">
        <f>100*(Data!I191/AVERAGE(Data!I$191:I$194))</f>
        <v>98.975818523571249</v>
      </c>
      <c r="J3">
        <f>RANK(B3,$B3:$H3)</f>
        <v>5</v>
      </c>
      <c r="K3">
        <f t="shared" ref="K3:P3" si="0">RANK(C3,$B3:$H3)</f>
        <v>7</v>
      </c>
      <c r="L3">
        <f t="shared" si="0"/>
        <v>1</v>
      </c>
      <c r="M3">
        <f t="shared" si="0"/>
        <v>3</v>
      </c>
      <c r="N3">
        <f t="shared" si="0"/>
        <v>4</v>
      </c>
      <c r="O3">
        <f t="shared" si="0"/>
        <v>2</v>
      </c>
      <c r="P3">
        <f t="shared" si="0"/>
        <v>6</v>
      </c>
      <c r="R3">
        <v>2019</v>
      </c>
      <c r="S3" s="9">
        <f>100*('ONS - Annex F'!C94/AVERAGE('ONS - Annex F'!$C$94:$C$97))</f>
        <v>99.413922226780301</v>
      </c>
      <c r="T3" s="9">
        <f>C3</f>
        <v>98.661808129672693</v>
      </c>
      <c r="U3" s="9">
        <f t="shared" ref="U3:Y18" si="1">D3</f>
        <v>100.30737632595969</v>
      </c>
      <c r="V3" s="9">
        <f t="shared" si="1"/>
        <v>99.806170248597255</v>
      </c>
      <c r="W3" s="9">
        <f t="shared" si="1"/>
        <v>99.672107611873045</v>
      </c>
      <c r="X3" s="9">
        <f t="shared" si="1"/>
        <v>99.885229552464665</v>
      </c>
      <c r="Y3" s="9">
        <f t="shared" si="1"/>
        <v>98.975818523571249</v>
      </c>
      <c r="AA3">
        <v>2019</v>
      </c>
      <c r="AB3" s="9">
        <f>B3</f>
        <v>99.402082705699982</v>
      </c>
      <c r="AC3" s="9">
        <f>S3</f>
        <v>99.413922226780301</v>
      </c>
      <c r="AD3" s="9">
        <f>MEDIAN($S3:$Y3)</f>
        <v>99.672107611873045</v>
      </c>
      <c r="AE3" s="9">
        <f>MIN($S3:$Y3)</f>
        <v>98.661808129672693</v>
      </c>
      <c r="AF3" s="9">
        <f>MAX($S3:$Y3)-AE3</f>
        <v>1.6455681962870017</v>
      </c>
      <c r="AG3" s="9">
        <v>100</v>
      </c>
      <c r="AI3">
        <f t="shared" ref="AI3:AO3" si="2">RANK(S3,$S3:$Y3)</f>
        <v>5</v>
      </c>
      <c r="AJ3">
        <f t="shared" si="2"/>
        <v>7</v>
      </c>
      <c r="AK3">
        <f t="shared" si="2"/>
        <v>1</v>
      </c>
      <c r="AL3">
        <f t="shared" si="2"/>
        <v>3</v>
      </c>
      <c r="AM3">
        <f t="shared" si="2"/>
        <v>4</v>
      </c>
      <c r="AN3">
        <f t="shared" si="2"/>
        <v>2</v>
      </c>
      <c r="AO3">
        <f t="shared" si="2"/>
        <v>6</v>
      </c>
      <c r="AQ3">
        <v>2019</v>
      </c>
      <c r="AR3" s="9">
        <f>100*(BB3/BB$3)</f>
        <v>100</v>
      </c>
      <c r="AS3" s="9">
        <f>100*(BC3/BC$3)</f>
        <v>100</v>
      </c>
      <c r="AT3" s="9">
        <f t="shared" ref="AT3:AY3" si="3">100*(BD3/BD$3)</f>
        <v>100</v>
      </c>
      <c r="AU3" s="9">
        <f t="shared" si="3"/>
        <v>100</v>
      </c>
      <c r="AV3" s="9">
        <f t="shared" si="3"/>
        <v>100</v>
      </c>
      <c r="AW3" s="9">
        <f t="shared" si="3"/>
        <v>100</v>
      </c>
      <c r="AX3" s="9">
        <f t="shared" si="3"/>
        <v>100</v>
      </c>
      <c r="AY3" s="9">
        <f t="shared" si="3"/>
        <v>100</v>
      </c>
      <c r="BA3">
        <v>2019</v>
      </c>
      <c r="BB3">
        <f>SUMIF(Data!$A:$A,'Chart Data'!$BA3,Data!C:C)</f>
        <v>2233921</v>
      </c>
      <c r="BC3">
        <f>SUM('ONS - Annex F'!C94:C97)</f>
        <v>2474245</v>
      </c>
      <c r="BD3">
        <f>SUMIF(Data!$A:$A,'Chart Data'!$BA3,Data!D:D)</f>
        <v>20692.099999999999</v>
      </c>
      <c r="BE3">
        <f>SUMIF(Data!$A:$A,'Chart Data'!$BA3,Data!E:E)</f>
        <v>552514.9</v>
      </c>
      <c r="BF3">
        <f>SUMIF(Data!$A:$A,'Chart Data'!$BA3,Data!F:F)</f>
        <v>3309.2442999999998</v>
      </c>
      <c r="BG3">
        <f>SUMIF(Data!$A:$A,'Chart Data'!$BA3,Data!G:G)</f>
        <v>2507.5299999999997</v>
      </c>
      <c r="BH3">
        <f>SUMIF(Data!$A:$A,'Chart Data'!$BA3,Data!H:H)</f>
        <v>1728.6680000000001</v>
      </c>
      <c r="BI3">
        <f>SUMIF(Data!$A:$A,'Chart Data'!$BA3,Data!I:I)</f>
        <v>2241331.2999999998</v>
      </c>
      <c r="BK3" s="40">
        <v>43466</v>
      </c>
      <c r="BL3" s="9">
        <f>100*('ONS - Table 1'!CK270/AVERAGE('ONS - Table 1'!$CK$270:$CK$281))</f>
        <v>100.90840903408618</v>
      </c>
      <c r="BM3" s="9">
        <f>100*('ONS - Table 2'!CK270/AVERAGE('ONS - Table 2'!$CK$270:$CK$281))</f>
        <v>101.11317254174396</v>
      </c>
      <c r="BN3" s="9">
        <v>100</v>
      </c>
      <c r="BP3" s="40">
        <v>43466</v>
      </c>
      <c r="BQ3" s="9">
        <f>100*('ONS - Table 1'!ET270/AVERAGE('ONS - Table 1'!$ET$270:$ET$281))</f>
        <v>97.5</v>
      </c>
      <c r="BR3" s="9">
        <f>100*('ONS - Table 2'!ET270/AVERAGE('ONS - Table 2'!$ET$270:$ET$281))</f>
        <v>98.038310639279928</v>
      </c>
      <c r="BS3" s="9">
        <v>100</v>
      </c>
      <c r="BU3" s="40">
        <v>43466</v>
      </c>
      <c r="BV3" s="9">
        <f>100*('ONS - Table 1'!J270/AVERAGE('ONS - Table 1'!$J$270:$J$281))</f>
        <v>98.183636060656568</v>
      </c>
      <c r="BW3" s="9">
        <f>100*('ONS - Table 2'!J270/AVERAGE('ONS - Table 2'!$J$270:$J$281))</f>
        <v>98.640903880792536</v>
      </c>
      <c r="BX3" s="9">
        <v>100</v>
      </c>
      <c r="BZ3" t="s">
        <v>790</v>
      </c>
      <c r="CA3" s="9">
        <f>100*((HAVERD!C166/HAVERD!C161)-1)</f>
        <v>-2.33848876746936</v>
      </c>
      <c r="CB3" s="9">
        <f>100*((HAVERD!D166/HAVERD!D161)-1)</f>
        <v>-8.9503604333337154</v>
      </c>
      <c r="CC3" s="9">
        <f>100*((HAVERD!E166/HAVERD!E161)-1)</f>
        <v>-2.0349495983817856</v>
      </c>
      <c r="CD3" s="9">
        <f>100*((HAVERD!F166/HAVERD!F161)-1)</f>
        <v>-2.0785707213500704</v>
      </c>
      <c r="CE3" s="9">
        <f>100*((HAVERD!M166/HAVERD!M161)-1)</f>
        <v>-2.1898314542707631</v>
      </c>
      <c r="CF3" s="9">
        <f>100*((HAVERD!T166/HAVERD!T161)-1)</f>
        <v>-1.6688261910738134</v>
      </c>
      <c r="CG3" s="9">
        <f>100*((HAVERD!U166/HAVERD!U161)-1)</f>
        <v>-2.226710157736711</v>
      </c>
      <c r="CH3" s="9">
        <f>100*((HAVERD!Y166/HAVERD!Y161)-1)</f>
        <v>-3.6416504463612331</v>
      </c>
      <c r="CI3" s="9">
        <f>100*((HAVERD!AB166/HAVERD!AB161)-1)</f>
        <v>-3.3950311999447313</v>
      </c>
      <c r="CJ3" s="9">
        <f>100*((HAVERD!AZ166/HAVERD!AZ161)-1)</f>
        <v>-2.8154826777634812</v>
      </c>
      <c r="CL3" s="21">
        <v>45505</v>
      </c>
      <c r="CM3" s="9">
        <f>100*(HAVERD!F161/HAVERD!F$161)</f>
        <v>100</v>
      </c>
      <c r="CN3" s="9">
        <f>100*(HAVERD!AZ161/HAVERD!AZ$161)</f>
        <v>100</v>
      </c>
      <c r="CO3" s="9">
        <f>100*(HAVERD!C161/HAVERD!C$161)</f>
        <v>100</v>
      </c>
      <c r="CP3" s="9">
        <f>100*(HAVERD!E161/HAVERD!E$161)</f>
        <v>100</v>
      </c>
      <c r="CQ3" s="9">
        <f>100*(HAVERD!D161/HAVERD!D$161)</f>
        <v>100</v>
      </c>
      <c r="CR3" s="9">
        <f>100*(HAVERD!M161/HAVERD!M$161)</f>
        <v>100</v>
      </c>
      <c r="CS3">
        <v>100</v>
      </c>
    </row>
    <row r="4" spans="1:97" x14ac:dyDescent="0.25">
      <c r="B4" s="9">
        <f>100*(Data!C192/AVERAGE(Data!C$191:C$194))</f>
        <v>99.722774440098831</v>
      </c>
      <c r="C4" s="9">
        <f>100*(Data!D192/AVERAGE(Data!D$191:D$194))</f>
        <v>99.479994780616764</v>
      </c>
      <c r="D4" s="9">
        <f>100*(Data!E192/AVERAGE(Data!E$191:E$194))</f>
        <v>100.73045993872745</v>
      </c>
      <c r="E4" s="9">
        <f>100*(Data!F192/AVERAGE(Data!F$191:F$194))</f>
        <v>99.911849965262462</v>
      </c>
      <c r="F4" s="9">
        <f>100*(Data!G192/AVERAGE(Data!G$191:G$194))</f>
        <v>100.25275869082324</v>
      </c>
      <c r="G4" s="9">
        <f>100*(Data!H192/AVERAGE(Data!H$191:H$194))</f>
        <v>100.21542598116007</v>
      </c>
      <c r="H4" s="9">
        <f>100*(Data!I192/AVERAGE(Data!I$191:I$194))</f>
        <v>100.05937096403375</v>
      </c>
      <c r="J4">
        <f t="shared" ref="J4:J18" si="4">RANK(B4,$B4:$H4)</f>
        <v>6</v>
      </c>
      <c r="K4">
        <f t="shared" ref="K4:K18" si="5">RANK(C4,$B4:$H4)</f>
        <v>7</v>
      </c>
      <c r="L4">
        <f t="shared" ref="L4:L18" si="6">RANK(D4,$B4:$H4)</f>
        <v>1</v>
      </c>
      <c r="M4">
        <f t="shared" ref="M4:M18" si="7">RANK(E4,$B4:$H4)</f>
        <v>5</v>
      </c>
      <c r="N4">
        <f t="shared" ref="N4:N18" si="8">RANK(F4,$B4:$H4)</f>
        <v>2</v>
      </c>
      <c r="O4">
        <f t="shared" ref="O4:O18" si="9">RANK(G4,$B4:$H4)</f>
        <v>3</v>
      </c>
      <c r="P4">
        <f t="shared" ref="P4:P18" si="10">RANK(H4,$B4:$H4)</f>
        <v>4</v>
      </c>
      <c r="S4" s="9">
        <f>100*('ONS - Annex F'!C95/AVERAGE('ONS - Annex F'!$C$94:$C$97))</f>
        <v>99.723834947630479</v>
      </c>
      <c r="T4" s="9">
        <f t="shared" ref="T4:T18" si="11">C4</f>
        <v>99.479994780616764</v>
      </c>
      <c r="U4" s="9">
        <f t="shared" si="1"/>
        <v>100.73045993872745</v>
      </c>
      <c r="V4" s="9">
        <f t="shared" si="1"/>
        <v>99.911849965262462</v>
      </c>
      <c r="W4" s="9">
        <f t="shared" si="1"/>
        <v>100.25275869082324</v>
      </c>
      <c r="X4" s="9">
        <f t="shared" si="1"/>
        <v>100.21542598116007</v>
      </c>
      <c r="Y4" s="9">
        <f t="shared" si="1"/>
        <v>100.05937096403375</v>
      </c>
      <c r="AB4" s="9">
        <f t="shared" ref="AB4:AB18" si="12">B4</f>
        <v>99.722774440098831</v>
      </c>
      <c r="AC4" s="9">
        <f t="shared" ref="AC4:AC18" si="13">S4</f>
        <v>99.723834947630479</v>
      </c>
      <c r="AD4" s="9">
        <f t="shared" ref="AD4:AD18" si="14">MEDIAN($S4:$Y4)</f>
        <v>100.05937096403375</v>
      </c>
      <c r="AE4" s="9">
        <f t="shared" ref="AE4:AE18" si="15">MIN($S4:$Y4)</f>
        <v>99.479994780616764</v>
      </c>
      <c r="AF4" s="9">
        <f t="shared" ref="AF4:AF18" si="16">MAX($S4:$Y4)-AE4</f>
        <v>1.2504651581106856</v>
      </c>
      <c r="AG4" s="9">
        <v>100</v>
      </c>
      <c r="AI4">
        <f t="shared" ref="AI4:AI18" si="17">RANK(S4,$S4:$Y4)</f>
        <v>6</v>
      </c>
      <c r="AJ4">
        <f t="shared" ref="AJ4:AJ18" si="18">RANK(T4,$S4:$Y4)</f>
        <v>7</v>
      </c>
      <c r="AK4">
        <f t="shared" ref="AK4:AK18" si="19">RANK(U4,$S4:$Y4)</f>
        <v>1</v>
      </c>
      <c r="AL4">
        <f t="shared" ref="AL4:AL18" si="20">RANK(V4,$S4:$Y4)</f>
        <v>5</v>
      </c>
      <c r="AM4">
        <f t="shared" ref="AM4:AM18" si="21">RANK(W4,$S4:$Y4)</f>
        <v>2</v>
      </c>
      <c r="AN4">
        <f t="shared" ref="AN4:AN18" si="22">RANK(X4,$S4:$Y4)</f>
        <v>3</v>
      </c>
      <c r="AO4">
        <f t="shared" ref="AO4:AO18" si="23">RANK(Y4,$S4:$Y4)</f>
        <v>4</v>
      </c>
      <c r="AQ4">
        <v>2020</v>
      </c>
      <c r="AR4" s="9">
        <f t="shared" ref="AR4:AS7" si="24">100*(BB4/BB$3)</f>
        <v>89.640099179872522</v>
      </c>
      <c r="AS4" s="9">
        <f t="shared" si="24"/>
        <v>89.703081141924102</v>
      </c>
      <c r="AT4" s="9">
        <f t="shared" ref="AT4:AT7" si="25">100*(BD4/BD$3)</f>
        <v>97.786474064981306</v>
      </c>
      <c r="AU4" s="9">
        <f t="shared" ref="AU4:AU7" si="26">100*(BE4/BE$3)</f>
        <v>95.779715623958722</v>
      </c>
      <c r="AV4" s="9">
        <f t="shared" ref="AV4:AV7" si="27">100*(BF4/BF$3)</f>
        <v>95.543577728607119</v>
      </c>
      <c r="AW4" s="9">
        <f t="shared" ref="AW4:AW7" si="28">100*(BG4/BG$3)</f>
        <v>92.408186542135084</v>
      </c>
      <c r="AX4" s="9">
        <f t="shared" ref="AX4:AX7" si="29">100*(BH4/BH$3)</f>
        <v>90.950373351042529</v>
      </c>
      <c r="AY4" s="9">
        <f t="shared" ref="AY4:AY7" si="30">100*(BI4/BI$3)</f>
        <v>94.961766696427247</v>
      </c>
      <c r="BA4">
        <v>2020</v>
      </c>
      <c r="BB4">
        <f>SUMIF(Data!$A:$A,'Chart Data'!$BA4,Data!C:C)</f>
        <v>2002489</v>
      </c>
      <c r="BC4">
        <f>SUM('ONS - Annex F'!C98:C101)</f>
        <v>2219474</v>
      </c>
      <c r="BD4">
        <f>SUMIF(Data!$A:$A,'Chart Data'!$BA4,Data!D:D)</f>
        <v>20234.074999999997</v>
      </c>
      <c r="BE4">
        <f>SUMIF(Data!$A:$A,'Chart Data'!$BA4,Data!E:E)</f>
        <v>529197.19999999995</v>
      </c>
      <c r="BF4">
        <f>SUMIF(Data!$A:$A,'Chart Data'!$BA4,Data!F:F)</f>
        <v>3161.7704000000003</v>
      </c>
      <c r="BG4">
        <f>SUMIF(Data!$A:$A,'Chart Data'!$BA4,Data!G:G)</f>
        <v>2317.1629999999996</v>
      </c>
      <c r="BH4">
        <f>SUMIF(Data!$A:$A,'Chart Data'!$BA4,Data!H:H)</f>
        <v>1572.23</v>
      </c>
      <c r="BI4">
        <f>SUMIF(Data!$A:$A,'Chart Data'!$BA4,Data!I:I)</f>
        <v>2128407.7999999998</v>
      </c>
      <c r="BK4" s="40">
        <v>43497</v>
      </c>
      <c r="BL4" s="9">
        <f>100*('ONS - Table 1'!CK271/AVERAGE('ONS - Table 1'!$CK$270:$CK$281))</f>
        <v>101.10842570214183</v>
      </c>
      <c r="BM4" s="9">
        <f>100*('ONS - Table 2'!CK271/AVERAGE('ONS - Table 2'!$CK$270:$CK$281))</f>
        <v>101.48423005565863</v>
      </c>
      <c r="BN4" s="9">
        <v>100</v>
      </c>
      <c r="BP4" s="40">
        <v>43497</v>
      </c>
      <c r="BQ4" s="9">
        <f>100*('ONS - Table 1'!ET271/AVERAGE('ONS - Table 1'!$ET$270:$ET$281))</f>
        <v>99.1</v>
      </c>
      <c r="BR4" s="9">
        <f>100*('ONS - Table 2'!ET271/AVERAGE('ONS - Table 2'!$ET$270:$ET$281))</f>
        <v>99.607662127855974</v>
      </c>
      <c r="BS4" s="9">
        <v>100</v>
      </c>
      <c r="BU4" s="40">
        <v>43497</v>
      </c>
      <c r="BV4" s="9">
        <f>100*('ONS - Table 1'!J271/AVERAGE('ONS - Table 1'!$J$270:$J$281))</f>
        <v>99.383436093984344</v>
      </c>
      <c r="BW4" s="9">
        <f>100*('ONS - Table 2'!J271/AVERAGE('ONS - Table 2'!$J$270:$J$281))</f>
        <v>99.328639266415578</v>
      </c>
      <c r="BX4" s="9">
        <v>100</v>
      </c>
      <c r="CL4" s="21">
        <f>+CL3+1</f>
        <v>45506</v>
      </c>
      <c r="CM4" s="9">
        <f>100*(HAVERD!F162/HAVERD!F$161)</f>
        <v>98.44772769777444</v>
      </c>
      <c r="CN4" s="9">
        <f>100*(HAVERD!AZ162/HAVERD!AZ$161)</f>
        <v>97.935863139469603</v>
      </c>
      <c r="CO4" s="9">
        <f>100*(HAVERD!C162/HAVERD!C$161)</f>
        <v>98.161816005346381</v>
      </c>
      <c r="CP4" s="9">
        <f>100*(HAVERD!E162/HAVERD!E$161)</f>
        <v>97.334715426000685</v>
      </c>
      <c r="CQ4" s="9">
        <f>100*(HAVERD!D162/HAVERD!D$161)</f>
        <v>93.856914069290482</v>
      </c>
      <c r="CR4" s="9">
        <f>100*(HAVERD!M162/HAVERD!M$161)</f>
        <v>97.81905813483219</v>
      </c>
      <c r="CS4">
        <v>100</v>
      </c>
    </row>
    <row r="5" spans="1:97" x14ac:dyDescent="0.25">
      <c r="B5" s="9">
        <f>100*(Data!C193/AVERAGE(Data!C$191:C$194))</f>
        <v>100.44885204087342</v>
      </c>
      <c r="C5" s="9">
        <f>100*(Data!D193/AVERAGE(Data!D$191:D$194))</f>
        <v>100.60651166387171</v>
      </c>
      <c r="D5" s="9">
        <f>100*(Data!E193/AVERAGE(Data!E$191:E$194))</f>
        <v>100.91289845758007</v>
      </c>
      <c r="E5" s="9">
        <f>100*(Data!F193/AVERAGE(Data!F$191:F$194))</f>
        <v>100.14098989307014</v>
      </c>
      <c r="F5" s="9">
        <f>100*(Data!G193/AVERAGE(Data!G$191:G$194))</f>
        <v>100.29359568978238</v>
      </c>
      <c r="G5" s="9">
        <f>100*(Data!H193/AVERAGE(Data!H$191:H$194))</f>
        <v>100.27743904555413</v>
      </c>
      <c r="H5" s="9">
        <f>100*(Data!I193/AVERAGE(Data!I$191:I$194))</f>
        <v>100.33916895730677</v>
      </c>
      <c r="J5">
        <f t="shared" si="4"/>
        <v>3</v>
      </c>
      <c r="K5">
        <f t="shared" si="5"/>
        <v>2</v>
      </c>
      <c r="L5">
        <f t="shared" si="6"/>
        <v>1</v>
      </c>
      <c r="M5">
        <f t="shared" si="7"/>
        <v>7</v>
      </c>
      <c r="N5">
        <f t="shared" si="8"/>
        <v>5</v>
      </c>
      <c r="O5">
        <f t="shared" si="9"/>
        <v>6</v>
      </c>
      <c r="P5">
        <f t="shared" si="10"/>
        <v>4</v>
      </c>
      <c r="S5" s="9">
        <f>100*('ONS - Annex F'!C96/AVERAGE('ONS - Annex F'!$C$94:$C$97))</f>
        <v>100.43095974731686</v>
      </c>
      <c r="T5" s="9">
        <f t="shared" si="11"/>
        <v>100.60651166387171</v>
      </c>
      <c r="U5" s="9">
        <f t="shared" si="1"/>
        <v>100.91289845758007</v>
      </c>
      <c r="V5" s="9">
        <f t="shared" si="1"/>
        <v>100.14098989307014</v>
      </c>
      <c r="W5" s="9">
        <f t="shared" si="1"/>
        <v>100.29359568978238</v>
      </c>
      <c r="X5" s="9">
        <f t="shared" si="1"/>
        <v>100.27743904555413</v>
      </c>
      <c r="Y5" s="9">
        <f t="shared" si="1"/>
        <v>100.33916895730677</v>
      </c>
      <c r="AB5" s="9">
        <f t="shared" si="12"/>
        <v>100.44885204087342</v>
      </c>
      <c r="AC5" s="9">
        <f t="shared" si="13"/>
        <v>100.43095974731686</v>
      </c>
      <c r="AD5" s="9">
        <f t="shared" si="14"/>
        <v>100.33916895730677</v>
      </c>
      <c r="AE5" s="9">
        <f t="shared" si="15"/>
        <v>100.14098989307014</v>
      </c>
      <c r="AF5" s="9">
        <f t="shared" si="16"/>
        <v>0.7719085645099284</v>
      </c>
      <c r="AG5" s="9">
        <v>100</v>
      </c>
      <c r="AI5">
        <f t="shared" si="17"/>
        <v>3</v>
      </c>
      <c r="AJ5">
        <f t="shared" si="18"/>
        <v>2</v>
      </c>
      <c r="AK5">
        <f t="shared" si="19"/>
        <v>1</v>
      </c>
      <c r="AL5">
        <f t="shared" si="20"/>
        <v>7</v>
      </c>
      <c r="AM5">
        <f t="shared" si="21"/>
        <v>5</v>
      </c>
      <c r="AN5">
        <f t="shared" si="22"/>
        <v>6</v>
      </c>
      <c r="AO5">
        <f t="shared" si="23"/>
        <v>4</v>
      </c>
      <c r="AQ5">
        <v>2021</v>
      </c>
      <c r="AR5" s="9">
        <f t="shared" si="24"/>
        <v>97.416291802619696</v>
      </c>
      <c r="AS5" s="9">
        <f t="shared" si="24"/>
        <v>97.39597331711289</v>
      </c>
      <c r="AT5" s="9">
        <f t="shared" si="25"/>
        <v>103.45820385557774</v>
      </c>
      <c r="AU5" s="9">
        <f t="shared" si="26"/>
        <v>98.435082927175358</v>
      </c>
      <c r="AV5" s="9">
        <f t="shared" si="27"/>
        <v>98.927407686401409</v>
      </c>
      <c r="AW5" s="9">
        <f t="shared" si="28"/>
        <v>98.71865939789356</v>
      </c>
      <c r="AX5" s="9">
        <f t="shared" si="29"/>
        <v>98.479522962188227</v>
      </c>
      <c r="AY5" s="9">
        <f t="shared" si="30"/>
        <v>99.982358699046443</v>
      </c>
      <c r="BA5">
        <v>2021</v>
      </c>
      <c r="BB5">
        <f>SUMIF(Data!$A:$A,'Chart Data'!$BA5,Data!C:C)</f>
        <v>2176203</v>
      </c>
      <c r="BC5">
        <f>SUM('ONS - Annex F'!C102:C105)</f>
        <v>2409815</v>
      </c>
      <c r="BD5">
        <f>SUMIF(Data!$A:$A,'Chart Data'!$BA5,Data!D:D)</f>
        <v>21407.674999999999</v>
      </c>
      <c r="BE5">
        <f>SUMIF(Data!$A:$A,'Chart Data'!$BA5,Data!E:E)</f>
        <v>543868.5</v>
      </c>
      <c r="BF5">
        <f>SUMIF(Data!$A:$A,'Chart Data'!$BA5,Data!F:F)</f>
        <v>3273.7496000000001</v>
      </c>
      <c r="BG5">
        <f>SUMIF(Data!$A:$A,'Chart Data'!$BA5,Data!G:G)</f>
        <v>2475.4</v>
      </c>
      <c r="BH5">
        <f>SUMIF(Data!$A:$A,'Chart Data'!$BA5,Data!H:H)</f>
        <v>1702.384</v>
      </c>
      <c r="BI5">
        <f>SUMIF(Data!$A:$A,'Chart Data'!$BA5,Data!I:I)</f>
        <v>2240935.9000000004</v>
      </c>
      <c r="BK5" s="40">
        <v>43525</v>
      </c>
      <c r="BL5" s="9">
        <f>100*('ONS - Table 1'!CK272/AVERAGE('ONS - Table 1'!$CK$270:$CK$281))</f>
        <v>101.00841736811401</v>
      </c>
      <c r="BM5" s="9">
        <f>100*('ONS - Table 2'!CK272/AVERAGE('ONS - Table 2'!$CK$270:$CK$281))</f>
        <v>101.11317254174396</v>
      </c>
      <c r="BN5" s="9">
        <v>100</v>
      </c>
      <c r="BP5" s="40">
        <v>43525</v>
      </c>
      <c r="BQ5" s="9">
        <f>100*('ONS - Table 1'!ET272/AVERAGE('ONS - Table 1'!$ET$270:$ET$281))</f>
        <v>100.49999999999999</v>
      </c>
      <c r="BR5" s="9">
        <f>100*('ONS - Table 2'!ET272/AVERAGE('ONS - Table 2'!$ET$270:$ET$281))</f>
        <v>101.45395799676895</v>
      </c>
      <c r="BS5" s="9">
        <v>100</v>
      </c>
      <c r="BU5" s="40">
        <v>43525</v>
      </c>
      <c r="BV5" s="9">
        <f>100*('ONS - Table 1'!J272/AVERAGE('ONS - Table 1'!$J$270:$J$281))</f>
        <v>100.58323612731211</v>
      </c>
      <c r="BW5" s="9">
        <f>100*('ONS - Table 2'!J272/AVERAGE('ONS - Table 2'!$J$270:$J$281))</f>
        <v>100.21287047650236</v>
      </c>
      <c r="BX5" s="9">
        <v>100</v>
      </c>
      <c r="CL5" s="21">
        <f>+CL4+3</f>
        <v>45509</v>
      </c>
      <c r="CM5" s="9">
        <f>100*(HAVERD!F163/HAVERD!F$161)</f>
        <v>96.320971627850696</v>
      </c>
      <c r="CN5" s="9">
        <f>100*(HAVERD!AZ163/HAVERD!AZ$161)</f>
        <v>94.71250701806531</v>
      </c>
      <c r="CO5" s="9">
        <f>100*(HAVERD!C163/HAVERD!C$161)</f>
        <v>95.220023941189851</v>
      </c>
      <c r="CP5" s="9">
        <f>100*(HAVERD!E163/HAVERD!E$161)</f>
        <v>95.926743493113321</v>
      </c>
      <c r="CQ5" s="9">
        <f>100*(HAVERD!D163/HAVERD!D$161)</f>
        <v>82.37445861026967</v>
      </c>
      <c r="CR5" s="9" t="e">
        <f>100*(HAVERD!M163/HAVERD!M$161)</f>
        <v>#N/A</v>
      </c>
      <c r="CS5">
        <v>100</v>
      </c>
    </row>
    <row r="6" spans="1:97" x14ac:dyDescent="0.25">
      <c r="B6" s="9">
        <f>100*(Data!C194/AVERAGE(Data!C$191:C$194))</f>
        <v>100.42629081332777</v>
      </c>
      <c r="C6" s="9">
        <f>100*(Data!D194/AVERAGE(Data!D$191:D$194))</f>
        <v>101.25168542583884</v>
      </c>
      <c r="D6" s="9">
        <f>100*(Data!E194/AVERAGE(Data!E$191:E$194))</f>
        <v>98.049265277732786</v>
      </c>
      <c r="E6" s="9">
        <f>100*(Data!F194/AVERAGE(Data!F$191:F$194))</f>
        <v>100.14098989307014</v>
      </c>
      <c r="F6" s="9">
        <f>100*(Data!G194/AVERAGE(Data!G$191:G$194))</f>
        <v>99.781538007521362</v>
      </c>
      <c r="G6" s="9">
        <f>100*(Data!H194/AVERAGE(Data!H$191:H$194))</f>
        <v>99.621905420821108</v>
      </c>
      <c r="H6" s="9">
        <f>100*(Data!I194/AVERAGE(Data!I$191:I$194))</f>
        <v>100.62564155508827</v>
      </c>
      <c r="J6">
        <f t="shared" si="4"/>
        <v>3</v>
      </c>
      <c r="K6">
        <f t="shared" si="5"/>
        <v>1</v>
      </c>
      <c r="L6">
        <f t="shared" si="6"/>
        <v>7</v>
      </c>
      <c r="M6">
        <f t="shared" si="7"/>
        <v>4</v>
      </c>
      <c r="N6">
        <f t="shared" si="8"/>
        <v>5</v>
      </c>
      <c r="O6">
        <f t="shared" si="9"/>
        <v>6</v>
      </c>
      <c r="P6">
        <f t="shared" si="10"/>
        <v>2</v>
      </c>
      <c r="S6" s="9">
        <f>100*('ONS - Annex F'!C97/AVERAGE('ONS - Annex F'!$C$94:$C$97))</f>
        <v>100.43128307827236</v>
      </c>
      <c r="T6" s="9">
        <f t="shared" si="11"/>
        <v>101.25168542583884</v>
      </c>
      <c r="U6" s="9">
        <f t="shared" si="1"/>
        <v>98.049265277732786</v>
      </c>
      <c r="V6" s="9">
        <f t="shared" si="1"/>
        <v>100.14098989307014</v>
      </c>
      <c r="W6" s="9">
        <f t="shared" si="1"/>
        <v>99.781538007521362</v>
      </c>
      <c r="X6" s="9">
        <f t="shared" si="1"/>
        <v>99.621905420821108</v>
      </c>
      <c r="Y6" s="9">
        <f t="shared" si="1"/>
        <v>100.62564155508827</v>
      </c>
      <c r="AB6" s="9">
        <f t="shared" si="12"/>
        <v>100.42629081332777</v>
      </c>
      <c r="AC6" s="9">
        <f t="shared" si="13"/>
        <v>100.43128307827236</v>
      </c>
      <c r="AD6" s="9">
        <f t="shared" si="14"/>
        <v>100.14098989307014</v>
      </c>
      <c r="AE6" s="9">
        <f t="shared" si="15"/>
        <v>98.049265277732786</v>
      </c>
      <c r="AF6" s="9">
        <f t="shared" si="16"/>
        <v>3.2024201481060572</v>
      </c>
      <c r="AG6" s="9">
        <v>100</v>
      </c>
      <c r="AI6">
        <f t="shared" si="17"/>
        <v>3</v>
      </c>
      <c r="AJ6">
        <f t="shared" si="18"/>
        <v>1</v>
      </c>
      <c r="AK6">
        <f t="shared" si="19"/>
        <v>7</v>
      </c>
      <c r="AL6">
        <f t="shared" si="20"/>
        <v>4</v>
      </c>
      <c r="AM6">
        <f t="shared" si="21"/>
        <v>5</v>
      </c>
      <c r="AN6">
        <f t="shared" si="22"/>
        <v>6</v>
      </c>
      <c r="AO6">
        <f t="shared" si="23"/>
        <v>2</v>
      </c>
      <c r="AQ6">
        <v>2022</v>
      </c>
      <c r="AR6" s="9">
        <f t="shared" si="24"/>
        <v>101.64925259219105</v>
      </c>
      <c r="AS6" s="9">
        <f t="shared" si="24"/>
        <v>102.10904740638054</v>
      </c>
      <c r="AT6" s="9">
        <f t="shared" si="25"/>
        <v>105.46077971786336</v>
      </c>
      <c r="AU6" s="9">
        <f t="shared" si="26"/>
        <v>99.603775391396681</v>
      </c>
      <c r="AV6" s="9">
        <f t="shared" si="27"/>
        <v>100.64628954713316</v>
      </c>
      <c r="AW6" s="9">
        <f t="shared" si="28"/>
        <v>101.30379297555763</v>
      </c>
      <c r="AX6" s="9">
        <f t="shared" si="29"/>
        <v>102.56174117875727</v>
      </c>
      <c r="AY6" s="9">
        <f t="shared" si="30"/>
        <v>103.80155312157558</v>
      </c>
      <c r="BA6">
        <v>2022</v>
      </c>
      <c r="BB6">
        <f>SUMIF(Data!$A:$A,'Chart Data'!$BA6,Data!C:C)</f>
        <v>2270764</v>
      </c>
      <c r="BC6">
        <f>SUM('ONS - Annex F'!C106:C109)</f>
        <v>2526428</v>
      </c>
      <c r="BD6">
        <f>SUMIF(Data!$A:$A,'Chart Data'!$BA6,Data!D:D)</f>
        <v>21822.050000000003</v>
      </c>
      <c r="BE6">
        <f>SUMIF(Data!$A:$A,'Chart Data'!$BA6,Data!E:E)</f>
        <v>550325.69999999995</v>
      </c>
      <c r="BF6">
        <f>SUMIF(Data!$A:$A,'Chart Data'!$BA6,Data!F:F)</f>
        <v>3330.6316000000002</v>
      </c>
      <c r="BG6">
        <f>SUMIF(Data!$A:$A,'Chart Data'!$BA6,Data!G:G)</f>
        <v>2540.223</v>
      </c>
      <c r="BH6">
        <f>SUMIF(Data!$A:$A,'Chart Data'!$BA6,Data!H:H)</f>
        <v>1772.952</v>
      </c>
      <c r="BI6">
        <f>SUMIF(Data!$A:$A,'Chart Data'!$BA6,Data!I:I)</f>
        <v>2326536.7000000002</v>
      </c>
      <c r="BK6" s="40">
        <v>43556</v>
      </c>
      <c r="BL6" s="9">
        <f>100*('ONS - Table 1'!CK273/AVERAGE('ONS - Table 1'!$CK$270:$CK$281))</f>
        <v>100.90840903408618</v>
      </c>
      <c r="BM6" s="9">
        <f>100*('ONS - Table 2'!CK273/AVERAGE('ONS - Table 2'!$CK$270:$CK$281))</f>
        <v>101.0204081632653</v>
      </c>
      <c r="BN6" s="9">
        <v>100</v>
      </c>
      <c r="BP6" s="40">
        <v>43556</v>
      </c>
      <c r="BQ6" s="9">
        <f>100*('ONS - Table 1'!ET273/AVERAGE('ONS - Table 1'!$ET$270:$ET$281))</f>
        <v>99.5</v>
      </c>
      <c r="BR6" s="9">
        <f>100*('ONS - Table 2'!ET273/AVERAGE('ONS - Table 2'!$ET$270:$ET$281))</f>
        <v>100.06923609508422</v>
      </c>
      <c r="BS6" s="9">
        <v>100</v>
      </c>
      <c r="BU6" s="40">
        <v>43556</v>
      </c>
      <c r="BV6" s="9">
        <f>100*('ONS - Table 1'!J273/AVERAGE('ONS - Table 1'!$J$270:$J$281))</f>
        <v>97.583736043992658</v>
      </c>
      <c r="BW6" s="9">
        <f>100*('ONS - Table 2'!J273/AVERAGE('ONS - Table 2'!$J$270:$J$281))</f>
        <v>97.854920582937595</v>
      </c>
      <c r="BX6" s="9">
        <v>100</v>
      </c>
      <c r="CL6" s="21">
        <f>+CL5+1</f>
        <v>45510</v>
      </c>
      <c r="CM6" s="9">
        <f>100*(HAVERD!F164/HAVERD!F$161)</f>
        <v>96.607663450643031</v>
      </c>
      <c r="CN6" s="9">
        <f>100*(HAVERD!AZ164/HAVERD!AZ$161)</f>
        <v>95.865121040985485</v>
      </c>
      <c r="CO6" s="9">
        <f>100*(HAVERD!C164/HAVERD!C$161)</f>
        <v>96.20594564027995</v>
      </c>
      <c r="CP6" s="9">
        <f>100*(HAVERD!E164/HAVERD!E$161)</f>
        <v>96.002702634649111</v>
      </c>
      <c r="CQ6" s="9">
        <f>100*(HAVERD!D164/HAVERD!D$161)</f>
        <v>90.032880988574874</v>
      </c>
      <c r="CR6" s="9">
        <f>100*(HAVERD!M164/HAVERD!M$161)</f>
        <v>96.726474824639666</v>
      </c>
      <c r="CS6">
        <v>100</v>
      </c>
    </row>
    <row r="7" spans="1:97" x14ac:dyDescent="0.25">
      <c r="A7">
        <v>2020</v>
      </c>
      <c r="B7" s="9">
        <f>100*(Data!C195/AVERAGE(Data!C$191:C$194))</f>
        <v>97.693159247797936</v>
      </c>
      <c r="C7" s="9">
        <f>100*(Data!D195/AVERAGE(Data!D$191:D$194))</f>
        <v>99.87193180005896</v>
      </c>
      <c r="D7" s="9">
        <f>100*(Data!E195/AVERAGE(Data!E$191:E$194))</f>
        <v>98.536202372098913</v>
      </c>
      <c r="E7" s="9">
        <f>100*(Data!F195/AVERAGE(Data!F$191:F$194))</f>
        <v>97.90068385099282</v>
      </c>
      <c r="F7" s="9">
        <f>100*(Data!G195/AVERAGE(Data!G$191:G$194))</f>
        <v>94.654261364769326</v>
      </c>
      <c r="G7" s="9">
        <f>100*(Data!H195/AVERAGE(Data!H$191:H$194))</f>
        <v>93.608026526782467</v>
      </c>
      <c r="H7" s="9">
        <f>100*(Data!I195/AVERAGE(Data!I$191:I$194))</f>
        <v>98.663504141489483</v>
      </c>
      <c r="J7">
        <f t="shared" si="4"/>
        <v>5</v>
      </c>
      <c r="K7">
        <f t="shared" si="5"/>
        <v>1</v>
      </c>
      <c r="L7">
        <f t="shared" si="6"/>
        <v>3</v>
      </c>
      <c r="M7">
        <f t="shared" si="7"/>
        <v>4</v>
      </c>
      <c r="N7">
        <f t="shared" si="8"/>
        <v>6</v>
      </c>
      <c r="O7">
        <f t="shared" si="9"/>
        <v>7</v>
      </c>
      <c r="P7">
        <f t="shared" si="10"/>
        <v>2</v>
      </c>
      <c r="R7">
        <v>2020</v>
      </c>
      <c r="S7" s="9">
        <f>100*('ONS - Annex F'!C98/AVERAGE('ONS - Annex F'!$C$94:$C$97))</f>
        <v>97.762186040590166</v>
      </c>
      <c r="T7" s="9">
        <f t="shared" si="11"/>
        <v>99.87193180005896</v>
      </c>
      <c r="U7" s="9">
        <f t="shared" si="1"/>
        <v>98.536202372098913</v>
      </c>
      <c r="V7" s="9">
        <f t="shared" si="1"/>
        <v>97.90068385099282</v>
      </c>
      <c r="W7" s="9">
        <f t="shared" si="1"/>
        <v>94.654261364769326</v>
      </c>
      <c r="X7" s="9">
        <f t="shared" si="1"/>
        <v>93.608026526782467</v>
      </c>
      <c r="Y7" s="9">
        <f t="shared" si="1"/>
        <v>98.663504141489483</v>
      </c>
      <c r="AA7">
        <v>2020</v>
      </c>
      <c r="AB7" s="9">
        <f t="shared" si="12"/>
        <v>97.693159247797936</v>
      </c>
      <c r="AC7" s="9">
        <f t="shared" si="13"/>
        <v>97.762186040590166</v>
      </c>
      <c r="AD7" s="9">
        <f t="shared" si="14"/>
        <v>97.90068385099282</v>
      </c>
      <c r="AE7" s="9">
        <f t="shared" si="15"/>
        <v>93.608026526782467</v>
      </c>
      <c r="AF7" s="9">
        <f t="shared" si="16"/>
        <v>6.2639052732764924</v>
      </c>
      <c r="AG7" s="9">
        <v>100</v>
      </c>
      <c r="AI7">
        <f t="shared" si="17"/>
        <v>5</v>
      </c>
      <c r="AJ7">
        <f t="shared" si="18"/>
        <v>1</v>
      </c>
      <c r="AK7">
        <f t="shared" si="19"/>
        <v>3</v>
      </c>
      <c r="AL7">
        <f t="shared" si="20"/>
        <v>4</v>
      </c>
      <c r="AM7">
        <f t="shared" si="21"/>
        <v>6</v>
      </c>
      <c r="AN7">
        <f t="shared" si="22"/>
        <v>7</v>
      </c>
      <c r="AO7">
        <f t="shared" si="23"/>
        <v>2</v>
      </c>
      <c r="AQ7">
        <v>2023</v>
      </c>
      <c r="AR7" s="9">
        <f t="shared" si="24"/>
        <v>101.75498596414107</v>
      </c>
      <c r="AS7" s="9">
        <f t="shared" si="24"/>
        <v>0</v>
      </c>
      <c r="AT7" s="9">
        <f t="shared" si="25"/>
        <v>108.14235867794957</v>
      </c>
      <c r="AU7" s="9">
        <f t="shared" si="26"/>
        <v>101.40515667541274</v>
      </c>
      <c r="AV7" s="9">
        <f t="shared" si="27"/>
        <v>100.58650248336154</v>
      </c>
      <c r="AW7" s="9">
        <f t="shared" si="28"/>
        <v>102.43845537241829</v>
      </c>
      <c r="AX7" s="9">
        <f t="shared" si="29"/>
        <v>103.60502999997685</v>
      </c>
      <c r="AY7" s="9">
        <f t="shared" si="30"/>
        <v>105.09795227506081</v>
      </c>
      <c r="BA7">
        <v>2023</v>
      </c>
      <c r="BB7">
        <f>SUMIF(Data!$A:$A,'Chart Data'!$BA7,Data!C:C)</f>
        <v>2273126</v>
      </c>
      <c r="BD7">
        <f>SUMIF(Data!$A:$A,'Chart Data'!$BA7,Data!D:D)</f>
        <v>22376.924999999999</v>
      </c>
      <c r="BE7">
        <f>SUMIF(Data!$A:$A,'Chart Data'!$BA7,Data!E:E)</f>
        <v>560278.60000000009</v>
      </c>
      <c r="BF7">
        <f>SUMIF(Data!$A:$A,'Chart Data'!$BA7,Data!F:F)</f>
        <v>3328.6531</v>
      </c>
      <c r="BG7">
        <f>SUMIF(Data!$A:$A,'Chart Data'!$BA7,Data!G:G)</f>
        <v>2568.6750000000002</v>
      </c>
      <c r="BH7">
        <f>SUMIF(Data!$A:$A,'Chart Data'!$BA7,Data!H:H)</f>
        <v>1790.9870000000001</v>
      </c>
      <c r="BI7">
        <f>SUMIF(Data!$A:$A,'Chart Data'!$BA7,Data!I:I)</f>
        <v>2355593.2999999998</v>
      </c>
      <c r="BK7" s="40">
        <v>43586</v>
      </c>
      <c r="BL7" s="9">
        <f>100*('ONS - Table 1'!CK274/AVERAGE('ONS - Table 1'!$CK$270:$CK$281))</f>
        <v>100.00833402783564</v>
      </c>
      <c r="BM7" s="9">
        <f>100*('ONS - Table 2'!CK274/AVERAGE('ONS - Table 2'!$CK$270:$CK$281))</f>
        <v>99.999999999999986</v>
      </c>
      <c r="BN7" s="9">
        <v>100</v>
      </c>
      <c r="BP7" s="40">
        <v>43586</v>
      </c>
      <c r="BQ7" s="9">
        <f>100*('ONS - Table 1'!ET274/AVERAGE('ONS - Table 1'!$ET$270:$ET$281))</f>
        <v>99.4</v>
      </c>
      <c r="BR7" s="9">
        <f>100*('ONS - Table 2'!ET274/AVERAGE('ONS - Table 2'!$ET$270:$ET$281))</f>
        <v>99.884606508192903</v>
      </c>
      <c r="BS7" s="9">
        <v>100</v>
      </c>
      <c r="BU7" s="40">
        <v>43586</v>
      </c>
      <c r="BV7" s="9">
        <f>100*('ONS - Table 1'!J274/AVERAGE('ONS - Table 1'!$J$270:$J$281))</f>
        <v>98.583569405099141</v>
      </c>
      <c r="BW7" s="9">
        <f>100*('ONS - Table 2'!J274/AVERAGE('ONS - Table 2'!$J$270:$J$281))</f>
        <v>98.542655968560652</v>
      </c>
      <c r="BX7" s="9">
        <v>100</v>
      </c>
      <c r="CL7" s="21">
        <f>+CL6+1</f>
        <v>45511</v>
      </c>
      <c r="CM7" s="9">
        <f>100*(HAVERD!F165/HAVERD!F$161)</f>
        <v>98.187658830130147</v>
      </c>
      <c r="CN7" s="9">
        <f>100*(HAVERD!AZ165/HAVERD!AZ$161)</f>
        <v>95.871726278939192</v>
      </c>
      <c r="CO7" s="9">
        <f>100*(HAVERD!C165/HAVERD!C$161)</f>
        <v>95.461822614877306</v>
      </c>
      <c r="CP7" s="9">
        <f>100*(HAVERD!E165/HAVERD!E$161)</f>
        <v>97.950781833594931</v>
      </c>
      <c r="CQ7" s="9">
        <f>100*(HAVERD!D165/HAVERD!D$161)</f>
        <v>92.067137874534438</v>
      </c>
      <c r="CR7" s="9">
        <f>100*(HAVERD!M165/HAVERD!M$161)</f>
        <v>96.293393407005439</v>
      </c>
      <c r="CS7">
        <v>100</v>
      </c>
    </row>
    <row r="8" spans="1:97" x14ac:dyDescent="0.25">
      <c r="B8" s="9">
        <f>100*(Data!C196/AVERAGE(Data!C$191:C$194))</f>
        <v>77.83945806498977</v>
      </c>
      <c r="C8" s="9">
        <f>100*(Data!D196/AVERAGE(Data!D$191:D$194))</f>
        <v>91.99066310330997</v>
      </c>
      <c r="D8" s="9">
        <f>100*(Data!E196/AVERAGE(Data!E$191:E$194))</f>
        <v>90.985564371205186</v>
      </c>
      <c r="E8" s="9">
        <f>100*(Data!F196/AVERAGE(Data!F$191:F$194))</f>
        <v>89.227549625151582</v>
      </c>
      <c r="F8" s="9">
        <f>100*(Data!G196/AVERAGE(Data!G$191:G$194))</f>
        <v>82.956056358248958</v>
      </c>
      <c r="G8" s="9">
        <f>100*(Data!H196/AVERAGE(Data!H$191:H$194))</f>
        <v>82.561139559475848</v>
      </c>
      <c r="H8" s="9">
        <f>100*(Data!I196/AVERAGE(Data!I$191:I$194))</f>
        <v>87.810579364148438</v>
      </c>
      <c r="J8">
        <f t="shared" si="4"/>
        <v>7</v>
      </c>
      <c r="K8">
        <f t="shared" si="5"/>
        <v>1</v>
      </c>
      <c r="L8">
        <f t="shared" si="6"/>
        <v>2</v>
      </c>
      <c r="M8">
        <f t="shared" si="7"/>
        <v>3</v>
      </c>
      <c r="N8">
        <f t="shared" si="8"/>
        <v>5</v>
      </c>
      <c r="O8">
        <f t="shared" si="9"/>
        <v>6</v>
      </c>
      <c r="P8">
        <f t="shared" si="10"/>
        <v>4</v>
      </c>
      <c r="S8" s="9">
        <f>100*('ONS - Annex F'!C99/AVERAGE('ONS - Annex F'!$C$94:$C$97))</f>
        <v>77.88541555100646</v>
      </c>
      <c r="T8" s="9">
        <f t="shared" si="11"/>
        <v>91.99066310330997</v>
      </c>
      <c r="U8" s="9">
        <f t="shared" si="1"/>
        <v>90.985564371205186</v>
      </c>
      <c r="V8" s="9">
        <f t="shared" si="1"/>
        <v>89.227549625151582</v>
      </c>
      <c r="W8" s="9">
        <f t="shared" si="1"/>
        <v>82.956056358248958</v>
      </c>
      <c r="X8" s="9">
        <f t="shared" si="1"/>
        <v>82.561139559475848</v>
      </c>
      <c r="Y8" s="9">
        <f t="shared" si="1"/>
        <v>87.810579364148438</v>
      </c>
      <c r="AB8" s="9">
        <f t="shared" si="12"/>
        <v>77.83945806498977</v>
      </c>
      <c r="AC8" s="9">
        <f t="shared" si="13"/>
        <v>77.88541555100646</v>
      </c>
      <c r="AD8" s="9">
        <f t="shared" si="14"/>
        <v>87.810579364148438</v>
      </c>
      <c r="AE8" s="9">
        <f t="shared" si="15"/>
        <v>77.88541555100646</v>
      </c>
      <c r="AF8" s="9">
        <f t="shared" si="16"/>
        <v>14.10524755230351</v>
      </c>
      <c r="AG8" s="9">
        <v>100</v>
      </c>
      <c r="AI8">
        <f t="shared" si="17"/>
        <v>7</v>
      </c>
      <c r="AJ8">
        <f t="shared" si="18"/>
        <v>1</v>
      </c>
      <c r="AK8">
        <f t="shared" si="19"/>
        <v>2</v>
      </c>
      <c r="AL8">
        <f t="shared" si="20"/>
        <v>3</v>
      </c>
      <c r="AM8">
        <f t="shared" si="21"/>
        <v>5</v>
      </c>
      <c r="AN8">
        <f t="shared" si="22"/>
        <v>6</v>
      </c>
      <c r="AO8">
        <f t="shared" si="23"/>
        <v>4</v>
      </c>
      <c r="BK8" s="40">
        <v>43617</v>
      </c>
      <c r="BL8" s="9">
        <f>100*('ONS - Table 1'!CK275/AVERAGE('ONS - Table 1'!$CK$270:$CK$281))</f>
        <v>100.30835902991915</v>
      </c>
      <c r="BM8" s="9">
        <f>100*('ONS - Table 2'!CK275/AVERAGE('ONS - Table 2'!$CK$270:$CK$281))</f>
        <v>100.37105751391464</v>
      </c>
      <c r="BN8" s="9">
        <v>100</v>
      </c>
      <c r="BP8" s="40">
        <v>43617</v>
      </c>
      <c r="BQ8" s="9">
        <f>100*('ONS - Table 1'!ET275/AVERAGE('ONS - Table 1'!$ET$270:$ET$281))</f>
        <v>100</v>
      </c>
      <c r="BR8" s="9">
        <f>100*('ONS - Table 2'!ET275/AVERAGE('ONS - Table 2'!$ET$270:$ET$281))</f>
        <v>100.71543964920376</v>
      </c>
      <c r="BS8" s="9">
        <v>100</v>
      </c>
      <c r="BU8" s="40">
        <v>43617</v>
      </c>
      <c r="BV8" s="9">
        <f>100*('ONS - Table 1'!J275/AVERAGE('ONS - Table 1'!$J$270:$J$281))</f>
        <v>99.483419430094983</v>
      </c>
      <c r="BW8" s="9">
        <f>100*('ONS - Table 2'!J275/AVERAGE('ONS - Table 2'!$J$270:$J$281))</f>
        <v>99.328639266415578</v>
      </c>
      <c r="BX8" s="9">
        <v>100</v>
      </c>
      <c r="CL8" s="21">
        <f>+CL7+1</f>
        <v>45512</v>
      </c>
      <c r="CM8" s="9">
        <f>100*(HAVERD!F166/HAVERD!F$161)</f>
        <v>97.921429278649924</v>
      </c>
      <c r="CN8" s="9">
        <f>100*(HAVERD!AZ166/HAVERD!AZ$161)</f>
        <v>97.184517322236516</v>
      </c>
      <c r="CO8" s="9">
        <f>100*(HAVERD!C166/HAVERD!C$161)</f>
        <v>97.661511232530643</v>
      </c>
      <c r="CP8" s="9">
        <f>100*(HAVERD!E166/HAVERD!E$161)</f>
        <v>97.965050401618214</v>
      </c>
      <c r="CQ8" s="9">
        <f>100*(HAVERD!D166/HAVERD!D$161)</f>
        <v>91.049639566666286</v>
      </c>
      <c r="CR8" s="9">
        <f>100*(HAVERD!M166/HAVERD!M$161)</f>
        <v>97.81016854572924</v>
      </c>
      <c r="CS8">
        <v>100</v>
      </c>
    </row>
    <row r="9" spans="1:97" x14ac:dyDescent="0.25">
      <c r="B9" s="9">
        <f>100*(Data!C197/AVERAGE(Data!C$191:C$194))</f>
        <v>90.897216150436833</v>
      </c>
      <c r="C9" s="9">
        <f>100*(Data!D197/AVERAGE(Data!D$191:D$194))</f>
        <v>99.128652964174734</v>
      </c>
      <c r="D9" s="9">
        <f>100*(Data!E197/AVERAGE(Data!E$191:E$194))</f>
        <v>95.957014009938916</v>
      </c>
      <c r="E9" s="9">
        <f>100*(Data!F197/AVERAGE(Data!F$191:F$194))</f>
        <v>96.944054568591383</v>
      </c>
      <c r="F9" s="9">
        <f>100*(Data!G197/AVERAGE(Data!G$191:G$194))</f>
        <v>96.080525457322551</v>
      </c>
      <c r="G9" s="9">
        <f>100*(Data!H197/AVERAGE(Data!H$191:H$194))</f>
        <v>94.048134170355439</v>
      </c>
      <c r="H9" s="9">
        <f>100*(Data!I197/AVERAGE(Data!I$191:I$194))</f>
        <v>95.786874524083089</v>
      </c>
      <c r="J9">
        <f t="shared" si="4"/>
        <v>7</v>
      </c>
      <c r="K9">
        <f t="shared" si="5"/>
        <v>1</v>
      </c>
      <c r="L9">
        <f t="shared" si="6"/>
        <v>4</v>
      </c>
      <c r="M9">
        <f t="shared" si="7"/>
        <v>2</v>
      </c>
      <c r="N9">
        <f t="shared" si="8"/>
        <v>3</v>
      </c>
      <c r="O9">
        <f t="shared" si="9"/>
        <v>6</v>
      </c>
      <c r="P9">
        <f t="shared" si="10"/>
        <v>5</v>
      </c>
      <c r="S9" s="9">
        <f>100*('ONS - Annex F'!C100/AVERAGE('ONS - Annex F'!$C$94:$C$97))</f>
        <v>90.960757726094215</v>
      </c>
      <c r="T9" s="9">
        <f t="shared" si="11"/>
        <v>99.128652964174734</v>
      </c>
      <c r="U9" s="9">
        <f t="shared" si="1"/>
        <v>95.957014009938916</v>
      </c>
      <c r="V9" s="9">
        <f t="shared" si="1"/>
        <v>96.944054568591383</v>
      </c>
      <c r="W9" s="9">
        <f t="shared" si="1"/>
        <v>96.080525457322551</v>
      </c>
      <c r="X9" s="9">
        <f t="shared" si="1"/>
        <v>94.048134170355439</v>
      </c>
      <c r="Y9" s="9">
        <f t="shared" si="1"/>
        <v>95.786874524083089</v>
      </c>
      <c r="AB9" s="9">
        <f t="shared" si="12"/>
        <v>90.897216150436833</v>
      </c>
      <c r="AC9" s="9">
        <f t="shared" si="13"/>
        <v>90.960757726094215</v>
      </c>
      <c r="AD9" s="9">
        <f t="shared" si="14"/>
        <v>95.957014009938916</v>
      </c>
      <c r="AE9" s="9">
        <f t="shared" si="15"/>
        <v>90.960757726094215</v>
      </c>
      <c r="AF9" s="9">
        <f t="shared" si="16"/>
        <v>8.1678952380805185</v>
      </c>
      <c r="AG9" s="9">
        <v>100</v>
      </c>
      <c r="AI9">
        <f t="shared" si="17"/>
        <v>7</v>
      </c>
      <c r="AJ9">
        <f t="shared" si="18"/>
        <v>1</v>
      </c>
      <c r="AK9">
        <f t="shared" si="19"/>
        <v>4</v>
      </c>
      <c r="AL9">
        <f t="shared" si="20"/>
        <v>2</v>
      </c>
      <c r="AM9">
        <f t="shared" si="21"/>
        <v>3</v>
      </c>
      <c r="AN9">
        <f t="shared" si="22"/>
        <v>6</v>
      </c>
      <c r="AO9">
        <f t="shared" si="23"/>
        <v>5</v>
      </c>
      <c r="AQ9">
        <v>2020</v>
      </c>
      <c r="AR9" s="9">
        <f>100*((AR4/AR3)-1)</f>
        <v>-10.359900820127477</v>
      </c>
      <c r="AS9" s="9">
        <f>100*((AS4/AS3)-1)</f>
        <v>-10.296918858075898</v>
      </c>
      <c r="AT9" s="9">
        <f t="shared" ref="AT9:AY9" si="31">100*((AT4/AT3)-1)</f>
        <v>-2.2135259350186898</v>
      </c>
      <c r="AU9" s="9">
        <f t="shared" si="31"/>
        <v>-4.2202843760412723</v>
      </c>
      <c r="AV9" s="9">
        <f t="shared" si="31"/>
        <v>-4.4564222713928796</v>
      </c>
      <c r="AW9" s="9">
        <f t="shared" si="31"/>
        <v>-7.5918134578649159</v>
      </c>
      <c r="AX9" s="9">
        <f t="shared" si="31"/>
        <v>-9.0496266489574761</v>
      </c>
      <c r="AY9" s="9">
        <f t="shared" si="31"/>
        <v>-5.0382333035727473</v>
      </c>
      <c r="BA9">
        <v>2020</v>
      </c>
      <c r="BB9" s="9">
        <f>100*((BB4/BB3)-1)</f>
        <v>-10.359900820127477</v>
      </c>
      <c r="BC9" s="9">
        <f>100*((BC4/BC3)-1)</f>
        <v>-10.296918858075898</v>
      </c>
      <c r="BD9" s="9">
        <f t="shared" ref="BD9:BI9" si="32">100*((BD4/BD3)-1)</f>
        <v>-2.2135259350186898</v>
      </c>
      <c r="BE9" s="9">
        <f t="shared" si="32"/>
        <v>-4.2202843760412723</v>
      </c>
      <c r="BF9" s="9">
        <f t="shared" si="32"/>
        <v>-4.4564222713928796</v>
      </c>
      <c r="BG9" s="9">
        <f t="shared" si="32"/>
        <v>-7.5918134578649159</v>
      </c>
      <c r="BH9" s="9">
        <f t="shared" si="32"/>
        <v>-9.0496266489574655</v>
      </c>
      <c r="BI9" s="9">
        <f t="shared" si="32"/>
        <v>-5.0382333035727473</v>
      </c>
      <c r="BK9" s="40">
        <v>43647</v>
      </c>
      <c r="BL9" s="9">
        <f>100*('ONS - Table 1'!CK276/AVERAGE('ONS - Table 1'!$CK$270:$CK$281))</f>
        <v>100.60838403200265</v>
      </c>
      <c r="BM9" s="9">
        <f>100*('ONS - Table 2'!CK276/AVERAGE('ONS - Table 2'!$CK$270:$CK$281))</f>
        <v>100.46382189239331</v>
      </c>
      <c r="BN9" s="9">
        <v>100</v>
      </c>
      <c r="BP9" s="40">
        <v>43647</v>
      </c>
      <c r="BQ9" s="9">
        <f>100*('ONS - Table 1'!ET276/AVERAGE('ONS - Table 1'!$ET$270:$ET$281))</f>
        <v>102.1</v>
      </c>
      <c r="BR9" s="9">
        <f>100*('ONS - Table 2'!ET276/AVERAGE('ONS - Table 2'!$ET$270:$ET$281))</f>
        <v>102.6540503115624</v>
      </c>
      <c r="BS9" s="9">
        <v>100</v>
      </c>
      <c r="BU9" s="40">
        <v>43647</v>
      </c>
      <c r="BV9" s="9">
        <f>100*('ONS - Table 1'!J276/AVERAGE('ONS - Table 1'!$J$270:$J$281))</f>
        <v>100.18330278286953</v>
      </c>
      <c r="BW9" s="9">
        <f>100*('ONS - Table 2'!J276/AVERAGE('ONS - Table 2'!$J$270:$J$281))</f>
        <v>100.21287047650236</v>
      </c>
      <c r="BX9" s="9">
        <v>100</v>
      </c>
    </row>
    <row r="10" spans="1:97" x14ac:dyDescent="0.25">
      <c r="B10" s="9">
        <f>100*(Data!C198/AVERAGE(Data!C$191:C$194))</f>
        <v>92.130563256265546</v>
      </c>
      <c r="C10" s="9">
        <f>100*(Data!D198/AVERAGE(Data!D$191:D$194))</f>
        <v>100.15464839238165</v>
      </c>
      <c r="D10" s="9">
        <f>100*(Data!E198/AVERAGE(Data!E$191:E$194))</f>
        <v>97.640081742591917</v>
      </c>
      <c r="E10" s="9">
        <f>100*(Data!F198/AVERAGE(Data!F$191:F$194))</f>
        <v>98.102022869692647</v>
      </c>
      <c r="F10" s="9">
        <f>100*(Data!G198/AVERAGE(Data!G$191:G$194))</f>
        <v>95.941902988199544</v>
      </c>
      <c r="G10" s="9">
        <f>100*(Data!H198/AVERAGE(Data!H$191:H$194))</f>
        <v>93.584193147556377</v>
      </c>
      <c r="H10" s="9">
        <f>100*(Data!I198/AVERAGE(Data!I$191:I$194))</f>
        <v>97.586108755988022</v>
      </c>
      <c r="J10">
        <f t="shared" si="4"/>
        <v>7</v>
      </c>
      <c r="K10">
        <f t="shared" si="5"/>
        <v>1</v>
      </c>
      <c r="L10">
        <f t="shared" si="6"/>
        <v>3</v>
      </c>
      <c r="M10">
        <f t="shared" si="7"/>
        <v>2</v>
      </c>
      <c r="N10">
        <f t="shared" si="8"/>
        <v>5</v>
      </c>
      <c r="O10">
        <f t="shared" si="9"/>
        <v>6</v>
      </c>
      <c r="P10">
        <f t="shared" si="10"/>
        <v>4</v>
      </c>
      <c r="S10" s="9">
        <f>100*('ONS - Annex F'!C101/AVERAGE('ONS - Annex F'!$C$94:$C$97))</f>
        <v>92.203965250005552</v>
      </c>
      <c r="T10" s="9">
        <f t="shared" si="11"/>
        <v>100.15464839238165</v>
      </c>
      <c r="U10" s="9">
        <f t="shared" si="1"/>
        <v>97.640081742591917</v>
      </c>
      <c r="V10" s="9">
        <f t="shared" si="1"/>
        <v>98.102022869692647</v>
      </c>
      <c r="W10" s="9">
        <f t="shared" si="1"/>
        <v>95.941902988199544</v>
      </c>
      <c r="X10" s="9">
        <f t="shared" si="1"/>
        <v>93.584193147556377</v>
      </c>
      <c r="Y10" s="9">
        <f t="shared" si="1"/>
        <v>97.586108755988022</v>
      </c>
      <c r="AB10" s="9">
        <f t="shared" si="12"/>
        <v>92.130563256265546</v>
      </c>
      <c r="AC10" s="9">
        <f t="shared" si="13"/>
        <v>92.203965250005552</v>
      </c>
      <c r="AD10" s="9">
        <f t="shared" si="14"/>
        <v>97.586108755988022</v>
      </c>
      <c r="AE10" s="9">
        <f t="shared" si="15"/>
        <v>92.203965250005552</v>
      </c>
      <c r="AF10" s="9">
        <f t="shared" si="16"/>
        <v>7.9506831423760929</v>
      </c>
      <c r="AG10" s="9">
        <v>100</v>
      </c>
      <c r="AI10">
        <f t="shared" si="17"/>
        <v>7</v>
      </c>
      <c r="AJ10">
        <f t="shared" si="18"/>
        <v>1</v>
      </c>
      <c r="AK10">
        <f t="shared" si="19"/>
        <v>3</v>
      </c>
      <c r="AL10">
        <f t="shared" si="20"/>
        <v>2</v>
      </c>
      <c r="AM10">
        <f t="shared" si="21"/>
        <v>5</v>
      </c>
      <c r="AN10">
        <f t="shared" si="22"/>
        <v>6</v>
      </c>
      <c r="AO10">
        <f t="shared" si="23"/>
        <v>4</v>
      </c>
      <c r="AQ10">
        <v>2021</v>
      </c>
      <c r="AR10" s="9">
        <f t="shared" ref="AR10:AY12" si="33">100*((AR5/AR4)-1)</f>
        <v>8.6749040818701051</v>
      </c>
      <c r="AS10" s="9">
        <f t="shared" ref="AS10" si="34">100*((AS5/AS4)-1)</f>
        <v>8.5759508784513763</v>
      </c>
      <c r="AT10" s="9">
        <f t="shared" si="33"/>
        <v>5.8001168820418281</v>
      </c>
      <c r="AU10" s="9">
        <f t="shared" si="33"/>
        <v>2.7723691659744309</v>
      </c>
      <c r="AV10" s="9">
        <f t="shared" si="33"/>
        <v>3.5416613426452415</v>
      </c>
      <c r="AW10" s="9">
        <f t="shared" si="33"/>
        <v>6.8289110433750411</v>
      </c>
      <c r="AX10" s="9">
        <f t="shared" si="33"/>
        <v>8.2783053370053992</v>
      </c>
      <c r="AY10" s="9">
        <f t="shared" si="33"/>
        <v>5.286961455412853</v>
      </c>
      <c r="BA10">
        <v>2021</v>
      </c>
      <c r="BB10" s="9">
        <f t="shared" ref="BB10:BI10" si="35">100*((BB5/BB4)-1)</f>
        <v>8.6749040818701051</v>
      </c>
      <c r="BC10" s="9">
        <f t="shared" ref="BC10" si="36">100*((BC5/BC4)-1)</f>
        <v>8.5759508784513763</v>
      </c>
      <c r="BD10" s="9">
        <f t="shared" si="35"/>
        <v>5.8001168820418059</v>
      </c>
      <c r="BE10" s="9">
        <f t="shared" si="35"/>
        <v>2.7723691659744309</v>
      </c>
      <c r="BF10" s="9">
        <f t="shared" si="35"/>
        <v>3.5416613426452415</v>
      </c>
      <c r="BG10" s="9">
        <f t="shared" si="35"/>
        <v>6.8289110433750411</v>
      </c>
      <c r="BH10" s="9">
        <f t="shared" si="35"/>
        <v>8.2783053370053992</v>
      </c>
      <c r="BI10" s="9">
        <f t="shared" si="35"/>
        <v>5.286961455412853</v>
      </c>
      <c r="BK10" s="40">
        <v>43678</v>
      </c>
      <c r="BL10" s="9">
        <f>100*('ONS - Table 1'!CK277/AVERAGE('ONS - Table 1'!$CK$270:$CK$281))</f>
        <v>100.00833402783564</v>
      </c>
      <c r="BM10" s="9">
        <f>100*('ONS - Table 2'!CK277/AVERAGE('ONS - Table 2'!$CK$270:$CK$281))</f>
        <v>99.907235621521323</v>
      </c>
      <c r="BN10" s="9">
        <v>100</v>
      </c>
      <c r="BP10" s="40">
        <v>43678</v>
      </c>
      <c r="BQ10" s="9">
        <f>100*('ONS - Table 1'!ET277/AVERAGE('ONS - Table 1'!$ET$270:$ET$281))</f>
        <v>100.1</v>
      </c>
      <c r="BR10" s="9">
        <f>100*('ONS - Table 2'!ET277/AVERAGE('ONS - Table 2'!$ET$270:$ET$281))</f>
        <v>100.34618047542116</v>
      </c>
      <c r="BS10" s="9">
        <v>100</v>
      </c>
      <c r="BU10" s="40">
        <v>43678</v>
      </c>
      <c r="BV10" s="9">
        <f>100*('ONS - Table 1'!J277/AVERAGE('ONS - Table 1'!$J$270:$J$281))</f>
        <v>99.283452757873675</v>
      </c>
      <c r="BW10" s="9">
        <f>100*('ONS - Table 2'!J277/AVERAGE('ONS - Table 2'!$J$270:$J$281))</f>
        <v>99.525135090879303</v>
      </c>
      <c r="BX10" s="9">
        <v>100</v>
      </c>
      <c r="CM10" s="9">
        <f>100*((CM8/CM3)-1)</f>
        <v>-2.0785707213500704</v>
      </c>
      <c r="CN10" s="9">
        <f t="shared" ref="CN10:CR10" si="37">100*((CN8/CN3)-1)</f>
        <v>-2.8154826777634812</v>
      </c>
      <c r="CO10" s="9">
        <f t="shared" si="37"/>
        <v>-2.33848876746936</v>
      </c>
      <c r="CP10" s="9">
        <f t="shared" si="37"/>
        <v>-2.0349495983817856</v>
      </c>
      <c r="CQ10" s="9">
        <f t="shared" si="37"/>
        <v>-8.9503604333337154</v>
      </c>
      <c r="CR10" s="9">
        <f t="shared" si="37"/>
        <v>-2.1898314542707631</v>
      </c>
    </row>
    <row r="11" spans="1:97" x14ac:dyDescent="0.25">
      <c r="A11">
        <v>2021</v>
      </c>
      <c r="B11" s="9">
        <f>100*(Data!C199/AVERAGE(Data!C$191:C$194))</f>
        <v>91.186930961300789</v>
      </c>
      <c r="C11" s="9">
        <f>100*(Data!D199/AVERAGE(Data!D$191:D$194))</f>
        <v>101.44209625895874</v>
      </c>
      <c r="D11" s="9">
        <f>100*(Data!E199/AVERAGE(Data!E$191:E$194))</f>
        <v>97.930607844240939</v>
      </c>
      <c r="E11" s="9">
        <f>100*(Data!F199/AVERAGE(Data!F$191:F$194))</f>
        <v>96.895112881209783</v>
      </c>
      <c r="F11" s="9">
        <f>100*(Data!G199/AVERAGE(Data!G$191:G$194))</f>
        <v>96.229516695712519</v>
      </c>
      <c r="G11" s="9">
        <f>100*(Data!H199/AVERAGE(Data!H$191:H$194))</f>
        <v>95.00702274815059</v>
      </c>
      <c r="H11" s="9">
        <f>100*(Data!I199/AVERAGE(Data!I$191:I$194))</f>
        <v>98.991220084241917</v>
      </c>
      <c r="J11">
        <f t="shared" si="4"/>
        <v>7</v>
      </c>
      <c r="K11">
        <f t="shared" si="5"/>
        <v>1</v>
      </c>
      <c r="L11">
        <f t="shared" si="6"/>
        <v>3</v>
      </c>
      <c r="M11">
        <f t="shared" si="7"/>
        <v>4</v>
      </c>
      <c r="N11">
        <f t="shared" si="8"/>
        <v>5</v>
      </c>
      <c r="O11">
        <f t="shared" si="9"/>
        <v>6</v>
      </c>
      <c r="P11">
        <f t="shared" si="10"/>
        <v>2</v>
      </c>
      <c r="R11">
        <v>2021</v>
      </c>
      <c r="S11" s="9">
        <f>100*('ONS - Annex F'!C102/AVERAGE('ONS - Annex F'!$C$94:$C$97))</f>
        <v>91.245773963370652</v>
      </c>
      <c r="T11" s="9">
        <f t="shared" si="11"/>
        <v>101.44209625895874</v>
      </c>
      <c r="U11" s="9">
        <f t="shared" si="1"/>
        <v>97.930607844240939</v>
      </c>
      <c r="V11" s="9">
        <f t="shared" si="1"/>
        <v>96.895112881209783</v>
      </c>
      <c r="W11" s="9">
        <f t="shared" si="1"/>
        <v>96.229516695712519</v>
      </c>
      <c r="X11" s="9">
        <f t="shared" si="1"/>
        <v>95.00702274815059</v>
      </c>
      <c r="Y11" s="9">
        <f t="shared" si="1"/>
        <v>98.991220084241917</v>
      </c>
      <c r="AA11">
        <v>2021</v>
      </c>
      <c r="AB11" s="9">
        <f t="shared" si="12"/>
        <v>91.186930961300789</v>
      </c>
      <c r="AC11" s="9">
        <f t="shared" si="13"/>
        <v>91.245773963370652</v>
      </c>
      <c r="AD11" s="9">
        <f t="shared" si="14"/>
        <v>96.895112881209783</v>
      </c>
      <c r="AE11" s="9">
        <f t="shared" si="15"/>
        <v>91.245773963370652</v>
      </c>
      <c r="AF11" s="9">
        <f t="shared" si="16"/>
        <v>10.196322295588089</v>
      </c>
      <c r="AG11" s="9">
        <v>100</v>
      </c>
      <c r="AI11">
        <f t="shared" si="17"/>
        <v>7</v>
      </c>
      <c r="AJ11">
        <f t="shared" si="18"/>
        <v>1</v>
      </c>
      <c r="AK11">
        <f t="shared" si="19"/>
        <v>3</v>
      </c>
      <c r="AL11">
        <f t="shared" si="20"/>
        <v>4</v>
      </c>
      <c r="AM11">
        <f t="shared" si="21"/>
        <v>5</v>
      </c>
      <c r="AN11">
        <f t="shared" si="22"/>
        <v>6</v>
      </c>
      <c r="AO11">
        <f t="shared" si="23"/>
        <v>2</v>
      </c>
      <c r="AQ11">
        <v>2022</v>
      </c>
      <c r="AR11" s="9">
        <f t="shared" si="33"/>
        <v>4.3452288228625902</v>
      </c>
      <c r="AS11" s="9">
        <f t="shared" ref="AS11" si="38">100*((AS6/AS5)-1)</f>
        <v>4.8390851579893202</v>
      </c>
      <c r="AT11" s="9">
        <f t="shared" si="33"/>
        <v>1.9356375692362926</v>
      </c>
      <c r="AU11" s="9">
        <f t="shared" si="33"/>
        <v>1.1872722910041711</v>
      </c>
      <c r="AV11" s="9">
        <f t="shared" si="33"/>
        <v>1.7375183489903856</v>
      </c>
      <c r="AW11" s="9">
        <f t="shared" si="33"/>
        <v>2.6186878888260434</v>
      </c>
      <c r="AX11" s="9">
        <f t="shared" si="33"/>
        <v>4.1452457259936626</v>
      </c>
      <c r="AY11" s="9">
        <f t="shared" si="33"/>
        <v>3.8198682969914355</v>
      </c>
      <c r="BA11">
        <v>2022</v>
      </c>
      <c r="BB11" s="9">
        <f t="shared" ref="BB11:BI11" si="39">100*((BB6/BB5)-1)</f>
        <v>4.345228822862568</v>
      </c>
      <c r="BC11" s="9">
        <f t="shared" ref="BC11" si="40">100*((BC6/BC5)-1)</f>
        <v>4.8390851579892979</v>
      </c>
      <c r="BD11" s="9">
        <f t="shared" si="39"/>
        <v>1.9356375692362926</v>
      </c>
      <c r="BE11" s="9">
        <f t="shared" si="39"/>
        <v>1.1872722910041489</v>
      </c>
      <c r="BF11" s="9">
        <f t="shared" si="39"/>
        <v>1.7375183489904078</v>
      </c>
      <c r="BG11" s="9">
        <f t="shared" si="39"/>
        <v>2.6186878888260434</v>
      </c>
      <c r="BH11" s="9">
        <f t="shared" si="39"/>
        <v>4.1452457259936626</v>
      </c>
      <c r="BI11" s="9">
        <f t="shared" si="39"/>
        <v>3.8198682969914355</v>
      </c>
      <c r="BK11" s="40">
        <v>43709</v>
      </c>
      <c r="BL11" s="9">
        <f>100*('ONS - Table 1'!CK278/AVERAGE('ONS - Table 1'!$CK$270:$CK$281))</f>
        <v>98.708225685473778</v>
      </c>
      <c r="BM11" s="9">
        <f>100*('ONS - Table 2'!CK278/AVERAGE('ONS - Table 2'!$CK$270:$CK$281))</f>
        <v>99.443413729128011</v>
      </c>
      <c r="BN11" s="9">
        <v>100</v>
      </c>
      <c r="BP11" s="40">
        <v>43709</v>
      </c>
      <c r="BQ11" s="9">
        <f>100*('ONS - Table 1'!ET278/AVERAGE('ONS - Table 1'!$ET$270:$ET$281))</f>
        <v>100.9</v>
      </c>
      <c r="BR11" s="9">
        <f>100*('ONS - Table 2'!ET278/AVERAGE('ONS - Table 2'!$ET$270:$ET$281))</f>
        <v>101.17701361643199</v>
      </c>
      <c r="BS11" s="9">
        <v>100</v>
      </c>
      <c r="BU11" s="40">
        <v>43709</v>
      </c>
      <c r="BV11" s="9">
        <f>100*('ONS - Table 1'!J278/AVERAGE('ONS - Table 1'!$J$270:$J$281))</f>
        <v>100.78320279953341</v>
      </c>
      <c r="BW11" s="9">
        <f>100*('ONS - Table 2'!J278/AVERAGE('ONS - Table 2'!$J$270:$J$281))</f>
        <v>100.90060586212542</v>
      </c>
      <c r="BX11" s="9">
        <v>100</v>
      </c>
    </row>
    <row r="12" spans="1:97" x14ac:dyDescent="0.25">
      <c r="B12" s="9">
        <f>100*(Data!C200/AVERAGE(Data!C$191:C$194))</f>
        <v>97.868993576764794</v>
      </c>
      <c r="C12" s="9">
        <f>100*(Data!D200/AVERAGE(Data!D$191:D$194))</f>
        <v>102.98374742051315</v>
      </c>
      <c r="D12" s="9">
        <f>100*(Data!E200/AVERAGE(Data!E$191:E$194))</f>
        <v>98.415228259002603</v>
      </c>
      <c r="E12" s="9">
        <f>100*(Data!F200/AVERAGE(Data!F$191:F$194))</f>
        <v>99.317841236441822</v>
      </c>
      <c r="F12" s="9">
        <f>100*(Data!G200/AVERAGE(Data!G$191:G$194))</f>
        <v>97.49195423384765</v>
      </c>
      <c r="G12" s="9">
        <f>100*(Data!H200/AVERAGE(Data!H$191:H$194))</f>
        <v>97.518320464079849</v>
      </c>
      <c r="H12" s="9">
        <f>100*(Data!I200/AVERAGE(Data!I$191:I$194))</f>
        <v>98.682510702456185</v>
      </c>
      <c r="J12">
        <f t="shared" si="4"/>
        <v>5</v>
      </c>
      <c r="K12">
        <f t="shared" si="5"/>
        <v>1</v>
      </c>
      <c r="L12">
        <f t="shared" si="6"/>
        <v>4</v>
      </c>
      <c r="M12">
        <f t="shared" si="7"/>
        <v>2</v>
      </c>
      <c r="N12">
        <f t="shared" si="8"/>
        <v>7</v>
      </c>
      <c r="O12">
        <f t="shared" si="9"/>
        <v>6</v>
      </c>
      <c r="P12">
        <f t="shared" si="10"/>
        <v>3</v>
      </c>
      <c r="S12" s="9">
        <f>100*('ONS - Annex F'!C103/AVERAGE('ONS - Annex F'!$C$94:$C$97))</f>
        <v>97.864681953484805</v>
      </c>
      <c r="T12" s="9">
        <f t="shared" si="11"/>
        <v>102.98374742051315</v>
      </c>
      <c r="U12" s="9">
        <f t="shared" si="1"/>
        <v>98.415228259002603</v>
      </c>
      <c r="V12" s="9">
        <f t="shared" si="1"/>
        <v>99.317841236441822</v>
      </c>
      <c r="W12" s="9">
        <f t="shared" si="1"/>
        <v>97.49195423384765</v>
      </c>
      <c r="X12" s="9">
        <f t="shared" si="1"/>
        <v>97.518320464079849</v>
      </c>
      <c r="Y12" s="9">
        <f t="shared" si="1"/>
        <v>98.682510702456185</v>
      </c>
      <c r="AB12" s="9">
        <f t="shared" si="12"/>
        <v>97.868993576764794</v>
      </c>
      <c r="AC12" s="9">
        <f t="shared" si="13"/>
        <v>97.864681953484805</v>
      </c>
      <c r="AD12" s="9">
        <f t="shared" si="14"/>
        <v>98.415228259002603</v>
      </c>
      <c r="AE12" s="9">
        <f t="shared" si="15"/>
        <v>97.49195423384765</v>
      </c>
      <c r="AF12" s="9">
        <f t="shared" si="16"/>
        <v>5.4917931866655039</v>
      </c>
      <c r="AG12" s="9">
        <v>100</v>
      </c>
      <c r="AI12">
        <f t="shared" si="17"/>
        <v>5</v>
      </c>
      <c r="AJ12">
        <f t="shared" si="18"/>
        <v>1</v>
      </c>
      <c r="AK12">
        <f t="shared" si="19"/>
        <v>4</v>
      </c>
      <c r="AL12">
        <f t="shared" si="20"/>
        <v>2</v>
      </c>
      <c r="AM12">
        <f t="shared" si="21"/>
        <v>7</v>
      </c>
      <c r="AN12">
        <f t="shared" si="22"/>
        <v>6</v>
      </c>
      <c r="AO12">
        <f t="shared" si="23"/>
        <v>3</v>
      </c>
      <c r="AQ12">
        <v>2023</v>
      </c>
      <c r="AR12" s="9">
        <f t="shared" si="33"/>
        <v>0.10401785478366676</v>
      </c>
      <c r="AS12" s="9"/>
      <c r="AT12" s="9">
        <f t="shared" si="33"/>
        <v>2.5427262791534178</v>
      </c>
      <c r="AU12" s="9">
        <f t="shared" si="33"/>
        <v>1.8085471930531449</v>
      </c>
      <c r="AV12" s="9">
        <f t="shared" si="33"/>
        <v>-5.9403147439052173E-2</v>
      </c>
      <c r="AW12" s="9">
        <f t="shared" si="33"/>
        <v>1.1200591444137098</v>
      </c>
      <c r="AX12" s="9">
        <f t="shared" si="33"/>
        <v>1.0172300208917129</v>
      </c>
      <c r="AY12" s="9">
        <f t="shared" si="33"/>
        <v>1.2489207670783431</v>
      </c>
      <c r="BA12">
        <v>2023</v>
      </c>
      <c r="BB12" s="9">
        <f t="shared" ref="BB12:BI12" si="41">100*((BB7/BB6)-1)</f>
        <v>0.10401785478366676</v>
      </c>
      <c r="BC12" s="9"/>
      <c r="BD12" s="9">
        <f t="shared" si="41"/>
        <v>2.5427262791534178</v>
      </c>
      <c r="BE12" s="9">
        <f t="shared" si="41"/>
        <v>1.8085471930531671</v>
      </c>
      <c r="BF12" s="9">
        <f t="shared" si="41"/>
        <v>-5.9403147439063275E-2</v>
      </c>
      <c r="BG12" s="9">
        <f t="shared" si="41"/>
        <v>1.1200591444137098</v>
      </c>
      <c r="BH12" s="9">
        <f t="shared" si="41"/>
        <v>1.0172300208917129</v>
      </c>
      <c r="BI12" s="9">
        <f t="shared" si="41"/>
        <v>1.2489207670783653</v>
      </c>
      <c r="BK12" s="40">
        <v>43739</v>
      </c>
      <c r="BL12" s="9">
        <f>100*('ONS - Table 1'!CK279/AVERAGE('ONS - Table 1'!$CK$270:$CK$281))</f>
        <v>99.508292357696476</v>
      </c>
      <c r="BM12" s="9">
        <f>100*('ONS - Table 2'!CK279/AVERAGE('ONS - Table 2'!$CK$270:$CK$281))</f>
        <v>98.701298701298697</v>
      </c>
      <c r="BN12" s="9">
        <v>100</v>
      </c>
      <c r="BP12" s="40">
        <v>43739</v>
      </c>
      <c r="BQ12" s="9">
        <f>100*('ONS - Table 1'!ET279/AVERAGE('ONS - Table 1'!$ET$270:$ET$281))</f>
        <v>99.7</v>
      </c>
      <c r="BR12" s="9">
        <f>100*('ONS - Table 2'!ET279/AVERAGE('ONS - Table 2'!$ET$270:$ET$281))</f>
        <v>100.16155088852985</v>
      </c>
      <c r="BS12" s="9">
        <v>100</v>
      </c>
      <c r="BU12" s="40">
        <v>43739</v>
      </c>
      <c r="BV12" s="9">
        <f>100*('ONS - Table 1'!J279/AVERAGE('ONS - Table 1'!$J$270:$J$281))</f>
        <v>101.78303616063988</v>
      </c>
      <c r="BW12" s="9">
        <f>100*('ONS - Table 2'!J279/AVERAGE('ONS - Table 2'!$J$270:$J$281))</f>
        <v>101.49009333551659</v>
      </c>
      <c r="BX12" s="9">
        <v>100</v>
      </c>
    </row>
    <row r="13" spans="1:97" x14ac:dyDescent="0.25">
      <c r="B13" s="9">
        <f>100*(Data!C201/AVERAGE(Data!C$191:C$194))</f>
        <v>99.548014455300788</v>
      </c>
      <c r="C13" s="9">
        <f>100*(Data!D201/AVERAGE(Data!D$191:D$194))</f>
        <v>103.82271494918352</v>
      </c>
      <c r="D13" s="9">
        <f>100*(Data!E201/AVERAGE(Data!E$191:E$194))</f>
        <v>98.099580662892535</v>
      </c>
      <c r="E13" s="9">
        <f>100*(Data!F201/AVERAGE(Data!F$191:F$194))</f>
        <v>99.451333949566674</v>
      </c>
      <c r="F13" s="9">
        <f>100*(Data!G201/AVERAGE(Data!G$191:G$194))</f>
        <v>100.27636758084651</v>
      </c>
      <c r="G13" s="9">
        <f>100*(Data!H201/AVERAGE(Data!H$191:H$194))</f>
        <v>100.28391802243112</v>
      </c>
      <c r="H13" s="9">
        <f>100*(Data!I201/AVERAGE(Data!I$191:I$194))</f>
        <v>100.34050744751571</v>
      </c>
      <c r="J13">
        <f t="shared" si="4"/>
        <v>5</v>
      </c>
      <c r="K13">
        <f t="shared" si="5"/>
        <v>1</v>
      </c>
      <c r="L13">
        <f t="shared" si="6"/>
        <v>7</v>
      </c>
      <c r="M13">
        <f t="shared" si="7"/>
        <v>6</v>
      </c>
      <c r="N13">
        <f t="shared" si="8"/>
        <v>4</v>
      </c>
      <c r="O13">
        <f t="shared" si="9"/>
        <v>3</v>
      </c>
      <c r="P13">
        <f t="shared" si="10"/>
        <v>2</v>
      </c>
      <c r="S13" s="9">
        <f>100*('ONS - Annex F'!C104/AVERAGE('ONS - Annex F'!$C$94:$C$97))</f>
        <v>99.498473271644485</v>
      </c>
      <c r="T13" s="9">
        <f t="shared" si="11"/>
        <v>103.82271494918352</v>
      </c>
      <c r="U13" s="9">
        <f t="shared" si="1"/>
        <v>98.099580662892535</v>
      </c>
      <c r="V13" s="9">
        <f t="shared" si="1"/>
        <v>99.451333949566674</v>
      </c>
      <c r="W13" s="9">
        <f t="shared" si="1"/>
        <v>100.27636758084651</v>
      </c>
      <c r="X13" s="9">
        <f t="shared" si="1"/>
        <v>100.28391802243112</v>
      </c>
      <c r="Y13" s="9">
        <f t="shared" si="1"/>
        <v>100.34050744751571</v>
      </c>
      <c r="AB13" s="9">
        <f t="shared" si="12"/>
        <v>99.548014455300788</v>
      </c>
      <c r="AC13" s="9">
        <f t="shared" si="13"/>
        <v>99.498473271644485</v>
      </c>
      <c r="AD13" s="9">
        <f t="shared" si="14"/>
        <v>100.27636758084651</v>
      </c>
      <c r="AE13" s="9">
        <f t="shared" si="15"/>
        <v>98.099580662892535</v>
      </c>
      <c r="AF13" s="9">
        <f t="shared" si="16"/>
        <v>5.7231342862909855</v>
      </c>
      <c r="AG13" s="9">
        <v>100</v>
      </c>
      <c r="AI13">
        <f t="shared" si="17"/>
        <v>5</v>
      </c>
      <c r="AJ13">
        <f t="shared" si="18"/>
        <v>1</v>
      </c>
      <c r="AK13">
        <f t="shared" si="19"/>
        <v>7</v>
      </c>
      <c r="AL13">
        <f t="shared" si="20"/>
        <v>6</v>
      </c>
      <c r="AM13">
        <f t="shared" si="21"/>
        <v>4</v>
      </c>
      <c r="AN13">
        <f t="shared" si="22"/>
        <v>3</v>
      </c>
      <c r="AO13">
        <f t="shared" si="23"/>
        <v>2</v>
      </c>
      <c r="BK13" s="40">
        <v>43770</v>
      </c>
      <c r="BL13" s="9">
        <f>100*('ONS - Table 1'!CK280/AVERAGE('ONS - Table 1'!$CK$270:$CK$281))</f>
        <v>98.908242353529459</v>
      </c>
      <c r="BM13" s="9">
        <f>100*('ONS - Table 2'!CK280/AVERAGE('ONS - Table 2'!$CK$270:$CK$281))</f>
        <v>98.515769944341372</v>
      </c>
      <c r="BN13" s="9">
        <v>100</v>
      </c>
      <c r="BP13" s="40">
        <v>43770</v>
      </c>
      <c r="BQ13" s="9">
        <f>100*('ONS - Table 1'!ET280/AVERAGE('ONS - Table 1'!$ET$270:$ET$281))</f>
        <v>100.1</v>
      </c>
      <c r="BR13" s="9">
        <f>100*('ONS - Table 2'!ET280/AVERAGE('ONS - Table 2'!$ET$270:$ET$281))</f>
        <v>98.499884606508175</v>
      </c>
      <c r="BS13" s="9">
        <v>100</v>
      </c>
      <c r="BU13" s="40">
        <v>43770</v>
      </c>
      <c r="BV13" s="9">
        <f>100*('ONS - Table 1'!J280/AVERAGE('ONS - Table 1'!$J$270:$J$281))</f>
        <v>100.98316947175472</v>
      </c>
      <c r="BW13" s="9">
        <f>100*('ONS - Table 2'!J280/AVERAGE('ONS - Table 2'!$J$270:$J$281))</f>
        <v>100.90060586212542</v>
      </c>
      <c r="BX13" s="9">
        <v>100</v>
      </c>
    </row>
    <row r="14" spans="1:97" x14ac:dyDescent="0.25">
      <c r="B14" s="9">
        <f>100*(Data!C202/AVERAGE(Data!C$191:C$194))</f>
        <v>101.06122821711243</v>
      </c>
      <c r="C14" s="9">
        <f>100*(Data!D202/AVERAGE(Data!D$191:D$194))</f>
        <v>105.58425679365556</v>
      </c>
      <c r="D14" s="9">
        <f>100*(Data!E202/AVERAGE(Data!E$191:E$194))</f>
        <v>99.294914942565342</v>
      </c>
      <c r="E14" s="9">
        <f>100*(Data!F202/AVERAGE(Data!F$191:F$194))</f>
        <v>100.04534267838734</v>
      </c>
      <c r="F14" s="9">
        <f>100*(Data!G202/AVERAGE(Data!G$191:G$194))</f>
        <v>100.87679908116753</v>
      </c>
      <c r="G14" s="9">
        <f>100*(Data!H202/AVERAGE(Data!H$191:H$194))</f>
        <v>101.1088306140913</v>
      </c>
      <c r="H14" s="9">
        <f>100*(Data!I202/AVERAGE(Data!I$191:I$194))</f>
        <v>101.91519656197192</v>
      </c>
      <c r="J14">
        <f t="shared" si="4"/>
        <v>4</v>
      </c>
      <c r="K14">
        <f t="shared" si="5"/>
        <v>1</v>
      </c>
      <c r="L14">
        <f t="shared" si="6"/>
        <v>7</v>
      </c>
      <c r="M14">
        <f t="shared" si="7"/>
        <v>6</v>
      </c>
      <c r="N14">
        <f t="shared" si="8"/>
        <v>5</v>
      </c>
      <c r="O14">
        <f t="shared" si="9"/>
        <v>3</v>
      </c>
      <c r="P14">
        <f t="shared" si="10"/>
        <v>2</v>
      </c>
      <c r="S14" s="9">
        <f>100*('ONS - Annex F'!C105/AVERAGE('ONS - Annex F'!$C$94:$C$97))</f>
        <v>100.97496407995166</v>
      </c>
      <c r="T14" s="9">
        <f t="shared" si="11"/>
        <v>105.58425679365556</v>
      </c>
      <c r="U14" s="9">
        <f t="shared" si="1"/>
        <v>99.294914942565342</v>
      </c>
      <c r="V14" s="9">
        <f t="shared" si="1"/>
        <v>100.04534267838734</v>
      </c>
      <c r="W14" s="9">
        <f t="shared" si="1"/>
        <v>100.87679908116753</v>
      </c>
      <c r="X14" s="9">
        <f t="shared" si="1"/>
        <v>101.1088306140913</v>
      </c>
      <c r="Y14" s="9">
        <f t="shared" si="1"/>
        <v>101.91519656197192</v>
      </c>
      <c r="AB14" s="9">
        <f t="shared" si="12"/>
        <v>101.06122821711243</v>
      </c>
      <c r="AC14" s="9">
        <f t="shared" si="13"/>
        <v>100.97496407995166</v>
      </c>
      <c r="AD14" s="9">
        <f t="shared" si="14"/>
        <v>100.97496407995166</v>
      </c>
      <c r="AE14" s="9">
        <f t="shared" si="15"/>
        <v>99.294914942565342</v>
      </c>
      <c r="AF14" s="9">
        <f t="shared" si="16"/>
        <v>6.2893418510902137</v>
      </c>
      <c r="AG14" s="9">
        <v>100</v>
      </c>
      <c r="AI14">
        <f t="shared" si="17"/>
        <v>4</v>
      </c>
      <c r="AJ14">
        <f t="shared" si="18"/>
        <v>1</v>
      </c>
      <c r="AK14">
        <f t="shared" si="19"/>
        <v>7</v>
      </c>
      <c r="AL14">
        <f t="shared" si="20"/>
        <v>6</v>
      </c>
      <c r="AM14">
        <f t="shared" si="21"/>
        <v>5</v>
      </c>
      <c r="AN14">
        <f t="shared" si="22"/>
        <v>3</v>
      </c>
      <c r="AO14">
        <f t="shared" si="23"/>
        <v>2</v>
      </c>
      <c r="BK14" s="40">
        <v>43800</v>
      </c>
      <c r="BL14" s="9">
        <f>100*('ONS - Table 1'!CK281/AVERAGE('ONS - Table 1'!$CK$270:$CK$281))</f>
        <v>98.008167347278928</v>
      </c>
      <c r="BM14" s="9">
        <f>100*('ONS - Table 2'!CK281/AVERAGE('ONS - Table 2'!$CK$270:$CK$281))</f>
        <v>97.86641929499072</v>
      </c>
      <c r="BN14" s="9">
        <v>100</v>
      </c>
      <c r="BP14" s="40">
        <v>43800</v>
      </c>
      <c r="BQ14" s="9">
        <f>100*('ONS - Table 1'!ET281/AVERAGE('ONS - Table 1'!$ET$270:$ET$281))</f>
        <v>101.1</v>
      </c>
      <c r="BR14" s="9">
        <f>100*('ONS - Table 2'!ET281/AVERAGE('ONS - Table 2'!$ET$270:$ET$281))</f>
        <v>97.392107085160376</v>
      </c>
      <c r="BS14" s="9">
        <v>100</v>
      </c>
      <c r="BU14" s="40">
        <v>43800</v>
      </c>
      <c r="BV14" s="9">
        <f>100*('ONS - Table 1'!J281/AVERAGE('ONS - Table 1'!$J$270:$J$281))</f>
        <v>103.18280286618898</v>
      </c>
      <c r="BW14" s="9">
        <f>100*('ONS - Table 2'!J281/AVERAGE('ONS - Table 2'!$J$270:$J$281))</f>
        <v>103.06205993122646</v>
      </c>
      <c r="BX14" s="9">
        <v>100</v>
      </c>
    </row>
    <row r="15" spans="1:97" x14ac:dyDescent="0.25">
      <c r="A15">
        <v>2022</v>
      </c>
      <c r="B15" s="9">
        <f>100*(Data!C203/AVERAGE(Data!C$191:C$194))</f>
        <v>101.59643067055639</v>
      </c>
      <c r="C15" s="9">
        <f>100*(Data!D203/AVERAGE(Data!D$191:D$194))</f>
        <v>105.0589355357842</v>
      </c>
      <c r="D15" s="9">
        <f>100*(Data!E203/AVERAGE(Data!E$191:E$194))</f>
        <v>98.740938932144644</v>
      </c>
      <c r="E15" s="9">
        <f>100*(Data!F203/AVERAGE(Data!F$191:F$194))</f>
        <v>100.46692533398034</v>
      </c>
      <c r="F15" s="9">
        <f>100*(Data!G203/AVERAGE(Data!G$191:G$194))</f>
        <v>100.73323150670184</v>
      </c>
      <c r="G15" s="9">
        <f>100*(Data!H203/AVERAGE(Data!H$191:H$194))</f>
        <v>101.30991028930944</v>
      </c>
      <c r="H15" s="9">
        <f>100*(Data!I203/AVERAGE(Data!I$191:I$194))</f>
        <v>102.89488216222209</v>
      </c>
      <c r="J15">
        <f t="shared" si="4"/>
        <v>3</v>
      </c>
      <c r="K15">
        <f t="shared" si="5"/>
        <v>1</v>
      </c>
      <c r="L15">
        <f t="shared" si="6"/>
        <v>7</v>
      </c>
      <c r="M15">
        <f t="shared" si="7"/>
        <v>6</v>
      </c>
      <c r="N15">
        <f t="shared" si="8"/>
        <v>5</v>
      </c>
      <c r="O15">
        <f t="shared" si="9"/>
        <v>4</v>
      </c>
      <c r="P15">
        <f t="shared" si="10"/>
        <v>2</v>
      </c>
      <c r="R15">
        <v>2022</v>
      </c>
      <c r="S15" s="9">
        <f>100*('ONS - Annex F'!C106/AVERAGE('ONS - Annex F'!$C$94:$C$97))</f>
        <v>101.71167366206662</v>
      </c>
      <c r="T15" s="9">
        <f t="shared" si="11"/>
        <v>105.0589355357842</v>
      </c>
      <c r="U15" s="9">
        <f t="shared" si="1"/>
        <v>98.740938932144644</v>
      </c>
      <c r="V15" s="9">
        <f t="shared" si="1"/>
        <v>100.46692533398034</v>
      </c>
      <c r="W15" s="9">
        <f t="shared" si="1"/>
        <v>100.73323150670184</v>
      </c>
      <c r="X15" s="9">
        <f t="shared" si="1"/>
        <v>101.30991028930944</v>
      </c>
      <c r="Y15" s="9">
        <f t="shared" si="1"/>
        <v>102.89488216222209</v>
      </c>
      <c r="AA15">
        <v>2022</v>
      </c>
      <c r="AB15" s="9">
        <f t="shared" si="12"/>
        <v>101.59643067055639</v>
      </c>
      <c r="AC15" s="9">
        <f t="shared" si="13"/>
        <v>101.71167366206662</v>
      </c>
      <c r="AD15" s="9">
        <f t="shared" si="14"/>
        <v>101.30991028930944</v>
      </c>
      <c r="AE15" s="9">
        <f t="shared" si="15"/>
        <v>98.740938932144644</v>
      </c>
      <c r="AF15" s="9">
        <f t="shared" si="16"/>
        <v>6.317996603639557</v>
      </c>
      <c r="AG15" s="9">
        <v>100</v>
      </c>
      <c r="AI15">
        <f t="shared" si="17"/>
        <v>3</v>
      </c>
      <c r="AJ15">
        <f t="shared" si="18"/>
        <v>1</v>
      </c>
      <c r="AK15">
        <f t="shared" si="19"/>
        <v>7</v>
      </c>
      <c r="AL15">
        <f t="shared" si="20"/>
        <v>6</v>
      </c>
      <c r="AM15">
        <f t="shared" si="21"/>
        <v>5</v>
      </c>
      <c r="AN15">
        <f t="shared" si="22"/>
        <v>4</v>
      </c>
      <c r="AO15">
        <f t="shared" si="23"/>
        <v>2</v>
      </c>
      <c r="BK15" s="40">
        <v>43831</v>
      </c>
      <c r="BL15" s="9">
        <f>100*('ONS - Table 1'!CK282/AVERAGE('ONS - Table 1'!$CK$270:$CK$281))</f>
        <v>97.508125677139759</v>
      </c>
      <c r="BM15" s="9">
        <f>100*('ONS - Table 2'!CK282/AVERAGE('ONS - Table 2'!$CK$270:$CK$281))</f>
        <v>97.03153988868273</v>
      </c>
      <c r="BN15" s="9">
        <v>100</v>
      </c>
      <c r="BP15" s="40">
        <v>43831</v>
      </c>
      <c r="BQ15" s="9">
        <f>100*('ONS - Table 1'!ET282/AVERAGE('ONS - Table 1'!$ET$270:$ET$281))</f>
        <v>101.8</v>
      </c>
      <c r="BR15" s="9">
        <f>100*('ONS - Table 2'!ET282/AVERAGE('ONS - Table 2'!$ET$270:$ET$281))</f>
        <v>98.222940226171218</v>
      </c>
      <c r="BS15" s="9">
        <v>100</v>
      </c>
      <c r="BU15" s="40">
        <v>43831</v>
      </c>
      <c r="BV15" s="9">
        <f>100*('ONS - Table 1'!J282/AVERAGE('ONS - Table 1'!$J$270:$J$281))</f>
        <v>105.88235294117648</v>
      </c>
      <c r="BW15" s="9">
        <f>100*('ONS - Table 2'!J282/AVERAGE('ONS - Table 2'!$J$270:$J$281))</f>
        <v>105.7147535614868</v>
      </c>
      <c r="BX15" s="9">
        <v>100</v>
      </c>
    </row>
    <row r="16" spans="1:97" x14ac:dyDescent="0.25">
      <c r="B16" s="9">
        <f>100*(Data!C204/AVERAGE(Data!C$191:C$194))</f>
        <v>101.68470594976277</v>
      </c>
      <c r="C16" s="9">
        <f>100*(Data!D204/AVERAGE(Data!D$191:D$194))</f>
        <v>104.91056973434307</v>
      </c>
      <c r="D16" s="9">
        <f>100*(Data!E204/AVERAGE(Data!E$191:E$194))</f>
        <v>99.897396432204815</v>
      </c>
      <c r="E16" s="9">
        <f>100*(Data!F204/AVERAGE(Data!F$191:F$194))</f>
        <v>100.45690491934971</v>
      </c>
      <c r="F16" s="9">
        <f>100*(Data!G204/AVERAGE(Data!G$191:G$194))</f>
        <v>101.11336653998157</v>
      </c>
      <c r="G16" s="9">
        <f>100*(Data!H204/AVERAGE(Data!H$191:H$194))</f>
        <v>102.72695508912064</v>
      </c>
      <c r="H16" s="9">
        <f>100*(Data!I204/AVERAGE(Data!I$191:I$194))</f>
        <v>103.86153979110541</v>
      </c>
      <c r="J16">
        <f t="shared" si="4"/>
        <v>4</v>
      </c>
      <c r="K16">
        <f t="shared" si="5"/>
        <v>1</v>
      </c>
      <c r="L16">
        <f t="shared" si="6"/>
        <v>7</v>
      </c>
      <c r="M16">
        <f t="shared" si="7"/>
        <v>6</v>
      </c>
      <c r="N16">
        <f t="shared" si="8"/>
        <v>5</v>
      </c>
      <c r="O16">
        <f t="shared" si="9"/>
        <v>3</v>
      </c>
      <c r="P16">
        <f t="shared" si="10"/>
        <v>2</v>
      </c>
      <c r="S16" s="9">
        <f>100*('ONS - Annex F'!C107/AVERAGE('ONS - Annex F'!$C$94:$C$97))</f>
        <v>102.05262615464517</v>
      </c>
      <c r="T16" s="9">
        <f t="shared" si="11"/>
        <v>104.91056973434307</v>
      </c>
      <c r="U16" s="9">
        <f t="shared" si="1"/>
        <v>99.897396432204815</v>
      </c>
      <c r="V16" s="9">
        <f t="shared" si="1"/>
        <v>100.45690491934971</v>
      </c>
      <c r="W16" s="9">
        <f t="shared" si="1"/>
        <v>101.11336653998157</v>
      </c>
      <c r="X16" s="9">
        <f t="shared" si="1"/>
        <v>102.72695508912064</v>
      </c>
      <c r="Y16" s="9">
        <f t="shared" si="1"/>
        <v>103.86153979110541</v>
      </c>
      <c r="AB16" s="9">
        <f t="shared" si="12"/>
        <v>101.68470594976277</v>
      </c>
      <c r="AC16" s="9">
        <f t="shared" si="13"/>
        <v>102.05262615464517</v>
      </c>
      <c r="AD16" s="9">
        <f t="shared" si="14"/>
        <v>102.05262615464517</v>
      </c>
      <c r="AE16" s="9">
        <f t="shared" si="15"/>
        <v>99.897396432204815</v>
      </c>
      <c r="AF16" s="9">
        <f t="shared" si="16"/>
        <v>5.0131733021382558</v>
      </c>
      <c r="AG16" s="9">
        <v>100</v>
      </c>
      <c r="AI16">
        <f t="shared" si="17"/>
        <v>4</v>
      </c>
      <c r="AJ16">
        <f t="shared" si="18"/>
        <v>1</v>
      </c>
      <c r="AK16">
        <f t="shared" si="19"/>
        <v>7</v>
      </c>
      <c r="AL16">
        <f t="shared" si="20"/>
        <v>6</v>
      </c>
      <c r="AM16">
        <f t="shared" si="21"/>
        <v>5</v>
      </c>
      <c r="AN16">
        <f t="shared" si="22"/>
        <v>3</v>
      </c>
      <c r="AO16">
        <f t="shared" si="23"/>
        <v>2</v>
      </c>
      <c r="BK16" s="40">
        <v>43862</v>
      </c>
      <c r="BL16" s="9">
        <f>100*('ONS - Table 1'!CK283/AVERAGE('ONS - Table 1'!$CK$270:$CK$281))</f>
        <v>96.608050670889227</v>
      </c>
      <c r="BM16" s="9">
        <f>100*('ONS - Table 2'!CK283/AVERAGE('ONS - Table 2'!$CK$270:$CK$281))</f>
        <v>96.103896103896091</v>
      </c>
      <c r="BN16" s="9">
        <v>100</v>
      </c>
      <c r="BP16" s="40">
        <v>43862</v>
      </c>
      <c r="BQ16" s="9">
        <f>100*('ONS - Table 1'!ET283/AVERAGE('ONS - Table 1'!$ET$270:$ET$281))</f>
        <v>102</v>
      </c>
      <c r="BR16" s="9">
        <f>100*('ONS - Table 2'!ET283/AVERAGE('ONS - Table 2'!$ET$270:$ET$281))</f>
        <v>97.022847911377767</v>
      </c>
      <c r="BS16" s="9">
        <v>100</v>
      </c>
      <c r="BU16" s="40">
        <v>43862</v>
      </c>
      <c r="BV16" s="9">
        <f>100*('ONS - Table 1'!J283/AVERAGE('ONS - Table 1'!$J$270:$J$281))</f>
        <v>107.68205299116815</v>
      </c>
      <c r="BW16" s="9">
        <f>100*('ONS - Table 2'!J283/AVERAGE('ONS - Table 2'!$J$270:$J$281))</f>
        <v>107.87620763058783</v>
      </c>
      <c r="BX16" s="9">
        <v>100</v>
      </c>
    </row>
    <row r="17" spans="2:76" x14ac:dyDescent="0.25">
      <c r="B17" s="9">
        <f>100*(Data!C205/AVERAGE(Data!C$191:C$194))</f>
        <v>101.6052044812686</v>
      </c>
      <c r="C17" s="9">
        <f>100*(Data!D205/AVERAGE(Data!D$191:D$194))</f>
        <v>105.60117146157228</v>
      </c>
      <c r="D17" s="9">
        <f>100*(Data!E205/AVERAGE(Data!E$191:E$194))</f>
        <v>99.706487553548314</v>
      </c>
      <c r="E17" s="9">
        <f>100*(Data!F205/AVERAGE(Data!F$191:F$194))</f>
        <v>101.09874329918769</v>
      </c>
      <c r="F17" s="9">
        <f>100*(Data!G205/AVERAGE(Data!G$191:G$194))</f>
        <v>101.65621149098915</v>
      </c>
      <c r="G17" s="9">
        <f>100*(Data!H205/AVERAGE(Data!H$191:H$194))</f>
        <v>103.13327949612072</v>
      </c>
      <c r="H17" s="9">
        <f>100*(Data!I205/AVERAGE(Data!I$191:I$194))</f>
        <v>104.33723921135622</v>
      </c>
      <c r="J17">
        <f t="shared" si="4"/>
        <v>5</v>
      </c>
      <c r="K17">
        <f t="shared" si="5"/>
        <v>1</v>
      </c>
      <c r="L17">
        <f t="shared" si="6"/>
        <v>7</v>
      </c>
      <c r="M17">
        <f t="shared" si="7"/>
        <v>6</v>
      </c>
      <c r="N17">
        <f t="shared" si="8"/>
        <v>4</v>
      </c>
      <c r="O17">
        <f t="shared" si="9"/>
        <v>3</v>
      </c>
      <c r="P17">
        <f t="shared" si="10"/>
        <v>2</v>
      </c>
      <c r="S17" s="9">
        <f>100*('ONS - Annex F'!C108/AVERAGE('ONS - Annex F'!$C$94:$C$97))</f>
        <v>102.1688636331487</v>
      </c>
      <c r="T17" s="9">
        <f t="shared" si="11"/>
        <v>105.60117146157228</v>
      </c>
      <c r="U17" s="9">
        <f t="shared" si="1"/>
        <v>99.706487553548314</v>
      </c>
      <c r="V17" s="9">
        <f t="shared" si="1"/>
        <v>101.09874329918769</v>
      </c>
      <c r="W17" s="9">
        <f t="shared" si="1"/>
        <v>101.65621149098915</v>
      </c>
      <c r="X17" s="9">
        <f t="shared" si="1"/>
        <v>103.13327949612072</v>
      </c>
      <c r="Y17" s="9">
        <f t="shared" si="1"/>
        <v>104.33723921135622</v>
      </c>
      <c r="AB17" s="9">
        <f t="shared" si="12"/>
        <v>101.6052044812686</v>
      </c>
      <c r="AC17" s="9">
        <f t="shared" si="13"/>
        <v>102.1688636331487</v>
      </c>
      <c r="AD17" s="9">
        <f t="shared" si="14"/>
        <v>102.1688636331487</v>
      </c>
      <c r="AE17" s="9">
        <f t="shared" si="15"/>
        <v>99.706487553548314</v>
      </c>
      <c r="AF17" s="9">
        <f t="shared" si="16"/>
        <v>5.8946839080239641</v>
      </c>
      <c r="AG17" s="9">
        <v>100</v>
      </c>
      <c r="AI17">
        <f t="shared" si="17"/>
        <v>4</v>
      </c>
      <c r="AJ17">
        <f t="shared" si="18"/>
        <v>1</v>
      </c>
      <c r="AK17">
        <f t="shared" si="19"/>
        <v>7</v>
      </c>
      <c r="AL17">
        <f t="shared" si="20"/>
        <v>6</v>
      </c>
      <c r="AM17">
        <f t="shared" si="21"/>
        <v>5</v>
      </c>
      <c r="AN17">
        <f t="shared" si="22"/>
        <v>3</v>
      </c>
      <c r="AO17">
        <f t="shared" si="23"/>
        <v>2</v>
      </c>
      <c r="BK17" s="40">
        <v>43891</v>
      </c>
      <c r="BL17" s="9">
        <f>100*('ONS - Table 1'!CK284/AVERAGE('ONS - Table 1'!$CK$270:$CK$281))</f>
        <v>82.806900575047919</v>
      </c>
      <c r="BM17" s="9">
        <f>100*('ONS - Table 2'!CK284/AVERAGE('ONS - Table 2'!$CK$270:$CK$281))</f>
        <v>83.116883116883102</v>
      </c>
      <c r="BN17" s="9">
        <v>100</v>
      </c>
      <c r="BP17" s="40">
        <v>43891</v>
      </c>
      <c r="BQ17" s="9">
        <f>100*('ONS - Table 1'!ET284/AVERAGE('ONS - Table 1'!$ET$270:$ET$281))</f>
        <v>86.9</v>
      </c>
      <c r="BR17" s="9">
        <f>100*('ONS - Table 2'!ET284/AVERAGE('ONS - Table 2'!$ET$270:$ET$281))</f>
        <v>83.17562889453032</v>
      </c>
      <c r="BS17" s="9">
        <v>100</v>
      </c>
      <c r="BU17" s="40">
        <v>43891</v>
      </c>
      <c r="BV17" s="9">
        <f>100*('ONS - Table 1'!J284/AVERAGE('ONS - Table 1'!$J$270:$J$281))</f>
        <v>97.383769371771379</v>
      </c>
      <c r="BW17" s="9">
        <f>100*('ONS - Table 2'!J284/AVERAGE('ONS - Table 2'!$J$270:$J$281))</f>
        <v>97.75667267070574</v>
      </c>
      <c r="BX17" s="9">
        <v>100</v>
      </c>
    </row>
    <row r="18" spans="2:76" x14ac:dyDescent="0.25">
      <c r="B18" s="9">
        <f>100*(Data!C206/AVERAGE(Data!C$191:C$194))</f>
        <v>101.71066926717643</v>
      </c>
      <c r="C18" s="9">
        <f>100*(Data!D206/AVERAGE(Data!D$191:D$194))</f>
        <v>106.27244213975382</v>
      </c>
      <c r="D18" s="9">
        <f>100*(Data!E206/AVERAGE(Data!E$191:E$194))</f>
        <v>100.07027864768894</v>
      </c>
      <c r="E18" s="9">
        <f>100*(Data!F206/AVERAGE(Data!F$191:F$194))</f>
        <v>100.56258463601495</v>
      </c>
      <c r="F18" s="9">
        <f>100*(Data!G206/AVERAGE(Data!G$191:G$194))</f>
        <v>101.71236236455796</v>
      </c>
      <c r="G18" s="9">
        <f>100*(Data!H206/AVERAGE(Data!H$191:H$194))</f>
        <v>103.07681984047832</v>
      </c>
      <c r="H18" s="9">
        <f>100*(Data!I206/AVERAGE(Data!I$191:I$194))</f>
        <v>104.11255132161857</v>
      </c>
      <c r="J18">
        <f t="shared" si="4"/>
        <v>5</v>
      </c>
      <c r="K18">
        <f t="shared" si="5"/>
        <v>1</v>
      </c>
      <c r="L18">
        <f t="shared" si="6"/>
        <v>7</v>
      </c>
      <c r="M18">
        <f t="shared" si="7"/>
        <v>6</v>
      </c>
      <c r="N18">
        <f t="shared" si="8"/>
        <v>4</v>
      </c>
      <c r="O18">
        <f t="shared" si="9"/>
        <v>3</v>
      </c>
      <c r="P18">
        <f t="shared" si="10"/>
        <v>2</v>
      </c>
      <c r="S18" s="9">
        <f>100*('ONS - Annex F'!C109/AVERAGE('ONS - Annex F'!$C$94:$C$97))</f>
        <v>102.50302617566167</v>
      </c>
      <c r="T18" s="9">
        <f t="shared" si="11"/>
        <v>106.27244213975382</v>
      </c>
      <c r="U18" s="9">
        <f t="shared" si="1"/>
        <v>100.07027864768894</v>
      </c>
      <c r="V18" s="9">
        <f t="shared" si="1"/>
        <v>100.56258463601495</v>
      </c>
      <c r="W18" s="9">
        <f t="shared" si="1"/>
        <v>101.71236236455796</v>
      </c>
      <c r="X18" s="9">
        <f t="shared" si="1"/>
        <v>103.07681984047832</v>
      </c>
      <c r="Y18" s="9">
        <f t="shared" si="1"/>
        <v>104.11255132161857</v>
      </c>
      <c r="AB18" s="9">
        <f t="shared" si="12"/>
        <v>101.71066926717643</v>
      </c>
      <c r="AC18" s="9">
        <f t="shared" si="13"/>
        <v>102.50302617566167</v>
      </c>
      <c r="AD18" s="9">
        <f t="shared" si="14"/>
        <v>102.50302617566167</v>
      </c>
      <c r="AE18" s="9">
        <f t="shared" si="15"/>
        <v>100.07027864768894</v>
      </c>
      <c r="AF18" s="9">
        <f t="shared" si="16"/>
        <v>6.2021634920648836</v>
      </c>
      <c r="AG18" s="9">
        <v>100</v>
      </c>
      <c r="AI18">
        <f t="shared" si="17"/>
        <v>4</v>
      </c>
      <c r="AJ18">
        <f t="shared" si="18"/>
        <v>1</v>
      </c>
      <c r="AK18">
        <f t="shared" si="19"/>
        <v>7</v>
      </c>
      <c r="AL18">
        <f t="shared" si="20"/>
        <v>6</v>
      </c>
      <c r="AM18">
        <f t="shared" si="21"/>
        <v>5</v>
      </c>
      <c r="AN18">
        <f t="shared" si="22"/>
        <v>3</v>
      </c>
      <c r="AO18">
        <f t="shared" si="23"/>
        <v>2</v>
      </c>
      <c r="BK18" s="40">
        <v>43922</v>
      </c>
      <c r="BL18" s="9">
        <f>100*('ONS - Table 1'!CK285/AVERAGE('ONS - Table 1'!$CK$270:$CK$281))</f>
        <v>64.505375447953995</v>
      </c>
      <c r="BM18" s="9">
        <f>100*('ONS - Table 2'!CK285/AVERAGE('ONS - Table 2'!$CK$270:$CK$281))</f>
        <v>64.471243042671617</v>
      </c>
      <c r="BN18" s="9">
        <v>100</v>
      </c>
      <c r="BP18" s="40">
        <v>43922</v>
      </c>
      <c r="BQ18" s="9">
        <f>100*('ONS - Table 1'!ET285/AVERAGE('ONS - Table 1'!$ET$270:$ET$281))</f>
        <v>50.9</v>
      </c>
      <c r="BR18" s="9">
        <f>100*('ONS - Table 2'!ET285/AVERAGE('ONS - Table 2'!$ET$270:$ET$281))</f>
        <v>55.48119086083544</v>
      </c>
      <c r="BS18" s="9">
        <v>100</v>
      </c>
      <c r="BU18" s="40">
        <v>43922</v>
      </c>
      <c r="BV18" s="9">
        <f>100*('ONS - Table 1'!J285/AVERAGE('ONS - Table 1'!$J$270:$J$281))</f>
        <v>77.587068821863014</v>
      </c>
      <c r="BW18" s="9">
        <f>100*('ONS - Table 2'!J285/AVERAGE('ONS - Table 2'!$J$270:$J$281))</f>
        <v>77.026363189782217</v>
      </c>
      <c r="BX18" s="9">
        <v>100</v>
      </c>
    </row>
    <row r="19" spans="2:76" x14ac:dyDescent="0.25">
      <c r="BK19" s="40">
        <v>43952</v>
      </c>
      <c r="BL19" s="9">
        <f>100*('ONS - Table 1'!CK286/AVERAGE('ONS - Table 1'!$CK$270:$CK$281))</f>
        <v>76.406367197266434</v>
      </c>
      <c r="BM19" s="9">
        <f>100*('ONS - Table 2'!CK286/AVERAGE('ONS - Table 2'!$CK$270:$CK$281))</f>
        <v>76.159554730983288</v>
      </c>
      <c r="BN19" s="9">
        <v>100</v>
      </c>
      <c r="BP19" s="40">
        <v>43952</v>
      </c>
      <c r="BQ19" s="9">
        <f>100*('ONS - Table 1'!ET286/AVERAGE('ONS - Table 1'!$ET$270:$ET$281))</f>
        <v>52.300000000000004</v>
      </c>
      <c r="BR19" s="9">
        <f>100*('ONS - Table 2'!ET286/AVERAGE('ONS - Table 2'!$ET$270:$ET$281))</f>
        <v>55.204246480498483</v>
      </c>
      <c r="BS19" s="9">
        <v>100</v>
      </c>
      <c r="BU19" s="40">
        <v>43952</v>
      </c>
      <c r="BV19" s="9">
        <f>100*('ONS - Table 1'!J286/AVERAGE('ONS - Table 1'!$J$270:$J$281))</f>
        <v>86.385602399600074</v>
      </c>
      <c r="BW19" s="9">
        <f>100*('ONS - Table 2'!J286/AVERAGE('ONS - Table 2'!$J$270:$J$281))</f>
        <v>84.493204519403946</v>
      </c>
      <c r="BX19" s="9">
        <v>100</v>
      </c>
    </row>
    <row r="20" spans="2:76" x14ac:dyDescent="0.25">
      <c r="BK20" s="40">
        <v>43983</v>
      </c>
      <c r="BL20" s="9">
        <f>100*('ONS - Table 1'!CK287/AVERAGE('ONS - Table 1'!$CK$270:$CK$281))</f>
        <v>88.50737561463454</v>
      </c>
      <c r="BM20" s="9">
        <f>100*('ONS - Table 2'!CK287/AVERAGE('ONS - Table 2'!$CK$270:$CK$281))</f>
        <v>87.755102040816311</v>
      </c>
      <c r="BN20" s="9">
        <v>100</v>
      </c>
      <c r="BP20" s="40">
        <v>43983</v>
      </c>
      <c r="BQ20" s="9">
        <f>100*('ONS - Table 1'!ET287/AVERAGE('ONS - Table 1'!$ET$270:$ET$281))</f>
        <v>56.999999999999993</v>
      </c>
      <c r="BR20" s="9">
        <f>100*('ONS - Table 2'!ET287/AVERAGE('ONS - Table 2'!$ET$270:$ET$281))</f>
        <v>58.250634664204924</v>
      </c>
      <c r="BS20" s="9">
        <v>100</v>
      </c>
      <c r="BU20" s="40">
        <v>43983</v>
      </c>
      <c r="BV20" s="9">
        <f>100*('ONS - Table 1'!J287/AVERAGE('ONS - Table 1'!$J$270:$J$281))</f>
        <v>97.88368605232462</v>
      </c>
      <c r="BW20" s="9">
        <f>100*('ONS - Table 2'!J287/AVERAGE('ONS - Table 2'!$J$270:$J$281))</f>
        <v>96.67594563615522</v>
      </c>
      <c r="BX20" s="9">
        <v>100</v>
      </c>
    </row>
    <row r="21" spans="2:76" x14ac:dyDescent="0.25">
      <c r="BK21" s="40">
        <v>44013</v>
      </c>
      <c r="BL21" s="9">
        <f>100*('ONS - Table 1'!CK288/AVERAGE('ONS - Table 1'!$CK$270:$CK$281))</f>
        <v>90.707558963246939</v>
      </c>
      <c r="BM21" s="9">
        <f>100*('ONS - Table 2'!CK288/AVERAGE('ONS - Table 2'!$CK$270:$CK$281))</f>
        <v>89.610389610389589</v>
      </c>
      <c r="BN21" s="9">
        <v>100</v>
      </c>
      <c r="BP21" s="40">
        <v>44013</v>
      </c>
      <c r="BQ21" s="9">
        <f>100*('ONS - Table 1'!ET288/AVERAGE('ONS - Table 1'!$ET$270:$ET$281))</f>
        <v>60.8</v>
      </c>
      <c r="BR21" s="9">
        <f>100*('ONS - Table 2'!ET288/AVERAGE('ONS - Table 2'!$ET$270:$ET$281))</f>
        <v>62.497115162704809</v>
      </c>
      <c r="BS21" s="9">
        <v>100</v>
      </c>
      <c r="BU21" s="40">
        <v>44013</v>
      </c>
      <c r="BV21" s="9">
        <f>100*('ONS - Table 1'!J288/AVERAGE('ONS - Table 1'!$J$270:$J$281))</f>
        <v>104.58256957173803</v>
      </c>
      <c r="BW21" s="9">
        <f>100*('ONS - Table 2'!J288/AVERAGE('ONS - Table 2'!$J$270:$J$281))</f>
        <v>103.65154740461765</v>
      </c>
      <c r="BX21" s="9">
        <v>100</v>
      </c>
    </row>
    <row r="22" spans="2:76" x14ac:dyDescent="0.25">
      <c r="BK22" s="40">
        <v>44044</v>
      </c>
      <c r="BL22" s="9">
        <f>100*('ONS - Table 1'!CK289/AVERAGE('ONS - Table 1'!$CK$270:$CK$281))</f>
        <v>91.807650637553124</v>
      </c>
      <c r="BM22" s="9">
        <f>100*('ONS - Table 2'!CK289/AVERAGE('ONS - Table 2'!$CK$270:$CK$281))</f>
        <v>90.630797773654919</v>
      </c>
      <c r="BN22" s="9">
        <v>100</v>
      </c>
      <c r="BP22" s="40">
        <v>44044</v>
      </c>
      <c r="BQ22" s="9">
        <f>100*('ONS - Table 1'!ET289/AVERAGE('ONS - Table 1'!$ET$270:$ET$281))</f>
        <v>63</v>
      </c>
      <c r="BR22" s="9">
        <f>100*('ONS - Table 2'!ET289/AVERAGE('ONS - Table 2'!$ET$270:$ET$281))</f>
        <v>65.543503346411242</v>
      </c>
      <c r="BS22" s="9">
        <v>100</v>
      </c>
      <c r="BU22" s="40">
        <v>44044</v>
      </c>
      <c r="BV22" s="9">
        <f>100*('ONS - Table 1'!J289/AVERAGE('ONS - Table 1'!$J$270:$J$281))</f>
        <v>108.58190301616398</v>
      </c>
      <c r="BW22" s="9">
        <f>100*('ONS - Table 2'!J289/AVERAGE('ONS - Table 2'!$J$270:$J$281))</f>
        <v>108.36744719174716</v>
      </c>
      <c r="BX22" s="9">
        <v>100</v>
      </c>
    </row>
    <row r="23" spans="2:76" x14ac:dyDescent="0.25">
      <c r="BK23" s="40">
        <v>44075</v>
      </c>
      <c r="BL23" s="9">
        <f>100*('ONS - Table 1'!CK290/AVERAGE('ONS - Table 1'!$CK$270:$CK$281))</f>
        <v>93.007750645887157</v>
      </c>
      <c r="BM23" s="9">
        <f>100*('ONS - Table 2'!CK290/AVERAGE('ONS - Table 2'!$CK$270:$CK$281))</f>
        <v>92.02226345083487</v>
      </c>
      <c r="BN23" s="9">
        <v>100</v>
      </c>
      <c r="BP23" s="40">
        <v>44075</v>
      </c>
      <c r="BQ23" s="9">
        <f>100*('ONS - Table 1'!ET290/AVERAGE('ONS - Table 1'!$ET$270:$ET$281))</f>
        <v>65.2</v>
      </c>
      <c r="BR23" s="9">
        <f>100*('ONS - Table 2'!ET290/AVERAGE('ONS - Table 2'!$ET$270:$ET$281))</f>
        <v>67.666743595661188</v>
      </c>
      <c r="BS23" s="9">
        <v>100</v>
      </c>
      <c r="BU23" s="40">
        <v>44075</v>
      </c>
      <c r="BV23" s="9">
        <f>100*('ONS - Table 1'!J290/AVERAGE('ONS - Table 1'!$J$270:$J$281))</f>
        <v>110.28161973004499</v>
      </c>
      <c r="BW23" s="9">
        <f>100*('ONS - Table 2'!J290/AVERAGE('ONS - Table 2'!$J$270:$J$281))</f>
        <v>111.11838873423937</v>
      </c>
      <c r="BX23" s="9">
        <v>100</v>
      </c>
    </row>
    <row r="24" spans="2:76" x14ac:dyDescent="0.25">
      <c r="BK24" s="40">
        <v>44105</v>
      </c>
      <c r="BL24" s="9">
        <f>100*('ONS - Table 1'!CK291/AVERAGE('ONS - Table 1'!$CK$270:$CK$281))</f>
        <v>93.807817318109826</v>
      </c>
      <c r="BM24" s="9">
        <f>100*('ONS - Table 2'!CK291/AVERAGE('ONS - Table 2'!$CK$270:$CK$281))</f>
        <v>92.20779220779221</v>
      </c>
      <c r="BN24" s="9">
        <v>100</v>
      </c>
      <c r="BP24" s="40">
        <v>44105</v>
      </c>
      <c r="BQ24" s="9">
        <f>100*('ONS - Table 1'!ET291/AVERAGE('ONS - Table 1'!$ET$270:$ET$281))</f>
        <v>66.5</v>
      </c>
      <c r="BR24" s="9">
        <f>100*('ONS - Table 2'!ET291/AVERAGE('ONS - Table 2'!$ET$270:$ET$281))</f>
        <v>69.328409877682873</v>
      </c>
      <c r="BS24" s="9">
        <v>100</v>
      </c>
      <c r="BU24" s="40">
        <v>44105</v>
      </c>
      <c r="BV24" s="9">
        <f>100*('ONS - Table 1'!J291/AVERAGE('ONS - Table 1'!$J$270:$J$281))</f>
        <v>110.28161973004499</v>
      </c>
      <c r="BW24" s="9">
        <f>100*('ONS - Table 2'!J291/AVERAGE('ONS - Table 2'!$J$270:$J$281))</f>
        <v>110.23415752415259</v>
      </c>
      <c r="BX24" s="9">
        <v>100</v>
      </c>
    </row>
    <row r="25" spans="2:76" x14ac:dyDescent="0.25">
      <c r="BK25" s="40">
        <v>44136</v>
      </c>
      <c r="BL25" s="9">
        <f>100*('ONS - Table 1'!CK292/AVERAGE('ONS - Table 1'!$CK$270:$CK$281))</f>
        <v>90.207517293107756</v>
      </c>
      <c r="BM25" s="9">
        <f>100*('ONS - Table 2'!CK292/AVERAGE('ONS - Table 2'!$CK$270:$CK$281))</f>
        <v>88.589981447124302</v>
      </c>
      <c r="BN25" s="9">
        <v>100</v>
      </c>
      <c r="BP25" s="40">
        <v>44136</v>
      </c>
      <c r="BQ25" s="9">
        <f>100*('ONS - Table 1'!ET292/AVERAGE('ONS - Table 1'!$ET$270:$ET$281))</f>
        <v>66.400000000000006</v>
      </c>
      <c r="BR25" s="9">
        <f>100*('ONS - Table 2'!ET292/AVERAGE('ONS - Table 2'!$ET$270:$ET$281))</f>
        <v>69.420724671128525</v>
      </c>
      <c r="BS25" s="9">
        <v>100</v>
      </c>
      <c r="BU25" s="40">
        <v>44136</v>
      </c>
      <c r="BV25" s="9">
        <f>100*('ONS - Table 1'!J292/AVERAGE('ONS - Table 1'!$J$270:$J$281))</f>
        <v>111.48141976337278</v>
      </c>
      <c r="BW25" s="9">
        <f>100*('ONS - Table 2'!J292/AVERAGE('ONS - Table 2'!$J$270:$J$281))</f>
        <v>112.59210741771734</v>
      </c>
      <c r="BX25" s="9">
        <v>100</v>
      </c>
    </row>
    <row r="26" spans="2:76" x14ac:dyDescent="0.25">
      <c r="BK26" s="40">
        <v>44166</v>
      </c>
      <c r="BL26" s="9">
        <f>100*('ONS - Table 1'!CK293/AVERAGE('ONS - Table 1'!$CK$270:$CK$281))</f>
        <v>91.70764230352529</v>
      </c>
      <c r="BM26" s="9">
        <f>100*('ONS - Table 2'!CK293/AVERAGE('ONS - Table 2'!$CK$270:$CK$281))</f>
        <v>90.352504638218917</v>
      </c>
      <c r="BN26" s="9">
        <v>100</v>
      </c>
      <c r="BP26" s="40">
        <v>44166</v>
      </c>
      <c r="BQ26" s="9">
        <f>100*('ONS - Table 1'!ET293/AVERAGE('ONS - Table 1'!$ET$270:$ET$281))</f>
        <v>66.8</v>
      </c>
      <c r="BR26" s="9">
        <f>100*('ONS - Table 2'!ET293/AVERAGE('ONS - Table 2'!$ET$270:$ET$281))</f>
        <v>70.066928225248077</v>
      </c>
      <c r="BS26" s="9">
        <v>100</v>
      </c>
      <c r="BU26" s="40">
        <v>44166</v>
      </c>
      <c r="BV26" s="9">
        <f>100*('ONS - Table 1'!J293/AVERAGE('ONS - Table 1'!$J$270:$J$281))</f>
        <v>108.68188635227463</v>
      </c>
      <c r="BW26" s="9">
        <f>100*('ONS - Table 2'!J293/AVERAGE('ONS - Table 2'!$J$270:$J$281))</f>
        <v>111.11838873423937</v>
      </c>
      <c r="BX26" s="9">
        <v>100</v>
      </c>
    </row>
    <row r="27" spans="2:76" x14ac:dyDescent="0.25">
      <c r="BK27" s="40">
        <v>44197</v>
      </c>
      <c r="BL27" s="9">
        <f>100*('ONS - Table 1'!CK294/AVERAGE('ONS - Table 1'!$CK$270:$CK$281))</f>
        <v>85.607133927827306</v>
      </c>
      <c r="BM27" s="9">
        <f>100*('ONS - Table 2'!CK294/AVERAGE('ONS - Table 2'!$CK$270:$CK$281))</f>
        <v>83.209647495361764</v>
      </c>
      <c r="BN27" s="9">
        <v>100</v>
      </c>
      <c r="BP27" s="40">
        <v>44197</v>
      </c>
      <c r="BQ27" s="9">
        <f>100*('ONS - Table 1'!ET294/AVERAGE('ONS - Table 1'!$ET$270:$ET$281))</f>
        <v>68.400000000000006</v>
      </c>
      <c r="BR27" s="9">
        <f>100*('ONS - Table 2'!ET294/AVERAGE('ONS - Table 2'!$ET$270:$ET$281))</f>
        <v>71.267020540041528</v>
      </c>
      <c r="BS27" s="9">
        <v>100</v>
      </c>
      <c r="BU27" s="40">
        <v>44197</v>
      </c>
      <c r="BV27" s="9">
        <f>100*('ONS - Table 1'!J294/AVERAGE('ONS - Table 1'!$J$270:$J$281))</f>
        <v>105.38243626062325</v>
      </c>
      <c r="BW27" s="9">
        <f>100*('ONS - Table 2'!J294/AVERAGE('ONS - Table 2'!$J$270:$J$281))</f>
        <v>107.3849680694285</v>
      </c>
      <c r="BX27" s="9">
        <v>100</v>
      </c>
    </row>
    <row r="28" spans="2:76" x14ac:dyDescent="0.25">
      <c r="BK28" s="40">
        <v>44228</v>
      </c>
      <c r="BL28" s="9">
        <f>100*('ONS - Table 1'!CK295/AVERAGE('ONS - Table 1'!$CK$270:$CK$281))</f>
        <v>87.707308942411871</v>
      </c>
      <c r="BM28" s="9">
        <f>100*('ONS - Table 2'!CK295/AVERAGE('ONS - Table 2'!$CK$270:$CK$281))</f>
        <v>85.250463821892382</v>
      </c>
      <c r="BN28" s="9">
        <v>100</v>
      </c>
      <c r="BP28" s="40">
        <v>44228</v>
      </c>
      <c r="BQ28" s="9">
        <f>100*('ONS - Table 1'!ET295/AVERAGE('ONS - Table 1'!$ET$270:$ET$281))</f>
        <v>70.8</v>
      </c>
      <c r="BR28" s="9">
        <f>100*('ONS - Table 2'!ET295/AVERAGE('ONS - Table 2'!$ET$270:$ET$281))</f>
        <v>74.498038310639259</v>
      </c>
      <c r="BS28" s="9">
        <v>100</v>
      </c>
      <c r="BU28" s="40">
        <v>44228</v>
      </c>
      <c r="BV28" s="9">
        <f>100*('ONS - Table 1'!J295/AVERAGE('ONS - Table 1'!$J$270:$J$281))</f>
        <v>105.48241959673388</v>
      </c>
      <c r="BW28" s="9">
        <f>100*('ONS - Table 2'!J295/AVERAGE('ONS - Table 2'!$J$270:$J$281))</f>
        <v>108.17095136728344</v>
      </c>
      <c r="BX28" s="9">
        <v>100</v>
      </c>
    </row>
    <row r="29" spans="2:76" x14ac:dyDescent="0.25">
      <c r="BK29" s="40">
        <v>44256</v>
      </c>
      <c r="BL29" s="9">
        <f>100*('ONS - Table 1'!CK296/AVERAGE('ONS - Table 1'!$CK$270:$CK$281))</f>
        <v>92.40770064172014</v>
      </c>
      <c r="BM29" s="9">
        <f>100*('ONS - Table 2'!CK296/AVERAGE('ONS - Table 2'!$CK$270:$CK$281))</f>
        <v>89.703153988868266</v>
      </c>
      <c r="BN29" s="9">
        <v>100</v>
      </c>
      <c r="BP29" s="40">
        <v>44256</v>
      </c>
      <c r="BQ29" s="9">
        <f>100*('ONS - Table 1'!ET296/AVERAGE('ONS - Table 1'!$ET$270:$ET$281))</f>
        <v>77.8</v>
      </c>
      <c r="BR29" s="9">
        <f>100*('ONS - Table 2'!ET296/AVERAGE('ONS - Table 2'!$ET$270:$ET$281))</f>
        <v>81.790906992845578</v>
      </c>
      <c r="BS29" s="9">
        <v>100</v>
      </c>
      <c r="BU29" s="40">
        <v>44256</v>
      </c>
      <c r="BV29" s="9">
        <f>100*('ONS - Table 1'!J296/AVERAGE('ONS - Table 1'!$J$270:$J$281))</f>
        <v>105.48241959673388</v>
      </c>
      <c r="BW29" s="9">
        <f>100*('ONS - Table 2'!J296/AVERAGE('ONS - Table 2'!$J$270:$J$281))</f>
        <v>108.85868675290649</v>
      </c>
      <c r="BX29" s="9">
        <v>100</v>
      </c>
    </row>
    <row r="30" spans="2:76" x14ac:dyDescent="0.25">
      <c r="BK30" s="40">
        <v>44287</v>
      </c>
      <c r="BL30" s="9">
        <f>100*('ONS - Table 1'!CK297/AVERAGE('ONS - Table 1'!$CK$270:$CK$281))</f>
        <v>101.20843403616968</v>
      </c>
      <c r="BM30" s="9">
        <f>100*('ONS - Table 2'!CK297/AVERAGE('ONS - Table 2'!$CK$270:$CK$281))</f>
        <v>97.680890538033381</v>
      </c>
      <c r="BN30" s="9">
        <v>100</v>
      </c>
      <c r="BP30" s="40">
        <v>44287</v>
      </c>
      <c r="BQ30" s="9">
        <f>100*('ONS - Table 1'!ET297/AVERAGE('ONS - Table 1'!$ET$270:$ET$281))</f>
        <v>85.1</v>
      </c>
      <c r="BR30" s="9">
        <f>100*('ONS - Table 2'!ET297/AVERAGE('ONS - Table 2'!$ET$270:$ET$281))</f>
        <v>86.683591045465008</v>
      </c>
      <c r="BS30" s="9">
        <v>100</v>
      </c>
      <c r="BU30" s="40">
        <v>44287</v>
      </c>
      <c r="BV30" s="9">
        <f>100*('ONS - Table 1'!J297/AVERAGE('ONS - Table 1'!$J$270:$J$281))</f>
        <v>105.08248625229129</v>
      </c>
      <c r="BW30" s="9">
        <f>100*('ONS - Table 2'!J297/AVERAGE('ONS - Table 2'!$J$270:$J$281))</f>
        <v>108.95693466513836</v>
      </c>
      <c r="BX30" s="9">
        <v>100</v>
      </c>
    </row>
    <row r="31" spans="2:76" x14ac:dyDescent="0.25">
      <c r="BK31" s="40">
        <v>44317</v>
      </c>
      <c r="BL31" s="9">
        <f>100*('ONS - Table 1'!CK298/AVERAGE('ONS - Table 1'!$CK$270:$CK$281))</f>
        <v>100.00833402783564</v>
      </c>
      <c r="BM31" s="9">
        <f>100*('ONS - Table 2'!CK298/AVERAGE('ONS - Table 2'!$CK$270:$CK$281))</f>
        <v>96.28942486085343</v>
      </c>
      <c r="BN31" s="9">
        <v>100</v>
      </c>
      <c r="BP31" s="40">
        <v>44317</v>
      </c>
      <c r="BQ31" s="9">
        <f>100*('ONS - Table 1'!ET298/AVERAGE('ONS - Table 1'!$ET$270:$ET$281))</f>
        <v>90.6</v>
      </c>
      <c r="BR31" s="9">
        <f>100*('ONS - Table 2'!ET298/AVERAGE('ONS - Table 2'!$ET$270:$ET$281))</f>
        <v>88.991460881606258</v>
      </c>
      <c r="BS31" s="9">
        <v>100</v>
      </c>
      <c r="BU31" s="40">
        <v>44317</v>
      </c>
      <c r="BV31" s="9">
        <f>100*('ONS - Table 1'!J298/AVERAGE('ONS - Table 1'!$J$270:$J$281))</f>
        <v>104.98250291618064</v>
      </c>
      <c r="BW31" s="9">
        <f>100*('ONS - Table 2'!J298/AVERAGE('ONS - Table 2'!$J$270:$J$281))</f>
        <v>107.58146389389225</v>
      </c>
      <c r="BX31" s="9">
        <v>100</v>
      </c>
    </row>
    <row r="32" spans="2:76" x14ac:dyDescent="0.25">
      <c r="BK32" s="40">
        <v>44348</v>
      </c>
      <c r="BL32" s="9">
        <f>100*('ONS - Table 1'!CK299/AVERAGE('ONS - Table 1'!$CK$270:$CK$281))</f>
        <v>101.70847570630886</v>
      </c>
      <c r="BM32" s="9">
        <f>100*('ONS - Table 2'!CK299/AVERAGE('ONS - Table 2'!$CK$270:$CK$281))</f>
        <v>97.680890538033381</v>
      </c>
      <c r="BN32" s="9">
        <v>100</v>
      </c>
      <c r="BP32" s="40">
        <v>44348</v>
      </c>
      <c r="BQ32" s="9">
        <f>100*('ONS - Table 1'!ET299/AVERAGE('ONS - Table 1'!$ET$270:$ET$281))</f>
        <v>96.1</v>
      </c>
      <c r="BR32" s="9">
        <f>100*('ONS - Table 2'!ET299/AVERAGE('ONS - Table 2'!$ET$270:$ET$281))</f>
        <v>90.745441957073595</v>
      </c>
      <c r="BS32" s="9">
        <v>100</v>
      </c>
      <c r="BU32" s="40">
        <v>44348</v>
      </c>
      <c r="BV32" s="9">
        <f>100*('ONS - Table 1'!J299/AVERAGE('ONS - Table 1'!$J$270:$J$281))</f>
        <v>104.38260289951675</v>
      </c>
      <c r="BW32" s="9">
        <f>100*('ONS - Table 2'!J299/AVERAGE('ONS - Table 2'!$J$270:$J$281))</f>
        <v>106.40248894710986</v>
      </c>
      <c r="BX32" s="9">
        <v>100</v>
      </c>
    </row>
    <row r="33" spans="63:76" x14ac:dyDescent="0.25">
      <c r="BK33" s="40">
        <v>44378</v>
      </c>
      <c r="BL33" s="9">
        <f>100*('ONS - Table 1'!CK300/AVERAGE('ONS - Table 1'!$CK$270:$CK$281))</f>
        <v>99.408284023668642</v>
      </c>
      <c r="BM33" s="9">
        <f>100*('ONS - Table 2'!CK300/AVERAGE('ONS - Table 2'!$CK$270:$CK$281))</f>
        <v>95.269016697588114</v>
      </c>
      <c r="BN33" s="9">
        <v>100</v>
      </c>
      <c r="BP33" s="40">
        <v>44378</v>
      </c>
      <c r="BQ33" s="9">
        <f>100*('ONS - Table 1'!ET300/AVERAGE('ONS - Table 1'!$ET$270:$ET$281))</f>
        <v>97.6</v>
      </c>
      <c r="BR33" s="9">
        <f>100*('ONS - Table 2'!ET300/AVERAGE('ONS - Table 2'!$ET$270:$ET$281))</f>
        <v>92.222478652204003</v>
      </c>
      <c r="BS33" s="9">
        <v>100</v>
      </c>
      <c r="BU33" s="40">
        <v>44378</v>
      </c>
      <c r="BV33" s="9">
        <f>100*('ONS - Table 1'!J300/AVERAGE('ONS - Table 1'!$J$270:$J$281))</f>
        <v>103.18280286618898</v>
      </c>
      <c r="BW33" s="9">
        <f>100*('ONS - Table 2'!J300/AVERAGE('ONS - Table 2'!$J$270:$J$281))</f>
        <v>105.32176191255935</v>
      </c>
      <c r="BX33" s="9">
        <v>100</v>
      </c>
    </row>
    <row r="34" spans="63:76" x14ac:dyDescent="0.25">
      <c r="BK34" s="40">
        <v>44409</v>
      </c>
      <c r="BL34" s="9">
        <f>100*('ONS - Table 1'!CK301/AVERAGE('ONS - Table 1'!$CK$270:$CK$281))</f>
        <v>100.40836736394701</v>
      </c>
      <c r="BM34" s="9">
        <f>100*('ONS - Table 2'!CK301/AVERAGE('ONS - Table 2'!$CK$270:$CK$281))</f>
        <v>96.103896103896091</v>
      </c>
      <c r="BN34" s="9">
        <v>100</v>
      </c>
      <c r="BP34" s="40">
        <v>44409</v>
      </c>
      <c r="BQ34" s="9">
        <f>100*('ONS - Table 1'!ET301/AVERAGE('ONS - Table 1'!$ET$270:$ET$281))</f>
        <v>101.70000000000002</v>
      </c>
      <c r="BR34" s="9">
        <f>100*('ONS - Table 2'!ET301/AVERAGE('ONS - Table 2'!$ET$270:$ET$281))</f>
        <v>93.330256173551788</v>
      </c>
      <c r="BS34" s="9">
        <v>100</v>
      </c>
      <c r="BU34" s="40">
        <v>44409</v>
      </c>
      <c r="BV34" s="9">
        <f>100*('ONS - Table 1'!J301/AVERAGE('ONS - Table 1'!$J$270:$J$281))</f>
        <v>102.48291951341444</v>
      </c>
      <c r="BW34" s="9">
        <f>100*('ONS - Table 2'!J301/AVERAGE('ONS - Table 2'!$J$270:$J$281))</f>
        <v>105.61650564925493</v>
      </c>
      <c r="BX34" s="9">
        <v>100</v>
      </c>
    </row>
    <row r="35" spans="63:76" x14ac:dyDescent="0.25">
      <c r="BK35" s="40">
        <v>44440</v>
      </c>
      <c r="BL35" s="9">
        <f>100*('ONS - Table 1'!CK302/AVERAGE('ONS - Table 1'!$CK$270:$CK$281))</f>
        <v>100.50837569797481</v>
      </c>
      <c r="BM35" s="9">
        <f>100*('ONS - Table 2'!CK302/AVERAGE('ONS - Table 2'!$CK$270:$CK$281))</f>
        <v>96.474953617810755</v>
      </c>
      <c r="BN35" s="9">
        <v>100</v>
      </c>
      <c r="BP35" s="40">
        <v>44440</v>
      </c>
      <c r="BQ35" s="9">
        <f>100*('ONS - Table 1'!ET302/AVERAGE('ONS - Table 1'!$ET$270:$ET$281))</f>
        <v>105.60000000000001</v>
      </c>
      <c r="BR35" s="9">
        <f>100*('ONS - Table 2'!ET302/AVERAGE('ONS - Table 2'!$ET$270:$ET$281))</f>
        <v>95.26886683591043</v>
      </c>
      <c r="BS35" s="9">
        <v>100</v>
      </c>
      <c r="BU35" s="40">
        <v>44440</v>
      </c>
      <c r="BV35" s="9">
        <f>100*('ONS - Table 1'!J302/AVERAGE('ONS - Table 1'!$J$270:$J$281))</f>
        <v>102.08298616897183</v>
      </c>
      <c r="BW35" s="9">
        <f>100*('ONS - Table 2'!J302/AVERAGE('ONS - Table 2'!$J$270:$J$281))</f>
        <v>104.83052235140002</v>
      </c>
      <c r="BX35" s="9">
        <v>100</v>
      </c>
    </row>
    <row r="36" spans="63:76" x14ac:dyDescent="0.25">
      <c r="BK36" s="40">
        <v>44470</v>
      </c>
      <c r="BL36" s="9">
        <f>100*('ONS - Table 1'!CK303/AVERAGE('ONS - Table 1'!$CK$270:$CK$281))</f>
        <v>101.00841736811401</v>
      </c>
      <c r="BM36" s="9">
        <f>100*('ONS - Table 2'!CK303/AVERAGE('ONS - Table 2'!$CK$270:$CK$281))</f>
        <v>96.753246753246742</v>
      </c>
      <c r="BN36" s="9">
        <v>100</v>
      </c>
      <c r="BP36" s="40">
        <v>44470</v>
      </c>
      <c r="BQ36" s="9">
        <f>100*('ONS - Table 1'!ET303/AVERAGE('ONS - Table 1'!$ET$270:$ET$281))</f>
        <v>111.20000000000002</v>
      </c>
      <c r="BR36" s="9">
        <f>100*('ONS - Table 2'!ET303/AVERAGE('ONS - Table 2'!$ET$270:$ET$281))</f>
        <v>97.115162704823419</v>
      </c>
      <c r="BS36" s="9">
        <v>100</v>
      </c>
      <c r="BU36" s="40">
        <v>44470</v>
      </c>
      <c r="BV36" s="9">
        <f>100*('ONS - Table 1'!J303/AVERAGE('ONS - Table 1'!$J$270:$J$281))</f>
        <v>101.183136143976</v>
      </c>
      <c r="BW36" s="9">
        <f>100*('ONS - Table 2'!J303/AVERAGE('ONS - Table 2'!$J$270:$J$281))</f>
        <v>102.3743245456034</v>
      </c>
      <c r="BX36" s="9">
        <v>100</v>
      </c>
    </row>
    <row r="37" spans="63:76" x14ac:dyDescent="0.25">
      <c r="BK37" s="40">
        <v>44501</v>
      </c>
      <c r="BL37" s="9">
        <f>100*('ONS - Table 1'!CK304/AVERAGE('ONS - Table 1'!$CK$270:$CK$281))</f>
        <v>101.20843403616968</v>
      </c>
      <c r="BM37" s="9">
        <f>100*('ONS - Table 2'!CK304/AVERAGE('ONS - Table 2'!$CK$270:$CK$281))</f>
        <v>96.567717996289403</v>
      </c>
      <c r="BN37" s="9">
        <v>100</v>
      </c>
      <c r="BP37" s="40">
        <v>44501</v>
      </c>
      <c r="BQ37" s="9">
        <f>100*('ONS - Table 1'!ET304/AVERAGE('ONS - Table 1'!$ET$270:$ET$281))</f>
        <v>114.1</v>
      </c>
      <c r="BR37" s="9">
        <f>100*('ONS - Table 2'!ET304/AVERAGE('ONS - Table 2'!$ET$270:$ET$281))</f>
        <v>97.022847911377767</v>
      </c>
      <c r="BS37" s="9">
        <v>100</v>
      </c>
      <c r="BU37" s="40">
        <v>44501</v>
      </c>
      <c r="BV37" s="9">
        <f>100*('ONS - Table 1'!J304/AVERAGE('ONS - Table 1'!$J$270:$J$281))</f>
        <v>103.18280286618898</v>
      </c>
      <c r="BW37" s="9">
        <f>100*('ONS - Table 2'!J304/AVERAGE('ONS - Table 2'!$J$270:$J$281))</f>
        <v>104.14278696577696</v>
      </c>
      <c r="BX37" s="9">
        <v>100</v>
      </c>
    </row>
    <row r="38" spans="63:76" x14ac:dyDescent="0.25">
      <c r="BK38" s="40">
        <v>44531</v>
      </c>
      <c r="BL38" s="9">
        <f>100*('ONS - Table 1'!CK305/AVERAGE('ONS - Table 1'!$CK$270:$CK$281))</f>
        <v>100.50837569797481</v>
      </c>
      <c r="BM38" s="9">
        <f>100*('ONS - Table 2'!CK305/AVERAGE('ONS - Table 2'!$CK$270:$CK$281))</f>
        <v>96.753246753246742</v>
      </c>
      <c r="BN38" s="9">
        <v>100</v>
      </c>
      <c r="BP38" s="40">
        <v>44531</v>
      </c>
      <c r="BQ38" s="9">
        <f>100*('ONS - Table 1'!ET305/AVERAGE('ONS - Table 1'!$ET$270:$ET$281))</f>
        <v>114.5</v>
      </c>
      <c r="BR38" s="9">
        <f>100*('ONS - Table 2'!ET305/AVERAGE('ONS - Table 2'!$ET$270:$ET$281))</f>
        <v>96.838218324486476</v>
      </c>
      <c r="BS38" s="9">
        <v>100</v>
      </c>
      <c r="BU38" s="40">
        <v>44531</v>
      </c>
      <c r="BV38" s="9">
        <f>100*('ONS - Table 1'!J305/AVERAGE('ONS - Table 1'!$J$270:$J$281))</f>
        <v>103.18280286618898</v>
      </c>
      <c r="BW38" s="9">
        <f>100*('ONS - Table 2'!J305/AVERAGE('ONS - Table 2'!$J$270:$J$281))</f>
        <v>103.45505158015391</v>
      </c>
      <c r="BX38" s="9">
        <v>100</v>
      </c>
    </row>
    <row r="39" spans="63:76" x14ac:dyDescent="0.25">
      <c r="BK39" s="40">
        <v>44562</v>
      </c>
      <c r="BL39" s="9">
        <f>100*('ONS - Table 1'!CK306/AVERAGE('ONS - Table 1'!$CK$270:$CK$281))</f>
        <v>100.10834236186348</v>
      </c>
      <c r="BM39" s="9">
        <f>100*('ONS - Table 2'!CK306/AVERAGE('ONS - Table 2'!$CK$270:$CK$281))</f>
        <v>95.547309833024102</v>
      </c>
      <c r="BN39" s="9">
        <v>100</v>
      </c>
      <c r="BP39" s="40">
        <v>44562</v>
      </c>
      <c r="BQ39" s="9">
        <f>100*('ONS - Table 1'!ET306/AVERAGE('ONS - Table 1'!$ET$270:$ET$281))</f>
        <v>109.59999999999998</v>
      </c>
      <c r="BR39" s="9">
        <f>100*('ONS - Table 2'!ET306/AVERAGE('ONS - Table 2'!$ET$270:$ET$281))</f>
        <v>92.314793445649627</v>
      </c>
      <c r="BS39" s="9">
        <v>100</v>
      </c>
      <c r="BU39" s="40">
        <v>44562</v>
      </c>
      <c r="BV39" s="9">
        <f>100*('ONS - Table 1'!J306/AVERAGE('ONS - Table 1'!$J$270:$J$281))</f>
        <v>102.1829695050825</v>
      </c>
      <c r="BW39" s="9">
        <f>100*('ONS - Table 2'!J306/AVERAGE('ONS - Table 2'!$J$270:$J$281))</f>
        <v>101.39184542328475</v>
      </c>
      <c r="BX39" s="9">
        <v>100</v>
      </c>
    </row>
    <row r="40" spans="63:76" x14ac:dyDescent="0.25">
      <c r="BK40" s="40">
        <v>44593</v>
      </c>
      <c r="BL40" s="9">
        <f>100*('ONS - Table 1'!CK307/AVERAGE('ONS - Table 1'!$CK$270:$CK$281))</f>
        <v>99.408284023668642</v>
      </c>
      <c r="BM40" s="9">
        <f>100*('ONS - Table 2'!CK307/AVERAGE('ONS - Table 2'!$CK$270:$CK$281))</f>
        <v>94.89795918367345</v>
      </c>
      <c r="BN40" s="9">
        <v>100</v>
      </c>
      <c r="BP40" s="40">
        <v>44593</v>
      </c>
      <c r="BQ40" s="9">
        <f>100*('ONS - Table 1'!ET307/AVERAGE('ONS - Table 1'!$ET$270:$ET$281))</f>
        <v>110.2</v>
      </c>
      <c r="BR40" s="9">
        <f>100*('ONS - Table 2'!ET307/AVERAGE('ONS - Table 2'!$ET$270:$ET$281))</f>
        <v>94.622663281790878</v>
      </c>
      <c r="BS40" s="9">
        <v>100</v>
      </c>
      <c r="BU40" s="40">
        <v>44593</v>
      </c>
      <c r="BV40" s="9">
        <f>100*('ONS - Table 1'!J307/AVERAGE('ONS - Table 1'!$J$270:$J$281))</f>
        <v>101.78303616063988</v>
      </c>
      <c r="BW40" s="9">
        <f>100*('ONS - Table 2'!J307/AVERAGE('ONS - Table 2'!$J$270:$J$281))</f>
        <v>100.31111838873422</v>
      </c>
      <c r="BX40" s="9">
        <v>100</v>
      </c>
    </row>
    <row r="41" spans="63:76" x14ac:dyDescent="0.25">
      <c r="BK41" s="40">
        <v>44621</v>
      </c>
      <c r="BL41" s="9">
        <f>100*('ONS - Table 1'!CK308/AVERAGE('ONS - Table 1'!$CK$270:$CK$281))</f>
        <v>98.908242353529459</v>
      </c>
      <c r="BM41" s="9">
        <f>100*('ONS - Table 2'!CK308/AVERAGE('ONS - Table 2'!$CK$270:$CK$281))</f>
        <v>94.341372912801475</v>
      </c>
      <c r="BN41" s="9">
        <v>100</v>
      </c>
      <c r="BP41" s="40">
        <v>44621</v>
      </c>
      <c r="BQ41" s="9">
        <f>100*('ONS - Table 1'!ET308/AVERAGE('ONS - Table 1'!$ET$270:$ET$281))</f>
        <v>110.9</v>
      </c>
      <c r="BR41" s="9">
        <f>100*('ONS - Table 2'!ET308/AVERAGE('ONS - Table 2'!$ET$270:$ET$281))</f>
        <v>96.376644357258229</v>
      </c>
      <c r="BS41" s="9">
        <v>100</v>
      </c>
      <c r="BU41" s="40">
        <v>44621</v>
      </c>
      <c r="BV41" s="9">
        <f>100*('ONS - Table 1'!J308/AVERAGE('ONS - Table 1'!$J$270:$J$281))</f>
        <v>101.38310281619731</v>
      </c>
      <c r="BW41" s="9">
        <f>100*('ONS - Table 2'!J308/AVERAGE('ONS - Table 2'!$J$270:$J$281))</f>
        <v>99.426887178647448</v>
      </c>
      <c r="BX41" s="9">
        <v>100</v>
      </c>
    </row>
    <row r="42" spans="63:76" x14ac:dyDescent="0.25">
      <c r="BK42" s="40">
        <v>44652</v>
      </c>
      <c r="BL42" s="9">
        <f>100*('ONS - Table 1'!CK309/AVERAGE('ONS - Table 1'!$CK$270:$CK$281))</f>
        <v>98.308192349362429</v>
      </c>
      <c r="BM42" s="9">
        <f>100*('ONS - Table 2'!CK309/AVERAGE('ONS - Table 2'!$CK$270:$CK$281))</f>
        <v>93.970315398886811</v>
      </c>
      <c r="BN42" s="9">
        <v>100</v>
      </c>
      <c r="BP42" s="40">
        <v>44652</v>
      </c>
      <c r="BQ42" s="9">
        <f>100*('ONS - Table 1'!ET309/AVERAGE('ONS - Table 1'!$ET$270:$ET$281))</f>
        <v>104.90000000000002</v>
      </c>
      <c r="BR42" s="9">
        <f>100*('ONS - Table 2'!ET309/AVERAGE('ONS - Table 2'!$ET$270:$ET$281))</f>
        <v>91.66858989153009</v>
      </c>
      <c r="BS42" s="9">
        <v>100</v>
      </c>
      <c r="BU42" s="40">
        <v>44652</v>
      </c>
      <c r="BV42" s="9">
        <f>100*('ONS - Table 1'!J309/AVERAGE('ONS - Table 1'!$J$270:$J$281))</f>
        <v>100.68321946342276</v>
      </c>
      <c r="BW42" s="9">
        <f>100*('ONS - Table 2'!J309/AVERAGE('ONS - Table 2'!$J$270:$J$281))</f>
        <v>99.132143441951854</v>
      </c>
      <c r="BX42" s="9">
        <v>100</v>
      </c>
    </row>
    <row r="43" spans="63:76" x14ac:dyDescent="0.25">
      <c r="BK43" s="40">
        <v>44682</v>
      </c>
      <c r="BL43" s="9">
        <f>100*('ONS - Table 1'!CK310/AVERAGE('ONS - Table 1'!$CK$270:$CK$281))</f>
        <v>97.208100675056258</v>
      </c>
      <c r="BM43" s="9">
        <f>100*('ONS - Table 2'!CK310/AVERAGE('ONS - Table 2'!$CK$270:$CK$281))</f>
        <v>93.042671614100172</v>
      </c>
      <c r="BN43" s="9">
        <v>100</v>
      </c>
      <c r="BP43" s="40">
        <v>44682</v>
      </c>
      <c r="BQ43" s="9">
        <f>100*('ONS - Table 1'!ET310/AVERAGE('ONS - Table 1'!$ET$270:$ET$281))</f>
        <v>105.69999999999999</v>
      </c>
      <c r="BR43" s="9">
        <f>100*('ONS - Table 2'!ET310/AVERAGE('ONS - Table 2'!$ET$270:$ET$281))</f>
        <v>92.868682206323527</v>
      </c>
      <c r="BS43" s="9">
        <v>100</v>
      </c>
      <c r="BU43" s="40">
        <v>44682</v>
      </c>
      <c r="BV43" s="9">
        <f>100*('ONS - Table 1'!J310/AVERAGE('ONS - Table 1'!$J$270:$J$281))</f>
        <v>101.28311948008665</v>
      </c>
      <c r="BW43" s="9">
        <f>100*('ONS - Table 2'!J310/AVERAGE('ONS - Table 2'!$J$270:$J$281))</f>
        <v>99.132143441951854</v>
      </c>
      <c r="BX43" s="9">
        <v>100</v>
      </c>
    </row>
    <row r="44" spans="63:76" x14ac:dyDescent="0.25">
      <c r="BK44" s="40">
        <v>44713</v>
      </c>
      <c r="BL44" s="9">
        <f>100*('ONS - Table 1'!CK311/AVERAGE('ONS - Table 1'!$CK$270:$CK$281))</f>
        <v>96.908075672972743</v>
      </c>
      <c r="BM44" s="9">
        <f>100*('ONS - Table 2'!CK311/AVERAGE('ONS - Table 2'!$CK$270:$CK$281))</f>
        <v>92.671614100185522</v>
      </c>
      <c r="BN44" s="9">
        <v>100</v>
      </c>
      <c r="BP44" s="40">
        <v>44713</v>
      </c>
      <c r="BQ44" s="9">
        <f>100*('ONS - Table 1'!ET311/AVERAGE('ONS - Table 1'!$ET$270:$ET$281))</f>
        <v>101.1</v>
      </c>
      <c r="BR44" s="9">
        <f>100*('ONS - Table 2'!ET311/AVERAGE('ONS - Table 2'!$ET$270:$ET$281))</f>
        <v>89.729979229171448</v>
      </c>
      <c r="BS44" s="9">
        <v>100</v>
      </c>
      <c r="BU44" s="40">
        <v>44713</v>
      </c>
      <c r="BV44" s="9">
        <f>100*('ONS - Table 1'!J311/AVERAGE('ONS - Table 1'!$J$270:$J$281))</f>
        <v>100.08331944675888</v>
      </c>
      <c r="BW44" s="9">
        <f>100*('ONS - Table 2'!J311/AVERAGE('ONS - Table 2'!$J$270:$J$281))</f>
        <v>97.65842475847387</v>
      </c>
      <c r="BX44" s="9">
        <v>100</v>
      </c>
    </row>
    <row r="45" spans="63:76" x14ac:dyDescent="0.25">
      <c r="BK45" s="40">
        <v>44743</v>
      </c>
      <c r="BL45" s="9">
        <f>100*('ONS - Table 1'!CK312/AVERAGE('ONS - Table 1'!$CK$270:$CK$281))</f>
        <v>97.208100675056258</v>
      </c>
      <c r="BM45" s="9">
        <f>100*('ONS - Table 2'!CK312/AVERAGE('ONS - Table 2'!$CK$270:$CK$281))</f>
        <v>93.042671614100172</v>
      </c>
      <c r="BN45" s="9">
        <v>100</v>
      </c>
      <c r="BP45" s="40">
        <v>44743</v>
      </c>
      <c r="BQ45" s="9">
        <f>100*('ONS - Table 1'!ET312/AVERAGE('ONS - Table 1'!$ET$270:$ET$281))</f>
        <v>101.70000000000002</v>
      </c>
      <c r="BR45" s="9">
        <f>100*('ONS - Table 2'!ET312/AVERAGE('ONS - Table 2'!$ET$270:$ET$281))</f>
        <v>90.653127163627943</v>
      </c>
      <c r="BS45" s="9">
        <v>100</v>
      </c>
      <c r="BU45" s="40">
        <v>44743</v>
      </c>
      <c r="BV45" s="9">
        <f>100*('ONS - Table 1'!J312/AVERAGE('ONS - Table 1'!$J$270:$J$281))</f>
        <v>99.283452757873675</v>
      </c>
      <c r="BW45" s="9">
        <f>100*('ONS - Table 2'!J312/AVERAGE('ONS - Table 2'!$J$270:$J$281))</f>
        <v>96.774193548387089</v>
      </c>
      <c r="BX45" s="9">
        <v>100</v>
      </c>
    </row>
    <row r="46" spans="63:76" x14ac:dyDescent="0.25">
      <c r="BK46" s="40">
        <v>44774</v>
      </c>
      <c r="BL46" s="9">
        <f>100*('ONS - Table 1'!CK313/AVERAGE('ONS - Table 1'!$CK$270:$CK$281))</f>
        <v>95.70797566463871</v>
      </c>
      <c r="BM46" s="9">
        <f>100*('ONS - Table 2'!CK313/AVERAGE('ONS - Table 2'!$CK$270:$CK$281))</f>
        <v>91.836734693877546</v>
      </c>
      <c r="BN46" s="9">
        <v>100</v>
      </c>
      <c r="BP46" s="40">
        <v>44774</v>
      </c>
      <c r="BQ46" s="9">
        <f>100*('ONS - Table 1'!ET313/AVERAGE('ONS - Table 1'!$ET$270:$ET$281))</f>
        <v>102.1</v>
      </c>
      <c r="BR46" s="9">
        <f>100*('ONS - Table 2'!ET313/AVERAGE('ONS - Table 2'!$ET$270:$ET$281))</f>
        <v>91.576275098084452</v>
      </c>
      <c r="BS46" s="9">
        <v>100</v>
      </c>
      <c r="BU46" s="40">
        <v>44774</v>
      </c>
      <c r="BV46" s="9">
        <f>100*('ONS - Table 1'!J313/AVERAGE('ONS - Table 1'!$J$270:$J$281))</f>
        <v>99.483419430094983</v>
      </c>
      <c r="BW46" s="9">
        <f>100*('ONS - Table 2'!J313/AVERAGE('ONS - Table 2'!$J$270:$J$281))</f>
        <v>96.970689372850813</v>
      </c>
      <c r="BX46" s="9">
        <v>100</v>
      </c>
    </row>
    <row r="47" spans="63:76" x14ac:dyDescent="0.25">
      <c r="BK47" s="40">
        <v>44805</v>
      </c>
      <c r="BL47" s="9">
        <f>100*('ONS - Table 1'!CK314/AVERAGE('ONS - Table 1'!$CK$270:$CK$281))</f>
        <v>94.607883990332525</v>
      </c>
      <c r="BM47" s="9">
        <f>100*('ONS - Table 2'!CK314/AVERAGE('ONS - Table 2'!$CK$270:$CK$281))</f>
        <v>90.723562152133567</v>
      </c>
      <c r="BN47" s="9">
        <v>100</v>
      </c>
      <c r="BP47" s="40">
        <v>44805</v>
      </c>
      <c r="BQ47" s="9">
        <f>100*('ONS - Table 1'!ET314/AVERAGE('ONS - Table 1'!$ET$270:$ET$281))</f>
        <v>102.90000000000002</v>
      </c>
      <c r="BR47" s="9">
        <f>100*('ONS - Table 2'!ET314/AVERAGE('ONS - Table 2'!$ET$270:$ET$281))</f>
        <v>92.222478652204003</v>
      </c>
      <c r="BS47" s="9">
        <v>100</v>
      </c>
      <c r="BU47" s="40">
        <v>44805</v>
      </c>
      <c r="BV47" s="9">
        <f>100*('ONS - Table 1'!J314/AVERAGE('ONS - Table 1'!$J$270:$J$281))</f>
        <v>99.083486085652382</v>
      </c>
      <c r="BW47" s="9">
        <f>100*('ONS - Table 2'!J314/AVERAGE('ONS - Table 2'!$J$270:$J$281))</f>
        <v>96.67594563615522</v>
      </c>
      <c r="BX47" s="9">
        <v>100</v>
      </c>
    </row>
    <row r="48" spans="63:76" x14ac:dyDescent="0.25">
      <c r="BK48" s="40">
        <v>44835</v>
      </c>
      <c r="BL48" s="9">
        <f>100*('ONS - Table 1'!CK315/AVERAGE('ONS - Table 1'!$CK$270:$CK$281))</f>
        <v>95.70797566463871</v>
      </c>
      <c r="BM48" s="9">
        <f>100*('ONS - Table 2'!CK315/AVERAGE('ONS - Table 2'!$CK$270:$CK$281))</f>
        <v>91.929499072356208</v>
      </c>
      <c r="BN48" s="9">
        <v>100</v>
      </c>
      <c r="BP48" s="40">
        <v>44835</v>
      </c>
      <c r="BQ48" s="9">
        <f>100*('ONS - Table 1'!ET315/AVERAGE('ONS - Table 1'!$ET$270:$ET$281))</f>
        <v>103.2</v>
      </c>
      <c r="BR48" s="9">
        <f>100*('ONS - Table 2'!ET315/AVERAGE('ONS - Table 2'!$ET$270:$ET$281))</f>
        <v>92.40710823909528</v>
      </c>
      <c r="BS48" s="9">
        <v>100</v>
      </c>
      <c r="BU48" s="40">
        <v>44835</v>
      </c>
      <c r="BV48" s="9">
        <f>100*('ONS - Table 1'!J315/AVERAGE('ONS - Table 1'!$J$270:$J$281))</f>
        <v>100.18330278286953</v>
      </c>
      <c r="BW48" s="9">
        <f>100*('ONS - Table 2'!J315/AVERAGE('ONS - Table 2'!$J$270:$J$281))</f>
        <v>96.970689372850813</v>
      </c>
      <c r="BX48" s="9">
        <v>100</v>
      </c>
    </row>
    <row r="49" spans="63:76" x14ac:dyDescent="0.25">
      <c r="BK49" s="40">
        <v>44866</v>
      </c>
      <c r="BL49" s="9">
        <f>100*('ONS - Table 1'!CK316/AVERAGE('ONS - Table 1'!$CK$270:$CK$281))</f>
        <v>94.807900658388192</v>
      </c>
      <c r="BM49" s="9">
        <f>100*('ONS - Table 2'!CK316/AVERAGE('ONS - Table 2'!$CK$270:$CK$281))</f>
        <v>90.816326530612244</v>
      </c>
      <c r="BN49" s="9">
        <v>100</v>
      </c>
      <c r="BP49" s="40">
        <v>44866</v>
      </c>
      <c r="BQ49" s="9">
        <f>100*('ONS - Table 1'!ET316/AVERAGE('ONS - Table 1'!$ET$270:$ET$281))</f>
        <v>103.90000000000002</v>
      </c>
      <c r="BR49" s="9">
        <f>100*('ONS - Table 2'!ET316/AVERAGE('ONS - Table 2'!$ET$270:$ET$281))</f>
        <v>92.868682206323527</v>
      </c>
      <c r="BS49" s="9">
        <v>100</v>
      </c>
      <c r="BU49" s="40">
        <v>44866</v>
      </c>
      <c r="BV49" s="9">
        <f>100*('ONS - Table 1'!J316/AVERAGE('ONS - Table 1'!$J$270:$J$281))</f>
        <v>99.583402766205637</v>
      </c>
      <c r="BW49" s="9">
        <f>100*('ONS - Table 2'!J316/AVERAGE('ONS - Table 2'!$J$270:$J$281))</f>
        <v>97.068937285082683</v>
      </c>
      <c r="BX49" s="9">
        <v>100</v>
      </c>
    </row>
    <row r="50" spans="63:76" x14ac:dyDescent="0.25">
      <c r="BK50" s="40">
        <v>44896</v>
      </c>
      <c r="BL50" s="9">
        <f>100*('ONS - Table 1'!CK317/AVERAGE('ONS - Table 1'!$CK$270:$CK$281))</f>
        <v>93.207767313942824</v>
      </c>
      <c r="BM50" s="9">
        <f>100*('ONS - Table 2'!CK317/AVERAGE('ONS - Table 2'!$CK$270:$CK$281))</f>
        <v>90.352504638218917</v>
      </c>
      <c r="BN50" s="9">
        <v>100</v>
      </c>
      <c r="BP50" s="40">
        <v>44896</v>
      </c>
      <c r="BQ50" s="9">
        <f>100*('ONS - Table 1'!ET317/AVERAGE('ONS - Table 1'!$ET$270:$ET$281))</f>
        <v>101.29999999999998</v>
      </c>
      <c r="BR50" s="9">
        <f>100*('ONS - Table 2'!ET317/AVERAGE('ONS - Table 2'!$ET$270:$ET$281))</f>
        <v>90.468497576736652</v>
      </c>
      <c r="BS50" s="9">
        <v>100</v>
      </c>
      <c r="BU50" s="40">
        <v>44896</v>
      </c>
      <c r="BV50" s="9">
        <f>100*('ONS - Table 1'!J317/AVERAGE('ONS - Table 1'!$J$270:$J$281))</f>
        <v>99.983336110648224</v>
      </c>
      <c r="BW50" s="9">
        <f>100*('ONS - Table 2'!J317/AVERAGE('ONS - Table 2'!$J$270:$J$281))</f>
        <v>97.560176846242001</v>
      </c>
      <c r="BX50" s="9">
        <v>100</v>
      </c>
    </row>
    <row r="52" spans="63:76" x14ac:dyDescent="0.25">
      <c r="BU52" s="41">
        <v>2019</v>
      </c>
      <c r="BV52" s="9">
        <f>AVERAGE(BV3:BV14)</f>
        <v>100</v>
      </c>
      <c r="BW52" s="9">
        <f>AVERAGE(BW3:BW14)</f>
        <v>100</v>
      </c>
    </row>
    <row r="53" spans="63:76" x14ac:dyDescent="0.25">
      <c r="BU53" s="41">
        <v>2020</v>
      </c>
      <c r="BV53" s="9">
        <f>AVERAGE(BV15:BV26)</f>
        <v>102.22462922846194</v>
      </c>
      <c r="BW53" s="9">
        <f>AVERAGE(BW15:BW26)</f>
        <v>102.21876535123629</v>
      </c>
    </row>
    <row r="54" spans="63:76" x14ac:dyDescent="0.25">
      <c r="BU54" s="41">
        <v>2021</v>
      </c>
      <c r="BV54" s="9">
        <f>AVERAGE(BV27:BV38)</f>
        <v>103.84102649558407</v>
      </c>
      <c r="BW54" s="9">
        <f>AVERAGE(BW27:BW38)</f>
        <v>106.09137055837562</v>
      </c>
    </row>
    <row r="55" spans="63:76" x14ac:dyDescent="0.25">
      <c r="BU55" s="41">
        <v>2022</v>
      </c>
      <c r="BV55" s="9">
        <f>AVERAGE(BV39:BV50)</f>
        <v>100.41659723379435</v>
      </c>
      <c r="BW55" s="9">
        <f>AVERAGE(BW39:BW50)</f>
        <v>98.256099557884397</v>
      </c>
    </row>
    <row r="57" spans="63:76" x14ac:dyDescent="0.25">
      <c r="BU57" s="41">
        <v>2020</v>
      </c>
      <c r="BV57" s="9">
        <f>100*((BV53/BV52)-1)</f>
        <v>2.2246292284619384</v>
      </c>
      <c r="BW57" s="9">
        <f>100*((BW53/BW52)-1)</f>
        <v>2.2187653512362848</v>
      </c>
    </row>
    <row r="58" spans="63:76" x14ac:dyDescent="0.25">
      <c r="BU58" s="41">
        <v>2021</v>
      </c>
      <c r="BV58" s="9">
        <f t="shared" ref="BV58:BW59" si="42">100*((BV54/BV53)-1)</f>
        <v>1.5812209634036956</v>
      </c>
      <c r="BW58" s="9">
        <f t="shared" si="42"/>
        <v>3.7885462555065974</v>
      </c>
    </row>
    <row r="59" spans="63:76" x14ac:dyDescent="0.25">
      <c r="BU59" s="41">
        <v>2022</v>
      </c>
      <c r="BV59" s="9">
        <f t="shared" si="42"/>
        <v>-3.2977613736660749</v>
      </c>
      <c r="BW59" s="9">
        <f t="shared" si="42"/>
        <v>-7.3853989813242649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0076-0E1A-4320-9D22-5C45AADA0097}">
  <dimension ref="A1:AZ167"/>
  <sheetViews>
    <sheetView workbookViewId="0">
      <pane xSplit="2" ySplit="7" topLeftCell="C146" activePane="bottomRight" state="frozen"/>
      <selection pane="topRight" activeCell="B1" sqref="B1"/>
      <selection pane="bottomLeft" activeCell="A7" sqref="A7"/>
      <selection pane="bottomRight" activeCell="A167" sqref="A167"/>
    </sheetView>
  </sheetViews>
  <sheetFormatPr defaultRowHeight="15" x14ac:dyDescent="0.25"/>
  <cols>
    <col min="1" max="1" width="10.7109375" bestFit="1" customWidth="1"/>
    <col min="3" max="53" width="16.7109375" customWidth="1"/>
  </cols>
  <sheetData>
    <row r="1" spans="1:52" x14ac:dyDescent="0.25">
      <c r="C1" t="s">
        <v>384</v>
      </c>
      <c r="D1" t="s">
        <v>352</v>
      </c>
      <c r="E1" t="s">
        <v>747</v>
      </c>
      <c r="F1" t="s">
        <v>382</v>
      </c>
      <c r="G1" t="s">
        <v>748</v>
      </c>
      <c r="H1" t="s">
        <v>749</v>
      </c>
      <c r="I1" t="s">
        <v>750</v>
      </c>
      <c r="J1" t="s">
        <v>751</v>
      </c>
      <c r="K1" t="s">
        <v>752</v>
      </c>
      <c r="L1" t="s">
        <v>753</v>
      </c>
      <c r="M1" t="s">
        <v>376</v>
      </c>
      <c r="N1" t="s">
        <v>754</v>
      </c>
      <c r="O1" t="s">
        <v>755</v>
      </c>
      <c r="P1" t="s">
        <v>756</v>
      </c>
      <c r="Q1" t="s">
        <v>757</v>
      </c>
      <c r="R1" t="s">
        <v>758</v>
      </c>
      <c r="S1" t="s">
        <v>759</v>
      </c>
      <c r="T1" t="s">
        <v>365</v>
      </c>
      <c r="U1" t="s">
        <v>358</v>
      </c>
      <c r="V1" t="s">
        <v>760</v>
      </c>
      <c r="W1" t="s">
        <v>761</v>
      </c>
      <c r="X1" t="s">
        <v>762</v>
      </c>
      <c r="Y1" t="s">
        <v>763</v>
      </c>
      <c r="Z1" t="s">
        <v>764</v>
      </c>
      <c r="AA1" t="s">
        <v>765</v>
      </c>
      <c r="AB1" t="s">
        <v>371</v>
      </c>
      <c r="AC1" t="s">
        <v>766</v>
      </c>
      <c r="AD1" t="s">
        <v>767</v>
      </c>
      <c r="AE1" t="s">
        <v>768</v>
      </c>
      <c r="AF1" t="s">
        <v>769</v>
      </c>
      <c r="AG1" t="s">
        <v>770</v>
      </c>
      <c r="AH1" t="s">
        <v>771</v>
      </c>
      <c r="AI1" t="s">
        <v>772</v>
      </c>
      <c r="AJ1" s="20" t="s">
        <v>773</v>
      </c>
      <c r="AK1" t="s">
        <v>774</v>
      </c>
      <c r="AL1" t="s">
        <v>775</v>
      </c>
      <c r="AM1" t="s">
        <v>776</v>
      </c>
      <c r="AN1" t="s">
        <v>777</v>
      </c>
      <c r="AO1" t="s">
        <v>778</v>
      </c>
      <c r="AP1" t="s">
        <v>779</v>
      </c>
      <c r="AQ1" s="20" t="s">
        <v>780</v>
      </c>
      <c r="AR1" s="20" t="s">
        <v>781</v>
      </c>
      <c r="AS1" s="20" t="s">
        <v>782</v>
      </c>
      <c r="AT1" s="20" t="s">
        <v>783</v>
      </c>
      <c r="AU1" s="20" t="s">
        <v>784</v>
      </c>
      <c r="AV1" s="20" t="s">
        <v>785</v>
      </c>
      <c r="AW1" s="20" t="s">
        <v>786</v>
      </c>
      <c r="AX1" s="20" t="s">
        <v>787</v>
      </c>
      <c r="AY1" s="20" t="s">
        <v>788</v>
      </c>
      <c r="AZ1" s="20" t="s">
        <v>789</v>
      </c>
    </row>
    <row r="2" spans="1:52" x14ac:dyDescent="0.25">
      <c r="B2" s="2" t="s">
        <v>452</v>
      </c>
      <c r="C2" t="s">
        <v>402</v>
      </c>
      <c r="D2" t="s">
        <v>403</v>
      </c>
      <c r="E2" t="s">
        <v>404</v>
      </c>
      <c r="F2" t="s">
        <v>405</v>
      </c>
      <c r="G2" t="s">
        <v>406</v>
      </c>
      <c r="H2" t="s">
        <v>407</v>
      </c>
      <c r="I2" t="s">
        <v>408</v>
      </c>
      <c r="J2" t="s">
        <v>409</v>
      </c>
      <c r="K2" t="s">
        <v>410</v>
      </c>
      <c r="L2" t="s">
        <v>411</v>
      </c>
      <c r="M2" t="s">
        <v>412</v>
      </c>
      <c r="N2" t="s">
        <v>413</v>
      </c>
      <c r="O2" t="s">
        <v>414</v>
      </c>
      <c r="P2" t="s">
        <v>415</v>
      </c>
      <c r="Q2" t="s">
        <v>416</v>
      </c>
      <c r="R2" t="s">
        <v>417</v>
      </c>
      <c r="S2" t="s">
        <v>418</v>
      </c>
      <c r="T2" t="s">
        <v>419</v>
      </c>
      <c r="U2" t="s">
        <v>420</v>
      </c>
      <c r="V2" t="s">
        <v>421</v>
      </c>
      <c r="W2" t="s">
        <v>422</v>
      </c>
      <c r="X2" t="s">
        <v>423</v>
      </c>
      <c r="Y2" t="s">
        <v>424</v>
      </c>
      <c r="Z2" t="s">
        <v>425</v>
      </c>
      <c r="AA2" t="s">
        <v>426</v>
      </c>
      <c r="AB2" t="s">
        <v>427</v>
      </c>
      <c r="AC2" t="s">
        <v>428</v>
      </c>
      <c r="AD2" t="s">
        <v>429</v>
      </c>
      <c r="AE2" t="s">
        <v>430</v>
      </c>
      <c r="AF2" t="s">
        <v>431</v>
      </c>
      <c r="AG2" t="s">
        <v>432</v>
      </c>
      <c r="AH2" t="s">
        <v>433</v>
      </c>
      <c r="AI2" t="s">
        <v>434</v>
      </c>
      <c r="AJ2" t="s">
        <v>435</v>
      </c>
      <c r="AK2" t="s">
        <v>436</v>
      </c>
      <c r="AL2" t="s">
        <v>437</v>
      </c>
      <c r="AM2" t="s">
        <v>438</v>
      </c>
      <c r="AN2" t="s">
        <v>439</v>
      </c>
      <c r="AO2" t="s">
        <v>440</v>
      </c>
      <c r="AP2" t="s">
        <v>441</v>
      </c>
      <c r="AQ2" t="s">
        <v>442</v>
      </c>
      <c r="AR2" t="s">
        <v>443</v>
      </c>
      <c r="AS2" t="s">
        <v>444</v>
      </c>
      <c r="AT2" t="s">
        <v>445</v>
      </c>
      <c r="AU2" t="s">
        <v>446</v>
      </c>
      <c r="AV2" t="s">
        <v>447</v>
      </c>
      <c r="AW2" t="s">
        <v>448</v>
      </c>
      <c r="AX2" t="s">
        <v>449</v>
      </c>
      <c r="AY2" t="s">
        <v>450</v>
      </c>
      <c r="AZ2" t="s">
        <v>451</v>
      </c>
    </row>
    <row r="3" spans="1:52" s="20" customFormat="1" ht="75" x14ac:dyDescent="0.25">
      <c r="B3" s="20" t="s">
        <v>458</v>
      </c>
      <c r="C3" s="20" t="s">
        <v>462</v>
      </c>
      <c r="D3" s="20" t="s">
        <v>467</v>
      </c>
      <c r="E3" s="20" t="s">
        <v>470</v>
      </c>
      <c r="F3" s="20" t="s">
        <v>472</v>
      </c>
      <c r="G3" s="20" t="s">
        <v>474</v>
      </c>
      <c r="H3" s="20" t="s">
        <v>477</v>
      </c>
      <c r="I3" s="20" t="s">
        <v>480</v>
      </c>
      <c r="J3" s="20" t="s">
        <v>482</v>
      </c>
      <c r="K3" s="20" t="s">
        <v>484</v>
      </c>
      <c r="L3" s="20" t="s">
        <v>487</v>
      </c>
      <c r="M3" s="20" t="s">
        <v>490</v>
      </c>
      <c r="N3" s="20" t="s">
        <v>492</v>
      </c>
      <c r="O3" s="20" t="s">
        <v>496</v>
      </c>
      <c r="P3" s="20" t="s">
        <v>500</v>
      </c>
      <c r="Q3" s="20" t="s">
        <v>502</v>
      </c>
      <c r="R3" s="20" t="s">
        <v>505</v>
      </c>
      <c r="S3" s="20" t="s">
        <v>507</v>
      </c>
      <c r="T3" s="20" t="s">
        <v>509</v>
      </c>
      <c r="U3" s="20" t="s">
        <v>512</v>
      </c>
      <c r="V3" s="20" t="s">
        <v>513</v>
      </c>
      <c r="W3" s="20" t="s">
        <v>517</v>
      </c>
      <c r="X3" s="20" t="s">
        <v>518</v>
      </c>
      <c r="Y3" s="20" t="s">
        <v>522</v>
      </c>
      <c r="Z3" s="20" t="s">
        <v>524</v>
      </c>
      <c r="AA3" s="20" t="s">
        <v>526</v>
      </c>
      <c r="AB3" s="20" t="s">
        <v>529</v>
      </c>
      <c r="AC3" s="20" t="s">
        <v>532</v>
      </c>
      <c r="AD3" s="20" t="s">
        <v>534</v>
      </c>
      <c r="AE3" s="20" t="s">
        <v>536</v>
      </c>
      <c r="AF3" s="20" t="s">
        <v>538</v>
      </c>
      <c r="AG3" s="20" t="s">
        <v>540</v>
      </c>
      <c r="AH3" s="20" t="s">
        <v>542</v>
      </c>
      <c r="AI3" s="20" t="s">
        <v>545</v>
      </c>
      <c r="AJ3" s="20" t="s">
        <v>547</v>
      </c>
      <c r="AK3" s="20" t="s">
        <v>550</v>
      </c>
      <c r="AL3" s="20" t="s">
        <v>552</v>
      </c>
      <c r="AM3" s="20" t="s">
        <v>555</v>
      </c>
      <c r="AN3" s="20" t="s">
        <v>558</v>
      </c>
      <c r="AO3" s="20" t="s">
        <v>560</v>
      </c>
      <c r="AP3" s="20" t="s">
        <v>561</v>
      </c>
      <c r="AQ3" s="20" t="s">
        <v>563</v>
      </c>
      <c r="AR3" s="20" t="s">
        <v>567</v>
      </c>
      <c r="AS3" s="20" t="s">
        <v>570</v>
      </c>
      <c r="AT3" s="20" t="s">
        <v>572</v>
      </c>
      <c r="AU3" s="20" t="s">
        <v>576</v>
      </c>
      <c r="AV3" s="20" t="s">
        <v>579</v>
      </c>
      <c r="AW3" s="20" t="s">
        <v>580</v>
      </c>
      <c r="AX3" s="20" t="s">
        <v>583</v>
      </c>
      <c r="AY3" s="20" t="s">
        <v>585</v>
      </c>
      <c r="AZ3" s="20" t="s">
        <v>588</v>
      </c>
    </row>
    <row r="4" spans="1:52" x14ac:dyDescent="0.25">
      <c r="B4" t="s">
        <v>457</v>
      </c>
      <c r="C4" t="s">
        <v>461</v>
      </c>
      <c r="D4" t="s">
        <v>466</v>
      </c>
      <c r="E4" t="s">
        <v>469</v>
      </c>
      <c r="F4" t="s">
        <v>471</v>
      </c>
      <c r="G4" t="s">
        <v>473</v>
      </c>
      <c r="H4" t="s">
        <v>476</v>
      </c>
      <c r="I4" t="s">
        <v>479</v>
      </c>
      <c r="J4" t="s">
        <v>481</v>
      </c>
      <c r="K4" t="s">
        <v>483</v>
      </c>
      <c r="L4" t="s">
        <v>486</v>
      </c>
      <c r="M4" t="s">
        <v>489</v>
      </c>
      <c r="N4" t="s">
        <v>491</v>
      </c>
      <c r="O4" t="s">
        <v>495</v>
      </c>
      <c r="P4" t="s">
        <v>499</v>
      </c>
      <c r="Q4" t="s">
        <v>501</v>
      </c>
      <c r="R4" t="s">
        <v>504</v>
      </c>
      <c r="S4" t="s">
        <v>506</v>
      </c>
      <c r="T4" t="s">
        <v>508</v>
      </c>
      <c r="U4" t="s">
        <v>511</v>
      </c>
      <c r="V4" t="s">
        <v>506</v>
      </c>
      <c r="W4" t="s">
        <v>516</v>
      </c>
      <c r="X4" t="s">
        <v>473</v>
      </c>
      <c r="Y4" t="s">
        <v>521</v>
      </c>
      <c r="Z4" t="s">
        <v>506</v>
      </c>
      <c r="AA4" t="s">
        <v>525</v>
      </c>
      <c r="AB4" t="s">
        <v>528</v>
      </c>
      <c r="AC4" t="s">
        <v>531</v>
      </c>
      <c r="AD4" t="s">
        <v>525</v>
      </c>
      <c r="AE4" t="s">
        <v>535</v>
      </c>
      <c r="AF4" t="s">
        <v>537</v>
      </c>
      <c r="AG4" t="s">
        <v>539</v>
      </c>
      <c r="AH4" t="s">
        <v>541</v>
      </c>
      <c r="AI4" t="s">
        <v>544</v>
      </c>
      <c r="AJ4" t="s">
        <v>546</v>
      </c>
      <c r="AK4" t="s">
        <v>549</v>
      </c>
      <c r="AL4" t="s">
        <v>551</v>
      </c>
      <c r="AM4" t="s">
        <v>554</v>
      </c>
      <c r="AN4" t="s">
        <v>557</v>
      </c>
      <c r="AO4" t="s">
        <v>559</v>
      </c>
      <c r="AP4" t="s">
        <v>541</v>
      </c>
      <c r="AQ4" t="s">
        <v>562</v>
      </c>
      <c r="AR4" t="s">
        <v>566</v>
      </c>
      <c r="AS4" t="s">
        <v>569</v>
      </c>
      <c r="AT4" t="s">
        <v>571</v>
      </c>
      <c r="AU4" t="s">
        <v>575</v>
      </c>
      <c r="AV4" t="s">
        <v>578</v>
      </c>
      <c r="AW4" t="s">
        <v>525</v>
      </c>
      <c r="AX4" t="s">
        <v>582</v>
      </c>
      <c r="AY4" t="s">
        <v>584</v>
      </c>
      <c r="AZ4" t="s">
        <v>587</v>
      </c>
    </row>
    <row r="5" spans="1:52" x14ac:dyDescent="0.25">
      <c r="B5" t="s">
        <v>456</v>
      </c>
      <c r="C5" t="s">
        <v>465</v>
      </c>
      <c r="D5" t="s">
        <v>465</v>
      </c>
      <c r="E5" t="s">
        <v>465</v>
      </c>
      <c r="F5" t="s">
        <v>465</v>
      </c>
      <c r="G5" t="s">
        <v>465</v>
      </c>
      <c r="H5" t="s">
        <v>465</v>
      </c>
      <c r="I5" t="s">
        <v>465</v>
      </c>
      <c r="J5" t="s">
        <v>465</v>
      </c>
      <c r="K5" t="s">
        <v>465</v>
      </c>
      <c r="L5" t="s">
        <v>465</v>
      </c>
      <c r="M5" t="s">
        <v>465</v>
      </c>
      <c r="N5" t="s">
        <v>465</v>
      </c>
      <c r="O5" t="s">
        <v>465</v>
      </c>
      <c r="P5" t="s">
        <v>465</v>
      </c>
      <c r="Q5" t="s">
        <v>465</v>
      </c>
      <c r="R5" t="s">
        <v>465</v>
      </c>
      <c r="S5" t="s">
        <v>465</v>
      </c>
      <c r="T5" t="s">
        <v>465</v>
      </c>
      <c r="U5" t="s">
        <v>465</v>
      </c>
      <c r="V5" t="s">
        <v>465</v>
      </c>
      <c r="W5" t="s">
        <v>465</v>
      </c>
      <c r="X5" t="s">
        <v>465</v>
      </c>
      <c r="Y5" t="s">
        <v>465</v>
      </c>
      <c r="Z5" t="s">
        <v>465</v>
      </c>
      <c r="AA5" t="s">
        <v>465</v>
      </c>
      <c r="AB5" t="s">
        <v>465</v>
      </c>
      <c r="AC5" t="s">
        <v>465</v>
      </c>
      <c r="AD5" t="s">
        <v>465</v>
      </c>
      <c r="AE5" t="s">
        <v>465</v>
      </c>
      <c r="AF5" t="s">
        <v>465</v>
      </c>
      <c r="AG5" t="s">
        <v>465</v>
      </c>
      <c r="AH5" t="s">
        <v>465</v>
      </c>
      <c r="AI5" t="s">
        <v>465</v>
      </c>
      <c r="AJ5" t="s">
        <v>465</v>
      </c>
      <c r="AK5" t="s">
        <v>465</v>
      </c>
      <c r="AL5" t="s">
        <v>465</v>
      </c>
      <c r="AM5" t="s">
        <v>465</v>
      </c>
      <c r="AN5" t="s">
        <v>465</v>
      </c>
      <c r="AO5" t="s">
        <v>465</v>
      </c>
      <c r="AP5" t="s">
        <v>465</v>
      </c>
      <c r="AQ5" t="s">
        <v>465</v>
      </c>
      <c r="AR5" t="s">
        <v>465</v>
      </c>
      <c r="AS5" t="s">
        <v>465</v>
      </c>
      <c r="AT5" t="s">
        <v>465</v>
      </c>
      <c r="AU5" t="s">
        <v>465</v>
      </c>
      <c r="AV5" t="s">
        <v>460</v>
      </c>
      <c r="AW5" t="s">
        <v>465</v>
      </c>
      <c r="AX5" t="s">
        <v>465</v>
      </c>
      <c r="AY5" t="s">
        <v>465</v>
      </c>
      <c r="AZ5" t="s">
        <v>465</v>
      </c>
    </row>
    <row r="6" spans="1:52" x14ac:dyDescent="0.25">
      <c r="B6" t="s">
        <v>455</v>
      </c>
      <c r="C6" t="s">
        <v>459</v>
      </c>
      <c r="D6" t="s">
        <v>464</v>
      </c>
      <c r="E6" t="s">
        <v>468</v>
      </c>
      <c r="F6" t="s">
        <v>464</v>
      </c>
      <c r="G6" t="s">
        <v>464</v>
      </c>
      <c r="H6" t="s">
        <v>459</v>
      </c>
      <c r="I6" t="s">
        <v>478</v>
      </c>
      <c r="J6" t="s">
        <v>464</v>
      </c>
      <c r="K6" t="s">
        <v>464</v>
      </c>
      <c r="L6" t="s">
        <v>485</v>
      </c>
      <c r="M6" t="s">
        <v>488</v>
      </c>
      <c r="N6" t="s">
        <v>464</v>
      </c>
      <c r="O6" t="s">
        <v>494</v>
      </c>
      <c r="P6" t="s">
        <v>498</v>
      </c>
      <c r="Q6" t="s">
        <v>464</v>
      </c>
      <c r="R6" t="s">
        <v>503</v>
      </c>
      <c r="S6" t="s">
        <v>503</v>
      </c>
      <c r="T6" t="s">
        <v>464</v>
      </c>
      <c r="U6" t="s">
        <v>510</v>
      </c>
      <c r="V6" t="s">
        <v>464</v>
      </c>
      <c r="W6" t="s">
        <v>515</v>
      </c>
      <c r="X6" t="s">
        <v>464</v>
      </c>
      <c r="Y6" t="s">
        <v>520</v>
      </c>
      <c r="Z6" t="s">
        <v>464</v>
      </c>
      <c r="AA6" t="s">
        <v>478</v>
      </c>
      <c r="AB6" t="s">
        <v>527</v>
      </c>
      <c r="AC6" t="s">
        <v>530</v>
      </c>
      <c r="AD6" t="s">
        <v>464</v>
      </c>
      <c r="AE6" t="s">
        <v>478</v>
      </c>
      <c r="AF6" t="s">
        <v>464</v>
      </c>
      <c r="AG6" t="s">
        <v>459</v>
      </c>
      <c r="AH6" t="s">
        <v>464</v>
      </c>
      <c r="AI6" t="s">
        <v>543</v>
      </c>
      <c r="AJ6" t="s">
        <v>464</v>
      </c>
      <c r="AK6" t="s">
        <v>548</v>
      </c>
      <c r="AL6" t="s">
        <v>464</v>
      </c>
      <c r="AM6" t="s">
        <v>553</v>
      </c>
      <c r="AN6" t="s">
        <v>556</v>
      </c>
      <c r="AO6" t="s">
        <v>464</v>
      </c>
      <c r="AP6" t="s">
        <v>464</v>
      </c>
      <c r="AQ6" t="s">
        <v>464</v>
      </c>
      <c r="AR6" t="s">
        <v>565</v>
      </c>
      <c r="AS6" t="s">
        <v>568</v>
      </c>
      <c r="AT6" t="s">
        <v>503</v>
      </c>
      <c r="AU6" t="s">
        <v>574</v>
      </c>
      <c r="AV6" t="s">
        <v>577</v>
      </c>
      <c r="AW6" t="s">
        <v>464</v>
      </c>
      <c r="AX6" t="s">
        <v>581</v>
      </c>
      <c r="AY6" t="s">
        <v>478</v>
      </c>
      <c r="AZ6" t="s">
        <v>586</v>
      </c>
    </row>
    <row r="7" spans="1:52" x14ac:dyDescent="0.25">
      <c r="B7" t="s">
        <v>454</v>
      </c>
      <c r="C7" t="s">
        <v>1305</v>
      </c>
      <c r="D7" t="s">
        <v>463</v>
      </c>
      <c r="E7" t="s">
        <v>808</v>
      </c>
      <c r="F7" t="s">
        <v>800</v>
      </c>
      <c r="G7" t="s">
        <v>1306</v>
      </c>
      <c r="H7" t="s">
        <v>475</v>
      </c>
      <c r="I7" t="s">
        <v>809</v>
      </c>
      <c r="J7" t="s">
        <v>809</v>
      </c>
      <c r="K7" t="s">
        <v>1307</v>
      </c>
      <c r="L7" t="s">
        <v>797</v>
      </c>
      <c r="M7" t="s">
        <v>1308</v>
      </c>
      <c r="N7" t="s">
        <v>1306</v>
      </c>
      <c r="O7" t="s">
        <v>493</v>
      </c>
      <c r="P7" t="s">
        <v>798</v>
      </c>
      <c r="Q7" t="s">
        <v>801</v>
      </c>
      <c r="R7" t="s">
        <v>802</v>
      </c>
      <c r="S7" t="s">
        <v>802</v>
      </c>
      <c r="T7" t="s">
        <v>809</v>
      </c>
      <c r="U7" t="s">
        <v>810</v>
      </c>
      <c r="V7" t="s">
        <v>799</v>
      </c>
      <c r="W7" t="s">
        <v>514</v>
      </c>
      <c r="X7" t="s">
        <v>811</v>
      </c>
      <c r="Y7" t="s">
        <v>519</v>
      </c>
      <c r="Z7" t="s">
        <v>523</v>
      </c>
      <c r="AA7" t="s">
        <v>1306</v>
      </c>
      <c r="AB7" t="s">
        <v>803</v>
      </c>
      <c r="AC7" t="s">
        <v>804</v>
      </c>
      <c r="AD7" t="s">
        <v>533</v>
      </c>
      <c r="AE7" t="s">
        <v>1309</v>
      </c>
      <c r="AF7" t="s">
        <v>809</v>
      </c>
      <c r="AG7" t="s">
        <v>475</v>
      </c>
      <c r="AH7" t="s">
        <v>812</v>
      </c>
      <c r="AI7" t="s">
        <v>803</v>
      </c>
      <c r="AJ7" t="s">
        <v>533</v>
      </c>
      <c r="AK7" t="s">
        <v>813</v>
      </c>
      <c r="AL7" t="s">
        <v>809</v>
      </c>
      <c r="AM7" t="s">
        <v>805</v>
      </c>
      <c r="AN7" t="s">
        <v>814</v>
      </c>
      <c r="AO7" t="s">
        <v>533</v>
      </c>
      <c r="AP7" t="s">
        <v>806</v>
      </c>
      <c r="AQ7" t="s">
        <v>814</v>
      </c>
      <c r="AR7" t="s">
        <v>564</v>
      </c>
      <c r="AS7" t="s">
        <v>803</v>
      </c>
      <c r="AT7" t="s">
        <v>802</v>
      </c>
      <c r="AU7" t="s">
        <v>573</v>
      </c>
      <c r="AV7" t="s">
        <v>497</v>
      </c>
      <c r="AW7" t="s">
        <v>533</v>
      </c>
      <c r="AX7" t="s">
        <v>807</v>
      </c>
      <c r="AY7" t="s">
        <v>1306</v>
      </c>
      <c r="AZ7" t="s">
        <v>1310</v>
      </c>
    </row>
    <row r="8" spans="1:52" x14ac:dyDescent="0.25">
      <c r="A8" s="21">
        <v>45292</v>
      </c>
      <c r="B8" t="s">
        <v>453</v>
      </c>
      <c r="C8" s="17" t="e">
        <v>#N/A</v>
      </c>
      <c r="D8" s="17" t="e">
        <v>#N/A</v>
      </c>
      <c r="E8" s="17" t="e">
        <v>#N/A</v>
      </c>
      <c r="F8" s="17" t="e">
        <v>#N/A</v>
      </c>
      <c r="G8" s="9" t="e">
        <v>#N/A</v>
      </c>
      <c r="H8" s="17" t="e">
        <v>#N/A</v>
      </c>
      <c r="I8" s="17" t="e">
        <v>#N/A</v>
      </c>
      <c r="J8" s="17" t="e">
        <v>#N/A</v>
      </c>
      <c r="K8" s="17" t="e">
        <v>#N/A</v>
      </c>
      <c r="L8" s="17" t="e">
        <v>#N/A</v>
      </c>
      <c r="M8" s="17" t="e">
        <v>#N/A</v>
      </c>
      <c r="N8" s="17" t="e">
        <v>#N/A</v>
      </c>
      <c r="O8" s="17" t="e">
        <v>#N/A</v>
      </c>
      <c r="P8" s="17" t="e">
        <v>#N/A</v>
      </c>
      <c r="Q8" s="17" t="e">
        <v>#N/A</v>
      </c>
      <c r="R8" s="17" t="e">
        <v>#N/A</v>
      </c>
      <c r="S8" s="17" t="e">
        <v>#N/A</v>
      </c>
      <c r="T8" s="17" t="e">
        <v>#N/A</v>
      </c>
      <c r="U8" s="17" t="e">
        <v>#N/A</v>
      </c>
      <c r="V8" s="17" t="e">
        <v>#N/A</v>
      </c>
      <c r="W8" s="17" t="e">
        <v>#N/A</v>
      </c>
      <c r="X8" s="17" t="e">
        <v>#N/A</v>
      </c>
      <c r="Y8" s="17">
        <v>72271.94</v>
      </c>
      <c r="Z8" s="17" t="e">
        <v>#N/A</v>
      </c>
      <c r="AA8" s="17" t="e">
        <v>#N/A</v>
      </c>
      <c r="AB8" s="17" t="e">
        <v>#N/A</v>
      </c>
      <c r="AC8" s="17" t="e">
        <v>#N/A</v>
      </c>
      <c r="AD8" s="17" t="e">
        <v>#N/A</v>
      </c>
      <c r="AE8" s="18" t="e">
        <v>#N/A</v>
      </c>
      <c r="AF8" s="17" t="e">
        <v>#N/A</v>
      </c>
      <c r="AG8" s="17" t="e">
        <v>#N/A</v>
      </c>
      <c r="AH8" s="17" t="e">
        <v>#N/A</v>
      </c>
      <c r="AI8" s="17" t="e">
        <v>#N/A</v>
      </c>
      <c r="AJ8" s="17" t="e">
        <v>#N/A</v>
      </c>
      <c r="AK8" s="17" t="e">
        <v>#N/A</v>
      </c>
      <c r="AL8" s="17" t="e">
        <v>#N/A</v>
      </c>
      <c r="AM8" s="17" t="e">
        <v>#N/A</v>
      </c>
      <c r="AN8" s="17" t="e">
        <v>#N/A</v>
      </c>
      <c r="AO8" s="17" t="e">
        <v>#N/A</v>
      </c>
      <c r="AP8" s="17" t="e">
        <v>#N/A</v>
      </c>
      <c r="AQ8" s="17" t="e">
        <v>#N/A</v>
      </c>
      <c r="AR8" s="17" t="e">
        <v>#N/A</v>
      </c>
      <c r="AS8" s="17" t="e">
        <v>#N/A</v>
      </c>
      <c r="AT8" s="17" t="e">
        <v>#N/A</v>
      </c>
      <c r="AU8" s="17" t="e">
        <v>#N/A</v>
      </c>
      <c r="AV8" s="17" t="e">
        <v>#N/A</v>
      </c>
      <c r="AW8" s="17" t="e">
        <v>#N/A</v>
      </c>
      <c r="AX8" s="17" t="e">
        <v>#N/A</v>
      </c>
      <c r="AY8" s="19" t="e">
        <v>#N/A</v>
      </c>
      <c r="AZ8" s="17">
        <v>550.64</v>
      </c>
    </row>
    <row r="9" spans="1:52" x14ac:dyDescent="0.25">
      <c r="A9" s="21">
        <f>+A8+1</f>
        <v>45293</v>
      </c>
      <c r="B9" t="s">
        <v>589</v>
      </c>
      <c r="C9" s="17">
        <v>4742.83</v>
      </c>
      <c r="D9" s="17" t="e">
        <v>#N/A</v>
      </c>
      <c r="E9" s="17">
        <v>4512.8100000000004</v>
      </c>
      <c r="F9" s="17">
        <v>4220.8999999999996</v>
      </c>
      <c r="G9" s="9">
        <v>40172120.299999997</v>
      </c>
      <c r="H9" s="17">
        <v>7627.79</v>
      </c>
      <c r="I9" s="17">
        <v>3412.02</v>
      </c>
      <c r="J9" s="17">
        <v>3718.22</v>
      </c>
      <c r="K9" s="17">
        <v>132696.63</v>
      </c>
      <c r="L9" s="17">
        <v>768.87</v>
      </c>
      <c r="M9" s="17">
        <v>20872.14</v>
      </c>
      <c r="N9" s="17">
        <v>31520.9</v>
      </c>
      <c r="O9" s="17">
        <v>2962.28</v>
      </c>
      <c r="P9" s="17">
        <v>2518.65</v>
      </c>
      <c r="Q9" s="17">
        <v>1422.34</v>
      </c>
      <c r="R9" s="17">
        <v>2283.27</v>
      </c>
      <c r="S9" s="17">
        <v>10167.09</v>
      </c>
      <c r="T9" s="17">
        <v>7530.86</v>
      </c>
      <c r="U9" s="17">
        <v>6635.86</v>
      </c>
      <c r="V9" s="17">
        <v>1307.6300000000001</v>
      </c>
      <c r="W9" s="17">
        <v>16788.55</v>
      </c>
      <c r="X9" s="17">
        <v>60744.59</v>
      </c>
      <c r="Y9" s="17">
        <v>71892.479999999996</v>
      </c>
      <c r="Z9" s="17">
        <v>7323.59</v>
      </c>
      <c r="AA9" s="17">
        <v>8739.4699999999993</v>
      </c>
      <c r="AB9" s="17">
        <v>30524.63</v>
      </c>
      <c r="AC9" s="17">
        <v>1508.83</v>
      </c>
      <c r="AD9" s="17">
        <v>1453.1</v>
      </c>
      <c r="AE9" s="18">
        <v>56980.44</v>
      </c>
      <c r="AF9" s="17">
        <v>1065.9100000000001</v>
      </c>
      <c r="AG9" s="17" t="e">
        <v>#N/A</v>
      </c>
      <c r="AH9" s="17">
        <v>75990.880000000005</v>
      </c>
      <c r="AI9" s="17">
        <v>1522.15</v>
      </c>
      <c r="AJ9" s="17">
        <v>6554.04</v>
      </c>
      <c r="AK9" s="17">
        <v>77451.31</v>
      </c>
      <c r="AL9" s="17">
        <v>6454.32</v>
      </c>
      <c r="AM9" s="17" t="e">
        <v>#N/A</v>
      </c>
      <c r="AN9" s="17" t="e">
        <v>#N/A</v>
      </c>
      <c r="AO9" s="17">
        <v>3229.95</v>
      </c>
      <c r="AP9" s="17">
        <v>313.3</v>
      </c>
      <c r="AQ9" s="17">
        <v>75709.14</v>
      </c>
      <c r="AR9" s="17">
        <v>2669.81</v>
      </c>
      <c r="AS9" s="17">
        <v>1005.63</v>
      </c>
      <c r="AT9" s="17">
        <v>900.25</v>
      </c>
      <c r="AU9" s="17">
        <v>17853.759999999998</v>
      </c>
      <c r="AV9" s="17">
        <v>1764.12</v>
      </c>
      <c r="AW9" s="17">
        <v>1433.38</v>
      </c>
      <c r="AX9" s="17">
        <v>7624.29</v>
      </c>
      <c r="AY9" s="19">
        <v>58288.82</v>
      </c>
      <c r="AZ9" s="17">
        <v>546.53</v>
      </c>
    </row>
    <row r="10" spans="1:52" x14ac:dyDescent="0.25">
      <c r="A10" s="21">
        <f t="shared" ref="A10:A12" si="0">+A9+1</f>
        <v>45294</v>
      </c>
      <c r="B10" t="s">
        <v>590</v>
      </c>
      <c r="C10" s="17">
        <v>4704.8100000000004</v>
      </c>
      <c r="D10" s="17" t="e">
        <v>#N/A</v>
      </c>
      <c r="E10" s="17">
        <v>4448.13</v>
      </c>
      <c r="F10" s="17">
        <v>4196.6899999999996</v>
      </c>
      <c r="G10" s="9">
        <v>41931358.799999997</v>
      </c>
      <c r="H10" s="17">
        <v>7523.2</v>
      </c>
      <c r="I10" s="17">
        <v>3377.58</v>
      </c>
      <c r="J10" s="17">
        <v>3685.15</v>
      </c>
      <c r="K10" s="17">
        <v>132833.95000000001</v>
      </c>
      <c r="L10" s="17">
        <v>757.78</v>
      </c>
      <c r="M10" s="17">
        <v>20818.580000000002</v>
      </c>
      <c r="N10" s="17">
        <v>31166.36</v>
      </c>
      <c r="O10" s="17">
        <v>2967.25</v>
      </c>
      <c r="P10" s="17">
        <v>2520.2199999999998</v>
      </c>
      <c r="Q10" s="17">
        <v>1419.08</v>
      </c>
      <c r="R10" s="17">
        <v>2286.98</v>
      </c>
      <c r="S10" s="17">
        <v>10051.549999999999</v>
      </c>
      <c r="T10" s="17">
        <v>7411.86</v>
      </c>
      <c r="U10" s="17">
        <v>6544.46</v>
      </c>
      <c r="V10" s="17">
        <v>1301.3399999999999</v>
      </c>
      <c r="W10" s="17">
        <v>16646.41</v>
      </c>
      <c r="X10" s="17">
        <v>60685.11</v>
      </c>
      <c r="Y10" s="17">
        <v>71356.600000000006</v>
      </c>
      <c r="Z10" s="17">
        <v>7279.09</v>
      </c>
      <c r="AA10" s="17">
        <v>8646.2800000000007</v>
      </c>
      <c r="AB10" s="17">
        <v>30100.84</v>
      </c>
      <c r="AC10" s="17">
        <v>1509.36</v>
      </c>
      <c r="AD10" s="17">
        <v>1462.37</v>
      </c>
      <c r="AE10" s="18">
        <v>55726.64</v>
      </c>
      <c r="AF10" s="17">
        <v>1057.3800000000001</v>
      </c>
      <c r="AG10" s="17">
        <v>4509.08</v>
      </c>
      <c r="AH10" s="17">
        <v>77537.570000000007</v>
      </c>
      <c r="AI10" s="17">
        <v>1524.2</v>
      </c>
      <c r="AJ10" s="17">
        <v>6498.88</v>
      </c>
      <c r="AK10" s="17">
        <v>77053.98</v>
      </c>
      <c r="AL10" s="17">
        <v>6410.86</v>
      </c>
      <c r="AM10" s="17">
        <v>15231.29</v>
      </c>
      <c r="AN10" s="17">
        <v>3130.23</v>
      </c>
      <c r="AO10" s="17">
        <v>3199.44</v>
      </c>
      <c r="AP10" s="17">
        <v>313.3</v>
      </c>
      <c r="AQ10" s="17">
        <v>74510.720000000001</v>
      </c>
      <c r="AR10" s="17">
        <v>2607.31</v>
      </c>
      <c r="AS10" s="17">
        <v>993.71</v>
      </c>
      <c r="AT10" s="17">
        <v>884.03</v>
      </c>
      <c r="AU10" s="17">
        <v>17559.310000000001</v>
      </c>
      <c r="AV10" s="17">
        <v>1763.21</v>
      </c>
      <c r="AW10" s="17">
        <v>1429.62</v>
      </c>
      <c r="AX10" s="17">
        <v>7412.04</v>
      </c>
      <c r="AY10" s="19">
        <v>58059.49</v>
      </c>
      <c r="AZ10" s="17">
        <v>540.84</v>
      </c>
    </row>
    <row r="11" spans="1:52" x14ac:dyDescent="0.25">
      <c r="A11" s="21">
        <f t="shared" si="0"/>
        <v>45295</v>
      </c>
      <c r="B11" t="s">
        <v>591</v>
      </c>
      <c r="C11" s="17">
        <v>4688.68</v>
      </c>
      <c r="D11" s="17">
        <v>2378.79</v>
      </c>
      <c r="E11" s="17">
        <v>4474.01</v>
      </c>
      <c r="F11" s="17">
        <v>4217.03</v>
      </c>
      <c r="G11" s="9">
        <v>43270493.5</v>
      </c>
      <c r="H11" s="17">
        <v>7494.1</v>
      </c>
      <c r="I11" s="17">
        <v>3420.17</v>
      </c>
      <c r="J11" s="17">
        <v>3721.89</v>
      </c>
      <c r="K11" s="17">
        <v>131225.91</v>
      </c>
      <c r="L11" s="17">
        <v>764.52</v>
      </c>
      <c r="M11" s="17">
        <v>20871.349999999999</v>
      </c>
      <c r="N11" s="17">
        <v>30851.54</v>
      </c>
      <c r="O11" s="17">
        <v>2954.35</v>
      </c>
      <c r="P11" s="17">
        <v>2529.84</v>
      </c>
      <c r="Q11" s="17">
        <v>1438.01</v>
      </c>
      <c r="R11" s="17">
        <v>2352.29</v>
      </c>
      <c r="S11" s="17">
        <v>10212.549999999999</v>
      </c>
      <c r="T11" s="17">
        <v>7450.63</v>
      </c>
      <c r="U11" s="17">
        <v>6575.68</v>
      </c>
      <c r="V11" s="17">
        <v>1310.87</v>
      </c>
      <c r="W11" s="17">
        <v>16645.98</v>
      </c>
      <c r="X11" s="17">
        <v>60838.3</v>
      </c>
      <c r="Y11" s="17">
        <v>71847.570000000007</v>
      </c>
      <c r="Z11" s="17">
        <v>7359.76</v>
      </c>
      <c r="AA11" s="17">
        <v>8666.2900000000009</v>
      </c>
      <c r="AB11" s="17">
        <v>30403.96</v>
      </c>
      <c r="AC11" s="17">
        <v>1512.22</v>
      </c>
      <c r="AD11" s="17">
        <v>1477.26</v>
      </c>
      <c r="AE11" s="18">
        <v>55406.96</v>
      </c>
      <c r="AF11" s="17">
        <v>1059.06</v>
      </c>
      <c r="AG11" s="17">
        <v>4520.2299999999996</v>
      </c>
      <c r="AH11" s="17">
        <v>78020.539999999994</v>
      </c>
      <c r="AI11" s="17">
        <v>1543.44</v>
      </c>
      <c r="AJ11" s="17">
        <v>6602.52</v>
      </c>
      <c r="AK11" s="17">
        <v>76827.850000000006</v>
      </c>
      <c r="AL11" s="17">
        <v>6486.34</v>
      </c>
      <c r="AM11" s="17">
        <v>15355.08</v>
      </c>
      <c r="AN11" s="17">
        <v>3136.07</v>
      </c>
      <c r="AO11" s="17">
        <v>3174.01</v>
      </c>
      <c r="AP11" s="17">
        <v>313.3</v>
      </c>
      <c r="AQ11" s="17">
        <v>74522.490000000005</v>
      </c>
      <c r="AR11" s="17">
        <v>2587.02</v>
      </c>
      <c r="AS11" s="17">
        <v>1007.01</v>
      </c>
      <c r="AT11" s="17">
        <v>886.93</v>
      </c>
      <c r="AU11" s="17">
        <v>17549.650000000001</v>
      </c>
      <c r="AV11" s="17">
        <v>1766.98</v>
      </c>
      <c r="AW11" s="17">
        <v>1434.59</v>
      </c>
      <c r="AX11" s="17">
        <v>7547.84</v>
      </c>
      <c r="AY11" s="19">
        <v>57525.8</v>
      </c>
      <c r="AZ11" s="17">
        <v>540.72</v>
      </c>
    </row>
    <row r="12" spans="1:52" x14ac:dyDescent="0.25">
      <c r="A12" s="21">
        <f t="shared" si="0"/>
        <v>45296</v>
      </c>
      <c r="B12" t="s">
        <v>592</v>
      </c>
      <c r="C12" s="17">
        <v>4697.24</v>
      </c>
      <c r="D12" s="17">
        <v>2393.54</v>
      </c>
      <c r="E12" s="17">
        <v>4463.51</v>
      </c>
      <c r="F12" s="17">
        <v>4196.3500000000004</v>
      </c>
      <c r="G12" s="9">
        <v>45258657.899999999</v>
      </c>
      <c r="H12" s="17">
        <v>7489.07</v>
      </c>
      <c r="I12" s="17">
        <v>3430.08</v>
      </c>
      <c r="J12" s="17">
        <v>3717.81</v>
      </c>
      <c r="K12" s="17">
        <v>132022.92000000001</v>
      </c>
      <c r="L12" s="17">
        <v>766.84</v>
      </c>
      <c r="M12" s="17">
        <v>20937.55</v>
      </c>
      <c r="N12" s="17">
        <v>30715.23</v>
      </c>
      <c r="O12" s="17">
        <v>2929.18</v>
      </c>
      <c r="P12" s="17">
        <v>2554.52</v>
      </c>
      <c r="Q12" s="17">
        <v>1438.49</v>
      </c>
      <c r="R12" s="17">
        <v>2348.56</v>
      </c>
      <c r="S12" s="17">
        <v>10271.209999999999</v>
      </c>
      <c r="T12" s="17">
        <v>7420.69</v>
      </c>
      <c r="U12" s="17">
        <v>6566.55</v>
      </c>
      <c r="V12" s="17">
        <v>1311.67</v>
      </c>
      <c r="W12" s="17">
        <v>16535.330000000002</v>
      </c>
      <c r="X12" s="17">
        <v>61454.62</v>
      </c>
      <c r="Y12" s="17">
        <v>72026.149999999994</v>
      </c>
      <c r="Z12" s="17">
        <v>7350.62</v>
      </c>
      <c r="AA12" s="17">
        <v>8661.4599999999991</v>
      </c>
      <c r="AB12" s="17">
        <v>30440.95</v>
      </c>
      <c r="AC12" s="17">
        <v>1518.4</v>
      </c>
      <c r="AD12" s="17">
        <v>1487.61</v>
      </c>
      <c r="AE12" s="18">
        <v>56192.78</v>
      </c>
      <c r="AF12" s="17">
        <v>1055.49</v>
      </c>
      <c r="AG12" s="17">
        <v>4515.9399999999996</v>
      </c>
      <c r="AH12" s="17">
        <v>79664.66</v>
      </c>
      <c r="AI12" s="17">
        <v>1538.67</v>
      </c>
      <c r="AJ12" s="17">
        <v>6629.64</v>
      </c>
      <c r="AK12" s="17">
        <v>76593.759999999995</v>
      </c>
      <c r="AL12" s="17">
        <v>6533.68</v>
      </c>
      <c r="AM12" s="17">
        <v>15338.36</v>
      </c>
      <c r="AN12" s="17">
        <v>3136.37</v>
      </c>
      <c r="AO12" s="17">
        <v>3184.3</v>
      </c>
      <c r="AP12" s="17">
        <v>313.3</v>
      </c>
      <c r="AQ12" s="17">
        <v>74488.2</v>
      </c>
      <c r="AR12" s="17">
        <v>2578.08</v>
      </c>
      <c r="AS12" s="17">
        <v>1006.03</v>
      </c>
      <c r="AT12" s="17">
        <v>877.02</v>
      </c>
      <c r="AU12" s="17">
        <v>17519.14</v>
      </c>
      <c r="AV12" s="17">
        <v>1770.55</v>
      </c>
      <c r="AW12" s="17">
        <v>1427.96</v>
      </c>
      <c r="AX12" s="17">
        <v>7628.73</v>
      </c>
      <c r="AY12" s="19">
        <v>57164.41</v>
      </c>
      <c r="AZ12" s="17">
        <v>541.67999999999995</v>
      </c>
    </row>
    <row r="13" spans="1:52" x14ac:dyDescent="0.25">
      <c r="A13" s="21">
        <f>+A8+7</f>
        <v>45299</v>
      </c>
      <c r="B13" t="s">
        <v>593</v>
      </c>
      <c r="C13" s="17">
        <v>4763.54</v>
      </c>
      <c r="D13" s="17" t="e">
        <v>#N/A</v>
      </c>
      <c r="E13" s="17">
        <v>4485.4799999999996</v>
      </c>
      <c r="F13" s="17">
        <v>4204.1400000000003</v>
      </c>
      <c r="G13" s="9">
        <v>47476179.399999999</v>
      </c>
      <c r="H13" s="17">
        <v>7451.55</v>
      </c>
      <c r="I13" s="17">
        <v>3425.55</v>
      </c>
      <c r="J13" s="17">
        <v>3736.42</v>
      </c>
      <c r="K13" s="17">
        <v>132426.54</v>
      </c>
      <c r="L13" s="17">
        <v>758.55</v>
      </c>
      <c r="M13" s="17">
        <v>21074.91</v>
      </c>
      <c r="N13" s="17">
        <v>30775.14</v>
      </c>
      <c r="O13" s="17">
        <v>2887.54</v>
      </c>
      <c r="P13" s="17">
        <v>2579.35</v>
      </c>
      <c r="Q13" s="17">
        <v>1446.96</v>
      </c>
      <c r="R13" s="17">
        <v>2337.17</v>
      </c>
      <c r="S13" s="17">
        <v>10267.61</v>
      </c>
      <c r="T13" s="17">
        <v>7450.24</v>
      </c>
      <c r="U13" s="17">
        <v>6614.93</v>
      </c>
      <c r="V13" s="17">
        <v>1330.61</v>
      </c>
      <c r="W13" s="17">
        <v>16224.45</v>
      </c>
      <c r="X13" s="17">
        <v>61374.1</v>
      </c>
      <c r="Y13" s="17">
        <v>71355.22</v>
      </c>
      <c r="Z13" s="17">
        <v>7283.58</v>
      </c>
      <c r="AA13" s="17">
        <v>8723.2199999999993</v>
      </c>
      <c r="AB13" s="17">
        <v>30569.919999999998</v>
      </c>
      <c r="AC13" s="17">
        <v>1520.82</v>
      </c>
      <c r="AD13" s="17">
        <v>1495.7</v>
      </c>
      <c r="AE13" s="18">
        <v>56175.67</v>
      </c>
      <c r="AF13" s="17">
        <v>1057.1600000000001</v>
      </c>
      <c r="AG13" s="17">
        <v>4510.7700000000004</v>
      </c>
      <c r="AH13" s="17">
        <v>80328.58</v>
      </c>
      <c r="AI13" s="17">
        <v>1515.99</v>
      </c>
      <c r="AJ13" s="17">
        <v>6609.22</v>
      </c>
      <c r="AK13" s="17">
        <v>76876.5</v>
      </c>
      <c r="AL13" s="17">
        <v>6478.25</v>
      </c>
      <c r="AM13" s="17">
        <v>15468.65</v>
      </c>
      <c r="AN13" s="17">
        <v>3158.58</v>
      </c>
      <c r="AO13" s="17">
        <v>3187.02</v>
      </c>
      <c r="AP13" s="17">
        <v>313.3</v>
      </c>
      <c r="AQ13" s="17">
        <v>74103.23</v>
      </c>
      <c r="AR13" s="17">
        <v>2567.8200000000002</v>
      </c>
      <c r="AS13" s="17">
        <v>1010.1</v>
      </c>
      <c r="AT13" s="17">
        <v>885.9</v>
      </c>
      <c r="AU13" s="17">
        <v>17572.66</v>
      </c>
      <c r="AV13" s="17">
        <v>1767.52</v>
      </c>
      <c r="AW13" s="17">
        <v>1418.45</v>
      </c>
      <c r="AX13" s="17">
        <v>7818.89</v>
      </c>
      <c r="AY13" s="19">
        <v>56755.28</v>
      </c>
      <c r="AZ13" s="17">
        <v>546.32000000000005</v>
      </c>
    </row>
    <row r="14" spans="1:52" x14ac:dyDescent="0.25">
      <c r="A14" s="21">
        <f t="shared" ref="A14:A77" si="1">+A9+7</f>
        <v>45300</v>
      </c>
      <c r="B14" t="s">
        <v>594</v>
      </c>
      <c r="C14" s="17">
        <v>4756.5</v>
      </c>
      <c r="D14" s="17">
        <v>2413.09</v>
      </c>
      <c r="E14" s="17">
        <v>4467.17</v>
      </c>
      <c r="F14" s="17">
        <v>4196.1499999999996</v>
      </c>
      <c r="G14" s="9">
        <v>45906596.899999999</v>
      </c>
      <c r="H14" s="17">
        <v>7520.52</v>
      </c>
      <c r="I14" s="17">
        <v>3426.39</v>
      </c>
      <c r="J14" s="17">
        <v>3721.87</v>
      </c>
      <c r="K14" s="17">
        <v>131446.59</v>
      </c>
      <c r="L14" s="17">
        <v>767.21</v>
      </c>
      <c r="M14" s="17">
        <v>20970.98</v>
      </c>
      <c r="N14" s="17">
        <v>30992.77</v>
      </c>
      <c r="O14" s="17">
        <v>2893.25</v>
      </c>
      <c r="P14" s="17">
        <v>2611.8200000000002</v>
      </c>
      <c r="Q14" s="17">
        <v>1448.28</v>
      </c>
      <c r="R14" s="17">
        <v>2348.89</v>
      </c>
      <c r="S14" s="17">
        <v>10227.43</v>
      </c>
      <c r="T14" s="17">
        <v>7426.62</v>
      </c>
      <c r="U14" s="17">
        <v>6603.81</v>
      </c>
      <c r="V14" s="17">
        <v>1341.1</v>
      </c>
      <c r="W14" s="17">
        <v>16190.02</v>
      </c>
      <c r="X14" s="17">
        <v>61921.62</v>
      </c>
      <c r="Y14" s="17">
        <v>71386.210000000006</v>
      </c>
      <c r="Z14" s="17">
        <v>7200.2</v>
      </c>
      <c r="AA14" s="17">
        <v>8633.17</v>
      </c>
      <c r="AB14" s="17">
        <v>30408.78</v>
      </c>
      <c r="AC14" s="17">
        <v>1504.36</v>
      </c>
      <c r="AD14" s="17">
        <v>1498.83</v>
      </c>
      <c r="AE14" s="18">
        <v>55105.58</v>
      </c>
      <c r="AF14" s="17">
        <v>1055.52</v>
      </c>
      <c r="AG14" s="17">
        <v>4552.6499999999996</v>
      </c>
      <c r="AH14" s="17">
        <v>83191.839999999997</v>
      </c>
      <c r="AI14" s="17">
        <v>1516.21</v>
      </c>
      <c r="AJ14" s="17">
        <v>6618.52</v>
      </c>
      <c r="AK14" s="17">
        <v>77268.350000000006</v>
      </c>
      <c r="AL14" s="17">
        <v>6461.02</v>
      </c>
      <c r="AM14" s="17">
        <v>15610.27</v>
      </c>
      <c r="AN14" s="17">
        <v>3155.55</v>
      </c>
      <c r="AO14" s="17">
        <v>3197.96</v>
      </c>
      <c r="AP14" s="17">
        <v>315.64</v>
      </c>
      <c r="AQ14" s="17">
        <v>73826.149999999994</v>
      </c>
      <c r="AR14" s="17">
        <v>2561.2399999999998</v>
      </c>
      <c r="AS14" s="17">
        <v>994.81</v>
      </c>
      <c r="AT14" s="17">
        <v>881.95</v>
      </c>
      <c r="AU14" s="17">
        <v>17535.490000000002</v>
      </c>
      <c r="AV14" s="17">
        <v>1761.51</v>
      </c>
      <c r="AW14" s="17">
        <v>1414.93</v>
      </c>
      <c r="AX14" s="17">
        <v>7736.26</v>
      </c>
      <c r="AY14" s="19">
        <v>56041.38</v>
      </c>
      <c r="AZ14" s="17">
        <v>545.08000000000004</v>
      </c>
    </row>
    <row r="15" spans="1:52" x14ac:dyDescent="0.25">
      <c r="A15" s="21">
        <f t="shared" si="1"/>
        <v>45301</v>
      </c>
      <c r="B15" t="s">
        <v>595</v>
      </c>
      <c r="C15" s="17">
        <v>4783.45</v>
      </c>
      <c r="D15" s="17">
        <v>2444.48</v>
      </c>
      <c r="E15" s="17">
        <v>4468.9799999999996</v>
      </c>
      <c r="F15" s="17">
        <v>4180.83</v>
      </c>
      <c r="G15" s="9">
        <v>46412763.399999999</v>
      </c>
      <c r="H15" s="17">
        <v>7468.46</v>
      </c>
      <c r="I15" s="17">
        <v>3421.4</v>
      </c>
      <c r="J15" s="17">
        <v>3705.22</v>
      </c>
      <c r="K15" s="17">
        <v>130841.09</v>
      </c>
      <c r="L15" s="17">
        <v>763.63</v>
      </c>
      <c r="M15" s="17">
        <v>20989.42</v>
      </c>
      <c r="N15" s="17">
        <v>30748.01</v>
      </c>
      <c r="O15" s="17">
        <v>2877.7</v>
      </c>
      <c r="P15" s="17">
        <v>2591.42</v>
      </c>
      <c r="Q15" s="17">
        <v>1451.34</v>
      </c>
      <c r="R15" s="17">
        <v>2375.21</v>
      </c>
      <c r="S15" s="17">
        <v>10202.43</v>
      </c>
      <c r="T15" s="17">
        <v>7426.08</v>
      </c>
      <c r="U15" s="17">
        <v>6604.38</v>
      </c>
      <c r="V15" s="17">
        <v>1344.51</v>
      </c>
      <c r="W15" s="17">
        <v>16097.28</v>
      </c>
      <c r="X15" s="17">
        <v>62804.52</v>
      </c>
      <c r="Y15" s="17">
        <v>71657.710000000006</v>
      </c>
      <c r="Z15" s="17">
        <v>7227.3</v>
      </c>
      <c r="AA15" s="17">
        <v>8470.8700000000008</v>
      </c>
      <c r="AB15" s="17">
        <v>30450.78</v>
      </c>
      <c r="AC15" s="17" t="e">
        <v>#N/A</v>
      </c>
      <c r="AD15" s="17">
        <v>1486.86</v>
      </c>
      <c r="AE15" s="18">
        <v>55318.67</v>
      </c>
      <c r="AF15" s="17">
        <v>1051.82</v>
      </c>
      <c r="AG15" s="17">
        <v>4523.83</v>
      </c>
      <c r="AH15" s="17">
        <v>82024.38</v>
      </c>
      <c r="AI15" s="17">
        <v>1508.14</v>
      </c>
      <c r="AJ15" s="17">
        <v>6546.11</v>
      </c>
      <c r="AK15" s="17">
        <v>76840.58</v>
      </c>
      <c r="AL15" s="17">
        <v>6602.22</v>
      </c>
      <c r="AM15" s="17">
        <v>15682.37</v>
      </c>
      <c r="AN15" s="17">
        <v>3164.7</v>
      </c>
      <c r="AO15" s="17">
        <v>3179.96</v>
      </c>
      <c r="AP15" s="17">
        <v>315.64</v>
      </c>
      <c r="AQ15" s="17">
        <v>73586.98</v>
      </c>
      <c r="AR15" s="17">
        <v>2541.98</v>
      </c>
      <c r="AS15" s="17">
        <v>994.57</v>
      </c>
      <c r="AT15" s="17">
        <v>880.86</v>
      </c>
      <c r="AU15" s="17">
        <v>17465.63</v>
      </c>
      <c r="AV15" s="17">
        <v>1761.37</v>
      </c>
      <c r="AW15" s="17">
        <v>1413.52</v>
      </c>
      <c r="AX15" s="17">
        <v>7874.16</v>
      </c>
      <c r="AY15" s="19">
        <v>56142.25</v>
      </c>
      <c r="AZ15" s="17">
        <v>546.95000000000005</v>
      </c>
    </row>
    <row r="16" spans="1:52" x14ac:dyDescent="0.25">
      <c r="A16" s="21">
        <f t="shared" si="1"/>
        <v>45302</v>
      </c>
      <c r="B16" t="s">
        <v>596</v>
      </c>
      <c r="C16" s="17">
        <v>4780.24</v>
      </c>
      <c r="D16" s="17">
        <v>2482.87</v>
      </c>
      <c r="E16" s="17">
        <v>4442.28</v>
      </c>
      <c r="F16" s="17">
        <v>4140.7299999999996</v>
      </c>
      <c r="G16" s="9">
        <v>45604542.299999997</v>
      </c>
      <c r="H16" s="17">
        <v>7506.03</v>
      </c>
      <c r="I16" s="17">
        <v>3398.23</v>
      </c>
      <c r="J16" s="17">
        <v>3659.44</v>
      </c>
      <c r="K16" s="17">
        <v>130648.75</v>
      </c>
      <c r="L16" s="17">
        <v>769.78</v>
      </c>
      <c r="M16" s="17">
        <v>20918.400000000001</v>
      </c>
      <c r="N16" s="17">
        <v>30607.91</v>
      </c>
      <c r="O16" s="17">
        <v>2886.65</v>
      </c>
      <c r="P16" s="17">
        <v>2599.86</v>
      </c>
      <c r="Q16" s="17">
        <v>1456.26</v>
      </c>
      <c r="R16" s="17">
        <v>2358.31</v>
      </c>
      <c r="S16" s="17">
        <v>10132.040000000001</v>
      </c>
      <c r="T16" s="17">
        <v>7387.62</v>
      </c>
      <c r="U16" s="17">
        <v>6547.88</v>
      </c>
      <c r="V16" s="17">
        <v>1347.9</v>
      </c>
      <c r="W16" s="17">
        <v>16302.04</v>
      </c>
      <c r="X16" s="17">
        <v>63066.57</v>
      </c>
      <c r="Y16" s="17">
        <v>71721.179999999993</v>
      </c>
      <c r="Z16" s="17">
        <v>7219.96</v>
      </c>
      <c r="AA16" s="17">
        <v>8410.4500000000007</v>
      </c>
      <c r="AB16" s="17">
        <v>30249.16</v>
      </c>
      <c r="AC16" s="17">
        <v>1506.21</v>
      </c>
      <c r="AD16" s="17">
        <v>1483</v>
      </c>
      <c r="AE16" s="18">
        <v>55438.75</v>
      </c>
      <c r="AF16" s="17">
        <v>1051.74</v>
      </c>
      <c r="AG16" s="17">
        <v>4536.75</v>
      </c>
      <c r="AH16" s="17">
        <v>82597.08</v>
      </c>
      <c r="AI16" s="17">
        <v>1499.46</v>
      </c>
      <c r="AJ16" s="17">
        <v>6613.73</v>
      </c>
      <c r="AK16" s="17">
        <v>76042.95</v>
      </c>
      <c r="AL16" s="17">
        <v>6589.57</v>
      </c>
      <c r="AM16" s="17">
        <v>15732.52</v>
      </c>
      <c r="AN16" s="17">
        <v>3181.25</v>
      </c>
      <c r="AO16" s="17">
        <v>3201.41</v>
      </c>
      <c r="AP16" s="17">
        <v>315.64</v>
      </c>
      <c r="AQ16" s="17">
        <v>73834.28</v>
      </c>
      <c r="AR16" s="17">
        <v>2540.27</v>
      </c>
      <c r="AS16" s="17">
        <v>987.66</v>
      </c>
      <c r="AT16" s="17">
        <v>876.3</v>
      </c>
      <c r="AU16" s="17">
        <v>17545.32</v>
      </c>
      <c r="AV16" s="17">
        <v>1757.26</v>
      </c>
      <c r="AW16" s="17">
        <v>1408.24</v>
      </c>
      <c r="AX16" s="17">
        <v>7895.96</v>
      </c>
      <c r="AY16" s="19">
        <v>55762.9</v>
      </c>
      <c r="AZ16" s="17">
        <v>546.66</v>
      </c>
    </row>
    <row r="17" spans="1:52" x14ac:dyDescent="0.25">
      <c r="A17" s="21">
        <f t="shared" si="1"/>
        <v>45303</v>
      </c>
      <c r="B17" t="s">
        <v>597</v>
      </c>
      <c r="C17" s="17">
        <v>4783.83</v>
      </c>
      <c r="D17" s="17">
        <v>2494.23</v>
      </c>
      <c r="E17" s="17">
        <v>4480.0200000000004</v>
      </c>
      <c r="F17" s="17">
        <v>4165.62</v>
      </c>
      <c r="G17" s="9">
        <v>45248760.799999997</v>
      </c>
      <c r="H17" s="17">
        <v>7498.28</v>
      </c>
      <c r="I17" s="17">
        <v>3398.61</v>
      </c>
      <c r="J17" s="17">
        <v>3684.03</v>
      </c>
      <c r="K17" s="17">
        <v>130987.67</v>
      </c>
      <c r="L17" s="17">
        <v>777.54</v>
      </c>
      <c r="M17" s="17">
        <v>20990.22</v>
      </c>
      <c r="N17" s="17">
        <v>30295.94</v>
      </c>
      <c r="O17" s="17">
        <v>2881.98</v>
      </c>
      <c r="P17" s="17">
        <v>2604.9899999999998</v>
      </c>
      <c r="Q17" s="17">
        <v>1457.47</v>
      </c>
      <c r="R17" s="17">
        <v>2362.85</v>
      </c>
      <c r="S17" s="17">
        <v>10212.540000000001</v>
      </c>
      <c r="T17" s="17">
        <v>7465.14</v>
      </c>
      <c r="U17" s="17">
        <v>6610.22</v>
      </c>
      <c r="V17" s="17">
        <v>1352.65</v>
      </c>
      <c r="W17" s="17">
        <v>16244.58</v>
      </c>
      <c r="X17" s="17">
        <v>63628.13</v>
      </c>
      <c r="Y17" s="17">
        <v>72568.45</v>
      </c>
      <c r="Z17" s="17">
        <v>7241.14</v>
      </c>
      <c r="AA17" s="17">
        <v>8417.5499999999993</v>
      </c>
      <c r="AB17" s="17">
        <v>30470.55</v>
      </c>
      <c r="AC17" s="17">
        <v>1514.07</v>
      </c>
      <c r="AD17" s="17">
        <v>1487.34</v>
      </c>
      <c r="AE17" s="18">
        <v>55607.07</v>
      </c>
      <c r="AF17" s="17">
        <v>1060.7</v>
      </c>
      <c r="AG17" s="17">
        <v>4558</v>
      </c>
      <c r="AH17" s="17">
        <v>83042.960000000006</v>
      </c>
      <c r="AI17" s="17">
        <v>1513.32</v>
      </c>
      <c r="AJ17" s="17">
        <v>6643.18</v>
      </c>
      <c r="AK17" s="17">
        <v>76106.23</v>
      </c>
      <c r="AL17" s="17">
        <v>6537.66</v>
      </c>
      <c r="AM17" s="17">
        <v>15776.45</v>
      </c>
      <c r="AN17" s="17">
        <v>3185.22</v>
      </c>
      <c r="AO17" s="17">
        <v>3191.72</v>
      </c>
      <c r="AP17" s="17">
        <v>315.64</v>
      </c>
      <c r="AQ17" s="17">
        <v>74240.759999999995</v>
      </c>
      <c r="AR17" s="17">
        <v>2525.0500000000002</v>
      </c>
      <c r="AS17" s="17">
        <v>995.53</v>
      </c>
      <c r="AT17" s="17">
        <v>886.52</v>
      </c>
      <c r="AU17" s="17">
        <v>17512.830000000002</v>
      </c>
      <c r="AV17" s="17" t="e">
        <v>#N/A</v>
      </c>
      <c r="AW17" s="17">
        <v>1413.53</v>
      </c>
      <c r="AX17" s="17">
        <v>7986.47</v>
      </c>
      <c r="AY17" s="19">
        <v>55899.57</v>
      </c>
      <c r="AZ17" s="17">
        <v>548.37</v>
      </c>
    </row>
    <row r="18" spans="1:52" x14ac:dyDescent="0.25">
      <c r="A18" s="21">
        <f t="shared" si="1"/>
        <v>45306</v>
      </c>
      <c r="B18" t="s">
        <v>598</v>
      </c>
      <c r="C18" s="17" t="e">
        <v>#N/A</v>
      </c>
      <c r="D18" s="17">
        <v>2524.6</v>
      </c>
      <c r="E18" s="17">
        <v>4454.68</v>
      </c>
      <c r="F18" s="17">
        <v>4152.21</v>
      </c>
      <c r="G18" s="9">
        <v>45737816.299999997</v>
      </c>
      <c r="H18" s="17">
        <v>7496.27</v>
      </c>
      <c r="I18" s="17">
        <v>3410.35</v>
      </c>
      <c r="J18" s="17">
        <v>3667.32</v>
      </c>
      <c r="K18" s="17">
        <v>131520.91</v>
      </c>
      <c r="L18" s="17">
        <v>772.96</v>
      </c>
      <c r="M18" s="17">
        <v>21061.88</v>
      </c>
      <c r="N18" s="17">
        <v>30439.98</v>
      </c>
      <c r="O18" s="17">
        <v>2886.29</v>
      </c>
      <c r="P18" s="17">
        <v>2615.12</v>
      </c>
      <c r="Q18" s="17">
        <v>1457.28</v>
      </c>
      <c r="R18" s="17">
        <v>2355.23</v>
      </c>
      <c r="S18" s="17">
        <v>10180.52</v>
      </c>
      <c r="T18" s="17">
        <v>7411.68</v>
      </c>
      <c r="U18" s="17">
        <v>6577.63</v>
      </c>
      <c r="V18" s="17">
        <v>1353.46</v>
      </c>
      <c r="W18" s="17">
        <v>16216.33</v>
      </c>
      <c r="X18" s="17">
        <v>63787.07</v>
      </c>
      <c r="Y18" s="17">
        <v>73327.94</v>
      </c>
      <c r="Z18" s="17">
        <v>7224</v>
      </c>
      <c r="AA18" s="17">
        <v>8492.4</v>
      </c>
      <c r="AB18" s="17">
        <v>30327.72</v>
      </c>
      <c r="AC18" s="17">
        <v>1515.21</v>
      </c>
      <c r="AD18" s="17">
        <v>1501.11</v>
      </c>
      <c r="AE18" s="18">
        <v>55501.11</v>
      </c>
      <c r="AF18" s="17">
        <v>1057.83</v>
      </c>
      <c r="AG18" s="17">
        <v>4525.17</v>
      </c>
      <c r="AH18" s="17">
        <v>84640.89</v>
      </c>
      <c r="AI18" s="17">
        <v>1496.92</v>
      </c>
      <c r="AJ18" s="17">
        <v>6680.45</v>
      </c>
      <c r="AK18" s="17">
        <v>75127.539999999994</v>
      </c>
      <c r="AL18" s="17">
        <v>6503.1</v>
      </c>
      <c r="AM18" s="17">
        <v>15803.32</v>
      </c>
      <c r="AN18" s="17">
        <v>3184.88</v>
      </c>
      <c r="AO18" s="17">
        <v>3199.42</v>
      </c>
      <c r="AP18" s="17">
        <v>315.64</v>
      </c>
      <c r="AQ18" s="17">
        <v>73675.740000000005</v>
      </c>
      <c r="AR18" s="17">
        <v>2525.9899999999998</v>
      </c>
      <c r="AS18" s="17">
        <v>993.62</v>
      </c>
      <c r="AT18" s="17">
        <v>876.9</v>
      </c>
      <c r="AU18" s="17">
        <v>17546.82</v>
      </c>
      <c r="AV18" s="17" t="e">
        <v>#N/A</v>
      </c>
      <c r="AW18" s="17">
        <v>1407.02</v>
      </c>
      <c r="AX18" s="17">
        <v>8044.02</v>
      </c>
      <c r="AY18" s="19">
        <v>56602.8</v>
      </c>
      <c r="AZ18" s="17">
        <v>547.85</v>
      </c>
    </row>
    <row r="19" spans="1:52" x14ac:dyDescent="0.25">
      <c r="A19" s="21">
        <f t="shared" si="1"/>
        <v>45307</v>
      </c>
      <c r="B19" t="s">
        <v>599</v>
      </c>
      <c r="C19" s="17">
        <v>4765.9799999999996</v>
      </c>
      <c r="D19" s="17">
        <v>2503.98</v>
      </c>
      <c r="E19" s="17">
        <v>4446.51</v>
      </c>
      <c r="F19" s="17">
        <v>4134.3100000000004</v>
      </c>
      <c r="G19" s="9">
        <v>46306380</v>
      </c>
      <c r="H19" s="17">
        <v>7414.79</v>
      </c>
      <c r="I19" s="17">
        <v>3383.83</v>
      </c>
      <c r="J19" s="17">
        <v>3630.3</v>
      </c>
      <c r="K19" s="17">
        <v>129294.04</v>
      </c>
      <c r="L19" s="17">
        <v>774.57</v>
      </c>
      <c r="M19" s="17">
        <v>20948.09</v>
      </c>
      <c r="N19" s="17">
        <v>30335.98</v>
      </c>
      <c r="O19" s="17">
        <v>2893.99</v>
      </c>
      <c r="P19" s="17">
        <v>2627.23</v>
      </c>
      <c r="Q19" s="17">
        <v>1445.83</v>
      </c>
      <c r="R19" s="17">
        <v>2360.4699999999998</v>
      </c>
      <c r="S19" s="17">
        <v>10134.43</v>
      </c>
      <c r="T19" s="17">
        <v>7398</v>
      </c>
      <c r="U19" s="17">
        <v>6557.64</v>
      </c>
      <c r="V19" s="17">
        <v>1332.47</v>
      </c>
      <c r="W19" s="17">
        <v>15865.92</v>
      </c>
      <c r="X19" s="17">
        <v>63292.9</v>
      </c>
      <c r="Y19" s="17">
        <v>73128.77</v>
      </c>
      <c r="Z19" s="17">
        <v>7242.79</v>
      </c>
      <c r="AA19" s="17">
        <v>8491.3700000000008</v>
      </c>
      <c r="AB19" s="17">
        <v>30337.62</v>
      </c>
      <c r="AC19" s="17">
        <v>1512.64</v>
      </c>
      <c r="AD19" s="17">
        <v>1493.87</v>
      </c>
      <c r="AE19" s="18">
        <v>55124.58</v>
      </c>
      <c r="AF19" s="17">
        <v>1055.8800000000001</v>
      </c>
      <c r="AG19" s="17">
        <v>4524.3500000000004</v>
      </c>
      <c r="AH19" s="17">
        <v>87971.1</v>
      </c>
      <c r="AI19" s="17">
        <v>1496.69</v>
      </c>
      <c r="AJ19" s="17">
        <v>6637</v>
      </c>
      <c r="AK19" s="17">
        <v>74950.09</v>
      </c>
      <c r="AL19" s="17">
        <v>6415.15</v>
      </c>
      <c r="AM19" s="17">
        <v>15780.71</v>
      </c>
      <c r="AN19" s="17">
        <v>3179.45</v>
      </c>
      <c r="AO19" s="17">
        <v>3184.99</v>
      </c>
      <c r="AP19" s="17">
        <v>315.64</v>
      </c>
      <c r="AQ19" s="17">
        <v>73007.62</v>
      </c>
      <c r="AR19" s="17">
        <v>2497.59</v>
      </c>
      <c r="AS19" s="17">
        <v>985.44</v>
      </c>
      <c r="AT19" s="17">
        <v>871.91</v>
      </c>
      <c r="AU19" s="17">
        <v>17346.87</v>
      </c>
      <c r="AV19" s="17">
        <v>1749.09</v>
      </c>
      <c r="AW19" s="17">
        <v>1401.72</v>
      </c>
      <c r="AX19" s="17">
        <v>8032.17</v>
      </c>
      <c r="AY19" s="19">
        <v>56758.28</v>
      </c>
      <c r="AZ19" s="17">
        <v>543.78</v>
      </c>
    </row>
    <row r="20" spans="1:52" x14ac:dyDescent="0.25">
      <c r="A20" s="21">
        <f t="shared" si="1"/>
        <v>45308</v>
      </c>
      <c r="B20" t="s">
        <v>600</v>
      </c>
      <c r="C20" s="17">
        <v>4739.21</v>
      </c>
      <c r="D20" s="17">
        <v>2496.38</v>
      </c>
      <c r="E20" s="17">
        <v>4403.08</v>
      </c>
      <c r="F20" s="17">
        <v>4072.19</v>
      </c>
      <c r="G20" s="9">
        <v>48820459.399999999</v>
      </c>
      <c r="H20" s="17">
        <v>7393.08</v>
      </c>
      <c r="I20" s="17">
        <v>3327.04</v>
      </c>
      <c r="J20" s="17">
        <v>3568.52</v>
      </c>
      <c r="K20" s="17">
        <v>128523.83</v>
      </c>
      <c r="L20" s="17">
        <v>773.78</v>
      </c>
      <c r="M20" s="17">
        <v>20695.02</v>
      </c>
      <c r="N20" s="17">
        <v>30011.49</v>
      </c>
      <c r="O20" s="17">
        <v>2833.62</v>
      </c>
      <c r="P20" s="17">
        <v>2632.25</v>
      </c>
      <c r="Q20" s="17">
        <v>1434.89</v>
      </c>
      <c r="R20" s="17">
        <v>2349.17</v>
      </c>
      <c r="S20" s="17">
        <v>9969.73</v>
      </c>
      <c r="T20" s="17">
        <v>7318.69</v>
      </c>
      <c r="U20" s="17">
        <v>6502.24</v>
      </c>
      <c r="V20" s="17">
        <v>1331.34</v>
      </c>
      <c r="W20" s="17">
        <v>15276.9</v>
      </c>
      <c r="X20" s="17">
        <v>63019.94</v>
      </c>
      <c r="Y20" s="17">
        <v>71500.759999999995</v>
      </c>
      <c r="Z20" s="17">
        <v>7200.64</v>
      </c>
      <c r="AA20" s="17">
        <v>8469.85</v>
      </c>
      <c r="AB20" s="17">
        <v>30098.86</v>
      </c>
      <c r="AC20" s="17">
        <v>1503.34</v>
      </c>
      <c r="AD20" s="17">
        <v>1491.21</v>
      </c>
      <c r="AE20" s="18">
        <v>54711.69</v>
      </c>
      <c r="AF20" s="17">
        <v>1045.4100000000001</v>
      </c>
      <c r="AG20" s="17">
        <v>4522.92</v>
      </c>
      <c r="AH20" s="17">
        <v>90063.25</v>
      </c>
      <c r="AI20" s="17">
        <v>1481.14</v>
      </c>
      <c r="AJ20" s="17">
        <v>6572.51</v>
      </c>
      <c r="AK20" s="17">
        <v>73582.3</v>
      </c>
      <c r="AL20" s="17">
        <v>6322.8</v>
      </c>
      <c r="AM20" s="17">
        <v>15563.64</v>
      </c>
      <c r="AN20" s="17">
        <v>3185.23</v>
      </c>
      <c r="AO20" s="17">
        <v>3142.22</v>
      </c>
      <c r="AP20" s="17">
        <v>315.64</v>
      </c>
      <c r="AQ20" s="17">
        <v>71693.09</v>
      </c>
      <c r="AR20" s="17">
        <v>2435.9</v>
      </c>
      <c r="AS20" s="17">
        <v>973.77</v>
      </c>
      <c r="AT20" s="17">
        <v>861.13</v>
      </c>
      <c r="AU20" s="17">
        <v>17161.79</v>
      </c>
      <c r="AV20" s="17">
        <v>1741.21</v>
      </c>
      <c r="AW20" s="17">
        <v>1380.65</v>
      </c>
      <c r="AX20" s="17">
        <v>8024.37</v>
      </c>
      <c r="AY20" s="19">
        <v>56790.57</v>
      </c>
      <c r="AZ20" s="17">
        <v>538.34</v>
      </c>
    </row>
    <row r="21" spans="1:52" x14ac:dyDescent="0.25">
      <c r="A21" s="21">
        <f t="shared" si="1"/>
        <v>45309</v>
      </c>
      <c r="B21" t="s">
        <v>601</v>
      </c>
      <c r="C21" s="17">
        <v>4780.9399999999996</v>
      </c>
      <c r="D21" s="17">
        <v>2492.09</v>
      </c>
      <c r="E21" s="17">
        <v>4453.05</v>
      </c>
      <c r="F21" s="17">
        <v>4080.28</v>
      </c>
      <c r="G21" s="9">
        <v>49339682.200000003</v>
      </c>
      <c r="H21" s="17">
        <v>7346.48</v>
      </c>
      <c r="I21" s="17">
        <v>3343.28</v>
      </c>
      <c r="J21" s="17">
        <v>3552.84</v>
      </c>
      <c r="K21" s="17">
        <v>127315.74</v>
      </c>
      <c r="L21" s="17">
        <v>777.23</v>
      </c>
      <c r="M21" s="17">
        <v>20756.73</v>
      </c>
      <c r="N21" s="17">
        <v>29846.54</v>
      </c>
      <c r="O21" s="17">
        <v>2845.78</v>
      </c>
      <c r="P21" s="17">
        <v>2606.23</v>
      </c>
      <c r="Q21" s="17">
        <v>1432.36</v>
      </c>
      <c r="R21" s="17">
        <v>2347.21</v>
      </c>
      <c r="S21" s="17">
        <v>9952.82</v>
      </c>
      <c r="T21" s="17">
        <v>7401.35</v>
      </c>
      <c r="U21" s="17">
        <v>6555.92</v>
      </c>
      <c r="V21" s="17">
        <v>1341.1</v>
      </c>
      <c r="W21" s="17">
        <v>15391.79</v>
      </c>
      <c r="X21" s="17">
        <v>63571.82</v>
      </c>
      <c r="Y21" s="17">
        <v>71186.86</v>
      </c>
      <c r="Z21" s="17">
        <v>7252.97</v>
      </c>
      <c r="AA21" s="17">
        <v>8796.6</v>
      </c>
      <c r="AB21" s="17">
        <v>30350.53</v>
      </c>
      <c r="AC21" s="17">
        <v>1512.56</v>
      </c>
      <c r="AD21" s="17">
        <v>1479.18</v>
      </c>
      <c r="AE21" s="18">
        <v>54707.89</v>
      </c>
      <c r="AF21" s="17">
        <v>1056.1500000000001</v>
      </c>
      <c r="AG21" s="17">
        <v>4492.22</v>
      </c>
      <c r="AH21" s="17">
        <v>91896.97</v>
      </c>
      <c r="AI21" s="17">
        <v>1483.3</v>
      </c>
      <c r="AJ21" s="17">
        <v>6510.87</v>
      </c>
      <c r="AK21" s="17">
        <v>74367.89</v>
      </c>
      <c r="AL21" s="17">
        <v>6322.62</v>
      </c>
      <c r="AM21" s="17">
        <v>15555.4</v>
      </c>
      <c r="AN21" s="17">
        <v>3178.85</v>
      </c>
      <c r="AO21" s="17">
        <v>3139.78</v>
      </c>
      <c r="AP21" s="17">
        <v>315.64</v>
      </c>
      <c r="AQ21" s="17">
        <v>72344.399999999994</v>
      </c>
      <c r="AR21" s="17">
        <v>2440.04</v>
      </c>
      <c r="AS21" s="17">
        <v>974.71</v>
      </c>
      <c r="AT21" s="17">
        <v>865.47</v>
      </c>
      <c r="AU21" s="17">
        <v>17227.79</v>
      </c>
      <c r="AV21" s="17">
        <v>1746.27</v>
      </c>
      <c r="AW21" s="17">
        <v>1377.93</v>
      </c>
      <c r="AX21" s="17">
        <v>8016.09</v>
      </c>
      <c r="AY21" s="19">
        <v>56618.17</v>
      </c>
      <c r="AZ21" s="17">
        <v>541.84</v>
      </c>
    </row>
    <row r="22" spans="1:52" x14ac:dyDescent="0.25">
      <c r="A22" s="21">
        <f t="shared" si="1"/>
        <v>45310</v>
      </c>
      <c r="B22" t="s">
        <v>602</v>
      </c>
      <c r="C22" s="17">
        <v>4839.8100000000004</v>
      </c>
      <c r="D22" s="17">
        <v>2510.0300000000002</v>
      </c>
      <c r="E22" s="17">
        <v>4448.83</v>
      </c>
      <c r="F22" s="17">
        <v>4079.87</v>
      </c>
      <c r="G22" s="9">
        <v>50946297.700000003</v>
      </c>
      <c r="H22" s="17">
        <v>7421.24</v>
      </c>
      <c r="I22" s="17">
        <v>3344.38</v>
      </c>
      <c r="J22" s="17">
        <v>3556.71</v>
      </c>
      <c r="K22" s="17">
        <v>127635.65</v>
      </c>
      <c r="L22" s="17">
        <v>782.93</v>
      </c>
      <c r="M22" s="17">
        <v>20906.52</v>
      </c>
      <c r="N22" s="17">
        <v>29729.7</v>
      </c>
      <c r="O22" s="17">
        <v>2832.28</v>
      </c>
      <c r="P22" s="17">
        <v>2624.33</v>
      </c>
      <c r="Q22" s="17">
        <v>1442.17</v>
      </c>
      <c r="R22" s="17">
        <v>2340.8000000000002</v>
      </c>
      <c r="S22" s="17">
        <v>9843.33</v>
      </c>
      <c r="T22" s="17">
        <v>7371.64</v>
      </c>
      <c r="U22" s="17">
        <v>6551.09</v>
      </c>
      <c r="V22" s="17">
        <v>1340.03</v>
      </c>
      <c r="W22" s="17">
        <v>15308.69</v>
      </c>
      <c r="X22" s="17">
        <v>64580.87</v>
      </c>
      <c r="Y22" s="17">
        <v>71683.23</v>
      </c>
      <c r="Z22" s="17">
        <v>7227.4</v>
      </c>
      <c r="AA22" s="17">
        <v>8845.06</v>
      </c>
      <c r="AB22" s="17">
        <v>30283.61</v>
      </c>
      <c r="AC22" s="17">
        <v>1516.75</v>
      </c>
      <c r="AD22" s="17">
        <v>1486.37</v>
      </c>
      <c r="AE22" s="18">
        <v>55452.1</v>
      </c>
      <c r="AF22" s="17">
        <v>1057.78</v>
      </c>
      <c r="AG22" s="17">
        <v>4484.1099999999997</v>
      </c>
      <c r="AH22" s="17">
        <v>94538.12</v>
      </c>
      <c r="AI22" s="17">
        <v>1484.89</v>
      </c>
      <c r="AJ22" s="17">
        <v>6503.54</v>
      </c>
      <c r="AK22" s="17">
        <v>74774.929999999993</v>
      </c>
      <c r="AL22" s="17">
        <v>6313.51</v>
      </c>
      <c r="AM22" s="17">
        <v>15617.64</v>
      </c>
      <c r="AN22" s="17">
        <v>3166.37</v>
      </c>
      <c r="AO22" s="17">
        <v>3152.29</v>
      </c>
      <c r="AP22" s="17">
        <v>313.45999999999998</v>
      </c>
      <c r="AQ22" s="17">
        <v>72660.91</v>
      </c>
      <c r="AR22" s="17">
        <v>2472.7399999999998</v>
      </c>
      <c r="AS22" s="17">
        <v>972.17</v>
      </c>
      <c r="AT22" s="17">
        <v>859.65</v>
      </c>
      <c r="AU22" s="17">
        <v>17681.52</v>
      </c>
      <c r="AV22" s="17">
        <v>1742.92</v>
      </c>
      <c r="AW22" s="17">
        <v>1382.51</v>
      </c>
      <c r="AX22" s="17">
        <v>7996.7</v>
      </c>
      <c r="AY22" s="19">
        <v>57584.23</v>
      </c>
      <c r="AZ22" s="17">
        <v>547.13</v>
      </c>
    </row>
    <row r="23" spans="1:52" x14ac:dyDescent="0.25">
      <c r="A23" s="21">
        <f t="shared" si="1"/>
        <v>45313</v>
      </c>
      <c r="B23" t="s">
        <v>603</v>
      </c>
      <c r="C23" s="17">
        <v>4850.43</v>
      </c>
      <c r="D23" s="17">
        <v>2544.92</v>
      </c>
      <c r="E23" s="17">
        <v>4480.32</v>
      </c>
      <c r="F23" s="17">
        <v>4098.3100000000004</v>
      </c>
      <c r="G23" s="9">
        <v>52818018.799999997</v>
      </c>
      <c r="H23" s="17">
        <v>7476.57</v>
      </c>
      <c r="I23" s="17">
        <v>3371.06</v>
      </c>
      <c r="J23" s="17">
        <v>3592.87</v>
      </c>
      <c r="K23" s="17">
        <v>126601.55</v>
      </c>
      <c r="L23" s="17">
        <v>781.82</v>
      </c>
      <c r="M23" s="17">
        <v>20924.3</v>
      </c>
      <c r="N23" s="17">
        <v>30076.07</v>
      </c>
      <c r="O23" s="17">
        <v>2756.34</v>
      </c>
      <c r="P23" s="17">
        <v>2617.34</v>
      </c>
      <c r="Q23" s="17">
        <v>1441.59</v>
      </c>
      <c r="R23" s="17">
        <v>2338.62</v>
      </c>
      <c r="S23" s="17">
        <v>9910.48</v>
      </c>
      <c r="T23" s="17">
        <v>7413.25</v>
      </c>
      <c r="U23" s="17">
        <v>6601.83</v>
      </c>
      <c r="V23" s="17">
        <v>1351.56</v>
      </c>
      <c r="W23" s="17">
        <v>14961.18</v>
      </c>
      <c r="X23" s="17">
        <v>64709.34</v>
      </c>
      <c r="Y23" s="17" t="e">
        <v>#N/A</v>
      </c>
      <c r="Z23" s="17">
        <v>7247.93</v>
      </c>
      <c r="AA23" s="17">
        <v>8896.6299999999992</v>
      </c>
      <c r="AB23" s="17">
        <v>30182.32</v>
      </c>
      <c r="AC23" s="17">
        <v>1510.6</v>
      </c>
      <c r="AD23" s="17">
        <v>1491.19</v>
      </c>
      <c r="AE23" s="18">
        <v>54667.61</v>
      </c>
      <c r="AF23" s="17">
        <v>1068.3</v>
      </c>
      <c r="AG23" s="17">
        <v>4491.37</v>
      </c>
      <c r="AH23" s="17">
        <v>95768.12</v>
      </c>
      <c r="AI23" s="17">
        <v>1483.17</v>
      </c>
      <c r="AJ23" s="17">
        <v>6583.47</v>
      </c>
      <c r="AK23" s="17">
        <v>74954.240000000005</v>
      </c>
      <c r="AL23" s="17">
        <v>6335.69</v>
      </c>
      <c r="AM23" s="17">
        <v>15492.47</v>
      </c>
      <c r="AN23" s="17">
        <v>3172.15</v>
      </c>
      <c r="AO23" s="17">
        <v>3149.12</v>
      </c>
      <c r="AP23" s="17">
        <v>308.14999999999998</v>
      </c>
      <c r="AQ23" s="17">
        <v>72351.5</v>
      </c>
      <c r="AR23" s="17">
        <v>2464.35</v>
      </c>
      <c r="AS23" s="17">
        <v>982.6</v>
      </c>
      <c r="AT23" s="17">
        <v>869.8</v>
      </c>
      <c r="AU23" s="17">
        <v>17815.099999999999</v>
      </c>
      <c r="AV23" s="17">
        <v>1738.51</v>
      </c>
      <c r="AW23" s="17">
        <v>1369.92</v>
      </c>
      <c r="AX23" s="17">
        <v>8010.14</v>
      </c>
      <c r="AY23" s="19">
        <v>57953.2</v>
      </c>
      <c r="AZ23" s="17">
        <v>549.09</v>
      </c>
    </row>
    <row r="24" spans="1:52" x14ac:dyDescent="0.25">
      <c r="A24" s="21">
        <f t="shared" si="1"/>
        <v>45314</v>
      </c>
      <c r="B24" t="s">
        <v>604</v>
      </c>
      <c r="C24" s="17">
        <v>4864.6000000000004</v>
      </c>
      <c r="D24" s="17">
        <v>2542.0700000000002</v>
      </c>
      <c r="E24" s="17">
        <v>4465.91</v>
      </c>
      <c r="F24" s="17">
        <v>4095.09</v>
      </c>
      <c r="G24" s="9">
        <v>52168913.899999999</v>
      </c>
      <c r="H24" s="17">
        <v>7514.94</v>
      </c>
      <c r="I24" s="17">
        <v>3384.41</v>
      </c>
      <c r="J24" s="17">
        <v>3598.54</v>
      </c>
      <c r="K24" s="17">
        <v>128262.52</v>
      </c>
      <c r="L24" s="17">
        <v>778.21</v>
      </c>
      <c r="M24" s="17">
        <v>21034.59</v>
      </c>
      <c r="N24" s="17">
        <v>30294.92</v>
      </c>
      <c r="O24" s="17">
        <v>2770.98</v>
      </c>
      <c r="P24" s="17">
        <v>2615.69</v>
      </c>
      <c r="Q24" s="17">
        <v>1437.6</v>
      </c>
      <c r="R24" s="17">
        <v>2324.4499999999998</v>
      </c>
      <c r="S24" s="17">
        <v>9951.81</v>
      </c>
      <c r="T24" s="17">
        <v>7388.04</v>
      </c>
      <c r="U24" s="17">
        <v>6579.56</v>
      </c>
      <c r="V24" s="17">
        <v>1353.14</v>
      </c>
      <c r="W24" s="17">
        <v>15353.98</v>
      </c>
      <c r="X24" s="17">
        <v>63825.73</v>
      </c>
      <c r="Y24" s="17">
        <v>70370.55</v>
      </c>
      <c r="Z24" s="17">
        <v>7256.23</v>
      </c>
      <c r="AA24" s="17">
        <v>8910.56</v>
      </c>
      <c r="AB24" s="17">
        <v>30077.46</v>
      </c>
      <c r="AC24" s="17">
        <v>1502.01</v>
      </c>
      <c r="AD24" s="17">
        <v>1496.11</v>
      </c>
      <c r="AE24" s="18">
        <v>55520.39</v>
      </c>
      <c r="AF24" s="17">
        <v>1070.43</v>
      </c>
      <c r="AG24" s="17">
        <v>4536.7</v>
      </c>
      <c r="AH24" s="17">
        <v>98616.97</v>
      </c>
      <c r="AI24" s="17">
        <v>1489.6</v>
      </c>
      <c r="AJ24" s="17">
        <v>6621.88</v>
      </c>
      <c r="AK24" s="17">
        <v>74601.919999999998</v>
      </c>
      <c r="AL24" s="17">
        <v>6268.8</v>
      </c>
      <c r="AM24" s="17">
        <v>15234.98</v>
      </c>
      <c r="AN24" s="17">
        <v>3175.74</v>
      </c>
      <c r="AO24" s="17">
        <v>3135.25</v>
      </c>
      <c r="AP24" s="17">
        <v>307.62</v>
      </c>
      <c r="AQ24" s="17">
        <v>73337.19</v>
      </c>
      <c r="AR24" s="17">
        <v>2478.61</v>
      </c>
      <c r="AS24" s="17">
        <v>972.57</v>
      </c>
      <c r="AT24" s="17">
        <v>872.89</v>
      </c>
      <c r="AU24" s="17">
        <v>17874.59</v>
      </c>
      <c r="AV24" s="17">
        <v>1734.67</v>
      </c>
      <c r="AW24" s="17">
        <v>1356.54</v>
      </c>
      <c r="AX24" s="17">
        <v>7950.06</v>
      </c>
      <c r="AY24" s="19">
        <v>57979.93</v>
      </c>
      <c r="AZ24" s="17">
        <v>549.47</v>
      </c>
    </row>
    <row r="25" spans="1:52" x14ac:dyDescent="0.25">
      <c r="A25" s="21">
        <f t="shared" si="1"/>
        <v>45315</v>
      </c>
      <c r="B25" t="s">
        <v>605</v>
      </c>
      <c r="C25" s="17">
        <v>4868.55</v>
      </c>
      <c r="D25" s="17">
        <v>2529.2199999999998</v>
      </c>
      <c r="E25" s="17">
        <v>4564.1099999999997</v>
      </c>
      <c r="F25" s="17">
        <v>4120.13</v>
      </c>
      <c r="G25" s="9">
        <v>54080944.799999997</v>
      </c>
      <c r="H25" s="17">
        <v>7519.19</v>
      </c>
      <c r="I25" s="17">
        <v>3431.27</v>
      </c>
      <c r="J25" s="17">
        <v>3631.05</v>
      </c>
      <c r="K25" s="17">
        <v>127815.7</v>
      </c>
      <c r="L25" s="17">
        <v>783.72</v>
      </c>
      <c r="M25" s="17">
        <v>21025.78</v>
      </c>
      <c r="N25" s="17">
        <v>30733.38</v>
      </c>
      <c r="O25" s="17">
        <v>2820.77</v>
      </c>
      <c r="P25" s="17">
        <v>2626</v>
      </c>
      <c r="Q25" s="17">
        <v>1446.44</v>
      </c>
      <c r="R25" s="17">
        <v>2330.94</v>
      </c>
      <c r="S25" s="17">
        <v>10051.65</v>
      </c>
      <c r="T25" s="17">
        <v>7455.64</v>
      </c>
      <c r="U25" s="17">
        <v>6683.57</v>
      </c>
      <c r="V25" s="17">
        <v>1362.05</v>
      </c>
      <c r="W25" s="17">
        <v>15899.87</v>
      </c>
      <c r="X25" s="17">
        <v>64128.4</v>
      </c>
      <c r="Y25" s="17">
        <v>71060.31</v>
      </c>
      <c r="Z25" s="17">
        <v>7227.82</v>
      </c>
      <c r="AA25" s="17">
        <v>8972.7099999999991</v>
      </c>
      <c r="AB25" s="17">
        <v>30338.35</v>
      </c>
      <c r="AC25" s="17">
        <v>1503.75</v>
      </c>
      <c r="AD25" s="17">
        <v>1504.1</v>
      </c>
      <c r="AE25" s="18">
        <v>55396.55</v>
      </c>
      <c r="AF25" s="17">
        <v>1100.24</v>
      </c>
      <c r="AG25" s="17">
        <v>4557.3500000000004</v>
      </c>
      <c r="AH25" s="17">
        <v>101571.11</v>
      </c>
      <c r="AI25" s="17">
        <v>1490.82</v>
      </c>
      <c r="AJ25" s="17">
        <v>6679.96</v>
      </c>
      <c r="AK25" s="17">
        <v>75351.320000000007</v>
      </c>
      <c r="AL25" s="17">
        <v>6327.36</v>
      </c>
      <c r="AM25" s="17" t="e">
        <v>#N/A</v>
      </c>
      <c r="AN25" s="17">
        <v>3162.41</v>
      </c>
      <c r="AO25" s="17">
        <v>3153.33</v>
      </c>
      <c r="AP25" s="17">
        <v>309.20999999999998</v>
      </c>
      <c r="AQ25" s="17">
        <v>74320.11</v>
      </c>
      <c r="AR25" s="17">
        <v>2469.69</v>
      </c>
      <c r="AS25" s="17">
        <v>983.45</v>
      </c>
      <c r="AT25" s="17">
        <v>879.26</v>
      </c>
      <c r="AU25" s="17">
        <v>17875.830000000002</v>
      </c>
      <c r="AV25" s="17">
        <v>1739.08</v>
      </c>
      <c r="AW25" s="17">
        <v>1381.19</v>
      </c>
      <c r="AX25" s="17">
        <v>8090.9</v>
      </c>
      <c r="AY25" s="19">
        <v>57539.41</v>
      </c>
      <c r="AZ25" s="17">
        <v>552.05999999999995</v>
      </c>
    </row>
    <row r="26" spans="1:52" x14ac:dyDescent="0.25">
      <c r="A26" s="21">
        <f t="shared" si="1"/>
        <v>45316</v>
      </c>
      <c r="B26" t="s">
        <v>606</v>
      </c>
      <c r="C26" s="17">
        <v>4894.16</v>
      </c>
      <c r="D26" s="17">
        <v>2531.92</v>
      </c>
      <c r="E26" s="17">
        <v>4582.26</v>
      </c>
      <c r="F26" s="17">
        <v>4122.7299999999996</v>
      </c>
      <c r="G26" s="9">
        <v>55614626.399999999</v>
      </c>
      <c r="H26" s="17">
        <v>7555.36</v>
      </c>
      <c r="I26" s="17">
        <v>3437.99</v>
      </c>
      <c r="J26" s="17">
        <v>3632.33</v>
      </c>
      <c r="K26" s="17">
        <v>128168.73</v>
      </c>
      <c r="L26" s="17">
        <v>782.07</v>
      </c>
      <c r="M26" s="17">
        <v>21101.54</v>
      </c>
      <c r="N26" s="17">
        <v>30390.55</v>
      </c>
      <c r="O26" s="17">
        <v>2906.11</v>
      </c>
      <c r="P26" s="17">
        <v>2623.58</v>
      </c>
      <c r="Q26" s="17">
        <v>1450.2</v>
      </c>
      <c r="R26" s="17">
        <v>2336.23</v>
      </c>
      <c r="S26" s="17">
        <v>10157.379999999999</v>
      </c>
      <c r="T26" s="17">
        <v>7464.2</v>
      </c>
      <c r="U26" s="17">
        <v>6690.29</v>
      </c>
      <c r="V26" s="17">
        <v>1352.86</v>
      </c>
      <c r="W26" s="17">
        <v>16211.96</v>
      </c>
      <c r="X26" s="17">
        <v>64543.96</v>
      </c>
      <c r="Y26" s="17">
        <v>70700.67</v>
      </c>
      <c r="Z26" s="17">
        <v>7178.04</v>
      </c>
      <c r="AA26" s="17">
        <v>9033.0400000000009</v>
      </c>
      <c r="AB26" s="17">
        <v>30157.8</v>
      </c>
      <c r="AC26" s="17">
        <v>1506.65</v>
      </c>
      <c r="AD26" s="17" t="e">
        <v>#N/A</v>
      </c>
      <c r="AE26" s="18">
        <v>56160.07</v>
      </c>
      <c r="AF26" s="17">
        <v>1112.98</v>
      </c>
      <c r="AG26" s="17">
        <v>4570.04</v>
      </c>
      <c r="AH26" s="17">
        <v>102149.93</v>
      </c>
      <c r="AI26" s="17">
        <v>1491.53</v>
      </c>
      <c r="AJ26" s="17">
        <v>6673.5</v>
      </c>
      <c r="AK26" s="17">
        <v>75219.710000000006</v>
      </c>
      <c r="AL26" s="17">
        <v>6294.55</v>
      </c>
      <c r="AM26" s="17">
        <v>15138.28</v>
      </c>
      <c r="AN26" s="17">
        <v>3157.74</v>
      </c>
      <c r="AO26" s="17">
        <v>3147.64</v>
      </c>
      <c r="AP26" s="17">
        <v>307.08999999999997</v>
      </c>
      <c r="AQ26" s="17">
        <v>74040.539999999994</v>
      </c>
      <c r="AR26" s="17">
        <v>2470.34</v>
      </c>
      <c r="AS26" s="17">
        <v>976.85</v>
      </c>
      <c r="AT26" s="17">
        <v>883.98</v>
      </c>
      <c r="AU26" s="17">
        <v>18002.62</v>
      </c>
      <c r="AV26" s="17">
        <v>1731.38</v>
      </c>
      <c r="AW26" s="17">
        <v>1376.09</v>
      </c>
      <c r="AX26" s="17">
        <v>8169.89</v>
      </c>
      <c r="AY26" s="19">
        <v>56841.48</v>
      </c>
      <c r="AZ26" s="17">
        <v>553.78</v>
      </c>
    </row>
    <row r="27" spans="1:52" x14ac:dyDescent="0.25">
      <c r="A27" s="21">
        <f t="shared" si="1"/>
        <v>45317</v>
      </c>
      <c r="B27" t="s">
        <v>607</v>
      </c>
      <c r="C27" s="17">
        <v>4890.97</v>
      </c>
      <c r="D27" s="17">
        <v>2497.65</v>
      </c>
      <c r="E27" s="17">
        <v>4635.47</v>
      </c>
      <c r="F27" s="17">
        <v>4174.8900000000003</v>
      </c>
      <c r="G27" s="9">
        <v>54270952.700000003</v>
      </c>
      <c r="H27" s="17" t="e">
        <v>#N/A</v>
      </c>
      <c r="I27" s="17">
        <v>3455.57</v>
      </c>
      <c r="J27" s="17">
        <v>3672.03</v>
      </c>
      <c r="K27" s="17">
        <v>128967.32</v>
      </c>
      <c r="L27" s="17">
        <v>787.72</v>
      </c>
      <c r="M27" s="17">
        <v>21125.279999999999</v>
      </c>
      <c r="N27" s="17">
        <v>30734.27</v>
      </c>
      <c r="O27" s="17">
        <v>2910.22</v>
      </c>
      <c r="P27" s="17">
        <v>2632.34</v>
      </c>
      <c r="Q27" s="17">
        <v>1447.36</v>
      </c>
      <c r="R27" s="17">
        <v>2351.75</v>
      </c>
      <c r="S27" s="17">
        <v>10241.9</v>
      </c>
      <c r="T27" s="17">
        <v>7634.14</v>
      </c>
      <c r="U27" s="17">
        <v>6711.85</v>
      </c>
      <c r="V27" s="17">
        <v>1360.89</v>
      </c>
      <c r="W27" s="17">
        <v>15952.23</v>
      </c>
      <c r="X27" s="17">
        <v>64092.56</v>
      </c>
      <c r="Y27" s="17" t="e">
        <v>#N/A</v>
      </c>
      <c r="Z27" s="17">
        <v>7137.09</v>
      </c>
      <c r="AA27" s="17">
        <v>9066.84</v>
      </c>
      <c r="AB27" s="17">
        <v>30379.33</v>
      </c>
      <c r="AC27" s="17">
        <v>1497.97</v>
      </c>
      <c r="AD27" s="17">
        <v>1506.28</v>
      </c>
      <c r="AE27" s="18">
        <v>56855.88</v>
      </c>
      <c r="AF27" s="17">
        <v>1115.25</v>
      </c>
      <c r="AG27" s="17">
        <v>4564.43</v>
      </c>
      <c r="AH27" s="17">
        <v>102401.88</v>
      </c>
      <c r="AI27" s="17">
        <v>1501.4</v>
      </c>
      <c r="AJ27" s="17">
        <v>6686.09</v>
      </c>
      <c r="AK27" s="17">
        <v>75683.59</v>
      </c>
      <c r="AL27" s="17">
        <v>6275.73</v>
      </c>
      <c r="AM27" s="17">
        <v>15126.22</v>
      </c>
      <c r="AN27" s="17">
        <v>3163.21</v>
      </c>
      <c r="AO27" s="17">
        <v>3159.53</v>
      </c>
      <c r="AP27" s="17">
        <v>308.83999999999997</v>
      </c>
      <c r="AQ27" s="17">
        <v>75084.38</v>
      </c>
      <c r="AR27" s="17">
        <v>2478.56</v>
      </c>
      <c r="AS27" s="17">
        <v>978.76</v>
      </c>
      <c r="AT27" s="17">
        <v>888.02</v>
      </c>
      <c r="AU27" s="17">
        <v>17995.03</v>
      </c>
      <c r="AV27" s="17">
        <v>1703.16</v>
      </c>
      <c r="AW27" s="17">
        <v>1368.15</v>
      </c>
      <c r="AX27" s="17">
        <v>8346.2800000000007</v>
      </c>
      <c r="AY27" s="19">
        <v>55030.26</v>
      </c>
      <c r="AZ27" s="17">
        <v>554.16</v>
      </c>
    </row>
    <row r="28" spans="1:52" x14ac:dyDescent="0.25">
      <c r="A28" s="21">
        <f t="shared" si="1"/>
        <v>45320</v>
      </c>
      <c r="B28" t="s">
        <v>608</v>
      </c>
      <c r="C28" s="17">
        <v>4927.93</v>
      </c>
      <c r="D28" s="17">
        <v>2529.48</v>
      </c>
      <c r="E28" s="17">
        <v>4639.3599999999997</v>
      </c>
      <c r="F28" s="17">
        <v>4172.58</v>
      </c>
      <c r="G28" s="9">
        <v>54119480.399999999</v>
      </c>
      <c r="H28" s="17">
        <v>7578.44</v>
      </c>
      <c r="I28" s="17">
        <v>3446.96</v>
      </c>
      <c r="J28" s="17">
        <v>3655.73</v>
      </c>
      <c r="K28" s="17">
        <v>128502.66</v>
      </c>
      <c r="L28" s="17">
        <v>789.8</v>
      </c>
      <c r="M28" s="17">
        <v>21200.06</v>
      </c>
      <c r="N28" s="17">
        <v>30739.4</v>
      </c>
      <c r="O28" s="17">
        <v>2883.36</v>
      </c>
      <c r="P28" s="17">
        <v>2642.61</v>
      </c>
      <c r="Q28" s="17">
        <v>1445.44</v>
      </c>
      <c r="R28" s="17">
        <v>2378.9299999999998</v>
      </c>
      <c r="S28" s="17">
        <v>10239.36</v>
      </c>
      <c r="T28" s="17">
        <v>7640.81</v>
      </c>
      <c r="U28" s="17">
        <v>6704.06</v>
      </c>
      <c r="V28" s="17">
        <v>1350.95</v>
      </c>
      <c r="W28" s="17">
        <v>16077.24</v>
      </c>
      <c r="X28" s="17">
        <v>63192.77</v>
      </c>
      <c r="Y28" s="17">
        <v>71941.570000000007</v>
      </c>
      <c r="Z28" s="17">
        <v>7157.18</v>
      </c>
      <c r="AA28" s="17">
        <v>9171.19</v>
      </c>
      <c r="AB28" s="17">
        <v>30233.61</v>
      </c>
      <c r="AC28" s="17">
        <v>1487.89</v>
      </c>
      <c r="AD28" s="17">
        <v>1515.39</v>
      </c>
      <c r="AE28" s="18">
        <v>57175.73</v>
      </c>
      <c r="AF28" s="17">
        <v>1118.74</v>
      </c>
      <c r="AG28" s="17">
        <v>4578.59</v>
      </c>
      <c r="AH28" s="17">
        <v>104674.67</v>
      </c>
      <c r="AI28" s="17">
        <v>1496.97</v>
      </c>
      <c r="AJ28" s="17">
        <v>6630.68</v>
      </c>
      <c r="AK28" s="17">
        <v>75347.11</v>
      </c>
      <c r="AL28" s="17">
        <v>6252.96</v>
      </c>
      <c r="AM28" s="17">
        <v>15141.09</v>
      </c>
      <c r="AN28" s="17">
        <v>3176.61</v>
      </c>
      <c r="AO28" s="17">
        <v>3140.31</v>
      </c>
      <c r="AP28" s="17">
        <v>308.83999999999997</v>
      </c>
      <c r="AQ28" s="17">
        <v>74370.53</v>
      </c>
      <c r="AR28" s="17">
        <v>2500.65</v>
      </c>
      <c r="AS28" s="17">
        <v>974.42</v>
      </c>
      <c r="AT28" s="17">
        <v>888.27</v>
      </c>
      <c r="AU28" s="17">
        <v>18119.63</v>
      </c>
      <c r="AV28" s="17">
        <v>1711.64</v>
      </c>
      <c r="AW28" s="17">
        <v>1376.28</v>
      </c>
      <c r="AX28" s="17">
        <v>8471.7000000000007</v>
      </c>
      <c r="AY28" s="19">
        <v>54140.02</v>
      </c>
      <c r="AZ28" s="17">
        <v>557.59</v>
      </c>
    </row>
    <row r="29" spans="1:52" x14ac:dyDescent="0.25">
      <c r="A29" s="21">
        <f t="shared" si="1"/>
        <v>45321</v>
      </c>
      <c r="B29" t="s">
        <v>609</v>
      </c>
      <c r="C29" s="17">
        <v>4924.97</v>
      </c>
      <c r="D29" s="17">
        <v>2526.9299999999998</v>
      </c>
      <c r="E29" s="17">
        <v>4662.7</v>
      </c>
      <c r="F29" s="17">
        <v>4189.3100000000004</v>
      </c>
      <c r="G29" s="9">
        <v>54713800.100000001</v>
      </c>
      <c r="H29" s="17">
        <v>7600.19</v>
      </c>
      <c r="I29" s="17">
        <v>3455</v>
      </c>
      <c r="J29" s="17">
        <v>3643.93</v>
      </c>
      <c r="K29" s="17">
        <v>127401.81</v>
      </c>
      <c r="L29" s="17">
        <v>787.71</v>
      </c>
      <c r="M29" s="17">
        <v>21227.87</v>
      </c>
      <c r="N29" s="17">
        <v>30289.759999999998</v>
      </c>
      <c r="O29" s="17">
        <v>2830.53</v>
      </c>
      <c r="P29" s="17">
        <v>2649.04</v>
      </c>
      <c r="Q29" s="17">
        <v>1450.49</v>
      </c>
      <c r="R29" s="17">
        <v>2381.5700000000002</v>
      </c>
      <c r="S29" s="17">
        <v>10204.49</v>
      </c>
      <c r="T29" s="17">
        <v>7677.47</v>
      </c>
      <c r="U29" s="17">
        <v>6716.18</v>
      </c>
      <c r="V29" s="17">
        <v>1355.12</v>
      </c>
      <c r="W29" s="17">
        <v>15703.45</v>
      </c>
      <c r="X29" s="17">
        <v>63213.55</v>
      </c>
      <c r="Y29" s="17">
        <v>71139.899999999994</v>
      </c>
      <c r="Z29" s="17">
        <v>7192.22</v>
      </c>
      <c r="AA29" s="17">
        <v>9214.5499999999993</v>
      </c>
      <c r="AB29" s="17">
        <v>30623.27</v>
      </c>
      <c r="AC29" s="17">
        <v>1499.31</v>
      </c>
      <c r="AD29" s="17">
        <v>1512.75</v>
      </c>
      <c r="AE29" s="18">
        <v>57537.14</v>
      </c>
      <c r="AF29" s="17">
        <v>1119.81</v>
      </c>
      <c r="AG29" s="17">
        <v>4579.5600000000004</v>
      </c>
      <c r="AH29" s="17">
        <v>103110.15</v>
      </c>
      <c r="AI29" s="17">
        <v>1491.05</v>
      </c>
      <c r="AJ29" s="17">
        <v>6622.01</v>
      </c>
      <c r="AK29" s="17">
        <v>76072.25</v>
      </c>
      <c r="AL29" s="17">
        <v>6292.61</v>
      </c>
      <c r="AM29" s="17">
        <v>15376.62</v>
      </c>
      <c r="AN29" s="17">
        <v>3196.08</v>
      </c>
      <c r="AO29" s="17">
        <v>3150.04</v>
      </c>
      <c r="AP29" s="17">
        <v>308.83999999999997</v>
      </c>
      <c r="AQ29" s="17">
        <v>74611.45</v>
      </c>
      <c r="AR29" s="17">
        <v>2498.81</v>
      </c>
      <c r="AS29" s="17">
        <v>989.1</v>
      </c>
      <c r="AT29" s="17">
        <v>888.94</v>
      </c>
      <c r="AU29" s="17">
        <v>18034.63</v>
      </c>
      <c r="AV29" s="17">
        <v>1712.23</v>
      </c>
      <c r="AW29" s="17">
        <v>1373.14</v>
      </c>
      <c r="AX29" s="17">
        <v>8474.2999999999993</v>
      </c>
      <c r="AY29" s="19">
        <v>54237.16</v>
      </c>
      <c r="AZ29" s="17">
        <v>556.99</v>
      </c>
    </row>
    <row r="30" spans="1:52" x14ac:dyDescent="0.25">
      <c r="A30" s="21">
        <f t="shared" si="1"/>
        <v>45322</v>
      </c>
      <c r="B30" t="s">
        <v>610</v>
      </c>
      <c r="C30" s="17">
        <v>4845.6499999999996</v>
      </c>
      <c r="D30" s="17">
        <v>2551.1</v>
      </c>
      <c r="E30" s="17">
        <v>4648.3999999999996</v>
      </c>
      <c r="F30" s="17">
        <v>4173.0600000000004</v>
      </c>
      <c r="G30" s="9">
        <v>54505401.600000001</v>
      </c>
      <c r="H30" s="17">
        <v>7680.72</v>
      </c>
      <c r="I30" s="17">
        <v>3456.48</v>
      </c>
      <c r="J30" s="17">
        <v>3662.96</v>
      </c>
      <c r="K30" s="17">
        <v>127752.28</v>
      </c>
      <c r="L30" s="17">
        <v>786.68</v>
      </c>
      <c r="M30" s="17">
        <v>21021.88</v>
      </c>
      <c r="N30" s="17">
        <v>30339.78</v>
      </c>
      <c r="O30" s="17">
        <v>2788.55</v>
      </c>
      <c r="P30" s="17">
        <v>2665.94</v>
      </c>
      <c r="Q30" s="17">
        <v>1452.92</v>
      </c>
      <c r="R30" s="17">
        <v>2436.89</v>
      </c>
      <c r="S30" s="17">
        <v>10167.379999999999</v>
      </c>
      <c r="T30" s="17">
        <v>7656.75</v>
      </c>
      <c r="U30" s="17">
        <v>6689.05</v>
      </c>
      <c r="V30" s="17">
        <v>1367.41</v>
      </c>
      <c r="W30" s="17">
        <v>15485.07</v>
      </c>
      <c r="X30" s="17">
        <v>64044.46</v>
      </c>
      <c r="Y30" s="17">
        <v>71752.11</v>
      </c>
      <c r="Z30" s="17">
        <v>7207.94</v>
      </c>
      <c r="AA30" s="17">
        <v>9178.1200000000008</v>
      </c>
      <c r="AB30" s="17">
        <v>30744.240000000002</v>
      </c>
      <c r="AC30" s="17">
        <v>1508.86</v>
      </c>
      <c r="AD30" s="17">
        <v>1512.98</v>
      </c>
      <c r="AE30" s="18">
        <v>57372.76</v>
      </c>
      <c r="AF30" s="17">
        <v>1116.31</v>
      </c>
      <c r="AG30" s="17">
        <v>4563.3</v>
      </c>
      <c r="AH30" s="17">
        <v>101154.46</v>
      </c>
      <c r="AI30" s="17">
        <v>1486.47</v>
      </c>
      <c r="AJ30" s="17">
        <v>6646.44</v>
      </c>
      <c r="AK30" s="17">
        <v>77416.31</v>
      </c>
      <c r="AL30" s="17">
        <v>6322.76</v>
      </c>
      <c r="AM30" s="17">
        <v>15512.12</v>
      </c>
      <c r="AN30" s="17">
        <v>3214.19</v>
      </c>
      <c r="AO30" s="17">
        <v>3153.01</v>
      </c>
      <c r="AP30" s="17">
        <v>308.31</v>
      </c>
      <c r="AQ30" s="17">
        <v>74555.87</v>
      </c>
      <c r="AR30" s="17">
        <v>2497.09</v>
      </c>
      <c r="AS30" s="17">
        <v>993.64</v>
      </c>
      <c r="AT30" s="17">
        <v>888.52</v>
      </c>
      <c r="AU30" s="17">
        <v>17889.560000000001</v>
      </c>
      <c r="AV30" s="17">
        <v>1723.85</v>
      </c>
      <c r="AW30" s="17">
        <v>1364.52</v>
      </c>
      <c r="AX30" s="17">
        <v>8496.66</v>
      </c>
      <c r="AY30" s="19">
        <v>53529.95</v>
      </c>
      <c r="AZ30" s="17">
        <v>552.14</v>
      </c>
    </row>
    <row r="31" spans="1:52" x14ac:dyDescent="0.25">
      <c r="A31" s="21">
        <f t="shared" si="1"/>
        <v>45323</v>
      </c>
      <c r="B31" t="s">
        <v>611</v>
      </c>
      <c r="C31" s="17">
        <v>4906.1899999999996</v>
      </c>
      <c r="D31" s="17">
        <v>2534.04</v>
      </c>
      <c r="E31" s="17">
        <v>4638.6000000000004</v>
      </c>
      <c r="F31" s="17">
        <v>4161.8900000000003</v>
      </c>
      <c r="G31" s="9">
        <v>56313535</v>
      </c>
      <c r="H31" s="17">
        <v>7588.19</v>
      </c>
      <c r="I31" s="17">
        <v>3450.57</v>
      </c>
      <c r="J31" s="17">
        <v>3623.3</v>
      </c>
      <c r="K31" s="17">
        <v>128481.02</v>
      </c>
      <c r="L31" s="17">
        <v>783.52</v>
      </c>
      <c r="M31" s="17">
        <v>21119.21</v>
      </c>
      <c r="N31" s="17">
        <v>30616.2</v>
      </c>
      <c r="O31" s="17">
        <v>2770.74</v>
      </c>
      <c r="P31" s="17">
        <v>2670.35</v>
      </c>
      <c r="Q31" s="17">
        <v>1458.36</v>
      </c>
      <c r="R31" s="17">
        <v>2461.4299999999998</v>
      </c>
      <c r="S31" s="17">
        <v>10054.82</v>
      </c>
      <c r="T31" s="17">
        <v>7588.75</v>
      </c>
      <c r="U31" s="17">
        <v>6671.35</v>
      </c>
      <c r="V31" s="17">
        <v>1376.62</v>
      </c>
      <c r="W31" s="17">
        <v>15566.21</v>
      </c>
      <c r="X31" s="17">
        <v>65320.88</v>
      </c>
      <c r="Y31" s="17">
        <v>71645.3</v>
      </c>
      <c r="Z31" s="17">
        <v>7201.7</v>
      </c>
      <c r="AA31" s="17">
        <v>9121.74</v>
      </c>
      <c r="AB31" s="17">
        <v>30689.11</v>
      </c>
      <c r="AC31" s="17">
        <v>1511.89</v>
      </c>
      <c r="AD31" s="17" t="e">
        <v>#N/A</v>
      </c>
      <c r="AE31" s="18">
        <v>57828.08</v>
      </c>
      <c r="AF31" s="17">
        <v>1121.56</v>
      </c>
      <c r="AG31" s="17">
        <v>4580.4799999999996</v>
      </c>
      <c r="AH31" s="17">
        <v>102802.25</v>
      </c>
      <c r="AI31" s="17">
        <v>1490.36</v>
      </c>
      <c r="AJ31" s="17">
        <v>6623.01</v>
      </c>
      <c r="AK31" s="17">
        <v>78417.88</v>
      </c>
      <c r="AL31" s="17">
        <v>6285.35</v>
      </c>
      <c r="AM31" s="17">
        <v>15621.43</v>
      </c>
      <c r="AN31" s="17">
        <v>3229.89</v>
      </c>
      <c r="AO31" s="17">
        <v>3143.06</v>
      </c>
      <c r="AP31" s="17">
        <v>308.31</v>
      </c>
      <c r="AQ31" s="17">
        <v>74469.95</v>
      </c>
      <c r="AR31" s="17">
        <v>2542.46</v>
      </c>
      <c r="AS31" s="17">
        <v>987.97</v>
      </c>
      <c r="AT31" s="17">
        <v>892.01</v>
      </c>
      <c r="AU31" s="17">
        <v>17968.11</v>
      </c>
      <c r="AV31" s="17">
        <v>1727.7</v>
      </c>
      <c r="AW31" s="17">
        <v>1367.96</v>
      </c>
      <c r="AX31" s="17">
        <v>8646.1200000000008</v>
      </c>
      <c r="AY31" s="19">
        <v>53253.29</v>
      </c>
      <c r="AZ31" s="17">
        <v>555.58000000000004</v>
      </c>
    </row>
    <row r="32" spans="1:52" x14ac:dyDescent="0.25">
      <c r="A32" s="21">
        <f t="shared" si="1"/>
        <v>45324</v>
      </c>
      <c r="B32" t="s">
        <v>612</v>
      </c>
      <c r="C32" s="17">
        <v>4958.6099999999997</v>
      </c>
      <c r="D32" s="17">
        <v>2539.6799999999998</v>
      </c>
      <c r="E32" s="17">
        <v>4654.55</v>
      </c>
      <c r="F32" s="17">
        <v>4160.1899999999996</v>
      </c>
      <c r="G32" s="9">
        <v>56966932.899999999</v>
      </c>
      <c r="H32" s="17">
        <v>7699.4</v>
      </c>
      <c r="I32" s="17">
        <v>3440.78</v>
      </c>
      <c r="J32" s="17">
        <v>3615.28</v>
      </c>
      <c r="K32" s="17">
        <v>127182.25</v>
      </c>
      <c r="L32" s="17">
        <v>779.96</v>
      </c>
      <c r="M32" s="17">
        <v>21085.09</v>
      </c>
      <c r="N32" s="17">
        <v>30316.959999999999</v>
      </c>
      <c r="O32" s="17">
        <v>2730.15</v>
      </c>
      <c r="P32" s="17">
        <v>2671.65</v>
      </c>
      <c r="Q32" s="17">
        <v>1457.31</v>
      </c>
      <c r="R32" s="17">
        <v>2450.37</v>
      </c>
      <c r="S32" s="17">
        <v>10042.83</v>
      </c>
      <c r="T32" s="17">
        <v>7592.26</v>
      </c>
      <c r="U32" s="17">
        <v>6694.76</v>
      </c>
      <c r="V32" s="17">
        <v>1385.01</v>
      </c>
      <c r="W32" s="17">
        <v>15533.56</v>
      </c>
      <c r="X32" s="17">
        <v>65290.31</v>
      </c>
      <c r="Y32" s="17">
        <v>72085.63</v>
      </c>
      <c r="Z32" s="17">
        <v>7238.79</v>
      </c>
      <c r="AA32" s="17">
        <v>9111.48</v>
      </c>
      <c r="AB32" s="17">
        <v>30717.95</v>
      </c>
      <c r="AC32" s="17">
        <v>1512.56</v>
      </c>
      <c r="AD32" s="17">
        <v>1516.58</v>
      </c>
      <c r="AE32" s="18">
        <v>58226.77</v>
      </c>
      <c r="AF32" s="17">
        <v>1123.31</v>
      </c>
      <c r="AG32" s="17">
        <v>4586.03</v>
      </c>
      <c r="AH32" s="17">
        <v>104421.23</v>
      </c>
      <c r="AI32" s="17">
        <v>1480.71</v>
      </c>
      <c r="AJ32" s="17">
        <v>6707.25</v>
      </c>
      <c r="AK32" s="17">
        <v>79575.14</v>
      </c>
      <c r="AL32" s="17">
        <v>6257.38</v>
      </c>
      <c r="AM32" s="17">
        <v>15640.73</v>
      </c>
      <c r="AN32" s="17">
        <v>3226.35</v>
      </c>
      <c r="AO32" s="17">
        <v>3179.77</v>
      </c>
      <c r="AP32" s="17">
        <v>308.8</v>
      </c>
      <c r="AQ32" s="17">
        <v>74381.960000000006</v>
      </c>
      <c r="AR32" s="17">
        <v>2615.31</v>
      </c>
      <c r="AS32" s="17">
        <v>994.28</v>
      </c>
      <c r="AT32" s="17">
        <v>891.37</v>
      </c>
      <c r="AU32" s="17">
        <v>18059.93</v>
      </c>
      <c r="AV32" s="17">
        <v>1739.63</v>
      </c>
      <c r="AW32" s="17">
        <v>1384.08</v>
      </c>
      <c r="AX32" s="17">
        <v>8665.68</v>
      </c>
      <c r="AY32" s="19">
        <v>54103.19</v>
      </c>
      <c r="AZ32" s="17">
        <v>558.76</v>
      </c>
    </row>
    <row r="33" spans="1:52" x14ac:dyDescent="0.25">
      <c r="A33" s="21">
        <f t="shared" si="1"/>
        <v>45327</v>
      </c>
      <c r="B33" t="s">
        <v>613</v>
      </c>
      <c r="C33" s="17">
        <v>4942.8100000000004</v>
      </c>
      <c r="D33" s="17">
        <v>2556.71</v>
      </c>
      <c r="E33" s="17">
        <v>4655.2700000000004</v>
      </c>
      <c r="F33" s="17">
        <v>4154.01</v>
      </c>
      <c r="G33" s="9">
        <v>54591080.799999997</v>
      </c>
      <c r="H33" s="17">
        <v>7625.85</v>
      </c>
      <c r="I33" s="17">
        <v>3420.01</v>
      </c>
      <c r="J33" s="17">
        <v>3625.62</v>
      </c>
      <c r="K33" s="17">
        <v>127593.49</v>
      </c>
      <c r="L33" s="17">
        <v>778.98</v>
      </c>
      <c r="M33" s="17">
        <v>20871.89</v>
      </c>
      <c r="N33" s="17">
        <v>30367.69</v>
      </c>
      <c r="O33" s="17">
        <v>2702.19</v>
      </c>
      <c r="P33" s="17">
        <v>2669.03</v>
      </c>
      <c r="Q33" s="17">
        <v>1460.46</v>
      </c>
      <c r="R33" s="17">
        <v>2502.02</v>
      </c>
      <c r="S33" s="17">
        <v>9909.64</v>
      </c>
      <c r="T33" s="17">
        <v>7589.96</v>
      </c>
      <c r="U33" s="17">
        <v>6689.16</v>
      </c>
      <c r="V33" s="17">
        <v>1395.99</v>
      </c>
      <c r="W33" s="17">
        <v>15510.01</v>
      </c>
      <c r="X33" s="17">
        <v>64830.41</v>
      </c>
      <c r="Y33" s="17">
        <v>71731.42</v>
      </c>
      <c r="Z33" s="17">
        <v>7198.62</v>
      </c>
      <c r="AA33" s="17">
        <v>9038.49</v>
      </c>
      <c r="AB33" s="17">
        <v>30952.79</v>
      </c>
      <c r="AC33" s="17">
        <v>1522.92</v>
      </c>
      <c r="AD33" s="17">
        <v>1511.34</v>
      </c>
      <c r="AE33" s="18" t="e">
        <v>#N/A</v>
      </c>
      <c r="AF33" s="17">
        <v>1126.01</v>
      </c>
      <c r="AG33" s="17">
        <v>4585.0600000000004</v>
      </c>
      <c r="AH33" s="17">
        <v>103659.81</v>
      </c>
      <c r="AI33" s="17">
        <v>1473.25</v>
      </c>
      <c r="AJ33" s="17">
        <v>6728.22</v>
      </c>
      <c r="AK33" s="17">
        <v>79002.75</v>
      </c>
      <c r="AL33" s="17">
        <v>6223.45</v>
      </c>
      <c r="AM33" s="17">
        <v>15697.3</v>
      </c>
      <c r="AN33" s="17">
        <v>3226.79</v>
      </c>
      <c r="AO33" s="17">
        <v>3134.29</v>
      </c>
      <c r="AP33" s="17">
        <v>307.66000000000003</v>
      </c>
      <c r="AQ33" s="17">
        <v>74033.919999999998</v>
      </c>
      <c r="AR33" s="17">
        <v>2591.31</v>
      </c>
      <c r="AS33" s="17">
        <v>982.04</v>
      </c>
      <c r="AT33" s="17">
        <v>882.38</v>
      </c>
      <c r="AU33" s="17">
        <v>18096.07</v>
      </c>
      <c r="AV33" s="17">
        <v>1740.4</v>
      </c>
      <c r="AW33" s="17">
        <v>1383.93</v>
      </c>
      <c r="AX33" s="17">
        <v>8776.7000000000007</v>
      </c>
      <c r="AY33" s="19">
        <v>53702.64</v>
      </c>
      <c r="AZ33" s="17">
        <v>555.94000000000005</v>
      </c>
    </row>
    <row r="34" spans="1:52" x14ac:dyDescent="0.25">
      <c r="A34" s="21">
        <f t="shared" si="1"/>
        <v>45328</v>
      </c>
      <c r="B34" t="s">
        <v>614</v>
      </c>
      <c r="C34" s="17">
        <v>4954.2299999999996</v>
      </c>
      <c r="D34" s="17">
        <v>2539.25</v>
      </c>
      <c r="E34" s="17">
        <v>4690.87</v>
      </c>
      <c r="F34" s="17">
        <v>4190.18</v>
      </c>
      <c r="G34" s="9">
        <v>52726811</v>
      </c>
      <c r="H34" s="17">
        <v>7581.58</v>
      </c>
      <c r="I34" s="17">
        <v>3425.43</v>
      </c>
      <c r="J34" s="17">
        <v>3620.51</v>
      </c>
      <c r="K34" s="17">
        <v>130416.31</v>
      </c>
      <c r="L34" s="17">
        <v>777.84</v>
      </c>
      <c r="M34" s="17">
        <v>20957.740000000002</v>
      </c>
      <c r="N34" s="17">
        <v>30374.78</v>
      </c>
      <c r="O34" s="17">
        <v>2789.49</v>
      </c>
      <c r="P34" s="17">
        <v>2668.93</v>
      </c>
      <c r="Q34" s="17">
        <v>1459.37</v>
      </c>
      <c r="R34" s="17">
        <v>2513.56</v>
      </c>
      <c r="S34" s="17">
        <v>9956.86</v>
      </c>
      <c r="T34" s="17">
        <v>7638.97</v>
      </c>
      <c r="U34" s="17">
        <v>6740.28</v>
      </c>
      <c r="V34" s="17">
        <v>1403.76</v>
      </c>
      <c r="W34" s="17">
        <v>16136.87</v>
      </c>
      <c r="X34" s="17">
        <v>64991.89</v>
      </c>
      <c r="Y34" s="17">
        <v>72186.09</v>
      </c>
      <c r="Z34" s="17">
        <v>7247.41</v>
      </c>
      <c r="AA34" s="17">
        <v>9060.9699999999993</v>
      </c>
      <c r="AB34" s="17">
        <v>31116.75</v>
      </c>
      <c r="AC34" s="17">
        <v>1522.45</v>
      </c>
      <c r="AD34" s="17">
        <v>1512.98</v>
      </c>
      <c r="AE34" s="18">
        <v>58645.42</v>
      </c>
      <c r="AF34" s="17">
        <v>1136.2</v>
      </c>
      <c r="AG34" s="17" t="e">
        <v>#N/A</v>
      </c>
      <c r="AH34" s="17">
        <v>102108.05</v>
      </c>
      <c r="AI34" s="17">
        <v>1488.66</v>
      </c>
      <c r="AJ34" s="17">
        <v>6755.26</v>
      </c>
      <c r="AK34" s="17">
        <v>79150.11</v>
      </c>
      <c r="AL34" s="17">
        <v>6236.62</v>
      </c>
      <c r="AM34" s="17">
        <v>15694.24</v>
      </c>
      <c r="AN34" s="17">
        <v>3238.4</v>
      </c>
      <c r="AO34" s="17">
        <v>3125.68</v>
      </c>
      <c r="AP34" s="17">
        <v>312.13</v>
      </c>
      <c r="AQ34" s="17">
        <v>74558.52</v>
      </c>
      <c r="AR34" s="17">
        <v>2576.1999999999998</v>
      </c>
      <c r="AS34" s="17">
        <v>987.97</v>
      </c>
      <c r="AT34" s="17">
        <v>888.97</v>
      </c>
      <c r="AU34" s="17" t="e">
        <v>#N/A</v>
      </c>
      <c r="AV34" s="17">
        <v>1746.84</v>
      </c>
      <c r="AW34" s="17">
        <v>1396.96</v>
      </c>
      <c r="AX34" s="17">
        <v>8869.14</v>
      </c>
      <c r="AY34" s="19">
        <v>53543.86</v>
      </c>
      <c r="AZ34" s="17">
        <v>558.80999999999995</v>
      </c>
    </row>
    <row r="35" spans="1:52" x14ac:dyDescent="0.25">
      <c r="A35" s="21">
        <f t="shared" si="1"/>
        <v>45329</v>
      </c>
      <c r="B35" t="s">
        <v>615</v>
      </c>
      <c r="C35" s="17">
        <v>4995.0600000000004</v>
      </c>
      <c r="D35" s="17">
        <v>2549.9499999999998</v>
      </c>
      <c r="E35" s="17">
        <v>4678.8500000000004</v>
      </c>
      <c r="F35" s="17">
        <v>4163.67</v>
      </c>
      <c r="G35" s="9">
        <v>49999015</v>
      </c>
      <c r="H35" s="17">
        <v>7615.84</v>
      </c>
      <c r="I35" s="17">
        <v>3378.98</v>
      </c>
      <c r="J35" s="17">
        <v>3625.95</v>
      </c>
      <c r="K35" s="17">
        <v>129949.9</v>
      </c>
      <c r="L35" s="17">
        <v>781.87</v>
      </c>
      <c r="M35" s="17">
        <v>20969.18</v>
      </c>
      <c r="N35" s="17">
        <v>30409.79</v>
      </c>
      <c r="O35" s="17">
        <v>2829.7</v>
      </c>
      <c r="P35" s="17">
        <v>2680.27</v>
      </c>
      <c r="Q35" s="17">
        <v>1444.47</v>
      </c>
      <c r="R35" s="17">
        <v>2539.69</v>
      </c>
      <c r="S35" s="17">
        <v>9903.5499999999993</v>
      </c>
      <c r="T35" s="17">
        <v>7611.26</v>
      </c>
      <c r="U35" s="17">
        <v>6696.25</v>
      </c>
      <c r="V35" s="17">
        <v>1397.14</v>
      </c>
      <c r="W35" s="17">
        <v>16081.89</v>
      </c>
      <c r="X35" s="17">
        <v>64345.88</v>
      </c>
      <c r="Y35" s="17">
        <v>72152</v>
      </c>
      <c r="Z35" s="17">
        <v>7235.15</v>
      </c>
      <c r="AA35" s="17">
        <v>9144.64</v>
      </c>
      <c r="AB35" s="17">
        <v>30976.02</v>
      </c>
      <c r="AC35" s="17">
        <v>1523.02</v>
      </c>
      <c r="AD35" s="17">
        <v>1513.11</v>
      </c>
      <c r="AE35" s="18">
        <v>58711.87</v>
      </c>
      <c r="AF35" s="17">
        <v>1137.24</v>
      </c>
      <c r="AG35" s="17">
        <v>4594.08</v>
      </c>
      <c r="AH35" s="17">
        <v>102106.31</v>
      </c>
      <c r="AI35" s="17">
        <v>1451.77</v>
      </c>
      <c r="AJ35" s="17">
        <v>6830.04</v>
      </c>
      <c r="AK35" s="17">
        <v>79473.350000000006</v>
      </c>
      <c r="AL35" s="17">
        <v>6182.29</v>
      </c>
      <c r="AM35" s="17">
        <v>15726.44</v>
      </c>
      <c r="AN35" s="17">
        <v>3256.58</v>
      </c>
      <c r="AO35" s="17">
        <v>3156.15</v>
      </c>
      <c r="AP35" s="17">
        <v>312.13</v>
      </c>
      <c r="AQ35" s="17">
        <v>74313.440000000002</v>
      </c>
      <c r="AR35" s="17">
        <v>2609.58</v>
      </c>
      <c r="AS35" s="17">
        <v>976.56</v>
      </c>
      <c r="AT35" s="17">
        <v>890.46</v>
      </c>
      <c r="AU35" s="17" t="e">
        <v>#N/A</v>
      </c>
      <c r="AV35" s="17">
        <v>1750.36</v>
      </c>
      <c r="AW35" s="17">
        <v>1400.02</v>
      </c>
      <c r="AX35" s="17">
        <v>8843.01</v>
      </c>
      <c r="AY35" s="19">
        <v>52077.81</v>
      </c>
      <c r="AZ35" s="17">
        <v>562.07000000000005</v>
      </c>
    </row>
    <row r="36" spans="1:52" x14ac:dyDescent="0.25">
      <c r="A36" s="21">
        <f t="shared" si="1"/>
        <v>45330</v>
      </c>
      <c r="B36" t="s">
        <v>616</v>
      </c>
      <c r="C36" s="17">
        <v>4997.91</v>
      </c>
      <c r="D36" s="17">
        <v>2562.63</v>
      </c>
      <c r="E36" s="17">
        <v>4710.78</v>
      </c>
      <c r="F36" s="17">
        <v>4148.28</v>
      </c>
      <c r="G36" s="9">
        <v>48487022.399999999</v>
      </c>
      <c r="H36" s="17">
        <v>7639.25</v>
      </c>
      <c r="I36" s="17">
        <v>3369.02</v>
      </c>
      <c r="J36" s="17">
        <v>3665.65</v>
      </c>
      <c r="K36" s="17">
        <v>128216.92</v>
      </c>
      <c r="L36" s="17">
        <v>781.32</v>
      </c>
      <c r="M36" s="17">
        <v>20919.64</v>
      </c>
      <c r="N36" s="17">
        <v>30364.83</v>
      </c>
      <c r="O36" s="17">
        <v>2865.9</v>
      </c>
      <c r="P36" s="17">
        <v>2680.12</v>
      </c>
      <c r="Q36" s="17">
        <v>1462.95</v>
      </c>
      <c r="R36" s="17">
        <v>2514.0300000000002</v>
      </c>
      <c r="S36" s="17">
        <v>9834.7800000000007</v>
      </c>
      <c r="T36" s="17">
        <v>7665.63</v>
      </c>
      <c r="U36" s="17">
        <v>6712.82</v>
      </c>
      <c r="V36" s="17">
        <v>1404.88</v>
      </c>
      <c r="W36" s="17">
        <v>15878.07</v>
      </c>
      <c r="X36" s="17">
        <v>64442.63</v>
      </c>
      <c r="Y36" s="17" t="e">
        <v>#N/A</v>
      </c>
      <c r="Z36" s="17" t="e">
        <v>#N/A</v>
      </c>
      <c r="AA36" s="17">
        <v>9290.35</v>
      </c>
      <c r="AB36" s="17">
        <v>31064.15</v>
      </c>
      <c r="AC36" s="17">
        <v>1526.48</v>
      </c>
      <c r="AD36" s="17">
        <v>1512.36</v>
      </c>
      <c r="AE36" s="18">
        <v>57762.44</v>
      </c>
      <c r="AF36" s="17">
        <v>1152.04</v>
      </c>
      <c r="AG36" s="17">
        <v>4563.3900000000003</v>
      </c>
      <c r="AH36" s="17">
        <v>101227.67</v>
      </c>
      <c r="AI36" s="17">
        <v>1440.55</v>
      </c>
      <c r="AJ36" s="17">
        <v>6850.16</v>
      </c>
      <c r="AK36" s="17">
        <v>78711.66</v>
      </c>
      <c r="AL36" s="17">
        <v>6112.79</v>
      </c>
      <c r="AM36" s="17">
        <v>15721.62</v>
      </c>
      <c r="AN36" s="17">
        <v>3241.81</v>
      </c>
      <c r="AO36" s="17">
        <v>3142.91</v>
      </c>
      <c r="AP36" s="17">
        <v>312.13</v>
      </c>
      <c r="AQ36" s="17">
        <v>73725.38</v>
      </c>
      <c r="AR36" s="17">
        <v>2620.3200000000002</v>
      </c>
      <c r="AS36" s="17">
        <v>977.75</v>
      </c>
      <c r="AT36" s="17">
        <v>894.02</v>
      </c>
      <c r="AU36" s="17" t="e">
        <v>#N/A</v>
      </c>
      <c r="AV36" s="17">
        <v>1758.14</v>
      </c>
      <c r="AW36" s="17">
        <v>1388.6</v>
      </c>
      <c r="AX36" s="17">
        <v>8949.7900000000009</v>
      </c>
      <c r="AY36" s="19">
        <v>52839.06</v>
      </c>
      <c r="AZ36" s="17">
        <v>562.19000000000005</v>
      </c>
    </row>
    <row r="37" spans="1:52" x14ac:dyDescent="0.25">
      <c r="A37" s="21">
        <f t="shared" si="1"/>
        <v>45331</v>
      </c>
      <c r="B37" t="s">
        <v>617</v>
      </c>
      <c r="C37" s="17">
        <v>5026.6099999999997</v>
      </c>
      <c r="D37" s="17">
        <v>2557.88</v>
      </c>
      <c r="E37" s="17">
        <v>4715.87</v>
      </c>
      <c r="F37" s="17">
        <v>4136.74</v>
      </c>
      <c r="G37" s="9">
        <v>49327579.299999997</v>
      </c>
      <c r="H37" s="17">
        <v>7644.84</v>
      </c>
      <c r="I37" s="17">
        <v>3358.95</v>
      </c>
      <c r="J37" s="17">
        <v>3676.59</v>
      </c>
      <c r="K37" s="17">
        <v>128025.7</v>
      </c>
      <c r="L37" s="17">
        <v>781.02</v>
      </c>
      <c r="M37" s="17">
        <v>21009.599999999999</v>
      </c>
      <c r="N37" s="17">
        <v>30512.17</v>
      </c>
      <c r="O37" s="17" t="e">
        <v>#N/A</v>
      </c>
      <c r="P37" s="17">
        <v>2686.88</v>
      </c>
      <c r="Q37" s="17">
        <v>1452.8</v>
      </c>
      <c r="R37" s="17">
        <v>2556.1</v>
      </c>
      <c r="S37" s="17">
        <v>9756.86</v>
      </c>
      <c r="T37" s="17">
        <v>7647.52</v>
      </c>
      <c r="U37" s="17">
        <v>6678.94</v>
      </c>
      <c r="V37" s="17">
        <v>1401.01</v>
      </c>
      <c r="W37" s="17">
        <v>15746.58</v>
      </c>
      <c r="X37" s="17">
        <v>64982.98</v>
      </c>
      <c r="Y37" s="17">
        <v>71595.490000000005</v>
      </c>
      <c r="Z37" s="17" t="e">
        <v>#N/A</v>
      </c>
      <c r="AA37" s="17">
        <v>9251</v>
      </c>
      <c r="AB37" s="17">
        <v>31156.06</v>
      </c>
      <c r="AC37" s="17">
        <v>1516.5</v>
      </c>
      <c r="AD37" s="17">
        <v>1512.28</v>
      </c>
      <c r="AE37" s="18">
        <v>57327.5</v>
      </c>
      <c r="AF37" s="17">
        <v>1161.1199999999999</v>
      </c>
      <c r="AG37" s="17">
        <v>4559.79</v>
      </c>
      <c r="AH37" s="17">
        <v>101858.37</v>
      </c>
      <c r="AI37" s="17">
        <v>1444.23</v>
      </c>
      <c r="AJ37" s="17" t="e">
        <v>#N/A</v>
      </c>
      <c r="AK37" s="17">
        <v>78450.66</v>
      </c>
      <c r="AL37" s="17">
        <v>6126.4</v>
      </c>
      <c r="AM37" s="17">
        <v>15695.88</v>
      </c>
      <c r="AN37" s="17">
        <v>3242.38</v>
      </c>
      <c r="AO37" s="17">
        <v>3138.3</v>
      </c>
      <c r="AP37" s="17">
        <v>315.41000000000003</v>
      </c>
      <c r="AQ37" s="17">
        <v>73423.3</v>
      </c>
      <c r="AR37" s="17" t="e">
        <v>#N/A</v>
      </c>
      <c r="AS37" s="17">
        <v>977.21</v>
      </c>
      <c r="AT37" s="17">
        <v>890.75</v>
      </c>
      <c r="AU37" s="17" t="e">
        <v>#N/A</v>
      </c>
      <c r="AV37" s="17">
        <v>1764.65</v>
      </c>
      <c r="AW37" s="17">
        <v>1388.37</v>
      </c>
      <c r="AX37" s="17">
        <v>9045.9699999999993</v>
      </c>
      <c r="AY37" s="19">
        <v>53320.11</v>
      </c>
      <c r="AZ37" s="17">
        <v>564.38</v>
      </c>
    </row>
    <row r="38" spans="1:52" x14ac:dyDescent="0.25">
      <c r="A38" s="21">
        <f t="shared" si="1"/>
        <v>45334</v>
      </c>
      <c r="B38" t="s">
        <v>618</v>
      </c>
      <c r="C38" s="17">
        <v>5021.84</v>
      </c>
      <c r="D38" s="17" t="e">
        <v>#N/A</v>
      </c>
      <c r="E38" s="17">
        <v>4746.3500000000004</v>
      </c>
      <c r="F38" s="17">
        <v>4141.8100000000004</v>
      </c>
      <c r="G38" s="9" t="e">
        <v>#N/A</v>
      </c>
      <c r="H38" s="17">
        <v>7614.92</v>
      </c>
      <c r="I38" s="17">
        <v>3387.22</v>
      </c>
      <c r="J38" s="17">
        <v>3715.85</v>
      </c>
      <c r="K38" s="17" t="e">
        <v>#N/A</v>
      </c>
      <c r="L38" s="17">
        <v>781.76</v>
      </c>
      <c r="M38" s="17">
        <v>21067.3</v>
      </c>
      <c r="N38" s="17">
        <v>30859.22</v>
      </c>
      <c r="O38" s="17" t="e">
        <v>#N/A</v>
      </c>
      <c r="P38" s="17">
        <v>2688.74</v>
      </c>
      <c r="Q38" s="17">
        <v>1464.71</v>
      </c>
      <c r="R38" s="17">
        <v>2553.29</v>
      </c>
      <c r="S38" s="17">
        <v>9776.2900000000009</v>
      </c>
      <c r="T38" s="17">
        <v>7689.8</v>
      </c>
      <c r="U38" s="17">
        <v>6722.85</v>
      </c>
      <c r="V38" s="17">
        <v>1394.08</v>
      </c>
      <c r="W38" s="17" t="e">
        <v>#N/A</v>
      </c>
      <c r="X38" s="17">
        <v>64763.57</v>
      </c>
      <c r="Y38" s="17">
        <v>71072.490000000005</v>
      </c>
      <c r="Z38" s="17">
        <v>7297.67</v>
      </c>
      <c r="AA38" s="17">
        <v>9311.83</v>
      </c>
      <c r="AB38" s="17">
        <v>31456.73</v>
      </c>
      <c r="AC38" s="17">
        <v>1511.62</v>
      </c>
      <c r="AD38" s="17" t="e">
        <v>#N/A</v>
      </c>
      <c r="AE38" s="18">
        <v>57418.55</v>
      </c>
      <c r="AF38" s="17">
        <v>1166.48</v>
      </c>
      <c r="AG38" s="17">
        <v>4519.43</v>
      </c>
      <c r="AH38" s="17">
        <v>102042.32</v>
      </c>
      <c r="AI38" s="17">
        <v>1455.66</v>
      </c>
      <c r="AJ38" s="17">
        <v>6807.82</v>
      </c>
      <c r="AK38" s="17">
        <v>79424.63</v>
      </c>
      <c r="AL38" s="17">
        <v>6194.21</v>
      </c>
      <c r="AM38" s="17">
        <v>15741.87</v>
      </c>
      <c r="AN38" s="17">
        <v>3248.5</v>
      </c>
      <c r="AO38" s="17" t="e">
        <v>#N/A</v>
      </c>
      <c r="AP38" s="17">
        <v>314.08</v>
      </c>
      <c r="AQ38" s="17">
        <v>73722.100000000006</v>
      </c>
      <c r="AR38" s="17" t="e">
        <v>#N/A</v>
      </c>
      <c r="AS38" s="17">
        <v>985.85</v>
      </c>
      <c r="AT38" s="17">
        <v>897.93</v>
      </c>
      <c r="AU38" s="17" t="e">
        <v>#N/A</v>
      </c>
      <c r="AV38" s="17">
        <v>1764.65</v>
      </c>
      <c r="AW38" s="17">
        <v>1389.3</v>
      </c>
      <c r="AX38" s="17">
        <v>9174.58</v>
      </c>
      <c r="AY38" s="19" t="e">
        <v>#N/A</v>
      </c>
      <c r="AZ38" s="17">
        <v>564.57000000000005</v>
      </c>
    </row>
    <row r="39" spans="1:52" x14ac:dyDescent="0.25">
      <c r="A39" s="21">
        <f t="shared" si="1"/>
        <v>45335</v>
      </c>
      <c r="B39" t="s">
        <v>619</v>
      </c>
      <c r="C39" s="17">
        <v>4953.17</v>
      </c>
      <c r="D39" s="17">
        <v>2612.0300000000002</v>
      </c>
      <c r="E39" s="17">
        <v>4689.28</v>
      </c>
      <c r="F39" s="17">
        <v>4104.8100000000004</v>
      </c>
      <c r="G39" s="9" t="e">
        <v>#N/A</v>
      </c>
      <c r="H39" s="17">
        <v>7603.58</v>
      </c>
      <c r="I39" s="17">
        <v>3368.35</v>
      </c>
      <c r="J39" s="17">
        <v>3675.52</v>
      </c>
      <c r="K39" s="17" t="e">
        <v>#N/A</v>
      </c>
      <c r="L39" s="17">
        <v>780.02</v>
      </c>
      <c r="M39" s="17">
        <v>20584.97</v>
      </c>
      <c r="N39" s="17">
        <v>30493.85</v>
      </c>
      <c r="O39" s="17" t="e">
        <v>#N/A</v>
      </c>
      <c r="P39" s="17">
        <v>2699.63</v>
      </c>
      <c r="Q39" s="17">
        <v>1470.99</v>
      </c>
      <c r="R39" s="17">
        <v>2546.86</v>
      </c>
      <c r="S39" s="17">
        <v>9683.07</v>
      </c>
      <c r="T39" s="17">
        <v>7625.31</v>
      </c>
      <c r="U39" s="17">
        <v>6661.08</v>
      </c>
      <c r="V39" s="17">
        <v>1385.47</v>
      </c>
      <c r="W39" s="17" t="e">
        <v>#N/A</v>
      </c>
      <c r="X39" s="17">
        <v>64756.5</v>
      </c>
      <c r="Y39" s="17">
        <v>71555.19</v>
      </c>
      <c r="Z39" s="17">
        <v>7209.74</v>
      </c>
      <c r="AA39" s="17">
        <v>9284.7000000000007</v>
      </c>
      <c r="AB39" s="17">
        <v>31134.17</v>
      </c>
      <c r="AC39" s="17">
        <v>1518.22</v>
      </c>
      <c r="AD39" s="17">
        <v>1531.37</v>
      </c>
      <c r="AE39" s="18">
        <v>56906.99</v>
      </c>
      <c r="AF39" s="17">
        <v>1148.18</v>
      </c>
      <c r="AG39" s="17">
        <v>4512.3999999999996</v>
      </c>
      <c r="AH39" s="17">
        <v>101707.7</v>
      </c>
      <c r="AI39" s="17">
        <v>1441.7</v>
      </c>
      <c r="AJ39" s="17">
        <v>6827.92</v>
      </c>
      <c r="AK39" s="17">
        <v>78038.67</v>
      </c>
      <c r="AL39" s="17">
        <v>6134.12</v>
      </c>
      <c r="AM39" s="17">
        <v>15675.54</v>
      </c>
      <c r="AN39" s="17">
        <v>3254.6</v>
      </c>
      <c r="AO39" s="17">
        <v>3141.87</v>
      </c>
      <c r="AP39" s="17">
        <v>313.08</v>
      </c>
      <c r="AQ39" s="17">
        <v>73062.59</v>
      </c>
      <c r="AR39" s="17">
        <v>2649.64</v>
      </c>
      <c r="AS39" s="17">
        <v>980.42</v>
      </c>
      <c r="AT39" s="17">
        <v>890.56</v>
      </c>
      <c r="AU39" s="17" t="e">
        <v>#N/A</v>
      </c>
      <c r="AV39" s="17">
        <v>1764.23</v>
      </c>
      <c r="AW39" s="17">
        <v>1391.73</v>
      </c>
      <c r="AX39" s="17">
        <v>8994</v>
      </c>
      <c r="AY39" s="19" t="e">
        <v>#N/A</v>
      </c>
      <c r="AZ39" s="17">
        <v>558.23</v>
      </c>
    </row>
    <row r="40" spans="1:52" x14ac:dyDescent="0.25">
      <c r="A40" s="21">
        <f t="shared" si="1"/>
        <v>45336</v>
      </c>
      <c r="B40" t="s">
        <v>620</v>
      </c>
      <c r="C40" s="17">
        <v>5000.62</v>
      </c>
      <c r="D40" s="17">
        <v>2584.59</v>
      </c>
      <c r="E40" s="17">
        <v>4709.22</v>
      </c>
      <c r="F40" s="17">
        <v>4132.87</v>
      </c>
      <c r="G40" s="9">
        <v>48346709.299999997</v>
      </c>
      <c r="H40" s="17">
        <v>7547.74</v>
      </c>
      <c r="I40" s="17">
        <v>3366.27</v>
      </c>
      <c r="J40" s="17">
        <v>3665.3</v>
      </c>
      <c r="K40" s="17">
        <v>127018.29</v>
      </c>
      <c r="L40" s="17">
        <v>785.2</v>
      </c>
      <c r="M40" s="17">
        <v>20889.400000000001</v>
      </c>
      <c r="N40" s="17">
        <v>30759.43</v>
      </c>
      <c r="O40" s="17" t="e">
        <v>#N/A</v>
      </c>
      <c r="P40" s="17">
        <v>2698.16</v>
      </c>
      <c r="Q40" s="17">
        <v>1479.23</v>
      </c>
      <c r="R40" s="17">
        <v>2581.08</v>
      </c>
      <c r="S40" s="17">
        <v>9688.81</v>
      </c>
      <c r="T40" s="17">
        <v>7677.35</v>
      </c>
      <c r="U40" s="17">
        <v>6686.51</v>
      </c>
      <c r="V40" s="17">
        <v>1405.38</v>
      </c>
      <c r="W40" s="17">
        <v>15879.38</v>
      </c>
      <c r="X40" s="17">
        <v>64999.45</v>
      </c>
      <c r="Y40" s="17">
        <v>71822.83</v>
      </c>
      <c r="Z40" s="17" t="e">
        <v>#N/A</v>
      </c>
      <c r="AA40" s="17">
        <v>9371.6</v>
      </c>
      <c r="AB40" s="17">
        <v>31329.38</v>
      </c>
      <c r="AC40" s="17">
        <v>1511.79</v>
      </c>
      <c r="AD40" s="17">
        <v>1529.33</v>
      </c>
      <c r="AE40" s="18">
        <v>57248.47</v>
      </c>
      <c r="AF40" s="17">
        <v>1147.28</v>
      </c>
      <c r="AG40" s="17">
        <v>4482.28</v>
      </c>
      <c r="AH40" s="17">
        <v>103498.28</v>
      </c>
      <c r="AI40" s="17">
        <v>1453.91</v>
      </c>
      <c r="AJ40" s="17">
        <v>6854.53</v>
      </c>
      <c r="AK40" s="17">
        <v>79421.210000000006</v>
      </c>
      <c r="AL40" s="17">
        <v>6100.1</v>
      </c>
      <c r="AM40" s="17">
        <v>15693.33</v>
      </c>
      <c r="AN40" s="17">
        <v>3258.14</v>
      </c>
      <c r="AO40" s="17">
        <v>3139.07</v>
      </c>
      <c r="AP40" s="17">
        <v>313.08</v>
      </c>
      <c r="AQ40" s="17">
        <v>73009.740000000005</v>
      </c>
      <c r="AR40" s="17">
        <v>2620.42</v>
      </c>
      <c r="AS40" s="17">
        <v>979.23</v>
      </c>
      <c r="AT40" s="17">
        <v>894.18</v>
      </c>
      <c r="AU40" s="17" t="e">
        <v>#N/A</v>
      </c>
      <c r="AV40" s="17">
        <v>1764.36</v>
      </c>
      <c r="AW40" s="17">
        <v>1385.11</v>
      </c>
      <c r="AX40" s="17">
        <v>9072.08</v>
      </c>
      <c r="AY40" s="19">
        <v>53005.23</v>
      </c>
      <c r="AZ40" s="17">
        <v>562.27</v>
      </c>
    </row>
    <row r="41" spans="1:52" x14ac:dyDescent="0.25">
      <c r="A41" s="21">
        <f t="shared" si="1"/>
        <v>45337</v>
      </c>
      <c r="B41" t="s">
        <v>621</v>
      </c>
      <c r="C41" s="17">
        <v>5029.7299999999996</v>
      </c>
      <c r="D41" s="17">
        <v>2591.85</v>
      </c>
      <c r="E41" s="17">
        <v>4743.17</v>
      </c>
      <c r="F41" s="17">
        <v>4149.9799999999996</v>
      </c>
      <c r="G41" s="9">
        <v>47753934.600000001</v>
      </c>
      <c r="H41" s="17">
        <v>7605.72</v>
      </c>
      <c r="I41" s="17">
        <v>3372.09</v>
      </c>
      <c r="J41" s="17">
        <v>3694.38</v>
      </c>
      <c r="K41" s="17">
        <v>127804.13</v>
      </c>
      <c r="L41" s="17">
        <v>780.69</v>
      </c>
      <c r="M41" s="17">
        <v>21222.69</v>
      </c>
      <c r="N41" s="17">
        <v>31273.98</v>
      </c>
      <c r="O41" s="17" t="e">
        <v>#N/A</v>
      </c>
      <c r="P41" s="17">
        <v>2692.79</v>
      </c>
      <c r="Q41" s="17">
        <v>1482.34</v>
      </c>
      <c r="R41" s="17">
        <v>2593.81</v>
      </c>
      <c r="S41" s="17">
        <v>9755.2999999999993</v>
      </c>
      <c r="T41" s="17">
        <v>7743.42</v>
      </c>
      <c r="U41" s="17">
        <v>6726.33</v>
      </c>
      <c r="V41" s="17">
        <v>1403.5</v>
      </c>
      <c r="W41" s="17">
        <v>15944.63</v>
      </c>
      <c r="X41" s="17">
        <v>65660.800000000003</v>
      </c>
      <c r="Y41" s="17">
        <v>72050.38</v>
      </c>
      <c r="Z41" s="17">
        <v>7303.28</v>
      </c>
      <c r="AA41" s="17">
        <v>9313.84</v>
      </c>
      <c r="AB41" s="17">
        <v>31694.44</v>
      </c>
      <c r="AC41" s="17">
        <v>1517.92</v>
      </c>
      <c r="AD41" s="17">
        <v>1528.38</v>
      </c>
      <c r="AE41" s="18">
        <v>57251.89</v>
      </c>
      <c r="AF41" s="17">
        <v>1153.06</v>
      </c>
      <c r="AG41" s="17">
        <v>4474.1099999999997</v>
      </c>
      <c r="AH41" s="17">
        <v>104100</v>
      </c>
      <c r="AI41" s="17">
        <v>1451.28</v>
      </c>
      <c r="AJ41" s="17">
        <v>6882.15</v>
      </c>
      <c r="AK41" s="17">
        <v>79333.22</v>
      </c>
      <c r="AL41" s="17">
        <v>6127.1</v>
      </c>
      <c r="AM41" s="17">
        <v>15657.02</v>
      </c>
      <c r="AN41" s="17">
        <v>3265.63</v>
      </c>
      <c r="AO41" s="17">
        <v>3176.69</v>
      </c>
      <c r="AP41" s="17">
        <v>313.08</v>
      </c>
      <c r="AQ41" s="17">
        <v>73218.44</v>
      </c>
      <c r="AR41" s="17">
        <v>2613.8000000000002</v>
      </c>
      <c r="AS41" s="17">
        <v>979.19</v>
      </c>
      <c r="AT41" s="17">
        <v>903.15</v>
      </c>
      <c r="AU41" s="17">
        <v>18644.57</v>
      </c>
      <c r="AV41" s="17">
        <v>1764.2</v>
      </c>
      <c r="AW41" s="17">
        <v>1387.27</v>
      </c>
      <c r="AX41" s="17">
        <v>9242.15</v>
      </c>
      <c r="AY41" s="19">
        <v>53114.01</v>
      </c>
      <c r="AZ41" s="17">
        <v>566.69000000000005</v>
      </c>
    </row>
    <row r="42" spans="1:52" x14ac:dyDescent="0.25">
      <c r="A42" s="21">
        <f t="shared" si="1"/>
        <v>45338</v>
      </c>
      <c r="B42" t="s">
        <v>622</v>
      </c>
      <c r="C42" s="17">
        <v>5005.57</v>
      </c>
      <c r="D42" s="17">
        <v>2624.73</v>
      </c>
      <c r="E42" s="17">
        <v>4765.6499999999996</v>
      </c>
      <c r="F42" s="17">
        <v>4205.25</v>
      </c>
      <c r="G42" s="9">
        <v>46488660.700000003</v>
      </c>
      <c r="H42" s="17">
        <v>7658.32</v>
      </c>
      <c r="I42" s="17">
        <v>3406.72</v>
      </c>
      <c r="J42" s="17">
        <v>3690.07</v>
      </c>
      <c r="K42" s="17">
        <v>128725.88</v>
      </c>
      <c r="L42" s="17">
        <v>785.36</v>
      </c>
      <c r="M42" s="17">
        <v>21255.61</v>
      </c>
      <c r="N42" s="17">
        <v>31995.79</v>
      </c>
      <c r="O42" s="17" t="e">
        <v>#N/A</v>
      </c>
      <c r="P42" s="17">
        <v>2702.8</v>
      </c>
      <c r="Q42" s="17">
        <v>1489.38</v>
      </c>
      <c r="R42" s="17">
        <v>2599.9499999999998</v>
      </c>
      <c r="S42" s="17">
        <v>9924.4699999999993</v>
      </c>
      <c r="T42" s="17">
        <v>7768.18</v>
      </c>
      <c r="U42" s="17">
        <v>6754.07</v>
      </c>
      <c r="V42" s="17">
        <v>1405.32</v>
      </c>
      <c r="W42" s="17">
        <v>16339.96</v>
      </c>
      <c r="X42" s="17">
        <v>65769.75</v>
      </c>
      <c r="Y42" s="17">
        <v>72426.64</v>
      </c>
      <c r="Z42" s="17">
        <v>7335.55</v>
      </c>
      <c r="AA42" s="17">
        <v>9329.34</v>
      </c>
      <c r="AB42" s="17">
        <v>31732.39</v>
      </c>
      <c r="AC42" s="17">
        <v>1521.44</v>
      </c>
      <c r="AD42" s="17">
        <v>1533.55</v>
      </c>
      <c r="AE42" s="18">
        <v>57132.11</v>
      </c>
      <c r="AF42" s="17">
        <v>1164.46</v>
      </c>
      <c r="AG42" s="17">
        <v>4506.5600000000004</v>
      </c>
      <c r="AH42" s="17">
        <v>105722.78</v>
      </c>
      <c r="AI42" s="17">
        <v>1463.57</v>
      </c>
      <c r="AJ42" s="17">
        <v>6873.23</v>
      </c>
      <c r="AK42" s="17">
        <v>80147.009999999995</v>
      </c>
      <c r="AL42" s="17">
        <v>6199.81</v>
      </c>
      <c r="AM42" s="17">
        <v>15718.39</v>
      </c>
      <c r="AN42" s="17">
        <v>3242.48</v>
      </c>
      <c r="AO42" s="17">
        <v>3221.94</v>
      </c>
      <c r="AP42" s="17">
        <v>313.08</v>
      </c>
      <c r="AQ42" s="17">
        <v>73616.06</v>
      </c>
      <c r="AR42" s="17">
        <v>2648.76</v>
      </c>
      <c r="AS42" s="17">
        <v>975.25</v>
      </c>
      <c r="AT42" s="17">
        <v>911.05</v>
      </c>
      <c r="AU42" s="17">
        <v>18607.25</v>
      </c>
      <c r="AV42" s="17">
        <v>1767.18</v>
      </c>
      <c r="AW42" s="17">
        <v>1386.27</v>
      </c>
      <c r="AX42" s="17">
        <v>9250.36</v>
      </c>
      <c r="AY42" s="19">
        <v>51607.08</v>
      </c>
      <c r="AZ42" s="17">
        <v>566.63</v>
      </c>
    </row>
    <row r="43" spans="1:52" x14ac:dyDescent="0.25">
      <c r="A43" s="21">
        <f t="shared" si="1"/>
        <v>45341</v>
      </c>
      <c r="B43" t="s">
        <v>623</v>
      </c>
      <c r="C43" s="17" t="e">
        <v>#N/A</v>
      </c>
      <c r="D43" s="17">
        <v>2639.69</v>
      </c>
      <c r="E43" s="17">
        <v>4763.07</v>
      </c>
      <c r="F43" s="17">
        <v>4213.95</v>
      </c>
      <c r="G43" s="9">
        <v>46676573.700000003</v>
      </c>
      <c r="H43" s="17">
        <v>7665.1</v>
      </c>
      <c r="I43" s="17">
        <v>3393.62</v>
      </c>
      <c r="J43" s="17">
        <v>3685.02</v>
      </c>
      <c r="K43" s="17">
        <v>129035.74</v>
      </c>
      <c r="L43" s="17">
        <v>781.73</v>
      </c>
      <c r="M43" s="17" t="e">
        <v>#N/A</v>
      </c>
      <c r="N43" s="17">
        <v>32214.33</v>
      </c>
      <c r="O43" s="17">
        <v>2910.54</v>
      </c>
      <c r="P43" s="17">
        <v>2709.57</v>
      </c>
      <c r="Q43" s="17">
        <v>1480.92</v>
      </c>
      <c r="R43" s="17">
        <v>2614.09</v>
      </c>
      <c r="S43" s="17">
        <v>9890.2999999999993</v>
      </c>
      <c r="T43" s="17">
        <v>7768.55</v>
      </c>
      <c r="U43" s="17">
        <v>6744.06</v>
      </c>
      <c r="V43" s="17">
        <v>1422.41</v>
      </c>
      <c r="W43" s="17">
        <v>16155.61</v>
      </c>
      <c r="X43" s="17">
        <v>66000.08</v>
      </c>
      <c r="Y43" s="17">
        <v>72708.160000000003</v>
      </c>
      <c r="Z43" s="17">
        <v>7296.7</v>
      </c>
      <c r="AA43" s="17">
        <v>9428.14</v>
      </c>
      <c r="AB43" s="17">
        <v>31676.05</v>
      </c>
      <c r="AC43" s="17">
        <v>1527.84</v>
      </c>
      <c r="AD43" s="17">
        <v>1538.61</v>
      </c>
      <c r="AE43" s="18">
        <v>57490.05</v>
      </c>
      <c r="AF43" s="17">
        <v>1159.98</v>
      </c>
      <c r="AG43" s="17">
        <v>4479.1899999999996</v>
      </c>
      <c r="AH43" s="17">
        <v>102393.23</v>
      </c>
      <c r="AI43" s="17">
        <v>1468.19</v>
      </c>
      <c r="AJ43" s="17">
        <v>6798.61</v>
      </c>
      <c r="AK43" s="17">
        <v>80827.33</v>
      </c>
      <c r="AL43" s="17">
        <v>6245.96</v>
      </c>
      <c r="AM43" s="17">
        <v>15790.52</v>
      </c>
      <c r="AN43" s="17">
        <v>3244.56</v>
      </c>
      <c r="AO43" s="17">
        <v>3225.91</v>
      </c>
      <c r="AP43" s="17">
        <v>314.08</v>
      </c>
      <c r="AQ43" s="17">
        <v>73580.88</v>
      </c>
      <c r="AR43" s="17">
        <v>2680.26</v>
      </c>
      <c r="AS43" s="17">
        <v>981.09</v>
      </c>
      <c r="AT43" s="17">
        <v>911.27</v>
      </c>
      <c r="AU43" s="17">
        <v>18635.8</v>
      </c>
      <c r="AV43" s="17">
        <v>1771.43</v>
      </c>
      <c r="AW43" s="17">
        <v>1387.33</v>
      </c>
      <c r="AX43" s="17">
        <v>9196.41</v>
      </c>
      <c r="AY43" s="19">
        <v>51535.57</v>
      </c>
      <c r="AZ43" s="17">
        <v>567.01</v>
      </c>
    </row>
    <row r="44" spans="1:52" x14ac:dyDescent="0.25">
      <c r="A44" s="21">
        <f t="shared" si="1"/>
        <v>45342</v>
      </c>
      <c r="B44" t="s">
        <v>624</v>
      </c>
      <c r="C44" s="17">
        <v>4975.51</v>
      </c>
      <c r="D44" s="17">
        <v>2632.3</v>
      </c>
      <c r="E44" s="17">
        <v>4760.28</v>
      </c>
      <c r="F44" s="17">
        <v>4206.04</v>
      </c>
      <c r="G44" s="9">
        <v>46009681.5</v>
      </c>
      <c r="H44" s="17">
        <v>7659.05</v>
      </c>
      <c r="I44" s="17">
        <v>3395.14</v>
      </c>
      <c r="J44" s="17">
        <v>3668.88</v>
      </c>
      <c r="K44" s="17">
        <v>129916.11</v>
      </c>
      <c r="L44" s="17">
        <v>781.07</v>
      </c>
      <c r="M44" s="17">
        <v>21217.53</v>
      </c>
      <c r="N44" s="17">
        <v>32040.14</v>
      </c>
      <c r="O44" s="17">
        <v>2922.73</v>
      </c>
      <c r="P44" s="17">
        <v>2712.69</v>
      </c>
      <c r="Q44" s="17">
        <v>1479.21</v>
      </c>
      <c r="R44" s="17">
        <v>2580.7800000000002</v>
      </c>
      <c r="S44" s="17">
        <v>9888.7999999999993</v>
      </c>
      <c r="T44" s="17">
        <v>7795.22</v>
      </c>
      <c r="U44" s="17">
        <v>6734.73</v>
      </c>
      <c r="V44" s="17">
        <v>1424.35</v>
      </c>
      <c r="W44" s="17">
        <v>16247.51</v>
      </c>
      <c r="X44" s="17">
        <v>65940.94</v>
      </c>
      <c r="Y44" s="17">
        <v>73057.399999999994</v>
      </c>
      <c r="Z44" s="17">
        <v>7352.6</v>
      </c>
      <c r="AA44" s="17">
        <v>9437.5</v>
      </c>
      <c r="AB44" s="17">
        <v>31701.48</v>
      </c>
      <c r="AC44" s="17">
        <v>1533.05</v>
      </c>
      <c r="AD44" s="17">
        <v>1555.59</v>
      </c>
      <c r="AE44" s="18">
        <v>57227.67</v>
      </c>
      <c r="AF44" s="17">
        <v>1147.8900000000001</v>
      </c>
      <c r="AG44" s="17">
        <v>4447.6499999999996</v>
      </c>
      <c r="AH44" s="17">
        <v>101060.67</v>
      </c>
      <c r="AI44" s="17">
        <v>1461.91</v>
      </c>
      <c r="AJ44" s="17">
        <v>6854.66</v>
      </c>
      <c r="AK44" s="17">
        <v>81780.509999999995</v>
      </c>
      <c r="AL44" s="17">
        <v>6226.09</v>
      </c>
      <c r="AM44" s="17">
        <v>15715.6</v>
      </c>
      <c r="AN44" s="17">
        <v>3207.49</v>
      </c>
      <c r="AO44" s="17">
        <v>3244.06</v>
      </c>
      <c r="AP44" s="17">
        <v>313.58</v>
      </c>
      <c r="AQ44" s="17">
        <v>72946.009999999995</v>
      </c>
      <c r="AR44" s="17">
        <v>2657.79</v>
      </c>
      <c r="AS44" s="17">
        <v>989.95</v>
      </c>
      <c r="AT44" s="17">
        <v>909.34</v>
      </c>
      <c r="AU44" s="17">
        <v>18753.16</v>
      </c>
      <c r="AV44" s="17">
        <v>1771.43</v>
      </c>
      <c r="AW44" s="17">
        <v>1381.07</v>
      </c>
      <c r="AX44" s="17">
        <v>9344.9699999999993</v>
      </c>
      <c r="AY44" s="19">
        <v>51268.63</v>
      </c>
      <c r="AZ44" s="17">
        <v>565.24</v>
      </c>
    </row>
    <row r="45" spans="1:52" x14ac:dyDescent="0.25">
      <c r="A45" s="21">
        <f t="shared" si="1"/>
        <v>45343</v>
      </c>
      <c r="B45" t="s">
        <v>625</v>
      </c>
      <c r="C45" s="17">
        <v>4981.8</v>
      </c>
      <c r="D45" s="17">
        <v>2627.3</v>
      </c>
      <c r="E45" s="17">
        <v>4775.3100000000004</v>
      </c>
      <c r="F45" s="17">
        <v>4180.1899999999996</v>
      </c>
      <c r="G45" s="9">
        <v>45062375.799999997</v>
      </c>
      <c r="H45" s="17">
        <v>7608.36</v>
      </c>
      <c r="I45" s="17">
        <v>3404.68</v>
      </c>
      <c r="J45" s="17">
        <v>3677.35</v>
      </c>
      <c r="K45" s="17">
        <v>130031.58</v>
      </c>
      <c r="L45" s="17">
        <v>780.01</v>
      </c>
      <c r="M45" s="17">
        <v>21172.38</v>
      </c>
      <c r="N45" s="17">
        <v>31602.74</v>
      </c>
      <c r="O45" s="17">
        <v>2950.96</v>
      </c>
      <c r="P45" s="17">
        <v>2730.05</v>
      </c>
      <c r="Q45" s="17">
        <v>1487.11</v>
      </c>
      <c r="R45" s="17">
        <v>2556.34</v>
      </c>
      <c r="S45" s="17">
        <v>9904.32</v>
      </c>
      <c r="T45" s="17">
        <v>7812.09</v>
      </c>
      <c r="U45" s="17">
        <v>6754.32</v>
      </c>
      <c r="V45" s="17">
        <v>1420.28</v>
      </c>
      <c r="W45" s="17">
        <v>16503.099999999999</v>
      </c>
      <c r="X45" s="17">
        <v>66344.17</v>
      </c>
      <c r="Y45" s="17">
        <v>72623.09</v>
      </c>
      <c r="Z45" s="17">
        <v>7349.02</v>
      </c>
      <c r="AA45" s="17">
        <v>9513.58</v>
      </c>
      <c r="AB45" s="17">
        <v>32018.400000000001</v>
      </c>
      <c r="AC45" s="17">
        <v>1535.94</v>
      </c>
      <c r="AD45" s="17">
        <v>1552.4</v>
      </c>
      <c r="AE45" s="18">
        <v>57021.03</v>
      </c>
      <c r="AF45" s="17">
        <v>1146.53</v>
      </c>
      <c r="AG45" s="17">
        <v>4455.05</v>
      </c>
      <c r="AH45" s="17">
        <v>101362.38</v>
      </c>
      <c r="AI45" s="17">
        <v>1459.35</v>
      </c>
      <c r="AJ45" s="17">
        <v>6897.36</v>
      </c>
      <c r="AK45" s="17">
        <v>81412.34</v>
      </c>
      <c r="AL45" s="17">
        <v>6250.49</v>
      </c>
      <c r="AM45" s="17">
        <v>15888.48</v>
      </c>
      <c r="AN45" s="17">
        <v>3139.5</v>
      </c>
      <c r="AO45" s="17">
        <v>3217.11</v>
      </c>
      <c r="AP45" s="17">
        <v>313.58</v>
      </c>
      <c r="AQ45" s="17">
        <v>73029.61</v>
      </c>
      <c r="AR45" s="17">
        <v>2653.31</v>
      </c>
      <c r="AS45" s="17">
        <v>996.8</v>
      </c>
      <c r="AT45" s="17">
        <v>908.13</v>
      </c>
      <c r="AU45" s="17">
        <v>18676.310000000001</v>
      </c>
      <c r="AV45" s="17">
        <v>1768.58</v>
      </c>
      <c r="AW45" s="17">
        <v>1393.61</v>
      </c>
      <c r="AX45" s="17">
        <v>9312.1200000000008</v>
      </c>
      <c r="AY45" s="19">
        <v>49772.51</v>
      </c>
      <c r="AZ45" s="17">
        <v>564.91</v>
      </c>
    </row>
    <row r="46" spans="1:52" x14ac:dyDescent="0.25">
      <c r="A46" s="21">
        <f t="shared" si="1"/>
        <v>45344</v>
      </c>
      <c r="B46" t="s">
        <v>626</v>
      </c>
      <c r="C46" s="17">
        <v>5087.03</v>
      </c>
      <c r="D46" s="17">
        <v>2660.71</v>
      </c>
      <c r="E46" s="17">
        <v>4855.3599999999997</v>
      </c>
      <c r="F46" s="17">
        <v>4195.17</v>
      </c>
      <c r="G46" s="9">
        <v>46834226.799999997</v>
      </c>
      <c r="H46" s="17">
        <v>7611.24</v>
      </c>
      <c r="I46" s="17">
        <v>3413.31</v>
      </c>
      <c r="J46" s="17">
        <v>3696.15</v>
      </c>
      <c r="K46" s="17">
        <v>130240.55</v>
      </c>
      <c r="L46" s="17">
        <v>784.84</v>
      </c>
      <c r="M46" s="17">
        <v>21318.080000000002</v>
      </c>
      <c r="N46" s="17">
        <v>31562.17</v>
      </c>
      <c r="O46" s="17">
        <v>2988.36</v>
      </c>
      <c r="P46" s="17">
        <v>2755.56</v>
      </c>
      <c r="Q46" s="17">
        <v>1497.1</v>
      </c>
      <c r="R46" s="17">
        <v>2600.02</v>
      </c>
      <c r="S46" s="17">
        <v>9894.6299999999992</v>
      </c>
      <c r="T46" s="17">
        <v>7911.6</v>
      </c>
      <c r="U46" s="17">
        <v>6853.86</v>
      </c>
      <c r="V46" s="17">
        <v>1419.25</v>
      </c>
      <c r="W46" s="17">
        <v>16742.95</v>
      </c>
      <c r="X46" s="17">
        <v>66185.37</v>
      </c>
      <c r="Y46" s="17">
        <v>73158.240000000005</v>
      </c>
      <c r="Z46" s="17">
        <v>7339.64</v>
      </c>
      <c r="AA46" s="17">
        <v>9562.77</v>
      </c>
      <c r="AB46" s="17">
        <v>32356.26</v>
      </c>
      <c r="AC46" s="17">
        <v>1531.68</v>
      </c>
      <c r="AD46" s="17">
        <v>1545.49</v>
      </c>
      <c r="AE46" s="18">
        <v>57130.84</v>
      </c>
      <c r="AF46" s="17">
        <v>1165.3699999999999</v>
      </c>
      <c r="AG46" s="17">
        <v>4493.3999999999996</v>
      </c>
      <c r="AH46" s="17">
        <v>101239.1</v>
      </c>
      <c r="AI46" s="17">
        <v>1463.65</v>
      </c>
      <c r="AJ46" s="17">
        <v>6903.15</v>
      </c>
      <c r="AK46" s="17">
        <v>82464.52</v>
      </c>
      <c r="AL46" s="17">
        <v>6199.61</v>
      </c>
      <c r="AM46" s="17">
        <v>16013.66</v>
      </c>
      <c r="AN46" s="17">
        <v>3142.3</v>
      </c>
      <c r="AO46" s="17">
        <v>3222.94</v>
      </c>
      <c r="AP46" s="17">
        <v>314.08</v>
      </c>
      <c r="AQ46" s="17">
        <v>74112.740000000005</v>
      </c>
      <c r="AR46" s="17">
        <v>2664.27</v>
      </c>
      <c r="AS46" s="17">
        <v>1000.01</v>
      </c>
      <c r="AT46" s="17">
        <v>914.1</v>
      </c>
      <c r="AU46" s="17">
        <v>18852.78</v>
      </c>
      <c r="AV46" s="17">
        <v>1768.58</v>
      </c>
      <c r="AW46" s="17">
        <v>1402.47</v>
      </c>
      <c r="AX46" s="17">
        <v>9347.17</v>
      </c>
      <c r="AY46" s="19">
        <v>50620.56</v>
      </c>
      <c r="AZ46" s="17">
        <v>573.94000000000005</v>
      </c>
    </row>
    <row r="47" spans="1:52" x14ac:dyDescent="0.25">
      <c r="A47" s="21">
        <f t="shared" si="1"/>
        <v>45345</v>
      </c>
      <c r="B47" t="s">
        <v>627</v>
      </c>
      <c r="C47" s="17">
        <v>5088.8</v>
      </c>
      <c r="D47" s="17" t="e">
        <v>#N/A</v>
      </c>
      <c r="E47" s="17">
        <v>4872.57</v>
      </c>
      <c r="F47" s="17">
        <v>4202.76</v>
      </c>
      <c r="G47" s="9">
        <v>47923410.899999999</v>
      </c>
      <c r="H47" s="17">
        <v>7643.59</v>
      </c>
      <c r="I47" s="17">
        <v>3384.84</v>
      </c>
      <c r="J47" s="17">
        <v>3707.48</v>
      </c>
      <c r="K47" s="17">
        <v>129418.73</v>
      </c>
      <c r="L47" s="17">
        <v>785.45</v>
      </c>
      <c r="M47" s="17">
        <v>21413.15</v>
      </c>
      <c r="N47" s="17">
        <v>31376.07</v>
      </c>
      <c r="O47" s="17">
        <v>3004.88</v>
      </c>
      <c r="P47" s="17">
        <v>2801.96</v>
      </c>
      <c r="Q47" s="17">
        <v>1492.45</v>
      </c>
      <c r="R47" s="17">
        <v>2588.79</v>
      </c>
      <c r="S47" s="17">
        <v>9881.26</v>
      </c>
      <c r="T47" s="17">
        <v>7966.68</v>
      </c>
      <c r="U47" s="17">
        <v>6872.83</v>
      </c>
      <c r="V47" s="17">
        <v>1413.26</v>
      </c>
      <c r="W47" s="17">
        <v>16725.86</v>
      </c>
      <c r="X47" s="17">
        <v>66263.179999999993</v>
      </c>
      <c r="Y47" s="17">
        <v>73142.8</v>
      </c>
      <c r="Z47" s="17">
        <v>7295.1</v>
      </c>
      <c r="AA47" s="17">
        <v>9660.86</v>
      </c>
      <c r="AB47" s="17">
        <v>32700.92</v>
      </c>
      <c r="AC47" s="17">
        <v>1536.69</v>
      </c>
      <c r="AD47" s="17">
        <v>1549.11</v>
      </c>
      <c r="AE47" s="18">
        <v>56659.8</v>
      </c>
      <c r="AF47" s="17">
        <v>1160.8800000000001</v>
      </c>
      <c r="AG47" s="17">
        <v>4504.3500000000004</v>
      </c>
      <c r="AH47" s="17">
        <v>102088.3</v>
      </c>
      <c r="AI47" s="17">
        <v>1460.03</v>
      </c>
      <c r="AJ47" s="17">
        <v>6913.21</v>
      </c>
      <c r="AK47" s="17">
        <v>83265.56</v>
      </c>
      <c r="AL47" s="17">
        <v>6242.11</v>
      </c>
      <c r="AM47" s="17">
        <v>15926.46</v>
      </c>
      <c r="AN47" s="17" t="e">
        <v>#N/A</v>
      </c>
      <c r="AO47" s="17">
        <v>3184.91</v>
      </c>
      <c r="AP47" s="17">
        <v>314.08</v>
      </c>
      <c r="AQ47" s="17">
        <v>74213.39</v>
      </c>
      <c r="AR47" s="17">
        <v>2667.7</v>
      </c>
      <c r="AS47" s="17">
        <v>999.25</v>
      </c>
      <c r="AT47" s="17">
        <v>916.99</v>
      </c>
      <c r="AU47" s="17">
        <v>18889.189999999999</v>
      </c>
      <c r="AV47" s="17">
        <v>1765.96</v>
      </c>
      <c r="AW47" s="17">
        <v>1398.14</v>
      </c>
      <c r="AX47" s="17">
        <v>9374.2000000000007</v>
      </c>
      <c r="AY47" s="19">
        <v>50807.87</v>
      </c>
      <c r="AZ47" s="17">
        <v>574.63</v>
      </c>
    </row>
    <row r="48" spans="1:52" x14ac:dyDescent="0.25">
      <c r="A48" s="21">
        <f t="shared" si="1"/>
        <v>45348</v>
      </c>
      <c r="B48" t="s">
        <v>628</v>
      </c>
      <c r="C48" s="17">
        <v>5069.53</v>
      </c>
      <c r="D48" s="17">
        <v>2673.62</v>
      </c>
      <c r="E48" s="17">
        <v>4864.29</v>
      </c>
      <c r="F48" s="17">
        <v>4190.8</v>
      </c>
      <c r="G48" s="9">
        <v>46807648.799999997</v>
      </c>
      <c r="H48" s="17">
        <v>7652.84</v>
      </c>
      <c r="I48" s="17">
        <v>3375.95</v>
      </c>
      <c r="J48" s="17">
        <v>3685.19</v>
      </c>
      <c r="K48" s="17">
        <v>129609.05</v>
      </c>
      <c r="L48" s="17">
        <v>785.07</v>
      </c>
      <c r="M48" s="17">
        <v>21324.31</v>
      </c>
      <c r="N48" s="17">
        <v>31451.94</v>
      </c>
      <c r="O48" s="17">
        <v>2977.02</v>
      </c>
      <c r="P48" s="17">
        <v>2803.49</v>
      </c>
      <c r="Q48" s="17">
        <v>1489.56</v>
      </c>
      <c r="R48" s="17">
        <v>2578.09</v>
      </c>
      <c r="S48" s="17">
        <v>9827.35</v>
      </c>
      <c r="T48" s="17">
        <v>7929.82</v>
      </c>
      <c r="U48" s="17">
        <v>6871.87</v>
      </c>
      <c r="V48" s="17">
        <v>1414.51</v>
      </c>
      <c r="W48" s="17">
        <v>16634.740000000002</v>
      </c>
      <c r="X48" s="17">
        <v>66038.2</v>
      </c>
      <c r="Y48" s="17">
        <v>72790.13</v>
      </c>
      <c r="Z48" s="17">
        <v>7283.82</v>
      </c>
      <c r="AA48" s="17">
        <v>9454.75</v>
      </c>
      <c r="AB48" s="17">
        <v>32557.81</v>
      </c>
      <c r="AC48" s="17">
        <v>1544.68</v>
      </c>
      <c r="AD48" s="17">
        <v>1547.6</v>
      </c>
      <c r="AE48" s="18">
        <v>56194.720000000001</v>
      </c>
      <c r="AF48" s="17">
        <v>1157.46</v>
      </c>
      <c r="AG48" s="17">
        <v>4496.28</v>
      </c>
      <c r="AH48" s="17">
        <v>101995.53</v>
      </c>
      <c r="AI48" s="17">
        <v>1460.46</v>
      </c>
      <c r="AJ48" s="17">
        <v>6891.49</v>
      </c>
      <c r="AK48" s="17">
        <v>83116.289999999994</v>
      </c>
      <c r="AL48" s="17">
        <v>6179.67</v>
      </c>
      <c r="AM48" s="17">
        <v>16011.7</v>
      </c>
      <c r="AN48" s="17">
        <v>3213.17</v>
      </c>
      <c r="AO48" s="17">
        <v>3171.12</v>
      </c>
      <c r="AP48" s="17">
        <v>314.08</v>
      </c>
      <c r="AQ48" s="17">
        <v>73621.240000000005</v>
      </c>
      <c r="AR48" s="17">
        <v>2647.08</v>
      </c>
      <c r="AS48" s="17">
        <v>999.83</v>
      </c>
      <c r="AT48" s="17">
        <v>917.29</v>
      </c>
      <c r="AU48" s="17">
        <v>18948.05</v>
      </c>
      <c r="AV48" s="17">
        <v>1772.1</v>
      </c>
      <c r="AW48" s="17" t="e">
        <v>#N/A</v>
      </c>
      <c r="AX48" s="17">
        <v>9334.1299999999992</v>
      </c>
      <c r="AY48" s="19">
        <v>49461.59</v>
      </c>
      <c r="AZ48" s="17">
        <v>573.25</v>
      </c>
    </row>
    <row r="49" spans="1:52" x14ac:dyDescent="0.25">
      <c r="A49" s="21">
        <f t="shared" si="1"/>
        <v>45349</v>
      </c>
      <c r="B49" t="s">
        <v>629</v>
      </c>
      <c r="C49" s="17">
        <v>5078.18</v>
      </c>
      <c r="D49" s="17">
        <v>2678.46</v>
      </c>
      <c r="E49" s="17">
        <v>4885.74</v>
      </c>
      <c r="F49" s="17">
        <v>4191.43</v>
      </c>
      <c r="G49" s="9">
        <v>44733691.899999999</v>
      </c>
      <c r="H49" s="17">
        <v>7663.01</v>
      </c>
      <c r="I49" s="17">
        <v>3396.57</v>
      </c>
      <c r="J49" s="17">
        <v>3696.65</v>
      </c>
      <c r="K49" s="17">
        <v>131689.37</v>
      </c>
      <c r="L49" s="17">
        <v>783.41</v>
      </c>
      <c r="M49" s="17">
        <v>21318.9</v>
      </c>
      <c r="N49" s="17">
        <v>31990.55</v>
      </c>
      <c r="O49" s="17">
        <v>3015.48</v>
      </c>
      <c r="P49" s="17">
        <v>2790.48</v>
      </c>
      <c r="Q49" s="17">
        <v>1480</v>
      </c>
      <c r="R49" s="17">
        <v>2557.4699999999998</v>
      </c>
      <c r="S49" s="17">
        <v>9894.42</v>
      </c>
      <c r="T49" s="17">
        <v>7948.4</v>
      </c>
      <c r="U49" s="17">
        <v>6924.31</v>
      </c>
      <c r="V49" s="17">
        <v>1411.98</v>
      </c>
      <c r="W49" s="17">
        <v>16790.8</v>
      </c>
      <c r="X49" s="17">
        <v>65541.56</v>
      </c>
      <c r="Y49" s="17">
        <v>73095.22</v>
      </c>
      <c r="Z49" s="17">
        <v>7285.32</v>
      </c>
      <c r="AA49" s="17">
        <v>9495.06</v>
      </c>
      <c r="AB49" s="17">
        <v>32706.44</v>
      </c>
      <c r="AC49" s="17">
        <v>1540.23</v>
      </c>
      <c r="AD49" s="17">
        <v>1558.8</v>
      </c>
      <c r="AE49" s="18">
        <v>56241.03</v>
      </c>
      <c r="AF49" s="17">
        <v>1159.49</v>
      </c>
      <c r="AG49" s="17">
        <v>4490.41</v>
      </c>
      <c r="AH49" s="17">
        <v>100582.89</v>
      </c>
      <c r="AI49" s="17">
        <v>1456.91</v>
      </c>
      <c r="AJ49" s="17">
        <v>6860.67</v>
      </c>
      <c r="AK49" s="17">
        <v>83007.320000000007</v>
      </c>
      <c r="AL49" s="17">
        <v>6220.07</v>
      </c>
      <c r="AM49" s="17">
        <v>15818.35</v>
      </c>
      <c r="AN49" s="17">
        <v>3208.99</v>
      </c>
      <c r="AO49" s="17">
        <v>3157.32</v>
      </c>
      <c r="AP49" s="17">
        <v>311.58999999999997</v>
      </c>
      <c r="AQ49" s="17">
        <v>73142.11</v>
      </c>
      <c r="AR49" s="17">
        <v>2625.05</v>
      </c>
      <c r="AS49" s="17">
        <v>997.91</v>
      </c>
      <c r="AT49" s="17">
        <v>919.39</v>
      </c>
      <c r="AU49" s="17">
        <v>18854.41</v>
      </c>
      <c r="AV49" s="17">
        <v>1770.94</v>
      </c>
      <c r="AW49" s="17">
        <v>1393.7</v>
      </c>
      <c r="AX49" s="17">
        <v>9179.48</v>
      </c>
      <c r="AY49" s="19">
        <v>49769.94</v>
      </c>
      <c r="AZ49" s="17">
        <v>574.53</v>
      </c>
    </row>
    <row r="50" spans="1:52" x14ac:dyDescent="0.25">
      <c r="A50" s="21">
        <f t="shared" si="1"/>
        <v>45350</v>
      </c>
      <c r="B50" t="s">
        <v>630</v>
      </c>
      <c r="C50" s="17">
        <v>5069.76</v>
      </c>
      <c r="D50" s="17">
        <v>2674.95</v>
      </c>
      <c r="E50" s="17">
        <v>4883.7700000000004</v>
      </c>
      <c r="F50" s="17">
        <v>4159.57</v>
      </c>
      <c r="G50" s="9">
        <v>43080054</v>
      </c>
      <c r="H50" s="17">
        <v>7660.42</v>
      </c>
      <c r="I50" s="17">
        <v>3388.73</v>
      </c>
      <c r="J50" s="17">
        <v>3700.02</v>
      </c>
      <c r="K50" s="17">
        <v>130155.43</v>
      </c>
      <c r="L50" s="17">
        <v>784.03</v>
      </c>
      <c r="M50" s="17">
        <v>21243.77</v>
      </c>
      <c r="N50" s="17">
        <v>32123.63</v>
      </c>
      <c r="O50" s="17">
        <v>2957.85</v>
      </c>
      <c r="P50" s="17">
        <v>2768.98</v>
      </c>
      <c r="Q50" s="17">
        <v>1479.13</v>
      </c>
      <c r="R50" s="17">
        <v>2552.36</v>
      </c>
      <c r="S50" s="17">
        <v>9894.1</v>
      </c>
      <c r="T50" s="17">
        <v>7954.39</v>
      </c>
      <c r="U50" s="17">
        <v>6941.74</v>
      </c>
      <c r="V50" s="17">
        <v>1407.74</v>
      </c>
      <c r="W50" s="17">
        <v>16536.849999999999</v>
      </c>
      <c r="X50" s="17">
        <v>66080.19</v>
      </c>
      <c r="Y50" s="17">
        <v>72304.88</v>
      </c>
      <c r="Z50" s="17">
        <v>7328.64</v>
      </c>
      <c r="AA50" s="17">
        <v>9530.01</v>
      </c>
      <c r="AB50" s="17">
        <v>32617.96</v>
      </c>
      <c r="AC50" s="17">
        <v>1544.56</v>
      </c>
      <c r="AD50" s="17">
        <v>1545.59</v>
      </c>
      <c r="AE50" s="18">
        <v>55350.61</v>
      </c>
      <c r="AF50" s="17">
        <v>1151.07</v>
      </c>
      <c r="AG50" s="17">
        <v>4516.6099999999997</v>
      </c>
      <c r="AH50" s="17">
        <v>99266.02</v>
      </c>
      <c r="AI50" s="17">
        <v>1463.01</v>
      </c>
      <c r="AJ50" s="17">
        <v>6876.52</v>
      </c>
      <c r="AK50" s="17">
        <v>81661.42</v>
      </c>
      <c r="AL50" s="17">
        <v>6192.9</v>
      </c>
      <c r="AM50" s="17">
        <v>15874.35</v>
      </c>
      <c r="AN50" s="17">
        <v>3227.05</v>
      </c>
      <c r="AO50" s="17">
        <v>3138.93</v>
      </c>
      <c r="AP50" s="17">
        <v>311.58999999999997</v>
      </c>
      <c r="AQ50" s="17">
        <v>72204.53</v>
      </c>
      <c r="AR50" s="17">
        <v>2652.29</v>
      </c>
      <c r="AS50" s="17">
        <v>994.17</v>
      </c>
      <c r="AT50" s="17">
        <v>919.32</v>
      </c>
      <c r="AU50" s="17" t="e">
        <v>#N/A</v>
      </c>
      <c r="AV50" s="17">
        <v>1770.94</v>
      </c>
      <c r="AW50" s="17">
        <v>1382.05</v>
      </c>
      <c r="AX50" s="17">
        <v>9062.36</v>
      </c>
      <c r="AY50" s="19">
        <v>49247.9</v>
      </c>
      <c r="AZ50" s="17">
        <v>572.54</v>
      </c>
    </row>
    <row r="51" spans="1:52" x14ac:dyDescent="0.25">
      <c r="A51" s="21">
        <f t="shared" si="1"/>
        <v>45351</v>
      </c>
      <c r="B51" t="s">
        <v>631</v>
      </c>
      <c r="C51" s="17">
        <v>5096.2700000000004</v>
      </c>
      <c r="D51" s="17">
        <v>2675.73</v>
      </c>
      <c r="E51" s="17">
        <v>4877.7700000000004</v>
      </c>
      <c r="F51" s="17">
        <v>4163.21</v>
      </c>
      <c r="G51" s="9">
        <v>43738360.399999999</v>
      </c>
      <c r="H51" s="17">
        <v>7698.7</v>
      </c>
      <c r="I51" s="17">
        <v>3348.13</v>
      </c>
      <c r="J51" s="17">
        <v>3661.42</v>
      </c>
      <c r="K51" s="17">
        <v>129020.02</v>
      </c>
      <c r="L51" s="17">
        <v>788.42</v>
      </c>
      <c r="M51" s="17">
        <v>21363.61</v>
      </c>
      <c r="N51" s="17">
        <v>32664.63</v>
      </c>
      <c r="O51" s="17">
        <v>3015.17</v>
      </c>
      <c r="P51" s="17">
        <v>2727.54</v>
      </c>
      <c r="Q51" s="17">
        <v>1457.17</v>
      </c>
      <c r="R51" s="17">
        <v>2534.15</v>
      </c>
      <c r="S51" s="17">
        <v>9839.5300000000007</v>
      </c>
      <c r="T51" s="17">
        <v>7927.43</v>
      </c>
      <c r="U51" s="17">
        <v>6971.85</v>
      </c>
      <c r="V51" s="17">
        <v>1424.77</v>
      </c>
      <c r="W51" s="17">
        <v>16511.439999999999</v>
      </c>
      <c r="X51" s="17">
        <v>65938.649999999994</v>
      </c>
      <c r="Y51" s="17">
        <v>72500.3</v>
      </c>
      <c r="Z51" s="17">
        <v>7316.11</v>
      </c>
      <c r="AA51" s="17">
        <v>9489.67</v>
      </c>
      <c r="AB51" s="17">
        <v>32580.94</v>
      </c>
      <c r="AC51" s="17">
        <v>1535.89</v>
      </c>
      <c r="AD51" s="17">
        <v>1551.44</v>
      </c>
      <c r="AE51" s="18">
        <v>55414</v>
      </c>
      <c r="AF51" s="17">
        <v>1152.47</v>
      </c>
      <c r="AG51" s="17">
        <v>4503.83</v>
      </c>
      <c r="AH51" s="17">
        <v>99980.3</v>
      </c>
      <c r="AI51" s="17">
        <v>1463.93</v>
      </c>
      <c r="AJ51" s="17">
        <v>6944.71</v>
      </c>
      <c r="AK51" s="17">
        <v>81944.56</v>
      </c>
      <c r="AL51" s="17">
        <v>6157.96</v>
      </c>
      <c r="AM51" s="17">
        <v>15891.07</v>
      </c>
      <c r="AN51" s="17">
        <v>3256.8</v>
      </c>
      <c r="AO51" s="17">
        <v>3141.85</v>
      </c>
      <c r="AP51" s="17">
        <v>310.10000000000002</v>
      </c>
      <c r="AQ51" s="17">
        <v>72729.73</v>
      </c>
      <c r="AR51" s="17">
        <v>2642.36</v>
      </c>
      <c r="AS51" s="17">
        <v>986.69</v>
      </c>
      <c r="AT51" s="17">
        <v>922.24</v>
      </c>
      <c r="AU51" s="17">
        <v>18966.77</v>
      </c>
      <c r="AV51" s="17">
        <v>1770.94</v>
      </c>
      <c r="AW51" s="17">
        <v>1370.67</v>
      </c>
      <c r="AX51" s="17">
        <v>9193.69</v>
      </c>
      <c r="AY51" s="19">
        <v>49444.03</v>
      </c>
      <c r="AZ51" s="17">
        <v>575.01</v>
      </c>
    </row>
    <row r="52" spans="1:52" x14ac:dyDescent="0.25">
      <c r="A52" s="21">
        <f t="shared" si="1"/>
        <v>45352</v>
      </c>
      <c r="B52" t="s">
        <v>632</v>
      </c>
      <c r="C52" s="17">
        <v>5137.08</v>
      </c>
      <c r="D52" s="17">
        <v>2709.42</v>
      </c>
      <c r="E52" s="17">
        <v>4894.8599999999997</v>
      </c>
      <c r="F52" s="17">
        <v>4197.12</v>
      </c>
      <c r="G52" s="9">
        <v>45535674</v>
      </c>
      <c r="H52" s="17">
        <v>7745.61</v>
      </c>
      <c r="I52" s="17">
        <v>3378.58</v>
      </c>
      <c r="J52" s="17">
        <v>3698.82</v>
      </c>
      <c r="K52" s="17">
        <v>129180.37</v>
      </c>
      <c r="L52" s="17">
        <v>793.16</v>
      </c>
      <c r="M52" s="17">
        <v>21552.35</v>
      </c>
      <c r="N52" s="17">
        <v>32844.99</v>
      </c>
      <c r="O52" s="17">
        <v>3027.02</v>
      </c>
      <c r="P52" s="17">
        <v>2760.46</v>
      </c>
      <c r="Q52" s="17">
        <v>1460.6</v>
      </c>
      <c r="R52" s="17">
        <v>2605.63</v>
      </c>
      <c r="S52" s="17">
        <v>9849.6200000000008</v>
      </c>
      <c r="T52" s="17">
        <v>7934.17</v>
      </c>
      <c r="U52" s="17">
        <v>6994.48</v>
      </c>
      <c r="V52" s="17">
        <v>1422.75</v>
      </c>
      <c r="W52" s="17">
        <v>16589.439999999999</v>
      </c>
      <c r="X52" s="17">
        <v>66169.03</v>
      </c>
      <c r="Y52" s="17">
        <v>73745.350000000006</v>
      </c>
      <c r="Z52" s="17">
        <v>7311.91</v>
      </c>
      <c r="AA52" s="17">
        <v>9521.49</v>
      </c>
      <c r="AB52" s="17">
        <v>32934.29</v>
      </c>
      <c r="AC52" s="17">
        <v>1539.22</v>
      </c>
      <c r="AD52" s="17">
        <v>1538.02</v>
      </c>
      <c r="AE52" s="18">
        <v>55536.32</v>
      </c>
      <c r="AF52" s="17">
        <v>1160.53</v>
      </c>
      <c r="AG52" s="17">
        <v>4504.4799999999996</v>
      </c>
      <c r="AH52" s="17">
        <v>98751.98</v>
      </c>
      <c r="AI52" s="17">
        <v>1474.5</v>
      </c>
      <c r="AJ52" s="17">
        <v>6919.59</v>
      </c>
      <c r="AK52" s="17">
        <v>82172.36</v>
      </c>
      <c r="AL52" s="17">
        <v>6199.59</v>
      </c>
      <c r="AM52" s="17">
        <v>16009.52</v>
      </c>
      <c r="AN52" s="17">
        <v>3266.66</v>
      </c>
      <c r="AO52" s="17">
        <v>3135.76</v>
      </c>
      <c r="AP52" s="17">
        <v>310.10000000000002</v>
      </c>
      <c r="AQ52" s="17">
        <v>72775.490000000005</v>
      </c>
      <c r="AR52" s="17" t="e">
        <v>#N/A</v>
      </c>
      <c r="AS52" s="17">
        <v>993.52</v>
      </c>
      <c r="AT52" s="17">
        <v>929.79</v>
      </c>
      <c r="AU52" s="17">
        <v>18935.93</v>
      </c>
      <c r="AV52" s="17">
        <v>1770.2</v>
      </c>
      <c r="AW52" s="17">
        <v>1367.42</v>
      </c>
      <c r="AX52" s="17">
        <v>9097.15</v>
      </c>
      <c r="AY52" s="19">
        <v>49196.7</v>
      </c>
      <c r="AZ52" s="17">
        <v>579.32000000000005</v>
      </c>
    </row>
    <row r="53" spans="1:52" x14ac:dyDescent="0.25">
      <c r="A53" s="21">
        <f t="shared" si="1"/>
        <v>45355</v>
      </c>
      <c r="B53" t="s">
        <v>633</v>
      </c>
      <c r="C53" s="17">
        <v>5130.95</v>
      </c>
      <c r="D53" s="17">
        <v>2706.28</v>
      </c>
      <c r="E53" s="17">
        <v>4912.92</v>
      </c>
      <c r="F53" s="17">
        <v>4174.28</v>
      </c>
      <c r="G53" s="9">
        <v>45478961.899999999</v>
      </c>
      <c r="H53" s="17">
        <v>7735.79</v>
      </c>
      <c r="I53" s="17">
        <v>3371.78</v>
      </c>
      <c r="J53" s="17">
        <v>3672.25</v>
      </c>
      <c r="K53" s="17">
        <v>128340.54</v>
      </c>
      <c r="L53" s="17" t="e">
        <v>#N/A</v>
      </c>
      <c r="M53" s="17">
        <v>21531.07</v>
      </c>
      <c r="N53" s="17">
        <v>32147.200000000001</v>
      </c>
      <c r="O53" s="17">
        <v>3039.31</v>
      </c>
      <c r="P53" s="17">
        <v>2771.7</v>
      </c>
      <c r="Q53" s="17">
        <v>1447.5</v>
      </c>
      <c r="R53" s="17">
        <v>2653.22</v>
      </c>
      <c r="S53" s="17">
        <v>9779.74</v>
      </c>
      <c r="T53" s="17">
        <v>7956.41</v>
      </c>
      <c r="U53" s="17">
        <v>6987.05</v>
      </c>
      <c r="V53" s="17">
        <v>1434.87</v>
      </c>
      <c r="W53" s="17">
        <v>16595.97</v>
      </c>
      <c r="X53" s="17">
        <v>66319.5</v>
      </c>
      <c r="Y53" s="17">
        <v>73872.289999999994</v>
      </c>
      <c r="Z53" s="17">
        <v>7276.75</v>
      </c>
      <c r="AA53" s="17">
        <v>9535.5</v>
      </c>
      <c r="AB53" s="17">
        <v>32912.339999999997</v>
      </c>
      <c r="AC53" s="17">
        <v>1548.28</v>
      </c>
      <c r="AD53" s="17">
        <v>1539.27</v>
      </c>
      <c r="AE53" s="18">
        <v>55462.49</v>
      </c>
      <c r="AF53" s="17">
        <v>1164.1500000000001</v>
      </c>
      <c r="AG53" s="17">
        <v>4496.1099999999997</v>
      </c>
      <c r="AH53" s="17">
        <v>98847.89</v>
      </c>
      <c r="AI53" s="17">
        <v>1468.63</v>
      </c>
      <c r="AJ53" s="17">
        <v>6951.67</v>
      </c>
      <c r="AK53" s="17">
        <v>81264.27</v>
      </c>
      <c r="AL53" s="17">
        <v>6175.64</v>
      </c>
      <c r="AM53" s="17">
        <v>16129.36</v>
      </c>
      <c r="AN53" s="17">
        <v>3296.75</v>
      </c>
      <c r="AO53" s="17">
        <v>3122.21</v>
      </c>
      <c r="AP53" s="17">
        <v>310.60000000000002</v>
      </c>
      <c r="AQ53" s="17">
        <v>72633.149999999994</v>
      </c>
      <c r="AR53" s="17">
        <v>2674.27</v>
      </c>
      <c r="AS53" s="17">
        <v>993.52</v>
      </c>
      <c r="AT53" s="17">
        <v>925.2</v>
      </c>
      <c r="AU53" s="17">
        <v>19305.310000000001</v>
      </c>
      <c r="AV53" s="17">
        <v>1773.33</v>
      </c>
      <c r="AW53" s="17">
        <v>1362.57</v>
      </c>
      <c r="AX53" s="17">
        <v>8907.65</v>
      </c>
      <c r="AY53" s="19">
        <v>48873.58</v>
      </c>
      <c r="AZ53" s="17">
        <v>579.35</v>
      </c>
    </row>
    <row r="54" spans="1:52" x14ac:dyDescent="0.25">
      <c r="A54" s="21">
        <f t="shared" si="1"/>
        <v>45356</v>
      </c>
      <c r="B54" t="s">
        <v>634</v>
      </c>
      <c r="C54" s="17">
        <v>5078.6499999999996</v>
      </c>
      <c r="D54" s="17">
        <v>2719.93</v>
      </c>
      <c r="E54" s="17">
        <v>4893.07</v>
      </c>
      <c r="F54" s="17">
        <v>4177.42</v>
      </c>
      <c r="G54" s="9">
        <v>43160889.100000001</v>
      </c>
      <c r="H54" s="17">
        <v>7724.2</v>
      </c>
      <c r="I54" s="17">
        <v>3370.51</v>
      </c>
      <c r="J54" s="17">
        <v>3663.6</v>
      </c>
      <c r="K54" s="17">
        <v>128098.11</v>
      </c>
      <c r="L54" s="17">
        <v>794.35</v>
      </c>
      <c r="M54" s="17">
        <v>21525.93</v>
      </c>
      <c r="N54" s="17">
        <v>31750.74</v>
      </c>
      <c r="O54" s="17">
        <v>3047.79</v>
      </c>
      <c r="P54" s="17">
        <v>2775.42</v>
      </c>
      <c r="Q54" s="17">
        <v>1457.93</v>
      </c>
      <c r="R54" s="17">
        <v>2600.2600000000002</v>
      </c>
      <c r="S54" s="17">
        <v>9731.3700000000008</v>
      </c>
      <c r="T54" s="17">
        <v>7932.82</v>
      </c>
      <c r="U54" s="17">
        <v>6980.34</v>
      </c>
      <c r="V54" s="17">
        <v>1430.94</v>
      </c>
      <c r="W54" s="17">
        <v>16162.64</v>
      </c>
      <c r="X54" s="17">
        <v>65840.02</v>
      </c>
      <c r="Y54" s="17">
        <v>73677.13</v>
      </c>
      <c r="Z54" s="17">
        <v>7247.46</v>
      </c>
      <c r="AA54" s="17">
        <v>9509.9500000000007</v>
      </c>
      <c r="AB54" s="17">
        <v>33146.160000000003</v>
      </c>
      <c r="AC54" s="17">
        <v>1545.08</v>
      </c>
      <c r="AD54" s="17">
        <v>1536.98</v>
      </c>
      <c r="AE54" s="18">
        <v>55476.25</v>
      </c>
      <c r="AF54" s="17">
        <v>1155.4000000000001</v>
      </c>
      <c r="AG54" s="17">
        <v>4506.1499999999996</v>
      </c>
      <c r="AH54" s="17">
        <v>99190.46</v>
      </c>
      <c r="AI54" s="17">
        <v>1477.08</v>
      </c>
      <c r="AJ54" s="17">
        <v>6905.46</v>
      </c>
      <c r="AK54" s="17">
        <v>80537.55</v>
      </c>
      <c r="AL54" s="17">
        <v>6187.35</v>
      </c>
      <c r="AM54" s="17">
        <v>16204.68</v>
      </c>
      <c r="AN54" s="17">
        <v>3300.89</v>
      </c>
      <c r="AO54" s="17">
        <v>3107.1</v>
      </c>
      <c r="AP54" s="17">
        <v>309.11</v>
      </c>
      <c r="AQ54" s="17">
        <v>72241.72</v>
      </c>
      <c r="AR54" s="17">
        <v>2649.4</v>
      </c>
      <c r="AS54" s="17">
        <v>998.39</v>
      </c>
      <c r="AT54" s="17">
        <v>918.8</v>
      </c>
      <c r="AU54" s="17">
        <v>19386.919999999998</v>
      </c>
      <c r="AV54" s="17">
        <v>1767.74</v>
      </c>
      <c r="AW54" s="17">
        <v>1359.26</v>
      </c>
      <c r="AX54" s="17">
        <v>8860.52</v>
      </c>
      <c r="AY54" s="19">
        <v>47998.11</v>
      </c>
      <c r="AZ54" s="17">
        <v>575.23</v>
      </c>
    </row>
    <row r="55" spans="1:52" x14ac:dyDescent="0.25">
      <c r="A55" s="21">
        <f t="shared" si="1"/>
        <v>45357</v>
      </c>
      <c r="B55" t="s">
        <v>635</v>
      </c>
      <c r="C55" s="17">
        <v>5104.76</v>
      </c>
      <c r="D55" s="17">
        <v>2730.67</v>
      </c>
      <c r="E55" s="17">
        <v>4915.49</v>
      </c>
      <c r="F55" s="17">
        <v>4199.1499999999996</v>
      </c>
      <c r="G55" s="9">
        <v>43267086.799999997</v>
      </c>
      <c r="H55" s="17">
        <v>7733.54</v>
      </c>
      <c r="I55" s="17">
        <v>3390.45</v>
      </c>
      <c r="J55" s="17">
        <v>3695.03</v>
      </c>
      <c r="K55" s="17">
        <v>128890.23</v>
      </c>
      <c r="L55" s="17">
        <v>800.72</v>
      </c>
      <c r="M55" s="17">
        <v>21593.96</v>
      </c>
      <c r="N55" s="17">
        <v>32175.42</v>
      </c>
      <c r="O55" s="17">
        <v>3039.93</v>
      </c>
      <c r="P55" s="17">
        <v>2766.21</v>
      </c>
      <c r="Q55" s="17">
        <v>1461.51</v>
      </c>
      <c r="R55" s="17">
        <v>2591.15</v>
      </c>
      <c r="S55" s="17">
        <v>9739.9599999999991</v>
      </c>
      <c r="T55" s="17">
        <v>7954.74</v>
      </c>
      <c r="U55" s="17">
        <v>6987.37</v>
      </c>
      <c r="V55" s="17">
        <v>1433.04</v>
      </c>
      <c r="W55" s="17">
        <v>16438.09</v>
      </c>
      <c r="X55" s="17">
        <v>65986.52</v>
      </c>
      <c r="Y55" s="17">
        <v>74085.990000000005</v>
      </c>
      <c r="Z55" s="17">
        <v>7329.8</v>
      </c>
      <c r="AA55" s="17">
        <v>9633.35</v>
      </c>
      <c r="AB55" s="17">
        <v>33363.839999999997</v>
      </c>
      <c r="AC55" s="17">
        <v>1551.08</v>
      </c>
      <c r="AD55" s="17">
        <v>1531.51</v>
      </c>
      <c r="AE55" s="18">
        <v>55284.51</v>
      </c>
      <c r="AF55" s="17">
        <v>1163.5999999999999</v>
      </c>
      <c r="AG55" s="17">
        <v>4520.6000000000004</v>
      </c>
      <c r="AH55" s="17">
        <v>99591.64</v>
      </c>
      <c r="AI55" s="17">
        <v>1477.02</v>
      </c>
      <c r="AJ55" s="17">
        <v>6878.54</v>
      </c>
      <c r="AK55" s="17">
        <v>80742.03</v>
      </c>
      <c r="AL55" s="17">
        <v>6203.64</v>
      </c>
      <c r="AM55" s="17">
        <v>16239.24</v>
      </c>
      <c r="AN55" s="17">
        <v>3310.58</v>
      </c>
      <c r="AO55" s="17">
        <v>3136.14</v>
      </c>
      <c r="AP55" s="17">
        <v>309.11</v>
      </c>
      <c r="AQ55" s="17">
        <v>73578.179999999993</v>
      </c>
      <c r="AR55" s="17">
        <v>2641.49</v>
      </c>
      <c r="AS55" s="17">
        <v>1006.13</v>
      </c>
      <c r="AT55" s="17">
        <v>925.98</v>
      </c>
      <c r="AU55" s="17">
        <v>19499.45</v>
      </c>
      <c r="AV55" s="17">
        <v>1767.05</v>
      </c>
      <c r="AW55" s="17">
        <v>1370.55</v>
      </c>
      <c r="AX55" s="17">
        <v>8744.58</v>
      </c>
      <c r="AY55" s="19">
        <v>50095.08</v>
      </c>
      <c r="AZ55" s="17">
        <v>578.70000000000005</v>
      </c>
    </row>
    <row r="56" spans="1:52" x14ac:dyDescent="0.25">
      <c r="A56" s="21">
        <f t="shared" si="1"/>
        <v>45358</v>
      </c>
      <c r="B56" t="s">
        <v>636</v>
      </c>
      <c r="C56" s="17">
        <v>5157.3599999999997</v>
      </c>
      <c r="D56" s="17">
        <v>2718.54</v>
      </c>
      <c r="E56" s="17">
        <v>4974.22</v>
      </c>
      <c r="F56" s="17">
        <v>4208.82</v>
      </c>
      <c r="G56" s="9">
        <v>42887214.200000003</v>
      </c>
      <c r="H56" s="17">
        <v>7763.71</v>
      </c>
      <c r="I56" s="17">
        <v>3386</v>
      </c>
      <c r="J56" s="17">
        <v>3718.28</v>
      </c>
      <c r="K56" s="17">
        <v>128339.76</v>
      </c>
      <c r="L56" s="17">
        <v>797.24</v>
      </c>
      <c r="M56" s="17">
        <v>21794.560000000001</v>
      </c>
      <c r="N56" s="17">
        <v>32233.5</v>
      </c>
      <c r="O56" s="17">
        <v>3027.4</v>
      </c>
      <c r="P56" s="17">
        <v>2762.87</v>
      </c>
      <c r="Q56" s="17">
        <v>1468.4</v>
      </c>
      <c r="R56" s="17">
        <v>2738.69</v>
      </c>
      <c r="S56" s="17">
        <v>9816.43</v>
      </c>
      <c r="T56" s="17">
        <v>8016.22</v>
      </c>
      <c r="U56" s="17">
        <v>7037.03</v>
      </c>
      <c r="V56" s="17">
        <v>1425.44</v>
      </c>
      <c r="W56" s="17">
        <v>16229.78</v>
      </c>
      <c r="X56" s="17">
        <v>66201.33</v>
      </c>
      <c r="Y56" s="17">
        <v>74119.39</v>
      </c>
      <c r="Z56" s="17">
        <v>7373.96</v>
      </c>
      <c r="AA56" s="17">
        <v>9661.5</v>
      </c>
      <c r="AB56" s="17">
        <v>33418.68</v>
      </c>
      <c r="AC56" s="17">
        <v>1545.83</v>
      </c>
      <c r="AD56" s="17">
        <v>1535.83</v>
      </c>
      <c r="AE56" s="18">
        <v>55049.49</v>
      </c>
      <c r="AF56" s="17">
        <v>1181.44</v>
      </c>
      <c r="AG56" s="17">
        <v>4519.1000000000004</v>
      </c>
      <c r="AH56" s="17">
        <v>100335.3</v>
      </c>
      <c r="AI56" s="17">
        <v>1474.58</v>
      </c>
      <c r="AJ56" s="17">
        <v>6837.34</v>
      </c>
      <c r="AK56" s="17">
        <v>79879.199999999997</v>
      </c>
      <c r="AL56" s="17">
        <v>6192.75</v>
      </c>
      <c r="AM56" s="17">
        <v>16228.56</v>
      </c>
      <c r="AN56" s="17">
        <v>3315.68</v>
      </c>
      <c r="AO56" s="17">
        <v>3133.78</v>
      </c>
      <c r="AP56" s="17">
        <v>311.72000000000003</v>
      </c>
      <c r="AQ56" s="17">
        <v>73604.11</v>
      </c>
      <c r="AR56" s="17">
        <v>2647.62</v>
      </c>
      <c r="AS56" s="17">
        <v>1018.55</v>
      </c>
      <c r="AT56" s="17">
        <v>930.04</v>
      </c>
      <c r="AU56" s="17">
        <v>19693.52</v>
      </c>
      <c r="AV56" s="17">
        <v>1767.05</v>
      </c>
      <c r="AW56" s="17">
        <v>1372.16</v>
      </c>
      <c r="AX56" s="17">
        <v>9054.18</v>
      </c>
      <c r="AY56" s="19">
        <v>50100</v>
      </c>
      <c r="AZ56" s="17">
        <v>583.92999999999995</v>
      </c>
    </row>
    <row r="57" spans="1:52" x14ac:dyDescent="0.25">
      <c r="A57" s="21">
        <f t="shared" si="1"/>
        <v>45359</v>
      </c>
      <c r="B57" t="s">
        <v>637</v>
      </c>
      <c r="C57" s="17">
        <v>5123.6899999999996</v>
      </c>
      <c r="D57" s="17">
        <v>2726.8</v>
      </c>
      <c r="E57" s="17">
        <v>4961.1099999999997</v>
      </c>
      <c r="F57" s="17">
        <v>4194.47</v>
      </c>
      <c r="G57" s="9">
        <v>43133792</v>
      </c>
      <c r="H57" s="17">
        <v>7846.97</v>
      </c>
      <c r="I57" s="17">
        <v>3378.54</v>
      </c>
      <c r="J57" s="17">
        <v>3733.99</v>
      </c>
      <c r="K57" s="17">
        <v>127070.79</v>
      </c>
      <c r="L57" s="17">
        <v>803</v>
      </c>
      <c r="M57" s="17">
        <v>21737.53</v>
      </c>
      <c r="N57" s="17">
        <v>32130.16</v>
      </c>
      <c r="O57" s="17">
        <v>3046.02</v>
      </c>
      <c r="P57" s="17">
        <v>2760.77</v>
      </c>
      <c r="Q57" s="17">
        <v>1463.23</v>
      </c>
      <c r="R57" s="17">
        <v>2718.42</v>
      </c>
      <c r="S57" s="17">
        <v>9835.99</v>
      </c>
      <c r="T57" s="17">
        <v>8028.01</v>
      </c>
      <c r="U57" s="17">
        <v>7025.81</v>
      </c>
      <c r="V57" s="17">
        <v>1427.02</v>
      </c>
      <c r="W57" s="17">
        <v>16353.39</v>
      </c>
      <c r="X57" s="17">
        <v>66093.62</v>
      </c>
      <c r="Y57" s="17" t="e">
        <v>#N/A</v>
      </c>
      <c r="Z57" s="17">
        <v>7381.91</v>
      </c>
      <c r="AA57" s="17">
        <v>9678.32</v>
      </c>
      <c r="AB57" s="17">
        <v>33403.800000000003</v>
      </c>
      <c r="AC57" s="17">
        <v>1556.1</v>
      </c>
      <c r="AD57" s="17">
        <v>1539.86</v>
      </c>
      <c r="AE57" s="18">
        <v>54935.99</v>
      </c>
      <c r="AF57" s="17">
        <v>1171.31</v>
      </c>
      <c r="AG57" s="17">
        <v>4560.84</v>
      </c>
      <c r="AH57" s="17">
        <v>101330.85</v>
      </c>
      <c r="AI57" s="17">
        <v>1482.1</v>
      </c>
      <c r="AJ57" s="17">
        <v>6942.21</v>
      </c>
      <c r="AK57" s="17">
        <v>80199.539999999994</v>
      </c>
      <c r="AL57" s="17">
        <v>6155.48</v>
      </c>
      <c r="AM57" s="17">
        <v>16298.59</v>
      </c>
      <c r="AN57" s="17" t="e">
        <v>#N/A</v>
      </c>
      <c r="AO57" s="17">
        <v>3147.09</v>
      </c>
      <c r="AP57" s="17">
        <v>311.72000000000003</v>
      </c>
      <c r="AQ57" s="17">
        <v>73717.78</v>
      </c>
      <c r="AR57" s="17">
        <v>2680.35</v>
      </c>
      <c r="AS57" s="17">
        <v>1017.39</v>
      </c>
      <c r="AT57" s="17">
        <v>938.67</v>
      </c>
      <c r="AU57" s="17">
        <v>19785.32</v>
      </c>
      <c r="AV57" s="17">
        <v>1767.05</v>
      </c>
      <c r="AW57" s="17">
        <v>1386.42</v>
      </c>
      <c r="AX57" s="17">
        <v>9155.32</v>
      </c>
      <c r="AY57" s="19">
        <v>50438.99</v>
      </c>
      <c r="AZ57" s="17">
        <v>582.86</v>
      </c>
    </row>
    <row r="58" spans="1:52" x14ac:dyDescent="0.25">
      <c r="A58" s="21">
        <f t="shared" si="1"/>
        <v>45362</v>
      </c>
      <c r="B58" t="s">
        <v>638</v>
      </c>
      <c r="C58" s="17">
        <v>5117.9399999999996</v>
      </c>
      <c r="D58" s="17">
        <v>2666.83</v>
      </c>
      <c r="E58" s="17">
        <v>4930.42</v>
      </c>
      <c r="F58" s="17">
        <v>4196.01</v>
      </c>
      <c r="G58" s="9">
        <v>41254537.799999997</v>
      </c>
      <c r="H58" s="17">
        <v>7704.22</v>
      </c>
      <c r="I58" s="17">
        <v>3353.14</v>
      </c>
      <c r="J58" s="17">
        <v>3741.71</v>
      </c>
      <c r="K58" s="17">
        <v>126123.56</v>
      </c>
      <c r="L58" s="17">
        <v>813.81</v>
      </c>
      <c r="M58" s="17">
        <v>21769.22</v>
      </c>
      <c r="N58" s="17">
        <v>32538.51</v>
      </c>
      <c r="O58" s="17">
        <v>3068.46</v>
      </c>
      <c r="P58" s="17">
        <v>2775.97</v>
      </c>
      <c r="Q58" s="17">
        <v>1465.79</v>
      </c>
      <c r="R58" s="17">
        <v>2696.84</v>
      </c>
      <c r="S58" s="17">
        <v>9772.42</v>
      </c>
      <c r="T58" s="17">
        <v>8019.73</v>
      </c>
      <c r="U58" s="17">
        <v>6999</v>
      </c>
      <c r="V58" s="17">
        <v>1391.26</v>
      </c>
      <c r="W58" s="17">
        <v>16587.57</v>
      </c>
      <c r="X58" s="17">
        <v>65599.490000000005</v>
      </c>
      <c r="Y58" s="17">
        <v>73502.64</v>
      </c>
      <c r="Z58" s="17" t="e">
        <v>#N/A</v>
      </c>
      <c r="AA58" s="17">
        <v>9656.8799999999992</v>
      </c>
      <c r="AB58" s="17">
        <v>33315.07</v>
      </c>
      <c r="AC58" s="17">
        <v>1566.28</v>
      </c>
      <c r="AD58" s="17">
        <v>1544.71</v>
      </c>
      <c r="AE58" s="18">
        <v>55076.12</v>
      </c>
      <c r="AF58" s="17">
        <v>1157.55</v>
      </c>
      <c r="AG58" s="17">
        <v>4541.55</v>
      </c>
      <c r="AH58" s="17">
        <v>102044.84</v>
      </c>
      <c r="AI58" s="17">
        <v>1469.11</v>
      </c>
      <c r="AJ58" s="17">
        <v>6872.24</v>
      </c>
      <c r="AK58" s="17">
        <v>80359.429999999993</v>
      </c>
      <c r="AL58" s="17">
        <v>6158.39</v>
      </c>
      <c r="AM58" s="17">
        <v>16241.58</v>
      </c>
      <c r="AN58" s="17">
        <v>3320.31</v>
      </c>
      <c r="AO58" s="17">
        <v>3138.42</v>
      </c>
      <c r="AP58" s="17">
        <v>311.72000000000003</v>
      </c>
      <c r="AQ58" s="17">
        <v>73481.740000000005</v>
      </c>
      <c r="AR58" s="17">
        <v>2659.84</v>
      </c>
      <c r="AS58" s="17">
        <v>1019.22</v>
      </c>
      <c r="AT58" s="17">
        <v>936.52</v>
      </c>
      <c r="AU58" s="17">
        <v>19726.080000000002</v>
      </c>
      <c r="AV58" s="17">
        <v>1763.98</v>
      </c>
      <c r="AW58" s="17">
        <v>1380.23</v>
      </c>
      <c r="AX58" s="17">
        <v>9131.82</v>
      </c>
      <c r="AY58" s="19">
        <v>51503.7</v>
      </c>
      <c r="AZ58" s="17">
        <v>580.84</v>
      </c>
    </row>
    <row r="59" spans="1:52" x14ac:dyDescent="0.25">
      <c r="A59" s="21">
        <f t="shared" si="1"/>
        <v>45363</v>
      </c>
      <c r="B59" t="s">
        <v>639</v>
      </c>
      <c r="C59" s="17">
        <v>5175.2700000000004</v>
      </c>
      <c r="D59" s="17">
        <v>2657.24</v>
      </c>
      <c r="E59" s="17">
        <v>4983.2</v>
      </c>
      <c r="F59" s="17">
        <v>4233.33</v>
      </c>
      <c r="G59" s="9">
        <v>44316873.899999999</v>
      </c>
      <c r="H59" s="17">
        <v>7712.53</v>
      </c>
      <c r="I59" s="17">
        <v>3364.01</v>
      </c>
      <c r="J59" s="17">
        <v>3749.94</v>
      </c>
      <c r="K59" s="17">
        <v>127667.84</v>
      </c>
      <c r="L59" s="17">
        <v>810.13</v>
      </c>
      <c r="M59" s="17">
        <v>21831.02</v>
      </c>
      <c r="N59" s="17">
        <v>32923.769999999997</v>
      </c>
      <c r="O59" s="17">
        <v>3055.94</v>
      </c>
      <c r="P59" s="17">
        <v>2784.78</v>
      </c>
      <c r="Q59" s="17">
        <v>1466.88</v>
      </c>
      <c r="R59" s="17">
        <v>2739.6</v>
      </c>
      <c r="S59" s="17">
        <v>9870.59</v>
      </c>
      <c r="T59" s="17">
        <v>8087.48</v>
      </c>
      <c r="U59" s="17">
        <v>7085.27</v>
      </c>
      <c r="V59" s="17">
        <v>1395.86</v>
      </c>
      <c r="W59" s="17">
        <v>17093.5</v>
      </c>
      <c r="X59" s="17">
        <v>66455.070000000007</v>
      </c>
      <c r="Y59" s="17">
        <v>73667.960000000006</v>
      </c>
      <c r="Z59" s="17" t="e">
        <v>#N/A</v>
      </c>
      <c r="AA59" s="17">
        <v>9706.32</v>
      </c>
      <c r="AB59" s="17">
        <v>33753.120000000003</v>
      </c>
      <c r="AC59" s="17">
        <v>1562.41</v>
      </c>
      <c r="AD59" s="17">
        <v>1554.56</v>
      </c>
      <c r="AE59" s="18">
        <v>54898.95</v>
      </c>
      <c r="AF59" s="17">
        <v>1168.1500000000001</v>
      </c>
      <c r="AG59" s="17">
        <v>4523.9799999999996</v>
      </c>
      <c r="AH59" s="17">
        <v>103524.44</v>
      </c>
      <c r="AI59" s="17">
        <v>1480.8</v>
      </c>
      <c r="AJ59" s="17">
        <v>6879.59</v>
      </c>
      <c r="AK59" s="17">
        <v>81916.429999999993</v>
      </c>
      <c r="AL59" s="17">
        <v>6142.97</v>
      </c>
      <c r="AM59" s="17">
        <v>16232.1</v>
      </c>
      <c r="AN59" s="17">
        <v>3332.6</v>
      </c>
      <c r="AO59" s="17">
        <v>3141.47</v>
      </c>
      <c r="AP59" s="17">
        <v>309.23</v>
      </c>
      <c r="AQ59" s="17">
        <v>73484.56</v>
      </c>
      <c r="AR59" s="17">
        <v>2681.81</v>
      </c>
      <c r="AS59" s="17">
        <v>1025.79</v>
      </c>
      <c r="AT59" s="17">
        <v>950.32</v>
      </c>
      <c r="AU59" s="17">
        <v>19914.55</v>
      </c>
      <c r="AV59" s="17">
        <v>1763.99</v>
      </c>
      <c r="AW59" s="17">
        <v>1379.63</v>
      </c>
      <c r="AX59" s="17">
        <v>9069.0300000000007</v>
      </c>
      <c r="AY59" s="19">
        <v>52193.78</v>
      </c>
      <c r="AZ59" s="17">
        <v>585.64</v>
      </c>
    </row>
    <row r="60" spans="1:52" x14ac:dyDescent="0.25">
      <c r="A60" s="21">
        <f t="shared" si="1"/>
        <v>45364</v>
      </c>
      <c r="B60" t="s">
        <v>640</v>
      </c>
      <c r="C60" s="17">
        <v>5165.3100000000004</v>
      </c>
      <c r="D60" s="17">
        <v>2648.51</v>
      </c>
      <c r="E60" s="17">
        <v>5000.55</v>
      </c>
      <c r="F60" s="17">
        <v>4243.71</v>
      </c>
      <c r="G60" s="9">
        <v>45375169.100000001</v>
      </c>
      <c r="H60" s="17">
        <v>7729.44</v>
      </c>
      <c r="I60" s="17">
        <v>3401.67</v>
      </c>
      <c r="J60" s="17">
        <v>3728.49</v>
      </c>
      <c r="K60" s="17">
        <v>128006.05</v>
      </c>
      <c r="L60" s="17">
        <v>809.41</v>
      </c>
      <c r="M60" s="17">
        <v>21970.11</v>
      </c>
      <c r="N60" s="17">
        <v>32855.93</v>
      </c>
      <c r="O60" s="17">
        <v>3043.83</v>
      </c>
      <c r="P60" s="17">
        <v>2804.03</v>
      </c>
      <c r="Q60" s="17">
        <v>1483.58</v>
      </c>
      <c r="R60" s="17">
        <v>2718.18</v>
      </c>
      <c r="S60" s="17">
        <v>9845.68</v>
      </c>
      <c r="T60" s="17">
        <v>8137.58</v>
      </c>
      <c r="U60" s="17">
        <v>7083.66</v>
      </c>
      <c r="V60" s="17">
        <v>1399.87</v>
      </c>
      <c r="W60" s="17">
        <v>17082.11</v>
      </c>
      <c r="X60" s="17">
        <v>65600.63</v>
      </c>
      <c r="Y60" s="17">
        <v>72761.89</v>
      </c>
      <c r="Z60" s="17">
        <v>7421.21</v>
      </c>
      <c r="AA60" s="17">
        <v>9658.9500000000007</v>
      </c>
      <c r="AB60" s="17">
        <v>33885.43</v>
      </c>
      <c r="AC60" s="17">
        <v>1573.37</v>
      </c>
      <c r="AD60" s="17">
        <v>1538.13</v>
      </c>
      <c r="AE60" s="18">
        <v>55848.72</v>
      </c>
      <c r="AF60" s="17">
        <v>1166.57</v>
      </c>
      <c r="AG60" s="17">
        <v>4513.29</v>
      </c>
      <c r="AH60" s="17">
        <v>104007.31</v>
      </c>
      <c r="AI60" s="17">
        <v>1495.1</v>
      </c>
      <c r="AJ60" s="17">
        <v>6965.51</v>
      </c>
      <c r="AK60" s="17">
        <v>81647.320000000007</v>
      </c>
      <c r="AL60" s="17">
        <v>6110.35</v>
      </c>
      <c r="AM60" s="17">
        <v>16230.92</v>
      </c>
      <c r="AN60" s="17">
        <v>3320.68</v>
      </c>
      <c r="AO60" s="17">
        <v>3160.72</v>
      </c>
      <c r="AP60" s="17">
        <v>309.23</v>
      </c>
      <c r="AQ60" s="17">
        <v>74258.63</v>
      </c>
      <c r="AR60" s="17">
        <v>2693.57</v>
      </c>
      <c r="AS60" s="17">
        <v>1040.6300000000001</v>
      </c>
      <c r="AT60" s="17">
        <v>952.95</v>
      </c>
      <c r="AU60" s="17">
        <v>19928.509999999998</v>
      </c>
      <c r="AV60" s="17">
        <v>1767.18</v>
      </c>
      <c r="AW60" s="17">
        <v>1384.51</v>
      </c>
      <c r="AX60" s="17">
        <v>8910.23</v>
      </c>
      <c r="AY60" s="19">
        <v>53488.57</v>
      </c>
      <c r="AZ60" s="17">
        <v>585.28</v>
      </c>
    </row>
    <row r="61" spans="1:52" x14ac:dyDescent="0.25">
      <c r="A61" s="21">
        <f t="shared" si="1"/>
        <v>45365</v>
      </c>
      <c r="B61" t="s">
        <v>641</v>
      </c>
      <c r="C61" s="17">
        <v>5150.4799999999996</v>
      </c>
      <c r="D61" s="17">
        <v>2661.59</v>
      </c>
      <c r="E61" s="17">
        <v>4993.12</v>
      </c>
      <c r="F61" s="17">
        <v>4228.42</v>
      </c>
      <c r="G61" s="9">
        <v>44822623.799999997</v>
      </c>
      <c r="H61" s="17">
        <v>7713.62</v>
      </c>
      <c r="I61" s="17">
        <v>3394.38</v>
      </c>
      <c r="J61" s="17">
        <v>3691.85</v>
      </c>
      <c r="K61" s="17">
        <v>127689.97</v>
      </c>
      <c r="L61" s="17">
        <v>813.62</v>
      </c>
      <c r="M61" s="17">
        <v>21829.85</v>
      </c>
      <c r="N61" s="17">
        <v>32721.51</v>
      </c>
      <c r="O61" s="17">
        <v>3038.23</v>
      </c>
      <c r="P61" s="17">
        <v>2810.04</v>
      </c>
      <c r="Q61" s="17">
        <v>1486.64</v>
      </c>
      <c r="R61" s="17">
        <v>2751.08</v>
      </c>
      <c r="S61" s="17">
        <v>9771.1299999999992</v>
      </c>
      <c r="T61" s="17">
        <v>8161.42</v>
      </c>
      <c r="U61" s="17">
        <v>7076.06</v>
      </c>
      <c r="V61" s="17">
        <v>1417.64</v>
      </c>
      <c r="W61" s="17">
        <v>16961.66</v>
      </c>
      <c r="X61" s="17">
        <v>64988.33</v>
      </c>
      <c r="Y61" s="17">
        <v>73097.279999999999</v>
      </c>
      <c r="Z61" s="17">
        <v>7433.32</v>
      </c>
      <c r="AA61" s="17">
        <v>9673.64</v>
      </c>
      <c r="AB61" s="17">
        <v>33786.18</v>
      </c>
      <c r="AC61" s="17">
        <v>1611.07</v>
      </c>
      <c r="AD61" s="17">
        <v>1543.75</v>
      </c>
      <c r="AE61" s="18">
        <v>56059.26</v>
      </c>
      <c r="AF61" s="17">
        <v>1164.6099999999999</v>
      </c>
      <c r="AG61" s="17">
        <v>4511.7700000000004</v>
      </c>
      <c r="AH61" s="17">
        <v>104056.21</v>
      </c>
      <c r="AI61" s="17">
        <v>1495.17</v>
      </c>
      <c r="AJ61" s="17">
        <v>6967.96</v>
      </c>
      <c r="AK61" s="17">
        <v>81787.89</v>
      </c>
      <c r="AL61" s="17">
        <v>6055.53</v>
      </c>
      <c r="AM61" s="17">
        <v>16295.44</v>
      </c>
      <c r="AN61" s="17">
        <v>3297</v>
      </c>
      <c r="AO61" s="17">
        <v>3186.4</v>
      </c>
      <c r="AP61" s="17">
        <v>309.81</v>
      </c>
      <c r="AQ61" s="17">
        <v>73866.789999999994</v>
      </c>
      <c r="AR61" s="17">
        <v>2718.76</v>
      </c>
      <c r="AS61" s="17">
        <v>1033.71</v>
      </c>
      <c r="AT61" s="17">
        <v>951.96</v>
      </c>
      <c r="AU61" s="17">
        <v>19937.919999999998</v>
      </c>
      <c r="AV61" s="17">
        <v>1767.51</v>
      </c>
      <c r="AW61" s="17">
        <v>1394.93</v>
      </c>
      <c r="AX61" s="17">
        <v>8883.52</v>
      </c>
      <c r="AY61" s="19">
        <v>53589.25</v>
      </c>
      <c r="AZ61" s="17">
        <v>583.19000000000005</v>
      </c>
    </row>
    <row r="62" spans="1:52" x14ac:dyDescent="0.25">
      <c r="A62" s="21">
        <f t="shared" si="1"/>
        <v>45366</v>
      </c>
      <c r="B62" t="s">
        <v>642</v>
      </c>
      <c r="C62" s="17">
        <v>5117.09</v>
      </c>
      <c r="D62" s="17">
        <v>2670.8</v>
      </c>
      <c r="E62" s="17">
        <v>4986.0200000000004</v>
      </c>
      <c r="F62" s="17">
        <v>4222.09</v>
      </c>
      <c r="G62" s="9">
        <v>46050613.899999999</v>
      </c>
      <c r="H62" s="17">
        <v>7670.28</v>
      </c>
      <c r="I62" s="17">
        <v>3410.12</v>
      </c>
      <c r="J62" s="17">
        <v>3684.2</v>
      </c>
      <c r="K62" s="17">
        <v>126741.81</v>
      </c>
      <c r="L62" s="17">
        <v>813.82</v>
      </c>
      <c r="M62" s="17">
        <v>21849.15</v>
      </c>
      <c r="N62" s="17">
        <v>32753.57</v>
      </c>
      <c r="O62" s="17">
        <v>3054.64</v>
      </c>
      <c r="P62" s="17">
        <v>2796.6</v>
      </c>
      <c r="Q62" s="17">
        <v>1480.68</v>
      </c>
      <c r="R62" s="17">
        <v>2698.09</v>
      </c>
      <c r="S62" s="17">
        <v>9757.9599999999991</v>
      </c>
      <c r="T62" s="17">
        <v>8164.35</v>
      </c>
      <c r="U62" s="17">
        <v>7073.98</v>
      </c>
      <c r="V62" s="17">
        <v>1422.03</v>
      </c>
      <c r="W62" s="17">
        <v>16720.89</v>
      </c>
      <c r="X62" s="17" t="e">
        <v>#N/A</v>
      </c>
      <c r="Y62" s="17">
        <v>72643.429999999993</v>
      </c>
      <c r="Z62" s="17">
        <v>7328.05</v>
      </c>
      <c r="AA62" s="17">
        <v>9834.65</v>
      </c>
      <c r="AB62" s="17">
        <v>33940.03</v>
      </c>
      <c r="AC62" s="17">
        <v>1637.74</v>
      </c>
      <c r="AD62" s="17">
        <v>1552.83</v>
      </c>
      <c r="AE62" s="18">
        <v>56228.4</v>
      </c>
      <c r="AF62" s="17">
        <v>1155.31</v>
      </c>
      <c r="AG62" s="17">
        <v>4495.97</v>
      </c>
      <c r="AH62" s="17">
        <v>105085.25</v>
      </c>
      <c r="AI62" s="17">
        <v>1499.82</v>
      </c>
      <c r="AJ62" s="17">
        <v>6822.32</v>
      </c>
      <c r="AK62" s="17">
        <v>80199.350000000006</v>
      </c>
      <c r="AL62" s="17">
        <v>6130.85</v>
      </c>
      <c r="AM62" s="17">
        <v>16246.54</v>
      </c>
      <c r="AN62" s="17">
        <v>3300.07</v>
      </c>
      <c r="AO62" s="17">
        <v>3172.96</v>
      </c>
      <c r="AP62" s="17">
        <v>309.81</v>
      </c>
      <c r="AQ62" s="17">
        <v>72990.7</v>
      </c>
      <c r="AR62" s="17">
        <v>2666.84</v>
      </c>
      <c r="AS62" s="17">
        <v>1044.9000000000001</v>
      </c>
      <c r="AT62" s="17">
        <v>954.79</v>
      </c>
      <c r="AU62" s="17">
        <v>19682.5</v>
      </c>
      <c r="AV62" s="17">
        <v>1770.77</v>
      </c>
      <c r="AW62" s="17">
        <v>1386.04</v>
      </c>
      <c r="AX62" s="17">
        <v>8828.7000000000007</v>
      </c>
      <c r="AY62" s="19">
        <v>52081.14</v>
      </c>
      <c r="AZ62" s="17">
        <v>579.70000000000005</v>
      </c>
    </row>
    <row r="63" spans="1:52" x14ac:dyDescent="0.25">
      <c r="A63" s="21">
        <f t="shared" si="1"/>
        <v>45369</v>
      </c>
      <c r="B63" t="s">
        <v>643</v>
      </c>
      <c r="C63" s="17">
        <v>5149.42</v>
      </c>
      <c r="D63" s="17">
        <v>2721.99</v>
      </c>
      <c r="E63" s="17">
        <v>4982.76</v>
      </c>
      <c r="F63" s="17">
        <v>4218.8900000000003</v>
      </c>
      <c r="G63" s="9">
        <v>48370337.700000003</v>
      </c>
      <c r="H63" s="17">
        <v>7675.84</v>
      </c>
      <c r="I63" s="17">
        <v>3429.3</v>
      </c>
      <c r="J63" s="17">
        <v>3673.19</v>
      </c>
      <c r="K63" s="17">
        <v>126954.18</v>
      </c>
      <c r="L63" s="17">
        <v>814.4</v>
      </c>
      <c r="M63" s="17">
        <v>21837.18</v>
      </c>
      <c r="N63" s="17">
        <v>32715.82</v>
      </c>
      <c r="O63" s="17">
        <v>3084.93</v>
      </c>
      <c r="P63" s="17">
        <v>2773.56</v>
      </c>
      <c r="Q63" s="17">
        <v>1492.38</v>
      </c>
      <c r="R63" s="17">
        <v>2717.7</v>
      </c>
      <c r="S63" s="17">
        <v>9705.34</v>
      </c>
      <c r="T63" s="17">
        <v>8148.14</v>
      </c>
      <c r="U63" s="17">
        <v>7074.99</v>
      </c>
      <c r="V63" s="17" t="e">
        <v>#N/A</v>
      </c>
      <c r="W63" s="17">
        <v>16737.12</v>
      </c>
      <c r="X63" s="17">
        <v>65450.33</v>
      </c>
      <c r="Y63" s="17">
        <v>72748.42</v>
      </c>
      <c r="Z63" s="17">
        <v>7302.45</v>
      </c>
      <c r="AA63" s="17">
        <v>9841.2000000000007</v>
      </c>
      <c r="AB63" s="17">
        <v>33940.959999999999</v>
      </c>
      <c r="AC63" s="17">
        <v>1630.81</v>
      </c>
      <c r="AD63" s="17">
        <v>1553.64</v>
      </c>
      <c r="AE63" s="18" t="e">
        <v>#N/A</v>
      </c>
      <c r="AF63" s="17">
        <v>1159.07</v>
      </c>
      <c r="AG63" s="17">
        <v>4477.91</v>
      </c>
      <c r="AH63" s="17">
        <v>104663.34</v>
      </c>
      <c r="AI63" s="17">
        <v>1509.16</v>
      </c>
      <c r="AJ63" s="17">
        <v>6853.29</v>
      </c>
      <c r="AK63" s="17">
        <v>79997.2</v>
      </c>
      <c r="AL63" s="17">
        <v>6170.73</v>
      </c>
      <c r="AM63" s="17">
        <v>16347.25</v>
      </c>
      <c r="AN63" s="17">
        <v>3296.3</v>
      </c>
      <c r="AO63" s="17">
        <v>3171.93</v>
      </c>
      <c r="AP63" s="17">
        <v>309.81</v>
      </c>
      <c r="AQ63" s="17">
        <v>72430.460000000006</v>
      </c>
      <c r="AR63" s="17">
        <v>2685.84</v>
      </c>
      <c r="AS63" s="17">
        <v>1044.8</v>
      </c>
      <c r="AT63" s="17">
        <v>945.7</v>
      </c>
      <c r="AU63" s="17">
        <v>19879.849999999999</v>
      </c>
      <c r="AV63" s="17">
        <v>1770.58</v>
      </c>
      <c r="AW63" s="17">
        <v>1385.94</v>
      </c>
      <c r="AX63" s="17">
        <v>8718.11</v>
      </c>
      <c r="AY63" s="19">
        <v>52064.66</v>
      </c>
      <c r="AZ63" s="17">
        <v>582.46</v>
      </c>
    </row>
    <row r="64" spans="1:52" x14ac:dyDescent="0.25">
      <c r="A64" s="21">
        <f t="shared" si="1"/>
        <v>45370</v>
      </c>
      <c r="B64" t="s">
        <v>644</v>
      </c>
      <c r="C64" s="17">
        <v>5178.51</v>
      </c>
      <c r="D64" s="17">
        <v>2750.97</v>
      </c>
      <c r="E64" s="17">
        <v>5007.92</v>
      </c>
      <c r="F64" s="17">
        <v>4224.3599999999997</v>
      </c>
      <c r="G64" s="9">
        <v>48451342.899999999</v>
      </c>
      <c r="H64" s="17">
        <v>7703.23</v>
      </c>
      <c r="I64" s="17">
        <v>3453.88</v>
      </c>
      <c r="J64" s="17">
        <v>3681.14</v>
      </c>
      <c r="K64" s="17">
        <v>127528.85</v>
      </c>
      <c r="L64" s="17">
        <v>809.24</v>
      </c>
      <c r="M64" s="17">
        <v>21860.58</v>
      </c>
      <c r="N64" s="17">
        <v>32518.05</v>
      </c>
      <c r="O64" s="17">
        <v>3062.76</v>
      </c>
      <c r="P64" s="17">
        <v>2797.35</v>
      </c>
      <c r="Q64" s="17">
        <v>1495.44</v>
      </c>
      <c r="R64" s="17">
        <v>2687.69</v>
      </c>
      <c r="S64" s="17">
        <v>9795.4599999999991</v>
      </c>
      <c r="T64" s="17">
        <v>8201.0499999999993</v>
      </c>
      <c r="U64" s="17">
        <v>7094.28</v>
      </c>
      <c r="V64" s="17">
        <v>1403.47</v>
      </c>
      <c r="W64" s="17">
        <v>16529.48</v>
      </c>
      <c r="X64" s="17">
        <v>65933.87</v>
      </c>
      <c r="Y64" s="17">
        <v>72012.05</v>
      </c>
      <c r="Z64" s="17">
        <v>7336.75</v>
      </c>
      <c r="AA64" s="17">
        <v>9910.51</v>
      </c>
      <c r="AB64" s="17">
        <v>34262.36</v>
      </c>
      <c r="AC64" s="17">
        <v>1633.87</v>
      </c>
      <c r="AD64" s="17">
        <v>1544.96</v>
      </c>
      <c r="AE64" s="18">
        <v>55548.07</v>
      </c>
      <c r="AF64" s="17">
        <v>1165.69</v>
      </c>
      <c r="AG64" s="17">
        <v>4508.83</v>
      </c>
      <c r="AH64" s="17">
        <v>104553.31</v>
      </c>
      <c r="AI64" s="17">
        <v>1512.55</v>
      </c>
      <c r="AJ64" s="17">
        <v>6848.43</v>
      </c>
      <c r="AK64" s="17">
        <v>79698.759999999995</v>
      </c>
      <c r="AL64" s="17">
        <v>6122.82</v>
      </c>
      <c r="AM64" s="17">
        <v>16369.18</v>
      </c>
      <c r="AN64" s="17">
        <v>3264.97</v>
      </c>
      <c r="AO64" s="17">
        <v>3173.55</v>
      </c>
      <c r="AP64" s="17">
        <v>310.8</v>
      </c>
      <c r="AQ64" s="17">
        <v>71868.070000000007</v>
      </c>
      <c r="AR64" s="17">
        <v>2656.17</v>
      </c>
      <c r="AS64" s="17">
        <v>1054.44</v>
      </c>
      <c r="AT64" s="17">
        <v>951.6</v>
      </c>
      <c r="AU64" s="17">
        <v>19857.2</v>
      </c>
      <c r="AV64" s="17">
        <v>1770.51</v>
      </c>
      <c r="AW64" s="17">
        <v>1382.46</v>
      </c>
      <c r="AX64" s="17">
        <v>8929.8799999999992</v>
      </c>
      <c r="AY64" s="19" t="e">
        <v>#N/A</v>
      </c>
      <c r="AZ64" s="17">
        <v>583.73</v>
      </c>
    </row>
    <row r="65" spans="1:52" x14ac:dyDescent="0.25">
      <c r="A65" s="21">
        <f t="shared" si="1"/>
        <v>45371</v>
      </c>
      <c r="B65" t="s">
        <v>645</v>
      </c>
      <c r="C65" s="17">
        <v>5224.62</v>
      </c>
      <c r="D65" s="17" t="e">
        <v>#N/A</v>
      </c>
      <c r="E65" s="17">
        <v>5000.3100000000004</v>
      </c>
      <c r="F65" s="17">
        <v>4225.49</v>
      </c>
      <c r="G65" s="9">
        <v>50642435.899999999</v>
      </c>
      <c r="H65" s="17">
        <v>7695.76</v>
      </c>
      <c r="I65" s="17">
        <v>3453.91</v>
      </c>
      <c r="J65" s="17">
        <v>3685.41</v>
      </c>
      <c r="K65" s="17">
        <v>129124.83</v>
      </c>
      <c r="L65" s="17">
        <v>811.35</v>
      </c>
      <c r="M65" s="17">
        <v>22045.71</v>
      </c>
      <c r="N65" s="17">
        <v>32916.67</v>
      </c>
      <c r="O65" s="17">
        <v>3079.69</v>
      </c>
      <c r="P65" s="17">
        <v>2820.36</v>
      </c>
      <c r="Q65" s="17">
        <v>1495.31</v>
      </c>
      <c r="R65" s="17">
        <v>2703.66</v>
      </c>
      <c r="S65" s="17">
        <v>9778.73</v>
      </c>
      <c r="T65" s="17">
        <v>8161.41</v>
      </c>
      <c r="U65" s="17">
        <v>7104.06</v>
      </c>
      <c r="V65" s="17">
        <v>1417.72</v>
      </c>
      <c r="W65" s="17">
        <v>16543.07</v>
      </c>
      <c r="X65" s="17">
        <v>65982.86</v>
      </c>
      <c r="Y65" s="17">
        <v>72101.69</v>
      </c>
      <c r="Z65" s="17">
        <v>7331.13</v>
      </c>
      <c r="AA65" s="17">
        <v>9867.8799999999992</v>
      </c>
      <c r="AB65" s="17">
        <v>34293.29</v>
      </c>
      <c r="AC65" s="17">
        <v>1667.01</v>
      </c>
      <c r="AD65" s="17">
        <v>1535.79</v>
      </c>
      <c r="AE65" s="18">
        <v>56618.01</v>
      </c>
      <c r="AF65" s="17">
        <v>1167.78</v>
      </c>
      <c r="AG65" s="17">
        <v>4513</v>
      </c>
      <c r="AH65" s="17">
        <v>104256.81</v>
      </c>
      <c r="AI65" s="17">
        <v>1512.46</v>
      </c>
      <c r="AJ65" s="17">
        <v>6856.77</v>
      </c>
      <c r="AK65" s="17">
        <v>79709.279999999999</v>
      </c>
      <c r="AL65" s="17">
        <v>6152.21</v>
      </c>
      <c r="AM65" s="17">
        <v>16481.29</v>
      </c>
      <c r="AN65" s="17">
        <v>3267.1</v>
      </c>
      <c r="AO65" s="17">
        <v>3177.48</v>
      </c>
      <c r="AP65" s="17">
        <v>310.8</v>
      </c>
      <c r="AQ65" s="17">
        <v>72419.7</v>
      </c>
      <c r="AR65" s="17">
        <v>2690.14</v>
      </c>
      <c r="AS65" s="17">
        <v>1058.5899999999999</v>
      </c>
      <c r="AT65" s="17">
        <v>951.42</v>
      </c>
      <c r="AU65" s="17">
        <v>19784.45</v>
      </c>
      <c r="AV65" s="17">
        <v>1770.53</v>
      </c>
      <c r="AW65" s="17">
        <v>1373.18</v>
      </c>
      <c r="AX65" s="17">
        <v>8955.1200000000008</v>
      </c>
      <c r="AY65" s="19">
        <v>51513.75</v>
      </c>
      <c r="AZ65" s="17">
        <v>587.29999999999995</v>
      </c>
    </row>
    <row r="66" spans="1:52" x14ac:dyDescent="0.25">
      <c r="A66" s="21">
        <f t="shared" si="1"/>
        <v>45372</v>
      </c>
      <c r="B66" t="s">
        <v>646</v>
      </c>
      <c r="C66" s="17">
        <v>5241.53</v>
      </c>
      <c r="D66" s="17">
        <v>2796.21</v>
      </c>
      <c r="E66" s="17">
        <v>5052.3100000000004</v>
      </c>
      <c r="F66" s="17">
        <v>4300.46</v>
      </c>
      <c r="G66" s="9">
        <v>52280300.200000003</v>
      </c>
      <c r="H66" s="17">
        <v>7781.97</v>
      </c>
      <c r="I66" s="17">
        <v>3483.75</v>
      </c>
      <c r="J66" s="17">
        <v>3787.97</v>
      </c>
      <c r="K66" s="17">
        <v>128158.57</v>
      </c>
      <c r="L66" s="17">
        <v>811.02</v>
      </c>
      <c r="M66" s="17">
        <v>22087.26</v>
      </c>
      <c r="N66" s="17">
        <v>32853.08</v>
      </c>
      <c r="O66" s="17">
        <v>3077.11</v>
      </c>
      <c r="P66" s="17">
        <v>2834.73</v>
      </c>
      <c r="Q66" s="17">
        <v>1483.08</v>
      </c>
      <c r="R66" s="17">
        <v>2690.17</v>
      </c>
      <c r="S66" s="17">
        <v>9856.48</v>
      </c>
      <c r="T66" s="17">
        <v>8179.72</v>
      </c>
      <c r="U66" s="17">
        <v>7167.5</v>
      </c>
      <c r="V66" s="17">
        <v>1430.35</v>
      </c>
      <c r="W66" s="17">
        <v>16863.099999999999</v>
      </c>
      <c r="X66" s="17">
        <v>65841.440000000002</v>
      </c>
      <c r="Y66" s="17">
        <v>72641.19</v>
      </c>
      <c r="Z66" s="17">
        <v>7338.35</v>
      </c>
      <c r="AA66" s="17">
        <v>9902.68</v>
      </c>
      <c r="AB66" s="17">
        <v>34327.949999999997</v>
      </c>
      <c r="AC66" s="17">
        <v>1658.96</v>
      </c>
      <c r="AD66" s="17">
        <v>1541.41</v>
      </c>
      <c r="AE66" s="18">
        <v>56657.440000000002</v>
      </c>
      <c r="AF66" s="17">
        <v>1191.2</v>
      </c>
      <c r="AG66" s="17">
        <v>4534.91</v>
      </c>
      <c r="AH66" s="17">
        <v>104387.47</v>
      </c>
      <c r="AI66" s="17">
        <v>1521.01</v>
      </c>
      <c r="AJ66" s="17">
        <v>6963.22</v>
      </c>
      <c r="AK66" s="17">
        <v>81814.929999999993</v>
      </c>
      <c r="AL66" s="17">
        <v>6178.82</v>
      </c>
      <c r="AM66" s="17">
        <v>16601.849999999999</v>
      </c>
      <c r="AN66" s="17">
        <v>3286.69</v>
      </c>
      <c r="AO66" s="17">
        <v>3220.37</v>
      </c>
      <c r="AP66" s="17">
        <v>310.8</v>
      </c>
      <c r="AQ66" s="17" t="e">
        <v>#N/A</v>
      </c>
      <c r="AR66" s="17">
        <v>2754.86</v>
      </c>
      <c r="AS66" s="17">
        <v>1070.5</v>
      </c>
      <c r="AT66" s="17">
        <v>968.32</v>
      </c>
      <c r="AU66" s="17">
        <v>20199.09</v>
      </c>
      <c r="AV66" s="17">
        <v>1773.81</v>
      </c>
      <c r="AW66" s="17">
        <v>1387.62</v>
      </c>
      <c r="AX66" s="17">
        <v>9140.7000000000007</v>
      </c>
      <c r="AY66" s="19">
        <v>51002.879999999997</v>
      </c>
      <c r="AZ66" s="17">
        <v>591.53</v>
      </c>
    </row>
    <row r="67" spans="1:52" x14ac:dyDescent="0.25">
      <c r="A67" s="21">
        <f t="shared" si="1"/>
        <v>45373</v>
      </c>
      <c r="B67" t="s">
        <v>647</v>
      </c>
      <c r="C67" s="17">
        <v>5234.18</v>
      </c>
      <c r="D67" s="17">
        <v>2813.22</v>
      </c>
      <c r="E67" s="17">
        <v>5031.1499999999996</v>
      </c>
      <c r="F67" s="17">
        <v>4322.51</v>
      </c>
      <c r="G67" s="9">
        <v>52332328.100000001</v>
      </c>
      <c r="H67" s="17">
        <v>7770.55</v>
      </c>
      <c r="I67" s="17">
        <v>3499.4</v>
      </c>
      <c r="J67" s="17">
        <v>3803.73</v>
      </c>
      <c r="K67" s="17">
        <v>127027.1</v>
      </c>
      <c r="L67" s="17">
        <v>806.02</v>
      </c>
      <c r="M67" s="17">
        <v>21984.080000000002</v>
      </c>
      <c r="N67" s="17">
        <v>32991.360000000001</v>
      </c>
      <c r="O67" s="17">
        <v>3048.03</v>
      </c>
      <c r="P67" s="17">
        <v>2846.94</v>
      </c>
      <c r="Q67" s="17">
        <v>1490.66</v>
      </c>
      <c r="R67" s="17">
        <v>2683.39</v>
      </c>
      <c r="S67" s="17">
        <v>9752.49</v>
      </c>
      <c r="T67" s="17">
        <v>8151.92</v>
      </c>
      <c r="U67" s="17">
        <v>7180.18</v>
      </c>
      <c r="V67" s="17">
        <v>1425.16</v>
      </c>
      <c r="W67" s="17">
        <v>16499.47</v>
      </c>
      <c r="X67" s="17">
        <v>65236.93</v>
      </c>
      <c r="Y67" s="17">
        <v>72831.94</v>
      </c>
      <c r="Z67" s="17">
        <v>7350.15</v>
      </c>
      <c r="AA67" s="17">
        <v>9866.9</v>
      </c>
      <c r="AB67" s="17">
        <v>34343.61</v>
      </c>
      <c r="AC67" s="17">
        <v>1687.17</v>
      </c>
      <c r="AD67" s="17">
        <v>1542.39</v>
      </c>
      <c r="AE67" s="18">
        <v>56610.54</v>
      </c>
      <c r="AF67" s="17">
        <v>1190.3499999999999</v>
      </c>
      <c r="AG67" s="17">
        <v>4558.8500000000004</v>
      </c>
      <c r="AH67" s="17">
        <v>104647.37</v>
      </c>
      <c r="AI67" s="17">
        <v>1530.56</v>
      </c>
      <c r="AJ67" s="17">
        <v>6881.97</v>
      </c>
      <c r="AK67" s="17">
        <v>80992.639999999999</v>
      </c>
      <c r="AL67" s="17">
        <v>6227.92</v>
      </c>
      <c r="AM67" s="17">
        <v>16754.73</v>
      </c>
      <c r="AN67" s="17">
        <v>3273.49</v>
      </c>
      <c r="AO67" s="17">
        <v>3217.97</v>
      </c>
      <c r="AP67" s="17">
        <v>307.32</v>
      </c>
      <c r="AQ67" s="17">
        <v>73254.19</v>
      </c>
      <c r="AR67" s="17">
        <v>2748.56</v>
      </c>
      <c r="AS67" s="17">
        <v>1078.73</v>
      </c>
      <c r="AT67" s="17">
        <v>966.9</v>
      </c>
      <c r="AU67" s="17">
        <v>20228.43</v>
      </c>
      <c r="AV67" s="17">
        <v>1776.94</v>
      </c>
      <c r="AW67" s="17">
        <v>1381.04</v>
      </c>
      <c r="AX67" s="17">
        <v>9111.5</v>
      </c>
      <c r="AY67" s="19">
        <v>50902.39</v>
      </c>
      <c r="AZ67" s="17">
        <v>589.85</v>
      </c>
    </row>
    <row r="68" spans="1:52" x14ac:dyDescent="0.25">
      <c r="A68" s="21">
        <f t="shared" si="1"/>
        <v>45376</v>
      </c>
      <c r="B68" t="s">
        <v>648</v>
      </c>
      <c r="C68" s="17">
        <v>5218.1899999999996</v>
      </c>
      <c r="D68" s="17">
        <v>2777.64</v>
      </c>
      <c r="E68" s="17">
        <v>5044.1899999999996</v>
      </c>
      <c r="F68" s="17">
        <v>4312.78</v>
      </c>
      <c r="G68" s="9">
        <v>51665995.399999999</v>
      </c>
      <c r="H68" s="17">
        <v>7811.94</v>
      </c>
      <c r="I68" s="17">
        <v>3496.32</v>
      </c>
      <c r="J68" s="17">
        <v>3811.5</v>
      </c>
      <c r="K68" s="17">
        <v>126931.47</v>
      </c>
      <c r="L68" s="17">
        <v>805.51</v>
      </c>
      <c r="M68" s="17">
        <v>21942.28</v>
      </c>
      <c r="N68" s="17">
        <v>32881.550000000003</v>
      </c>
      <c r="O68" s="17">
        <v>3026.31</v>
      </c>
      <c r="P68" s="17">
        <v>2840.62</v>
      </c>
      <c r="Q68" s="17">
        <v>1488.83</v>
      </c>
      <c r="R68" s="17">
        <v>2697.51</v>
      </c>
      <c r="S68" s="17">
        <v>9765.16</v>
      </c>
      <c r="T68" s="17">
        <v>8151.6</v>
      </c>
      <c r="U68" s="17">
        <v>7202.02</v>
      </c>
      <c r="V68" s="17" t="e">
        <v>#N/A</v>
      </c>
      <c r="W68" s="17">
        <v>16473.64</v>
      </c>
      <c r="X68" s="17">
        <v>65095.72</v>
      </c>
      <c r="Y68" s="17" t="e">
        <v>#N/A</v>
      </c>
      <c r="Z68" s="17">
        <v>7377.76</v>
      </c>
      <c r="AA68" s="17">
        <v>9808.6</v>
      </c>
      <c r="AB68" s="17">
        <v>34639.410000000003</v>
      </c>
      <c r="AC68" s="17">
        <v>1712.76</v>
      </c>
      <c r="AD68" s="17">
        <v>1537.54</v>
      </c>
      <c r="AE68" s="18">
        <v>56552.54</v>
      </c>
      <c r="AF68" s="17">
        <v>1192.48</v>
      </c>
      <c r="AG68" s="17">
        <v>4592.5</v>
      </c>
      <c r="AH68" s="17">
        <v>104136.35</v>
      </c>
      <c r="AI68" s="17">
        <v>1538.37</v>
      </c>
      <c r="AJ68" s="17">
        <v>6853.1</v>
      </c>
      <c r="AK68" s="17">
        <v>80081.149999999994</v>
      </c>
      <c r="AL68" s="17">
        <v>6199.21</v>
      </c>
      <c r="AM68" s="17">
        <v>16702.439999999999</v>
      </c>
      <c r="AN68" s="17">
        <v>3281.63</v>
      </c>
      <c r="AO68" s="17">
        <v>3198.1</v>
      </c>
      <c r="AP68" s="17">
        <v>307.32</v>
      </c>
      <c r="AQ68" s="17">
        <v>73282.899999999994</v>
      </c>
      <c r="AR68" s="17">
        <v>2737.57</v>
      </c>
      <c r="AS68" s="17">
        <v>1080.44</v>
      </c>
      <c r="AT68" s="17">
        <v>965.74</v>
      </c>
      <c r="AU68" s="17">
        <v>20192.25</v>
      </c>
      <c r="AV68" s="17">
        <v>1776.94</v>
      </c>
      <c r="AW68" s="17">
        <v>1372.49</v>
      </c>
      <c r="AX68" s="17">
        <v>9029.3799999999992</v>
      </c>
      <c r="AY68" s="19">
        <v>51433.26</v>
      </c>
      <c r="AZ68" s="17">
        <v>588.49</v>
      </c>
    </row>
    <row r="69" spans="1:52" x14ac:dyDescent="0.25">
      <c r="A69" s="21">
        <f t="shared" si="1"/>
        <v>45377</v>
      </c>
      <c r="B69" t="s">
        <v>649</v>
      </c>
      <c r="C69" s="17">
        <v>5203.58</v>
      </c>
      <c r="D69" s="17">
        <v>2780.8</v>
      </c>
      <c r="E69" s="17">
        <v>5064.18</v>
      </c>
      <c r="F69" s="17">
        <v>4324.29</v>
      </c>
      <c r="G69" s="9">
        <v>51609073.299999997</v>
      </c>
      <c r="H69" s="17">
        <v>7780.23</v>
      </c>
      <c r="I69" s="17">
        <v>3499.12</v>
      </c>
      <c r="J69" s="17">
        <v>3807.47</v>
      </c>
      <c r="K69" s="17">
        <v>126863.02</v>
      </c>
      <c r="L69" s="17">
        <v>804.48</v>
      </c>
      <c r="M69" s="17">
        <v>21912.52</v>
      </c>
      <c r="N69" s="17">
        <v>33006.28</v>
      </c>
      <c r="O69" s="17">
        <v>3031.48</v>
      </c>
      <c r="P69" s="17">
        <v>2848.76</v>
      </c>
      <c r="Q69" s="17">
        <v>1489.88</v>
      </c>
      <c r="R69" s="17">
        <v>2687.53</v>
      </c>
      <c r="S69" s="17">
        <v>9787.15</v>
      </c>
      <c r="T69" s="17">
        <v>8184.75</v>
      </c>
      <c r="U69" s="17">
        <v>7250.55</v>
      </c>
      <c r="V69" s="17">
        <v>1422.51</v>
      </c>
      <c r="W69" s="17">
        <v>16618.32</v>
      </c>
      <c r="X69" s="17">
        <v>65005.38</v>
      </c>
      <c r="Y69" s="17">
        <v>72470.3</v>
      </c>
      <c r="Z69" s="17">
        <v>7365.66</v>
      </c>
      <c r="AA69" s="17">
        <v>9895.7000000000007</v>
      </c>
      <c r="AB69" s="17">
        <v>34688.17</v>
      </c>
      <c r="AC69" s="17">
        <v>1748.15</v>
      </c>
      <c r="AD69" s="17">
        <v>1538.42</v>
      </c>
      <c r="AE69" s="18">
        <v>57209.7</v>
      </c>
      <c r="AF69" s="17">
        <v>1192.44</v>
      </c>
      <c r="AG69" s="17">
        <v>4579.1000000000004</v>
      </c>
      <c r="AH69" s="17">
        <v>103952.47</v>
      </c>
      <c r="AI69" s="17">
        <v>1535.74</v>
      </c>
      <c r="AJ69" s="17">
        <v>6898.17</v>
      </c>
      <c r="AK69" s="17">
        <v>81286.31</v>
      </c>
      <c r="AL69" s="17">
        <v>6222.03</v>
      </c>
      <c r="AM69" s="17">
        <v>16781.47</v>
      </c>
      <c r="AN69" s="17">
        <v>3285.54</v>
      </c>
      <c r="AO69" s="17">
        <v>3233.33</v>
      </c>
      <c r="AP69" s="17">
        <v>307.32</v>
      </c>
      <c r="AQ69" s="17">
        <v>73608.070000000007</v>
      </c>
      <c r="AR69" s="17">
        <v>2757.09</v>
      </c>
      <c r="AS69" s="17">
        <v>1084.8</v>
      </c>
      <c r="AT69" s="17">
        <v>971.52</v>
      </c>
      <c r="AU69" s="17">
        <v>20126.490000000002</v>
      </c>
      <c r="AV69" s="17">
        <v>1787.63</v>
      </c>
      <c r="AW69" s="17">
        <v>1377.23</v>
      </c>
      <c r="AX69" s="17">
        <v>8807.3799999999992</v>
      </c>
      <c r="AY69" s="19">
        <v>54853.01</v>
      </c>
      <c r="AZ69" s="17">
        <v>587.86</v>
      </c>
    </row>
    <row r="70" spans="1:52" x14ac:dyDescent="0.25">
      <c r="A70" s="21">
        <f t="shared" si="1"/>
        <v>45378</v>
      </c>
      <c r="B70" t="s">
        <v>650</v>
      </c>
      <c r="C70" s="17">
        <v>5248.49</v>
      </c>
      <c r="D70" s="17">
        <v>2799.28</v>
      </c>
      <c r="E70" s="17">
        <v>5081.74</v>
      </c>
      <c r="F70" s="17">
        <v>4325.93</v>
      </c>
      <c r="G70" s="9">
        <v>51706699.899999999</v>
      </c>
      <c r="H70" s="17">
        <v>7819.61</v>
      </c>
      <c r="I70" s="17">
        <v>3523.44</v>
      </c>
      <c r="J70" s="17">
        <v>3832.99</v>
      </c>
      <c r="K70" s="17">
        <v>127690.62</v>
      </c>
      <c r="L70" s="17">
        <v>803.52</v>
      </c>
      <c r="M70" s="17">
        <v>22107.08</v>
      </c>
      <c r="N70" s="17">
        <v>33372.58</v>
      </c>
      <c r="O70" s="17">
        <v>2993.14</v>
      </c>
      <c r="P70" s="17">
        <v>2842.41</v>
      </c>
      <c r="Q70" s="17">
        <v>1513.01</v>
      </c>
      <c r="R70" s="17">
        <v>2669.49</v>
      </c>
      <c r="S70" s="17">
        <v>9797.77</v>
      </c>
      <c r="T70" s="17">
        <v>8204.81</v>
      </c>
      <c r="U70" s="17">
        <v>7287.12</v>
      </c>
      <c r="V70" s="17">
        <v>1417.59</v>
      </c>
      <c r="W70" s="17">
        <v>16392.84</v>
      </c>
      <c r="X70" s="17">
        <v>64830.3</v>
      </c>
      <c r="Y70" s="17">
        <v>72996.31</v>
      </c>
      <c r="Z70" s="17">
        <v>7310.09</v>
      </c>
      <c r="AA70" s="17">
        <v>9867.82</v>
      </c>
      <c r="AB70" s="17">
        <v>34759.69</v>
      </c>
      <c r="AC70" s="17">
        <v>1753.02</v>
      </c>
      <c r="AD70" s="17">
        <v>1530.6</v>
      </c>
      <c r="AE70" s="18">
        <v>57369.01</v>
      </c>
      <c r="AF70" s="17">
        <v>1193.4100000000001</v>
      </c>
      <c r="AG70" s="17">
        <v>4569.54</v>
      </c>
      <c r="AH70" s="17">
        <v>104283.64</v>
      </c>
      <c r="AI70" s="17">
        <v>1541.53</v>
      </c>
      <c r="AJ70" s="17">
        <v>6903.53</v>
      </c>
      <c r="AK70" s="17">
        <v>81560.33</v>
      </c>
      <c r="AL70" s="17">
        <v>6276.69</v>
      </c>
      <c r="AM70" s="17">
        <v>16830.02</v>
      </c>
      <c r="AN70" s="17">
        <v>3304.09</v>
      </c>
      <c r="AO70" s="17">
        <v>3251.71</v>
      </c>
      <c r="AP70" s="17">
        <v>307.32</v>
      </c>
      <c r="AQ70" s="17">
        <v>73909.47</v>
      </c>
      <c r="AR70" s="17">
        <v>2755.11</v>
      </c>
      <c r="AS70" s="17">
        <v>1096.1600000000001</v>
      </c>
      <c r="AT70" s="17">
        <v>971.19</v>
      </c>
      <c r="AU70" s="17">
        <v>20200.12</v>
      </c>
      <c r="AV70" s="17">
        <v>1790.2</v>
      </c>
      <c r="AW70" s="17">
        <v>1380.83</v>
      </c>
      <c r="AX70" s="17">
        <v>8806.7199999999993</v>
      </c>
      <c r="AY70" s="19">
        <v>55619.96</v>
      </c>
      <c r="AZ70" s="17">
        <v>591.29999999999995</v>
      </c>
    </row>
    <row r="71" spans="1:52" x14ac:dyDescent="0.25">
      <c r="A71" s="21">
        <f t="shared" si="1"/>
        <v>45379</v>
      </c>
      <c r="B71" t="s">
        <v>651</v>
      </c>
      <c r="C71" s="17">
        <v>5254.35</v>
      </c>
      <c r="D71" s="17">
        <v>2750.81</v>
      </c>
      <c r="E71" s="17">
        <v>5083.42</v>
      </c>
      <c r="F71" s="17">
        <v>4338.05</v>
      </c>
      <c r="G71" s="9" t="e">
        <v>#N/A</v>
      </c>
      <c r="H71" s="17">
        <v>7896.86</v>
      </c>
      <c r="I71" s="17">
        <v>3535.79</v>
      </c>
      <c r="J71" s="17">
        <v>3845.63</v>
      </c>
      <c r="K71" s="17">
        <v>128106.1</v>
      </c>
      <c r="L71" s="17">
        <v>807.47</v>
      </c>
      <c r="M71" s="17">
        <v>22167.03</v>
      </c>
      <c r="N71" s="17">
        <v>33600.36</v>
      </c>
      <c r="O71" s="17">
        <v>3010.66</v>
      </c>
      <c r="P71" s="17">
        <v>2834.52</v>
      </c>
      <c r="Q71" s="17">
        <v>1515.16</v>
      </c>
      <c r="R71" s="17" t="e">
        <v>#N/A</v>
      </c>
      <c r="S71" s="17">
        <v>9746.89</v>
      </c>
      <c r="T71" s="17">
        <v>8205.81</v>
      </c>
      <c r="U71" s="17">
        <v>7293.2</v>
      </c>
      <c r="V71" s="17">
        <v>1422.35</v>
      </c>
      <c r="W71" s="17">
        <v>16541.419999999998</v>
      </c>
      <c r="X71" s="17">
        <v>65384.6</v>
      </c>
      <c r="Y71" s="17">
        <v>73651.350000000006</v>
      </c>
      <c r="Z71" s="17">
        <v>7288.81</v>
      </c>
      <c r="AA71" s="17">
        <v>9957.27</v>
      </c>
      <c r="AB71" s="17">
        <v>34750.35</v>
      </c>
      <c r="AC71" s="17">
        <v>1752.43</v>
      </c>
      <c r="AD71" s="17" t="e">
        <v>#N/A</v>
      </c>
      <c r="AE71" s="18" t="e">
        <v>#N/A</v>
      </c>
      <c r="AF71" s="17">
        <v>1195.8499999999999</v>
      </c>
      <c r="AG71" s="17">
        <v>4605.54</v>
      </c>
      <c r="AH71" s="17">
        <v>104562.06</v>
      </c>
      <c r="AI71" s="17">
        <v>1541.53</v>
      </c>
      <c r="AJ71" s="17" t="e">
        <v>#N/A</v>
      </c>
      <c r="AK71" s="17">
        <v>82745.58</v>
      </c>
      <c r="AL71" s="17">
        <v>6280.5</v>
      </c>
      <c r="AM71" s="17">
        <v>16928.98</v>
      </c>
      <c r="AN71" s="17">
        <v>3312.77</v>
      </c>
      <c r="AO71" s="17">
        <v>3224.01</v>
      </c>
      <c r="AP71" s="17">
        <v>307.32</v>
      </c>
      <c r="AQ71" s="17">
        <v>74535.990000000005</v>
      </c>
      <c r="AR71" s="17">
        <v>2745.82</v>
      </c>
      <c r="AS71" s="17">
        <v>1094.2</v>
      </c>
      <c r="AT71" s="17">
        <v>963.34</v>
      </c>
      <c r="AU71" s="17">
        <v>20146.55</v>
      </c>
      <c r="AV71" s="17">
        <v>1790.24</v>
      </c>
      <c r="AW71" s="17">
        <v>1370.34</v>
      </c>
      <c r="AX71" s="17">
        <v>9079.9699999999993</v>
      </c>
      <c r="AY71" s="19" t="e">
        <v>#N/A</v>
      </c>
      <c r="AZ71" s="17">
        <v>591.42999999999995</v>
      </c>
    </row>
    <row r="72" spans="1:52" x14ac:dyDescent="0.25">
      <c r="A72" s="21">
        <f t="shared" si="1"/>
        <v>45380</v>
      </c>
      <c r="B72" t="s">
        <v>652</v>
      </c>
      <c r="C72" s="17" t="e">
        <v>#N/A</v>
      </c>
      <c r="D72" s="17">
        <v>2768.62</v>
      </c>
      <c r="E72" s="17" t="e">
        <v>#N/A</v>
      </c>
      <c r="F72" s="17" t="e">
        <v>#N/A</v>
      </c>
      <c r="G72" s="9" t="e">
        <v>#N/A</v>
      </c>
      <c r="H72" s="17" t="e">
        <v>#N/A</v>
      </c>
      <c r="I72" s="17" t="e">
        <v>#N/A</v>
      </c>
      <c r="J72" s="17" t="e">
        <v>#N/A</v>
      </c>
      <c r="K72" s="17" t="e">
        <v>#N/A</v>
      </c>
      <c r="L72" s="17" t="e">
        <v>#N/A</v>
      </c>
      <c r="M72" s="17" t="e">
        <v>#N/A</v>
      </c>
      <c r="N72" s="17" t="e">
        <v>#N/A</v>
      </c>
      <c r="O72" s="17">
        <v>3041.17</v>
      </c>
      <c r="P72" s="17" t="e">
        <v>#N/A</v>
      </c>
      <c r="Q72" s="17" t="e">
        <v>#N/A</v>
      </c>
      <c r="R72" s="17" t="e">
        <v>#N/A</v>
      </c>
      <c r="S72" s="17" t="e">
        <v>#N/A</v>
      </c>
      <c r="T72" s="17" t="e">
        <v>#N/A</v>
      </c>
      <c r="U72" s="17" t="e">
        <v>#N/A</v>
      </c>
      <c r="V72" s="17" t="e">
        <v>#N/A</v>
      </c>
      <c r="W72" s="17" t="e">
        <v>#N/A</v>
      </c>
      <c r="X72" s="17" t="e">
        <v>#N/A</v>
      </c>
      <c r="Y72" s="17" t="e">
        <v>#N/A</v>
      </c>
      <c r="Z72" s="17" t="e">
        <v>#N/A</v>
      </c>
      <c r="AA72" s="17" t="e">
        <v>#N/A</v>
      </c>
      <c r="AB72" s="17" t="e">
        <v>#N/A</v>
      </c>
      <c r="AC72" s="17" t="e">
        <v>#N/A</v>
      </c>
      <c r="AD72" s="17">
        <v>1536.07</v>
      </c>
      <c r="AE72" s="18" t="e">
        <v>#N/A</v>
      </c>
      <c r="AF72" s="17" t="e">
        <v>#N/A</v>
      </c>
      <c r="AG72" s="17" t="e">
        <v>#N/A</v>
      </c>
      <c r="AH72" s="17" t="e">
        <v>#N/A</v>
      </c>
      <c r="AI72" s="17" t="e">
        <v>#N/A</v>
      </c>
      <c r="AJ72" s="17" t="e">
        <v>#N/A</v>
      </c>
      <c r="AK72" s="17" t="e">
        <v>#N/A</v>
      </c>
      <c r="AL72" s="17" t="e">
        <v>#N/A</v>
      </c>
      <c r="AM72" s="17">
        <v>17025.61</v>
      </c>
      <c r="AN72" s="17">
        <v>3332.53</v>
      </c>
      <c r="AO72" s="17" t="e">
        <v>#N/A</v>
      </c>
      <c r="AP72" s="17" t="e">
        <v>#N/A</v>
      </c>
      <c r="AQ72" s="17" t="e">
        <v>#N/A</v>
      </c>
      <c r="AR72" s="17">
        <v>2746.63</v>
      </c>
      <c r="AS72" s="17" t="e">
        <v>#N/A</v>
      </c>
      <c r="AT72" s="17" t="e">
        <v>#N/A</v>
      </c>
      <c r="AU72" s="17">
        <v>20294.45</v>
      </c>
      <c r="AV72" s="17" t="e">
        <v>#N/A</v>
      </c>
      <c r="AW72" s="17">
        <v>1377.94</v>
      </c>
      <c r="AX72" s="17">
        <v>9142.4</v>
      </c>
      <c r="AY72" s="19" t="e">
        <v>#N/A</v>
      </c>
      <c r="AZ72" s="17">
        <v>591.79999999999995</v>
      </c>
    </row>
    <row r="73" spans="1:52" x14ac:dyDescent="0.25">
      <c r="A73" s="21">
        <f t="shared" si="1"/>
        <v>45383</v>
      </c>
      <c r="B73" t="s">
        <v>653</v>
      </c>
      <c r="C73" s="17">
        <v>5243.77</v>
      </c>
      <c r="D73" s="17">
        <v>2721.22</v>
      </c>
      <c r="E73" s="17" t="e">
        <v>#N/A</v>
      </c>
      <c r="F73" s="17" t="e">
        <v>#N/A</v>
      </c>
      <c r="G73" s="9" t="e">
        <v>#N/A</v>
      </c>
      <c r="H73" s="17" t="e">
        <v>#N/A</v>
      </c>
      <c r="I73" s="17" t="e">
        <v>#N/A</v>
      </c>
      <c r="J73" s="17" t="e">
        <v>#N/A</v>
      </c>
      <c r="K73" s="17">
        <v>126990.45</v>
      </c>
      <c r="L73" s="17" t="e">
        <v>#N/A</v>
      </c>
      <c r="M73" s="17">
        <v>22185.25</v>
      </c>
      <c r="N73" s="17">
        <v>33593.81</v>
      </c>
      <c r="O73" s="17">
        <v>3077.38</v>
      </c>
      <c r="P73" s="17" t="e">
        <v>#N/A</v>
      </c>
      <c r="Q73" s="17" t="e">
        <v>#N/A</v>
      </c>
      <c r="R73" s="17" t="e">
        <v>#N/A</v>
      </c>
      <c r="S73" s="17" t="e">
        <v>#N/A</v>
      </c>
      <c r="T73" s="17" t="e">
        <v>#N/A</v>
      </c>
      <c r="U73" s="17" t="e">
        <v>#N/A</v>
      </c>
      <c r="V73" s="17" t="e">
        <v>#N/A</v>
      </c>
      <c r="W73" s="17" t="e">
        <v>#N/A</v>
      </c>
      <c r="X73" s="17" t="e">
        <v>#N/A</v>
      </c>
      <c r="Y73" s="17">
        <v>74014.55</v>
      </c>
      <c r="Z73" s="17">
        <v>7205.06</v>
      </c>
      <c r="AA73" s="17" t="e">
        <v>#N/A</v>
      </c>
      <c r="AB73" s="17" t="e">
        <v>#N/A</v>
      </c>
      <c r="AC73" s="17" t="e">
        <v>#N/A</v>
      </c>
      <c r="AD73" s="17">
        <v>1544.02</v>
      </c>
      <c r="AE73" s="18">
        <v>57653.23</v>
      </c>
      <c r="AF73" s="17" t="e">
        <v>#N/A</v>
      </c>
      <c r="AG73" s="17" t="e">
        <v>#N/A</v>
      </c>
      <c r="AH73" s="17" t="e">
        <v>#N/A</v>
      </c>
      <c r="AI73" s="17" t="e">
        <v>#N/A</v>
      </c>
      <c r="AJ73" s="17">
        <v>6979.81</v>
      </c>
      <c r="AK73" s="17" t="e">
        <v>#N/A</v>
      </c>
      <c r="AL73" s="17" t="e">
        <v>#N/A</v>
      </c>
      <c r="AM73" s="17">
        <v>17027.05</v>
      </c>
      <c r="AN73" s="17">
        <v>3363.29</v>
      </c>
      <c r="AO73" s="17">
        <v>3234.89</v>
      </c>
      <c r="AP73" s="17" t="e">
        <v>#N/A</v>
      </c>
      <c r="AQ73" s="17" t="e">
        <v>#N/A</v>
      </c>
      <c r="AR73" s="17">
        <v>2747.86</v>
      </c>
      <c r="AS73" s="17" t="e">
        <v>#N/A</v>
      </c>
      <c r="AT73" s="17" t="e">
        <v>#N/A</v>
      </c>
      <c r="AU73" s="17">
        <v>20222.330000000002</v>
      </c>
      <c r="AV73" s="17" t="e">
        <v>#N/A</v>
      </c>
      <c r="AW73" s="17">
        <v>1379.48</v>
      </c>
      <c r="AX73" s="17">
        <v>9157.5400000000009</v>
      </c>
      <c r="AY73" s="19">
        <v>57672.99</v>
      </c>
      <c r="AZ73" s="17">
        <v>589.57000000000005</v>
      </c>
    </row>
    <row r="74" spans="1:52" x14ac:dyDescent="0.25">
      <c r="A74" s="21">
        <f t="shared" si="1"/>
        <v>45384</v>
      </c>
      <c r="B74" t="s">
        <v>654</v>
      </c>
      <c r="C74" s="17">
        <v>5205.8100000000004</v>
      </c>
      <c r="D74" s="17">
        <v>2714.45</v>
      </c>
      <c r="E74" s="17">
        <v>5042</v>
      </c>
      <c r="F74" s="17">
        <v>4324.53</v>
      </c>
      <c r="G74" s="9" t="e">
        <v>#N/A</v>
      </c>
      <c r="H74" s="17">
        <v>7887.87</v>
      </c>
      <c r="I74" s="17">
        <v>3537.13</v>
      </c>
      <c r="J74" s="17">
        <v>3829.98</v>
      </c>
      <c r="K74" s="17">
        <v>127548.52</v>
      </c>
      <c r="L74" s="17">
        <v>807.7</v>
      </c>
      <c r="M74" s="17">
        <v>22075.1</v>
      </c>
      <c r="N74" s="17">
        <v>33564.28</v>
      </c>
      <c r="O74" s="17">
        <v>3074.96</v>
      </c>
      <c r="P74" s="17">
        <v>2835.44</v>
      </c>
      <c r="Q74" s="17">
        <v>1525.39</v>
      </c>
      <c r="R74" s="17">
        <v>2632.86</v>
      </c>
      <c r="S74" s="17">
        <v>9727.7099999999991</v>
      </c>
      <c r="T74" s="17">
        <v>8130.05</v>
      </c>
      <c r="U74" s="17">
        <v>7210.53</v>
      </c>
      <c r="V74" s="17">
        <v>1393.84</v>
      </c>
      <c r="W74" s="17">
        <v>16931.52</v>
      </c>
      <c r="X74" s="17">
        <v>65811.240000000005</v>
      </c>
      <c r="Y74" s="17">
        <v>73903.91</v>
      </c>
      <c r="Z74" s="17">
        <v>7236.98</v>
      </c>
      <c r="AA74" s="17">
        <v>9894.42</v>
      </c>
      <c r="AB74" s="17">
        <v>34325.230000000003</v>
      </c>
      <c r="AC74" s="17">
        <v>1758.59</v>
      </c>
      <c r="AD74" s="17">
        <v>1547.99</v>
      </c>
      <c r="AE74" s="18">
        <v>57581.81</v>
      </c>
      <c r="AF74" s="17">
        <v>1194.75</v>
      </c>
      <c r="AG74" s="17">
        <v>4601.95</v>
      </c>
      <c r="AH74" s="17">
        <v>104518.14</v>
      </c>
      <c r="AI74" s="17">
        <v>1563.16</v>
      </c>
      <c r="AJ74" s="17">
        <v>6960.43</v>
      </c>
      <c r="AK74" s="17">
        <v>82895.600000000006</v>
      </c>
      <c r="AL74" s="17">
        <v>6307.21</v>
      </c>
      <c r="AM74" s="17">
        <v>17022.84</v>
      </c>
      <c r="AN74" s="17">
        <v>3371.29</v>
      </c>
      <c r="AO74" s="17">
        <v>3247.72</v>
      </c>
      <c r="AP74" s="17">
        <v>307.32</v>
      </c>
      <c r="AQ74" s="17">
        <v>74429.48</v>
      </c>
      <c r="AR74" s="17">
        <v>2753.16</v>
      </c>
      <c r="AS74" s="17">
        <v>1085.78</v>
      </c>
      <c r="AT74" s="17">
        <v>958.26</v>
      </c>
      <c r="AU74" s="17">
        <v>20466.57</v>
      </c>
      <c r="AV74" s="17">
        <v>1784.06</v>
      </c>
      <c r="AW74" s="17">
        <v>1379.46</v>
      </c>
      <c r="AX74" s="17">
        <v>9040.8700000000008</v>
      </c>
      <c r="AY74" s="19">
        <v>58116.66</v>
      </c>
      <c r="AZ74" s="17">
        <v>586.70000000000005</v>
      </c>
    </row>
    <row r="75" spans="1:52" x14ac:dyDescent="0.25">
      <c r="A75" s="21">
        <f t="shared" si="1"/>
        <v>45385</v>
      </c>
      <c r="B75" t="s">
        <v>655</v>
      </c>
      <c r="C75" s="17">
        <v>5211.49</v>
      </c>
      <c r="D75" s="17">
        <v>2706.51</v>
      </c>
      <c r="E75" s="17">
        <v>5069.25</v>
      </c>
      <c r="F75" s="17">
        <v>4326.83</v>
      </c>
      <c r="G75" s="9">
        <v>51773395.5</v>
      </c>
      <c r="H75" s="17">
        <v>7782.53</v>
      </c>
      <c r="I75" s="17">
        <v>3551.06</v>
      </c>
      <c r="J75" s="17">
        <v>3856.1</v>
      </c>
      <c r="K75" s="17">
        <v>127318.39</v>
      </c>
      <c r="L75" s="17">
        <v>808.4</v>
      </c>
      <c r="M75" s="17">
        <v>22112.46</v>
      </c>
      <c r="N75" s="17">
        <v>33476.07</v>
      </c>
      <c r="O75" s="17">
        <v>3069.3</v>
      </c>
      <c r="P75" s="17">
        <v>2830.81</v>
      </c>
      <c r="Q75" s="17">
        <v>1520.43</v>
      </c>
      <c r="R75" s="17">
        <v>2659.92</v>
      </c>
      <c r="S75" s="17">
        <v>9785.1200000000008</v>
      </c>
      <c r="T75" s="17">
        <v>8153.23</v>
      </c>
      <c r="U75" s="17">
        <v>7243.89</v>
      </c>
      <c r="V75" s="17">
        <v>1383.69</v>
      </c>
      <c r="W75" s="17">
        <v>16725.099999999999</v>
      </c>
      <c r="X75" s="17">
        <v>66839.149999999994</v>
      </c>
      <c r="Y75" s="17">
        <v>73876.820000000007</v>
      </c>
      <c r="Z75" s="17">
        <v>7166.84</v>
      </c>
      <c r="AA75" s="17">
        <v>10063.549999999999</v>
      </c>
      <c r="AB75" s="17">
        <v>34480.870000000003</v>
      </c>
      <c r="AC75" s="17">
        <v>1751.5</v>
      </c>
      <c r="AD75" s="17">
        <v>1537.01</v>
      </c>
      <c r="AE75" s="18">
        <v>57503.39</v>
      </c>
      <c r="AF75" s="17">
        <v>1202.79</v>
      </c>
      <c r="AG75" s="17">
        <v>4580.8900000000003</v>
      </c>
      <c r="AH75" s="17">
        <v>104181.32</v>
      </c>
      <c r="AI75" s="17">
        <v>1572.67</v>
      </c>
      <c r="AJ75" s="17">
        <v>6863.82</v>
      </c>
      <c r="AK75" s="17">
        <v>82863.210000000006</v>
      </c>
      <c r="AL75" s="17">
        <v>6304.03</v>
      </c>
      <c r="AM75" s="17">
        <v>17044.36</v>
      </c>
      <c r="AN75" s="17">
        <v>3395.59</v>
      </c>
      <c r="AO75" s="17">
        <v>3222.66</v>
      </c>
      <c r="AP75" s="17">
        <v>308.97000000000003</v>
      </c>
      <c r="AQ75" s="17">
        <v>74097.929999999993</v>
      </c>
      <c r="AR75" s="17">
        <v>2706.97</v>
      </c>
      <c r="AS75" s="17">
        <v>1091.57</v>
      </c>
      <c r="AT75" s="17">
        <v>959.91</v>
      </c>
      <c r="AU75" s="17">
        <v>20337.599999999999</v>
      </c>
      <c r="AV75" s="17">
        <v>1787.54</v>
      </c>
      <c r="AW75" s="17">
        <v>1375.69</v>
      </c>
      <c r="AX75" s="17">
        <v>8945.7999999999993</v>
      </c>
      <c r="AY75" s="19">
        <v>57595.93</v>
      </c>
      <c r="AZ75" s="17">
        <v>587.35</v>
      </c>
    </row>
    <row r="76" spans="1:52" x14ac:dyDescent="0.25">
      <c r="A76" s="21">
        <f t="shared" si="1"/>
        <v>45386</v>
      </c>
      <c r="B76" t="s">
        <v>656</v>
      </c>
      <c r="C76" s="17">
        <v>5147.21</v>
      </c>
      <c r="D76" s="17">
        <v>2732</v>
      </c>
      <c r="E76" s="17">
        <v>5070.76</v>
      </c>
      <c r="F76" s="17">
        <v>4348.49</v>
      </c>
      <c r="G76" s="9">
        <v>50618240.899999999</v>
      </c>
      <c r="H76" s="17">
        <v>7817.34</v>
      </c>
      <c r="I76" s="17">
        <v>3571.94</v>
      </c>
      <c r="J76" s="17">
        <v>3872.45</v>
      </c>
      <c r="K76" s="17">
        <v>127427.53</v>
      </c>
      <c r="L76" s="17">
        <v>798.58</v>
      </c>
      <c r="M76" s="17">
        <v>22051.79</v>
      </c>
      <c r="N76" s="17">
        <v>33343.870000000003</v>
      </c>
      <c r="O76" s="17" t="e">
        <v>#N/A</v>
      </c>
      <c r="P76" s="17">
        <v>2831.47</v>
      </c>
      <c r="Q76" s="17">
        <v>1528.88</v>
      </c>
      <c r="R76" s="17">
        <v>2626.72</v>
      </c>
      <c r="S76" s="17">
        <v>9893.1200000000008</v>
      </c>
      <c r="T76" s="17">
        <v>8151.55</v>
      </c>
      <c r="U76" s="17">
        <v>7257.86</v>
      </c>
      <c r="V76" s="17">
        <v>1386.38</v>
      </c>
      <c r="W76" s="17" t="e">
        <v>#N/A</v>
      </c>
      <c r="X76" s="17">
        <v>66625.06</v>
      </c>
      <c r="Y76" s="17">
        <v>74227.63</v>
      </c>
      <c r="Z76" s="17">
        <v>7254.4</v>
      </c>
      <c r="AA76" s="17">
        <v>10020.34</v>
      </c>
      <c r="AB76" s="17">
        <v>34454.58</v>
      </c>
      <c r="AC76" s="17">
        <v>1747.85</v>
      </c>
      <c r="AD76" s="17">
        <v>1553.24</v>
      </c>
      <c r="AE76" s="18">
        <v>57882.76</v>
      </c>
      <c r="AF76" s="17">
        <v>1202.83</v>
      </c>
      <c r="AG76" s="17">
        <v>4578.8999999999996</v>
      </c>
      <c r="AH76" s="17">
        <v>103736.08</v>
      </c>
      <c r="AI76" s="17">
        <v>1571.8</v>
      </c>
      <c r="AJ76" s="17">
        <v>6827.06</v>
      </c>
      <c r="AK76" s="17">
        <v>83866.960000000006</v>
      </c>
      <c r="AL76" s="17">
        <v>6309.65</v>
      </c>
      <c r="AM76" s="17">
        <v>17072.07</v>
      </c>
      <c r="AN76" s="17">
        <v>3407.57</v>
      </c>
      <c r="AO76" s="17">
        <v>3235.01</v>
      </c>
      <c r="AP76" s="17">
        <v>308.97000000000003</v>
      </c>
      <c r="AQ76" s="17">
        <v>75372.98</v>
      </c>
      <c r="AR76" s="17">
        <v>2742</v>
      </c>
      <c r="AS76" s="17">
        <v>1098.95</v>
      </c>
      <c r="AT76" s="17">
        <v>962.77</v>
      </c>
      <c r="AU76" s="17" t="e">
        <v>#N/A</v>
      </c>
      <c r="AV76" s="17">
        <v>1787.37</v>
      </c>
      <c r="AW76" s="17">
        <v>1373.89</v>
      </c>
      <c r="AX76" s="17">
        <v>9129.02</v>
      </c>
      <c r="AY76" s="19">
        <v>57754.91</v>
      </c>
      <c r="AZ76" s="17">
        <v>584.39</v>
      </c>
    </row>
    <row r="77" spans="1:52" x14ac:dyDescent="0.25">
      <c r="A77" s="21">
        <f t="shared" si="1"/>
        <v>45387</v>
      </c>
      <c r="B77" t="s">
        <v>657</v>
      </c>
      <c r="C77" s="17">
        <v>5204.34</v>
      </c>
      <c r="D77" s="17">
        <v>2702.62</v>
      </c>
      <c r="E77" s="17">
        <v>5014.75</v>
      </c>
      <c r="F77" s="17">
        <v>4313.9399999999996</v>
      </c>
      <c r="G77" s="9">
        <v>51934477</v>
      </c>
      <c r="H77" s="17">
        <v>7773.27</v>
      </c>
      <c r="I77" s="17">
        <v>3566.61</v>
      </c>
      <c r="J77" s="17">
        <v>3834.33</v>
      </c>
      <c r="K77" s="17">
        <v>126795.41</v>
      </c>
      <c r="L77" s="17">
        <v>799.05</v>
      </c>
      <c r="M77" s="17">
        <v>22264.38</v>
      </c>
      <c r="N77" s="17">
        <v>33003.300000000003</v>
      </c>
      <c r="O77" s="17">
        <v>3047.05</v>
      </c>
      <c r="P77" s="17">
        <v>2825.21</v>
      </c>
      <c r="Q77" s="17">
        <v>1525.51</v>
      </c>
      <c r="R77" s="17">
        <v>2633.19</v>
      </c>
      <c r="S77" s="17">
        <v>9896</v>
      </c>
      <c r="T77" s="17">
        <v>8061.31</v>
      </c>
      <c r="U77" s="17">
        <v>7167.9</v>
      </c>
      <c r="V77" s="17">
        <v>1383.45</v>
      </c>
      <c r="W77" s="17">
        <v>16723.919999999998</v>
      </c>
      <c r="X77" s="17">
        <v>66527.41</v>
      </c>
      <c r="Y77" s="17">
        <v>74248.22</v>
      </c>
      <c r="Z77" s="17">
        <v>7286.88</v>
      </c>
      <c r="AA77" s="17">
        <v>10050.540000000001</v>
      </c>
      <c r="AB77" s="17">
        <v>34010.879999999997</v>
      </c>
      <c r="AC77" s="17">
        <v>1748.1</v>
      </c>
      <c r="AD77" s="17">
        <v>1555.25</v>
      </c>
      <c r="AE77" s="18">
        <v>58092.44</v>
      </c>
      <c r="AF77" s="17">
        <v>1198.82</v>
      </c>
      <c r="AG77" s="17">
        <v>4569.93</v>
      </c>
      <c r="AH77" s="17">
        <v>103437.67</v>
      </c>
      <c r="AI77" s="17">
        <v>1574.32</v>
      </c>
      <c r="AJ77" s="17">
        <v>6745.46</v>
      </c>
      <c r="AK77" s="17">
        <v>83642.11</v>
      </c>
      <c r="AL77" s="17">
        <v>6219.01</v>
      </c>
      <c r="AM77" s="17">
        <v>17152.91</v>
      </c>
      <c r="AN77" s="17">
        <v>3395.37</v>
      </c>
      <c r="AO77" s="17">
        <v>3218.26</v>
      </c>
      <c r="AP77" s="17">
        <v>309.62</v>
      </c>
      <c r="AQ77" s="17">
        <v>74774.720000000001</v>
      </c>
      <c r="AR77" s="17">
        <v>2714.21</v>
      </c>
      <c r="AS77" s="17">
        <v>1081.8900000000001</v>
      </c>
      <c r="AT77" s="17">
        <v>955.12</v>
      </c>
      <c r="AU77" s="17" t="e">
        <v>#N/A</v>
      </c>
      <c r="AV77" s="17" t="e">
        <v>#N/A</v>
      </c>
      <c r="AW77" s="17">
        <v>1375.58</v>
      </c>
      <c r="AX77" s="17">
        <v>9618.83</v>
      </c>
      <c r="AY77" s="19">
        <v>58983.839999999997</v>
      </c>
      <c r="AZ77" s="17">
        <v>586.47</v>
      </c>
    </row>
    <row r="78" spans="1:52" x14ac:dyDescent="0.25">
      <c r="A78" s="21">
        <f t="shared" ref="A78:A141" si="2">+A73+7</f>
        <v>45390</v>
      </c>
      <c r="B78" t="s">
        <v>658</v>
      </c>
      <c r="C78" s="17">
        <v>5202.3900000000003</v>
      </c>
      <c r="D78" s="17">
        <v>2728.32</v>
      </c>
      <c r="E78" s="17">
        <v>5046.05</v>
      </c>
      <c r="F78" s="17">
        <v>4333.28</v>
      </c>
      <c r="G78" s="9">
        <v>52670391.399999999</v>
      </c>
      <c r="H78" s="17">
        <v>7789.08</v>
      </c>
      <c r="I78" s="17">
        <v>3592.33</v>
      </c>
      <c r="J78" s="17">
        <v>3849.87</v>
      </c>
      <c r="K78" s="17">
        <v>128857.16</v>
      </c>
      <c r="L78" s="17">
        <v>798.26</v>
      </c>
      <c r="M78" s="17">
        <v>22260.3</v>
      </c>
      <c r="N78" s="17">
        <v>33439.440000000002</v>
      </c>
      <c r="O78" s="17">
        <v>3047.05</v>
      </c>
      <c r="P78" s="17">
        <v>2831.7</v>
      </c>
      <c r="Q78" s="17">
        <v>1533.54</v>
      </c>
      <c r="R78" s="17">
        <v>2642.31</v>
      </c>
      <c r="S78" s="17">
        <v>9935.8700000000008</v>
      </c>
      <c r="T78" s="17">
        <v>8119.3</v>
      </c>
      <c r="U78" s="17">
        <v>7224.66</v>
      </c>
      <c r="V78" s="17">
        <v>1401.35</v>
      </c>
      <c r="W78" s="17">
        <v>16732.849999999999</v>
      </c>
      <c r="X78" s="17">
        <v>66544.12</v>
      </c>
      <c r="Y78" s="17">
        <v>74742.5</v>
      </c>
      <c r="Z78" s="17" t="e">
        <v>#N/A</v>
      </c>
      <c r="AA78" s="17">
        <v>10147.02</v>
      </c>
      <c r="AB78" s="17">
        <v>34315.96</v>
      </c>
      <c r="AC78" s="17">
        <v>1742.41</v>
      </c>
      <c r="AD78" s="17">
        <v>1559.98</v>
      </c>
      <c r="AE78" s="18">
        <v>57989.94</v>
      </c>
      <c r="AF78" s="17">
        <v>1206.1300000000001</v>
      </c>
      <c r="AG78" s="17">
        <v>4555.22</v>
      </c>
      <c r="AH78" s="17">
        <v>103046.99</v>
      </c>
      <c r="AI78" s="17">
        <v>1571.37</v>
      </c>
      <c r="AJ78" s="17">
        <v>6741.07</v>
      </c>
      <c r="AK78" s="17">
        <v>84664.91</v>
      </c>
      <c r="AL78" s="17">
        <v>6265.47</v>
      </c>
      <c r="AM78" s="17">
        <v>17251.45</v>
      </c>
      <c r="AN78" s="17">
        <v>3417.38</v>
      </c>
      <c r="AO78" s="17">
        <v>3215.99</v>
      </c>
      <c r="AP78" s="17">
        <v>309.62</v>
      </c>
      <c r="AQ78" s="17">
        <v>75334.92</v>
      </c>
      <c r="AR78" s="17">
        <v>2717.65</v>
      </c>
      <c r="AS78" s="17">
        <v>1080.71</v>
      </c>
      <c r="AT78" s="17">
        <v>962.73</v>
      </c>
      <c r="AU78" s="17">
        <v>20417.7</v>
      </c>
      <c r="AV78" s="17">
        <v>1784.66</v>
      </c>
      <c r="AW78" s="17" t="e">
        <v>#N/A</v>
      </c>
      <c r="AX78" s="17">
        <v>9756.69</v>
      </c>
      <c r="AY78" s="19">
        <v>58662.53</v>
      </c>
      <c r="AZ78" s="17">
        <v>587.80999999999995</v>
      </c>
    </row>
    <row r="79" spans="1:52" x14ac:dyDescent="0.25">
      <c r="A79" s="21">
        <f t="shared" si="2"/>
        <v>45391</v>
      </c>
      <c r="B79" t="s">
        <v>659</v>
      </c>
      <c r="C79" s="17">
        <v>5209.91</v>
      </c>
      <c r="D79" s="17">
        <v>2754.69</v>
      </c>
      <c r="E79" s="17">
        <v>4990.8999999999996</v>
      </c>
      <c r="F79" s="17">
        <v>4326.4799999999996</v>
      </c>
      <c r="G79" s="9">
        <v>53532801.799999997</v>
      </c>
      <c r="H79" s="17">
        <v>7824.24</v>
      </c>
      <c r="I79" s="17">
        <v>3585.94</v>
      </c>
      <c r="J79" s="17">
        <v>3845.42</v>
      </c>
      <c r="K79" s="17">
        <v>129890.37</v>
      </c>
      <c r="L79" s="17">
        <v>801.37</v>
      </c>
      <c r="M79" s="17">
        <v>22361.78</v>
      </c>
      <c r="N79" s="17">
        <v>33759.57</v>
      </c>
      <c r="O79" s="17">
        <v>3048.54</v>
      </c>
      <c r="P79" s="17">
        <v>2817.97</v>
      </c>
      <c r="Q79" s="17">
        <v>1536.49</v>
      </c>
      <c r="R79" s="17">
        <v>2610.94</v>
      </c>
      <c r="S79" s="17">
        <v>9957.61</v>
      </c>
      <c r="T79" s="17">
        <v>8049.17</v>
      </c>
      <c r="U79" s="17">
        <v>7129.11</v>
      </c>
      <c r="V79" s="17">
        <v>1417.75</v>
      </c>
      <c r="W79" s="17">
        <v>16828.07</v>
      </c>
      <c r="X79" s="17">
        <v>66343.66</v>
      </c>
      <c r="Y79" s="17">
        <v>74683.7</v>
      </c>
      <c r="Z79" s="17" t="e">
        <v>#N/A</v>
      </c>
      <c r="AA79" s="17">
        <v>10068.16</v>
      </c>
      <c r="AB79" s="17">
        <v>33946.29</v>
      </c>
      <c r="AC79" s="17">
        <v>1738.99</v>
      </c>
      <c r="AD79" s="17">
        <v>1553.51</v>
      </c>
      <c r="AE79" s="18">
        <v>57571.15</v>
      </c>
      <c r="AF79" s="17">
        <v>1199.07</v>
      </c>
      <c r="AG79" s="17">
        <v>4533.6099999999997</v>
      </c>
      <c r="AH79" s="17" t="e">
        <v>#N/A</v>
      </c>
      <c r="AI79" s="17">
        <v>1572.64</v>
      </c>
      <c r="AJ79" s="17" t="e">
        <v>#N/A</v>
      </c>
      <c r="AK79" s="17">
        <v>83705.16</v>
      </c>
      <c r="AL79" s="17">
        <v>6275.83</v>
      </c>
      <c r="AM79" s="17">
        <v>17209.48</v>
      </c>
      <c r="AN79" s="17">
        <v>3414.26</v>
      </c>
      <c r="AO79" s="17">
        <v>3237.52</v>
      </c>
      <c r="AP79" s="17">
        <v>309.62</v>
      </c>
      <c r="AQ79" s="17">
        <v>75486.92</v>
      </c>
      <c r="AR79" s="17">
        <v>2705.16</v>
      </c>
      <c r="AS79" s="17">
        <v>1070.69</v>
      </c>
      <c r="AT79" s="17">
        <v>956.36</v>
      </c>
      <c r="AU79" s="17">
        <v>20796.2</v>
      </c>
      <c r="AV79" s="17">
        <v>1784.97</v>
      </c>
      <c r="AW79" s="17">
        <v>1401.11</v>
      </c>
      <c r="AX79" s="17">
        <v>9814.19</v>
      </c>
      <c r="AY79" s="19">
        <v>58959.94</v>
      </c>
      <c r="AZ79" s="17">
        <v>588.79999999999995</v>
      </c>
    </row>
    <row r="80" spans="1:52" x14ac:dyDescent="0.25">
      <c r="A80" s="21">
        <f t="shared" si="2"/>
        <v>45392</v>
      </c>
      <c r="B80" t="s">
        <v>660</v>
      </c>
      <c r="C80" s="17">
        <v>5160.6400000000003</v>
      </c>
      <c r="D80" s="17">
        <v>2742.79</v>
      </c>
      <c r="E80" s="17">
        <v>5000.83</v>
      </c>
      <c r="F80" s="17">
        <v>4339.84</v>
      </c>
      <c r="G80" s="9">
        <v>52799815.100000001</v>
      </c>
      <c r="H80" s="17">
        <v>7848.45</v>
      </c>
      <c r="I80" s="17">
        <v>3565.22</v>
      </c>
      <c r="J80" s="17">
        <v>3831.77</v>
      </c>
      <c r="K80" s="17">
        <v>128053.74</v>
      </c>
      <c r="L80" s="17">
        <v>805.67</v>
      </c>
      <c r="M80" s="17">
        <v>22199.13</v>
      </c>
      <c r="N80" s="17">
        <v>33868.269999999997</v>
      </c>
      <c r="O80" s="17">
        <v>3027.33</v>
      </c>
      <c r="P80" s="17">
        <v>2817.56</v>
      </c>
      <c r="Q80" s="17">
        <v>1548.83</v>
      </c>
      <c r="R80" s="17">
        <v>2622.45</v>
      </c>
      <c r="S80" s="17">
        <v>9948.4500000000007</v>
      </c>
      <c r="T80" s="17">
        <v>8045.38</v>
      </c>
      <c r="U80" s="17">
        <v>7137.24</v>
      </c>
      <c r="V80" s="17">
        <v>1420.3</v>
      </c>
      <c r="W80" s="17">
        <v>17139.169999999998</v>
      </c>
      <c r="X80" s="17">
        <v>67271.28</v>
      </c>
      <c r="Y80" s="17">
        <v>75038.149999999994</v>
      </c>
      <c r="Z80" s="17" t="e">
        <v>#N/A</v>
      </c>
      <c r="AA80" s="17">
        <v>10146.209999999999</v>
      </c>
      <c r="AB80" s="17">
        <v>34039.629999999997</v>
      </c>
      <c r="AC80" s="17" t="e">
        <v>#N/A</v>
      </c>
      <c r="AD80" s="17" t="e">
        <v>#N/A</v>
      </c>
      <c r="AE80" s="18">
        <v>56636.54</v>
      </c>
      <c r="AF80" s="17">
        <v>1207.73</v>
      </c>
      <c r="AG80" s="17">
        <v>4554.1499999999996</v>
      </c>
      <c r="AH80" s="17" t="e">
        <v>#N/A</v>
      </c>
      <c r="AI80" s="17">
        <v>1577.6</v>
      </c>
      <c r="AJ80" s="17" t="e">
        <v>#N/A</v>
      </c>
      <c r="AK80" s="17">
        <v>84406.399999999994</v>
      </c>
      <c r="AL80" s="17">
        <v>6279.78</v>
      </c>
      <c r="AM80" s="17">
        <v>17199.849999999999</v>
      </c>
      <c r="AN80" s="17">
        <v>3439.11</v>
      </c>
      <c r="AO80" s="17" t="e">
        <v>#N/A</v>
      </c>
      <c r="AP80" s="17">
        <v>309.62</v>
      </c>
      <c r="AQ80" s="17">
        <v>75520.37</v>
      </c>
      <c r="AR80" s="17" t="e">
        <v>#N/A</v>
      </c>
      <c r="AS80" s="17">
        <v>1067.17</v>
      </c>
      <c r="AT80" s="17">
        <v>955.15</v>
      </c>
      <c r="AU80" s="17">
        <v>20763.53</v>
      </c>
      <c r="AV80" s="17" t="e">
        <v>#N/A</v>
      </c>
      <c r="AW80" s="17">
        <v>1408.17</v>
      </c>
      <c r="AX80" s="17" t="e">
        <v>#N/A</v>
      </c>
      <c r="AY80" s="19">
        <v>60564.84</v>
      </c>
      <c r="AZ80" s="17">
        <v>583.74</v>
      </c>
    </row>
    <row r="81" spans="1:52" x14ac:dyDescent="0.25">
      <c r="A81" s="21">
        <f t="shared" si="2"/>
        <v>45393</v>
      </c>
      <c r="B81" t="s">
        <v>661</v>
      </c>
      <c r="C81" s="17">
        <v>5199.0600000000004</v>
      </c>
      <c r="D81" s="17">
        <v>2746.96</v>
      </c>
      <c r="E81" s="17">
        <v>4966.68</v>
      </c>
      <c r="F81" s="17">
        <v>4322.37</v>
      </c>
      <c r="G81" s="9">
        <v>53848948.600000001</v>
      </c>
      <c r="H81" s="17">
        <v>7813.58</v>
      </c>
      <c r="I81" s="17">
        <v>3544.84</v>
      </c>
      <c r="J81" s="17">
        <v>3836.85</v>
      </c>
      <c r="K81" s="17">
        <v>127396.35</v>
      </c>
      <c r="L81" s="17">
        <v>811.83</v>
      </c>
      <c r="M81" s="17">
        <v>22110.11</v>
      </c>
      <c r="N81" s="17">
        <v>34048.07</v>
      </c>
      <c r="O81" s="17">
        <v>3034.25</v>
      </c>
      <c r="P81" s="17">
        <v>2811.12</v>
      </c>
      <c r="Q81" s="17">
        <v>1546.89</v>
      </c>
      <c r="R81" s="17">
        <v>2631.02</v>
      </c>
      <c r="S81" s="17">
        <v>9924.6299999999992</v>
      </c>
      <c r="T81" s="17">
        <v>8023.74</v>
      </c>
      <c r="U81" s="17">
        <v>7066.87</v>
      </c>
      <c r="V81" s="17">
        <v>1416.53</v>
      </c>
      <c r="W81" s="17">
        <v>17095.03</v>
      </c>
      <c r="X81" s="17">
        <v>67205.070000000007</v>
      </c>
      <c r="Y81" s="17" t="e">
        <v>#N/A</v>
      </c>
      <c r="Z81" s="17" t="e">
        <v>#N/A</v>
      </c>
      <c r="AA81" s="17">
        <v>9983.67</v>
      </c>
      <c r="AB81" s="17">
        <v>33713.94</v>
      </c>
      <c r="AC81" s="17">
        <v>1741.12</v>
      </c>
      <c r="AD81" s="17" t="e">
        <v>#N/A</v>
      </c>
      <c r="AE81" s="18">
        <v>56830.32</v>
      </c>
      <c r="AF81" s="17">
        <v>1203.31</v>
      </c>
      <c r="AG81" s="17">
        <v>4539.84</v>
      </c>
      <c r="AH81" s="17" t="e">
        <v>#N/A</v>
      </c>
      <c r="AI81" s="17">
        <v>1580.18</v>
      </c>
      <c r="AJ81" s="17">
        <v>6677.65</v>
      </c>
      <c r="AK81" s="17">
        <v>83492.28</v>
      </c>
      <c r="AL81" s="17">
        <v>6296.44</v>
      </c>
      <c r="AM81" s="17">
        <v>17013.16</v>
      </c>
      <c r="AN81" s="17">
        <v>3439.53</v>
      </c>
      <c r="AO81" s="17">
        <v>3227.61</v>
      </c>
      <c r="AP81" s="17">
        <v>316.19</v>
      </c>
      <c r="AQ81" s="17">
        <v>75303.25</v>
      </c>
      <c r="AR81" s="17">
        <v>2706.96</v>
      </c>
      <c r="AS81" s="17">
        <v>1054.76</v>
      </c>
      <c r="AT81" s="17">
        <v>947.71</v>
      </c>
      <c r="AU81" s="17">
        <v>20753.22</v>
      </c>
      <c r="AV81" s="17" t="e">
        <v>#N/A</v>
      </c>
      <c r="AW81" s="17">
        <v>1396.38</v>
      </c>
      <c r="AX81" s="17" t="e">
        <v>#N/A</v>
      </c>
      <c r="AY81" s="19">
        <v>60547.92</v>
      </c>
      <c r="AZ81" s="17">
        <v>585.03</v>
      </c>
    </row>
    <row r="82" spans="1:52" x14ac:dyDescent="0.25">
      <c r="A82" s="21">
        <f t="shared" si="2"/>
        <v>45394</v>
      </c>
      <c r="B82" t="s">
        <v>662</v>
      </c>
      <c r="C82" s="17">
        <v>5123.41</v>
      </c>
      <c r="D82" s="17">
        <v>2759.64</v>
      </c>
      <c r="E82" s="17">
        <v>4955.01</v>
      </c>
      <c r="F82" s="17">
        <v>4353.66</v>
      </c>
      <c r="G82" s="9">
        <v>53195702.600000001</v>
      </c>
      <c r="H82" s="17">
        <v>7788.08</v>
      </c>
      <c r="I82" s="17">
        <v>3554.82</v>
      </c>
      <c r="J82" s="17">
        <v>3850.04</v>
      </c>
      <c r="K82" s="17">
        <v>125946.09</v>
      </c>
      <c r="L82" s="17">
        <v>809.86</v>
      </c>
      <c r="M82" s="17">
        <v>21899.99</v>
      </c>
      <c r="N82" s="17">
        <v>33261.4</v>
      </c>
      <c r="O82" s="17">
        <v>3019.47</v>
      </c>
      <c r="P82" s="17">
        <v>2829.89</v>
      </c>
      <c r="Q82" s="17">
        <v>1558.96</v>
      </c>
      <c r="R82" s="17">
        <v>2646.56</v>
      </c>
      <c r="S82" s="17">
        <v>9903.2099999999991</v>
      </c>
      <c r="T82" s="17">
        <v>8010.83</v>
      </c>
      <c r="U82" s="17">
        <v>7057.36</v>
      </c>
      <c r="V82" s="17">
        <v>1400.61</v>
      </c>
      <c r="W82" s="17">
        <v>16721.689999999999</v>
      </c>
      <c r="X82" s="17">
        <v>67289.070000000007</v>
      </c>
      <c r="Y82" s="17">
        <v>74244.899999999994</v>
      </c>
      <c r="Z82" s="17" t="e">
        <v>#N/A</v>
      </c>
      <c r="AA82" s="17">
        <v>9891.51</v>
      </c>
      <c r="AB82" s="17">
        <v>33764.15</v>
      </c>
      <c r="AC82" s="17">
        <v>1724.86</v>
      </c>
      <c r="AD82" s="17">
        <v>1551.04</v>
      </c>
      <c r="AE82" s="18">
        <v>56565.919999999998</v>
      </c>
      <c r="AF82" s="17">
        <v>1203.57</v>
      </c>
      <c r="AG82" s="17">
        <v>4538.7</v>
      </c>
      <c r="AH82" s="17">
        <v>102314.56</v>
      </c>
      <c r="AI82" s="17">
        <v>1606.79</v>
      </c>
      <c r="AJ82" s="17">
        <v>6659.39</v>
      </c>
      <c r="AK82" s="17">
        <v>82864.67</v>
      </c>
      <c r="AL82" s="17">
        <v>6337.43</v>
      </c>
      <c r="AM82" s="17">
        <v>16882.419999999998</v>
      </c>
      <c r="AN82" s="17">
        <v>3456.24</v>
      </c>
      <c r="AO82" s="17">
        <v>3216.91</v>
      </c>
      <c r="AP82" s="17">
        <v>316.19</v>
      </c>
      <c r="AQ82" s="17">
        <v>75311.759999999995</v>
      </c>
      <c r="AR82" s="17">
        <v>2681.82</v>
      </c>
      <c r="AS82" s="17">
        <v>1057.78</v>
      </c>
      <c r="AT82" s="17">
        <v>947.32</v>
      </c>
      <c r="AU82" s="17">
        <v>20736.57</v>
      </c>
      <c r="AV82" s="17">
        <v>1783.4</v>
      </c>
      <c r="AW82" s="17" t="e">
        <v>#N/A</v>
      </c>
      <c r="AX82" s="17" t="e">
        <v>#N/A</v>
      </c>
      <c r="AY82" s="19">
        <v>61239.199999999997</v>
      </c>
      <c r="AZ82" s="17">
        <v>578.23</v>
      </c>
    </row>
    <row r="83" spans="1:52" x14ac:dyDescent="0.25">
      <c r="A83" s="21">
        <f t="shared" si="2"/>
        <v>45397</v>
      </c>
      <c r="B83" t="s">
        <v>663</v>
      </c>
      <c r="C83" s="17">
        <v>5061.82</v>
      </c>
      <c r="D83" s="17">
        <v>2753.2</v>
      </c>
      <c r="E83" s="17">
        <v>4984.4799999999996</v>
      </c>
      <c r="F83" s="17">
        <v>4338.8999999999996</v>
      </c>
      <c r="G83" s="9">
        <v>51191324.299999997</v>
      </c>
      <c r="H83" s="17">
        <v>7752.53</v>
      </c>
      <c r="I83" s="17">
        <v>3539.24</v>
      </c>
      <c r="J83" s="17">
        <v>3853.74</v>
      </c>
      <c r="K83" s="17">
        <v>125333.89</v>
      </c>
      <c r="L83" s="17">
        <v>810.58</v>
      </c>
      <c r="M83" s="17">
        <v>21740.2</v>
      </c>
      <c r="N83" s="17">
        <v>32864.559999999998</v>
      </c>
      <c r="O83" s="17">
        <v>3057.38</v>
      </c>
      <c r="P83" s="17">
        <v>2831.55</v>
      </c>
      <c r="Q83" s="17">
        <v>1557.56</v>
      </c>
      <c r="R83" s="17">
        <v>2648.05</v>
      </c>
      <c r="S83" s="17">
        <v>9839.1200000000008</v>
      </c>
      <c r="T83" s="17">
        <v>8045.11</v>
      </c>
      <c r="U83" s="17">
        <v>7095.25</v>
      </c>
      <c r="V83" s="17">
        <v>1390.69</v>
      </c>
      <c r="W83" s="17">
        <v>16600.46</v>
      </c>
      <c r="X83" s="17">
        <v>67407.86</v>
      </c>
      <c r="Y83" s="17">
        <v>73399.78</v>
      </c>
      <c r="Z83" s="17" t="e">
        <v>#N/A</v>
      </c>
      <c r="AA83" s="17">
        <v>9898.35</v>
      </c>
      <c r="AB83" s="17">
        <v>33954.28</v>
      </c>
      <c r="AC83" s="17">
        <v>1709.9</v>
      </c>
      <c r="AD83" s="17">
        <v>1542.53</v>
      </c>
      <c r="AE83" s="18">
        <v>55984</v>
      </c>
      <c r="AF83" s="17">
        <v>1203.1400000000001</v>
      </c>
      <c r="AG83" s="17">
        <v>4533.17</v>
      </c>
      <c r="AH83" s="17">
        <v>101777.12</v>
      </c>
      <c r="AI83" s="17">
        <v>1586.94</v>
      </c>
      <c r="AJ83" s="17">
        <v>6562.43</v>
      </c>
      <c r="AK83" s="17">
        <v>83173.119999999995</v>
      </c>
      <c r="AL83" s="17">
        <v>6268.88</v>
      </c>
      <c r="AM83" s="17">
        <v>16908.2</v>
      </c>
      <c r="AN83" s="17">
        <v>3472.19</v>
      </c>
      <c r="AO83" s="17">
        <v>3183.61</v>
      </c>
      <c r="AP83" s="17">
        <v>316.19</v>
      </c>
      <c r="AQ83" s="17">
        <v>74518.63</v>
      </c>
      <c r="AR83" s="17">
        <v>2670.43</v>
      </c>
      <c r="AS83" s="17">
        <v>1058.28</v>
      </c>
      <c r="AT83" s="17">
        <v>951.58</v>
      </c>
      <c r="AU83" s="17">
        <v>20449.77</v>
      </c>
      <c r="AV83" s="17">
        <v>1782.37</v>
      </c>
      <c r="AW83" s="17" t="e">
        <v>#N/A</v>
      </c>
      <c r="AX83" s="17">
        <v>9679.7999999999993</v>
      </c>
      <c r="AY83" s="19">
        <v>64994.51</v>
      </c>
      <c r="AZ83" s="17">
        <v>572.46</v>
      </c>
    </row>
    <row r="84" spans="1:52" x14ac:dyDescent="0.25">
      <c r="A84" s="21">
        <f t="shared" si="2"/>
        <v>45398</v>
      </c>
      <c r="B84" t="s">
        <v>664</v>
      </c>
      <c r="C84" s="17">
        <v>5051.41</v>
      </c>
      <c r="D84" s="17">
        <v>2697.11</v>
      </c>
      <c r="E84" s="17">
        <v>4916.99</v>
      </c>
      <c r="F84" s="17">
        <v>4260.41</v>
      </c>
      <c r="G84" s="9">
        <v>51374485.600000001</v>
      </c>
      <c r="H84" s="17">
        <v>7612.49</v>
      </c>
      <c r="I84" s="17">
        <v>3497.4</v>
      </c>
      <c r="J84" s="17">
        <v>3796.92</v>
      </c>
      <c r="K84" s="17">
        <v>124388.62</v>
      </c>
      <c r="L84" s="17">
        <v>805.73</v>
      </c>
      <c r="M84" s="17">
        <v>21642.87</v>
      </c>
      <c r="N84" s="17">
        <v>32624.79</v>
      </c>
      <c r="O84" s="17">
        <v>3007.07</v>
      </c>
      <c r="P84" s="17">
        <v>2813.06</v>
      </c>
      <c r="Q84" s="17">
        <v>1546.99</v>
      </c>
      <c r="R84" s="17">
        <v>2613.41</v>
      </c>
      <c r="S84" s="17">
        <v>9742.59</v>
      </c>
      <c r="T84" s="17">
        <v>7932.61</v>
      </c>
      <c r="U84" s="17">
        <v>6986.45</v>
      </c>
      <c r="V84" s="17">
        <v>1357.3</v>
      </c>
      <c r="W84" s="17">
        <v>16248.97</v>
      </c>
      <c r="X84" s="17">
        <v>65428.99</v>
      </c>
      <c r="Y84" s="17">
        <v>72943.679999999993</v>
      </c>
      <c r="Z84" s="17">
        <v>7164.81</v>
      </c>
      <c r="AA84" s="17">
        <v>9778.52</v>
      </c>
      <c r="AB84" s="17">
        <v>33393.85</v>
      </c>
      <c r="AC84" s="17">
        <v>1698.46</v>
      </c>
      <c r="AD84" s="17">
        <v>1535</v>
      </c>
      <c r="AE84" s="18">
        <v>55797.25</v>
      </c>
      <c r="AF84" s="17">
        <v>1192.5899999999999</v>
      </c>
      <c r="AG84" s="17">
        <v>4490.59</v>
      </c>
      <c r="AH84" s="17">
        <v>99808.34</v>
      </c>
      <c r="AI84" s="17">
        <v>1567.74</v>
      </c>
      <c r="AJ84" s="17">
        <v>6404.97</v>
      </c>
      <c r="AK84" s="17">
        <v>81281.34</v>
      </c>
      <c r="AL84" s="17">
        <v>6224.16</v>
      </c>
      <c r="AM84" s="17">
        <v>16811.2</v>
      </c>
      <c r="AN84" s="17">
        <v>3462.94</v>
      </c>
      <c r="AO84" s="17">
        <v>3144.76</v>
      </c>
      <c r="AP84" s="17">
        <v>316.76</v>
      </c>
      <c r="AQ84" s="17">
        <v>72999.600000000006</v>
      </c>
      <c r="AR84" s="17">
        <v>2609.63</v>
      </c>
      <c r="AS84" s="17">
        <v>1042.25</v>
      </c>
      <c r="AT84" s="17">
        <v>937.55</v>
      </c>
      <c r="AU84" s="17">
        <v>19901.96</v>
      </c>
      <c r="AV84" s="17">
        <v>1779.39</v>
      </c>
      <c r="AW84" s="17" t="e">
        <v>#N/A</v>
      </c>
      <c r="AX84" s="17">
        <v>9548.09</v>
      </c>
      <c r="AY84" s="19">
        <v>65445.7</v>
      </c>
      <c r="AZ84" s="17">
        <v>567.75</v>
      </c>
    </row>
    <row r="85" spans="1:52" x14ac:dyDescent="0.25">
      <c r="A85" s="21">
        <f t="shared" si="2"/>
        <v>45399</v>
      </c>
      <c r="B85" t="s">
        <v>665</v>
      </c>
      <c r="C85" s="17">
        <v>5022.21</v>
      </c>
      <c r="D85" s="17">
        <v>2663.15</v>
      </c>
      <c r="E85" s="17">
        <v>4914.13</v>
      </c>
      <c r="F85" s="17">
        <v>4273.0200000000004</v>
      </c>
      <c r="G85" s="9">
        <v>50151237.399999999</v>
      </c>
      <c r="H85" s="17">
        <v>7605.59</v>
      </c>
      <c r="I85" s="17">
        <v>3507.97</v>
      </c>
      <c r="J85" s="17">
        <v>3794.57</v>
      </c>
      <c r="K85" s="17">
        <v>124171.15</v>
      </c>
      <c r="L85" s="17">
        <v>805.34</v>
      </c>
      <c r="M85" s="17">
        <v>21656.05</v>
      </c>
      <c r="N85" s="17">
        <v>32727.97</v>
      </c>
      <c r="O85" s="17">
        <v>3071.38</v>
      </c>
      <c r="P85" s="17" t="e">
        <v>#N/A</v>
      </c>
      <c r="Q85" s="17">
        <v>1547.54</v>
      </c>
      <c r="R85" s="17">
        <v>2615.9299999999998</v>
      </c>
      <c r="S85" s="17">
        <v>9735.18</v>
      </c>
      <c r="T85" s="17">
        <v>7981.51</v>
      </c>
      <c r="U85" s="17">
        <v>6987.94</v>
      </c>
      <c r="V85" s="17">
        <v>1365.48</v>
      </c>
      <c r="W85" s="17">
        <v>16251.84</v>
      </c>
      <c r="X85" s="17">
        <v>66115.42</v>
      </c>
      <c r="Y85" s="17" t="e">
        <v>#N/A</v>
      </c>
      <c r="Z85" s="17">
        <v>7130.84</v>
      </c>
      <c r="AA85" s="17">
        <v>9828.81</v>
      </c>
      <c r="AB85" s="17">
        <v>33632.71</v>
      </c>
      <c r="AC85" s="17">
        <v>1703.13</v>
      </c>
      <c r="AD85" s="17">
        <v>1540.42</v>
      </c>
      <c r="AE85" s="18">
        <v>55415.69</v>
      </c>
      <c r="AF85" s="17">
        <v>1172.51</v>
      </c>
      <c r="AG85" s="17">
        <v>4517.42</v>
      </c>
      <c r="AH85" s="17">
        <v>99908.89</v>
      </c>
      <c r="AI85" s="17">
        <v>1571.07</v>
      </c>
      <c r="AJ85" s="17">
        <v>6450.04</v>
      </c>
      <c r="AK85" s="17">
        <v>82393.929999999993</v>
      </c>
      <c r="AL85" s="17">
        <v>6234.41</v>
      </c>
      <c r="AM85" s="17">
        <v>16919.27</v>
      </c>
      <c r="AN85" s="17">
        <v>3454.07</v>
      </c>
      <c r="AO85" s="17">
        <v>3154.69</v>
      </c>
      <c r="AP85" s="17">
        <v>316.76</v>
      </c>
      <c r="AQ85" s="17">
        <v>72995.179999999993</v>
      </c>
      <c r="AR85" s="17">
        <v>2584.1799999999998</v>
      </c>
      <c r="AS85" s="17">
        <v>1053.46</v>
      </c>
      <c r="AT85" s="17">
        <v>940.62</v>
      </c>
      <c r="AU85" s="17">
        <v>20213.330000000002</v>
      </c>
      <c r="AV85" s="17">
        <v>1776.26</v>
      </c>
      <c r="AW85" s="17">
        <v>1366.94</v>
      </c>
      <c r="AX85" s="17">
        <v>9530.4699999999993</v>
      </c>
      <c r="AY85" s="19">
        <v>66016.25</v>
      </c>
      <c r="AZ85" s="17">
        <v>565.6</v>
      </c>
    </row>
    <row r="86" spans="1:52" x14ac:dyDescent="0.25">
      <c r="A86" s="21">
        <f t="shared" si="2"/>
        <v>45400</v>
      </c>
      <c r="B86" t="s">
        <v>666</v>
      </c>
      <c r="C86" s="17">
        <v>5011.12</v>
      </c>
      <c r="D86" s="17">
        <v>2677.45</v>
      </c>
      <c r="E86" s="17">
        <v>4936.57</v>
      </c>
      <c r="F86" s="17">
        <v>4290.0200000000004</v>
      </c>
      <c r="G86" s="9">
        <v>50123440.899999999</v>
      </c>
      <c r="H86" s="17">
        <v>7642.11</v>
      </c>
      <c r="I86" s="17">
        <v>3538.38</v>
      </c>
      <c r="J86" s="17">
        <v>3826.58</v>
      </c>
      <c r="K86" s="17">
        <v>124196.18</v>
      </c>
      <c r="L86" s="17">
        <v>807.23</v>
      </c>
      <c r="M86" s="17">
        <v>21708.44</v>
      </c>
      <c r="N86" s="17">
        <v>32693.15</v>
      </c>
      <c r="O86" s="17">
        <v>3074.22</v>
      </c>
      <c r="P86" s="17">
        <v>2803.31</v>
      </c>
      <c r="Q86" s="17">
        <v>1550.34</v>
      </c>
      <c r="R86" s="17">
        <v>2595.73</v>
      </c>
      <c r="S86" s="17">
        <v>9768.2800000000007</v>
      </c>
      <c r="T86" s="17">
        <v>8023.26</v>
      </c>
      <c r="U86" s="17">
        <v>7014.43</v>
      </c>
      <c r="V86" s="17">
        <v>1381.07</v>
      </c>
      <c r="W86" s="17">
        <v>16385.87</v>
      </c>
      <c r="X86" s="17">
        <v>65674.41</v>
      </c>
      <c r="Y86" s="17">
        <v>72488.990000000005</v>
      </c>
      <c r="Z86" s="17">
        <v>7166.81</v>
      </c>
      <c r="AA86" s="17">
        <v>9941.69</v>
      </c>
      <c r="AB86" s="17">
        <v>33881.5</v>
      </c>
      <c r="AC86" s="17">
        <v>1698.26</v>
      </c>
      <c r="AD86" s="17">
        <v>1544.76</v>
      </c>
      <c r="AE86" s="18">
        <v>55739.43</v>
      </c>
      <c r="AF86" s="17">
        <v>1171</v>
      </c>
      <c r="AG86" s="17">
        <v>4502.46</v>
      </c>
      <c r="AH86" s="17">
        <v>99845.91</v>
      </c>
      <c r="AI86" s="17">
        <v>1565.28</v>
      </c>
      <c r="AJ86" s="17">
        <v>6523.19</v>
      </c>
      <c r="AK86" s="17">
        <v>83189.460000000006</v>
      </c>
      <c r="AL86" s="17">
        <v>6327.7</v>
      </c>
      <c r="AM86" s="17">
        <v>16883.080000000002</v>
      </c>
      <c r="AN86" s="17">
        <v>3455.82</v>
      </c>
      <c r="AO86" s="17">
        <v>3187.66</v>
      </c>
      <c r="AP86" s="17">
        <v>317.01</v>
      </c>
      <c r="AQ86" s="17">
        <v>73271.429999999993</v>
      </c>
      <c r="AR86" s="17">
        <v>2634.7</v>
      </c>
      <c r="AS86" s="17">
        <v>1067.1500000000001</v>
      </c>
      <c r="AT86" s="17">
        <v>942.13</v>
      </c>
      <c r="AU86" s="17">
        <v>20301.2</v>
      </c>
      <c r="AV86" s="17">
        <v>1776.19</v>
      </c>
      <c r="AW86" s="17">
        <v>1361.02</v>
      </c>
      <c r="AX86" s="17">
        <v>9524.59</v>
      </c>
      <c r="AY86" s="19">
        <v>64513.2</v>
      </c>
      <c r="AZ86" s="17">
        <v>565.99</v>
      </c>
    </row>
    <row r="87" spans="1:52" x14ac:dyDescent="0.25">
      <c r="A87" s="21">
        <f t="shared" si="2"/>
        <v>45401</v>
      </c>
      <c r="B87" t="s">
        <v>667</v>
      </c>
      <c r="C87" s="17">
        <v>4967.2299999999996</v>
      </c>
      <c r="D87" s="17">
        <v>2626.32</v>
      </c>
      <c r="E87" s="17">
        <v>4918.09</v>
      </c>
      <c r="F87" s="17">
        <v>4296.41</v>
      </c>
      <c r="G87" s="9">
        <v>50683210.299999997</v>
      </c>
      <c r="H87" s="17">
        <v>7567.28</v>
      </c>
      <c r="I87" s="17">
        <v>3537</v>
      </c>
      <c r="J87" s="17">
        <v>3827.75</v>
      </c>
      <c r="K87" s="17">
        <v>125124.3</v>
      </c>
      <c r="L87" s="17">
        <v>805.96</v>
      </c>
      <c r="M87" s="17">
        <v>21807.37</v>
      </c>
      <c r="N87" s="17">
        <v>32290.1</v>
      </c>
      <c r="O87" s="17">
        <v>3065.26</v>
      </c>
      <c r="P87" s="17">
        <v>2799.37</v>
      </c>
      <c r="Q87" s="17">
        <v>1550.61</v>
      </c>
      <c r="R87" s="17">
        <v>2607.91</v>
      </c>
      <c r="S87" s="17">
        <v>9837.57</v>
      </c>
      <c r="T87" s="17">
        <v>8022.41</v>
      </c>
      <c r="U87" s="17">
        <v>6973.19</v>
      </c>
      <c r="V87" s="17">
        <v>1392.62</v>
      </c>
      <c r="W87" s="17">
        <v>16224.14</v>
      </c>
      <c r="X87" s="17">
        <v>65045.06</v>
      </c>
      <c r="Y87" s="17">
        <v>73088.33</v>
      </c>
      <c r="Z87" s="17">
        <v>7087.32</v>
      </c>
      <c r="AA87" s="17">
        <v>9931</v>
      </c>
      <c r="AB87" s="17">
        <v>33922.160000000003</v>
      </c>
      <c r="AC87" s="17">
        <v>1689.31</v>
      </c>
      <c r="AD87" s="17">
        <v>1547.57</v>
      </c>
      <c r="AE87" s="18">
        <v>55862.85</v>
      </c>
      <c r="AF87" s="17">
        <v>1162.27</v>
      </c>
      <c r="AG87" s="17">
        <v>4487.3100000000004</v>
      </c>
      <c r="AH87" s="17">
        <v>99539.75</v>
      </c>
      <c r="AI87" s="17">
        <v>1563.68</v>
      </c>
      <c r="AJ87" s="17">
        <v>6443</v>
      </c>
      <c r="AK87" s="17">
        <v>83206.02</v>
      </c>
      <c r="AL87" s="17">
        <v>6295.12</v>
      </c>
      <c r="AM87" s="17">
        <v>16838.36</v>
      </c>
      <c r="AN87" s="17">
        <v>3470.88</v>
      </c>
      <c r="AO87" s="17">
        <v>3176.51</v>
      </c>
      <c r="AP87" s="17">
        <v>317.01</v>
      </c>
      <c r="AQ87" s="17">
        <v>73363.56</v>
      </c>
      <c r="AR87" s="17">
        <v>2591.86</v>
      </c>
      <c r="AS87" s="17">
        <v>1063.01</v>
      </c>
      <c r="AT87" s="17">
        <v>936.75</v>
      </c>
      <c r="AU87" s="17">
        <v>19527.12</v>
      </c>
      <c r="AV87" s="17">
        <v>1776.25</v>
      </c>
      <c r="AW87" s="17">
        <v>1332.08</v>
      </c>
      <c r="AX87" s="17">
        <v>9693.4599999999991</v>
      </c>
      <c r="AY87" s="19" t="e">
        <v>#N/A</v>
      </c>
      <c r="AZ87" s="17">
        <v>561.5</v>
      </c>
    </row>
    <row r="88" spans="1:52" x14ac:dyDescent="0.25">
      <c r="A88" s="21">
        <f t="shared" si="2"/>
        <v>45404</v>
      </c>
      <c r="B88" t="s">
        <v>668</v>
      </c>
      <c r="C88" s="17">
        <v>5010.6000000000004</v>
      </c>
      <c r="D88" s="17">
        <v>2662.46</v>
      </c>
      <c r="E88" s="17">
        <v>4936.8500000000004</v>
      </c>
      <c r="F88" s="17">
        <v>4362.6000000000004</v>
      </c>
      <c r="G88" s="9">
        <v>53941161.700000003</v>
      </c>
      <c r="H88" s="17">
        <v>7649.16</v>
      </c>
      <c r="I88" s="17">
        <v>3554.19</v>
      </c>
      <c r="J88" s="17">
        <v>3863.26</v>
      </c>
      <c r="K88" s="17">
        <v>125573.16</v>
      </c>
      <c r="L88" s="17">
        <v>806.46</v>
      </c>
      <c r="M88" s="17">
        <v>21871.96</v>
      </c>
      <c r="N88" s="17">
        <v>32328.81</v>
      </c>
      <c r="O88" s="17">
        <v>3044.6</v>
      </c>
      <c r="P88" s="17">
        <v>2803.42</v>
      </c>
      <c r="Q88" s="17">
        <v>1557.17</v>
      </c>
      <c r="R88" s="17">
        <v>2635.67</v>
      </c>
      <c r="S88" s="17">
        <v>9942.26</v>
      </c>
      <c r="T88" s="17">
        <v>8040.36</v>
      </c>
      <c r="U88" s="17">
        <v>7021.71</v>
      </c>
      <c r="V88" s="17">
        <v>1420.4</v>
      </c>
      <c r="W88" s="17">
        <v>16511.689999999999</v>
      </c>
      <c r="X88" s="17">
        <v>65125.52</v>
      </c>
      <c r="Y88" s="17">
        <v>73648.62</v>
      </c>
      <c r="Z88" s="17">
        <v>7073.82</v>
      </c>
      <c r="AA88" s="17">
        <v>9962.42</v>
      </c>
      <c r="AB88" s="17">
        <v>33724.82</v>
      </c>
      <c r="AC88" s="17">
        <v>1666.8</v>
      </c>
      <c r="AD88" s="17">
        <v>1559.59</v>
      </c>
      <c r="AE88" s="18">
        <v>56551.9</v>
      </c>
      <c r="AF88" s="17">
        <v>1170.06</v>
      </c>
      <c r="AG88" s="17">
        <v>4508.84</v>
      </c>
      <c r="AH88" s="17">
        <v>99665.05</v>
      </c>
      <c r="AI88" s="17">
        <v>1561.41</v>
      </c>
      <c r="AJ88" s="17">
        <v>6444.08</v>
      </c>
      <c r="AK88" s="17">
        <v>84463.9</v>
      </c>
      <c r="AL88" s="17">
        <v>6515.47</v>
      </c>
      <c r="AM88" s="17">
        <v>16879.46</v>
      </c>
      <c r="AN88" s="17">
        <v>3479.17</v>
      </c>
      <c r="AO88" s="17">
        <v>3225.17</v>
      </c>
      <c r="AP88" s="17">
        <v>317.01</v>
      </c>
      <c r="AQ88" s="17">
        <v>73551.12</v>
      </c>
      <c r="AR88" s="17">
        <v>2629.44</v>
      </c>
      <c r="AS88" s="17">
        <v>1079.45</v>
      </c>
      <c r="AT88" s="17">
        <v>939.37</v>
      </c>
      <c r="AU88" s="17">
        <v>19411.22</v>
      </c>
      <c r="AV88" s="17">
        <v>1775.3</v>
      </c>
      <c r="AW88" s="17">
        <v>1349.52</v>
      </c>
      <c r="AX88" s="17">
        <v>9645.02</v>
      </c>
      <c r="AY88" s="19">
        <v>63631.22</v>
      </c>
      <c r="AZ88" s="17">
        <v>565.99</v>
      </c>
    </row>
    <row r="89" spans="1:52" x14ac:dyDescent="0.25">
      <c r="A89" s="21">
        <f t="shared" si="2"/>
        <v>45405</v>
      </c>
      <c r="B89" t="s">
        <v>669</v>
      </c>
      <c r="C89" s="17">
        <v>5070.55</v>
      </c>
      <c r="D89" s="17">
        <v>2666.23</v>
      </c>
      <c r="E89" s="17">
        <v>5008.17</v>
      </c>
      <c r="F89" s="17">
        <v>4378.75</v>
      </c>
      <c r="G89" s="9">
        <v>53016338.899999999</v>
      </c>
      <c r="H89" s="17">
        <v>7683.51</v>
      </c>
      <c r="I89" s="17">
        <v>3580.87</v>
      </c>
      <c r="J89" s="17">
        <v>3890.71</v>
      </c>
      <c r="K89" s="17">
        <v>125148.07</v>
      </c>
      <c r="L89" s="17">
        <v>805.04</v>
      </c>
      <c r="M89" s="17">
        <v>22011.72</v>
      </c>
      <c r="N89" s="17">
        <v>32758.39</v>
      </c>
      <c r="O89" s="17">
        <v>3021.98</v>
      </c>
      <c r="P89" s="17">
        <v>2787.06</v>
      </c>
      <c r="Q89" s="17">
        <v>1564.82</v>
      </c>
      <c r="R89" s="17">
        <v>2674.13</v>
      </c>
      <c r="S89" s="17">
        <v>9978.25</v>
      </c>
      <c r="T89" s="17">
        <v>8105.78</v>
      </c>
      <c r="U89" s="17">
        <v>7128.93</v>
      </c>
      <c r="V89" s="17">
        <v>1447.82</v>
      </c>
      <c r="W89" s="17">
        <v>16828.93</v>
      </c>
      <c r="X89" s="17">
        <v>65939.259999999995</v>
      </c>
      <c r="Y89" s="17">
        <v>73738.45</v>
      </c>
      <c r="Z89" s="17">
        <v>7110.81</v>
      </c>
      <c r="AA89" s="17">
        <v>10066.68</v>
      </c>
      <c r="AB89" s="17">
        <v>34363.75</v>
      </c>
      <c r="AC89" s="17">
        <v>1676.65</v>
      </c>
      <c r="AD89" s="17">
        <v>1561.64</v>
      </c>
      <c r="AE89" s="18">
        <v>56633.75</v>
      </c>
      <c r="AF89" s="17">
        <v>1182.4000000000001</v>
      </c>
      <c r="AG89" s="17">
        <v>4490</v>
      </c>
      <c r="AH89" s="17">
        <v>99311.54</v>
      </c>
      <c r="AI89" s="17">
        <v>1561.8</v>
      </c>
      <c r="AJ89" s="17">
        <v>6506.8</v>
      </c>
      <c r="AK89" s="17">
        <v>84839.47</v>
      </c>
      <c r="AL89" s="17">
        <v>6592.89</v>
      </c>
      <c r="AM89" s="17">
        <v>16864.29</v>
      </c>
      <c r="AN89" s="17">
        <v>3439.42</v>
      </c>
      <c r="AO89" s="17">
        <v>3272.72</v>
      </c>
      <c r="AP89" s="17">
        <v>314.14</v>
      </c>
      <c r="AQ89" s="17">
        <v>74010.83</v>
      </c>
      <c r="AR89" s="17">
        <v>2623.02</v>
      </c>
      <c r="AS89" s="17">
        <v>1097.3499999999999</v>
      </c>
      <c r="AT89" s="17">
        <v>953.69</v>
      </c>
      <c r="AU89" s="17">
        <v>19599.28</v>
      </c>
      <c r="AV89" s="17">
        <v>1778.46</v>
      </c>
      <c r="AW89" s="17">
        <v>1357.46</v>
      </c>
      <c r="AX89" s="17" t="e">
        <v>#N/A</v>
      </c>
      <c r="AY89" s="19">
        <v>62278.9</v>
      </c>
      <c r="AZ89" s="17">
        <v>572.54</v>
      </c>
    </row>
    <row r="90" spans="1:52" x14ac:dyDescent="0.25">
      <c r="A90" s="21">
        <f t="shared" si="2"/>
        <v>45406</v>
      </c>
      <c r="B90" t="s">
        <v>670</v>
      </c>
      <c r="C90" s="17">
        <v>5071.63</v>
      </c>
      <c r="D90" s="17">
        <v>2710.73</v>
      </c>
      <c r="E90" s="17">
        <v>4989.88</v>
      </c>
      <c r="F90" s="17">
        <v>4374.0600000000004</v>
      </c>
      <c r="G90" s="9">
        <v>51244309</v>
      </c>
      <c r="H90" s="17">
        <v>7683</v>
      </c>
      <c r="I90" s="17">
        <v>3580.28</v>
      </c>
      <c r="J90" s="17">
        <v>3883.83</v>
      </c>
      <c r="K90" s="17">
        <v>124740.69</v>
      </c>
      <c r="L90" s="17">
        <v>816.99</v>
      </c>
      <c r="M90" s="17">
        <v>21873.72</v>
      </c>
      <c r="N90" s="17">
        <v>32280.14</v>
      </c>
      <c r="O90" s="17">
        <v>3044.82</v>
      </c>
      <c r="P90" s="17">
        <v>2785.53</v>
      </c>
      <c r="Q90" s="17">
        <v>1563.57</v>
      </c>
      <c r="R90" s="17">
        <v>2636.87</v>
      </c>
      <c r="S90" s="17">
        <v>9925.43</v>
      </c>
      <c r="T90" s="17">
        <v>8091.86</v>
      </c>
      <c r="U90" s="17">
        <v>7109.69</v>
      </c>
      <c r="V90" s="17">
        <v>1448.7</v>
      </c>
      <c r="W90" s="17">
        <v>17201.27</v>
      </c>
      <c r="X90" s="17">
        <v>66376.55</v>
      </c>
      <c r="Y90" s="17">
        <v>73852.94</v>
      </c>
      <c r="Z90" s="17">
        <v>7174.53</v>
      </c>
      <c r="AA90" s="17">
        <v>9963.9699999999993</v>
      </c>
      <c r="AB90" s="17">
        <v>34271.120000000003</v>
      </c>
      <c r="AC90" s="17">
        <v>1680.83</v>
      </c>
      <c r="AD90" s="17">
        <v>1571.48</v>
      </c>
      <c r="AE90" s="18">
        <v>56463.99</v>
      </c>
      <c r="AF90" s="17">
        <v>1182.44</v>
      </c>
      <c r="AG90" s="17">
        <v>4544.45</v>
      </c>
      <c r="AH90" s="17">
        <v>98121.3</v>
      </c>
      <c r="AI90" s="17">
        <v>1575.3</v>
      </c>
      <c r="AJ90" s="17">
        <v>6572.75</v>
      </c>
      <c r="AK90" s="17">
        <v>84201.22</v>
      </c>
      <c r="AL90" s="17">
        <v>6529.93</v>
      </c>
      <c r="AM90" s="17">
        <v>16947.98</v>
      </c>
      <c r="AN90" s="17">
        <v>3428.93</v>
      </c>
      <c r="AO90" s="17">
        <v>3293.13</v>
      </c>
      <c r="AP90" s="17">
        <v>314.14</v>
      </c>
      <c r="AQ90" s="17">
        <v>74513.929999999993</v>
      </c>
      <c r="AR90" s="17">
        <v>2675.75</v>
      </c>
      <c r="AS90" s="17">
        <v>1093.47</v>
      </c>
      <c r="AT90" s="17">
        <v>949.57</v>
      </c>
      <c r="AU90" s="17">
        <v>20131.740000000002</v>
      </c>
      <c r="AV90" s="17">
        <v>1781.81</v>
      </c>
      <c r="AW90" s="17">
        <v>1361.1</v>
      </c>
      <c r="AX90" s="17">
        <v>9722.09</v>
      </c>
      <c r="AY90" s="19">
        <v>62348.7</v>
      </c>
      <c r="AZ90" s="17">
        <v>573.55999999999995</v>
      </c>
    </row>
    <row r="91" spans="1:52" x14ac:dyDescent="0.25">
      <c r="A91" s="21">
        <f t="shared" si="2"/>
        <v>45407</v>
      </c>
      <c r="B91" t="s">
        <v>671</v>
      </c>
      <c r="C91" s="17">
        <v>5048.42</v>
      </c>
      <c r="D91" s="17">
        <v>2663.53</v>
      </c>
      <c r="E91" s="17">
        <v>4939.01</v>
      </c>
      <c r="F91" s="17">
        <v>4387.9399999999996</v>
      </c>
      <c r="G91" s="9">
        <v>52827206.700000003</v>
      </c>
      <c r="H91" s="17" t="e">
        <v>#N/A</v>
      </c>
      <c r="I91" s="17">
        <v>3562.39</v>
      </c>
      <c r="J91" s="17">
        <v>3857.94</v>
      </c>
      <c r="K91" s="17">
        <v>124645.58</v>
      </c>
      <c r="L91" s="17">
        <v>815.26</v>
      </c>
      <c r="M91" s="17">
        <v>21885.38</v>
      </c>
      <c r="N91" s="17">
        <v>32033.74</v>
      </c>
      <c r="O91" s="17">
        <v>3052.9</v>
      </c>
      <c r="P91" s="17">
        <v>2805.17</v>
      </c>
      <c r="Q91" s="17">
        <v>1558.62</v>
      </c>
      <c r="R91" s="17">
        <v>2594.12</v>
      </c>
      <c r="S91" s="17">
        <v>9726.2999999999993</v>
      </c>
      <c r="T91" s="17">
        <v>8016.65</v>
      </c>
      <c r="U91" s="17">
        <v>7042.32</v>
      </c>
      <c r="V91" s="17">
        <v>1435.19</v>
      </c>
      <c r="W91" s="17">
        <v>17284.54</v>
      </c>
      <c r="X91" s="17">
        <v>66129.259999999995</v>
      </c>
      <c r="Y91" s="17">
        <v>74339.44</v>
      </c>
      <c r="Z91" s="17">
        <v>7155.29</v>
      </c>
      <c r="AA91" s="17">
        <v>9915.57</v>
      </c>
      <c r="AB91" s="17">
        <v>33939.75</v>
      </c>
      <c r="AC91" s="17">
        <v>1681.37</v>
      </c>
      <c r="AD91" s="17">
        <v>1569.25</v>
      </c>
      <c r="AE91" s="18">
        <v>57071.78</v>
      </c>
      <c r="AF91" s="17">
        <v>1176.94</v>
      </c>
      <c r="AG91" s="17" t="e">
        <v>#N/A</v>
      </c>
      <c r="AH91" s="17">
        <v>98169.3</v>
      </c>
      <c r="AI91" s="17">
        <v>1582.95</v>
      </c>
      <c r="AJ91" s="17">
        <v>6574.88</v>
      </c>
      <c r="AK91" s="17">
        <v>83535.02</v>
      </c>
      <c r="AL91" s="17">
        <v>6542.23</v>
      </c>
      <c r="AM91" s="17">
        <v>16971.240000000002</v>
      </c>
      <c r="AN91" s="17">
        <v>3439.76</v>
      </c>
      <c r="AO91" s="17">
        <v>3287.75</v>
      </c>
      <c r="AP91" s="17">
        <v>319.56</v>
      </c>
      <c r="AQ91" s="17">
        <v>74329.37</v>
      </c>
      <c r="AR91" s="17">
        <v>2628.62</v>
      </c>
      <c r="AS91" s="17">
        <v>1089.1500000000001</v>
      </c>
      <c r="AT91" s="17">
        <v>937.06</v>
      </c>
      <c r="AU91" s="17">
        <v>19857.419999999998</v>
      </c>
      <c r="AV91" s="17">
        <v>1784.71</v>
      </c>
      <c r="AW91" s="17">
        <v>1364.27</v>
      </c>
      <c r="AX91" s="17">
        <v>9716.77</v>
      </c>
      <c r="AY91" s="19">
        <v>62905.39</v>
      </c>
      <c r="AZ91" s="17">
        <v>570.54</v>
      </c>
    </row>
    <row r="92" spans="1:52" x14ac:dyDescent="0.25">
      <c r="A92" s="21">
        <f t="shared" si="2"/>
        <v>45408</v>
      </c>
      <c r="B92" t="s">
        <v>672</v>
      </c>
      <c r="C92" s="17">
        <v>5099.96</v>
      </c>
      <c r="D92" s="17">
        <v>2686.48</v>
      </c>
      <c r="E92" s="17">
        <v>5006.8500000000004</v>
      </c>
      <c r="F92" s="17">
        <v>4423.59</v>
      </c>
      <c r="G92" s="9">
        <v>54321526.5</v>
      </c>
      <c r="H92" s="17">
        <v>7575.91</v>
      </c>
      <c r="I92" s="17">
        <v>3548.29</v>
      </c>
      <c r="J92" s="17">
        <v>3874.87</v>
      </c>
      <c r="K92" s="17">
        <v>126526.27</v>
      </c>
      <c r="L92" s="17">
        <v>818.59</v>
      </c>
      <c r="M92" s="17">
        <v>21969.24</v>
      </c>
      <c r="N92" s="17">
        <v>32397.72</v>
      </c>
      <c r="O92" s="17">
        <v>3088.64</v>
      </c>
      <c r="P92" s="17">
        <v>2814.85</v>
      </c>
      <c r="Q92" s="17">
        <v>1543.38</v>
      </c>
      <c r="R92" s="17">
        <v>2652.99</v>
      </c>
      <c r="S92" s="17">
        <v>9834.91</v>
      </c>
      <c r="T92" s="17">
        <v>8088.24</v>
      </c>
      <c r="U92" s="17">
        <v>7110.8</v>
      </c>
      <c r="V92" s="17">
        <v>1454.98</v>
      </c>
      <c r="W92" s="17">
        <v>17651.150000000001</v>
      </c>
      <c r="X92" s="17">
        <v>67039.3</v>
      </c>
      <c r="Y92" s="17">
        <v>73730.16</v>
      </c>
      <c r="Z92" s="17">
        <v>7036.08</v>
      </c>
      <c r="AA92" s="17">
        <v>9967.4500000000007</v>
      </c>
      <c r="AB92" s="17">
        <v>34249.769999999997</v>
      </c>
      <c r="AC92" s="17">
        <v>1688.32</v>
      </c>
      <c r="AD92" s="17">
        <v>1575.16</v>
      </c>
      <c r="AE92" s="18">
        <v>57833.85</v>
      </c>
      <c r="AF92" s="17">
        <v>1195.07</v>
      </c>
      <c r="AG92" s="17">
        <v>4490.6899999999996</v>
      </c>
      <c r="AH92" s="17">
        <v>98152.91</v>
      </c>
      <c r="AI92" s="17">
        <v>1591.22</v>
      </c>
      <c r="AJ92" s="17">
        <v>6628.75</v>
      </c>
      <c r="AK92" s="17">
        <v>84443.72</v>
      </c>
      <c r="AL92" s="17">
        <v>6612.51</v>
      </c>
      <c r="AM92" s="17">
        <v>16992.22</v>
      </c>
      <c r="AN92" s="17">
        <v>3449.77</v>
      </c>
      <c r="AO92" s="17">
        <v>3280.1</v>
      </c>
      <c r="AP92" s="17">
        <v>316.11</v>
      </c>
      <c r="AQ92" s="17">
        <v>75370.990000000005</v>
      </c>
      <c r="AR92" s="17">
        <v>2656.33</v>
      </c>
      <c r="AS92" s="17">
        <v>1106.9100000000001</v>
      </c>
      <c r="AT92" s="17">
        <v>951.83</v>
      </c>
      <c r="AU92" s="17">
        <v>20120.509999999998</v>
      </c>
      <c r="AV92" s="17" t="e">
        <v>#N/A</v>
      </c>
      <c r="AW92" s="17">
        <v>1359.94</v>
      </c>
      <c r="AX92" s="17">
        <v>9915.6200000000008</v>
      </c>
      <c r="AY92" s="19">
        <v>62436.86</v>
      </c>
      <c r="AZ92" s="17">
        <v>575.4</v>
      </c>
    </row>
    <row r="93" spans="1:52" x14ac:dyDescent="0.25">
      <c r="A93" s="21">
        <f t="shared" si="2"/>
        <v>45411</v>
      </c>
      <c r="B93" t="s">
        <v>673</v>
      </c>
      <c r="C93" s="17">
        <v>5116.17</v>
      </c>
      <c r="D93" s="17" t="e">
        <v>#N/A</v>
      </c>
      <c r="E93" s="17">
        <v>4981.09</v>
      </c>
      <c r="F93" s="17">
        <v>4435.18</v>
      </c>
      <c r="G93" s="9">
        <v>55444475.700000003</v>
      </c>
      <c r="H93" s="17">
        <v>7637.38</v>
      </c>
      <c r="I93" s="17">
        <v>3564.38</v>
      </c>
      <c r="J93" s="17">
        <v>3886.76</v>
      </c>
      <c r="K93" s="17">
        <v>127351.79</v>
      </c>
      <c r="L93" s="17">
        <v>814.25</v>
      </c>
      <c r="M93" s="17">
        <v>22011.62</v>
      </c>
      <c r="N93" s="17">
        <v>33140.19</v>
      </c>
      <c r="O93" s="17">
        <v>3113.04</v>
      </c>
      <c r="P93" s="17">
        <v>2800.93</v>
      </c>
      <c r="Q93" s="17">
        <v>1550.68</v>
      </c>
      <c r="R93" s="17">
        <v>2651.64</v>
      </c>
      <c r="S93" s="17">
        <v>9892.24</v>
      </c>
      <c r="T93" s="17">
        <v>8065.15</v>
      </c>
      <c r="U93" s="17">
        <v>7090.75</v>
      </c>
      <c r="V93" s="17">
        <v>1455.48</v>
      </c>
      <c r="W93" s="17">
        <v>17746.91</v>
      </c>
      <c r="X93" s="17">
        <v>67885.919999999998</v>
      </c>
      <c r="Y93" s="17">
        <v>74671.28</v>
      </c>
      <c r="Z93" s="17">
        <v>7155.78</v>
      </c>
      <c r="AA93" s="17">
        <v>9954</v>
      </c>
      <c r="AB93" s="17">
        <v>34296.31</v>
      </c>
      <c r="AC93" s="17">
        <v>1685.32</v>
      </c>
      <c r="AD93" s="17">
        <v>1582.66</v>
      </c>
      <c r="AE93" s="18">
        <v>57827.86</v>
      </c>
      <c r="AF93" s="17">
        <v>1194.1300000000001</v>
      </c>
      <c r="AG93" s="17">
        <v>4532.97</v>
      </c>
      <c r="AH93" s="17">
        <v>97879.94</v>
      </c>
      <c r="AI93" s="17">
        <v>1591.26</v>
      </c>
      <c r="AJ93" s="17">
        <v>6769.64</v>
      </c>
      <c r="AK93" s="17">
        <v>85375.3</v>
      </c>
      <c r="AL93" s="17">
        <v>6680.62</v>
      </c>
      <c r="AM93" s="17">
        <v>17120.96</v>
      </c>
      <c r="AN93" s="17">
        <v>3478.08</v>
      </c>
      <c r="AO93" s="17">
        <v>3282.05</v>
      </c>
      <c r="AP93" s="17">
        <v>316.11</v>
      </c>
      <c r="AQ93" s="17">
        <v>76456.149999999994</v>
      </c>
      <c r="AR93" s="17">
        <v>2687.44</v>
      </c>
      <c r="AS93" s="17">
        <v>1102.1600000000001</v>
      </c>
      <c r="AT93" s="17">
        <v>959.18</v>
      </c>
      <c r="AU93" s="17">
        <v>20495.52</v>
      </c>
      <c r="AV93" s="17">
        <v>1784.7</v>
      </c>
      <c r="AW93" s="17">
        <v>1361.97</v>
      </c>
      <c r="AX93" s="17">
        <v>10082.77</v>
      </c>
      <c r="AY93" s="19">
        <v>62033.81</v>
      </c>
      <c r="AZ93" s="17">
        <v>578</v>
      </c>
    </row>
    <row r="94" spans="1:52" x14ac:dyDescent="0.25">
      <c r="A94" s="21">
        <f t="shared" si="2"/>
        <v>45412</v>
      </c>
      <c r="B94" t="s">
        <v>674</v>
      </c>
      <c r="C94" s="17">
        <v>5035.6899999999996</v>
      </c>
      <c r="D94" s="17">
        <v>2743.17</v>
      </c>
      <c r="E94" s="17">
        <v>4921.22</v>
      </c>
      <c r="F94" s="17">
        <v>4430.25</v>
      </c>
      <c r="G94" s="9">
        <v>56303862.399999999</v>
      </c>
      <c r="H94" s="17">
        <v>7664.07</v>
      </c>
      <c r="I94" s="17">
        <v>3560.42</v>
      </c>
      <c r="J94" s="17">
        <v>3883.26</v>
      </c>
      <c r="K94" s="17">
        <v>125924.19</v>
      </c>
      <c r="L94" s="17">
        <v>813.54</v>
      </c>
      <c r="M94" s="17">
        <v>21714.54</v>
      </c>
      <c r="N94" s="17">
        <v>32969.769999999997</v>
      </c>
      <c r="O94" s="17">
        <v>3104.82</v>
      </c>
      <c r="P94" s="17">
        <v>2806.29</v>
      </c>
      <c r="Q94" s="17">
        <v>1548.85</v>
      </c>
      <c r="R94" s="17">
        <v>2681.79</v>
      </c>
      <c r="S94" s="17">
        <v>9855.51</v>
      </c>
      <c r="T94" s="17">
        <v>7984.93</v>
      </c>
      <c r="U94" s="17">
        <v>7017.9</v>
      </c>
      <c r="V94" s="17">
        <v>1448.48</v>
      </c>
      <c r="W94" s="17">
        <v>17763.03</v>
      </c>
      <c r="X94" s="17">
        <v>68142.02</v>
      </c>
      <c r="Y94" s="17">
        <v>74482.78</v>
      </c>
      <c r="Z94" s="17">
        <v>7234.2</v>
      </c>
      <c r="AA94" s="17">
        <v>9917.34</v>
      </c>
      <c r="AB94" s="17">
        <v>33746.660000000003</v>
      </c>
      <c r="AC94" s="17">
        <v>1690.98</v>
      </c>
      <c r="AD94" s="17">
        <v>1575.97</v>
      </c>
      <c r="AE94" s="18">
        <v>56727.98</v>
      </c>
      <c r="AF94" s="17">
        <v>1187.21</v>
      </c>
      <c r="AG94" s="17">
        <v>4548.66</v>
      </c>
      <c r="AH94" s="17">
        <v>98225.63</v>
      </c>
      <c r="AI94" s="17">
        <v>1594.44</v>
      </c>
      <c r="AJ94" s="17">
        <v>6700.49</v>
      </c>
      <c r="AK94" s="17">
        <v>84569.65</v>
      </c>
      <c r="AL94" s="17">
        <v>6615.56</v>
      </c>
      <c r="AM94" s="17">
        <v>17060.939999999999</v>
      </c>
      <c r="AN94" s="17">
        <v>3469.83</v>
      </c>
      <c r="AO94" s="17">
        <v>3292.69</v>
      </c>
      <c r="AP94" s="17">
        <v>309.29000000000002</v>
      </c>
      <c r="AQ94" s="17">
        <v>76076.17</v>
      </c>
      <c r="AR94" s="17">
        <v>2692.06</v>
      </c>
      <c r="AS94" s="17">
        <v>1076.93</v>
      </c>
      <c r="AT94" s="17">
        <v>957.95</v>
      </c>
      <c r="AU94" s="17">
        <v>20396.599999999999</v>
      </c>
      <c r="AV94" s="17">
        <v>1784.92</v>
      </c>
      <c r="AW94" s="17">
        <v>1367.95</v>
      </c>
      <c r="AX94" s="17">
        <v>10045.74</v>
      </c>
      <c r="AY94" s="19">
        <v>62713.43</v>
      </c>
      <c r="AZ94" s="17">
        <v>571.41999999999996</v>
      </c>
    </row>
    <row r="95" spans="1:52" x14ac:dyDescent="0.25">
      <c r="A95" s="21">
        <f t="shared" si="2"/>
        <v>45413</v>
      </c>
      <c r="B95" t="s">
        <v>675</v>
      </c>
      <c r="C95" s="17">
        <v>5018.3900000000003</v>
      </c>
      <c r="D95" s="17">
        <v>2729.4</v>
      </c>
      <c r="E95" s="17">
        <v>4921.22</v>
      </c>
      <c r="F95" s="17">
        <v>4418.6000000000004</v>
      </c>
      <c r="G95" s="9" t="e">
        <v>#N/A</v>
      </c>
      <c r="H95" s="17">
        <v>7569.95</v>
      </c>
      <c r="I95" s="17" t="e">
        <v>#N/A</v>
      </c>
      <c r="J95" s="17" t="e">
        <v>#N/A</v>
      </c>
      <c r="K95" s="17" t="e">
        <v>#N/A</v>
      </c>
      <c r="L95" s="17" t="e">
        <v>#N/A</v>
      </c>
      <c r="M95" s="17">
        <v>21728.55</v>
      </c>
      <c r="N95" s="17" t="e">
        <v>#N/A</v>
      </c>
      <c r="O95" s="17" t="e">
        <v>#N/A</v>
      </c>
      <c r="P95" s="17" t="e">
        <v>#N/A</v>
      </c>
      <c r="Q95" s="17" t="e">
        <v>#N/A</v>
      </c>
      <c r="R95" s="17">
        <v>2666.39</v>
      </c>
      <c r="S95" s="17" t="e">
        <v>#N/A</v>
      </c>
      <c r="T95" s="17" t="e">
        <v>#N/A</v>
      </c>
      <c r="U95" s="17" t="e">
        <v>#N/A</v>
      </c>
      <c r="V95" s="17" t="e">
        <v>#N/A</v>
      </c>
      <c r="W95" s="17" t="e">
        <v>#N/A</v>
      </c>
      <c r="X95" s="17" t="e">
        <v>#N/A</v>
      </c>
      <c r="Y95" s="17" t="e">
        <v>#N/A</v>
      </c>
      <c r="Z95" s="17" t="e">
        <v>#N/A</v>
      </c>
      <c r="AA95" s="17" t="e">
        <v>#N/A</v>
      </c>
      <c r="AB95" s="17" t="e">
        <v>#N/A</v>
      </c>
      <c r="AC95" s="17" t="e">
        <v>#N/A</v>
      </c>
      <c r="AD95" s="17" t="e">
        <v>#N/A</v>
      </c>
      <c r="AE95" s="18" t="e">
        <v>#N/A</v>
      </c>
      <c r="AF95" s="17" t="e">
        <v>#N/A</v>
      </c>
      <c r="AG95" s="17">
        <v>4514.46</v>
      </c>
      <c r="AH95" s="17" t="e">
        <v>#N/A</v>
      </c>
      <c r="AI95" s="17" t="e">
        <v>#N/A</v>
      </c>
      <c r="AJ95" s="17" t="e">
        <v>#N/A</v>
      </c>
      <c r="AK95" s="17" t="e">
        <v>#N/A</v>
      </c>
      <c r="AL95" s="17" t="e">
        <v>#N/A</v>
      </c>
      <c r="AM95" s="17" t="e">
        <v>#N/A</v>
      </c>
      <c r="AN95" s="17" t="e">
        <v>#N/A</v>
      </c>
      <c r="AO95" s="17" t="e">
        <v>#N/A</v>
      </c>
      <c r="AP95" s="17" t="e">
        <v>#N/A</v>
      </c>
      <c r="AQ95" s="17" t="e">
        <v>#N/A</v>
      </c>
      <c r="AR95" s="17" t="e">
        <v>#N/A</v>
      </c>
      <c r="AS95" s="17" t="e">
        <v>#N/A</v>
      </c>
      <c r="AT95" s="17" t="e">
        <v>#N/A</v>
      </c>
      <c r="AU95" s="17" t="e">
        <v>#N/A</v>
      </c>
      <c r="AV95" s="17" t="e">
        <v>#N/A</v>
      </c>
      <c r="AW95" s="17" t="e">
        <v>#N/A</v>
      </c>
      <c r="AX95" s="17" t="e">
        <v>#N/A</v>
      </c>
      <c r="AY95" s="19" t="e">
        <v>#N/A</v>
      </c>
      <c r="AZ95" s="17">
        <v>569.75</v>
      </c>
    </row>
    <row r="96" spans="1:52" x14ac:dyDescent="0.25">
      <c r="A96" s="21">
        <f t="shared" si="2"/>
        <v>45414</v>
      </c>
      <c r="B96" t="s">
        <v>676</v>
      </c>
      <c r="C96" s="17">
        <v>5064.2</v>
      </c>
      <c r="D96" s="17">
        <v>2728.53</v>
      </c>
      <c r="E96" s="17">
        <v>4890.6099999999997</v>
      </c>
      <c r="F96" s="17">
        <v>4446.1499999999996</v>
      </c>
      <c r="G96" s="9">
        <v>58164281.5</v>
      </c>
      <c r="H96" s="17">
        <v>7586.97</v>
      </c>
      <c r="I96" s="17">
        <v>3590.35</v>
      </c>
      <c r="J96" s="17">
        <v>3893.2</v>
      </c>
      <c r="K96" s="17">
        <v>127122.25</v>
      </c>
      <c r="L96" s="17">
        <v>813.65</v>
      </c>
      <c r="M96" s="17">
        <v>21823.22</v>
      </c>
      <c r="N96" s="17">
        <v>32924.589999999997</v>
      </c>
      <c r="O96" s="17" t="e">
        <v>#N/A</v>
      </c>
      <c r="P96" s="17">
        <v>2812.76</v>
      </c>
      <c r="Q96" s="17">
        <v>1555.44</v>
      </c>
      <c r="R96" s="17">
        <v>2616.36</v>
      </c>
      <c r="S96" s="17">
        <v>9907.1200000000008</v>
      </c>
      <c r="T96" s="17">
        <v>7914.65</v>
      </c>
      <c r="U96" s="17">
        <v>7002</v>
      </c>
      <c r="V96" s="17">
        <v>1452.24</v>
      </c>
      <c r="W96" s="17">
        <v>18207.13</v>
      </c>
      <c r="X96" s="17">
        <v>68123.990000000005</v>
      </c>
      <c r="Y96" s="17">
        <v>74611.11</v>
      </c>
      <c r="Z96" s="17">
        <v>7117.43</v>
      </c>
      <c r="AA96" s="17">
        <v>10069.34</v>
      </c>
      <c r="AB96" s="17">
        <v>33736.400000000001</v>
      </c>
      <c r="AC96" s="17">
        <v>1659.45</v>
      </c>
      <c r="AD96" s="17">
        <v>1580.3</v>
      </c>
      <c r="AE96" s="18">
        <v>56677.05</v>
      </c>
      <c r="AF96" s="17">
        <v>1185.31</v>
      </c>
      <c r="AG96" s="17">
        <v>4516.92</v>
      </c>
      <c r="AH96" s="17">
        <v>98762.78</v>
      </c>
      <c r="AI96" s="17">
        <v>1589.31</v>
      </c>
      <c r="AJ96" s="17">
        <v>6646.55</v>
      </c>
      <c r="AK96" s="17">
        <v>84393.73</v>
      </c>
      <c r="AL96" s="17">
        <v>6665.17</v>
      </c>
      <c r="AM96" s="17">
        <v>17220.62</v>
      </c>
      <c r="AN96" s="17">
        <v>3442.83</v>
      </c>
      <c r="AO96" s="17">
        <v>3296.89</v>
      </c>
      <c r="AP96" s="17">
        <v>309.79000000000002</v>
      </c>
      <c r="AQ96" s="17">
        <v>76046.850000000006</v>
      </c>
      <c r="AR96" s="17">
        <v>2683.65</v>
      </c>
      <c r="AS96" s="17">
        <v>1076.95</v>
      </c>
      <c r="AT96" s="17">
        <v>947.3</v>
      </c>
      <c r="AU96" s="17">
        <v>20222.439999999999</v>
      </c>
      <c r="AV96" s="17">
        <v>1784.8</v>
      </c>
      <c r="AW96" s="17">
        <v>1363.25</v>
      </c>
      <c r="AX96" s="17">
        <v>10208.65</v>
      </c>
      <c r="AY96" s="19">
        <v>64350.48</v>
      </c>
      <c r="AZ96" s="17">
        <v>574.63</v>
      </c>
    </row>
    <row r="97" spans="1:52" x14ac:dyDescent="0.25">
      <c r="A97" s="21">
        <f t="shared" si="2"/>
        <v>45415</v>
      </c>
      <c r="B97" t="s">
        <v>677</v>
      </c>
      <c r="C97" s="17">
        <v>5127.79</v>
      </c>
      <c r="D97" s="17" t="e">
        <v>#N/A</v>
      </c>
      <c r="E97" s="17">
        <v>4921.4799999999996</v>
      </c>
      <c r="F97" s="17">
        <v>4469.09</v>
      </c>
      <c r="G97" s="9">
        <v>61477181.100000001</v>
      </c>
      <c r="H97" s="17">
        <v>7628.97</v>
      </c>
      <c r="I97" s="17">
        <v>3590.96</v>
      </c>
      <c r="J97" s="17">
        <v>3913.37</v>
      </c>
      <c r="K97" s="17">
        <v>128508.67</v>
      </c>
      <c r="L97" s="17" t="e">
        <v>#N/A</v>
      </c>
      <c r="M97" s="17">
        <v>21947.41</v>
      </c>
      <c r="N97" s="17">
        <v>33229.93</v>
      </c>
      <c r="O97" s="17" t="e">
        <v>#N/A</v>
      </c>
      <c r="P97" s="17">
        <v>2814.05</v>
      </c>
      <c r="Q97" s="17">
        <v>1520.22</v>
      </c>
      <c r="R97" s="17">
        <v>2581.2399999999998</v>
      </c>
      <c r="S97" s="17">
        <v>9966.99</v>
      </c>
      <c r="T97" s="17">
        <v>7957.57</v>
      </c>
      <c r="U97" s="17">
        <v>7043.12</v>
      </c>
      <c r="V97" s="17" t="e">
        <v>#N/A</v>
      </c>
      <c r="W97" s="17">
        <v>18475.919999999998</v>
      </c>
      <c r="X97" s="17">
        <v>68002.240000000005</v>
      </c>
      <c r="Y97" s="17">
        <v>73878.149999999994</v>
      </c>
      <c r="Z97" s="17">
        <v>7134.72</v>
      </c>
      <c r="AA97" s="17">
        <v>10082.219999999999</v>
      </c>
      <c r="AB97" s="17">
        <v>33629.21</v>
      </c>
      <c r="AC97" s="17">
        <v>1647.8</v>
      </c>
      <c r="AD97" s="17">
        <v>1589.59</v>
      </c>
      <c r="AE97" s="18">
        <v>57135.26</v>
      </c>
      <c r="AF97" s="17">
        <v>1198.83</v>
      </c>
      <c r="AG97" s="17">
        <v>4541.28</v>
      </c>
      <c r="AH97" s="17">
        <v>99587.25</v>
      </c>
      <c r="AI97" s="17">
        <v>1594.34</v>
      </c>
      <c r="AJ97" s="17">
        <v>6615.55</v>
      </c>
      <c r="AK97" s="17" t="e">
        <v>#N/A</v>
      </c>
      <c r="AL97" s="17">
        <v>6648.67</v>
      </c>
      <c r="AM97" s="17" t="e">
        <v>#N/A</v>
      </c>
      <c r="AN97" s="17">
        <v>3441.77</v>
      </c>
      <c r="AO97" s="17">
        <v>3292.93</v>
      </c>
      <c r="AP97" s="17">
        <v>309.79000000000002</v>
      </c>
      <c r="AQ97" s="17">
        <v>76428.33</v>
      </c>
      <c r="AR97" s="17">
        <v>2676.63</v>
      </c>
      <c r="AS97" s="17">
        <v>1075.99</v>
      </c>
      <c r="AT97" s="17">
        <v>954.5</v>
      </c>
      <c r="AU97" s="17">
        <v>20330.32</v>
      </c>
      <c r="AV97" s="17">
        <v>1784.5</v>
      </c>
      <c r="AW97" s="17">
        <v>1369.92</v>
      </c>
      <c r="AX97" s="17">
        <v>10276.879999999999</v>
      </c>
      <c r="AY97" s="19">
        <v>64629.599999999999</v>
      </c>
      <c r="AZ97" s="17">
        <v>581.09</v>
      </c>
    </row>
    <row r="98" spans="1:52" x14ac:dyDescent="0.25">
      <c r="A98" s="21">
        <f t="shared" si="2"/>
        <v>45418</v>
      </c>
      <c r="B98" t="s">
        <v>678</v>
      </c>
      <c r="C98" s="17">
        <v>5180.74</v>
      </c>
      <c r="D98" s="17" t="e">
        <v>#N/A</v>
      </c>
      <c r="E98" s="17">
        <v>4956.96</v>
      </c>
      <c r="F98" s="17" t="e">
        <v>#N/A</v>
      </c>
      <c r="G98" s="9">
        <v>63502377.5</v>
      </c>
      <c r="H98" s="17">
        <v>7682.37</v>
      </c>
      <c r="I98" s="17">
        <v>3614.61</v>
      </c>
      <c r="J98" s="17">
        <v>3929</v>
      </c>
      <c r="K98" s="17">
        <v>128465.69</v>
      </c>
      <c r="L98" s="17" t="e">
        <v>#N/A</v>
      </c>
      <c r="M98" s="17">
        <v>22259.47</v>
      </c>
      <c r="N98" s="17">
        <v>32972.160000000003</v>
      </c>
      <c r="O98" s="17">
        <v>3140.72</v>
      </c>
      <c r="P98" s="17">
        <v>2815.98</v>
      </c>
      <c r="Q98" s="17">
        <v>1529.77</v>
      </c>
      <c r="R98" s="17">
        <v>2587.2800000000002</v>
      </c>
      <c r="S98" s="17">
        <v>10079.68</v>
      </c>
      <c r="T98" s="17">
        <v>7996.64</v>
      </c>
      <c r="U98" s="17">
        <v>7097.89</v>
      </c>
      <c r="V98" s="17" t="e">
        <v>#N/A</v>
      </c>
      <c r="W98" s="17">
        <v>18578.3</v>
      </c>
      <c r="X98" s="17">
        <v>68568.490000000005</v>
      </c>
      <c r="Y98" s="17">
        <v>73895.539999999994</v>
      </c>
      <c r="Z98" s="17">
        <v>7135.89</v>
      </c>
      <c r="AA98" s="17" t="e">
        <v>#N/A</v>
      </c>
      <c r="AB98" s="17">
        <v>33986.9</v>
      </c>
      <c r="AC98" s="17">
        <v>1656.77</v>
      </c>
      <c r="AD98" s="17">
        <v>1597.39</v>
      </c>
      <c r="AE98" s="18">
        <v>57282.95</v>
      </c>
      <c r="AF98" s="17">
        <v>1205.49</v>
      </c>
      <c r="AG98" s="17">
        <v>4496.66</v>
      </c>
      <c r="AH98" s="17">
        <v>98703.679999999993</v>
      </c>
      <c r="AI98" s="17">
        <v>1617.07</v>
      </c>
      <c r="AJ98" s="17">
        <v>6652.49</v>
      </c>
      <c r="AK98" s="17">
        <v>86575.3</v>
      </c>
      <c r="AL98" s="17">
        <v>6652.71</v>
      </c>
      <c r="AM98" s="17" t="e">
        <v>#N/A</v>
      </c>
      <c r="AN98" s="17">
        <v>3436.05</v>
      </c>
      <c r="AO98" s="17">
        <v>3303.19</v>
      </c>
      <c r="AP98" s="17">
        <v>309.79000000000002</v>
      </c>
      <c r="AQ98" s="17">
        <v>76776.45</v>
      </c>
      <c r="AR98" s="17" t="e">
        <v>#N/A</v>
      </c>
      <c r="AS98" s="17">
        <v>1081.96</v>
      </c>
      <c r="AT98" s="17">
        <v>962.29</v>
      </c>
      <c r="AU98" s="17">
        <v>20523.310000000001</v>
      </c>
      <c r="AV98" s="17">
        <v>1784.22</v>
      </c>
      <c r="AW98" s="17" t="e">
        <v>#N/A</v>
      </c>
      <c r="AX98" s="17">
        <v>10267.09</v>
      </c>
      <c r="AY98" s="19">
        <v>63369.31</v>
      </c>
      <c r="AZ98" s="17">
        <v>585.89</v>
      </c>
    </row>
    <row r="99" spans="1:52" x14ac:dyDescent="0.25">
      <c r="A99" s="21">
        <f t="shared" si="2"/>
        <v>45419</v>
      </c>
      <c r="B99" t="s">
        <v>679</v>
      </c>
      <c r="C99" s="17">
        <v>5187.7</v>
      </c>
      <c r="D99" s="17">
        <v>2746.22</v>
      </c>
      <c r="E99" s="17">
        <v>5016.1000000000004</v>
      </c>
      <c r="F99" s="17">
        <v>4522.99</v>
      </c>
      <c r="G99" s="9">
        <v>62318174.299999997</v>
      </c>
      <c r="H99" s="17">
        <v>7793.32</v>
      </c>
      <c r="I99" s="17">
        <v>3645.84</v>
      </c>
      <c r="J99" s="17">
        <v>3996.52</v>
      </c>
      <c r="K99" s="17">
        <v>129210.48</v>
      </c>
      <c r="L99" s="17">
        <v>823.08</v>
      </c>
      <c r="M99" s="17">
        <v>22290.62</v>
      </c>
      <c r="N99" s="17">
        <v>33442.11</v>
      </c>
      <c r="O99" s="17">
        <v>3147.74</v>
      </c>
      <c r="P99" s="17">
        <v>2810.54</v>
      </c>
      <c r="Q99" s="17">
        <v>1548.65</v>
      </c>
      <c r="R99" s="17">
        <v>2657.04</v>
      </c>
      <c r="S99" s="17">
        <v>10110.9</v>
      </c>
      <c r="T99" s="17">
        <v>8075.68</v>
      </c>
      <c r="U99" s="17">
        <v>7195.37</v>
      </c>
      <c r="V99" s="17" t="e">
        <v>#N/A</v>
      </c>
      <c r="W99" s="17">
        <v>18479.37</v>
      </c>
      <c r="X99" s="17">
        <v>68882.55</v>
      </c>
      <c r="Y99" s="17">
        <v>73511.850000000006</v>
      </c>
      <c r="Z99" s="17">
        <v>7123.61</v>
      </c>
      <c r="AA99" s="17">
        <v>10109.049999999999</v>
      </c>
      <c r="AB99" s="17">
        <v>34242.49</v>
      </c>
      <c r="AC99" s="17">
        <v>1645.36</v>
      </c>
      <c r="AD99" s="17">
        <v>1605.68</v>
      </c>
      <c r="AE99" s="18">
        <v>57108.32</v>
      </c>
      <c r="AF99" s="17">
        <v>1215.48</v>
      </c>
      <c r="AG99" s="17">
        <v>4489.05</v>
      </c>
      <c r="AH99" s="17">
        <v>98228.5</v>
      </c>
      <c r="AI99" s="17">
        <v>1619.44</v>
      </c>
      <c r="AJ99" s="17">
        <v>6618.58</v>
      </c>
      <c r="AK99" s="17">
        <v>86483.54</v>
      </c>
      <c r="AL99" s="17">
        <v>6716.1</v>
      </c>
      <c r="AM99" s="17">
        <v>17244.57</v>
      </c>
      <c r="AN99" s="17">
        <v>3427.61</v>
      </c>
      <c r="AO99" s="17">
        <v>3300.04</v>
      </c>
      <c r="AP99" s="17">
        <v>309.79000000000002</v>
      </c>
      <c r="AQ99" s="17">
        <v>76929.48</v>
      </c>
      <c r="AR99" s="17">
        <v>2734.36</v>
      </c>
      <c r="AS99" s="17">
        <v>1099.3900000000001</v>
      </c>
      <c r="AT99" s="17">
        <v>974.31</v>
      </c>
      <c r="AU99" s="17">
        <v>20653.53</v>
      </c>
      <c r="AV99" s="17" t="e">
        <v>#N/A</v>
      </c>
      <c r="AW99" s="17">
        <v>1376.37</v>
      </c>
      <c r="AX99" s="17">
        <v>10336.5</v>
      </c>
      <c r="AY99" s="19">
        <v>63838.69</v>
      </c>
      <c r="AZ99" s="17">
        <v>587.5</v>
      </c>
    </row>
    <row r="100" spans="1:52" x14ac:dyDescent="0.25">
      <c r="A100" s="21">
        <f t="shared" si="2"/>
        <v>45420</v>
      </c>
      <c r="B100" t="s">
        <v>680</v>
      </c>
      <c r="C100" s="17">
        <v>5187.67</v>
      </c>
      <c r="D100" s="17">
        <v>2706.43</v>
      </c>
      <c r="E100" s="17">
        <v>5038.17</v>
      </c>
      <c r="F100" s="17">
        <v>4544.24</v>
      </c>
      <c r="G100" s="9">
        <v>61844957.399999999</v>
      </c>
      <c r="H100" s="17">
        <v>7804.49</v>
      </c>
      <c r="I100" s="17">
        <v>3634.69</v>
      </c>
      <c r="J100" s="17">
        <v>4015.67</v>
      </c>
      <c r="K100" s="17">
        <v>129480.89</v>
      </c>
      <c r="L100" s="17">
        <v>829.14</v>
      </c>
      <c r="M100" s="17">
        <v>22259.16</v>
      </c>
      <c r="N100" s="17">
        <v>33624.230000000003</v>
      </c>
      <c r="O100" s="17">
        <v>3128.48</v>
      </c>
      <c r="P100" s="17">
        <v>2799.32</v>
      </c>
      <c r="Q100" s="17" t="e">
        <v>#N/A</v>
      </c>
      <c r="R100" s="17">
        <v>2662.96</v>
      </c>
      <c r="S100" s="17">
        <v>10109.49</v>
      </c>
      <c r="T100" s="17">
        <v>8131.41</v>
      </c>
      <c r="U100" s="17">
        <v>7222.05</v>
      </c>
      <c r="V100" s="17">
        <v>1473.53</v>
      </c>
      <c r="W100" s="17">
        <v>18313.86</v>
      </c>
      <c r="X100" s="17">
        <v>68900.509999999995</v>
      </c>
      <c r="Y100" s="17">
        <v>73466.39</v>
      </c>
      <c r="Z100" s="17">
        <v>7088.8</v>
      </c>
      <c r="AA100" s="17">
        <v>10163.24</v>
      </c>
      <c r="AB100" s="17">
        <v>34151.410000000003</v>
      </c>
      <c r="AC100" s="17">
        <v>1659.01</v>
      </c>
      <c r="AD100" s="17">
        <v>1604.75</v>
      </c>
      <c r="AE100" s="18">
        <v>57081</v>
      </c>
      <c r="AF100" s="17">
        <v>1214.55</v>
      </c>
      <c r="AG100" s="17">
        <v>4482.24</v>
      </c>
      <c r="AH100" s="17">
        <v>98223.97</v>
      </c>
      <c r="AI100" s="17">
        <v>1624.6</v>
      </c>
      <c r="AJ100" s="17">
        <v>6659.18</v>
      </c>
      <c r="AK100" s="17">
        <v>86888.67</v>
      </c>
      <c r="AL100" s="17">
        <v>6726.2</v>
      </c>
      <c r="AM100" s="17">
        <v>17161.64</v>
      </c>
      <c r="AN100" s="17">
        <v>3432.54</v>
      </c>
      <c r="AO100" s="17">
        <v>3264.53</v>
      </c>
      <c r="AP100" s="17" t="e">
        <v>#N/A</v>
      </c>
      <c r="AQ100" s="17">
        <v>77177.429999999993</v>
      </c>
      <c r="AR100" s="17">
        <v>2745.05</v>
      </c>
      <c r="AS100" s="17">
        <v>1106.6099999999999</v>
      </c>
      <c r="AT100" s="17">
        <v>974.44</v>
      </c>
      <c r="AU100" s="17">
        <v>20700.509999999998</v>
      </c>
      <c r="AV100" s="17">
        <v>1784.62</v>
      </c>
      <c r="AW100" s="17">
        <v>1373.33</v>
      </c>
      <c r="AX100" s="17">
        <v>10247.75</v>
      </c>
      <c r="AY100" s="19">
        <v>64127.9</v>
      </c>
      <c r="AZ100" s="17">
        <v>586.27</v>
      </c>
    </row>
    <row r="101" spans="1:52" x14ac:dyDescent="0.25">
      <c r="A101" s="21">
        <f t="shared" si="2"/>
        <v>45421</v>
      </c>
      <c r="B101" t="s">
        <v>681</v>
      </c>
      <c r="C101" s="17">
        <v>5214.08</v>
      </c>
      <c r="D101" s="17">
        <v>2713.46</v>
      </c>
      <c r="E101" s="17">
        <v>5054.41</v>
      </c>
      <c r="F101" s="17">
        <v>4558.37</v>
      </c>
      <c r="G101" s="9">
        <v>61125045.200000003</v>
      </c>
      <c r="H101" s="17">
        <v>7721.64</v>
      </c>
      <c r="I101" s="17">
        <v>3671.65</v>
      </c>
      <c r="J101" s="17">
        <v>3985.4</v>
      </c>
      <c r="K101" s="17">
        <v>128188.34</v>
      </c>
      <c r="L101" s="17">
        <v>832.94</v>
      </c>
      <c r="M101" s="17">
        <v>22375.83</v>
      </c>
      <c r="N101" s="17">
        <v>33565.730000000003</v>
      </c>
      <c r="O101" s="17">
        <v>3154.32</v>
      </c>
      <c r="P101" s="17">
        <v>2805.4</v>
      </c>
      <c r="Q101" s="17">
        <v>1551.59</v>
      </c>
      <c r="R101" s="17" t="e">
        <v>#N/A</v>
      </c>
      <c r="S101" s="17" t="e">
        <v>#N/A</v>
      </c>
      <c r="T101" s="17">
        <v>8187.65</v>
      </c>
      <c r="U101" s="17">
        <v>7239.93</v>
      </c>
      <c r="V101" s="17">
        <v>1477.22</v>
      </c>
      <c r="W101" s="17">
        <v>18537.810000000001</v>
      </c>
      <c r="X101" s="17">
        <v>69016.259999999995</v>
      </c>
      <c r="Y101" s="17">
        <v>72404.17</v>
      </c>
      <c r="Z101" s="17" t="e">
        <v>#N/A</v>
      </c>
      <c r="AA101" s="17">
        <v>9959.7099999999991</v>
      </c>
      <c r="AB101" s="17">
        <v>34339.32</v>
      </c>
      <c r="AC101" s="17">
        <v>1660.1</v>
      </c>
      <c r="AD101" s="17">
        <v>1601.22</v>
      </c>
      <c r="AE101" s="18">
        <v>57846.080000000002</v>
      </c>
      <c r="AF101" s="17">
        <v>1220.21</v>
      </c>
      <c r="AG101" s="17">
        <v>4467.5</v>
      </c>
      <c r="AH101" s="17">
        <v>98255.72</v>
      </c>
      <c r="AI101" s="17" t="e">
        <v>#N/A</v>
      </c>
      <c r="AJ101" s="17">
        <v>6542.46</v>
      </c>
      <c r="AK101" s="17">
        <v>87427.54</v>
      </c>
      <c r="AL101" s="17">
        <v>6833.23</v>
      </c>
      <c r="AM101" s="17">
        <v>17244.72</v>
      </c>
      <c r="AN101" s="17" t="e">
        <v>#N/A</v>
      </c>
      <c r="AO101" s="17">
        <v>3265.95</v>
      </c>
      <c r="AP101" s="17">
        <v>309.23</v>
      </c>
      <c r="AQ101" s="17">
        <v>77539.149999999994</v>
      </c>
      <c r="AR101" s="17">
        <v>2712.14</v>
      </c>
      <c r="AS101" s="17">
        <v>1096.0899999999999</v>
      </c>
      <c r="AT101" s="17" t="e">
        <v>#N/A</v>
      </c>
      <c r="AU101" s="17">
        <v>20560.77</v>
      </c>
      <c r="AV101" s="17">
        <v>1784.55</v>
      </c>
      <c r="AW101" s="17">
        <v>1369.29</v>
      </c>
      <c r="AX101" s="17">
        <v>10268.58</v>
      </c>
      <c r="AY101" s="19">
        <v>63950.07</v>
      </c>
      <c r="AZ101" s="17">
        <v>588.47</v>
      </c>
    </row>
    <row r="102" spans="1:52" x14ac:dyDescent="0.25">
      <c r="A102" s="21">
        <f t="shared" si="2"/>
        <v>45422</v>
      </c>
      <c r="B102" t="s">
        <v>682</v>
      </c>
      <c r="C102" s="17">
        <v>5222.68</v>
      </c>
      <c r="D102" s="17">
        <v>2728.21</v>
      </c>
      <c r="E102" s="17">
        <v>5085.08</v>
      </c>
      <c r="F102" s="17">
        <v>4586.29</v>
      </c>
      <c r="G102" s="9">
        <v>59877525.299999997</v>
      </c>
      <c r="H102" s="17">
        <v>7748.96</v>
      </c>
      <c r="I102" s="17">
        <v>3686.55</v>
      </c>
      <c r="J102" s="17">
        <v>4013.33</v>
      </c>
      <c r="K102" s="17">
        <v>127599.57</v>
      </c>
      <c r="L102" s="17">
        <v>837.99</v>
      </c>
      <c r="M102" s="17">
        <v>22308.93</v>
      </c>
      <c r="N102" s="17">
        <v>33615.43</v>
      </c>
      <c r="O102" s="17">
        <v>3154.55</v>
      </c>
      <c r="P102" s="17">
        <v>2795.97</v>
      </c>
      <c r="Q102" s="17">
        <v>1550.16</v>
      </c>
      <c r="R102" s="17" t="e">
        <v>#N/A</v>
      </c>
      <c r="S102" s="17">
        <v>10270.49</v>
      </c>
      <c r="T102" s="17">
        <v>8219.14</v>
      </c>
      <c r="U102" s="17">
        <v>7273.35</v>
      </c>
      <c r="V102" s="17">
        <v>1484.06</v>
      </c>
      <c r="W102" s="17">
        <v>18963.68</v>
      </c>
      <c r="X102" s="17">
        <v>69201.95</v>
      </c>
      <c r="Y102" s="17">
        <v>72664.47</v>
      </c>
      <c r="Z102" s="17" t="e">
        <v>#N/A</v>
      </c>
      <c r="AA102" s="17">
        <v>10000.85</v>
      </c>
      <c r="AB102" s="17">
        <v>34657.35</v>
      </c>
      <c r="AC102" s="17" t="e">
        <v>#N/A</v>
      </c>
      <c r="AD102" s="17">
        <v>1600.67</v>
      </c>
      <c r="AE102" s="18">
        <v>57718.04</v>
      </c>
      <c r="AF102" s="17">
        <v>1229.03</v>
      </c>
      <c r="AG102" s="17">
        <v>4470.76</v>
      </c>
      <c r="AH102" s="17">
        <v>98233.76</v>
      </c>
      <c r="AI102" s="17">
        <v>1649.79</v>
      </c>
      <c r="AJ102" s="17">
        <v>6511.93</v>
      </c>
      <c r="AK102" s="17">
        <v>86508.67</v>
      </c>
      <c r="AL102" s="17">
        <v>6911.82</v>
      </c>
      <c r="AM102" s="17">
        <v>17292.080000000002</v>
      </c>
      <c r="AN102" s="17">
        <v>3449.78</v>
      </c>
      <c r="AO102" s="17">
        <v>3290.7</v>
      </c>
      <c r="AP102" s="17">
        <v>309.23</v>
      </c>
      <c r="AQ102" s="17">
        <v>78464.22</v>
      </c>
      <c r="AR102" s="17">
        <v>2727.63</v>
      </c>
      <c r="AS102" s="17">
        <v>1101.3499999999999</v>
      </c>
      <c r="AT102" s="17">
        <v>988.98</v>
      </c>
      <c r="AU102" s="17">
        <v>20708.84</v>
      </c>
      <c r="AV102" s="17" t="e">
        <v>#N/A</v>
      </c>
      <c r="AW102" s="17">
        <v>1371.9</v>
      </c>
      <c r="AX102" s="17">
        <v>10218.58</v>
      </c>
      <c r="AY102" s="19">
        <v>63262.05</v>
      </c>
      <c r="AZ102" s="17">
        <v>590.22</v>
      </c>
    </row>
    <row r="103" spans="1:52" x14ac:dyDescent="0.25">
      <c r="A103" s="21">
        <f t="shared" si="2"/>
        <v>45425</v>
      </c>
      <c r="B103" t="s">
        <v>683</v>
      </c>
      <c r="C103" s="17">
        <v>5221.42</v>
      </c>
      <c r="D103" s="17">
        <v>2724.08</v>
      </c>
      <c r="E103" s="17">
        <v>5078.96</v>
      </c>
      <c r="F103" s="17">
        <v>4575.33</v>
      </c>
      <c r="G103" s="9">
        <v>58813902</v>
      </c>
      <c r="H103" s="17">
        <v>7750.03</v>
      </c>
      <c r="I103" s="17">
        <v>3686.61</v>
      </c>
      <c r="J103" s="17">
        <v>3980.58</v>
      </c>
      <c r="K103" s="17">
        <v>128154.79</v>
      </c>
      <c r="L103" s="17">
        <v>838.79</v>
      </c>
      <c r="M103" s="17">
        <v>22259.17</v>
      </c>
      <c r="N103" s="17">
        <v>33871.64</v>
      </c>
      <c r="O103" s="17">
        <v>3148.02</v>
      </c>
      <c r="P103" s="17">
        <v>2799.41</v>
      </c>
      <c r="Q103" s="17">
        <v>1558.18</v>
      </c>
      <c r="R103" s="17">
        <v>2725.82</v>
      </c>
      <c r="S103" s="17">
        <v>10312.219999999999</v>
      </c>
      <c r="T103" s="17">
        <v>8209.2800000000007</v>
      </c>
      <c r="U103" s="17">
        <v>7261.48</v>
      </c>
      <c r="V103" s="17">
        <v>1476.12</v>
      </c>
      <c r="W103" s="17">
        <v>19115.060000000001</v>
      </c>
      <c r="X103" s="17">
        <v>68917.55</v>
      </c>
      <c r="Y103" s="17">
        <v>72776.13</v>
      </c>
      <c r="Z103" s="17">
        <v>7099.26</v>
      </c>
      <c r="AA103" s="17">
        <v>9968.4699999999993</v>
      </c>
      <c r="AB103" s="17">
        <v>34815.910000000003</v>
      </c>
      <c r="AC103" s="17">
        <v>1670.05</v>
      </c>
      <c r="AD103" s="17">
        <v>1602.91</v>
      </c>
      <c r="AE103" s="18">
        <v>57731.12</v>
      </c>
      <c r="AF103" s="17">
        <v>1228.21</v>
      </c>
      <c r="AG103" s="17">
        <v>4430.6899999999996</v>
      </c>
      <c r="AH103" s="17">
        <v>97708.74</v>
      </c>
      <c r="AI103" s="17">
        <v>1645.8</v>
      </c>
      <c r="AJ103" s="17">
        <v>6604.25</v>
      </c>
      <c r="AK103" s="17">
        <v>87387.58</v>
      </c>
      <c r="AL103" s="17">
        <v>6871.86</v>
      </c>
      <c r="AM103" s="17">
        <v>17316.45</v>
      </c>
      <c r="AN103" s="17">
        <v>3457.11</v>
      </c>
      <c r="AO103" s="17">
        <v>3303.66</v>
      </c>
      <c r="AP103" s="17">
        <v>309.23</v>
      </c>
      <c r="AQ103" s="17">
        <v>78686.89</v>
      </c>
      <c r="AR103" s="17">
        <v>2727.21</v>
      </c>
      <c r="AS103" s="17">
        <v>1105.74</v>
      </c>
      <c r="AT103" s="17">
        <v>988.16</v>
      </c>
      <c r="AU103" s="17">
        <v>20857.71</v>
      </c>
      <c r="AV103" s="17">
        <v>1777.68</v>
      </c>
      <c r="AW103" s="17">
        <v>1372.5</v>
      </c>
      <c r="AX103" s="17">
        <v>10055.98</v>
      </c>
      <c r="AY103" s="19" t="e">
        <v>#N/A</v>
      </c>
      <c r="AZ103" s="17">
        <v>590.77</v>
      </c>
    </row>
    <row r="104" spans="1:52" x14ac:dyDescent="0.25">
      <c r="A104" s="21">
        <f t="shared" si="2"/>
        <v>45426</v>
      </c>
      <c r="B104" t="s">
        <v>684</v>
      </c>
      <c r="C104" s="17">
        <v>5246.68</v>
      </c>
      <c r="D104" s="17">
        <v>2730.95</v>
      </c>
      <c r="E104" s="17">
        <v>5080.29</v>
      </c>
      <c r="F104" s="17">
        <v>4583.2299999999996</v>
      </c>
      <c r="G104" s="9">
        <v>60162946.799999997</v>
      </c>
      <c r="H104" s="17">
        <v>7726.76</v>
      </c>
      <c r="I104" s="17">
        <v>3722.29</v>
      </c>
      <c r="J104" s="17">
        <v>3968.81</v>
      </c>
      <c r="K104" s="17">
        <v>128515.49</v>
      </c>
      <c r="L104" s="17">
        <v>849.12</v>
      </c>
      <c r="M104" s="17">
        <v>22243.34</v>
      </c>
      <c r="N104" s="17">
        <v>34032</v>
      </c>
      <c r="O104" s="17">
        <v>3145.77</v>
      </c>
      <c r="P104" s="17">
        <v>2811.26</v>
      </c>
      <c r="Q104" s="17">
        <v>1555.77</v>
      </c>
      <c r="R104" s="17">
        <v>2727.26</v>
      </c>
      <c r="S104" s="17">
        <v>10371.23</v>
      </c>
      <c r="T104" s="17">
        <v>8225.7999999999993</v>
      </c>
      <c r="U104" s="17">
        <v>7251.48</v>
      </c>
      <c r="V104" s="17">
        <v>1471.78</v>
      </c>
      <c r="W104" s="17">
        <v>19073.71</v>
      </c>
      <c r="X104" s="17">
        <v>68864.240000000005</v>
      </c>
      <c r="Y104" s="17">
        <v>73104.61</v>
      </c>
      <c r="Z104" s="17">
        <v>7083.76</v>
      </c>
      <c r="AA104" s="17">
        <v>9992.84</v>
      </c>
      <c r="AB104" s="17">
        <v>35151.42</v>
      </c>
      <c r="AC104" s="17">
        <v>1675.17</v>
      </c>
      <c r="AD104" s="17">
        <v>1605.88</v>
      </c>
      <c r="AE104" s="18">
        <v>57231.74</v>
      </c>
      <c r="AF104" s="17">
        <v>1226.78</v>
      </c>
      <c r="AG104" s="17">
        <v>4417.7299999999996</v>
      </c>
      <c r="AH104" s="17">
        <v>97473.98</v>
      </c>
      <c r="AI104" s="17">
        <v>1646.9</v>
      </c>
      <c r="AJ104" s="17">
        <v>6608.36</v>
      </c>
      <c r="AK104" s="17">
        <v>87797.29</v>
      </c>
      <c r="AL104" s="17">
        <v>6919.54</v>
      </c>
      <c r="AM104" s="17">
        <v>17290.47</v>
      </c>
      <c r="AN104" s="17">
        <v>3463.93</v>
      </c>
      <c r="AO104" s="17">
        <v>3313.35</v>
      </c>
      <c r="AP104" s="17">
        <v>309.23</v>
      </c>
      <c r="AQ104" s="17">
        <v>78632.58</v>
      </c>
      <c r="AR104" s="17">
        <v>2730.34</v>
      </c>
      <c r="AS104" s="17">
        <v>1113.49</v>
      </c>
      <c r="AT104" s="17">
        <v>995.22</v>
      </c>
      <c r="AU104" s="17">
        <v>20985.85</v>
      </c>
      <c r="AV104" s="17">
        <v>1784.45</v>
      </c>
      <c r="AW104" s="17">
        <v>1376.57</v>
      </c>
      <c r="AX104" s="17">
        <v>10173.42</v>
      </c>
      <c r="AY104" s="19">
        <v>62946.97</v>
      </c>
      <c r="AZ104" s="17">
        <v>593.15</v>
      </c>
    </row>
    <row r="105" spans="1:52" x14ac:dyDescent="0.25">
      <c r="A105" s="21">
        <f t="shared" si="2"/>
        <v>45427</v>
      </c>
      <c r="B105" t="s">
        <v>685</v>
      </c>
      <c r="C105" s="17">
        <v>5308.15</v>
      </c>
      <c r="D105" s="17">
        <v>2730.88</v>
      </c>
      <c r="E105" s="17">
        <v>5100.8999999999996</v>
      </c>
      <c r="F105" s="17">
        <v>4596.71</v>
      </c>
      <c r="G105" s="9">
        <v>62945786.700000003</v>
      </c>
      <c r="H105" s="17">
        <v>7753.7</v>
      </c>
      <c r="I105" s="17">
        <v>3711.92</v>
      </c>
      <c r="J105" s="17">
        <v>4029.25</v>
      </c>
      <c r="K105" s="17">
        <v>128027.59</v>
      </c>
      <c r="L105" s="17">
        <v>846.3</v>
      </c>
      <c r="M105" s="17">
        <v>22284.76</v>
      </c>
      <c r="N105" s="17">
        <v>33924.36</v>
      </c>
      <c r="O105" s="17">
        <v>3119.9</v>
      </c>
      <c r="P105" s="17">
        <v>2816.25</v>
      </c>
      <c r="Q105" s="17">
        <v>1563.43</v>
      </c>
      <c r="R105" s="17">
        <v>2752.44</v>
      </c>
      <c r="S105" s="17">
        <v>10312.73</v>
      </c>
      <c r="T105" s="17">
        <v>8239.99</v>
      </c>
      <c r="U105" s="17">
        <v>7305.55</v>
      </c>
      <c r="V105" s="17">
        <v>1493.65</v>
      </c>
      <c r="W105" s="17" t="e">
        <v>#N/A</v>
      </c>
      <c r="X105" s="17">
        <v>68673.84</v>
      </c>
      <c r="Y105" s="17">
        <v>72987.03</v>
      </c>
      <c r="Z105" s="17">
        <v>7179.83</v>
      </c>
      <c r="AA105" s="17">
        <v>10012.18</v>
      </c>
      <c r="AB105" s="17">
        <v>35366.199999999997</v>
      </c>
      <c r="AC105" s="17">
        <v>1679.05</v>
      </c>
      <c r="AD105" s="17">
        <v>1603.23</v>
      </c>
      <c r="AE105" s="18">
        <v>57454.65</v>
      </c>
      <c r="AF105" s="17">
        <v>1234.01</v>
      </c>
      <c r="AG105" s="17">
        <v>4382.67</v>
      </c>
      <c r="AH105" s="17">
        <v>97343.42</v>
      </c>
      <c r="AI105" s="17">
        <v>1636.53</v>
      </c>
      <c r="AJ105" s="17">
        <v>6558.63</v>
      </c>
      <c r="AK105" s="17">
        <v>88092.61</v>
      </c>
      <c r="AL105" s="17">
        <v>6971.1</v>
      </c>
      <c r="AM105" s="17">
        <v>17291.919999999998</v>
      </c>
      <c r="AN105" s="17">
        <v>3470.72</v>
      </c>
      <c r="AO105" s="17">
        <v>3289.42</v>
      </c>
      <c r="AP105" s="17">
        <v>309.23</v>
      </c>
      <c r="AQ105" s="17">
        <v>79361.570000000007</v>
      </c>
      <c r="AR105" s="17" t="e">
        <v>#N/A</v>
      </c>
      <c r="AS105" s="17">
        <v>1126.28</v>
      </c>
      <c r="AT105" s="17">
        <v>998.17</v>
      </c>
      <c r="AU105" s="17">
        <v>21147.21</v>
      </c>
      <c r="AV105" s="17">
        <v>1777.21</v>
      </c>
      <c r="AW105" s="17">
        <v>1370.44</v>
      </c>
      <c r="AX105" s="17">
        <v>10158.629999999999</v>
      </c>
      <c r="AY105" s="19">
        <v>62719.360000000001</v>
      </c>
      <c r="AZ105" s="17">
        <v>598.91999999999996</v>
      </c>
    </row>
    <row r="106" spans="1:52" x14ac:dyDescent="0.25">
      <c r="A106" s="21">
        <f t="shared" si="2"/>
        <v>45428</v>
      </c>
      <c r="B106" t="s">
        <v>686</v>
      </c>
      <c r="C106" s="17">
        <v>5297.1</v>
      </c>
      <c r="D106" s="17">
        <v>2737.54</v>
      </c>
      <c r="E106" s="17">
        <v>5072.45</v>
      </c>
      <c r="F106" s="17">
        <v>4594.7</v>
      </c>
      <c r="G106" s="9">
        <v>63170142.899999999</v>
      </c>
      <c r="H106" s="17">
        <v>7881.29</v>
      </c>
      <c r="I106" s="17">
        <v>3707.71</v>
      </c>
      <c r="J106" s="17">
        <v>3995.1</v>
      </c>
      <c r="K106" s="17">
        <v>128283.62</v>
      </c>
      <c r="L106" s="17">
        <v>849.4</v>
      </c>
      <c r="M106" s="17">
        <v>22299.83</v>
      </c>
      <c r="N106" s="17">
        <v>33659.29</v>
      </c>
      <c r="O106" s="17">
        <v>3122.4</v>
      </c>
      <c r="P106" s="17">
        <v>2822.34</v>
      </c>
      <c r="Q106" s="17">
        <v>1556.65</v>
      </c>
      <c r="R106" s="17">
        <v>2752.59</v>
      </c>
      <c r="S106" s="17">
        <v>10390.89</v>
      </c>
      <c r="T106" s="17">
        <v>8188.49</v>
      </c>
      <c r="U106" s="17">
        <v>7227.24</v>
      </c>
      <c r="V106" s="17">
        <v>1491.71</v>
      </c>
      <c r="W106" s="17">
        <v>19376.53</v>
      </c>
      <c r="X106" s="17">
        <v>68854.649999999994</v>
      </c>
      <c r="Y106" s="17">
        <v>73663.72</v>
      </c>
      <c r="Z106" s="17">
        <v>7246.7</v>
      </c>
      <c r="AA106" s="17">
        <v>10024.879999999999</v>
      </c>
      <c r="AB106" s="17">
        <v>35410.129999999997</v>
      </c>
      <c r="AC106" s="17">
        <v>1686.75</v>
      </c>
      <c r="AD106" s="17">
        <v>1611.11</v>
      </c>
      <c r="AE106" s="18">
        <v>57462.17</v>
      </c>
      <c r="AF106" s="17">
        <v>1235.0999999999999</v>
      </c>
      <c r="AG106" s="17">
        <v>4459.17</v>
      </c>
      <c r="AH106" s="17">
        <v>98156.71</v>
      </c>
      <c r="AI106" s="17">
        <v>1643.24</v>
      </c>
      <c r="AJ106" s="17">
        <v>6628.2</v>
      </c>
      <c r="AK106" s="17">
        <v>88384.55</v>
      </c>
      <c r="AL106" s="17">
        <v>6920.62</v>
      </c>
      <c r="AM106" s="17">
        <v>17190.169999999998</v>
      </c>
      <c r="AN106" s="17">
        <v>3486.26</v>
      </c>
      <c r="AO106" s="17">
        <v>3304.99</v>
      </c>
      <c r="AP106" s="17">
        <v>309.23</v>
      </c>
      <c r="AQ106" s="17">
        <v>79508.98</v>
      </c>
      <c r="AR106" s="17">
        <v>2753</v>
      </c>
      <c r="AS106" s="17">
        <v>1120.47</v>
      </c>
      <c r="AT106" s="17">
        <v>992.96</v>
      </c>
      <c r="AU106" s="17">
        <v>21304.26</v>
      </c>
      <c r="AV106" s="17">
        <v>1780.8</v>
      </c>
      <c r="AW106" s="17">
        <v>1377.72</v>
      </c>
      <c r="AX106" s="17">
        <v>10319.959999999999</v>
      </c>
      <c r="AY106" s="19">
        <v>62680.67</v>
      </c>
      <c r="AZ106" s="17">
        <v>599.11</v>
      </c>
    </row>
    <row r="107" spans="1:52" x14ac:dyDescent="0.25">
      <c r="A107" s="21">
        <f t="shared" si="2"/>
        <v>45429</v>
      </c>
      <c r="B107" t="s">
        <v>687</v>
      </c>
      <c r="C107" s="17">
        <v>5303.27</v>
      </c>
      <c r="D107" s="17">
        <v>2745.62</v>
      </c>
      <c r="E107" s="17">
        <v>5064.1400000000003</v>
      </c>
      <c r="F107" s="17">
        <v>4584.2299999999996</v>
      </c>
      <c r="G107" s="9">
        <v>62903393.399999999</v>
      </c>
      <c r="H107" s="17">
        <v>7814.37</v>
      </c>
      <c r="I107" s="17">
        <v>3750.48</v>
      </c>
      <c r="J107" s="17">
        <v>4004.8</v>
      </c>
      <c r="K107" s="17">
        <v>128150.71</v>
      </c>
      <c r="L107" s="17">
        <v>855.96</v>
      </c>
      <c r="M107" s="17">
        <v>22465.37</v>
      </c>
      <c r="N107" s="17">
        <v>33695.03</v>
      </c>
      <c r="O107" s="17">
        <v>3154.03</v>
      </c>
      <c r="P107" s="17">
        <v>2825.63</v>
      </c>
      <c r="Q107" s="17">
        <v>1561.39</v>
      </c>
      <c r="R107" s="17">
        <v>2729.17</v>
      </c>
      <c r="S107" s="17">
        <v>10385</v>
      </c>
      <c r="T107" s="17">
        <v>8167.5</v>
      </c>
      <c r="U107" s="17">
        <v>7200.76</v>
      </c>
      <c r="V107" s="17">
        <v>1490.46</v>
      </c>
      <c r="W107" s="17">
        <v>19553.61</v>
      </c>
      <c r="X107" s="17">
        <v>68088.240000000005</v>
      </c>
      <c r="Y107" s="17">
        <v>73917.03</v>
      </c>
      <c r="Z107" s="17">
        <v>7317.24</v>
      </c>
      <c r="AA107" s="17">
        <v>10009.219999999999</v>
      </c>
      <c r="AB107" s="17">
        <v>35398.82</v>
      </c>
      <c r="AC107" s="17">
        <v>1704.97</v>
      </c>
      <c r="AD107" s="17">
        <v>1616.62</v>
      </c>
      <c r="AE107" s="18">
        <v>57583.08</v>
      </c>
      <c r="AF107" s="17">
        <v>1233.48</v>
      </c>
      <c r="AG107" s="17">
        <v>4448.43</v>
      </c>
      <c r="AH107" s="17">
        <v>98125.73</v>
      </c>
      <c r="AI107" s="17">
        <v>1643.24</v>
      </c>
      <c r="AJ107" s="17">
        <v>6618.69</v>
      </c>
      <c r="AK107" s="17">
        <v>88734.63</v>
      </c>
      <c r="AL107" s="17">
        <v>6887.38</v>
      </c>
      <c r="AM107" s="17">
        <v>17362.79</v>
      </c>
      <c r="AN107" s="17">
        <v>3501.89</v>
      </c>
      <c r="AO107" s="17">
        <v>3313.48</v>
      </c>
      <c r="AP107" s="17">
        <v>309.23</v>
      </c>
      <c r="AQ107" s="17">
        <v>79530.63</v>
      </c>
      <c r="AR107" s="17">
        <v>2724.62</v>
      </c>
      <c r="AS107" s="17">
        <v>1123.8800000000001</v>
      </c>
      <c r="AT107" s="17">
        <v>990.72</v>
      </c>
      <c r="AU107" s="17">
        <v>21258.47</v>
      </c>
      <c r="AV107" s="17">
        <v>1777.7</v>
      </c>
      <c r="AW107" s="17">
        <v>1382.68</v>
      </c>
      <c r="AX107" s="17">
        <v>10643.58</v>
      </c>
      <c r="AY107" s="19">
        <v>62859.55</v>
      </c>
      <c r="AZ107" s="17">
        <v>599.79</v>
      </c>
    </row>
    <row r="108" spans="1:52" x14ac:dyDescent="0.25">
      <c r="A108" s="21">
        <f t="shared" si="2"/>
        <v>45432</v>
      </c>
      <c r="B108" t="s">
        <v>688</v>
      </c>
      <c r="C108" s="17">
        <v>5308.13</v>
      </c>
      <c r="D108" s="17">
        <v>2768.04</v>
      </c>
      <c r="E108" s="17">
        <v>5074.34</v>
      </c>
      <c r="F108" s="17">
        <v>4590.38</v>
      </c>
      <c r="G108" s="9">
        <v>65500827.700000003</v>
      </c>
      <c r="H108" s="17">
        <v>7863.66</v>
      </c>
      <c r="I108" s="17">
        <v>3764.08</v>
      </c>
      <c r="J108" s="17">
        <v>4006.94</v>
      </c>
      <c r="K108" s="17">
        <v>127750.92</v>
      </c>
      <c r="L108" s="17">
        <v>863.01</v>
      </c>
      <c r="M108" s="17" t="e">
        <v>#N/A</v>
      </c>
      <c r="N108" s="17" t="e">
        <v>#N/A</v>
      </c>
      <c r="O108" s="17">
        <v>3171.15</v>
      </c>
      <c r="P108" s="17">
        <v>2831.86</v>
      </c>
      <c r="Q108" s="17">
        <v>1567.56</v>
      </c>
      <c r="R108" s="17" t="e">
        <v>#N/A</v>
      </c>
      <c r="S108" s="17">
        <v>10415.07</v>
      </c>
      <c r="T108" s="17">
        <v>8195.9699999999993</v>
      </c>
      <c r="U108" s="17">
        <v>7225.6</v>
      </c>
      <c r="V108" s="17">
        <v>1502.79</v>
      </c>
      <c r="W108" s="17">
        <v>19636.22</v>
      </c>
      <c r="X108" s="17" t="e">
        <v>#N/A</v>
      </c>
      <c r="Y108" s="17" t="e">
        <v>#N/A</v>
      </c>
      <c r="Z108" s="17">
        <v>7266.69</v>
      </c>
      <c r="AA108" s="17">
        <v>9984.7199999999993</v>
      </c>
      <c r="AB108" s="17">
        <v>34825.01</v>
      </c>
      <c r="AC108" s="17">
        <v>1693.83</v>
      </c>
      <c r="AD108" s="17">
        <v>1627.5</v>
      </c>
      <c r="AE108" s="18">
        <v>57393.279999999999</v>
      </c>
      <c r="AF108" s="17">
        <v>1237.25</v>
      </c>
      <c r="AG108" s="17">
        <v>4462.08</v>
      </c>
      <c r="AH108" s="17">
        <v>98176.58</v>
      </c>
      <c r="AI108" s="17">
        <v>1643.24</v>
      </c>
      <c r="AJ108" s="17">
        <v>6682.78</v>
      </c>
      <c r="AK108" s="17">
        <v>89414</v>
      </c>
      <c r="AL108" s="17">
        <v>6902.84</v>
      </c>
      <c r="AM108" s="17">
        <v>17495.919999999998</v>
      </c>
      <c r="AN108" s="17">
        <v>3468.09</v>
      </c>
      <c r="AO108" s="17">
        <v>3314.05</v>
      </c>
      <c r="AP108" s="17">
        <v>311.22000000000003</v>
      </c>
      <c r="AQ108" s="17">
        <v>80072.990000000005</v>
      </c>
      <c r="AR108" s="17">
        <v>2742.14</v>
      </c>
      <c r="AS108" s="17">
        <v>1125.06</v>
      </c>
      <c r="AT108" s="17">
        <v>1002.42</v>
      </c>
      <c r="AU108" s="17">
        <v>21271.63</v>
      </c>
      <c r="AV108" s="17">
        <v>1780.64</v>
      </c>
      <c r="AW108" s="17">
        <v>1378.7</v>
      </c>
      <c r="AX108" s="17">
        <v>10739.57</v>
      </c>
      <c r="AY108" s="19">
        <v>63189.52</v>
      </c>
      <c r="AZ108" s="17">
        <v>600.66</v>
      </c>
    </row>
    <row r="109" spans="1:52" x14ac:dyDescent="0.25">
      <c r="A109" s="21">
        <f t="shared" si="2"/>
        <v>45433</v>
      </c>
      <c r="B109" t="s">
        <v>689</v>
      </c>
      <c r="C109" s="17">
        <v>5321.41</v>
      </c>
      <c r="D109" s="17">
        <v>2759.72</v>
      </c>
      <c r="E109" s="17">
        <v>5046.99</v>
      </c>
      <c r="F109" s="17">
        <v>4584.3999999999996</v>
      </c>
      <c r="G109" s="9">
        <v>67450383.5</v>
      </c>
      <c r="H109" s="17">
        <v>7851.68</v>
      </c>
      <c r="I109" s="17">
        <v>3775.49</v>
      </c>
      <c r="J109" s="17">
        <v>3991</v>
      </c>
      <c r="K109" s="17">
        <v>127411.55</v>
      </c>
      <c r="L109" s="17">
        <v>871.29</v>
      </c>
      <c r="M109" s="17">
        <v>22468.16</v>
      </c>
      <c r="N109" s="17" t="e">
        <v>#N/A</v>
      </c>
      <c r="O109" s="17">
        <v>3157.97</v>
      </c>
      <c r="P109" s="17">
        <v>2828.07</v>
      </c>
      <c r="Q109" s="17">
        <v>1566.89</v>
      </c>
      <c r="R109" s="17">
        <v>2771.49</v>
      </c>
      <c r="S109" s="17">
        <v>10391.950000000001</v>
      </c>
      <c r="T109" s="17">
        <v>8141.46</v>
      </c>
      <c r="U109" s="17">
        <v>7209.36</v>
      </c>
      <c r="V109" s="17">
        <v>1496.35</v>
      </c>
      <c r="W109" s="17">
        <v>19220.62</v>
      </c>
      <c r="X109" s="17">
        <v>67866.13</v>
      </c>
      <c r="Y109" s="17">
        <v>73953.31</v>
      </c>
      <c r="Z109" s="17">
        <v>7186.04</v>
      </c>
      <c r="AA109" s="17">
        <v>9982.5400000000009</v>
      </c>
      <c r="AB109" s="17">
        <v>34603.61</v>
      </c>
      <c r="AC109" s="17">
        <v>1703.07</v>
      </c>
      <c r="AD109" s="17">
        <v>1622.09</v>
      </c>
      <c r="AE109" s="18">
        <v>56760.72</v>
      </c>
      <c r="AF109" s="17">
        <v>1230.56</v>
      </c>
      <c r="AG109" s="17">
        <v>4439.38</v>
      </c>
      <c r="AH109" s="17">
        <v>98285.33</v>
      </c>
      <c r="AI109" s="17">
        <v>1655.26</v>
      </c>
      <c r="AJ109" s="17">
        <v>6633.66</v>
      </c>
      <c r="AK109" s="17">
        <v>88739.92</v>
      </c>
      <c r="AL109" s="17">
        <v>6905.51</v>
      </c>
      <c r="AM109" s="17">
        <v>17448.12</v>
      </c>
      <c r="AN109" s="17">
        <v>3428.38</v>
      </c>
      <c r="AO109" s="17">
        <v>3307.9</v>
      </c>
      <c r="AP109" s="17">
        <v>309.23</v>
      </c>
      <c r="AQ109" s="17">
        <v>79808.070000000007</v>
      </c>
      <c r="AR109" s="17">
        <v>2724.18</v>
      </c>
      <c r="AS109" s="17">
        <v>1124.56</v>
      </c>
      <c r="AT109" s="17">
        <v>1001.87</v>
      </c>
      <c r="AU109" s="17">
        <v>21236.75</v>
      </c>
      <c r="AV109" s="17">
        <v>1786.56</v>
      </c>
      <c r="AW109" s="17">
        <v>1370.83</v>
      </c>
      <c r="AX109" s="17">
        <v>10895.25</v>
      </c>
      <c r="AY109" s="19">
        <v>63537.36</v>
      </c>
      <c r="AZ109" s="17">
        <v>600.46</v>
      </c>
    </row>
    <row r="110" spans="1:52" x14ac:dyDescent="0.25">
      <c r="A110" s="21">
        <f t="shared" si="2"/>
        <v>45434</v>
      </c>
      <c r="B110" t="s">
        <v>690</v>
      </c>
      <c r="C110" s="17">
        <v>5307.01</v>
      </c>
      <c r="D110" s="17">
        <v>2737.36</v>
      </c>
      <c r="E110" s="17">
        <v>5025.17</v>
      </c>
      <c r="F110" s="17">
        <v>4560.55</v>
      </c>
      <c r="G110" s="9">
        <v>66565330.200000003</v>
      </c>
      <c r="H110" s="17">
        <v>7848.14</v>
      </c>
      <c r="I110" s="17">
        <v>3758.87</v>
      </c>
      <c r="J110" s="17">
        <v>3996.7</v>
      </c>
      <c r="K110" s="17">
        <v>125650.03</v>
      </c>
      <c r="L110" s="17">
        <v>868.11</v>
      </c>
      <c r="M110" s="17">
        <v>22346.76</v>
      </c>
      <c r="N110" s="17" t="e">
        <v>#N/A</v>
      </c>
      <c r="O110" s="17">
        <v>3158.54</v>
      </c>
      <c r="P110" s="17">
        <v>2832.64</v>
      </c>
      <c r="Q110" s="17">
        <v>1574.12</v>
      </c>
      <c r="R110" s="17">
        <v>2762.25</v>
      </c>
      <c r="S110" s="17">
        <v>10377.07</v>
      </c>
      <c r="T110" s="17">
        <v>8092.11</v>
      </c>
      <c r="U110" s="17">
        <v>7191.44</v>
      </c>
      <c r="V110" s="17">
        <v>1480.09</v>
      </c>
      <c r="W110" s="17">
        <v>19195.599999999999</v>
      </c>
      <c r="X110" s="17">
        <v>67957.08</v>
      </c>
      <c r="Y110" s="17">
        <v>74221.06</v>
      </c>
      <c r="Z110" s="17">
        <v>7222.38</v>
      </c>
      <c r="AA110" s="17">
        <v>10053.16</v>
      </c>
      <c r="AB110" s="17">
        <v>34460.519999999997</v>
      </c>
      <c r="AC110" s="17">
        <v>1712.49</v>
      </c>
      <c r="AD110" s="17" t="e">
        <v>#N/A</v>
      </c>
      <c r="AE110" s="18">
        <v>56432.03</v>
      </c>
      <c r="AF110" s="17">
        <v>1229.25</v>
      </c>
      <c r="AG110" s="17">
        <v>4459.75</v>
      </c>
      <c r="AH110" s="17">
        <v>98128</v>
      </c>
      <c r="AI110" s="17">
        <v>1647.35</v>
      </c>
      <c r="AJ110" s="17">
        <v>6607.22</v>
      </c>
      <c r="AK110" s="17">
        <v>88314.37</v>
      </c>
      <c r="AL110" s="17">
        <v>6950.11</v>
      </c>
      <c r="AM110" s="17">
        <v>17494.47</v>
      </c>
      <c r="AN110" s="17">
        <v>3444.64</v>
      </c>
      <c r="AO110" s="17" t="e">
        <v>#N/A</v>
      </c>
      <c r="AP110" s="17">
        <v>307</v>
      </c>
      <c r="AQ110" s="17">
        <v>79492.570000000007</v>
      </c>
      <c r="AR110" s="17">
        <v>2723.46</v>
      </c>
      <c r="AS110" s="17">
        <v>1123.4000000000001</v>
      </c>
      <c r="AT110" s="17">
        <v>1003.03</v>
      </c>
      <c r="AU110" s="17">
        <v>21551.83</v>
      </c>
      <c r="AV110" s="17">
        <v>1786.47</v>
      </c>
      <c r="AW110" s="17" t="e">
        <v>#N/A</v>
      </c>
      <c r="AX110" s="17">
        <v>10899.28</v>
      </c>
      <c r="AY110" s="19">
        <v>65113.599999999999</v>
      </c>
      <c r="AZ110" s="17">
        <v>598.29999999999995</v>
      </c>
    </row>
    <row r="111" spans="1:52" x14ac:dyDescent="0.25">
      <c r="A111" s="21">
        <f t="shared" si="2"/>
        <v>45435</v>
      </c>
      <c r="B111" t="s">
        <v>691</v>
      </c>
      <c r="C111" s="17">
        <v>5267.84</v>
      </c>
      <c r="D111" s="17">
        <v>2754.75</v>
      </c>
      <c r="E111" s="17">
        <v>5037.6000000000004</v>
      </c>
      <c r="F111" s="17">
        <v>4543.84</v>
      </c>
      <c r="G111" s="9">
        <v>64656343.600000001</v>
      </c>
      <c r="H111" s="17">
        <v>7811.8</v>
      </c>
      <c r="I111" s="17">
        <v>3767.95</v>
      </c>
      <c r="J111" s="17">
        <v>3975.74</v>
      </c>
      <c r="K111" s="17">
        <v>124729.4</v>
      </c>
      <c r="L111" s="17">
        <v>866.45</v>
      </c>
      <c r="M111" s="17">
        <v>22200.79</v>
      </c>
      <c r="N111" s="17" t="e">
        <v>#N/A</v>
      </c>
      <c r="O111" s="17">
        <v>3116.39</v>
      </c>
      <c r="P111" s="17">
        <v>2828.37</v>
      </c>
      <c r="Q111" s="17">
        <v>1571.17</v>
      </c>
      <c r="R111" s="17">
        <v>2790.4</v>
      </c>
      <c r="S111" s="17">
        <v>10339.959999999999</v>
      </c>
      <c r="T111" s="17">
        <v>8102.33</v>
      </c>
      <c r="U111" s="17">
        <v>7195.71</v>
      </c>
      <c r="V111" s="17">
        <v>1481.65</v>
      </c>
      <c r="W111" s="17">
        <v>18868.71</v>
      </c>
      <c r="X111" s="17">
        <v>68319.509999999995</v>
      </c>
      <c r="Y111" s="17">
        <v>75418.039999999994</v>
      </c>
      <c r="Z111" s="17" t="e">
        <v>#N/A</v>
      </c>
      <c r="AA111" s="17">
        <v>10121.94</v>
      </c>
      <c r="AB111" s="17">
        <v>34467.67</v>
      </c>
      <c r="AC111" s="17">
        <v>1716.87</v>
      </c>
      <c r="AD111" s="17">
        <v>1629.18</v>
      </c>
      <c r="AE111" s="18">
        <v>55918.38</v>
      </c>
      <c r="AF111" s="17">
        <v>1235.98</v>
      </c>
      <c r="AG111" s="17">
        <v>4489.1000000000004</v>
      </c>
      <c r="AH111" s="17">
        <v>97978.02</v>
      </c>
      <c r="AI111" s="17">
        <v>1658.11</v>
      </c>
      <c r="AJ111" s="17">
        <v>6659.99</v>
      </c>
      <c r="AK111" s="17">
        <v>88090.51</v>
      </c>
      <c r="AL111" s="17">
        <v>6924.65</v>
      </c>
      <c r="AM111" s="17">
        <v>17435.310000000001</v>
      </c>
      <c r="AN111" s="17">
        <v>3442.79</v>
      </c>
      <c r="AO111" s="17">
        <v>3322.62</v>
      </c>
      <c r="AP111" s="17">
        <v>308.98</v>
      </c>
      <c r="AQ111" s="17">
        <v>78956.070000000007</v>
      </c>
      <c r="AR111" s="17">
        <v>2721.81</v>
      </c>
      <c r="AS111" s="17">
        <v>1121.28</v>
      </c>
      <c r="AT111" s="17">
        <v>1003.47</v>
      </c>
      <c r="AU111" s="17">
        <v>21607.43</v>
      </c>
      <c r="AV111" s="17">
        <v>1792.73</v>
      </c>
      <c r="AW111" s="17">
        <v>1367.84</v>
      </c>
      <c r="AX111" s="17">
        <v>10792.53</v>
      </c>
      <c r="AY111" s="19">
        <v>64807.15</v>
      </c>
      <c r="AZ111" s="17">
        <v>595</v>
      </c>
    </row>
    <row r="112" spans="1:52" x14ac:dyDescent="0.25">
      <c r="A112" s="21">
        <f t="shared" si="2"/>
        <v>45436</v>
      </c>
      <c r="B112" t="s">
        <v>692</v>
      </c>
      <c r="C112" s="17">
        <v>5304.72</v>
      </c>
      <c r="D112" s="17">
        <v>2742.54</v>
      </c>
      <c r="E112" s="17">
        <v>5035.41</v>
      </c>
      <c r="F112" s="17">
        <v>4538.0200000000004</v>
      </c>
      <c r="G112" s="9">
        <v>64707302.799999997</v>
      </c>
      <c r="H112" s="17">
        <v>7727.59</v>
      </c>
      <c r="I112" s="17">
        <v>3747.12</v>
      </c>
      <c r="J112" s="17">
        <v>3969.92</v>
      </c>
      <c r="K112" s="17">
        <v>124305.57</v>
      </c>
      <c r="L112" s="17" t="e">
        <v>#N/A</v>
      </c>
      <c r="M112" s="17">
        <v>22320.87</v>
      </c>
      <c r="N112" s="17" t="e">
        <v>#N/A</v>
      </c>
      <c r="O112" s="17">
        <v>3088.87</v>
      </c>
      <c r="P112" s="17">
        <v>2829.1</v>
      </c>
      <c r="Q112" s="17">
        <v>1562.2</v>
      </c>
      <c r="R112" s="17">
        <v>2767.23</v>
      </c>
      <c r="S112" s="17">
        <v>10319.5</v>
      </c>
      <c r="T112" s="17">
        <v>8094.97</v>
      </c>
      <c r="U112" s="17">
        <v>7195.03</v>
      </c>
      <c r="V112" s="17">
        <v>1477.69</v>
      </c>
      <c r="W112" s="17">
        <v>18608.939999999999</v>
      </c>
      <c r="X112" s="17">
        <v>68846.13</v>
      </c>
      <c r="Y112" s="17">
        <v>75410.39</v>
      </c>
      <c r="Z112" s="17" t="e">
        <v>#N/A</v>
      </c>
      <c r="AA112" s="17">
        <v>10071.84</v>
      </c>
      <c r="AB112" s="17">
        <v>34490.71</v>
      </c>
      <c r="AC112" s="17">
        <v>1717.43</v>
      </c>
      <c r="AD112" s="17">
        <v>1619.4</v>
      </c>
      <c r="AE112" s="18">
        <v>55413.120000000003</v>
      </c>
      <c r="AF112" s="17">
        <v>1237.8800000000001</v>
      </c>
      <c r="AG112" s="17">
        <v>4478.99</v>
      </c>
      <c r="AH112" s="17">
        <v>97612.51</v>
      </c>
      <c r="AI112" s="17">
        <v>1651.83</v>
      </c>
      <c r="AJ112" s="17">
        <v>6619.89</v>
      </c>
      <c r="AK112" s="17">
        <v>87690.05</v>
      </c>
      <c r="AL112" s="17">
        <v>6900.34</v>
      </c>
      <c r="AM112" s="17">
        <v>17680.5</v>
      </c>
      <c r="AN112" s="17">
        <v>3396.5</v>
      </c>
      <c r="AO112" s="17">
        <v>3316.56</v>
      </c>
      <c r="AP112" s="17">
        <v>308.98</v>
      </c>
      <c r="AQ112" s="17">
        <v>79150.84</v>
      </c>
      <c r="AR112" s="17">
        <v>2687.6</v>
      </c>
      <c r="AS112" s="17">
        <v>1115.07</v>
      </c>
      <c r="AT112" s="17">
        <v>999.34</v>
      </c>
      <c r="AU112" s="17">
        <v>21565.34</v>
      </c>
      <c r="AV112" s="17">
        <v>2050.9899999999998</v>
      </c>
      <c r="AW112" s="17">
        <v>1364.48</v>
      </c>
      <c r="AX112" s="17">
        <v>10676.65</v>
      </c>
      <c r="AY112" s="19">
        <v>65752.09</v>
      </c>
      <c r="AZ112" s="17">
        <v>596.92999999999995</v>
      </c>
    </row>
    <row r="113" spans="1:52" x14ac:dyDescent="0.25">
      <c r="A113" s="21">
        <f t="shared" si="2"/>
        <v>45439</v>
      </c>
      <c r="B113" t="s">
        <v>693</v>
      </c>
      <c r="C113" s="17" t="e">
        <v>#N/A</v>
      </c>
      <c r="D113" s="17">
        <v>2766.36</v>
      </c>
      <c r="E113" s="17">
        <v>5059.2</v>
      </c>
      <c r="F113" s="17" t="e">
        <v>#N/A</v>
      </c>
      <c r="G113" s="9">
        <v>66984735.899999999</v>
      </c>
      <c r="H113" s="17">
        <v>7788.31</v>
      </c>
      <c r="I113" s="17">
        <v>3715.27</v>
      </c>
      <c r="J113" s="17">
        <v>3984.87</v>
      </c>
      <c r="K113" s="17">
        <v>124495.67999999999</v>
      </c>
      <c r="L113" s="17">
        <v>866.5</v>
      </c>
      <c r="M113" s="17">
        <v>22373.38</v>
      </c>
      <c r="N113" s="17" t="e">
        <v>#N/A</v>
      </c>
      <c r="O113" s="17">
        <v>3124.04</v>
      </c>
      <c r="P113" s="17">
        <v>2823.8</v>
      </c>
      <c r="Q113" s="17">
        <v>1547.87</v>
      </c>
      <c r="R113" s="17">
        <v>2760.95</v>
      </c>
      <c r="S113" s="17">
        <v>10363.41</v>
      </c>
      <c r="T113" s="17">
        <v>8132.49</v>
      </c>
      <c r="U113" s="17">
        <v>7226.34</v>
      </c>
      <c r="V113" s="17">
        <v>1481.23</v>
      </c>
      <c r="W113" s="17">
        <v>18827.349999999999</v>
      </c>
      <c r="X113" s="17">
        <v>69803.67</v>
      </c>
      <c r="Y113" s="17">
        <v>75390.5</v>
      </c>
      <c r="Z113" s="17">
        <v>7176.42</v>
      </c>
      <c r="AA113" s="17">
        <v>10024.75</v>
      </c>
      <c r="AB113" s="17">
        <v>34761.97</v>
      </c>
      <c r="AC113" s="17">
        <v>1687.35</v>
      </c>
      <c r="AD113" s="17">
        <v>1618.27</v>
      </c>
      <c r="AE113" s="18">
        <v>55452.88</v>
      </c>
      <c r="AF113" s="17">
        <v>1239.96</v>
      </c>
      <c r="AG113" s="17">
        <v>4468.58</v>
      </c>
      <c r="AH113" s="17">
        <v>97863.34</v>
      </c>
      <c r="AI113" s="17">
        <v>1663.54</v>
      </c>
      <c r="AJ113" s="17">
        <v>6571.6</v>
      </c>
      <c r="AK113" s="17">
        <v>87654.95</v>
      </c>
      <c r="AL113" s="17">
        <v>6938.14</v>
      </c>
      <c r="AM113" s="17">
        <v>17780.919999999998</v>
      </c>
      <c r="AN113" s="17">
        <v>3299.22</v>
      </c>
      <c r="AO113" s="17">
        <v>3318.45</v>
      </c>
      <c r="AP113" s="17">
        <v>307.74</v>
      </c>
      <c r="AQ113" s="17">
        <v>78920.88</v>
      </c>
      <c r="AR113" s="17">
        <v>2722.99</v>
      </c>
      <c r="AS113" s="17">
        <v>1122.5999999999999</v>
      </c>
      <c r="AT113" s="17">
        <v>999.88</v>
      </c>
      <c r="AU113" s="17">
        <v>21803.77</v>
      </c>
      <c r="AV113" s="17">
        <v>2067.98</v>
      </c>
      <c r="AW113" s="17">
        <v>1366.37</v>
      </c>
      <c r="AX113" s="17">
        <v>10656.96</v>
      </c>
      <c r="AY113" s="19">
        <v>67082.710000000006</v>
      </c>
      <c r="AZ113" s="17">
        <v>598.39</v>
      </c>
    </row>
    <row r="114" spans="1:52" x14ac:dyDescent="0.25">
      <c r="A114" s="21">
        <f t="shared" si="2"/>
        <v>45440</v>
      </c>
      <c r="B114" t="s">
        <v>694</v>
      </c>
      <c r="C114" s="17">
        <v>5306.04</v>
      </c>
      <c r="D114" s="17">
        <v>2768.5</v>
      </c>
      <c r="E114" s="17">
        <v>5030.3500000000004</v>
      </c>
      <c r="F114" s="17">
        <v>4506.79</v>
      </c>
      <c r="G114" s="9">
        <v>66963553.200000003</v>
      </c>
      <c r="H114" s="17">
        <v>7766.71</v>
      </c>
      <c r="I114" s="17">
        <v>3710.04</v>
      </c>
      <c r="J114" s="17">
        <v>3948.08</v>
      </c>
      <c r="K114" s="17">
        <v>123779.54</v>
      </c>
      <c r="L114" s="17">
        <v>866.82</v>
      </c>
      <c r="M114" s="17">
        <v>22265.05</v>
      </c>
      <c r="N114" s="17">
        <v>34264.519999999997</v>
      </c>
      <c r="O114" s="17">
        <v>3109.57</v>
      </c>
      <c r="P114" s="17">
        <v>2821.47</v>
      </c>
      <c r="Q114" s="17">
        <v>1543.04</v>
      </c>
      <c r="R114" s="17">
        <v>2751.97</v>
      </c>
      <c r="S114" s="17">
        <v>10338.69</v>
      </c>
      <c r="T114" s="17">
        <v>8057.8</v>
      </c>
      <c r="U114" s="17">
        <v>7189.07</v>
      </c>
      <c r="V114" s="17">
        <v>1471.63</v>
      </c>
      <c r="W114" s="17">
        <v>18821.16</v>
      </c>
      <c r="X114" s="17">
        <v>68546.850000000006</v>
      </c>
      <c r="Y114" s="17">
        <v>75170.45</v>
      </c>
      <c r="Z114" s="17">
        <v>7253.63</v>
      </c>
      <c r="AA114" s="17">
        <v>9994.01</v>
      </c>
      <c r="AB114" s="17">
        <v>34659.550000000003</v>
      </c>
      <c r="AC114" s="17">
        <v>1717.56</v>
      </c>
      <c r="AD114" s="17">
        <v>1615.82</v>
      </c>
      <c r="AE114" s="18">
        <v>55184.95</v>
      </c>
      <c r="AF114" s="17">
        <v>1236.1600000000001</v>
      </c>
      <c r="AG114" s="17">
        <v>4440.6499999999996</v>
      </c>
      <c r="AH114" s="17">
        <v>98383.039999999994</v>
      </c>
      <c r="AI114" s="17">
        <v>1660.7</v>
      </c>
      <c r="AJ114" s="17">
        <v>6501.34</v>
      </c>
      <c r="AK114" s="17">
        <v>86996.07</v>
      </c>
      <c r="AL114" s="17">
        <v>6910.19</v>
      </c>
      <c r="AM114" s="17">
        <v>17933.12</v>
      </c>
      <c r="AN114" s="17">
        <v>3302.91</v>
      </c>
      <c r="AO114" s="17">
        <v>3330.09</v>
      </c>
      <c r="AP114" s="17">
        <v>306.75</v>
      </c>
      <c r="AQ114" s="17">
        <v>78576.14</v>
      </c>
      <c r="AR114" s="17">
        <v>2722.85</v>
      </c>
      <c r="AS114" s="17">
        <v>1118.19</v>
      </c>
      <c r="AT114" s="17">
        <v>995.46</v>
      </c>
      <c r="AU114" s="17">
        <v>21858.41</v>
      </c>
      <c r="AV114" s="17">
        <v>2075.4899999999998</v>
      </c>
      <c r="AW114" s="17">
        <v>1362.7</v>
      </c>
      <c r="AX114" s="17">
        <v>10677.49</v>
      </c>
      <c r="AY114" s="19">
        <v>67436.14</v>
      </c>
      <c r="AZ114" s="17">
        <v>597.62</v>
      </c>
    </row>
    <row r="115" spans="1:52" x14ac:dyDescent="0.25">
      <c r="A115" s="21">
        <f t="shared" si="2"/>
        <v>45441</v>
      </c>
      <c r="B115" t="s">
        <v>695</v>
      </c>
      <c r="C115" s="17">
        <v>5266.95</v>
      </c>
      <c r="D115" s="17">
        <v>2741.62</v>
      </c>
      <c r="E115" s="17">
        <v>4963.2</v>
      </c>
      <c r="F115" s="17">
        <v>4465.63</v>
      </c>
      <c r="G115" s="9">
        <v>66964063.600000001</v>
      </c>
      <c r="H115" s="17">
        <v>7665.63</v>
      </c>
      <c r="I115" s="17">
        <v>3651.16</v>
      </c>
      <c r="J115" s="17">
        <v>3922.53</v>
      </c>
      <c r="K115" s="17">
        <v>122707.28</v>
      </c>
      <c r="L115" s="17">
        <v>866.59</v>
      </c>
      <c r="M115" s="17">
        <v>21897.98</v>
      </c>
      <c r="N115" s="17">
        <v>33902.25</v>
      </c>
      <c r="O115" s="17">
        <v>3111.02</v>
      </c>
      <c r="P115" s="17">
        <v>2806.36</v>
      </c>
      <c r="Q115" s="17">
        <v>1539.55</v>
      </c>
      <c r="R115" s="17">
        <v>2728.24</v>
      </c>
      <c r="S115" s="17">
        <v>10178.48</v>
      </c>
      <c r="T115" s="17">
        <v>7935.03</v>
      </c>
      <c r="U115" s="17">
        <v>7110.33</v>
      </c>
      <c r="V115" s="17">
        <v>1442.21</v>
      </c>
      <c r="W115" s="17">
        <v>18477.009999999998</v>
      </c>
      <c r="X115" s="17">
        <v>68485.5</v>
      </c>
      <c r="Y115" s="17">
        <v>74502.899999999994</v>
      </c>
      <c r="Z115" s="17">
        <v>7140.23</v>
      </c>
      <c r="AA115" s="17">
        <v>9861.09</v>
      </c>
      <c r="AB115" s="17">
        <v>34150.54</v>
      </c>
      <c r="AC115" s="17" t="e">
        <v>#N/A</v>
      </c>
      <c r="AD115" s="17">
        <v>1605.35</v>
      </c>
      <c r="AE115" s="18">
        <v>55212.639999999999</v>
      </c>
      <c r="AF115" s="17">
        <v>1226.6500000000001</v>
      </c>
      <c r="AG115" s="17">
        <v>4439.1899999999996</v>
      </c>
      <c r="AH115" s="17">
        <v>98818.04</v>
      </c>
      <c r="AI115" s="17">
        <v>1650.52</v>
      </c>
      <c r="AJ115" s="17">
        <v>6411.41</v>
      </c>
      <c r="AK115" s="17">
        <v>85697.03</v>
      </c>
      <c r="AL115" s="17">
        <v>6798.09</v>
      </c>
      <c r="AM115" s="17">
        <v>17764.07</v>
      </c>
      <c r="AN115" s="17">
        <v>3318.03</v>
      </c>
      <c r="AO115" s="17">
        <v>3323.2</v>
      </c>
      <c r="AP115" s="17">
        <v>308.98</v>
      </c>
      <c r="AQ115" s="17" t="e">
        <v>#N/A</v>
      </c>
      <c r="AR115" s="17">
        <v>2677.3</v>
      </c>
      <c r="AS115" s="17">
        <v>1105.0999999999999</v>
      </c>
      <c r="AT115" s="17">
        <v>980.59</v>
      </c>
      <c r="AU115" s="17">
        <v>21662.5</v>
      </c>
      <c r="AV115" s="17">
        <v>2068.06</v>
      </c>
      <c r="AW115" s="17">
        <v>1349.83</v>
      </c>
      <c r="AX115" s="17">
        <v>10479.16</v>
      </c>
      <c r="AY115" s="19">
        <v>67635.62</v>
      </c>
      <c r="AZ115" s="17">
        <v>591.28</v>
      </c>
    </row>
    <row r="116" spans="1:52" x14ac:dyDescent="0.25">
      <c r="A116" s="21">
        <f t="shared" si="2"/>
        <v>45442</v>
      </c>
      <c r="B116" t="s">
        <v>696</v>
      </c>
      <c r="C116" s="17">
        <v>5235.4799999999996</v>
      </c>
      <c r="D116" s="17">
        <v>2726.2</v>
      </c>
      <c r="E116" s="17">
        <v>4982.18</v>
      </c>
      <c r="F116" s="17">
        <v>4494.75</v>
      </c>
      <c r="G116" s="9">
        <v>70216554</v>
      </c>
      <c r="H116" s="17">
        <v>7628.2</v>
      </c>
      <c r="I116" s="17">
        <v>3651.78</v>
      </c>
      <c r="J116" s="17">
        <v>3908.71</v>
      </c>
      <c r="K116" s="17" t="e">
        <v>#N/A</v>
      </c>
      <c r="L116" s="17">
        <v>863.6</v>
      </c>
      <c r="M116" s="17">
        <v>22071.71</v>
      </c>
      <c r="N116" s="17">
        <v>33720.9</v>
      </c>
      <c r="O116" s="17">
        <v>3091.68</v>
      </c>
      <c r="P116" s="17" t="e">
        <v>#N/A</v>
      </c>
      <c r="Q116" s="17">
        <v>1539.9</v>
      </c>
      <c r="R116" s="17">
        <v>2744.16</v>
      </c>
      <c r="S116" s="17">
        <v>10222.39</v>
      </c>
      <c r="T116" s="17">
        <v>7978.51</v>
      </c>
      <c r="U116" s="17">
        <v>7109.45</v>
      </c>
      <c r="V116" s="17">
        <v>1439.91</v>
      </c>
      <c r="W116" s="17">
        <v>18230.189999999999</v>
      </c>
      <c r="X116" s="17">
        <v>68095.19</v>
      </c>
      <c r="Y116" s="17">
        <v>73885.600000000006</v>
      </c>
      <c r="Z116" s="17">
        <v>7034.14</v>
      </c>
      <c r="AA116" s="17">
        <v>9964.27</v>
      </c>
      <c r="AB116" s="17">
        <v>34447.57</v>
      </c>
      <c r="AC116" s="17">
        <v>1724.18</v>
      </c>
      <c r="AD116" s="17">
        <v>1604.26</v>
      </c>
      <c r="AE116" s="18">
        <v>55352.56</v>
      </c>
      <c r="AF116" s="17">
        <v>1225.9100000000001</v>
      </c>
      <c r="AG116" s="17">
        <v>4393.0200000000004</v>
      </c>
      <c r="AH116" s="17">
        <v>99276.03</v>
      </c>
      <c r="AI116" s="17">
        <v>1654.53</v>
      </c>
      <c r="AJ116" s="17">
        <v>6371.75</v>
      </c>
      <c r="AK116" s="17" t="e">
        <v>#N/A</v>
      </c>
      <c r="AL116" s="17">
        <v>6839.5</v>
      </c>
      <c r="AM116" s="17">
        <v>17562.27</v>
      </c>
      <c r="AN116" s="17">
        <v>3282.18</v>
      </c>
      <c r="AO116" s="17">
        <v>3323.38</v>
      </c>
      <c r="AP116" s="17">
        <v>306.75</v>
      </c>
      <c r="AQ116" s="17">
        <v>77161.710000000006</v>
      </c>
      <c r="AR116" s="17">
        <v>2635.44</v>
      </c>
      <c r="AS116" s="17">
        <v>1123.78</v>
      </c>
      <c r="AT116" s="17">
        <v>985.91</v>
      </c>
      <c r="AU116" s="17">
        <v>21364.48</v>
      </c>
      <c r="AV116" s="17">
        <v>2061.5500000000002</v>
      </c>
      <c r="AW116" s="17">
        <v>1351.52</v>
      </c>
      <c r="AX116" s="17">
        <v>10481.299999999999</v>
      </c>
      <c r="AY116" s="19">
        <v>68680.490000000005</v>
      </c>
      <c r="AZ116" s="17">
        <v>589.32000000000005</v>
      </c>
    </row>
    <row r="117" spans="1:52" x14ac:dyDescent="0.25">
      <c r="A117" s="21">
        <f t="shared" si="2"/>
        <v>45443</v>
      </c>
      <c r="B117" t="s">
        <v>697</v>
      </c>
      <c r="C117" s="17">
        <v>5277.51</v>
      </c>
      <c r="D117" s="17">
        <v>2772.49</v>
      </c>
      <c r="E117" s="17">
        <v>4983.67</v>
      </c>
      <c r="F117" s="17">
        <v>4517.08</v>
      </c>
      <c r="G117" s="9">
        <v>70434121</v>
      </c>
      <c r="H117" s="17">
        <v>7701.74</v>
      </c>
      <c r="I117" s="17">
        <v>3688.37</v>
      </c>
      <c r="J117" s="17">
        <v>3918.09</v>
      </c>
      <c r="K117" s="17">
        <v>122098.09</v>
      </c>
      <c r="L117" s="17">
        <v>865.39</v>
      </c>
      <c r="M117" s="17">
        <v>22269.119999999999</v>
      </c>
      <c r="N117" s="17">
        <v>33689.199999999997</v>
      </c>
      <c r="O117" s="17">
        <v>3086.81</v>
      </c>
      <c r="P117" s="17">
        <v>2806.07</v>
      </c>
      <c r="Q117" s="17">
        <v>1553.58</v>
      </c>
      <c r="R117" s="17">
        <v>2769.27</v>
      </c>
      <c r="S117" s="17">
        <v>10244.5</v>
      </c>
      <c r="T117" s="17">
        <v>7992.87</v>
      </c>
      <c r="U117" s="17">
        <v>7109.89</v>
      </c>
      <c r="V117" s="17">
        <v>1431.84</v>
      </c>
      <c r="W117" s="17">
        <v>18079.61</v>
      </c>
      <c r="X117" s="17">
        <v>67906.509999999995</v>
      </c>
      <c r="Y117" s="17">
        <v>73961.31</v>
      </c>
      <c r="Z117" s="17">
        <v>6970.74</v>
      </c>
      <c r="AA117" s="17">
        <v>9940.32</v>
      </c>
      <c r="AB117" s="17">
        <v>34492.410000000003</v>
      </c>
      <c r="AC117" s="17">
        <v>1722.49</v>
      </c>
      <c r="AD117" s="17">
        <v>1596.68</v>
      </c>
      <c r="AE117" s="18">
        <v>55179.24</v>
      </c>
      <c r="AF117" s="17">
        <v>1221.68</v>
      </c>
      <c r="AG117" s="17">
        <v>4510.88</v>
      </c>
      <c r="AH117" s="17">
        <v>99300.38</v>
      </c>
      <c r="AI117" s="17">
        <v>1668.78</v>
      </c>
      <c r="AJ117" s="17">
        <v>6433.1</v>
      </c>
      <c r="AK117" s="17">
        <v>86315.26</v>
      </c>
      <c r="AL117" s="17">
        <v>6870.81</v>
      </c>
      <c r="AM117" s="17">
        <v>17588.48</v>
      </c>
      <c r="AN117" s="17">
        <v>3217.19</v>
      </c>
      <c r="AO117" s="17">
        <v>3336.59</v>
      </c>
      <c r="AP117" s="17">
        <v>308.24</v>
      </c>
      <c r="AQ117" s="17">
        <v>76704.259999999995</v>
      </c>
      <c r="AR117" s="17">
        <v>2636.52</v>
      </c>
      <c r="AS117" s="17">
        <v>1123.3800000000001</v>
      </c>
      <c r="AT117" s="17">
        <v>990.84</v>
      </c>
      <c r="AU117" s="17">
        <v>21174.22</v>
      </c>
      <c r="AV117" s="17">
        <v>2066.3200000000002</v>
      </c>
      <c r="AW117" s="17">
        <v>1345.66</v>
      </c>
      <c r="AX117" s="17">
        <v>10400.48</v>
      </c>
      <c r="AY117" s="19">
        <v>69210.19</v>
      </c>
      <c r="AZ117" s="17">
        <v>592.70000000000005</v>
      </c>
    </row>
    <row r="118" spans="1:52" x14ac:dyDescent="0.25">
      <c r="A118" s="21">
        <f t="shared" si="2"/>
        <v>45446</v>
      </c>
      <c r="B118" t="s">
        <v>698</v>
      </c>
      <c r="C118" s="17">
        <v>5283.4</v>
      </c>
      <c r="D118" s="17">
        <v>2798.07</v>
      </c>
      <c r="E118" s="17">
        <v>5003.54</v>
      </c>
      <c r="F118" s="17">
        <v>4517.03</v>
      </c>
      <c r="G118" s="9">
        <v>70669018</v>
      </c>
      <c r="H118" s="17">
        <v>7761.03</v>
      </c>
      <c r="I118" s="17">
        <v>3700.62</v>
      </c>
      <c r="J118" s="17">
        <v>3932.76</v>
      </c>
      <c r="K118" s="17">
        <v>122031.58</v>
      </c>
      <c r="L118" s="17">
        <v>865.44</v>
      </c>
      <c r="M118" s="17">
        <v>22116.69</v>
      </c>
      <c r="N118" s="17">
        <v>33576.5</v>
      </c>
      <c r="O118" s="17">
        <v>3078.49</v>
      </c>
      <c r="P118" s="17">
        <v>2807.9</v>
      </c>
      <c r="Q118" s="17">
        <v>1552.37</v>
      </c>
      <c r="R118" s="17">
        <v>2758.93</v>
      </c>
      <c r="S118" s="17">
        <v>10273.200000000001</v>
      </c>
      <c r="T118" s="17">
        <v>7998.02</v>
      </c>
      <c r="U118" s="17">
        <v>7152.26</v>
      </c>
      <c r="V118" s="17">
        <v>1447.41</v>
      </c>
      <c r="W118" s="17">
        <v>18403.04</v>
      </c>
      <c r="X118" s="17">
        <v>69458.84</v>
      </c>
      <c r="Y118" s="17">
        <v>76468.78</v>
      </c>
      <c r="Z118" s="17">
        <v>7036.19</v>
      </c>
      <c r="AA118" s="17">
        <v>10037.19</v>
      </c>
      <c r="AB118" s="17">
        <v>34670.06</v>
      </c>
      <c r="AC118" s="17">
        <v>1725.6</v>
      </c>
      <c r="AD118" s="17" t="e">
        <v>#N/A</v>
      </c>
      <c r="AE118" s="18">
        <v>51863.39</v>
      </c>
      <c r="AF118" s="17">
        <v>1225.24</v>
      </c>
      <c r="AG118" s="17" t="e">
        <v>#N/A</v>
      </c>
      <c r="AH118" s="17">
        <v>99118.86</v>
      </c>
      <c r="AI118" s="17">
        <v>1671.41</v>
      </c>
      <c r="AJ118" s="17">
        <v>6470.74</v>
      </c>
      <c r="AK118" s="17">
        <v>86832.67</v>
      </c>
      <c r="AL118" s="17">
        <v>6918.43</v>
      </c>
      <c r="AM118" s="17">
        <v>17588.189999999999</v>
      </c>
      <c r="AN118" s="17">
        <v>3141.42</v>
      </c>
      <c r="AO118" s="17">
        <v>3348.87</v>
      </c>
      <c r="AP118" s="17">
        <v>306.75</v>
      </c>
      <c r="AQ118" s="17">
        <v>77746.23</v>
      </c>
      <c r="AR118" s="17">
        <v>2682.52</v>
      </c>
      <c r="AS118" s="17">
        <v>1129.47</v>
      </c>
      <c r="AT118" s="17">
        <v>991.74</v>
      </c>
      <c r="AU118" s="17">
        <v>21536.76</v>
      </c>
      <c r="AV118" s="17">
        <v>2065.39</v>
      </c>
      <c r="AW118" s="17" t="e">
        <v>#N/A</v>
      </c>
      <c r="AX118" s="17">
        <v>10556.8</v>
      </c>
      <c r="AY118" s="19" t="e">
        <v>#N/A</v>
      </c>
      <c r="AZ118" s="17">
        <v>595.16999999999996</v>
      </c>
    </row>
    <row r="119" spans="1:52" x14ac:dyDescent="0.25">
      <c r="A119" s="21">
        <f t="shared" si="2"/>
        <v>45447</v>
      </c>
      <c r="B119" t="s">
        <v>699</v>
      </c>
      <c r="C119" s="17">
        <v>5291.34</v>
      </c>
      <c r="D119" s="17">
        <v>2787.48</v>
      </c>
      <c r="E119" s="17">
        <v>4953.37</v>
      </c>
      <c r="F119" s="17">
        <v>4496.88</v>
      </c>
      <c r="G119" s="9">
        <v>67299322.5</v>
      </c>
      <c r="H119" s="17">
        <v>7737.06</v>
      </c>
      <c r="I119" s="17">
        <v>3642.51</v>
      </c>
      <c r="J119" s="17">
        <v>3919.46</v>
      </c>
      <c r="K119" s="17">
        <v>121802.06</v>
      </c>
      <c r="L119" s="17">
        <v>865.54</v>
      </c>
      <c r="M119" s="17">
        <v>21978.18</v>
      </c>
      <c r="N119" s="17">
        <v>33478.629999999997</v>
      </c>
      <c r="O119" s="17">
        <v>3091.2</v>
      </c>
      <c r="P119" s="17">
        <v>2813.62</v>
      </c>
      <c r="Q119" s="17">
        <v>1537.37</v>
      </c>
      <c r="R119" s="17">
        <v>2782.23</v>
      </c>
      <c r="S119" s="17">
        <v>10179.74</v>
      </c>
      <c r="T119" s="17">
        <v>7937.9</v>
      </c>
      <c r="U119" s="17">
        <v>7074.41</v>
      </c>
      <c r="V119" s="17">
        <v>1424.69</v>
      </c>
      <c r="W119" s="17">
        <v>18444.11</v>
      </c>
      <c r="X119" s="17">
        <v>68385.55</v>
      </c>
      <c r="Y119" s="17">
        <v>72079.05</v>
      </c>
      <c r="Z119" s="17">
        <v>7099.31</v>
      </c>
      <c r="AA119" s="17">
        <v>9941.89</v>
      </c>
      <c r="AB119" s="17">
        <v>34276.019999999997</v>
      </c>
      <c r="AC119" s="17">
        <v>1740.25</v>
      </c>
      <c r="AD119" s="17">
        <v>1615.4</v>
      </c>
      <c r="AE119" s="18">
        <v>53485.62</v>
      </c>
      <c r="AF119" s="17">
        <v>1218.45</v>
      </c>
      <c r="AG119" s="17">
        <v>4515.29</v>
      </c>
      <c r="AH119" s="17">
        <v>99051.02</v>
      </c>
      <c r="AI119" s="17">
        <v>1637.22</v>
      </c>
      <c r="AJ119" s="17">
        <v>6386.42</v>
      </c>
      <c r="AK119" s="17">
        <v>84978.57</v>
      </c>
      <c r="AL119" s="17">
        <v>6843.63</v>
      </c>
      <c r="AM119" s="17">
        <v>17699.419999999998</v>
      </c>
      <c r="AN119" s="17">
        <v>3186.93</v>
      </c>
      <c r="AO119" s="17">
        <v>3338.94</v>
      </c>
      <c r="AP119" s="17">
        <v>306.75</v>
      </c>
      <c r="AQ119" s="17">
        <v>76832.740000000005</v>
      </c>
      <c r="AR119" s="17">
        <v>2662.1</v>
      </c>
      <c r="AS119" s="17">
        <v>1118.1199999999999</v>
      </c>
      <c r="AT119" s="17">
        <v>984.55</v>
      </c>
      <c r="AU119" s="17">
        <v>21356.62</v>
      </c>
      <c r="AV119" s="17">
        <v>2120.8200000000002</v>
      </c>
      <c r="AW119" s="17">
        <v>1337.32</v>
      </c>
      <c r="AX119" s="17">
        <v>10364.56</v>
      </c>
      <c r="AY119" s="19">
        <v>69482.91</v>
      </c>
      <c r="AZ119" s="17">
        <v>593.70000000000005</v>
      </c>
    </row>
    <row r="120" spans="1:52" x14ac:dyDescent="0.25">
      <c r="A120" s="21">
        <f t="shared" si="2"/>
        <v>45448</v>
      </c>
      <c r="B120" t="s">
        <v>700</v>
      </c>
      <c r="C120" s="17">
        <v>5354.03</v>
      </c>
      <c r="D120" s="17">
        <v>2748.22</v>
      </c>
      <c r="E120" s="17">
        <v>5035.66</v>
      </c>
      <c r="F120" s="17">
        <v>4502.58</v>
      </c>
      <c r="G120" s="9">
        <v>67039473.200000003</v>
      </c>
      <c r="H120" s="17">
        <v>7769</v>
      </c>
      <c r="I120" s="17">
        <v>3647.77</v>
      </c>
      <c r="J120" s="17">
        <v>3906.85</v>
      </c>
      <c r="K120" s="17">
        <v>121407.33</v>
      </c>
      <c r="L120" s="17">
        <v>864.27</v>
      </c>
      <c r="M120" s="17">
        <v>22145.02</v>
      </c>
      <c r="N120" s="17">
        <v>33759.26</v>
      </c>
      <c r="O120" s="17">
        <v>3065.4</v>
      </c>
      <c r="P120" s="17">
        <v>2795.67</v>
      </c>
      <c r="Q120" s="17">
        <v>1533.89</v>
      </c>
      <c r="R120" s="17" t="e">
        <v>#N/A</v>
      </c>
      <c r="S120" s="17">
        <v>10210.32</v>
      </c>
      <c r="T120" s="17">
        <v>8006.57</v>
      </c>
      <c r="U120" s="17">
        <v>7139.87</v>
      </c>
      <c r="V120" s="17">
        <v>1443.74</v>
      </c>
      <c r="W120" s="17">
        <v>18424.96</v>
      </c>
      <c r="X120" s="17">
        <v>68935.5</v>
      </c>
      <c r="Y120" s="17">
        <v>74382.240000000005</v>
      </c>
      <c r="Z120" s="17">
        <v>6947.67</v>
      </c>
      <c r="AA120" s="17">
        <v>9940.36</v>
      </c>
      <c r="AB120" s="17">
        <v>34507.839999999997</v>
      </c>
      <c r="AC120" s="17">
        <v>1752.37</v>
      </c>
      <c r="AD120" s="17">
        <v>1608.53</v>
      </c>
      <c r="AE120" s="18">
        <v>54410.51</v>
      </c>
      <c r="AF120" s="17">
        <v>1247.1199999999999</v>
      </c>
      <c r="AG120" s="17">
        <v>4554.3999999999996</v>
      </c>
      <c r="AH120" s="17">
        <v>99284.38</v>
      </c>
      <c r="AI120" s="17">
        <v>1638.66</v>
      </c>
      <c r="AJ120" s="17">
        <v>6441.32</v>
      </c>
      <c r="AK120" s="17">
        <v>85342.58</v>
      </c>
      <c r="AL120" s="17">
        <v>6831.11</v>
      </c>
      <c r="AM120" s="17">
        <v>17891.78</v>
      </c>
      <c r="AN120" s="17">
        <v>3212.24</v>
      </c>
      <c r="AO120" s="17">
        <v>3330.01</v>
      </c>
      <c r="AP120" s="17">
        <v>304.45</v>
      </c>
      <c r="AQ120" s="17">
        <v>76829.13</v>
      </c>
      <c r="AR120" s="17">
        <v>2689.5</v>
      </c>
      <c r="AS120" s="17">
        <v>1123.43</v>
      </c>
      <c r="AT120" s="17">
        <v>992.34</v>
      </c>
      <c r="AU120" s="17">
        <v>21484.880000000001</v>
      </c>
      <c r="AV120" s="17">
        <v>2056.85</v>
      </c>
      <c r="AW120" s="17">
        <v>1338.32</v>
      </c>
      <c r="AX120" s="17">
        <v>10350.959999999999</v>
      </c>
      <c r="AY120" s="19">
        <v>70255.8</v>
      </c>
      <c r="AZ120" s="17">
        <v>598.52</v>
      </c>
    </row>
    <row r="121" spans="1:52" x14ac:dyDescent="0.25">
      <c r="A121" s="21">
        <f t="shared" si="2"/>
        <v>45449</v>
      </c>
      <c r="B121" t="s">
        <v>701</v>
      </c>
      <c r="C121" s="17">
        <v>5352.96</v>
      </c>
      <c r="D121" s="17">
        <v>2757.23</v>
      </c>
      <c r="E121" s="17">
        <v>5069.09</v>
      </c>
      <c r="F121" s="17">
        <v>4521.7299999999996</v>
      </c>
      <c r="G121" s="9">
        <v>64369143</v>
      </c>
      <c r="H121" s="17">
        <v>7821.77</v>
      </c>
      <c r="I121" s="17">
        <v>3671.94</v>
      </c>
      <c r="J121" s="17">
        <v>3916.97</v>
      </c>
      <c r="K121" s="17">
        <v>122898.8</v>
      </c>
      <c r="L121" s="17">
        <v>865.04</v>
      </c>
      <c r="M121" s="17">
        <v>22229.1</v>
      </c>
      <c r="N121" s="17">
        <v>33902.68</v>
      </c>
      <c r="O121" s="17">
        <v>3048.79</v>
      </c>
      <c r="P121" s="17">
        <v>2803.1</v>
      </c>
      <c r="Q121" s="17">
        <v>1551.85</v>
      </c>
      <c r="R121" s="17">
        <v>2866.17</v>
      </c>
      <c r="S121" s="17">
        <v>10214.86</v>
      </c>
      <c r="T121" s="17">
        <v>8040.12</v>
      </c>
      <c r="U121" s="17">
        <v>7169.36</v>
      </c>
      <c r="V121" s="17">
        <v>1452.85</v>
      </c>
      <c r="W121" s="17">
        <v>18476.8</v>
      </c>
      <c r="X121" s="17">
        <v>69669.740000000005</v>
      </c>
      <c r="Y121" s="17">
        <v>75074.509999999995</v>
      </c>
      <c r="Z121" s="17">
        <v>6974.9</v>
      </c>
      <c r="AA121" s="17">
        <v>9867.9699999999993</v>
      </c>
      <c r="AB121" s="17">
        <v>34834.300000000003</v>
      </c>
      <c r="AC121" s="17">
        <v>1763.55</v>
      </c>
      <c r="AD121" s="17">
        <v>1614.73</v>
      </c>
      <c r="AE121" s="18">
        <v>54477.25</v>
      </c>
      <c r="AF121" s="17">
        <v>1252.77</v>
      </c>
      <c r="AG121" s="17">
        <v>4544.24</v>
      </c>
      <c r="AH121" s="17">
        <v>99134.85</v>
      </c>
      <c r="AI121" s="17">
        <v>1639.82</v>
      </c>
      <c r="AJ121" s="17">
        <v>6509.86</v>
      </c>
      <c r="AK121" s="17">
        <v>85782.83</v>
      </c>
      <c r="AL121" s="17">
        <v>6814.45</v>
      </c>
      <c r="AM121" s="17">
        <v>18174.009999999998</v>
      </c>
      <c r="AN121" s="17">
        <v>3192.38</v>
      </c>
      <c r="AO121" s="17">
        <v>3330.81</v>
      </c>
      <c r="AP121" s="17">
        <v>304.45</v>
      </c>
      <c r="AQ121" s="17">
        <v>77123.64</v>
      </c>
      <c r="AR121" s="17" t="e">
        <v>#N/A</v>
      </c>
      <c r="AS121" s="17">
        <v>1132.07</v>
      </c>
      <c r="AT121" s="17" t="e">
        <v>#N/A</v>
      </c>
      <c r="AU121" s="17">
        <v>21902.7</v>
      </c>
      <c r="AV121" s="17">
        <v>2050.9</v>
      </c>
      <c r="AW121" s="17">
        <v>1328.41</v>
      </c>
      <c r="AX121" s="17">
        <v>10279.69</v>
      </c>
      <c r="AY121" s="19">
        <v>71084.91</v>
      </c>
      <c r="AZ121" s="17">
        <v>600.01</v>
      </c>
    </row>
    <row r="122" spans="1:52" x14ac:dyDescent="0.25">
      <c r="A122" s="21">
        <f t="shared" si="2"/>
        <v>45450</v>
      </c>
      <c r="B122" t="s">
        <v>702</v>
      </c>
      <c r="C122" s="17">
        <v>5346.99</v>
      </c>
      <c r="D122" s="17">
        <v>2755.03</v>
      </c>
      <c r="E122" s="17">
        <v>5051.3100000000004</v>
      </c>
      <c r="F122" s="17">
        <v>4498.2</v>
      </c>
      <c r="G122" s="9">
        <v>64958689.299999997</v>
      </c>
      <c r="H122" s="17">
        <v>7860.02</v>
      </c>
      <c r="I122" s="17">
        <v>3658.69</v>
      </c>
      <c r="J122" s="17">
        <v>3900.39</v>
      </c>
      <c r="K122" s="17">
        <v>120767.19</v>
      </c>
      <c r="L122" s="17">
        <v>862</v>
      </c>
      <c r="M122" s="17">
        <v>22007</v>
      </c>
      <c r="N122" s="17">
        <v>33664.080000000002</v>
      </c>
      <c r="O122" s="17">
        <v>3051.28</v>
      </c>
      <c r="P122" s="17">
        <v>2802.99</v>
      </c>
      <c r="Q122" s="17">
        <v>1546.76</v>
      </c>
      <c r="R122" s="17">
        <v>2888.92</v>
      </c>
      <c r="S122" s="17">
        <v>10187.1</v>
      </c>
      <c r="T122" s="17">
        <v>8001.8</v>
      </c>
      <c r="U122" s="17">
        <v>7132.7</v>
      </c>
      <c r="V122" s="17">
        <v>1458.37</v>
      </c>
      <c r="W122" s="17">
        <v>18366.95</v>
      </c>
      <c r="X122" s="17">
        <v>69879.429999999993</v>
      </c>
      <c r="Y122" s="17">
        <v>76693.36</v>
      </c>
      <c r="Z122" s="17">
        <v>6897.95</v>
      </c>
      <c r="AA122" s="17">
        <v>9835.68</v>
      </c>
      <c r="AB122" s="17">
        <v>34660.379999999997</v>
      </c>
      <c r="AC122" s="17">
        <v>1762.74</v>
      </c>
      <c r="AD122" s="17">
        <v>1617.86</v>
      </c>
      <c r="AE122" s="18">
        <v>52977.32</v>
      </c>
      <c r="AF122" s="17">
        <v>1253.1099999999999</v>
      </c>
      <c r="AG122" s="17">
        <v>4500.04</v>
      </c>
      <c r="AH122" s="17">
        <v>99221.14</v>
      </c>
      <c r="AI122" s="17">
        <v>1646.96</v>
      </c>
      <c r="AJ122" s="17">
        <v>6518.76</v>
      </c>
      <c r="AK122" s="17">
        <v>84902.67</v>
      </c>
      <c r="AL122" s="17">
        <v>6737.11</v>
      </c>
      <c r="AM122" s="17">
        <v>18076.689999999999</v>
      </c>
      <c r="AN122" s="17">
        <v>3233.22</v>
      </c>
      <c r="AO122" s="17">
        <v>3330.77</v>
      </c>
      <c r="AP122" s="17">
        <v>311.02</v>
      </c>
      <c r="AQ122" s="17">
        <v>76851.78</v>
      </c>
      <c r="AR122" s="17">
        <v>2722.67</v>
      </c>
      <c r="AS122" s="17">
        <v>1128.82</v>
      </c>
      <c r="AT122" s="17">
        <v>993.44</v>
      </c>
      <c r="AU122" s="17">
        <v>21858.38</v>
      </c>
      <c r="AV122" s="17">
        <v>2042.78</v>
      </c>
      <c r="AW122" s="17">
        <v>1332.74</v>
      </c>
      <c r="AX122" s="17">
        <v>10138.969999999999</v>
      </c>
      <c r="AY122" s="19">
        <v>71570.16</v>
      </c>
      <c r="AZ122" s="17">
        <v>598.19000000000005</v>
      </c>
    </row>
    <row r="123" spans="1:52" x14ac:dyDescent="0.25">
      <c r="A123" s="21">
        <f t="shared" si="2"/>
        <v>45453</v>
      </c>
      <c r="B123" t="s">
        <v>703</v>
      </c>
      <c r="C123" s="17">
        <v>5360.79</v>
      </c>
      <c r="D123" s="17">
        <v>2782.49</v>
      </c>
      <c r="E123" s="17">
        <v>5016.4799999999996</v>
      </c>
      <c r="F123" s="17">
        <v>4487</v>
      </c>
      <c r="G123" s="9">
        <v>67404560.599999994</v>
      </c>
      <c r="H123" s="17" t="e">
        <v>#N/A</v>
      </c>
      <c r="I123" s="17">
        <v>3652.33</v>
      </c>
      <c r="J123" s="17">
        <v>3890.79</v>
      </c>
      <c r="K123" s="17">
        <v>120759.51</v>
      </c>
      <c r="L123" s="17">
        <v>855.63</v>
      </c>
      <c r="M123" s="17">
        <v>22069.759999999998</v>
      </c>
      <c r="N123" s="17">
        <v>33601.519999999997</v>
      </c>
      <c r="O123" s="17" t="e">
        <v>#N/A</v>
      </c>
      <c r="P123" s="17">
        <v>2800.43</v>
      </c>
      <c r="Q123" s="17">
        <v>1542.73</v>
      </c>
      <c r="R123" s="17">
        <v>2892.9</v>
      </c>
      <c r="S123" s="17">
        <v>10161.469999999999</v>
      </c>
      <c r="T123" s="17">
        <v>7893.98</v>
      </c>
      <c r="U123" s="17">
        <v>7107.33</v>
      </c>
      <c r="V123" s="17">
        <v>1458.84</v>
      </c>
      <c r="W123" s="17" t="e">
        <v>#N/A</v>
      </c>
      <c r="X123" s="17">
        <v>70248.97</v>
      </c>
      <c r="Y123" s="17">
        <v>76490.080000000002</v>
      </c>
      <c r="Z123" s="17">
        <v>6921.55</v>
      </c>
      <c r="AA123" s="17">
        <v>9718.9</v>
      </c>
      <c r="AB123" s="17">
        <v>34542.01</v>
      </c>
      <c r="AC123" s="17">
        <v>1749.51</v>
      </c>
      <c r="AD123" s="17">
        <v>1614.37</v>
      </c>
      <c r="AE123" s="18">
        <v>53122.58</v>
      </c>
      <c r="AF123" s="17">
        <v>1253.82</v>
      </c>
      <c r="AG123" s="17">
        <v>4473.72</v>
      </c>
      <c r="AH123" s="17">
        <v>99793.71</v>
      </c>
      <c r="AI123" s="17">
        <v>1643.72</v>
      </c>
      <c r="AJ123" s="17">
        <v>6458.64</v>
      </c>
      <c r="AK123" s="17">
        <v>84845.86</v>
      </c>
      <c r="AL123" s="17">
        <v>6729.42</v>
      </c>
      <c r="AM123" s="17">
        <v>17872.46</v>
      </c>
      <c r="AN123" s="17">
        <v>3180.94</v>
      </c>
      <c r="AO123" s="17">
        <v>3322.08</v>
      </c>
      <c r="AP123" s="17">
        <v>310.52</v>
      </c>
      <c r="AQ123" s="17">
        <v>76188.160000000003</v>
      </c>
      <c r="AR123" s="17">
        <v>2701.17</v>
      </c>
      <c r="AS123" s="17">
        <v>1124.03</v>
      </c>
      <c r="AT123" s="17">
        <v>986.12</v>
      </c>
      <c r="AU123" s="17" t="e">
        <v>#N/A</v>
      </c>
      <c r="AV123" s="17">
        <v>2034.37</v>
      </c>
      <c r="AW123" s="17">
        <v>1318.57</v>
      </c>
      <c r="AX123" s="17">
        <v>9997.91</v>
      </c>
      <c r="AY123" s="19">
        <v>73241.88</v>
      </c>
      <c r="AZ123" s="17">
        <v>598.62</v>
      </c>
    </row>
    <row r="124" spans="1:52" x14ac:dyDescent="0.25">
      <c r="A124" s="21">
        <f t="shared" si="2"/>
        <v>45454</v>
      </c>
      <c r="B124" t="s">
        <v>704</v>
      </c>
      <c r="C124" s="17">
        <v>5375.32</v>
      </c>
      <c r="D124" s="17">
        <v>2776.8</v>
      </c>
      <c r="E124" s="17">
        <v>4965.09</v>
      </c>
      <c r="F124" s="17">
        <v>4444.07</v>
      </c>
      <c r="G124" s="9">
        <v>66156437.600000001</v>
      </c>
      <c r="H124" s="17">
        <v>7755.38</v>
      </c>
      <c r="I124" s="17">
        <v>3612.89</v>
      </c>
      <c r="J124" s="17">
        <v>3857.98</v>
      </c>
      <c r="K124" s="17">
        <v>121635.06</v>
      </c>
      <c r="L124" s="17">
        <v>858.23</v>
      </c>
      <c r="M124" s="17">
        <v>21887.34</v>
      </c>
      <c r="N124" s="17">
        <v>33224.839999999997</v>
      </c>
      <c r="O124" s="17">
        <v>3028.05</v>
      </c>
      <c r="P124" s="17">
        <v>2811.18</v>
      </c>
      <c r="Q124" s="17">
        <v>1530.21</v>
      </c>
      <c r="R124" s="17">
        <v>2871.5</v>
      </c>
      <c r="S124" s="17">
        <v>10094.73</v>
      </c>
      <c r="T124" s="17">
        <v>7789.21</v>
      </c>
      <c r="U124" s="17">
        <v>7059.31</v>
      </c>
      <c r="V124" s="17">
        <v>1448.75</v>
      </c>
      <c r="W124" s="17">
        <v>18176.34</v>
      </c>
      <c r="X124" s="17">
        <v>69782.02</v>
      </c>
      <c r="Y124" s="17">
        <v>76456.59</v>
      </c>
      <c r="Z124" s="17">
        <v>6855.69</v>
      </c>
      <c r="AA124" s="17">
        <v>9577.64</v>
      </c>
      <c r="AB124" s="17">
        <v>33874.480000000003</v>
      </c>
      <c r="AC124" s="17">
        <v>1747.35</v>
      </c>
      <c r="AD124" s="17">
        <v>1611.49</v>
      </c>
      <c r="AE124" s="18">
        <v>53134.06</v>
      </c>
      <c r="AF124" s="17">
        <v>1247.75</v>
      </c>
      <c r="AG124" s="17">
        <v>4472.3900000000003</v>
      </c>
      <c r="AH124" s="17">
        <v>99630.51</v>
      </c>
      <c r="AI124" s="17">
        <v>1630.34</v>
      </c>
      <c r="AJ124" s="17">
        <v>6410.07</v>
      </c>
      <c r="AK124" s="17">
        <v>83878.09</v>
      </c>
      <c r="AL124" s="17">
        <v>6634.71</v>
      </c>
      <c r="AM124" s="17">
        <v>17725.07</v>
      </c>
      <c r="AN124" s="17">
        <v>3171.1</v>
      </c>
      <c r="AO124" s="17">
        <v>3309.21</v>
      </c>
      <c r="AP124" s="17">
        <v>311.02</v>
      </c>
      <c r="AQ124" s="17">
        <v>76077.3</v>
      </c>
      <c r="AR124" s="17">
        <v>2705.32</v>
      </c>
      <c r="AS124" s="17">
        <v>1106.04</v>
      </c>
      <c r="AT124" s="17">
        <v>982.85</v>
      </c>
      <c r="AU124" s="17">
        <v>21792.12</v>
      </c>
      <c r="AV124" s="17">
        <v>2030.81</v>
      </c>
      <c r="AW124" s="17">
        <v>1316.1</v>
      </c>
      <c r="AX124" s="17">
        <v>10051.370000000001</v>
      </c>
      <c r="AY124" s="19">
        <v>72026.69</v>
      </c>
      <c r="AZ124" s="17">
        <v>597.76</v>
      </c>
    </row>
    <row r="125" spans="1:52" x14ac:dyDescent="0.25">
      <c r="A125" s="21">
        <f t="shared" si="2"/>
        <v>45455</v>
      </c>
      <c r="B125" t="s">
        <v>705</v>
      </c>
      <c r="C125" s="17">
        <v>5421.03</v>
      </c>
      <c r="D125" s="17">
        <v>2756.44</v>
      </c>
      <c r="E125" s="17">
        <v>5034.43</v>
      </c>
      <c r="F125" s="17">
        <v>4482.3999999999996</v>
      </c>
      <c r="G125" s="9">
        <v>67132385.799999997</v>
      </c>
      <c r="H125" s="17">
        <v>7715.51</v>
      </c>
      <c r="I125" s="17">
        <v>3661.91</v>
      </c>
      <c r="J125" s="17">
        <v>3906.79</v>
      </c>
      <c r="K125" s="17">
        <v>119936.02</v>
      </c>
      <c r="L125" s="17">
        <v>855.79</v>
      </c>
      <c r="M125" s="17">
        <v>21961.55</v>
      </c>
      <c r="N125" s="17">
        <v>33195.51</v>
      </c>
      <c r="O125" s="17">
        <v>3037.47</v>
      </c>
      <c r="P125" s="17">
        <v>2820.1</v>
      </c>
      <c r="Q125" s="17">
        <v>1538.36</v>
      </c>
      <c r="R125" s="17">
        <v>2892.62</v>
      </c>
      <c r="S125" s="17">
        <v>10229.4</v>
      </c>
      <c r="T125" s="17">
        <v>7864.7</v>
      </c>
      <c r="U125" s="17">
        <v>7157.47</v>
      </c>
      <c r="V125" s="17">
        <v>1451.24</v>
      </c>
      <c r="W125" s="17">
        <v>17937.84</v>
      </c>
      <c r="X125" s="17">
        <v>70237.820000000007</v>
      </c>
      <c r="Y125" s="17">
        <v>76606.570000000007</v>
      </c>
      <c r="Z125" s="17">
        <v>6850.1</v>
      </c>
      <c r="AA125" s="17">
        <v>9681.2099999999991</v>
      </c>
      <c r="AB125" s="17">
        <v>34358.83</v>
      </c>
      <c r="AC125" s="17">
        <v>1756.12</v>
      </c>
      <c r="AD125" s="17">
        <v>1608.95</v>
      </c>
      <c r="AE125" s="18">
        <v>52975.89</v>
      </c>
      <c r="AF125" s="17">
        <v>1263.75</v>
      </c>
      <c r="AG125" s="17">
        <v>4455.84</v>
      </c>
      <c r="AH125" s="17" t="e">
        <v>#N/A</v>
      </c>
      <c r="AI125" s="17">
        <v>1638.35</v>
      </c>
      <c r="AJ125" s="17" t="e">
        <v>#N/A</v>
      </c>
      <c r="AK125" s="17">
        <v>85072.15</v>
      </c>
      <c r="AL125" s="17">
        <v>6661.42</v>
      </c>
      <c r="AM125" s="17">
        <v>17788.71</v>
      </c>
      <c r="AN125" s="17" t="e">
        <v>#N/A</v>
      </c>
      <c r="AO125" s="17">
        <v>3307.44</v>
      </c>
      <c r="AP125" s="17">
        <v>311.02</v>
      </c>
      <c r="AQ125" s="17">
        <v>77050.8</v>
      </c>
      <c r="AR125" s="17">
        <v>2728.17</v>
      </c>
      <c r="AS125" s="17">
        <v>1110.6600000000001</v>
      </c>
      <c r="AT125" s="17">
        <v>1000.42</v>
      </c>
      <c r="AU125" s="17">
        <v>22048.959999999999</v>
      </c>
      <c r="AV125" s="17">
        <v>2031.4</v>
      </c>
      <c r="AW125" s="17">
        <v>1316.69</v>
      </c>
      <c r="AX125" s="17">
        <v>10165.52</v>
      </c>
      <c r="AY125" s="19">
        <v>74353.88</v>
      </c>
      <c r="AZ125" s="17">
        <v>603.62</v>
      </c>
    </row>
    <row r="126" spans="1:52" x14ac:dyDescent="0.25">
      <c r="A126" s="21">
        <f t="shared" si="2"/>
        <v>45456</v>
      </c>
      <c r="B126" t="s">
        <v>706</v>
      </c>
      <c r="C126" s="17">
        <v>5433.74</v>
      </c>
      <c r="D126" s="17">
        <v>2731.78</v>
      </c>
      <c r="E126" s="17">
        <v>4935.5</v>
      </c>
      <c r="F126" s="17">
        <v>4448.6899999999996</v>
      </c>
      <c r="G126" s="9">
        <v>68559750.299999997</v>
      </c>
      <c r="H126" s="17">
        <v>7749.73</v>
      </c>
      <c r="I126" s="17">
        <v>3603.9</v>
      </c>
      <c r="J126" s="17">
        <v>3868.77</v>
      </c>
      <c r="K126" s="17">
        <v>119567.53</v>
      </c>
      <c r="L126" s="17">
        <v>854.66</v>
      </c>
      <c r="M126" s="17">
        <v>21698.11</v>
      </c>
      <c r="N126" s="17">
        <v>32952.71</v>
      </c>
      <c r="O126" s="17">
        <v>3028.92</v>
      </c>
      <c r="P126" s="17">
        <v>2807.74</v>
      </c>
      <c r="Q126" s="17">
        <v>1531.08</v>
      </c>
      <c r="R126" s="17">
        <v>2863.45</v>
      </c>
      <c r="S126" s="17">
        <v>10120.99</v>
      </c>
      <c r="T126" s="17">
        <v>7708.02</v>
      </c>
      <c r="U126" s="17">
        <v>7017.18</v>
      </c>
      <c r="V126" s="17">
        <v>1438.44</v>
      </c>
      <c r="W126" s="17">
        <v>18112.63</v>
      </c>
      <c r="X126" s="17">
        <v>70022.97</v>
      </c>
      <c r="Y126" s="17">
        <v>76810.899999999994</v>
      </c>
      <c r="Z126" s="17">
        <v>6831.56</v>
      </c>
      <c r="AA126" s="17">
        <v>9550.51</v>
      </c>
      <c r="AB126" s="17">
        <v>33609.85</v>
      </c>
      <c r="AC126" s="17">
        <v>1742.73</v>
      </c>
      <c r="AD126" s="17">
        <v>1610.17</v>
      </c>
      <c r="AE126" s="18">
        <v>52275.65</v>
      </c>
      <c r="AF126" s="17">
        <v>1251.67</v>
      </c>
      <c r="AG126" s="17">
        <v>4505.47</v>
      </c>
      <c r="AH126" s="17">
        <v>99832.25</v>
      </c>
      <c r="AI126" s="17">
        <v>1620.33</v>
      </c>
      <c r="AJ126" s="17">
        <v>6390.83</v>
      </c>
      <c r="AK126" s="17">
        <v>83701.17</v>
      </c>
      <c r="AL126" s="17">
        <v>6565.74</v>
      </c>
      <c r="AM126" s="17">
        <v>17861.11</v>
      </c>
      <c r="AN126" s="17">
        <v>3171.69</v>
      </c>
      <c r="AO126" s="17">
        <v>3324.53</v>
      </c>
      <c r="AP126" s="17">
        <v>304.7</v>
      </c>
      <c r="AQ126" s="17">
        <v>76382.02</v>
      </c>
      <c r="AR126" s="17">
        <v>2754.89</v>
      </c>
      <c r="AS126" s="17">
        <v>1091.58</v>
      </c>
      <c r="AT126" s="17">
        <v>983.92</v>
      </c>
      <c r="AU126" s="17">
        <v>22312.04</v>
      </c>
      <c r="AV126" s="17">
        <v>2032.54</v>
      </c>
      <c r="AW126" s="17">
        <v>1311.78</v>
      </c>
      <c r="AX126" s="17">
        <v>10391.89</v>
      </c>
      <c r="AY126" s="19">
        <v>74469.41</v>
      </c>
      <c r="AZ126" s="17">
        <v>601.79</v>
      </c>
    </row>
    <row r="127" spans="1:52" x14ac:dyDescent="0.25">
      <c r="A127" s="21">
        <f t="shared" si="2"/>
        <v>45457</v>
      </c>
      <c r="B127" t="s">
        <v>707</v>
      </c>
      <c r="C127" s="17">
        <v>5431.6</v>
      </c>
      <c r="D127" s="17">
        <v>2746.61</v>
      </c>
      <c r="E127" s="17">
        <v>4839.1400000000003</v>
      </c>
      <c r="F127" s="17">
        <v>4438.37</v>
      </c>
      <c r="G127" s="9">
        <v>67622090.099999994</v>
      </c>
      <c r="H127" s="17">
        <v>7724.26</v>
      </c>
      <c r="I127" s="17">
        <v>3534.45</v>
      </c>
      <c r="J127" s="17">
        <v>3833.37</v>
      </c>
      <c r="K127" s="17">
        <v>119662.38</v>
      </c>
      <c r="L127" s="17">
        <v>853.13</v>
      </c>
      <c r="M127" s="17">
        <v>21639.1</v>
      </c>
      <c r="N127" s="17">
        <v>33083.949999999997</v>
      </c>
      <c r="O127" s="17">
        <v>3032.63</v>
      </c>
      <c r="P127" s="17">
        <v>2808.27</v>
      </c>
      <c r="Q127" s="17">
        <v>1516.67</v>
      </c>
      <c r="R127" s="17">
        <v>2873.15</v>
      </c>
      <c r="S127" s="17">
        <v>9988.33</v>
      </c>
      <c r="T127" s="17">
        <v>7503.27</v>
      </c>
      <c r="U127" s="17">
        <v>6915.89</v>
      </c>
      <c r="V127" s="17">
        <v>1406.91</v>
      </c>
      <c r="W127" s="17">
        <v>17941.78</v>
      </c>
      <c r="X127" s="17">
        <v>69536.56</v>
      </c>
      <c r="Y127" s="17">
        <v>76992.77</v>
      </c>
      <c r="Z127" s="17">
        <v>6734.83</v>
      </c>
      <c r="AA127" s="17">
        <v>9386.26</v>
      </c>
      <c r="AB127" s="17">
        <v>32665.21</v>
      </c>
      <c r="AC127" s="17">
        <v>1744.34</v>
      </c>
      <c r="AD127" s="17">
        <v>1607.32</v>
      </c>
      <c r="AE127" s="18">
        <v>52222.94</v>
      </c>
      <c r="AF127" s="17">
        <v>1240.8</v>
      </c>
      <c r="AG127" s="17">
        <v>4502.53</v>
      </c>
      <c r="AH127" s="17">
        <v>99925.29</v>
      </c>
      <c r="AI127" s="17">
        <v>1609.64</v>
      </c>
      <c r="AJ127" s="17">
        <v>6383.7</v>
      </c>
      <c r="AK127" s="17">
        <v>83875.740000000005</v>
      </c>
      <c r="AL127" s="17">
        <v>6538.23</v>
      </c>
      <c r="AM127" s="17">
        <v>17703.59</v>
      </c>
      <c r="AN127" s="17">
        <v>3215.91</v>
      </c>
      <c r="AO127" s="17">
        <v>3297.55</v>
      </c>
      <c r="AP127" s="17">
        <v>304.7</v>
      </c>
      <c r="AQ127" s="17">
        <v>77053.78</v>
      </c>
      <c r="AR127" s="17">
        <v>2758.42</v>
      </c>
      <c r="AS127" s="17">
        <v>1084.49</v>
      </c>
      <c r="AT127" s="17">
        <v>971.63</v>
      </c>
      <c r="AU127" s="17">
        <v>22504.720000000001</v>
      </c>
      <c r="AV127" s="17">
        <v>2033.32</v>
      </c>
      <c r="AW127" s="17">
        <v>1306.56</v>
      </c>
      <c r="AX127" s="17">
        <v>10471.32</v>
      </c>
      <c r="AY127" s="19">
        <v>75604.34</v>
      </c>
      <c r="AZ127" s="17">
        <v>599.77</v>
      </c>
    </row>
    <row r="128" spans="1:52" x14ac:dyDescent="0.25">
      <c r="A128" s="21">
        <f t="shared" si="2"/>
        <v>45460</v>
      </c>
      <c r="B128" t="s">
        <v>708</v>
      </c>
      <c r="C128" s="17">
        <v>5473.23</v>
      </c>
      <c r="D128" s="17">
        <v>2700.01</v>
      </c>
      <c r="E128" s="17">
        <v>4880.42</v>
      </c>
      <c r="F128" s="17">
        <v>4437.53</v>
      </c>
      <c r="G128" s="9" t="e">
        <v>#N/A</v>
      </c>
      <c r="H128" s="17">
        <v>7700.27</v>
      </c>
      <c r="I128" s="17">
        <v>3559.34</v>
      </c>
      <c r="J128" s="17">
        <v>3832.88</v>
      </c>
      <c r="K128" s="17">
        <v>119137.86</v>
      </c>
      <c r="L128" s="17">
        <v>852.14</v>
      </c>
      <c r="M128" s="17">
        <v>21587.88</v>
      </c>
      <c r="N128" s="17">
        <v>33033.050000000003</v>
      </c>
      <c r="O128" s="17">
        <v>3015.89</v>
      </c>
      <c r="P128" s="17">
        <v>2807.34</v>
      </c>
      <c r="Q128" s="17">
        <v>1521.84</v>
      </c>
      <c r="R128" s="17">
        <v>2848.12</v>
      </c>
      <c r="S128" s="17">
        <v>9998.89</v>
      </c>
      <c r="T128" s="17">
        <v>7571.57</v>
      </c>
      <c r="U128" s="17">
        <v>6941.32</v>
      </c>
      <c r="V128" s="17">
        <v>1404.11</v>
      </c>
      <c r="W128" s="17">
        <v>17936.12</v>
      </c>
      <c r="X128" s="17">
        <v>69711.91</v>
      </c>
      <c r="Y128" s="17" t="e">
        <v>#N/A</v>
      </c>
      <c r="Z128" s="17" t="e">
        <v>#N/A</v>
      </c>
      <c r="AA128" s="17">
        <v>9431.73</v>
      </c>
      <c r="AB128" s="17">
        <v>32908.050000000003</v>
      </c>
      <c r="AC128" s="17" t="e">
        <v>#N/A</v>
      </c>
      <c r="AD128" s="17" t="e">
        <v>#N/A</v>
      </c>
      <c r="AE128" s="18">
        <v>52397.2</v>
      </c>
      <c r="AF128" s="17">
        <v>1246.96</v>
      </c>
      <c r="AG128" s="17">
        <v>4439.3900000000003</v>
      </c>
      <c r="AH128" s="17" t="e">
        <v>#N/A</v>
      </c>
      <c r="AI128" s="17">
        <v>1610.83</v>
      </c>
      <c r="AJ128" s="17" t="e">
        <v>#N/A</v>
      </c>
      <c r="AK128" s="17">
        <v>85276.34</v>
      </c>
      <c r="AL128" s="17">
        <v>6519.97</v>
      </c>
      <c r="AM128" s="17">
        <v>17879.990000000002</v>
      </c>
      <c r="AN128" s="17">
        <v>3183.68</v>
      </c>
      <c r="AO128" s="17" t="e">
        <v>#N/A</v>
      </c>
      <c r="AP128" s="17">
        <v>304.7</v>
      </c>
      <c r="AQ128" s="17" t="e">
        <v>#N/A</v>
      </c>
      <c r="AR128" s="17">
        <v>2744.1</v>
      </c>
      <c r="AS128" s="17">
        <v>1082.68</v>
      </c>
      <c r="AT128" s="17">
        <v>970.75</v>
      </c>
      <c r="AU128" s="17">
        <v>22496.53</v>
      </c>
      <c r="AV128" s="17" t="e">
        <v>#N/A</v>
      </c>
      <c r="AW128" s="17">
        <v>1296.5899999999999</v>
      </c>
      <c r="AX128" s="17" t="e">
        <v>#N/A</v>
      </c>
      <c r="AY128" s="19" t="e">
        <v>#N/A</v>
      </c>
      <c r="AZ128" s="17">
        <v>601.86</v>
      </c>
    </row>
    <row r="129" spans="1:52" x14ac:dyDescent="0.25">
      <c r="A129" s="21">
        <f t="shared" si="2"/>
        <v>45461</v>
      </c>
      <c r="B129" t="s">
        <v>709</v>
      </c>
      <c r="C129" s="17">
        <v>5487.03</v>
      </c>
      <c r="D129" s="17">
        <v>2715.76</v>
      </c>
      <c r="E129" s="17">
        <v>4915.47</v>
      </c>
      <c r="F129" s="17">
        <v>4467.95</v>
      </c>
      <c r="G129" s="9">
        <v>66729239</v>
      </c>
      <c r="H129" s="17">
        <v>7778.08</v>
      </c>
      <c r="I129" s="17">
        <v>3589.59</v>
      </c>
      <c r="J129" s="17">
        <v>3865.43</v>
      </c>
      <c r="K129" s="17">
        <v>119630.44</v>
      </c>
      <c r="L129" s="17">
        <v>848.43</v>
      </c>
      <c r="M129" s="17">
        <v>21611.3</v>
      </c>
      <c r="N129" s="17">
        <v>33189.519999999997</v>
      </c>
      <c r="O129" s="17">
        <v>3030.25</v>
      </c>
      <c r="P129" s="17">
        <v>2810.82</v>
      </c>
      <c r="Q129" s="17">
        <v>1528.06</v>
      </c>
      <c r="R129" s="17">
        <v>2855.32</v>
      </c>
      <c r="S129" s="17">
        <v>10074.549999999999</v>
      </c>
      <c r="T129" s="17">
        <v>7628.8</v>
      </c>
      <c r="U129" s="17">
        <v>6965.81</v>
      </c>
      <c r="V129" s="17">
        <v>1422.32</v>
      </c>
      <c r="W129" s="17">
        <v>17915.55</v>
      </c>
      <c r="X129" s="17">
        <v>69832.539999999994</v>
      </c>
      <c r="Y129" s="17">
        <v>77301.14</v>
      </c>
      <c r="Z129" s="17" t="e">
        <v>#N/A</v>
      </c>
      <c r="AA129" s="17">
        <v>9498.6</v>
      </c>
      <c r="AB129" s="17">
        <v>33315.68</v>
      </c>
      <c r="AC129" s="17">
        <v>1732.42</v>
      </c>
      <c r="AD129" s="17">
        <v>1606.13</v>
      </c>
      <c r="AE129" s="18">
        <v>53191.25</v>
      </c>
      <c r="AF129" s="17">
        <v>1255.47</v>
      </c>
      <c r="AG129" s="17">
        <v>4465.53</v>
      </c>
      <c r="AH129" s="17" t="e">
        <v>#N/A</v>
      </c>
      <c r="AI129" s="17">
        <v>1621.53</v>
      </c>
      <c r="AJ129" s="17">
        <v>6368.8</v>
      </c>
      <c r="AK129" s="17">
        <v>85249.08</v>
      </c>
      <c r="AL129" s="17">
        <v>6570.95</v>
      </c>
      <c r="AM129" s="17">
        <v>18020.52</v>
      </c>
      <c r="AN129" s="17">
        <v>3114.15</v>
      </c>
      <c r="AO129" s="17">
        <v>3301.78</v>
      </c>
      <c r="AP129" s="17">
        <v>307.57</v>
      </c>
      <c r="AQ129" s="17">
        <v>79748.83</v>
      </c>
      <c r="AR129" s="17">
        <v>2763.92</v>
      </c>
      <c r="AS129" s="17">
        <v>1092.3900000000001</v>
      </c>
      <c r="AT129" s="17">
        <v>972.37</v>
      </c>
      <c r="AU129" s="17">
        <v>22757.43</v>
      </c>
      <c r="AV129" s="17">
        <v>2024.07</v>
      </c>
      <c r="AW129" s="17">
        <v>1297.4100000000001</v>
      </c>
      <c r="AX129" s="17" t="e">
        <v>#N/A</v>
      </c>
      <c r="AY129" s="19">
        <v>76017.22</v>
      </c>
      <c r="AZ129" s="17">
        <v>604.5</v>
      </c>
    </row>
    <row r="130" spans="1:52" x14ac:dyDescent="0.25">
      <c r="A130" s="21">
        <f t="shared" si="2"/>
        <v>45462</v>
      </c>
      <c r="B130" t="s">
        <v>710</v>
      </c>
      <c r="C130" s="17" t="e">
        <v>#N/A</v>
      </c>
      <c r="D130" s="17">
        <v>2728.64</v>
      </c>
      <c r="E130" s="17">
        <v>4885.45</v>
      </c>
      <c r="F130" s="17">
        <v>4473.37</v>
      </c>
      <c r="G130" s="9">
        <v>67555778</v>
      </c>
      <c r="H130" s="17">
        <v>7769.72</v>
      </c>
      <c r="I130" s="17">
        <v>3595.9</v>
      </c>
      <c r="J130" s="17">
        <v>3861.38</v>
      </c>
      <c r="K130" s="17">
        <v>120261.34</v>
      </c>
      <c r="L130" s="17">
        <v>851.41</v>
      </c>
      <c r="M130" s="17">
        <v>21516.9</v>
      </c>
      <c r="N130" s="17">
        <v>33410.49</v>
      </c>
      <c r="O130" s="17">
        <v>3018.05</v>
      </c>
      <c r="P130" s="17">
        <v>2813.06</v>
      </c>
      <c r="Q130" s="17">
        <v>1534.34</v>
      </c>
      <c r="R130" s="17">
        <v>2859.31</v>
      </c>
      <c r="S130" s="17">
        <v>9994.16</v>
      </c>
      <c r="T130" s="17">
        <v>7570.2</v>
      </c>
      <c r="U130" s="17">
        <v>6941.2</v>
      </c>
      <c r="V130" s="17">
        <v>1426.2</v>
      </c>
      <c r="W130" s="17">
        <v>18430.39</v>
      </c>
      <c r="X130" s="17">
        <v>69661.210000000006</v>
      </c>
      <c r="Y130" s="17">
        <v>77337.59</v>
      </c>
      <c r="Z130" s="17">
        <v>6726.92</v>
      </c>
      <c r="AA130" s="17">
        <v>9585.07</v>
      </c>
      <c r="AB130" s="17">
        <v>33220.31</v>
      </c>
      <c r="AC130" s="17">
        <v>1730.24</v>
      </c>
      <c r="AD130" s="17">
        <v>1599.79</v>
      </c>
      <c r="AE130" s="18">
        <v>53323.37</v>
      </c>
      <c r="AF130" s="17">
        <v>1249.26</v>
      </c>
      <c r="AG130" s="17">
        <v>4429.0200000000004</v>
      </c>
      <c r="AH130" s="17">
        <v>99840.95</v>
      </c>
      <c r="AI130" s="17">
        <v>1623.14</v>
      </c>
      <c r="AJ130" s="17">
        <v>6366.03</v>
      </c>
      <c r="AK130" s="17">
        <v>86385.81</v>
      </c>
      <c r="AL130" s="17">
        <v>6541.8</v>
      </c>
      <c r="AM130" s="17">
        <v>17945.669999999998</v>
      </c>
      <c r="AN130" s="17">
        <v>3027.47</v>
      </c>
      <c r="AO130" s="17">
        <v>3304</v>
      </c>
      <c r="AP130" s="17">
        <v>307.57</v>
      </c>
      <c r="AQ130" s="17">
        <v>80713.72</v>
      </c>
      <c r="AR130" s="17">
        <v>2797.33</v>
      </c>
      <c r="AS130" s="17">
        <v>1090.98</v>
      </c>
      <c r="AT130" s="17">
        <v>967.46</v>
      </c>
      <c r="AU130" s="17">
        <v>23209.54</v>
      </c>
      <c r="AV130" s="17">
        <v>2021.55</v>
      </c>
      <c r="AW130" s="17">
        <v>1303.82</v>
      </c>
      <c r="AX130" s="17" t="e">
        <v>#N/A</v>
      </c>
      <c r="AY130" s="19">
        <v>76518.41</v>
      </c>
      <c r="AZ130" s="17">
        <v>605.33000000000004</v>
      </c>
    </row>
    <row r="131" spans="1:52" x14ac:dyDescent="0.25">
      <c r="A131" s="21">
        <f t="shared" si="2"/>
        <v>45463</v>
      </c>
      <c r="B131" t="s">
        <v>711</v>
      </c>
      <c r="C131" s="17">
        <v>5473.17</v>
      </c>
      <c r="D131" s="17">
        <v>2725.54</v>
      </c>
      <c r="E131" s="17">
        <v>4947.7299999999996</v>
      </c>
      <c r="F131" s="17">
        <v>4508.4399999999996</v>
      </c>
      <c r="G131" s="9" t="e">
        <v>#N/A</v>
      </c>
      <c r="H131" s="17">
        <v>7769.44</v>
      </c>
      <c r="I131" s="17">
        <v>3630.81</v>
      </c>
      <c r="J131" s="17">
        <v>3889.35</v>
      </c>
      <c r="K131" s="17">
        <v>120445.91</v>
      </c>
      <c r="L131" s="17">
        <v>851.93</v>
      </c>
      <c r="M131" s="17">
        <v>21581.35</v>
      </c>
      <c r="N131" s="17" t="e">
        <v>#N/A</v>
      </c>
      <c r="O131" s="17">
        <v>3005.44</v>
      </c>
      <c r="P131" s="17">
        <v>2818.3</v>
      </c>
      <c r="Q131" s="17">
        <v>1537.96</v>
      </c>
      <c r="R131" s="17">
        <v>2888.57</v>
      </c>
      <c r="S131" s="17">
        <v>10096.629999999999</v>
      </c>
      <c r="T131" s="17">
        <v>7671.34</v>
      </c>
      <c r="U131" s="17">
        <v>7012.76</v>
      </c>
      <c r="V131" s="17">
        <v>1421.71</v>
      </c>
      <c r="W131" s="17">
        <v>18335.32</v>
      </c>
      <c r="X131" s="17">
        <v>70327.34</v>
      </c>
      <c r="Y131" s="17">
        <v>77478.929999999993</v>
      </c>
      <c r="Z131" s="17">
        <v>6819.32</v>
      </c>
      <c r="AA131" s="17">
        <v>9545.64</v>
      </c>
      <c r="AB131" s="17">
        <v>33675.15</v>
      </c>
      <c r="AC131" s="17">
        <v>1732.07</v>
      </c>
      <c r="AD131" s="17">
        <v>1592.69</v>
      </c>
      <c r="AE131" s="18">
        <v>53333.03</v>
      </c>
      <c r="AF131" s="17">
        <v>1263.53</v>
      </c>
      <c r="AG131" s="17">
        <v>4467.2</v>
      </c>
      <c r="AH131" s="17">
        <v>99842.95</v>
      </c>
      <c r="AI131" s="17">
        <v>1630.09</v>
      </c>
      <c r="AJ131" s="17">
        <v>6344.56</v>
      </c>
      <c r="AK131" s="17">
        <v>86549.62</v>
      </c>
      <c r="AL131" s="17">
        <v>6650.92</v>
      </c>
      <c r="AM131" s="17">
        <v>18042.59</v>
      </c>
      <c r="AN131" s="17">
        <v>3123.43</v>
      </c>
      <c r="AO131" s="17">
        <v>3300</v>
      </c>
      <c r="AP131" s="17">
        <v>307.57</v>
      </c>
      <c r="AQ131" s="17">
        <v>80073.05</v>
      </c>
      <c r="AR131" s="17">
        <v>2807.63</v>
      </c>
      <c r="AS131" s="17">
        <v>1100.74</v>
      </c>
      <c r="AT131" s="17">
        <v>978.12</v>
      </c>
      <c r="AU131" s="17">
        <v>23406.1</v>
      </c>
      <c r="AV131" s="17">
        <v>2050.9</v>
      </c>
      <c r="AW131" s="17">
        <v>1298.29</v>
      </c>
      <c r="AX131" s="17" t="e">
        <v>#N/A</v>
      </c>
      <c r="AY131" s="19">
        <v>76344.47</v>
      </c>
      <c r="AZ131" s="17">
        <v>604.79</v>
      </c>
    </row>
    <row r="132" spans="1:52" x14ac:dyDescent="0.25">
      <c r="A132" s="21">
        <f t="shared" si="2"/>
        <v>45464</v>
      </c>
      <c r="B132" t="s">
        <v>712</v>
      </c>
      <c r="C132" s="17">
        <v>5464.62</v>
      </c>
      <c r="D132" s="17">
        <v>2724.69</v>
      </c>
      <c r="E132" s="17">
        <v>4907.3</v>
      </c>
      <c r="F132" s="17">
        <v>4490.92</v>
      </c>
      <c r="G132" s="9" t="e">
        <v>#N/A</v>
      </c>
      <c r="H132" s="17">
        <v>7795.97</v>
      </c>
      <c r="I132" s="17">
        <v>3591.6</v>
      </c>
      <c r="J132" s="17">
        <v>3894.05</v>
      </c>
      <c r="K132" s="17">
        <v>121341.13</v>
      </c>
      <c r="L132" s="17">
        <v>848.99</v>
      </c>
      <c r="M132" s="17">
        <v>21554.86</v>
      </c>
      <c r="N132" s="17">
        <v>32919.49</v>
      </c>
      <c r="O132" s="17">
        <v>2998.14</v>
      </c>
      <c r="P132" s="17">
        <v>2817.87</v>
      </c>
      <c r="Q132" s="17">
        <v>1531.56</v>
      </c>
      <c r="R132" s="17">
        <v>2866.72</v>
      </c>
      <c r="S132" s="17" t="e">
        <v>#N/A</v>
      </c>
      <c r="T132" s="17">
        <v>7628.57</v>
      </c>
      <c r="U132" s="17">
        <v>6977.93</v>
      </c>
      <c r="V132" s="17">
        <v>1424.04</v>
      </c>
      <c r="W132" s="17">
        <v>18028.52</v>
      </c>
      <c r="X132" s="17">
        <v>70378.92</v>
      </c>
      <c r="Y132" s="17">
        <v>77209.899999999994</v>
      </c>
      <c r="Z132" s="17">
        <v>6879.98</v>
      </c>
      <c r="AA132" s="17">
        <v>9414.82</v>
      </c>
      <c r="AB132" s="17">
        <v>33308.769999999997</v>
      </c>
      <c r="AC132" s="17">
        <v>1730.28</v>
      </c>
      <c r="AD132" s="17">
        <v>1590.37</v>
      </c>
      <c r="AE132" s="18">
        <v>52788.5</v>
      </c>
      <c r="AF132" s="17">
        <v>1248.83</v>
      </c>
      <c r="AG132" s="17">
        <v>4433.2700000000004</v>
      </c>
      <c r="AH132" s="17">
        <v>99743.05</v>
      </c>
      <c r="AI132" s="17">
        <v>1627.28</v>
      </c>
      <c r="AJ132" s="17">
        <v>6158.48</v>
      </c>
      <c r="AK132" s="17">
        <v>86415.61</v>
      </c>
      <c r="AL132" s="17">
        <v>6570.47</v>
      </c>
      <c r="AM132" s="17">
        <v>18234.810000000001</v>
      </c>
      <c r="AN132" s="17">
        <v>3114.35</v>
      </c>
      <c r="AO132" s="17">
        <v>3306.02</v>
      </c>
      <c r="AP132" s="17">
        <v>307.57</v>
      </c>
      <c r="AQ132" s="17">
        <v>79767.56</v>
      </c>
      <c r="AR132" s="17">
        <v>2784.26</v>
      </c>
      <c r="AS132" s="17">
        <v>1088.92</v>
      </c>
      <c r="AT132" s="17" t="e">
        <v>#N/A</v>
      </c>
      <c r="AU132" s="17">
        <v>23253.39</v>
      </c>
      <c r="AV132" s="17">
        <v>2027.67</v>
      </c>
      <c r="AW132" s="17">
        <v>1306.4100000000001</v>
      </c>
      <c r="AX132" s="17">
        <v>10771.36</v>
      </c>
      <c r="AY132" s="19">
        <v>76463.34</v>
      </c>
      <c r="AZ132" s="17">
        <v>602.62</v>
      </c>
    </row>
    <row r="133" spans="1:52" x14ac:dyDescent="0.25">
      <c r="A133" s="21">
        <f t="shared" si="2"/>
        <v>45467</v>
      </c>
      <c r="B133" t="s">
        <v>713</v>
      </c>
      <c r="C133" s="17">
        <v>5447.87</v>
      </c>
      <c r="D133" s="17">
        <v>2740.19</v>
      </c>
      <c r="E133" s="17">
        <v>4950.9799999999996</v>
      </c>
      <c r="F133" s="17">
        <v>4514.76</v>
      </c>
      <c r="G133" s="9">
        <v>66844061</v>
      </c>
      <c r="H133" s="17">
        <v>7733.69</v>
      </c>
      <c r="I133" s="17">
        <v>3618.7</v>
      </c>
      <c r="J133" s="17">
        <v>3970.37</v>
      </c>
      <c r="K133" s="17">
        <v>122636.96</v>
      </c>
      <c r="L133" s="17">
        <v>841.12</v>
      </c>
      <c r="M133" s="17">
        <v>21848.59</v>
      </c>
      <c r="N133" s="17">
        <v>32917.17</v>
      </c>
      <c r="O133" s="17">
        <v>2963.1</v>
      </c>
      <c r="P133" s="17">
        <v>2819.35</v>
      </c>
      <c r="Q133" s="17">
        <v>1536.64</v>
      </c>
      <c r="R133" s="17">
        <v>2874.92</v>
      </c>
      <c r="S133" s="17">
        <v>10120.56</v>
      </c>
      <c r="T133" s="17">
        <v>7706.89</v>
      </c>
      <c r="U133" s="17">
        <v>7040.19</v>
      </c>
      <c r="V133" s="17" t="e">
        <v>#N/A</v>
      </c>
      <c r="W133" s="17">
        <v>18027.71</v>
      </c>
      <c r="X133" s="17">
        <v>70373.63</v>
      </c>
      <c r="Y133" s="17">
        <v>77341.08</v>
      </c>
      <c r="Z133" s="17">
        <v>6889.17</v>
      </c>
      <c r="AA133" s="17">
        <v>9441.35</v>
      </c>
      <c r="AB133" s="17">
        <v>33834.910000000003</v>
      </c>
      <c r="AC133" s="17">
        <v>1726.96</v>
      </c>
      <c r="AD133" s="17">
        <v>1589.66</v>
      </c>
      <c r="AE133" s="18">
        <v>52512.91</v>
      </c>
      <c r="AF133" s="17">
        <v>1247.0999999999999</v>
      </c>
      <c r="AG133" s="17">
        <v>4412.57</v>
      </c>
      <c r="AH133" s="17">
        <v>99304.12</v>
      </c>
      <c r="AI133" s="17">
        <v>1637.11</v>
      </c>
      <c r="AJ133" s="17">
        <v>6272.46</v>
      </c>
      <c r="AK133" s="17">
        <v>87868.24</v>
      </c>
      <c r="AL133" s="17">
        <v>6590.9</v>
      </c>
      <c r="AM133" s="17" t="e">
        <v>#N/A</v>
      </c>
      <c r="AN133" s="17">
        <v>3098.05</v>
      </c>
      <c r="AO133" s="17">
        <v>3314.14</v>
      </c>
      <c r="AP133" s="17">
        <v>307.57</v>
      </c>
      <c r="AQ133" s="17">
        <v>80263.14</v>
      </c>
      <c r="AR133" s="17">
        <v>2764.73</v>
      </c>
      <c r="AS133" s="17">
        <v>1102.51</v>
      </c>
      <c r="AT133" s="17">
        <v>984.2</v>
      </c>
      <c r="AU133" s="17">
        <v>22813.7</v>
      </c>
      <c r="AV133" s="17">
        <v>2016.08</v>
      </c>
      <c r="AW133" s="17">
        <v>1316.73</v>
      </c>
      <c r="AX133" s="17">
        <v>10767.85</v>
      </c>
      <c r="AY133" s="19" t="e">
        <v>#N/A</v>
      </c>
      <c r="AZ133" s="17">
        <v>602.83000000000004</v>
      </c>
    </row>
    <row r="134" spans="1:52" x14ac:dyDescent="0.25">
      <c r="A134" s="21">
        <f t="shared" si="2"/>
        <v>45468</v>
      </c>
      <c r="B134" t="s">
        <v>714</v>
      </c>
      <c r="C134" s="17">
        <v>5469.3</v>
      </c>
      <c r="D134" s="17">
        <v>2787.37</v>
      </c>
      <c r="E134" s="17">
        <v>4935.97</v>
      </c>
      <c r="F134" s="17">
        <v>4493.07</v>
      </c>
      <c r="G134" s="9">
        <v>67441117.200000003</v>
      </c>
      <c r="H134" s="17">
        <v>7838.79</v>
      </c>
      <c r="I134" s="17">
        <v>3612.58</v>
      </c>
      <c r="J134" s="17">
        <v>3959.1</v>
      </c>
      <c r="K134" s="17">
        <v>122331.39</v>
      </c>
      <c r="L134" s="17">
        <v>841.05</v>
      </c>
      <c r="M134" s="17">
        <v>21788.48</v>
      </c>
      <c r="N134" s="17">
        <v>32541.82</v>
      </c>
      <c r="O134" s="17">
        <v>2950</v>
      </c>
      <c r="P134" s="17">
        <v>2813.33</v>
      </c>
      <c r="Q134" s="17">
        <v>1540.6</v>
      </c>
      <c r="R134" s="17">
        <v>2952.52</v>
      </c>
      <c r="S134" s="17">
        <v>10047.209999999999</v>
      </c>
      <c r="T134" s="17">
        <v>7662.3</v>
      </c>
      <c r="U134" s="17">
        <v>6983.35</v>
      </c>
      <c r="V134" s="17">
        <v>1420.06</v>
      </c>
      <c r="W134" s="17">
        <v>18072.900000000001</v>
      </c>
      <c r="X134" s="17">
        <v>70647.039999999994</v>
      </c>
      <c r="Y134" s="17">
        <v>78053.52</v>
      </c>
      <c r="Z134" s="17">
        <v>6882.7</v>
      </c>
      <c r="AA134" s="17">
        <v>9516.1200000000008</v>
      </c>
      <c r="AB134" s="17">
        <v>33707.21</v>
      </c>
      <c r="AC134" s="17">
        <v>1711.94</v>
      </c>
      <c r="AD134" s="17">
        <v>1585.38</v>
      </c>
      <c r="AE134" s="18">
        <v>52604.05</v>
      </c>
      <c r="AF134" s="17">
        <v>1248.6199999999999</v>
      </c>
      <c r="AG134" s="17">
        <v>4446.1899999999996</v>
      </c>
      <c r="AH134" s="17">
        <v>99217.600000000006</v>
      </c>
      <c r="AI134" s="17">
        <v>1632.59</v>
      </c>
      <c r="AJ134" s="17">
        <v>6299.05</v>
      </c>
      <c r="AK134" s="17">
        <v>87972.83</v>
      </c>
      <c r="AL134" s="17">
        <v>6567.39</v>
      </c>
      <c r="AM134" s="17">
        <v>18271.27</v>
      </c>
      <c r="AN134" s="17">
        <v>3111.39</v>
      </c>
      <c r="AO134" s="17">
        <v>3326.28</v>
      </c>
      <c r="AP134" s="17">
        <v>310.79000000000002</v>
      </c>
      <c r="AQ134" s="17">
        <v>79577.570000000007</v>
      </c>
      <c r="AR134" s="17">
        <v>2774.39</v>
      </c>
      <c r="AS134" s="17">
        <v>1096.81</v>
      </c>
      <c r="AT134" s="17">
        <v>971.39</v>
      </c>
      <c r="AU134" s="17">
        <v>22875.97</v>
      </c>
      <c r="AV134" s="17">
        <v>2015.61</v>
      </c>
      <c r="AW134" s="17">
        <v>1319.14</v>
      </c>
      <c r="AX134" s="17">
        <v>10679.98</v>
      </c>
      <c r="AY134" s="19">
        <v>77083.16</v>
      </c>
      <c r="AZ134" s="17">
        <v>604.34</v>
      </c>
    </row>
    <row r="135" spans="1:52" x14ac:dyDescent="0.25">
      <c r="A135" s="21">
        <f t="shared" si="2"/>
        <v>45469</v>
      </c>
      <c r="B135" t="s">
        <v>715</v>
      </c>
      <c r="C135" s="17">
        <v>5477.9</v>
      </c>
      <c r="D135" s="17">
        <v>2802.95</v>
      </c>
      <c r="E135" s="17">
        <v>4915.9399999999996</v>
      </c>
      <c r="F135" s="17">
        <v>4480.66</v>
      </c>
      <c r="G135" s="9">
        <v>67472561.700000003</v>
      </c>
      <c r="H135" s="17">
        <v>7783.01</v>
      </c>
      <c r="I135" s="17">
        <v>3597.65</v>
      </c>
      <c r="J135" s="17">
        <v>3915.33</v>
      </c>
      <c r="K135" s="17">
        <v>122641.3</v>
      </c>
      <c r="L135" s="17">
        <v>846.07</v>
      </c>
      <c r="M135" s="17">
        <v>21793.9</v>
      </c>
      <c r="N135" s="17">
        <v>33001.160000000003</v>
      </c>
      <c r="O135" s="17">
        <v>2972.53</v>
      </c>
      <c r="P135" s="17">
        <v>2811.26</v>
      </c>
      <c r="Q135" s="17">
        <v>1539.91</v>
      </c>
      <c r="R135" s="17">
        <v>2911.3</v>
      </c>
      <c r="S135" s="17">
        <v>9937.6299999999992</v>
      </c>
      <c r="T135" s="17">
        <v>7609.15</v>
      </c>
      <c r="U135" s="17">
        <v>6974.75</v>
      </c>
      <c r="V135" s="17">
        <v>1406.24</v>
      </c>
      <c r="W135" s="17">
        <v>18089.93</v>
      </c>
      <c r="X135" s="17">
        <v>71013.429999999993</v>
      </c>
      <c r="Y135" s="17">
        <v>78674.25</v>
      </c>
      <c r="Z135" s="17">
        <v>6905.64</v>
      </c>
      <c r="AA135" s="17">
        <v>9441.2800000000007</v>
      </c>
      <c r="AB135" s="17">
        <v>33541.980000000003</v>
      </c>
      <c r="AC135" s="17">
        <v>1651.93</v>
      </c>
      <c r="AD135" s="17">
        <v>1590.95</v>
      </c>
      <c r="AE135" s="18">
        <v>52468.01</v>
      </c>
      <c r="AF135" s="17">
        <v>1241.53</v>
      </c>
      <c r="AG135" s="17">
        <v>4485.92</v>
      </c>
      <c r="AH135" s="17">
        <v>99385.27</v>
      </c>
      <c r="AI135" s="17">
        <v>1635.1</v>
      </c>
      <c r="AJ135" s="17">
        <v>6313.11</v>
      </c>
      <c r="AK135" s="17">
        <v>87849.35</v>
      </c>
      <c r="AL135" s="17">
        <v>6545.95</v>
      </c>
      <c r="AM135" s="17">
        <v>18279.099999999999</v>
      </c>
      <c r="AN135" s="17">
        <v>3151.7</v>
      </c>
      <c r="AO135" s="17">
        <v>3331.7</v>
      </c>
      <c r="AP135" s="17">
        <v>309.54000000000002</v>
      </c>
      <c r="AQ135" s="17">
        <v>79252.39</v>
      </c>
      <c r="AR135" s="17">
        <v>2792.05</v>
      </c>
      <c r="AS135" s="17">
        <v>1087.71</v>
      </c>
      <c r="AT135" s="17">
        <v>973.11</v>
      </c>
      <c r="AU135" s="17">
        <v>22986.69</v>
      </c>
      <c r="AV135" s="17">
        <v>2013.26</v>
      </c>
      <c r="AW135" s="17">
        <v>1319.15</v>
      </c>
      <c r="AX135" s="17">
        <v>10486.7</v>
      </c>
      <c r="AY135" s="19">
        <v>77538.429999999993</v>
      </c>
      <c r="AZ135" s="17">
        <v>604.16999999999996</v>
      </c>
    </row>
    <row r="136" spans="1:52" x14ac:dyDescent="0.25">
      <c r="A136" s="21">
        <f t="shared" si="2"/>
        <v>45470</v>
      </c>
      <c r="B136" t="s">
        <v>716</v>
      </c>
      <c r="C136" s="17">
        <v>5482.87</v>
      </c>
      <c r="D136" s="17">
        <v>2793.7</v>
      </c>
      <c r="E136" s="17">
        <v>4902.6000000000004</v>
      </c>
      <c r="F136" s="17">
        <v>4460.2700000000004</v>
      </c>
      <c r="G136" s="9">
        <v>69893912.099999994</v>
      </c>
      <c r="H136" s="17">
        <v>7759.59</v>
      </c>
      <c r="I136" s="17">
        <v>3601.18</v>
      </c>
      <c r="J136" s="17">
        <v>3919.21</v>
      </c>
      <c r="K136" s="17">
        <v>124307.83</v>
      </c>
      <c r="L136" s="17">
        <v>849.07</v>
      </c>
      <c r="M136" s="17">
        <v>21942.16</v>
      </c>
      <c r="N136" s="17">
        <v>32963.96</v>
      </c>
      <c r="O136" s="17">
        <v>2945.85</v>
      </c>
      <c r="P136" s="17">
        <v>2820.84</v>
      </c>
      <c r="Q136" s="17">
        <v>1524.86</v>
      </c>
      <c r="R136" s="17">
        <v>2889.65</v>
      </c>
      <c r="S136" s="17">
        <v>9974.99</v>
      </c>
      <c r="T136" s="17">
        <v>7530.72</v>
      </c>
      <c r="U136" s="17">
        <v>6996</v>
      </c>
      <c r="V136" s="17">
        <v>1400.43</v>
      </c>
      <c r="W136" s="17">
        <v>17716.47</v>
      </c>
      <c r="X136" s="17">
        <v>71492.81</v>
      </c>
      <c r="Y136" s="17">
        <v>79243.179999999993</v>
      </c>
      <c r="Z136" s="17">
        <v>6967.95</v>
      </c>
      <c r="AA136" s="17">
        <v>9364.8799999999992</v>
      </c>
      <c r="AB136" s="17">
        <v>33186.89</v>
      </c>
      <c r="AC136" s="17">
        <v>1642.39</v>
      </c>
      <c r="AD136" s="17">
        <v>1584.94</v>
      </c>
      <c r="AE136" s="18">
        <v>52310.96</v>
      </c>
      <c r="AF136" s="17">
        <v>1245.3800000000001</v>
      </c>
      <c r="AG136" s="17">
        <v>4441.3500000000004</v>
      </c>
      <c r="AH136" s="17">
        <v>99396.23</v>
      </c>
      <c r="AI136" s="17">
        <v>1645.14</v>
      </c>
      <c r="AJ136" s="17">
        <v>6390.58</v>
      </c>
      <c r="AK136" s="17">
        <v>88135.13</v>
      </c>
      <c r="AL136" s="17">
        <v>6522.65</v>
      </c>
      <c r="AM136" s="17">
        <v>18057.78</v>
      </c>
      <c r="AN136" s="17">
        <v>3150.32</v>
      </c>
      <c r="AO136" s="17">
        <v>3343.35</v>
      </c>
      <c r="AP136" s="17">
        <v>309.54000000000002</v>
      </c>
      <c r="AQ136" s="17">
        <v>78969.33</v>
      </c>
      <c r="AR136" s="17">
        <v>2784.06</v>
      </c>
      <c r="AS136" s="17">
        <v>1080.43</v>
      </c>
      <c r="AT136" s="17">
        <v>971.18</v>
      </c>
      <c r="AU136" s="17">
        <v>22905.98</v>
      </c>
      <c r="AV136" s="17">
        <v>2012.56</v>
      </c>
      <c r="AW136" s="17">
        <v>1309.46</v>
      </c>
      <c r="AX136" s="17">
        <v>10680.91</v>
      </c>
      <c r="AY136" s="19">
        <v>77421.72</v>
      </c>
      <c r="AZ136" s="17">
        <v>604.17999999999995</v>
      </c>
    </row>
    <row r="137" spans="1:52" x14ac:dyDescent="0.25">
      <c r="A137" s="21">
        <f t="shared" si="2"/>
        <v>45471</v>
      </c>
      <c r="B137" t="s">
        <v>717</v>
      </c>
      <c r="C137" s="17">
        <v>5460.48</v>
      </c>
      <c r="D137" s="17">
        <v>2809.63</v>
      </c>
      <c r="E137" s="17">
        <v>4894.0200000000004</v>
      </c>
      <c r="F137" s="17">
        <v>4451.92</v>
      </c>
      <c r="G137" s="9">
        <v>68821413.099999994</v>
      </c>
      <c r="H137" s="17">
        <v>7767.47</v>
      </c>
      <c r="I137" s="17">
        <v>3609.47</v>
      </c>
      <c r="J137" s="17">
        <v>3887.24</v>
      </c>
      <c r="K137" s="17">
        <v>123906.55</v>
      </c>
      <c r="L137" s="17">
        <v>847.68</v>
      </c>
      <c r="M137" s="17">
        <v>21875.79</v>
      </c>
      <c r="N137" s="17">
        <v>32538.84</v>
      </c>
      <c r="O137" s="17">
        <v>2967.4</v>
      </c>
      <c r="P137" s="17">
        <v>2829.79</v>
      </c>
      <c r="Q137" s="17">
        <v>1545.91</v>
      </c>
      <c r="R137" s="17">
        <v>2887.71</v>
      </c>
      <c r="S137" s="17">
        <v>9937.44</v>
      </c>
      <c r="T137" s="17">
        <v>7479.4</v>
      </c>
      <c r="U137" s="17">
        <v>7005.57</v>
      </c>
      <c r="V137" s="17">
        <v>1404.26</v>
      </c>
      <c r="W137" s="17">
        <v>17718.61</v>
      </c>
      <c r="X137" s="17">
        <v>72094.789999999994</v>
      </c>
      <c r="Y137" s="17">
        <v>79032.73</v>
      </c>
      <c r="Z137" s="17">
        <v>7063.58</v>
      </c>
      <c r="AA137" s="17">
        <v>9318.35</v>
      </c>
      <c r="AB137" s="17">
        <v>33154.050000000003</v>
      </c>
      <c r="AC137" s="17">
        <v>1656.5</v>
      </c>
      <c r="AD137" s="17">
        <v>1590.09</v>
      </c>
      <c r="AE137" s="18">
        <v>52440.02</v>
      </c>
      <c r="AF137" s="17">
        <v>1245.24</v>
      </c>
      <c r="AG137" s="17" t="e">
        <v>#N/A</v>
      </c>
      <c r="AH137" s="17">
        <v>100057.49</v>
      </c>
      <c r="AI137" s="17">
        <v>1653.22</v>
      </c>
      <c r="AJ137" s="17">
        <v>6411.91</v>
      </c>
      <c r="AK137" s="17">
        <v>88613.67</v>
      </c>
      <c r="AL137" s="17">
        <v>6480.06</v>
      </c>
      <c r="AM137" s="17">
        <v>18244.75</v>
      </c>
      <c r="AN137" s="17">
        <v>3154.36</v>
      </c>
      <c r="AO137" s="17">
        <v>3332.8</v>
      </c>
      <c r="AP137" s="17">
        <v>311.02999999999997</v>
      </c>
      <c r="AQ137" s="17">
        <v>79707.11</v>
      </c>
      <c r="AR137" s="17">
        <v>2797.82</v>
      </c>
      <c r="AS137" s="17">
        <v>1079.83</v>
      </c>
      <c r="AT137" s="17">
        <v>975.04</v>
      </c>
      <c r="AU137" s="17">
        <v>23032.25</v>
      </c>
      <c r="AV137" s="17">
        <v>2016.97</v>
      </c>
      <c r="AW137" s="17">
        <v>1300.96</v>
      </c>
      <c r="AX137" s="17">
        <v>10647.91</v>
      </c>
      <c r="AY137" s="19">
        <v>78695.199999999997</v>
      </c>
      <c r="AZ137" s="17">
        <v>603.15</v>
      </c>
    </row>
    <row r="138" spans="1:52" x14ac:dyDescent="0.25">
      <c r="A138" s="21">
        <f t="shared" si="2"/>
        <v>45474</v>
      </c>
      <c r="B138" t="s">
        <v>718</v>
      </c>
      <c r="C138" s="17">
        <v>5475.09</v>
      </c>
      <c r="D138" s="17">
        <v>2824.28</v>
      </c>
      <c r="E138" s="17">
        <v>4929.99</v>
      </c>
      <c r="F138" s="17">
        <v>4451.4799999999996</v>
      </c>
      <c r="G138" s="9">
        <v>68007531.599999994</v>
      </c>
      <c r="H138" s="17">
        <v>7750.74</v>
      </c>
      <c r="I138" s="17">
        <v>3648.52</v>
      </c>
      <c r="J138" s="17">
        <v>3897.96</v>
      </c>
      <c r="K138" s="17">
        <v>124718.07</v>
      </c>
      <c r="L138" s="17">
        <v>849.68</v>
      </c>
      <c r="M138" s="17" t="e">
        <v>#N/A</v>
      </c>
      <c r="N138" s="17">
        <v>32504.03</v>
      </c>
      <c r="O138" s="17">
        <v>2994.73</v>
      </c>
      <c r="P138" s="17">
        <v>2821.09</v>
      </c>
      <c r="Q138" s="17">
        <v>1555.62</v>
      </c>
      <c r="R138" s="17">
        <v>2895.73</v>
      </c>
      <c r="S138" s="17">
        <v>10076.34</v>
      </c>
      <c r="T138" s="17">
        <v>7561.13</v>
      </c>
      <c r="U138" s="17">
        <v>7026.77</v>
      </c>
      <c r="V138" s="17">
        <v>1420.83</v>
      </c>
      <c r="W138" s="17" t="e">
        <v>#N/A</v>
      </c>
      <c r="X138" s="17">
        <v>72288.23</v>
      </c>
      <c r="Y138" s="17">
        <v>79476.19</v>
      </c>
      <c r="Z138" s="17">
        <v>7139.63</v>
      </c>
      <c r="AA138" s="17">
        <v>9325.7199999999993</v>
      </c>
      <c r="AB138" s="17">
        <v>33716.54</v>
      </c>
      <c r="AC138" s="17">
        <v>1655.48</v>
      </c>
      <c r="AD138" s="17">
        <v>1598.2</v>
      </c>
      <c r="AE138" s="18">
        <v>52883.97</v>
      </c>
      <c r="AF138" s="17">
        <v>1243.3</v>
      </c>
      <c r="AG138" s="17">
        <v>4468.43</v>
      </c>
      <c r="AH138" s="17">
        <v>100020.83</v>
      </c>
      <c r="AI138" s="17">
        <v>1660.23</v>
      </c>
      <c r="AJ138" s="17">
        <v>6398.77</v>
      </c>
      <c r="AK138" s="17">
        <v>88385.7</v>
      </c>
      <c r="AL138" s="17">
        <v>6593.85</v>
      </c>
      <c r="AM138" s="17">
        <v>18177.5</v>
      </c>
      <c r="AN138" s="17">
        <v>3186.19</v>
      </c>
      <c r="AO138" s="17">
        <v>3338.57</v>
      </c>
      <c r="AP138" s="17">
        <v>311.52999999999997</v>
      </c>
      <c r="AQ138" s="17">
        <v>79853.83</v>
      </c>
      <c r="AR138" s="17">
        <v>2804.31</v>
      </c>
      <c r="AS138" s="17">
        <v>1091.8599999999999</v>
      </c>
      <c r="AT138" s="17">
        <v>980.42</v>
      </c>
      <c r="AU138" s="17">
        <v>23058.57</v>
      </c>
      <c r="AV138" s="17">
        <v>2030.03</v>
      </c>
      <c r="AW138" s="17">
        <v>1299.3499999999999</v>
      </c>
      <c r="AX138" s="17">
        <v>10343.31</v>
      </c>
      <c r="AY138" s="19">
        <v>80455.839999999997</v>
      </c>
      <c r="AZ138" s="17">
        <v>604.17999999999995</v>
      </c>
    </row>
    <row r="139" spans="1:52" x14ac:dyDescent="0.25">
      <c r="A139" s="21">
        <f t="shared" si="2"/>
        <v>45475</v>
      </c>
      <c r="B139" t="s">
        <v>719</v>
      </c>
      <c r="C139" s="17">
        <v>5509.01</v>
      </c>
      <c r="D139" s="17">
        <v>2856.62</v>
      </c>
      <c r="E139" s="17">
        <v>4906.33</v>
      </c>
      <c r="F139" s="17">
        <v>4429.66</v>
      </c>
      <c r="G139" s="9">
        <v>69717332.799999997</v>
      </c>
      <c r="H139" s="17">
        <v>7718.17</v>
      </c>
      <c r="I139" s="17">
        <v>3660.1</v>
      </c>
      <c r="J139" s="17">
        <v>3923.43</v>
      </c>
      <c r="K139" s="17">
        <v>124787.08</v>
      </c>
      <c r="L139" s="17">
        <v>849.29</v>
      </c>
      <c r="M139" s="17">
        <v>21953.8</v>
      </c>
      <c r="N139" s="17">
        <v>32400.98</v>
      </c>
      <c r="O139" s="17">
        <v>2997.01</v>
      </c>
      <c r="P139" s="17">
        <v>2814.36</v>
      </c>
      <c r="Q139" s="17">
        <v>1559.74</v>
      </c>
      <c r="R139" s="17">
        <v>2868.07</v>
      </c>
      <c r="S139" s="17">
        <v>10002.950000000001</v>
      </c>
      <c r="T139" s="17">
        <v>7538.29</v>
      </c>
      <c r="U139" s="17">
        <v>6978.14</v>
      </c>
      <c r="V139" s="17">
        <v>1407.03</v>
      </c>
      <c r="W139" s="17">
        <v>17769.14</v>
      </c>
      <c r="X139" s="17">
        <v>71456</v>
      </c>
      <c r="Y139" s="17">
        <v>79441.45</v>
      </c>
      <c r="Z139" s="17">
        <v>7125.14</v>
      </c>
      <c r="AA139" s="17">
        <v>9311.9</v>
      </c>
      <c r="AB139" s="17">
        <v>33481.4</v>
      </c>
      <c r="AC139" s="17">
        <v>1649.15</v>
      </c>
      <c r="AD139" s="17">
        <v>1597.96</v>
      </c>
      <c r="AE139" s="18">
        <v>51947.89</v>
      </c>
      <c r="AF139" s="17">
        <v>1246.9100000000001</v>
      </c>
      <c r="AG139" s="17">
        <v>4463.63</v>
      </c>
      <c r="AH139" s="17">
        <v>100067.77</v>
      </c>
      <c r="AI139" s="17">
        <v>1662.02</v>
      </c>
      <c r="AJ139" s="17">
        <v>6358.96</v>
      </c>
      <c r="AK139" s="17">
        <v>87485.28</v>
      </c>
      <c r="AL139" s="17">
        <v>6589.92</v>
      </c>
      <c r="AM139" s="17">
        <v>18229.27</v>
      </c>
      <c r="AN139" s="17">
        <v>3217.29</v>
      </c>
      <c r="AO139" s="17">
        <v>3367.9</v>
      </c>
      <c r="AP139" s="17">
        <v>310.87</v>
      </c>
      <c r="AQ139" s="17">
        <v>79435.12</v>
      </c>
      <c r="AR139" s="17">
        <v>2780.86</v>
      </c>
      <c r="AS139" s="17">
        <v>1077.46</v>
      </c>
      <c r="AT139" s="17">
        <v>972.91</v>
      </c>
      <c r="AU139" s="17">
        <v>22879.37</v>
      </c>
      <c r="AV139" s="17">
        <v>2034.24</v>
      </c>
      <c r="AW139" s="17">
        <v>1288.58</v>
      </c>
      <c r="AX139" s="17">
        <v>10446.24</v>
      </c>
      <c r="AY139" s="19">
        <v>86686.74</v>
      </c>
      <c r="AZ139" s="17">
        <v>606.29</v>
      </c>
    </row>
    <row r="140" spans="1:52" x14ac:dyDescent="0.25">
      <c r="A140" s="21">
        <f t="shared" si="2"/>
        <v>45476</v>
      </c>
      <c r="B140" t="s">
        <v>720</v>
      </c>
      <c r="C140" s="17">
        <v>5537.02</v>
      </c>
      <c r="D140" s="17">
        <v>2872.18</v>
      </c>
      <c r="E140" s="17">
        <v>4965.8</v>
      </c>
      <c r="F140" s="17">
        <v>4463.09</v>
      </c>
      <c r="G140" s="9">
        <v>68613942.299999997</v>
      </c>
      <c r="H140" s="17">
        <v>7739.8</v>
      </c>
      <c r="I140" s="17">
        <v>3680.42</v>
      </c>
      <c r="J140" s="17">
        <v>3939.09</v>
      </c>
      <c r="K140" s="17">
        <v>125661.89</v>
      </c>
      <c r="L140" s="17">
        <v>847.87</v>
      </c>
      <c r="M140" s="17">
        <v>22223.67</v>
      </c>
      <c r="N140" s="17">
        <v>33078.76</v>
      </c>
      <c r="O140" s="17">
        <v>2982.38</v>
      </c>
      <c r="P140" s="17">
        <v>2812.16</v>
      </c>
      <c r="Q140" s="17">
        <v>1567.22</v>
      </c>
      <c r="R140" s="17">
        <v>2826.33</v>
      </c>
      <c r="S140" s="17">
        <v>10050.18</v>
      </c>
      <c r="T140" s="17">
        <v>7632.08</v>
      </c>
      <c r="U140" s="17">
        <v>7059</v>
      </c>
      <c r="V140" s="17">
        <v>1423.56</v>
      </c>
      <c r="W140" s="17">
        <v>17978.57</v>
      </c>
      <c r="X140" s="17">
        <v>71738.759999999995</v>
      </c>
      <c r="Y140" s="17">
        <v>79986.8</v>
      </c>
      <c r="Z140" s="17">
        <v>7196.76</v>
      </c>
      <c r="AA140" s="17">
        <v>9425.7999999999993</v>
      </c>
      <c r="AB140" s="17">
        <v>33844.949999999997</v>
      </c>
      <c r="AC140" s="17">
        <v>1648.98</v>
      </c>
      <c r="AD140" s="17">
        <v>1615.32</v>
      </c>
      <c r="AE140" s="18">
        <v>52796.26</v>
      </c>
      <c r="AF140" s="17">
        <v>1258.29</v>
      </c>
      <c r="AG140" s="17">
        <v>4469.01</v>
      </c>
      <c r="AH140" s="17">
        <v>100299.48</v>
      </c>
      <c r="AI140" s="17">
        <v>1661.79</v>
      </c>
      <c r="AJ140" s="17">
        <v>6450.03</v>
      </c>
      <c r="AK140" s="17">
        <v>87927.07</v>
      </c>
      <c r="AL140" s="17">
        <v>6664.88</v>
      </c>
      <c r="AM140" s="17">
        <v>18257.2</v>
      </c>
      <c r="AN140" s="17">
        <v>3203.07</v>
      </c>
      <c r="AO140" s="17">
        <v>3415.51</v>
      </c>
      <c r="AP140" s="17">
        <v>310.38</v>
      </c>
      <c r="AQ140" s="17">
        <v>80772.78</v>
      </c>
      <c r="AR140" s="17">
        <v>2794.01</v>
      </c>
      <c r="AS140" s="17">
        <v>1091.56</v>
      </c>
      <c r="AT140" s="17">
        <v>977.63</v>
      </c>
      <c r="AU140" s="17">
        <v>23172.43</v>
      </c>
      <c r="AV140" s="17">
        <v>2034.42</v>
      </c>
      <c r="AW140" s="17">
        <v>1294.7</v>
      </c>
      <c r="AX140" s="17">
        <v>10682.15</v>
      </c>
      <c r="AY140" s="19">
        <v>88817.26</v>
      </c>
      <c r="AZ140" s="17">
        <v>610.72</v>
      </c>
    </row>
    <row r="141" spans="1:52" x14ac:dyDescent="0.25">
      <c r="A141" s="21">
        <f t="shared" si="2"/>
        <v>45477</v>
      </c>
      <c r="B141" t="s">
        <v>721</v>
      </c>
      <c r="C141" s="17" t="e">
        <v>#N/A</v>
      </c>
      <c r="D141" s="17">
        <v>2898.47</v>
      </c>
      <c r="E141" s="17">
        <v>4987.4799999999996</v>
      </c>
      <c r="F141" s="17">
        <v>4497.97</v>
      </c>
      <c r="G141" s="9">
        <v>68994750.099999994</v>
      </c>
      <c r="H141" s="17">
        <v>7831.76</v>
      </c>
      <c r="I141" s="17">
        <v>3712.04</v>
      </c>
      <c r="J141" s="17">
        <v>3957.79</v>
      </c>
      <c r="K141" s="17">
        <v>126163.98</v>
      </c>
      <c r="L141" s="17">
        <v>849.5</v>
      </c>
      <c r="M141" s="17">
        <v>22244.02</v>
      </c>
      <c r="N141" s="17">
        <v>33078.83</v>
      </c>
      <c r="O141" s="17">
        <v>2957.57</v>
      </c>
      <c r="P141" s="17">
        <v>2826.12</v>
      </c>
      <c r="Q141" s="17">
        <v>1572.19</v>
      </c>
      <c r="R141" s="17">
        <v>2837.72</v>
      </c>
      <c r="S141" s="17">
        <v>10103.74</v>
      </c>
      <c r="T141" s="17">
        <v>7695.78</v>
      </c>
      <c r="U141" s="17">
        <v>7088.17</v>
      </c>
      <c r="V141" s="17">
        <v>1435.81</v>
      </c>
      <c r="W141" s="17">
        <v>18028.28</v>
      </c>
      <c r="X141" s="17">
        <v>72351.87</v>
      </c>
      <c r="Y141" s="17">
        <v>80049.67</v>
      </c>
      <c r="Z141" s="17">
        <v>7220.89</v>
      </c>
      <c r="AA141" s="17">
        <v>9485.2000000000007</v>
      </c>
      <c r="AB141" s="17">
        <v>34106.01</v>
      </c>
      <c r="AC141" s="17">
        <v>1666.76</v>
      </c>
      <c r="AD141" s="17">
        <v>1616.75</v>
      </c>
      <c r="AE141" s="18">
        <v>52654.85</v>
      </c>
      <c r="AF141" s="17">
        <v>1262.5899999999999</v>
      </c>
      <c r="AG141" s="17">
        <v>4452.2299999999996</v>
      </c>
      <c r="AH141" s="17">
        <v>100063.32</v>
      </c>
      <c r="AI141" s="17">
        <v>1658.1</v>
      </c>
      <c r="AJ141" s="17">
        <v>6507.49</v>
      </c>
      <c r="AK141" s="17">
        <v>88172.42</v>
      </c>
      <c r="AL141" s="17">
        <v>6681.29</v>
      </c>
      <c r="AM141" s="17">
        <v>18385.28</v>
      </c>
      <c r="AN141" s="17">
        <v>3133.81</v>
      </c>
      <c r="AO141" s="17">
        <v>3439.88</v>
      </c>
      <c r="AP141" s="17">
        <v>307.51</v>
      </c>
      <c r="AQ141" s="17">
        <v>81155.28</v>
      </c>
      <c r="AR141" s="17">
        <v>2824.94</v>
      </c>
      <c r="AS141" s="17">
        <v>1091.78</v>
      </c>
      <c r="AT141" s="17">
        <v>981.26</v>
      </c>
      <c r="AU141" s="17">
        <v>23522.53</v>
      </c>
      <c r="AV141" s="17">
        <v>2038.18</v>
      </c>
      <c r="AW141" s="17">
        <v>1301.04</v>
      </c>
      <c r="AX141" s="17">
        <v>10872.56</v>
      </c>
      <c r="AY141" s="19">
        <v>88433.84</v>
      </c>
      <c r="AZ141" s="17">
        <v>612.51</v>
      </c>
    </row>
    <row r="142" spans="1:52" x14ac:dyDescent="0.25">
      <c r="A142" s="21">
        <f t="shared" ref="A142:A167" si="3">+A137+7</f>
        <v>45478</v>
      </c>
      <c r="B142" t="s">
        <v>722</v>
      </c>
      <c r="C142" s="17">
        <v>5567.19</v>
      </c>
      <c r="D142" s="17">
        <v>2884.18</v>
      </c>
      <c r="E142" s="17">
        <v>4979.3900000000003</v>
      </c>
      <c r="F142" s="17">
        <v>4486.08</v>
      </c>
      <c r="G142" s="9">
        <v>69453532.599999994</v>
      </c>
      <c r="H142" s="17">
        <v>7822.26</v>
      </c>
      <c r="I142" s="17">
        <v>3708.61</v>
      </c>
      <c r="J142" s="17">
        <v>3959.84</v>
      </c>
      <c r="K142" s="17">
        <v>126267.05</v>
      </c>
      <c r="L142" s="17">
        <v>852.6</v>
      </c>
      <c r="M142" s="17">
        <v>22059.03</v>
      </c>
      <c r="N142" s="17">
        <v>32861.94</v>
      </c>
      <c r="O142" s="17">
        <v>2949.93</v>
      </c>
      <c r="P142" s="17">
        <v>2813.13</v>
      </c>
      <c r="Q142" s="17" t="e">
        <v>#N/A</v>
      </c>
      <c r="R142" s="17">
        <v>2844.66</v>
      </c>
      <c r="S142" s="17">
        <v>10028.91</v>
      </c>
      <c r="T142" s="17">
        <v>7675.62</v>
      </c>
      <c r="U142" s="17">
        <v>7097.76</v>
      </c>
      <c r="V142" s="17">
        <v>1440.52</v>
      </c>
      <c r="W142" s="17">
        <v>17799.61</v>
      </c>
      <c r="X142" s="17">
        <v>72132.83</v>
      </c>
      <c r="Y142" s="17">
        <v>79996.600000000006</v>
      </c>
      <c r="Z142" s="17">
        <v>7253.37</v>
      </c>
      <c r="AA142" s="17">
        <v>9510.65</v>
      </c>
      <c r="AB142" s="17">
        <v>33987.67</v>
      </c>
      <c r="AC142" s="17">
        <v>1659.68</v>
      </c>
      <c r="AD142" s="17">
        <v>1611.02</v>
      </c>
      <c r="AE142" s="18">
        <v>52333.16</v>
      </c>
      <c r="AF142" s="17">
        <v>1263.8900000000001</v>
      </c>
      <c r="AG142" s="17">
        <v>4470.49</v>
      </c>
      <c r="AH142" s="17">
        <v>100022.03</v>
      </c>
      <c r="AI142" s="17">
        <v>1648.99</v>
      </c>
      <c r="AJ142" s="17">
        <v>6492.75</v>
      </c>
      <c r="AK142" s="17">
        <v>87297.02</v>
      </c>
      <c r="AL142" s="17">
        <v>6678.6</v>
      </c>
      <c r="AM142" s="17">
        <v>18442.43</v>
      </c>
      <c r="AN142" s="17">
        <v>3149.29</v>
      </c>
      <c r="AO142" s="17">
        <v>3410.81</v>
      </c>
      <c r="AP142" s="17" t="e">
        <v>#N/A</v>
      </c>
      <c r="AQ142" s="17">
        <v>80797.38</v>
      </c>
      <c r="AR142" s="17">
        <v>2862.23</v>
      </c>
      <c r="AS142" s="17">
        <v>1087.54</v>
      </c>
      <c r="AT142" s="17">
        <v>979.25</v>
      </c>
      <c r="AU142" s="17">
        <v>23556.59</v>
      </c>
      <c r="AV142" s="17">
        <v>2033.31</v>
      </c>
      <c r="AW142" s="17">
        <v>1311.99</v>
      </c>
      <c r="AX142" s="17">
        <v>10851.78</v>
      </c>
      <c r="AY142" s="19" t="e">
        <v>#N/A</v>
      </c>
      <c r="AZ142" s="17">
        <v>614.04</v>
      </c>
    </row>
    <row r="143" spans="1:52" x14ac:dyDescent="0.25">
      <c r="A143" s="21">
        <f t="shared" si="3"/>
        <v>45481</v>
      </c>
      <c r="B143" t="s">
        <v>723</v>
      </c>
      <c r="C143" s="17">
        <v>5572.85</v>
      </c>
      <c r="D143" s="17">
        <v>2867.61</v>
      </c>
      <c r="E143" s="17">
        <v>4969.83</v>
      </c>
      <c r="F143" s="17">
        <v>4481.83</v>
      </c>
      <c r="G143" s="9">
        <v>70062670.900000006</v>
      </c>
      <c r="H143" s="17">
        <v>7763.16</v>
      </c>
      <c r="I143" s="17">
        <v>3707.98</v>
      </c>
      <c r="J143" s="17">
        <v>3945.04</v>
      </c>
      <c r="K143" s="17">
        <v>126548.34</v>
      </c>
      <c r="L143" s="17">
        <v>851.9</v>
      </c>
      <c r="M143" s="17">
        <v>22126.13</v>
      </c>
      <c r="N143" s="17">
        <v>33030.15</v>
      </c>
      <c r="O143" s="17">
        <v>2922.45</v>
      </c>
      <c r="P143" s="17">
        <v>2818.52</v>
      </c>
      <c r="Q143" s="17">
        <v>1575.58</v>
      </c>
      <c r="R143" s="17">
        <v>2862.66</v>
      </c>
      <c r="S143" s="17">
        <v>9968.7099999999991</v>
      </c>
      <c r="T143" s="17">
        <v>7627.45</v>
      </c>
      <c r="U143" s="17">
        <v>7096.46</v>
      </c>
      <c r="V143" s="17">
        <v>1450.92</v>
      </c>
      <c r="W143" s="17">
        <v>17524.060000000001</v>
      </c>
      <c r="X143" s="17">
        <v>71150.53</v>
      </c>
      <c r="Y143" s="17">
        <v>79960.38</v>
      </c>
      <c r="Z143" s="17">
        <v>7250.98</v>
      </c>
      <c r="AA143" s="17">
        <v>9655.7999999999993</v>
      </c>
      <c r="AB143" s="17">
        <v>34046.54</v>
      </c>
      <c r="AC143" s="17">
        <v>1678</v>
      </c>
      <c r="AD143" s="17" t="e">
        <v>#N/A</v>
      </c>
      <c r="AE143" s="18">
        <v>52907.69</v>
      </c>
      <c r="AF143" s="17">
        <v>1259.33</v>
      </c>
      <c r="AG143" s="17">
        <v>4451.8100000000004</v>
      </c>
      <c r="AH143" s="17">
        <v>100006.79</v>
      </c>
      <c r="AI143" s="17">
        <v>1634.38</v>
      </c>
      <c r="AJ143" s="17">
        <v>6529.43</v>
      </c>
      <c r="AK143" s="17">
        <v>87986.09</v>
      </c>
      <c r="AL143" s="17">
        <v>6655.83</v>
      </c>
      <c r="AM143" s="17">
        <v>18445.68</v>
      </c>
      <c r="AN143" s="17">
        <v>3132.58</v>
      </c>
      <c r="AO143" s="17">
        <v>3404.47</v>
      </c>
      <c r="AP143" s="17">
        <v>307.51</v>
      </c>
      <c r="AQ143" s="17">
        <v>80783.509999999995</v>
      </c>
      <c r="AR143" s="17">
        <v>2857.76</v>
      </c>
      <c r="AS143" s="17">
        <v>1087.6099999999999</v>
      </c>
      <c r="AT143" s="17">
        <v>981.49</v>
      </c>
      <c r="AU143" s="17">
        <v>23878.15</v>
      </c>
      <c r="AV143" s="17">
        <v>2044.42</v>
      </c>
      <c r="AW143" s="17">
        <v>1322.5</v>
      </c>
      <c r="AX143" s="17">
        <v>10864.08</v>
      </c>
      <c r="AY143" s="19">
        <v>88213.71</v>
      </c>
      <c r="AZ143" s="17">
        <v>614.4</v>
      </c>
    </row>
    <row r="144" spans="1:52" x14ac:dyDescent="0.25">
      <c r="A144" s="21">
        <f t="shared" si="3"/>
        <v>45482</v>
      </c>
      <c r="B144" t="s">
        <v>724</v>
      </c>
      <c r="C144" s="17">
        <v>5576.98</v>
      </c>
      <c r="D144" s="17">
        <v>2895.55</v>
      </c>
      <c r="E144" s="17">
        <v>4903.62</v>
      </c>
      <c r="F144" s="17">
        <v>4452.6099999999997</v>
      </c>
      <c r="G144" s="9" t="e">
        <v>#N/A</v>
      </c>
      <c r="H144" s="17">
        <v>7829.71</v>
      </c>
      <c r="I144" s="17">
        <v>3650.38</v>
      </c>
      <c r="J144" s="17">
        <v>3950.57</v>
      </c>
      <c r="K144" s="17">
        <v>127108.22</v>
      </c>
      <c r="L144" s="17">
        <v>855.76</v>
      </c>
      <c r="M144" s="17">
        <v>22042.5</v>
      </c>
      <c r="N144" s="17">
        <v>32790.28</v>
      </c>
      <c r="O144" s="17">
        <v>2959.37</v>
      </c>
      <c r="P144" s="17">
        <v>2829.09</v>
      </c>
      <c r="Q144" s="17">
        <v>1570.27</v>
      </c>
      <c r="R144" s="17">
        <v>2819.81</v>
      </c>
      <c r="S144" s="17">
        <v>9844.89</v>
      </c>
      <c r="T144" s="17">
        <v>7508.66</v>
      </c>
      <c r="U144" s="17">
        <v>7005.85</v>
      </c>
      <c r="V144" s="17">
        <v>1451.22</v>
      </c>
      <c r="W144" s="17">
        <v>17523.23</v>
      </c>
      <c r="X144" s="17">
        <v>71169.33</v>
      </c>
      <c r="Y144" s="17">
        <v>80351.64</v>
      </c>
      <c r="Z144" s="17">
        <v>7269.8</v>
      </c>
      <c r="AA144" s="17">
        <v>9625.65</v>
      </c>
      <c r="AB144" s="17">
        <v>33864.47</v>
      </c>
      <c r="AC144" s="17">
        <v>1676.04</v>
      </c>
      <c r="AD144" s="17">
        <v>1614.42</v>
      </c>
      <c r="AE144" s="18">
        <v>53331.81</v>
      </c>
      <c r="AF144" s="17">
        <v>1254.03</v>
      </c>
      <c r="AG144" s="17">
        <v>4490.6899999999996</v>
      </c>
      <c r="AH144" s="17">
        <v>99805.95</v>
      </c>
      <c r="AI144" s="17">
        <v>1626.39</v>
      </c>
      <c r="AJ144" s="17">
        <v>6556.66</v>
      </c>
      <c r="AK144" s="17">
        <v>88178.96</v>
      </c>
      <c r="AL144" s="17">
        <v>6650.59</v>
      </c>
      <c r="AM144" s="17">
        <v>18334.03</v>
      </c>
      <c r="AN144" s="17">
        <v>3054.07</v>
      </c>
      <c r="AO144" s="17">
        <v>3426.09</v>
      </c>
      <c r="AP144" s="17">
        <v>307.51</v>
      </c>
      <c r="AQ144" s="17">
        <v>80620.02</v>
      </c>
      <c r="AR144" s="17">
        <v>2867.38</v>
      </c>
      <c r="AS144" s="17">
        <v>1075.4100000000001</v>
      </c>
      <c r="AT144" s="17">
        <v>974.84</v>
      </c>
      <c r="AU144" s="17">
        <v>23900.080000000002</v>
      </c>
      <c r="AV144" s="17">
        <v>2053.4899999999998</v>
      </c>
      <c r="AW144" s="17">
        <v>1319.92</v>
      </c>
      <c r="AX144" s="17">
        <v>10796.57</v>
      </c>
      <c r="AY144" s="19">
        <v>87595.27</v>
      </c>
      <c r="AZ144" s="17">
        <v>613.99</v>
      </c>
    </row>
    <row r="145" spans="1:52" x14ac:dyDescent="0.25">
      <c r="A145" s="21">
        <f t="shared" si="3"/>
        <v>45483</v>
      </c>
      <c r="B145" t="s">
        <v>725</v>
      </c>
      <c r="C145" s="17">
        <v>5633.91</v>
      </c>
      <c r="D145" s="17">
        <v>2909.2</v>
      </c>
      <c r="E145" s="17">
        <v>4958.8599999999997</v>
      </c>
      <c r="F145" s="17">
        <v>4486.21</v>
      </c>
      <c r="G145" s="9">
        <v>71891740.5</v>
      </c>
      <c r="H145" s="17">
        <v>7816.81</v>
      </c>
      <c r="I145" s="17">
        <v>3666.66</v>
      </c>
      <c r="J145" s="17">
        <v>3994.31</v>
      </c>
      <c r="K145" s="17">
        <v>127218.24000000001</v>
      </c>
      <c r="L145" s="17">
        <v>860.94</v>
      </c>
      <c r="M145" s="17">
        <v>22350.23</v>
      </c>
      <c r="N145" s="17">
        <v>32774.080000000002</v>
      </c>
      <c r="O145" s="17">
        <v>2939.36</v>
      </c>
      <c r="P145" s="17">
        <v>2823.84</v>
      </c>
      <c r="Q145" s="17">
        <v>1580.29</v>
      </c>
      <c r="R145" s="17">
        <v>2850.42</v>
      </c>
      <c r="S145" s="17">
        <v>9902.2000000000007</v>
      </c>
      <c r="T145" s="17">
        <v>7573.55</v>
      </c>
      <c r="U145" s="17">
        <v>7071.56</v>
      </c>
      <c r="V145" s="17">
        <v>1444.31</v>
      </c>
      <c r="W145" s="17">
        <v>17471.669999999998</v>
      </c>
      <c r="X145" s="17">
        <v>71511.7</v>
      </c>
      <c r="Y145" s="17">
        <v>79924.77</v>
      </c>
      <c r="Z145" s="17">
        <v>7287.04</v>
      </c>
      <c r="AA145" s="17">
        <v>9691.31</v>
      </c>
      <c r="AB145" s="17">
        <v>34306.400000000001</v>
      </c>
      <c r="AC145" s="17">
        <v>1675.22</v>
      </c>
      <c r="AD145" s="17">
        <v>1618.38</v>
      </c>
      <c r="AE145" s="18">
        <v>54279.88</v>
      </c>
      <c r="AF145" s="17">
        <v>1266.18</v>
      </c>
      <c r="AG145" s="17">
        <v>4526.78</v>
      </c>
      <c r="AH145" s="17">
        <v>99802.08</v>
      </c>
      <c r="AI145" s="17">
        <v>1630.98</v>
      </c>
      <c r="AJ145" s="17">
        <v>6489.35</v>
      </c>
      <c r="AK145" s="17">
        <v>87487.2</v>
      </c>
      <c r="AL145" s="17">
        <v>6742.02</v>
      </c>
      <c r="AM145" s="17">
        <v>18432.82</v>
      </c>
      <c r="AN145" s="17">
        <v>2975.75</v>
      </c>
      <c r="AO145" s="17">
        <v>3459.93</v>
      </c>
      <c r="AP145" s="17">
        <v>307.51</v>
      </c>
      <c r="AQ145" s="17">
        <v>80445.31</v>
      </c>
      <c r="AR145" s="17">
        <v>2867.99</v>
      </c>
      <c r="AS145" s="17">
        <v>1091.8800000000001</v>
      </c>
      <c r="AT145" s="17">
        <v>979.81</v>
      </c>
      <c r="AU145" s="17">
        <v>24007.08</v>
      </c>
      <c r="AV145" s="17">
        <v>2068.09</v>
      </c>
      <c r="AW145" s="17">
        <v>1323.28</v>
      </c>
      <c r="AX145" s="17">
        <v>10743.3</v>
      </c>
      <c r="AY145" s="19">
        <v>88319.94</v>
      </c>
      <c r="AZ145" s="17">
        <v>619.04</v>
      </c>
    </row>
    <row r="146" spans="1:52" x14ac:dyDescent="0.25">
      <c r="A146" s="21">
        <f t="shared" si="3"/>
        <v>45484</v>
      </c>
      <c r="B146" t="s">
        <v>726</v>
      </c>
      <c r="C146" s="17">
        <v>5584.54</v>
      </c>
      <c r="D146" s="17">
        <v>2929.17</v>
      </c>
      <c r="E146" s="17">
        <v>4976.13</v>
      </c>
      <c r="F146" s="17">
        <v>4508.55</v>
      </c>
      <c r="G146" s="9">
        <v>72697478.799999997</v>
      </c>
      <c r="H146" s="17">
        <v>7889.64</v>
      </c>
      <c r="I146" s="17">
        <v>3685.64</v>
      </c>
      <c r="J146" s="17">
        <v>4028.92</v>
      </c>
      <c r="K146" s="17">
        <v>128293.61</v>
      </c>
      <c r="L146" s="17">
        <v>857.18</v>
      </c>
      <c r="M146" s="17">
        <v>22544.13</v>
      </c>
      <c r="N146" s="17">
        <v>33103.839999999997</v>
      </c>
      <c r="O146" s="17">
        <v>2970.39</v>
      </c>
      <c r="P146" s="17">
        <v>2820.59</v>
      </c>
      <c r="Q146" s="17">
        <v>1586.73</v>
      </c>
      <c r="R146" s="17">
        <v>2838.97</v>
      </c>
      <c r="S146" s="17">
        <v>9952.98</v>
      </c>
      <c r="T146" s="17">
        <v>7627.13</v>
      </c>
      <c r="U146" s="17">
        <v>7120.47</v>
      </c>
      <c r="V146" s="17">
        <v>1445.91</v>
      </c>
      <c r="W146" s="17">
        <v>17832.330000000002</v>
      </c>
      <c r="X146" s="17">
        <v>71941.67</v>
      </c>
      <c r="Y146" s="17">
        <v>79897.34</v>
      </c>
      <c r="Z146" s="17">
        <v>7300.41</v>
      </c>
      <c r="AA146" s="17">
        <v>9772.6</v>
      </c>
      <c r="AB146" s="17">
        <v>34318.11</v>
      </c>
      <c r="AC146" s="17">
        <v>1682.21</v>
      </c>
      <c r="AD146" s="17">
        <v>1623.12</v>
      </c>
      <c r="AE146" s="18">
        <v>54422.59</v>
      </c>
      <c r="AF146" s="17">
        <v>1264.3900000000001</v>
      </c>
      <c r="AG146" s="17">
        <v>4567.5200000000004</v>
      </c>
      <c r="AH146" s="17">
        <v>99468.9</v>
      </c>
      <c r="AI146" s="17">
        <v>1638.28</v>
      </c>
      <c r="AJ146" s="17">
        <v>6609.24</v>
      </c>
      <c r="AK146" s="17">
        <v>88154.63</v>
      </c>
      <c r="AL146" s="17">
        <v>6802.21</v>
      </c>
      <c r="AM146" s="17">
        <v>18513.5</v>
      </c>
      <c r="AN146" s="17">
        <v>2992.21</v>
      </c>
      <c r="AO146" s="17">
        <v>3475.06</v>
      </c>
      <c r="AP146" s="17">
        <v>307.26</v>
      </c>
      <c r="AQ146" s="17">
        <v>81093.990000000005</v>
      </c>
      <c r="AR146" s="17">
        <v>2891.35</v>
      </c>
      <c r="AS146" s="17">
        <v>1099.95</v>
      </c>
      <c r="AT146" s="17">
        <v>990.6</v>
      </c>
      <c r="AU146" s="17">
        <v>24390.03</v>
      </c>
      <c r="AV146" s="17">
        <v>2054.8200000000002</v>
      </c>
      <c r="AW146" s="17">
        <v>1329.37</v>
      </c>
      <c r="AX146" s="17">
        <v>11024.33</v>
      </c>
      <c r="AY146" s="19">
        <v>88804.29</v>
      </c>
      <c r="AZ146" s="17">
        <v>619.78</v>
      </c>
    </row>
    <row r="147" spans="1:52" x14ac:dyDescent="0.25">
      <c r="A147" s="21">
        <f t="shared" si="3"/>
        <v>45485</v>
      </c>
      <c r="B147" t="s">
        <v>727</v>
      </c>
      <c r="C147" s="17">
        <v>5615.35</v>
      </c>
      <c r="D147" s="17">
        <v>2894.56</v>
      </c>
      <c r="E147" s="17">
        <v>5043.0200000000004</v>
      </c>
      <c r="F147" s="17">
        <v>4522.75</v>
      </c>
      <c r="G147" s="9">
        <v>73036426.700000003</v>
      </c>
      <c r="H147" s="17">
        <v>7959.28</v>
      </c>
      <c r="I147" s="17">
        <v>3706.36</v>
      </c>
      <c r="J147" s="17">
        <v>4040.06</v>
      </c>
      <c r="K147" s="17">
        <v>128896.98</v>
      </c>
      <c r="L147" s="17">
        <v>863.83</v>
      </c>
      <c r="M147" s="17">
        <v>22673.52</v>
      </c>
      <c r="N147" s="17">
        <v>33131.410000000003</v>
      </c>
      <c r="O147" s="17">
        <v>2971.3</v>
      </c>
      <c r="P147" s="17">
        <v>2865.01</v>
      </c>
      <c r="Q147" s="17">
        <v>1590.4</v>
      </c>
      <c r="R147" s="17">
        <v>2867.58</v>
      </c>
      <c r="S147" s="17">
        <v>10019.23</v>
      </c>
      <c r="T147" s="17">
        <v>7724.32</v>
      </c>
      <c r="U147" s="17">
        <v>7202.54</v>
      </c>
      <c r="V147" s="17">
        <v>1452.28</v>
      </c>
      <c r="W147" s="17">
        <v>18293.38</v>
      </c>
      <c r="X147" s="17">
        <v>72253.66</v>
      </c>
      <c r="Y147" s="17">
        <v>80519.34</v>
      </c>
      <c r="Z147" s="17">
        <v>7327.58</v>
      </c>
      <c r="AA147" s="17">
        <v>9769.0300000000007</v>
      </c>
      <c r="AB147" s="17">
        <v>34580.519999999997</v>
      </c>
      <c r="AC147" s="17">
        <v>1695.78</v>
      </c>
      <c r="AD147" s="17">
        <v>1619.06</v>
      </c>
      <c r="AE147" s="18">
        <v>54953.11</v>
      </c>
      <c r="AF147" s="17">
        <v>1275.82</v>
      </c>
      <c r="AG147" s="17">
        <v>4596.5600000000004</v>
      </c>
      <c r="AH147" s="17">
        <v>99671.28</v>
      </c>
      <c r="AI147" s="17">
        <v>1657.44</v>
      </c>
      <c r="AJ147" s="17">
        <v>6648.23</v>
      </c>
      <c r="AK147" s="17">
        <v>88693.82</v>
      </c>
      <c r="AL147" s="17">
        <v>6811.86</v>
      </c>
      <c r="AM147" s="17">
        <v>18507.05</v>
      </c>
      <c r="AN147" s="17">
        <v>2973.21</v>
      </c>
      <c r="AO147" s="17">
        <v>3497.78</v>
      </c>
      <c r="AP147" s="17">
        <v>308</v>
      </c>
      <c r="AQ147" s="17">
        <v>81686.490000000005</v>
      </c>
      <c r="AR147" s="17">
        <v>2857</v>
      </c>
      <c r="AS147" s="17">
        <v>1107.69</v>
      </c>
      <c r="AT147" s="17">
        <v>1012.72</v>
      </c>
      <c r="AU147" s="17">
        <v>23916.93</v>
      </c>
      <c r="AV147" s="17">
        <v>2073.85</v>
      </c>
      <c r="AW147" s="17">
        <v>1332.04</v>
      </c>
      <c r="AX147" s="17">
        <v>11064.85</v>
      </c>
      <c r="AY147" s="19">
        <v>90723.5</v>
      </c>
      <c r="AZ147" s="17">
        <v>623.03</v>
      </c>
    </row>
    <row r="148" spans="1:52" x14ac:dyDescent="0.25">
      <c r="A148" s="21">
        <f t="shared" si="3"/>
        <v>45488</v>
      </c>
      <c r="B148" t="s">
        <v>728</v>
      </c>
      <c r="C148" s="17">
        <v>5631.22</v>
      </c>
      <c r="D148" s="17" t="e">
        <v>#N/A</v>
      </c>
      <c r="E148" s="17">
        <v>4983.1099999999997</v>
      </c>
      <c r="F148" s="17">
        <v>4490.1899999999996</v>
      </c>
      <c r="G148" s="9">
        <v>64451515.100000001</v>
      </c>
      <c r="H148" s="17">
        <v>8017.62</v>
      </c>
      <c r="I148" s="17">
        <v>3684.49</v>
      </c>
      <c r="J148" s="17">
        <v>4006.98</v>
      </c>
      <c r="K148" s="17">
        <v>129320.96000000001</v>
      </c>
      <c r="L148" s="17">
        <v>859.04</v>
      </c>
      <c r="M148" s="17">
        <v>22751.68</v>
      </c>
      <c r="N148" s="17">
        <v>33201.82</v>
      </c>
      <c r="O148" s="17">
        <v>2974.01</v>
      </c>
      <c r="P148" s="17">
        <v>2883.39</v>
      </c>
      <c r="Q148" s="17">
        <v>1600.23</v>
      </c>
      <c r="R148" s="17">
        <v>2836.03</v>
      </c>
      <c r="S148" s="17">
        <v>9893.4599999999991</v>
      </c>
      <c r="T148" s="17">
        <v>7632.71</v>
      </c>
      <c r="U148" s="17">
        <v>7142.12</v>
      </c>
      <c r="V148" s="17">
        <v>1458.52</v>
      </c>
      <c r="W148" s="17">
        <v>18015.939999999999</v>
      </c>
      <c r="X148" s="17">
        <v>72730.44</v>
      </c>
      <c r="Y148" s="17">
        <v>80664.86</v>
      </c>
      <c r="Z148" s="17">
        <v>7278.86</v>
      </c>
      <c r="AA148" s="17">
        <v>9740.68</v>
      </c>
      <c r="AB148" s="17">
        <v>34375.919999999998</v>
      </c>
      <c r="AC148" s="17">
        <v>1697.13</v>
      </c>
      <c r="AD148" s="17">
        <v>1629.82</v>
      </c>
      <c r="AE148" s="18">
        <v>54311.99</v>
      </c>
      <c r="AF148" s="17">
        <v>1265.83</v>
      </c>
      <c r="AG148" s="17">
        <v>4592.08</v>
      </c>
      <c r="AH148" s="17">
        <v>99966.28</v>
      </c>
      <c r="AI148" s="17">
        <v>1651.1</v>
      </c>
      <c r="AJ148" s="17">
        <v>6689.37</v>
      </c>
      <c r="AK148" s="17">
        <v>88603.27</v>
      </c>
      <c r="AL148" s="17">
        <v>6705.94</v>
      </c>
      <c r="AM148" s="17">
        <v>18546.14</v>
      </c>
      <c r="AN148" s="17">
        <v>2913.48</v>
      </c>
      <c r="AO148" s="17">
        <v>3499.89</v>
      </c>
      <c r="AP148" s="17">
        <v>308.58</v>
      </c>
      <c r="AQ148" s="17">
        <v>82154.070000000007</v>
      </c>
      <c r="AR148" s="17">
        <v>2860.92</v>
      </c>
      <c r="AS148" s="17">
        <v>1096.93</v>
      </c>
      <c r="AT148" s="17">
        <v>1002.14</v>
      </c>
      <c r="AU148" s="17">
        <v>23879.360000000001</v>
      </c>
      <c r="AV148" s="17">
        <v>2078.25</v>
      </c>
      <c r="AW148" s="17">
        <v>1327.43</v>
      </c>
      <c r="AX148" s="17" t="e">
        <v>#N/A</v>
      </c>
      <c r="AY148" s="19">
        <v>90140.82</v>
      </c>
      <c r="AZ148" s="17">
        <v>623.23</v>
      </c>
    </row>
    <row r="149" spans="1:52" x14ac:dyDescent="0.25">
      <c r="A149" s="21">
        <f t="shared" si="3"/>
        <v>45489</v>
      </c>
      <c r="B149" t="s">
        <v>729</v>
      </c>
      <c r="C149" s="17">
        <v>5667.2</v>
      </c>
      <c r="D149" s="17">
        <v>2904.5</v>
      </c>
      <c r="E149" s="17">
        <v>4947.83</v>
      </c>
      <c r="F149" s="17">
        <v>4482.4399999999996</v>
      </c>
      <c r="G149" s="9">
        <v>65156421.399999999</v>
      </c>
      <c r="H149" s="17">
        <v>7999.32</v>
      </c>
      <c r="I149" s="17">
        <v>3683.25</v>
      </c>
      <c r="J149" s="17">
        <v>4006.47</v>
      </c>
      <c r="K149" s="17">
        <v>129110.38</v>
      </c>
      <c r="L149" s="17">
        <v>857.65</v>
      </c>
      <c r="M149" s="17">
        <v>22995.39</v>
      </c>
      <c r="N149" s="17" t="e">
        <v>#N/A</v>
      </c>
      <c r="O149" s="17">
        <v>2976.3</v>
      </c>
      <c r="P149" s="17">
        <v>2884.06</v>
      </c>
      <c r="Q149" s="17">
        <v>1596.11</v>
      </c>
      <c r="R149" s="17">
        <v>2826.75</v>
      </c>
      <c r="S149" s="17">
        <v>9847.11</v>
      </c>
      <c r="T149" s="17">
        <v>7580.03</v>
      </c>
      <c r="U149" s="17">
        <v>7114.13</v>
      </c>
      <c r="V149" s="17">
        <v>1449.4</v>
      </c>
      <c r="W149" s="17">
        <v>17727.98</v>
      </c>
      <c r="X149" s="17">
        <v>72294.66</v>
      </c>
      <c r="Y149" s="17">
        <v>80716.55</v>
      </c>
      <c r="Z149" s="17">
        <v>7224.29</v>
      </c>
      <c r="AA149" s="17">
        <v>9808.33</v>
      </c>
      <c r="AB149" s="17">
        <v>34369.19</v>
      </c>
      <c r="AC149" s="17">
        <v>1710.92</v>
      </c>
      <c r="AD149" s="17">
        <v>1625.96</v>
      </c>
      <c r="AE149" s="18">
        <v>54378.19</v>
      </c>
      <c r="AF149" s="17">
        <v>1259.23</v>
      </c>
      <c r="AG149" s="17">
        <v>4615.32</v>
      </c>
      <c r="AH149" s="17">
        <v>100075.59</v>
      </c>
      <c r="AI149" s="17">
        <v>1648.41</v>
      </c>
      <c r="AJ149" s="17">
        <v>6667.09</v>
      </c>
      <c r="AK149" s="17">
        <v>85965.15</v>
      </c>
      <c r="AL149" s="17">
        <v>6775.93</v>
      </c>
      <c r="AM149" s="17">
        <v>18577.54</v>
      </c>
      <c r="AN149" s="17">
        <v>2944.86</v>
      </c>
      <c r="AO149" s="17">
        <v>3487.91</v>
      </c>
      <c r="AP149" s="17">
        <v>308.58</v>
      </c>
      <c r="AQ149" s="17">
        <v>81124.08</v>
      </c>
      <c r="AR149" s="17">
        <v>2866.09</v>
      </c>
      <c r="AS149" s="17">
        <v>1091.82</v>
      </c>
      <c r="AT149" s="17">
        <v>1006.19</v>
      </c>
      <c r="AU149" s="17">
        <v>23997.25</v>
      </c>
      <c r="AV149" s="17">
        <v>2080.9</v>
      </c>
      <c r="AW149" s="17">
        <v>1321.31</v>
      </c>
      <c r="AX149" s="17">
        <v>11139.34</v>
      </c>
      <c r="AY149" s="19">
        <v>88761.46</v>
      </c>
      <c r="AZ149" s="17">
        <v>625.42999999999995</v>
      </c>
    </row>
    <row r="150" spans="1:52" x14ac:dyDescent="0.25">
      <c r="A150" s="21">
        <f t="shared" si="3"/>
        <v>45490</v>
      </c>
      <c r="B150" t="s">
        <v>730</v>
      </c>
      <c r="C150" s="17">
        <v>5588.27</v>
      </c>
      <c r="D150" s="17">
        <v>2915.21</v>
      </c>
      <c r="E150" s="17">
        <v>4891.46</v>
      </c>
      <c r="F150" s="17">
        <v>4489.24</v>
      </c>
      <c r="G150" s="9">
        <v>64882404.299999997</v>
      </c>
      <c r="H150" s="17">
        <v>8057.89</v>
      </c>
      <c r="I150" s="17">
        <v>3674.86</v>
      </c>
      <c r="J150" s="17">
        <v>4017.59</v>
      </c>
      <c r="K150" s="17">
        <v>129450.32</v>
      </c>
      <c r="L150" s="17">
        <v>866.38</v>
      </c>
      <c r="M150" s="17">
        <v>22851.17</v>
      </c>
      <c r="N150" s="17">
        <v>33212.46</v>
      </c>
      <c r="O150" s="17">
        <v>2962.85</v>
      </c>
      <c r="P150" s="17">
        <v>2893.38</v>
      </c>
      <c r="Q150" s="17">
        <v>1600.25</v>
      </c>
      <c r="R150" s="17">
        <v>2711.01</v>
      </c>
      <c r="S150" s="17">
        <v>9860.11</v>
      </c>
      <c r="T150" s="17">
        <v>7570.81</v>
      </c>
      <c r="U150" s="17">
        <v>7083.11</v>
      </c>
      <c r="V150" s="17">
        <v>1446.92</v>
      </c>
      <c r="W150" s="17">
        <v>17739.41</v>
      </c>
      <c r="X150" s="17">
        <v>72539.740000000005</v>
      </c>
      <c r="Y150" s="17" t="e">
        <v>#N/A</v>
      </c>
      <c r="Z150" s="17">
        <v>7224.22</v>
      </c>
      <c r="AA150" s="17">
        <v>9757.6200000000008</v>
      </c>
      <c r="AB150" s="17">
        <v>34379.64</v>
      </c>
      <c r="AC150" s="17">
        <v>1711.65</v>
      </c>
      <c r="AD150" s="17">
        <v>1633.54</v>
      </c>
      <c r="AE150" s="18">
        <v>53744.78</v>
      </c>
      <c r="AF150" s="17">
        <v>1226.33</v>
      </c>
      <c r="AG150" s="17">
        <v>4655.8599999999997</v>
      </c>
      <c r="AH150" s="17">
        <v>100032.32000000001</v>
      </c>
      <c r="AI150" s="17">
        <v>1657.19</v>
      </c>
      <c r="AJ150" s="17">
        <v>6687.71</v>
      </c>
      <c r="AK150" s="17">
        <v>85141.13</v>
      </c>
      <c r="AL150" s="17">
        <v>6765.92</v>
      </c>
      <c r="AM150" s="17">
        <v>18621.52</v>
      </c>
      <c r="AN150" s="17">
        <v>2947.24</v>
      </c>
      <c r="AO150" s="17">
        <v>3489.57</v>
      </c>
      <c r="AP150" s="17">
        <v>308.58</v>
      </c>
      <c r="AQ150" s="17">
        <v>80452.58</v>
      </c>
      <c r="AR150" s="17">
        <v>2843.29</v>
      </c>
      <c r="AS150" s="17">
        <v>1093.8900000000001</v>
      </c>
      <c r="AT150" s="17">
        <v>1003.76</v>
      </c>
      <c r="AU150" s="17">
        <v>23769.82</v>
      </c>
      <c r="AV150" s="17">
        <v>2097.2800000000002</v>
      </c>
      <c r="AW150" s="17">
        <v>1319.79</v>
      </c>
      <c r="AX150" s="17">
        <v>11134.08</v>
      </c>
      <c r="AY150" s="19">
        <v>86848.59</v>
      </c>
      <c r="AZ150" s="17">
        <v>620.21</v>
      </c>
    </row>
    <row r="151" spans="1:52" x14ac:dyDescent="0.25">
      <c r="A151" s="21">
        <f t="shared" si="3"/>
        <v>45491</v>
      </c>
      <c r="B151" t="s">
        <v>731</v>
      </c>
      <c r="C151" s="17">
        <v>5544.59</v>
      </c>
      <c r="D151" s="17">
        <v>2868.63</v>
      </c>
      <c r="E151" s="17">
        <v>4870.12</v>
      </c>
      <c r="F151" s="17">
        <v>4501.3900000000003</v>
      </c>
      <c r="G151" s="9">
        <v>65116051.899999999</v>
      </c>
      <c r="H151" s="17">
        <v>8036.52</v>
      </c>
      <c r="I151" s="17">
        <v>3677.82</v>
      </c>
      <c r="J151" s="17">
        <v>4003.52</v>
      </c>
      <c r="K151" s="17">
        <v>127652.06</v>
      </c>
      <c r="L151" s="17">
        <v>869.4</v>
      </c>
      <c r="M151" s="17">
        <v>22726.76</v>
      </c>
      <c r="N151" s="17">
        <v>33235.79</v>
      </c>
      <c r="O151" s="17">
        <v>2977.13</v>
      </c>
      <c r="P151" s="17">
        <v>2901.56</v>
      </c>
      <c r="Q151" s="17">
        <v>1612.52</v>
      </c>
      <c r="R151" s="17">
        <v>2655.43</v>
      </c>
      <c r="S151" s="17">
        <v>9857.08</v>
      </c>
      <c r="T151" s="17">
        <v>7586.55</v>
      </c>
      <c r="U151" s="17">
        <v>7051.4</v>
      </c>
      <c r="V151" s="17">
        <v>1457.74</v>
      </c>
      <c r="W151" s="17">
        <v>17778.41</v>
      </c>
      <c r="X151" s="17">
        <v>72899.649999999994</v>
      </c>
      <c r="Y151" s="17">
        <v>81343.460000000006</v>
      </c>
      <c r="Z151" s="17">
        <v>7321.07</v>
      </c>
      <c r="AA151" s="17">
        <v>9771.3700000000008</v>
      </c>
      <c r="AB151" s="17">
        <v>34529.129999999997</v>
      </c>
      <c r="AC151" s="17">
        <v>1694.11</v>
      </c>
      <c r="AD151" s="17">
        <v>1633.81</v>
      </c>
      <c r="AE151" s="18">
        <v>53043</v>
      </c>
      <c r="AF151" s="17">
        <v>1221.3399999999999</v>
      </c>
      <c r="AG151" s="17">
        <v>4670.04</v>
      </c>
      <c r="AH151" s="17">
        <v>100503.21</v>
      </c>
      <c r="AI151" s="17">
        <v>1671.11</v>
      </c>
      <c r="AJ151" s="17">
        <v>6705.01</v>
      </c>
      <c r="AK151" s="17">
        <v>86413.16</v>
      </c>
      <c r="AL151" s="17">
        <v>6789.09</v>
      </c>
      <c r="AM151" s="17">
        <v>18749.46</v>
      </c>
      <c r="AN151" s="17">
        <v>2980.62</v>
      </c>
      <c r="AO151" s="17">
        <v>3471.16</v>
      </c>
      <c r="AP151" s="17">
        <v>308.58</v>
      </c>
      <c r="AQ151" s="17">
        <v>80334.259999999995</v>
      </c>
      <c r="AR151" s="17">
        <v>2824.35</v>
      </c>
      <c r="AS151" s="17">
        <v>1098.1300000000001</v>
      </c>
      <c r="AT151" s="17">
        <v>1003.61</v>
      </c>
      <c r="AU151" s="17">
        <v>23398.47</v>
      </c>
      <c r="AV151" s="17">
        <v>2086.12</v>
      </c>
      <c r="AW151" s="17">
        <v>1324.76</v>
      </c>
      <c r="AX151" s="17">
        <v>11139.46</v>
      </c>
      <c r="AY151" s="19">
        <v>84382.19</v>
      </c>
      <c r="AZ151" s="17">
        <v>615.57000000000005</v>
      </c>
    </row>
    <row r="152" spans="1:52" x14ac:dyDescent="0.25">
      <c r="A152" s="21">
        <f t="shared" si="3"/>
        <v>45492</v>
      </c>
      <c r="B152" t="s">
        <v>732</v>
      </c>
      <c r="C152" s="17">
        <v>5505</v>
      </c>
      <c r="D152" s="17">
        <v>2860.83</v>
      </c>
      <c r="E152" s="17">
        <v>4827.24</v>
      </c>
      <c r="F152" s="17">
        <v>4473.4399999999996</v>
      </c>
      <c r="G152" s="9">
        <v>66840369.100000001</v>
      </c>
      <c r="H152" s="17">
        <v>7971.59</v>
      </c>
      <c r="I152" s="17">
        <v>3671.84</v>
      </c>
      <c r="J152" s="17">
        <v>3983.85</v>
      </c>
      <c r="K152" s="17">
        <v>127616.46</v>
      </c>
      <c r="L152" s="17">
        <v>864.55</v>
      </c>
      <c r="M152" s="17">
        <v>22690.39</v>
      </c>
      <c r="N152" s="17">
        <v>33150.86</v>
      </c>
      <c r="O152" s="17">
        <v>2982.31</v>
      </c>
      <c r="P152" s="17">
        <v>2904.95</v>
      </c>
      <c r="Q152" s="17">
        <v>1613.18</v>
      </c>
      <c r="R152" s="17">
        <v>2700.86</v>
      </c>
      <c r="S152" s="17">
        <v>9780.2800000000007</v>
      </c>
      <c r="T152" s="17">
        <v>7534.52</v>
      </c>
      <c r="U152" s="17">
        <v>6981.16</v>
      </c>
      <c r="V152" s="17">
        <v>1464.39</v>
      </c>
      <c r="W152" s="17">
        <v>17417.68</v>
      </c>
      <c r="X152" s="17">
        <v>72940.89</v>
      </c>
      <c r="Y152" s="17">
        <v>80604.649999999994</v>
      </c>
      <c r="Z152" s="17">
        <v>7294.5</v>
      </c>
      <c r="AA152" s="17">
        <v>9703.52</v>
      </c>
      <c r="AB152" s="17">
        <v>34215.839999999997</v>
      </c>
      <c r="AC152" s="17">
        <v>1701.69</v>
      </c>
      <c r="AD152" s="17">
        <v>1636.55</v>
      </c>
      <c r="AE152" s="18">
        <v>53678.52</v>
      </c>
      <c r="AF152" s="17">
        <v>1209.1400000000001</v>
      </c>
      <c r="AG152" s="17">
        <v>4668.58</v>
      </c>
      <c r="AH152" s="17">
        <v>100539.4</v>
      </c>
      <c r="AI152" s="17">
        <v>1667.47</v>
      </c>
      <c r="AJ152" s="17">
        <v>6791.69</v>
      </c>
      <c r="AK152" s="17">
        <v>85852.44</v>
      </c>
      <c r="AL152" s="17">
        <v>6802.6</v>
      </c>
      <c r="AM152" s="17">
        <v>18662.07</v>
      </c>
      <c r="AN152" s="17">
        <v>3008.24</v>
      </c>
      <c r="AO152" s="17">
        <v>3447.56</v>
      </c>
      <c r="AP152" s="17">
        <v>308.58</v>
      </c>
      <c r="AQ152" s="17">
        <v>79922.67</v>
      </c>
      <c r="AR152" s="17">
        <v>2795.46</v>
      </c>
      <c r="AS152" s="17">
        <v>1091.78</v>
      </c>
      <c r="AT152" s="17">
        <v>993.04</v>
      </c>
      <c r="AU152" s="17">
        <v>22869.26</v>
      </c>
      <c r="AV152" s="17">
        <v>2085.38</v>
      </c>
      <c r="AW152" s="17">
        <v>1317.14</v>
      </c>
      <c r="AX152" s="17">
        <v>11156.2</v>
      </c>
      <c r="AY152" s="19">
        <v>85263.17</v>
      </c>
      <c r="AZ152" s="17">
        <v>610.58000000000004</v>
      </c>
    </row>
    <row r="153" spans="1:52" x14ac:dyDescent="0.25">
      <c r="A153" s="21">
        <f t="shared" si="3"/>
        <v>45495</v>
      </c>
      <c r="B153" t="s">
        <v>733</v>
      </c>
      <c r="C153" s="17">
        <v>5564.41</v>
      </c>
      <c r="D153" s="17">
        <v>2827.53</v>
      </c>
      <c r="E153" s="17">
        <v>4897.4399999999996</v>
      </c>
      <c r="F153" s="17">
        <v>4495.46</v>
      </c>
      <c r="G153" s="9">
        <v>67634210.200000003</v>
      </c>
      <c r="H153" s="17">
        <v>7931.74</v>
      </c>
      <c r="I153" s="17">
        <v>3686.55</v>
      </c>
      <c r="J153" s="17">
        <v>4033.01</v>
      </c>
      <c r="K153" s="17">
        <v>127859.63</v>
      </c>
      <c r="L153" s="17">
        <v>860.82</v>
      </c>
      <c r="M153" s="17">
        <v>22872.65</v>
      </c>
      <c r="N153" s="17">
        <v>33346.65</v>
      </c>
      <c r="O153" s="17">
        <v>2964.22</v>
      </c>
      <c r="P153" s="17">
        <v>2900.5</v>
      </c>
      <c r="Q153" s="17">
        <v>1615.26</v>
      </c>
      <c r="R153" s="17">
        <v>2714.16</v>
      </c>
      <c r="S153" s="17">
        <v>9905.67</v>
      </c>
      <c r="T153" s="17">
        <v>7622.02</v>
      </c>
      <c r="U153" s="17">
        <v>7071.5</v>
      </c>
      <c r="V153" s="17">
        <v>1482.43</v>
      </c>
      <c r="W153" s="17">
        <v>17635.88</v>
      </c>
      <c r="X153" s="17">
        <v>73375.88</v>
      </c>
      <c r="Y153" s="17">
        <v>80502.080000000002</v>
      </c>
      <c r="Z153" s="17">
        <v>7321.98</v>
      </c>
      <c r="AA153" s="17">
        <v>9367.42</v>
      </c>
      <c r="AB153" s="17">
        <v>34615.050000000003</v>
      </c>
      <c r="AC153" s="17">
        <v>1691.61</v>
      </c>
      <c r="AD153" s="17">
        <v>1622.07</v>
      </c>
      <c r="AE153" s="18">
        <v>54006.92</v>
      </c>
      <c r="AF153" s="17">
        <v>1223.57</v>
      </c>
      <c r="AG153" s="17">
        <v>4662.6400000000003</v>
      </c>
      <c r="AH153" s="17">
        <v>100568.6</v>
      </c>
      <c r="AI153" s="17">
        <v>1677.09</v>
      </c>
      <c r="AJ153" s="17">
        <v>6712.05</v>
      </c>
      <c r="AK153" s="17">
        <v>86091.21</v>
      </c>
      <c r="AL153" s="17">
        <v>6860.26</v>
      </c>
      <c r="AM153" s="17">
        <v>18588.28</v>
      </c>
      <c r="AN153" s="17">
        <v>3024.54</v>
      </c>
      <c r="AO153" s="17">
        <v>3437.26</v>
      </c>
      <c r="AP153" s="17">
        <v>307.51</v>
      </c>
      <c r="AQ153" s="17">
        <v>80492.09</v>
      </c>
      <c r="AR153" s="17">
        <v>2763.51</v>
      </c>
      <c r="AS153" s="17">
        <v>1098.3499999999999</v>
      </c>
      <c r="AT153" s="17">
        <v>1002.24</v>
      </c>
      <c r="AU153" s="17">
        <v>22256.99</v>
      </c>
      <c r="AV153" s="17">
        <v>2078.71</v>
      </c>
      <c r="AW153" s="17" t="e">
        <v>#N/A</v>
      </c>
      <c r="AX153" s="17">
        <v>11172.75</v>
      </c>
      <c r="AY153" s="19">
        <v>84814.26</v>
      </c>
      <c r="AZ153" s="17">
        <v>614.79999999999995</v>
      </c>
    </row>
    <row r="154" spans="1:52" x14ac:dyDescent="0.25">
      <c r="A154" s="21">
        <f t="shared" si="3"/>
        <v>45496</v>
      </c>
      <c r="B154" t="s">
        <v>734</v>
      </c>
      <c r="C154" s="17">
        <v>5555.74</v>
      </c>
      <c r="D154" s="17">
        <v>2833.39</v>
      </c>
      <c r="E154" s="17">
        <v>4916.8</v>
      </c>
      <c r="F154" s="17">
        <v>4479.49</v>
      </c>
      <c r="G154" s="9">
        <v>69375381.799999997</v>
      </c>
      <c r="H154" s="17">
        <v>7971.13</v>
      </c>
      <c r="I154" s="17">
        <v>3685.9</v>
      </c>
      <c r="J154" s="17">
        <v>4038.15</v>
      </c>
      <c r="K154" s="17">
        <v>126589.84</v>
      </c>
      <c r="L154" s="17">
        <v>860.91</v>
      </c>
      <c r="M154" s="17">
        <v>22813.75</v>
      </c>
      <c r="N154" s="17">
        <v>33113.230000000003</v>
      </c>
      <c r="O154" s="17">
        <v>2915.37</v>
      </c>
      <c r="P154" s="17">
        <v>2902.57</v>
      </c>
      <c r="Q154" s="17">
        <v>1618.36</v>
      </c>
      <c r="R154" s="17">
        <v>2742.07</v>
      </c>
      <c r="S154" s="17">
        <v>9818.94</v>
      </c>
      <c r="T154" s="17">
        <v>7598.63</v>
      </c>
      <c r="U154" s="17">
        <v>7129.36</v>
      </c>
      <c r="V154" s="17">
        <v>1480.23</v>
      </c>
      <c r="W154" s="17">
        <v>17469.36</v>
      </c>
      <c r="X154" s="17">
        <v>73622.19</v>
      </c>
      <c r="Y154" s="17">
        <v>80429.039999999994</v>
      </c>
      <c r="Z154" s="17">
        <v>7313.86</v>
      </c>
      <c r="AA154" s="17">
        <v>9406.6</v>
      </c>
      <c r="AB154" s="17">
        <v>34637.75</v>
      </c>
      <c r="AC154" s="17">
        <v>1688.79</v>
      </c>
      <c r="AD154" s="17">
        <v>1629.68</v>
      </c>
      <c r="AE154" s="18">
        <v>53724.7</v>
      </c>
      <c r="AF154" s="17">
        <v>1222.27</v>
      </c>
      <c r="AG154" s="17">
        <v>4706.45</v>
      </c>
      <c r="AH154" s="17">
        <v>100486.12</v>
      </c>
      <c r="AI154" s="17">
        <v>1671.78</v>
      </c>
      <c r="AJ154" s="17">
        <v>6753.12</v>
      </c>
      <c r="AK154" s="17">
        <v>84908.55</v>
      </c>
      <c r="AL154" s="17">
        <v>6854.32</v>
      </c>
      <c r="AM154" s="17">
        <v>18696.86</v>
      </c>
      <c r="AN154" s="17">
        <v>3028.01</v>
      </c>
      <c r="AO154" s="17">
        <v>3461.16</v>
      </c>
      <c r="AP154" s="17">
        <v>307.51</v>
      </c>
      <c r="AQ154" s="17">
        <v>80706.44</v>
      </c>
      <c r="AR154" s="17">
        <v>2774.29</v>
      </c>
      <c r="AS154" s="17">
        <v>1105.1600000000001</v>
      </c>
      <c r="AT154" s="17">
        <v>1001.86</v>
      </c>
      <c r="AU154" s="17">
        <v>22871.84</v>
      </c>
      <c r="AV154" s="17">
        <v>2066.2199999999998</v>
      </c>
      <c r="AW154" s="17">
        <v>1301.54</v>
      </c>
      <c r="AX154" s="17">
        <v>11089.53</v>
      </c>
      <c r="AY154" s="19">
        <v>86350.53</v>
      </c>
      <c r="AZ154" s="17">
        <v>614.45000000000005</v>
      </c>
    </row>
    <row r="155" spans="1:52" x14ac:dyDescent="0.25">
      <c r="A155" s="21">
        <f t="shared" si="3"/>
        <v>45497</v>
      </c>
      <c r="B155" t="s">
        <v>735</v>
      </c>
      <c r="C155" s="17">
        <v>5427.13</v>
      </c>
      <c r="D155" s="17">
        <v>2793.12</v>
      </c>
      <c r="E155" s="17">
        <v>4861.87</v>
      </c>
      <c r="F155" s="17">
        <v>4468.59</v>
      </c>
      <c r="G155" s="9">
        <v>67252823.099999994</v>
      </c>
      <c r="H155" s="17">
        <v>7963.72</v>
      </c>
      <c r="I155" s="17">
        <v>3678.79</v>
      </c>
      <c r="J155" s="17">
        <v>4047.18</v>
      </c>
      <c r="K155" s="17">
        <v>126422.73</v>
      </c>
      <c r="L155" s="17">
        <v>862.82</v>
      </c>
      <c r="M155" s="17">
        <v>22639.57</v>
      </c>
      <c r="N155" s="17">
        <v>32931.47</v>
      </c>
      <c r="O155" s="17">
        <v>2901.95</v>
      </c>
      <c r="P155" s="17">
        <v>2909.88</v>
      </c>
      <c r="Q155" s="17">
        <v>1614.41</v>
      </c>
      <c r="R155" s="17">
        <v>2712.33</v>
      </c>
      <c r="S155" s="17">
        <v>9714.77</v>
      </c>
      <c r="T155" s="17">
        <v>7513.73</v>
      </c>
      <c r="U155" s="17">
        <v>7063.96</v>
      </c>
      <c r="V155" s="17">
        <v>1466.73</v>
      </c>
      <c r="W155" s="17">
        <v>17311.05</v>
      </c>
      <c r="X155" s="17">
        <v>73164.070000000007</v>
      </c>
      <c r="Y155" s="17">
        <v>80148.88</v>
      </c>
      <c r="Z155" s="17">
        <v>7262.76</v>
      </c>
      <c r="AA155" s="17">
        <v>9349.85</v>
      </c>
      <c r="AB155" s="17">
        <v>34471.65</v>
      </c>
      <c r="AC155" s="17">
        <v>1689.07</v>
      </c>
      <c r="AD155" s="17">
        <v>1621.14</v>
      </c>
      <c r="AE155" s="18">
        <v>53168.41</v>
      </c>
      <c r="AF155" s="17">
        <v>1205.6600000000001</v>
      </c>
      <c r="AG155" s="17">
        <v>4746.38</v>
      </c>
      <c r="AH155" s="17">
        <v>100365.17</v>
      </c>
      <c r="AI155" s="17">
        <v>1664.6</v>
      </c>
      <c r="AJ155" s="17" t="e">
        <v>#N/A</v>
      </c>
      <c r="AK155" s="17">
        <v>84486.13</v>
      </c>
      <c r="AL155" s="17">
        <v>6898.82</v>
      </c>
      <c r="AM155" s="17">
        <v>18715.59</v>
      </c>
      <c r="AN155" s="17">
        <v>3051.76</v>
      </c>
      <c r="AO155" s="17">
        <v>3460.82</v>
      </c>
      <c r="AP155" s="17">
        <v>308.66000000000003</v>
      </c>
      <c r="AQ155" s="17">
        <v>80595.14</v>
      </c>
      <c r="AR155" s="17">
        <v>2758.71</v>
      </c>
      <c r="AS155" s="17">
        <v>1106.73</v>
      </c>
      <c r="AT155" s="17">
        <v>993.67</v>
      </c>
      <c r="AU155" s="17" t="e">
        <v>#N/A</v>
      </c>
      <c r="AV155" s="17">
        <v>2060.5</v>
      </c>
      <c r="AW155" s="17">
        <v>1298.08</v>
      </c>
      <c r="AX155" s="17">
        <v>10991.57</v>
      </c>
      <c r="AY155" s="19" t="e">
        <v>#N/A</v>
      </c>
      <c r="AZ155" s="17">
        <v>604.74</v>
      </c>
    </row>
    <row r="156" spans="1:52" x14ac:dyDescent="0.25">
      <c r="A156" s="21">
        <f t="shared" si="3"/>
        <v>45498</v>
      </c>
      <c r="B156" t="s">
        <v>736</v>
      </c>
      <c r="C156" s="17">
        <v>5399.22</v>
      </c>
      <c r="D156" s="17">
        <v>2709.86</v>
      </c>
      <c r="E156" s="17">
        <v>4811.28</v>
      </c>
      <c r="F156" s="17">
        <v>4481.63</v>
      </c>
      <c r="G156" s="9">
        <v>65529295.5</v>
      </c>
      <c r="H156" s="17">
        <v>7861.21</v>
      </c>
      <c r="I156" s="17">
        <v>3669.25</v>
      </c>
      <c r="J156" s="17">
        <v>4070.21</v>
      </c>
      <c r="K156" s="17">
        <v>125954.09</v>
      </c>
      <c r="L156" s="17">
        <v>864.25</v>
      </c>
      <c r="M156" s="17">
        <v>22608.03</v>
      </c>
      <c r="N156" s="17">
        <v>32590.32</v>
      </c>
      <c r="O156" s="17">
        <v>2886.74</v>
      </c>
      <c r="P156" s="17">
        <v>2930.62</v>
      </c>
      <c r="Q156" s="17">
        <v>1600.36</v>
      </c>
      <c r="R156" s="17">
        <v>2669.99</v>
      </c>
      <c r="S156" s="17">
        <v>9747.23</v>
      </c>
      <c r="T156" s="17">
        <v>7427.02</v>
      </c>
      <c r="U156" s="17">
        <v>7029.87</v>
      </c>
      <c r="V156" s="17">
        <v>1463.82</v>
      </c>
      <c r="W156" s="17">
        <v>17004.97</v>
      </c>
      <c r="X156" s="17">
        <v>72745.289999999994</v>
      </c>
      <c r="Y156" s="17">
        <v>80039.8</v>
      </c>
      <c r="Z156" s="17">
        <v>7240.28</v>
      </c>
      <c r="AA156" s="17">
        <v>9392.48</v>
      </c>
      <c r="AB156" s="17">
        <v>33771.07</v>
      </c>
      <c r="AC156" s="17">
        <v>1683.44</v>
      </c>
      <c r="AD156" s="17">
        <v>1615.18</v>
      </c>
      <c r="AE156" s="18">
        <v>52931.87</v>
      </c>
      <c r="AF156" s="17">
        <v>1187.76</v>
      </c>
      <c r="AG156" s="17">
        <v>4695.3500000000004</v>
      </c>
      <c r="AH156" s="17">
        <v>100156.96</v>
      </c>
      <c r="AI156" s="17">
        <v>1649.23</v>
      </c>
      <c r="AJ156" s="17">
        <v>6670.27</v>
      </c>
      <c r="AK156" s="17">
        <v>83934.36</v>
      </c>
      <c r="AL156" s="17">
        <v>6719.05</v>
      </c>
      <c r="AM156" s="17">
        <v>18448.45</v>
      </c>
      <c r="AN156" s="17">
        <v>3041.37</v>
      </c>
      <c r="AO156" s="17">
        <v>3430.45</v>
      </c>
      <c r="AP156" s="17">
        <v>308.66000000000003</v>
      </c>
      <c r="AQ156" s="17">
        <v>80678.2</v>
      </c>
      <c r="AR156" s="17">
        <v>2710.65</v>
      </c>
      <c r="AS156" s="17">
        <v>1099.95</v>
      </c>
      <c r="AT156" s="17">
        <v>987.81</v>
      </c>
      <c r="AU156" s="17" t="e">
        <v>#N/A</v>
      </c>
      <c r="AV156" s="17">
        <v>2024.66</v>
      </c>
      <c r="AW156" s="17">
        <v>1291.58</v>
      </c>
      <c r="AX156" s="17">
        <v>10871.48</v>
      </c>
      <c r="AY156" s="19">
        <v>87847.25</v>
      </c>
      <c r="AZ156" s="17">
        <v>600.57000000000005</v>
      </c>
    </row>
    <row r="157" spans="1:52" x14ac:dyDescent="0.25">
      <c r="A157" s="21">
        <f t="shared" si="3"/>
        <v>45499</v>
      </c>
      <c r="B157" t="s">
        <v>737</v>
      </c>
      <c r="C157" s="17">
        <v>5459.1</v>
      </c>
      <c r="D157" s="17">
        <v>2699.54</v>
      </c>
      <c r="E157" s="17">
        <v>4862.5</v>
      </c>
      <c r="F157" s="17">
        <v>4542.34</v>
      </c>
      <c r="G157" s="9">
        <v>65677963.100000001</v>
      </c>
      <c r="H157" s="17">
        <v>7921.27</v>
      </c>
      <c r="I157" s="17">
        <v>3671.77</v>
      </c>
      <c r="J157" s="17">
        <v>4088.2</v>
      </c>
      <c r="K157" s="17">
        <v>127492.49</v>
      </c>
      <c r="L157" s="17">
        <v>862.25</v>
      </c>
      <c r="M157" s="17">
        <v>22814.81</v>
      </c>
      <c r="N157" s="17">
        <v>32556.240000000002</v>
      </c>
      <c r="O157" s="17">
        <v>2890.9</v>
      </c>
      <c r="P157" s="17">
        <v>2956.29</v>
      </c>
      <c r="Q157" s="17">
        <v>1597.84</v>
      </c>
      <c r="R157" s="17">
        <v>2656.64</v>
      </c>
      <c r="S157" s="17">
        <v>9848.11</v>
      </c>
      <c r="T157" s="17">
        <v>7517.68</v>
      </c>
      <c r="U157" s="17">
        <v>7075.52</v>
      </c>
      <c r="V157" s="17">
        <v>1469.25</v>
      </c>
      <c r="W157" s="17">
        <v>17021.310000000001</v>
      </c>
      <c r="X157" s="17">
        <v>73174.100000000006</v>
      </c>
      <c r="Y157" s="17">
        <v>81332.72</v>
      </c>
      <c r="Z157" s="17">
        <v>7288.17</v>
      </c>
      <c r="AA157" s="17">
        <v>9541.4599999999991</v>
      </c>
      <c r="AB157" s="17">
        <v>33812.44</v>
      </c>
      <c r="AC157" s="17">
        <v>1674.1</v>
      </c>
      <c r="AD157" s="17">
        <v>1612.88</v>
      </c>
      <c r="AE157" s="18">
        <v>52819.58</v>
      </c>
      <c r="AF157" s="17">
        <v>1198.53</v>
      </c>
      <c r="AG157" s="17">
        <v>4677.62</v>
      </c>
      <c r="AH157" s="17">
        <v>98201.49</v>
      </c>
      <c r="AI157" s="17">
        <v>1655.11</v>
      </c>
      <c r="AJ157" s="17">
        <v>6726.01</v>
      </c>
      <c r="AK157" s="17">
        <v>83712.63</v>
      </c>
      <c r="AL157" s="17">
        <v>6669.78</v>
      </c>
      <c r="AM157" s="17">
        <v>18562.57</v>
      </c>
      <c r="AN157" s="17">
        <v>2993.23</v>
      </c>
      <c r="AO157" s="17">
        <v>3426.47</v>
      </c>
      <c r="AP157" s="17">
        <v>308.66000000000003</v>
      </c>
      <c r="AQ157" s="17">
        <v>81120.509999999995</v>
      </c>
      <c r="AR157" s="17">
        <v>2731.9</v>
      </c>
      <c r="AS157" s="17">
        <v>1101.48</v>
      </c>
      <c r="AT157" s="17">
        <v>993.87</v>
      </c>
      <c r="AU157" s="17">
        <v>22119.21</v>
      </c>
      <c r="AV157" s="17">
        <v>2053.4499999999998</v>
      </c>
      <c r="AW157" s="17">
        <v>1307.21</v>
      </c>
      <c r="AX157" s="17">
        <v>10891.42</v>
      </c>
      <c r="AY157" s="19">
        <v>89244.33</v>
      </c>
      <c r="AZ157" s="17">
        <v>605.63</v>
      </c>
    </row>
    <row r="158" spans="1:52" x14ac:dyDescent="0.25">
      <c r="A158" s="21">
        <f t="shared" si="3"/>
        <v>45502</v>
      </c>
      <c r="B158" t="s">
        <v>738</v>
      </c>
      <c r="C158" s="17">
        <v>5463.54</v>
      </c>
      <c r="D158" s="17">
        <v>2759.67</v>
      </c>
      <c r="E158" s="17">
        <v>4815.3900000000003</v>
      </c>
      <c r="F158" s="17">
        <v>4542.18</v>
      </c>
      <c r="G158" s="9">
        <v>63071006.100000001</v>
      </c>
      <c r="H158" s="17">
        <v>7989.64</v>
      </c>
      <c r="I158" s="17">
        <v>3663.04</v>
      </c>
      <c r="J158" s="17">
        <v>4116.8599999999997</v>
      </c>
      <c r="K158" s="17">
        <v>126953.86</v>
      </c>
      <c r="L158" s="17">
        <v>864.29</v>
      </c>
      <c r="M158" s="17">
        <v>22779.57</v>
      </c>
      <c r="N158" s="17">
        <v>32797</v>
      </c>
      <c r="O158" s="17">
        <v>2891.85</v>
      </c>
      <c r="P158" s="17">
        <v>2985.95</v>
      </c>
      <c r="Q158" s="17">
        <v>1598.5</v>
      </c>
      <c r="R158" s="17">
        <v>2680.35</v>
      </c>
      <c r="S158" s="17">
        <v>9892.65</v>
      </c>
      <c r="T158" s="17">
        <v>7443.84</v>
      </c>
      <c r="U158" s="17">
        <v>7038.31</v>
      </c>
      <c r="V158" s="17">
        <v>1468.01</v>
      </c>
      <c r="W158" s="17">
        <v>17238.34</v>
      </c>
      <c r="X158" s="17">
        <v>73745.69</v>
      </c>
      <c r="Y158" s="17">
        <v>81355.839999999997</v>
      </c>
      <c r="Z158" s="17">
        <v>7288.9</v>
      </c>
      <c r="AA158" s="17">
        <v>9536.0300000000007</v>
      </c>
      <c r="AB158" s="17">
        <v>33640.83</v>
      </c>
      <c r="AC158" s="17">
        <v>1680.04</v>
      </c>
      <c r="AD158" s="17">
        <v>1624.56</v>
      </c>
      <c r="AE158" s="18">
        <v>52515.78</v>
      </c>
      <c r="AF158" s="17">
        <v>1190.53</v>
      </c>
      <c r="AG158" s="17">
        <v>4664.04</v>
      </c>
      <c r="AH158" s="17">
        <v>98132.15</v>
      </c>
      <c r="AI158" s="17">
        <v>1667.6</v>
      </c>
      <c r="AJ158" s="17">
        <v>6649.23</v>
      </c>
      <c r="AK158" s="17">
        <v>84110.95</v>
      </c>
      <c r="AL158" s="17">
        <v>6699.06</v>
      </c>
      <c r="AM158" s="17">
        <v>18513.490000000002</v>
      </c>
      <c r="AN158" s="17">
        <v>2906.95</v>
      </c>
      <c r="AO158" s="17">
        <v>3444.18</v>
      </c>
      <c r="AP158" s="17">
        <v>308.66000000000003</v>
      </c>
      <c r="AQ158" s="17">
        <v>81011.649999999994</v>
      </c>
      <c r="AR158" s="17">
        <v>2765.53</v>
      </c>
      <c r="AS158" s="17">
        <v>1096.53</v>
      </c>
      <c r="AT158" s="17">
        <v>993.99</v>
      </c>
      <c r="AU158" s="17">
        <v>22164.49</v>
      </c>
      <c r="AV158" s="17">
        <v>2054.0500000000002</v>
      </c>
      <c r="AW158" s="17" t="e">
        <v>#N/A</v>
      </c>
      <c r="AX158" s="17">
        <v>10733.75</v>
      </c>
      <c r="AY158" s="19">
        <v>88478.83</v>
      </c>
      <c r="AZ158" s="17">
        <v>606.32000000000005</v>
      </c>
    </row>
    <row r="159" spans="1:52" x14ac:dyDescent="0.25">
      <c r="A159" s="21">
        <f t="shared" si="3"/>
        <v>45503</v>
      </c>
      <c r="B159" t="s">
        <v>739</v>
      </c>
      <c r="C159" s="17">
        <v>5436.44</v>
      </c>
      <c r="D159" s="17">
        <v>2754.45</v>
      </c>
      <c r="E159" s="17">
        <v>4841</v>
      </c>
      <c r="F159" s="17">
        <v>4539.49</v>
      </c>
      <c r="G159" s="9">
        <v>60150843.600000001</v>
      </c>
      <c r="H159" s="17">
        <v>7953.18</v>
      </c>
      <c r="I159" s="17">
        <v>3702.96</v>
      </c>
      <c r="J159" s="17">
        <v>4142.3999999999996</v>
      </c>
      <c r="K159" s="17">
        <v>126139.21</v>
      </c>
      <c r="L159" s="17">
        <v>863.24</v>
      </c>
      <c r="M159" s="17">
        <v>22824.67</v>
      </c>
      <c r="N159" s="17">
        <v>32704.720000000001</v>
      </c>
      <c r="O159" s="17">
        <v>2879.3</v>
      </c>
      <c r="P159" s="17">
        <v>2987.41</v>
      </c>
      <c r="Q159" s="17">
        <v>1598.74</v>
      </c>
      <c r="R159" s="17">
        <v>2714.89</v>
      </c>
      <c r="S159" s="17">
        <v>9966.7900000000009</v>
      </c>
      <c r="T159" s="17">
        <v>7474.94</v>
      </c>
      <c r="U159" s="17">
        <v>7073.07</v>
      </c>
      <c r="V159" s="17">
        <v>1460.46</v>
      </c>
      <c r="W159" s="17">
        <v>17002.91</v>
      </c>
      <c r="X159" s="17">
        <v>73475.88</v>
      </c>
      <c r="Y159" s="17">
        <v>81455.399999999994</v>
      </c>
      <c r="Z159" s="17">
        <v>7241.86</v>
      </c>
      <c r="AA159" s="17">
        <v>9619.9699999999993</v>
      </c>
      <c r="AB159" s="17">
        <v>33908.019999999997</v>
      </c>
      <c r="AC159" s="17">
        <v>1681.07</v>
      </c>
      <c r="AD159" s="17">
        <v>1611.94</v>
      </c>
      <c r="AE159" s="18">
        <v>52325.42</v>
      </c>
      <c r="AF159" s="17">
        <v>1195.92</v>
      </c>
      <c r="AG159" s="17">
        <v>4693.37</v>
      </c>
      <c r="AH159" s="17">
        <v>97830.65</v>
      </c>
      <c r="AI159" s="17">
        <v>1665.19</v>
      </c>
      <c r="AJ159" s="17">
        <v>6606.36</v>
      </c>
      <c r="AK159" s="17">
        <v>83212.14</v>
      </c>
      <c r="AL159" s="17">
        <v>6639.25</v>
      </c>
      <c r="AM159" s="17">
        <v>18534.75</v>
      </c>
      <c r="AN159" s="17">
        <v>2944.78</v>
      </c>
      <c r="AO159" s="17">
        <v>3441.77</v>
      </c>
      <c r="AP159" s="17">
        <v>308.66000000000003</v>
      </c>
      <c r="AQ159" s="17">
        <v>81198.64</v>
      </c>
      <c r="AR159" s="17">
        <v>2738.19</v>
      </c>
      <c r="AS159" s="17">
        <v>1104.27</v>
      </c>
      <c r="AT159" s="17">
        <v>998.97</v>
      </c>
      <c r="AU159" s="17">
        <v>22223.57</v>
      </c>
      <c r="AV159" s="17">
        <v>2076.44</v>
      </c>
      <c r="AW159" s="17">
        <v>1308.0899999999999</v>
      </c>
      <c r="AX159" s="17">
        <v>10691.68</v>
      </c>
      <c r="AY159" s="19">
        <v>90100.479999999996</v>
      </c>
      <c r="AZ159" s="17">
        <v>604.37</v>
      </c>
    </row>
    <row r="160" spans="1:52" x14ac:dyDescent="0.25">
      <c r="A160" s="21">
        <f t="shared" si="3"/>
        <v>45504</v>
      </c>
      <c r="B160" t="s">
        <v>740</v>
      </c>
      <c r="C160" s="17">
        <v>5522.3</v>
      </c>
      <c r="D160" s="17">
        <v>2794.26</v>
      </c>
      <c r="E160" s="17">
        <v>4872.9399999999996</v>
      </c>
      <c r="F160" s="17">
        <v>4588.3100000000004</v>
      </c>
      <c r="G160" s="9">
        <v>64329789.200000003</v>
      </c>
      <c r="H160" s="17">
        <v>8092.33</v>
      </c>
      <c r="I160" s="17">
        <v>3701.04</v>
      </c>
      <c r="J160" s="17">
        <v>4130.2</v>
      </c>
      <c r="K160" s="17">
        <v>127651.81</v>
      </c>
      <c r="L160" s="17">
        <v>867.27</v>
      </c>
      <c r="M160" s="17">
        <v>23110.81</v>
      </c>
      <c r="N160" s="17">
        <v>32586.95</v>
      </c>
      <c r="O160" s="17">
        <v>2938.75</v>
      </c>
      <c r="P160" s="17">
        <v>2987.5</v>
      </c>
      <c r="Q160" s="17">
        <v>1610.68</v>
      </c>
      <c r="R160" s="17">
        <v>2751.58</v>
      </c>
      <c r="S160" s="17">
        <v>9982.57</v>
      </c>
      <c r="T160" s="17">
        <v>7531.49</v>
      </c>
      <c r="U160" s="17">
        <v>7110.52</v>
      </c>
      <c r="V160" s="17">
        <v>1478.17</v>
      </c>
      <c r="W160" s="17">
        <v>17344.599999999999</v>
      </c>
      <c r="X160" s="17">
        <v>74051.149999999994</v>
      </c>
      <c r="Y160" s="17">
        <v>81741.34</v>
      </c>
      <c r="Z160" s="17">
        <v>7255.76</v>
      </c>
      <c r="AA160" s="17">
        <v>9674.07</v>
      </c>
      <c r="AB160" s="17">
        <v>33763.86</v>
      </c>
      <c r="AC160" s="17">
        <v>1669.73</v>
      </c>
      <c r="AD160" s="17">
        <v>1625.57</v>
      </c>
      <c r="AE160" s="18">
        <v>53093.97</v>
      </c>
      <c r="AF160" s="17">
        <v>1216.8900000000001</v>
      </c>
      <c r="AG160" s="17">
        <v>4698.76</v>
      </c>
      <c r="AH160" s="17">
        <v>97774.22</v>
      </c>
      <c r="AI160" s="17">
        <v>1684.4</v>
      </c>
      <c r="AJ160" s="17">
        <v>6619.09</v>
      </c>
      <c r="AK160" s="17">
        <v>84345.7</v>
      </c>
      <c r="AL160" s="17">
        <v>6708.39</v>
      </c>
      <c r="AM160" s="17">
        <v>18629.740000000002</v>
      </c>
      <c r="AN160" s="17">
        <v>2942.68</v>
      </c>
      <c r="AO160" s="17">
        <v>3455.94</v>
      </c>
      <c r="AP160" s="17">
        <v>307.91000000000003</v>
      </c>
      <c r="AQ160" s="17">
        <v>82765.119999999995</v>
      </c>
      <c r="AR160" s="17">
        <v>2770.69</v>
      </c>
      <c r="AS160" s="17">
        <v>1092.3599999999999</v>
      </c>
      <c r="AT160" s="17">
        <v>1003.41</v>
      </c>
      <c r="AU160" s="17">
        <v>22199.35</v>
      </c>
      <c r="AV160" s="17">
        <v>2070.83</v>
      </c>
      <c r="AW160" s="17">
        <v>1320.86</v>
      </c>
      <c r="AX160" s="17">
        <v>10638.58</v>
      </c>
      <c r="AY160" s="19">
        <v>90190.74</v>
      </c>
      <c r="AZ160" s="17">
        <v>613.74</v>
      </c>
    </row>
    <row r="161" spans="1:52" x14ac:dyDescent="0.25">
      <c r="A161" s="21">
        <f t="shared" si="3"/>
        <v>45505</v>
      </c>
      <c r="B161" t="s">
        <v>741</v>
      </c>
      <c r="C161" s="17">
        <v>5446.68</v>
      </c>
      <c r="D161" s="17">
        <v>2703.69</v>
      </c>
      <c r="E161" s="17">
        <v>4765.72</v>
      </c>
      <c r="F161" s="17">
        <v>4544.95</v>
      </c>
      <c r="G161" s="9">
        <v>64020206.299999997</v>
      </c>
      <c r="H161" s="17">
        <v>8114.67</v>
      </c>
      <c r="I161" s="17">
        <v>3644.6</v>
      </c>
      <c r="J161" s="17">
        <v>4104.84</v>
      </c>
      <c r="K161" s="17">
        <v>127395.1</v>
      </c>
      <c r="L161" s="17">
        <v>864.86</v>
      </c>
      <c r="M161" s="17">
        <v>22723.21</v>
      </c>
      <c r="N161" s="17">
        <v>32440.97</v>
      </c>
      <c r="O161" s="17">
        <v>2932.39</v>
      </c>
      <c r="P161" s="17">
        <v>2985.38</v>
      </c>
      <c r="Q161" s="17">
        <v>1592.98</v>
      </c>
      <c r="R161" s="17">
        <v>2750.57</v>
      </c>
      <c r="S161" s="17">
        <v>9901.17</v>
      </c>
      <c r="T161" s="17">
        <v>7370.45</v>
      </c>
      <c r="U161" s="17">
        <v>6947.02</v>
      </c>
      <c r="V161" s="17">
        <v>1474.44</v>
      </c>
      <c r="W161" s="17">
        <v>17304.96</v>
      </c>
      <c r="X161" s="17">
        <v>73550.81</v>
      </c>
      <c r="Y161" s="17">
        <v>81867.55</v>
      </c>
      <c r="Z161" s="17">
        <v>7325.99</v>
      </c>
      <c r="AA161" s="17">
        <v>9497.16</v>
      </c>
      <c r="AB161" s="17">
        <v>32857.43</v>
      </c>
      <c r="AC161" s="17">
        <v>1659.46</v>
      </c>
      <c r="AD161" s="17">
        <v>1624.25</v>
      </c>
      <c r="AE161" s="18">
        <v>52417.48</v>
      </c>
      <c r="AF161" s="17">
        <v>1200.3</v>
      </c>
      <c r="AG161" s="17">
        <v>4730.07</v>
      </c>
      <c r="AH161" s="17">
        <v>97359.76</v>
      </c>
      <c r="AI161" s="17">
        <v>1676.02</v>
      </c>
      <c r="AJ161" s="17">
        <v>6693.83</v>
      </c>
      <c r="AK161" s="17">
        <v>82920.89</v>
      </c>
      <c r="AL161" s="17">
        <v>6661.69</v>
      </c>
      <c r="AM161" s="17">
        <v>18625.39</v>
      </c>
      <c r="AN161" s="17">
        <v>2935.69</v>
      </c>
      <c r="AO161" s="17">
        <v>3419.84</v>
      </c>
      <c r="AP161" s="17">
        <v>307.91000000000003</v>
      </c>
      <c r="AQ161" s="17">
        <v>81868.820000000007</v>
      </c>
      <c r="AR161" s="17">
        <v>2777.68</v>
      </c>
      <c r="AS161" s="17">
        <v>1069.93</v>
      </c>
      <c r="AT161" s="17">
        <v>982.73</v>
      </c>
      <c r="AU161" s="17">
        <v>22642.1</v>
      </c>
      <c r="AV161" s="17">
        <v>2079.12</v>
      </c>
      <c r="AW161" s="17">
        <v>1322.75</v>
      </c>
      <c r="AX161" s="17">
        <v>10798.09</v>
      </c>
      <c r="AY161" s="19">
        <v>92652.89</v>
      </c>
      <c r="AZ161" s="17">
        <v>605.58000000000004</v>
      </c>
    </row>
    <row r="162" spans="1:52" x14ac:dyDescent="0.25">
      <c r="A162" s="21">
        <f t="shared" si="3"/>
        <v>45506</v>
      </c>
      <c r="B162" t="s">
        <v>742</v>
      </c>
      <c r="C162" s="17">
        <v>5346.56</v>
      </c>
      <c r="D162" s="17">
        <v>2537.6</v>
      </c>
      <c r="E162" s="17">
        <v>4638.7</v>
      </c>
      <c r="F162" s="17">
        <v>4474.3999999999996</v>
      </c>
      <c r="G162" s="9">
        <v>61298729.600000001</v>
      </c>
      <c r="H162" s="17">
        <v>7943.24</v>
      </c>
      <c r="I162" s="17">
        <v>3527.16</v>
      </c>
      <c r="J162" s="17">
        <v>4015.08</v>
      </c>
      <c r="K162" s="17">
        <v>125854.09</v>
      </c>
      <c r="L162" s="17">
        <v>866.5</v>
      </c>
      <c r="M162" s="17">
        <v>22227.63</v>
      </c>
      <c r="N162" s="17">
        <v>31956.81</v>
      </c>
      <c r="O162" s="17">
        <v>2905.34</v>
      </c>
      <c r="P162" s="17">
        <v>2972.28</v>
      </c>
      <c r="Q162" s="17">
        <v>1568.95</v>
      </c>
      <c r="R162" s="17">
        <v>2643.23</v>
      </c>
      <c r="S162" s="17">
        <v>9656.59</v>
      </c>
      <c r="T162" s="17">
        <v>7251.8</v>
      </c>
      <c r="U162" s="17">
        <v>6784.96</v>
      </c>
      <c r="V162" s="17">
        <v>1430.9</v>
      </c>
      <c r="W162" s="17">
        <v>16945.509999999998</v>
      </c>
      <c r="X162" s="17">
        <v>72218.86</v>
      </c>
      <c r="Y162" s="17">
        <v>80981.95</v>
      </c>
      <c r="Z162" s="17">
        <v>7308.12</v>
      </c>
      <c r="AA162" s="17">
        <v>9263.3700000000008</v>
      </c>
      <c r="AB162" s="17">
        <v>32018.82</v>
      </c>
      <c r="AC162" s="17">
        <v>1658.96</v>
      </c>
      <c r="AD162" s="17">
        <v>1611.05</v>
      </c>
      <c r="AE162" s="18">
        <v>52242.38</v>
      </c>
      <c r="AF162" s="17">
        <v>1151.8599999999999</v>
      </c>
      <c r="AG162" s="17">
        <v>4716.8500000000004</v>
      </c>
      <c r="AH162" s="17">
        <v>97745.73</v>
      </c>
      <c r="AI162" s="17">
        <v>1627.3</v>
      </c>
      <c r="AJ162" s="17">
        <v>6605.3</v>
      </c>
      <c r="AK162" s="17">
        <v>81648.83</v>
      </c>
      <c r="AL162" s="17">
        <v>6591</v>
      </c>
      <c r="AM162" s="17">
        <v>18425.810000000001</v>
      </c>
      <c r="AN162" s="17">
        <v>2899</v>
      </c>
      <c r="AO162" s="17">
        <v>3381.45</v>
      </c>
      <c r="AP162" s="17">
        <v>307.91000000000003</v>
      </c>
      <c r="AQ162" s="17">
        <v>80538.570000000007</v>
      </c>
      <c r="AR162" s="17">
        <v>2676.19</v>
      </c>
      <c r="AS162" s="17">
        <v>1051.47</v>
      </c>
      <c r="AT162" s="17">
        <v>952.06</v>
      </c>
      <c r="AU162" s="17">
        <v>21638.09</v>
      </c>
      <c r="AV162" s="17">
        <v>2067.0300000000002</v>
      </c>
      <c r="AW162" s="17">
        <v>1313.08</v>
      </c>
      <c r="AX162" s="17">
        <v>10473.469999999999</v>
      </c>
      <c r="AY162" s="19">
        <v>94058.8</v>
      </c>
      <c r="AZ162" s="17">
        <v>593.08000000000004</v>
      </c>
    </row>
    <row r="163" spans="1:52" x14ac:dyDescent="0.25">
      <c r="A163" s="21">
        <f t="shared" si="3"/>
        <v>45509</v>
      </c>
      <c r="B163" t="s">
        <v>743</v>
      </c>
      <c r="C163" s="17">
        <v>5186.33</v>
      </c>
      <c r="D163" s="17">
        <v>2227.15</v>
      </c>
      <c r="E163" s="17">
        <v>4571.6000000000004</v>
      </c>
      <c r="F163" s="17">
        <v>4377.74</v>
      </c>
      <c r="G163" s="9">
        <v>60685374.299999997</v>
      </c>
      <c r="H163" s="17">
        <v>7649.56</v>
      </c>
      <c r="I163" s="17">
        <v>3443.7</v>
      </c>
      <c r="J163" s="17">
        <v>3888.56</v>
      </c>
      <c r="K163" s="17">
        <v>125269.54</v>
      </c>
      <c r="L163" s="17">
        <v>830.9</v>
      </c>
      <c r="M163" s="17" t="e">
        <v>#N/A</v>
      </c>
      <c r="N163" s="17">
        <v>30887.31</v>
      </c>
      <c r="O163" s="17">
        <v>2860.7</v>
      </c>
      <c r="P163" s="17" t="e">
        <v>#N/A</v>
      </c>
      <c r="Q163" s="17">
        <v>1503.45</v>
      </c>
      <c r="R163" s="17">
        <v>2563.98</v>
      </c>
      <c r="S163" s="17">
        <v>9429.11</v>
      </c>
      <c r="T163" s="17">
        <v>7148.99</v>
      </c>
      <c r="U163" s="17">
        <v>6661.17</v>
      </c>
      <c r="V163" s="17">
        <v>1341.23</v>
      </c>
      <c r="W163" s="17">
        <v>16698.36</v>
      </c>
      <c r="X163" s="17">
        <v>70008.899999999994</v>
      </c>
      <c r="Y163" s="17">
        <v>78759.399999999994</v>
      </c>
      <c r="Z163" s="17">
        <v>7059.65</v>
      </c>
      <c r="AA163" s="17">
        <v>9148.2099999999991</v>
      </c>
      <c r="AB163" s="17">
        <v>31293.52</v>
      </c>
      <c r="AC163" s="17">
        <v>1642.76</v>
      </c>
      <c r="AD163" s="17">
        <v>1536.48</v>
      </c>
      <c r="AE163" s="18">
        <v>51776.480000000003</v>
      </c>
      <c r="AF163" s="17">
        <v>1132.92</v>
      </c>
      <c r="AG163" s="17">
        <v>4645.43</v>
      </c>
      <c r="AH163" s="17">
        <v>97582.41</v>
      </c>
      <c r="AI163" s="17">
        <v>1573.69</v>
      </c>
      <c r="AJ163" s="17">
        <v>6434.73</v>
      </c>
      <c r="AK163" s="17">
        <v>78915.839999999997</v>
      </c>
      <c r="AL163" s="17">
        <v>6467.97</v>
      </c>
      <c r="AM163" s="17">
        <v>17757.68</v>
      </c>
      <c r="AN163" s="17">
        <v>2828.72</v>
      </c>
      <c r="AO163" s="17">
        <v>3243.67</v>
      </c>
      <c r="AP163" s="17">
        <v>307.91000000000003</v>
      </c>
      <c r="AQ163" s="17">
        <v>79577.61</v>
      </c>
      <c r="AR163" s="17">
        <v>2441.5500000000002</v>
      </c>
      <c r="AS163" s="17">
        <v>1026.6300000000001</v>
      </c>
      <c r="AT163" s="17">
        <v>927.58</v>
      </c>
      <c r="AU163" s="17">
        <v>19830.88</v>
      </c>
      <c r="AV163" s="17">
        <v>2068.42</v>
      </c>
      <c r="AW163" s="17">
        <v>1274.67</v>
      </c>
      <c r="AX163" s="17">
        <v>9893.41</v>
      </c>
      <c r="AY163" s="19">
        <v>93101.48</v>
      </c>
      <c r="AZ163" s="17">
        <v>573.55999999999995</v>
      </c>
    </row>
    <row r="164" spans="1:52" x14ac:dyDescent="0.25">
      <c r="A164" s="21">
        <f t="shared" si="3"/>
        <v>45510</v>
      </c>
      <c r="B164" t="s">
        <v>744</v>
      </c>
      <c r="C164" s="17">
        <v>5240.03</v>
      </c>
      <c r="D164" s="17">
        <v>2434.21</v>
      </c>
      <c r="E164" s="17">
        <v>4575.22</v>
      </c>
      <c r="F164" s="17">
        <v>4390.7700000000004</v>
      </c>
      <c r="G164" s="9">
        <v>62483551.799999997</v>
      </c>
      <c r="H164" s="17">
        <v>7680.64</v>
      </c>
      <c r="I164" s="17">
        <v>3468.36</v>
      </c>
      <c r="J164" s="17">
        <v>3887.99</v>
      </c>
      <c r="K164" s="17">
        <v>126266.7</v>
      </c>
      <c r="L164" s="17">
        <v>849.37</v>
      </c>
      <c r="M164" s="17">
        <v>21979.360000000001</v>
      </c>
      <c r="N164" s="17">
        <v>31231.48</v>
      </c>
      <c r="O164" s="17">
        <v>2867.28</v>
      </c>
      <c r="P164" s="17">
        <v>2923.56</v>
      </c>
      <c r="Q164" s="17">
        <v>1530.65</v>
      </c>
      <c r="R164" s="17">
        <v>2651.53</v>
      </c>
      <c r="S164" s="17">
        <v>9453.33</v>
      </c>
      <c r="T164" s="17">
        <v>7130.04</v>
      </c>
      <c r="U164" s="17">
        <v>6667.06</v>
      </c>
      <c r="V164" s="17">
        <v>1367.78</v>
      </c>
      <c r="W164" s="17">
        <v>16647.34</v>
      </c>
      <c r="X164" s="17">
        <v>70321.83</v>
      </c>
      <c r="Y164" s="17">
        <v>78593.070000000007</v>
      </c>
      <c r="Z164" s="17">
        <v>7129.22</v>
      </c>
      <c r="AA164" s="17">
        <v>9153.84</v>
      </c>
      <c r="AB164" s="17">
        <v>31107.13</v>
      </c>
      <c r="AC164" s="17">
        <v>1633.94</v>
      </c>
      <c r="AD164" s="17">
        <v>1574.39</v>
      </c>
      <c r="AE164" s="18">
        <v>52399.63</v>
      </c>
      <c r="AF164" s="17">
        <v>1144.6600000000001</v>
      </c>
      <c r="AG164" s="17">
        <v>4638.34</v>
      </c>
      <c r="AH164" s="17">
        <v>96928.52</v>
      </c>
      <c r="AI164" s="17">
        <v>1588.62</v>
      </c>
      <c r="AJ164" s="17">
        <v>6433.24</v>
      </c>
      <c r="AK164" s="17">
        <v>78266.44</v>
      </c>
      <c r="AL164" s="17">
        <v>6455.97</v>
      </c>
      <c r="AM164" s="17">
        <v>17872.669999999998</v>
      </c>
      <c r="AN164" s="17">
        <v>2830.75</v>
      </c>
      <c r="AO164" s="17">
        <v>3198.44</v>
      </c>
      <c r="AP164" s="17">
        <v>307.20999999999998</v>
      </c>
      <c r="AQ164" s="17">
        <v>79430.05</v>
      </c>
      <c r="AR164" s="17">
        <v>2522.15</v>
      </c>
      <c r="AS164" s="17">
        <v>1024.07</v>
      </c>
      <c r="AT164" s="17">
        <v>927.89</v>
      </c>
      <c r="AU164" s="17">
        <v>20501.02</v>
      </c>
      <c r="AV164" s="17">
        <v>2054.08</v>
      </c>
      <c r="AW164" s="17">
        <v>1274.01</v>
      </c>
      <c r="AX164" s="17">
        <v>9881.23</v>
      </c>
      <c r="AY164" s="19">
        <v>92340.18</v>
      </c>
      <c r="AZ164" s="17">
        <v>580.54</v>
      </c>
    </row>
    <row r="165" spans="1:52" x14ac:dyDescent="0.25">
      <c r="A165" s="21">
        <f t="shared" si="3"/>
        <v>45511</v>
      </c>
      <c r="B165" t="s">
        <v>745</v>
      </c>
      <c r="C165" s="17">
        <v>5199.5</v>
      </c>
      <c r="D165" s="17">
        <v>2489.21</v>
      </c>
      <c r="E165" s="17">
        <v>4668.0600000000004</v>
      </c>
      <c r="F165" s="17">
        <v>4462.58</v>
      </c>
      <c r="G165" s="9">
        <v>62431074.899999999</v>
      </c>
      <c r="H165" s="17">
        <v>7699.83</v>
      </c>
      <c r="I165" s="17">
        <v>3553.46</v>
      </c>
      <c r="J165" s="17">
        <v>3994.3</v>
      </c>
      <c r="K165" s="17">
        <v>127513.88</v>
      </c>
      <c r="L165" s="17">
        <v>850.29</v>
      </c>
      <c r="M165" s="17">
        <v>21880.95</v>
      </c>
      <c r="N165" s="17">
        <v>31310.49</v>
      </c>
      <c r="O165" s="17">
        <v>2869.83</v>
      </c>
      <c r="P165" s="17">
        <v>2921.3</v>
      </c>
      <c r="Q165" s="17">
        <v>1555.13</v>
      </c>
      <c r="R165" s="17">
        <v>2550.39</v>
      </c>
      <c r="S165" s="17">
        <v>9658.3700000000008</v>
      </c>
      <c r="T165" s="17">
        <v>7266.01</v>
      </c>
      <c r="U165" s="17">
        <v>6767.26</v>
      </c>
      <c r="V165" s="17">
        <v>1394.29</v>
      </c>
      <c r="W165" s="17">
        <v>16877.86</v>
      </c>
      <c r="X165" s="17">
        <v>71554.39</v>
      </c>
      <c r="Y165" s="17">
        <v>79468.009999999995</v>
      </c>
      <c r="Z165" s="17">
        <v>7212.13</v>
      </c>
      <c r="AA165" s="17">
        <v>9277.75</v>
      </c>
      <c r="AB165" s="17">
        <v>31831.64</v>
      </c>
      <c r="AC165" s="17">
        <v>1634.65</v>
      </c>
      <c r="AD165" s="17">
        <v>1591.87</v>
      </c>
      <c r="AE165" s="18">
        <v>52680.9</v>
      </c>
      <c r="AF165" s="17">
        <v>1170.83</v>
      </c>
      <c r="AG165" s="17">
        <v>4668.8</v>
      </c>
      <c r="AH165" s="17">
        <v>97098.98</v>
      </c>
      <c r="AI165" s="17">
        <v>1619.32</v>
      </c>
      <c r="AJ165" s="17">
        <v>6535.17</v>
      </c>
      <c r="AK165" s="17">
        <v>78971.56</v>
      </c>
      <c r="AL165" s="17">
        <v>6575.3</v>
      </c>
      <c r="AM165" s="17">
        <v>17997.77</v>
      </c>
      <c r="AN165" s="17">
        <v>2874.94</v>
      </c>
      <c r="AO165" s="17">
        <v>3249.72</v>
      </c>
      <c r="AP165" s="17">
        <v>307.20999999999998</v>
      </c>
      <c r="AQ165" s="17">
        <v>80364.86</v>
      </c>
      <c r="AR165" s="17">
        <v>2568.41</v>
      </c>
      <c r="AS165" s="17">
        <v>1044.06</v>
      </c>
      <c r="AT165" s="17">
        <v>946.28</v>
      </c>
      <c r="AU165" s="17">
        <v>21295.279999999999</v>
      </c>
      <c r="AV165" s="17">
        <v>2055.59</v>
      </c>
      <c r="AW165" s="17">
        <v>1290.55</v>
      </c>
      <c r="AX165" s="17">
        <v>10024.31</v>
      </c>
      <c r="AY165" s="19">
        <v>92378.36</v>
      </c>
      <c r="AZ165" s="17">
        <v>580.58000000000004</v>
      </c>
    </row>
    <row r="166" spans="1:52" x14ac:dyDescent="0.25">
      <c r="A166" s="21">
        <f t="shared" si="3"/>
        <v>45512</v>
      </c>
      <c r="B166" t="s">
        <v>746</v>
      </c>
      <c r="C166" s="17">
        <v>5319.31</v>
      </c>
      <c r="D166" s="17">
        <v>2461.6999999999998</v>
      </c>
      <c r="E166" s="17">
        <v>4668.74</v>
      </c>
      <c r="F166" s="17">
        <v>4450.4799999999996</v>
      </c>
      <c r="G166" s="9">
        <v>65512301.399999999</v>
      </c>
      <c r="H166" s="17">
        <v>7681.98</v>
      </c>
      <c r="I166" s="17">
        <v>3544.64</v>
      </c>
      <c r="J166" s="17">
        <v>4002.34</v>
      </c>
      <c r="K166" s="17">
        <v>128660.88</v>
      </c>
      <c r="L166" s="17">
        <v>853.16</v>
      </c>
      <c r="M166" s="17">
        <v>22225.61</v>
      </c>
      <c r="N166" s="17">
        <v>31786.2</v>
      </c>
      <c r="O166" s="17">
        <v>2869.9</v>
      </c>
      <c r="P166" s="17">
        <v>2930.08</v>
      </c>
      <c r="Q166" s="17">
        <v>1553.7</v>
      </c>
      <c r="R166" s="17">
        <v>2617.62</v>
      </c>
      <c r="S166" s="17">
        <v>9713.81</v>
      </c>
      <c r="T166" s="17">
        <v>7247.45</v>
      </c>
      <c r="U166" s="17">
        <v>6792.33</v>
      </c>
      <c r="V166" s="17">
        <v>1382.46</v>
      </c>
      <c r="W166" s="17">
        <v>16891.830000000002</v>
      </c>
      <c r="X166" s="17">
        <v>71925.820000000007</v>
      </c>
      <c r="Y166" s="17">
        <v>78886.22</v>
      </c>
      <c r="Z166" s="17">
        <v>7195.12</v>
      </c>
      <c r="AA166" s="17">
        <v>9279.18</v>
      </c>
      <c r="AB166" s="17">
        <v>31741.91</v>
      </c>
      <c r="AC166" s="17">
        <v>1624.99</v>
      </c>
      <c r="AD166" s="17">
        <v>1590.38</v>
      </c>
      <c r="AE166" s="18">
        <v>52876.55</v>
      </c>
      <c r="AF166" s="17">
        <v>1168.71</v>
      </c>
      <c r="AG166" s="17">
        <v>4642.7</v>
      </c>
      <c r="AH166" s="17">
        <v>98116.27</v>
      </c>
      <c r="AI166" s="17">
        <v>1624.83</v>
      </c>
      <c r="AJ166" s="17">
        <v>6549.27</v>
      </c>
      <c r="AK166" s="17">
        <v>79736.490000000005</v>
      </c>
      <c r="AL166" s="17">
        <v>6569.77</v>
      </c>
      <c r="AM166" s="17">
        <v>17880.22</v>
      </c>
      <c r="AN166" s="17">
        <v>2852.51</v>
      </c>
      <c r="AO166" s="17">
        <v>3261.83</v>
      </c>
      <c r="AP166" s="17">
        <v>307.83999999999997</v>
      </c>
      <c r="AQ166" s="17">
        <v>80739.31</v>
      </c>
      <c r="AR166" s="17">
        <v>2556.73</v>
      </c>
      <c r="AS166" s="17">
        <v>1040.07</v>
      </c>
      <c r="AT166" s="17">
        <v>947.26</v>
      </c>
      <c r="AU166" s="17">
        <v>20870.099999999999</v>
      </c>
      <c r="AV166" s="17">
        <f>AV165</f>
        <v>2055.59</v>
      </c>
      <c r="AW166" s="17">
        <v>1296.25</v>
      </c>
      <c r="AX166" s="17">
        <v>10098.5</v>
      </c>
      <c r="AY166" s="19">
        <v>93213.71</v>
      </c>
      <c r="AZ166" s="17">
        <v>588.53</v>
      </c>
    </row>
    <row r="167" spans="1:52" x14ac:dyDescent="0.25">
      <c r="A167" s="21">
        <f t="shared" si="3"/>
        <v>45513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6116-B722-4B53-A497-BCBA50509797}">
  <dimension ref="A1:LR8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F5" sqref="F5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19" width="10.7109375" customWidth="1"/>
    <col min="320" max="320" width="20.7109375" customWidth="1"/>
    <col min="321" max="322" width="15.7109375" customWidth="1"/>
    <col min="323" max="324" width="20.7109375" customWidth="1"/>
    <col min="325" max="325" width="18.7109375" customWidth="1"/>
    <col min="326" max="327" width="22.7109375" customWidth="1"/>
    <col min="328" max="328" width="13.7109375" customWidth="1"/>
    <col min="329" max="329" width="14.7109375" customWidth="1"/>
    <col min="330" max="330" width="10.7109375" customWidth="1"/>
  </cols>
  <sheetData>
    <row r="1" spans="1:33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</row>
    <row r="2" spans="1:330" x14ac:dyDescent="0.25">
      <c r="A2" t="s">
        <v>330</v>
      </c>
      <c r="B2" t="s">
        <v>331</v>
      </c>
      <c r="C2" s="2" t="s">
        <v>332</v>
      </c>
      <c r="D2" t="s">
        <v>333</v>
      </c>
      <c r="E2" t="s">
        <v>334</v>
      </c>
      <c r="F2" t="s">
        <v>335</v>
      </c>
      <c r="G2" s="3">
        <v>223780</v>
      </c>
      <c r="H2" s="3">
        <v>224213</v>
      </c>
      <c r="I2" s="3">
        <v>222122</v>
      </c>
      <c r="J2" s="3">
        <v>221266</v>
      </c>
      <c r="K2" s="3">
        <v>215122</v>
      </c>
      <c r="L2" s="3">
        <v>218215</v>
      </c>
      <c r="M2" s="3">
        <v>219517</v>
      </c>
      <c r="N2" s="3">
        <v>216301</v>
      </c>
      <c r="O2" s="3">
        <v>216390</v>
      </c>
      <c r="P2" s="3">
        <v>212882</v>
      </c>
      <c r="Q2" s="3">
        <v>212192</v>
      </c>
      <c r="R2" s="3">
        <v>214585</v>
      </c>
      <c r="S2" s="3">
        <v>218180</v>
      </c>
      <c r="T2" s="3">
        <v>217883</v>
      </c>
      <c r="U2" s="3">
        <v>220587</v>
      </c>
      <c r="V2" s="3">
        <v>225228</v>
      </c>
      <c r="W2" s="3">
        <v>225362</v>
      </c>
      <c r="X2" s="3">
        <v>223815</v>
      </c>
      <c r="Y2" s="3">
        <v>225295</v>
      </c>
      <c r="Z2" s="3">
        <v>229115</v>
      </c>
      <c r="AA2" s="3">
        <v>231258</v>
      </c>
      <c r="AB2" s="3">
        <v>233910</v>
      </c>
      <c r="AC2" s="3">
        <v>237107</v>
      </c>
      <c r="AD2" s="3">
        <v>239186</v>
      </c>
      <c r="AE2" s="3">
        <v>238472</v>
      </c>
      <c r="AF2" s="3">
        <v>248867</v>
      </c>
      <c r="AG2" s="3">
        <v>243369</v>
      </c>
      <c r="AH2" s="3">
        <v>245858</v>
      </c>
      <c r="AI2" s="3">
        <v>243513</v>
      </c>
      <c r="AJ2" s="3">
        <v>238722</v>
      </c>
      <c r="AK2" s="3">
        <v>238432</v>
      </c>
      <c r="AL2" s="3">
        <v>235866</v>
      </c>
      <c r="AM2" s="3">
        <v>235712</v>
      </c>
      <c r="AN2" s="3">
        <v>236272</v>
      </c>
      <c r="AO2" s="3">
        <v>238846</v>
      </c>
      <c r="AP2" s="3">
        <v>239131</v>
      </c>
      <c r="AQ2" s="3">
        <v>239578</v>
      </c>
      <c r="AR2" s="3">
        <v>242095</v>
      </c>
      <c r="AS2" s="3">
        <v>242639</v>
      </c>
      <c r="AT2" s="3">
        <v>244317</v>
      </c>
      <c r="AU2" s="3">
        <v>249032</v>
      </c>
      <c r="AV2" s="3">
        <v>250761</v>
      </c>
      <c r="AW2" s="3">
        <v>253655</v>
      </c>
      <c r="AX2" s="3">
        <v>255533</v>
      </c>
      <c r="AY2" s="3">
        <v>257683</v>
      </c>
      <c r="AZ2" s="3">
        <v>255100</v>
      </c>
      <c r="BA2" s="3">
        <v>256975</v>
      </c>
      <c r="BB2" s="3">
        <v>261627</v>
      </c>
      <c r="BC2" s="3">
        <v>264127</v>
      </c>
      <c r="BD2" s="3">
        <v>269787</v>
      </c>
      <c r="BE2" s="3">
        <v>269737</v>
      </c>
      <c r="BF2" s="3">
        <v>269896</v>
      </c>
      <c r="BG2" s="3">
        <v>272720</v>
      </c>
      <c r="BH2" s="3">
        <v>275136</v>
      </c>
      <c r="BI2" s="3">
        <v>276863</v>
      </c>
      <c r="BJ2" s="3">
        <v>282193</v>
      </c>
      <c r="BK2" s="3">
        <v>284172</v>
      </c>
      <c r="BL2" s="3">
        <v>288385</v>
      </c>
      <c r="BM2" s="3">
        <v>295493</v>
      </c>
      <c r="BN2" s="3">
        <v>298855</v>
      </c>
      <c r="BO2" s="3">
        <v>303698</v>
      </c>
      <c r="BP2" s="3">
        <v>305281</v>
      </c>
      <c r="BQ2" s="3">
        <v>309097</v>
      </c>
      <c r="BR2" s="3">
        <v>311574</v>
      </c>
      <c r="BS2" s="3">
        <v>313083</v>
      </c>
      <c r="BT2" s="3">
        <v>315039</v>
      </c>
      <c r="BU2" s="3">
        <v>315554</v>
      </c>
      <c r="BV2" s="3">
        <v>315515</v>
      </c>
      <c r="BW2" s="3">
        <v>317117</v>
      </c>
      <c r="BX2" s="3">
        <v>319239</v>
      </c>
      <c r="BY2" s="3">
        <v>315744</v>
      </c>
      <c r="BZ2" s="3">
        <v>314148</v>
      </c>
      <c r="CA2" s="3">
        <v>312596</v>
      </c>
      <c r="CB2" s="3">
        <v>312235</v>
      </c>
      <c r="CC2" s="3">
        <v>311624</v>
      </c>
      <c r="CD2" s="3">
        <v>312006</v>
      </c>
      <c r="CE2" s="3">
        <v>311904</v>
      </c>
      <c r="CF2" s="3">
        <v>311418</v>
      </c>
      <c r="CG2" s="3">
        <v>312896</v>
      </c>
      <c r="CH2" s="3">
        <v>315307</v>
      </c>
      <c r="CI2" s="3">
        <v>316882</v>
      </c>
      <c r="CJ2" s="3">
        <v>318302</v>
      </c>
      <c r="CK2" s="3">
        <v>321218</v>
      </c>
      <c r="CL2" s="3">
        <v>323400</v>
      </c>
      <c r="CM2" s="3">
        <v>326585</v>
      </c>
      <c r="CN2" s="3">
        <v>329584</v>
      </c>
      <c r="CO2" s="3">
        <v>332911</v>
      </c>
      <c r="CP2" s="3">
        <v>334363</v>
      </c>
      <c r="CQ2" s="3">
        <v>336090</v>
      </c>
      <c r="CR2" s="3">
        <v>336789</v>
      </c>
      <c r="CS2" s="3">
        <v>340542</v>
      </c>
      <c r="CT2" s="3">
        <v>341602</v>
      </c>
      <c r="CU2" s="3">
        <v>343859</v>
      </c>
      <c r="CV2" s="3">
        <v>344979</v>
      </c>
      <c r="CW2" s="3">
        <v>348214</v>
      </c>
      <c r="CX2" s="3">
        <v>352958</v>
      </c>
      <c r="CY2" s="3">
        <v>358611</v>
      </c>
      <c r="CZ2" s="3">
        <v>362573</v>
      </c>
      <c r="DA2" s="3">
        <v>365942</v>
      </c>
      <c r="DB2" s="3">
        <v>371341</v>
      </c>
      <c r="DC2" s="3">
        <v>374037</v>
      </c>
      <c r="DD2" s="3">
        <v>376421</v>
      </c>
      <c r="DE2" s="3">
        <v>377650</v>
      </c>
      <c r="DF2" s="3">
        <v>380155</v>
      </c>
      <c r="DG2" s="3">
        <v>382789</v>
      </c>
      <c r="DH2" s="3">
        <v>384605</v>
      </c>
      <c r="DI2" s="3">
        <v>390758</v>
      </c>
      <c r="DJ2" s="3">
        <v>396357</v>
      </c>
      <c r="DK2" s="3">
        <v>401242</v>
      </c>
      <c r="DL2" s="3">
        <v>404196</v>
      </c>
      <c r="DM2" s="3">
        <v>406795</v>
      </c>
      <c r="DN2" s="3">
        <v>409411</v>
      </c>
      <c r="DO2" s="3">
        <v>413054</v>
      </c>
      <c r="DP2" s="3">
        <v>414878</v>
      </c>
      <c r="DQ2" s="3">
        <v>417085</v>
      </c>
      <c r="DR2" s="3">
        <v>418445</v>
      </c>
      <c r="DS2" s="3">
        <v>419534</v>
      </c>
      <c r="DT2" s="3">
        <v>421587</v>
      </c>
      <c r="DU2" s="3">
        <v>424425</v>
      </c>
      <c r="DV2" s="3">
        <v>427725</v>
      </c>
      <c r="DW2" s="3">
        <v>430832</v>
      </c>
      <c r="DX2" s="3">
        <v>434837</v>
      </c>
      <c r="DY2" s="3">
        <v>438710</v>
      </c>
      <c r="DZ2" s="3">
        <v>442172</v>
      </c>
      <c r="EA2" s="3">
        <v>443853</v>
      </c>
      <c r="EB2" s="3">
        <v>446443</v>
      </c>
      <c r="EC2" s="3">
        <v>448171</v>
      </c>
      <c r="ED2" s="3">
        <v>450464</v>
      </c>
      <c r="EE2" s="3">
        <v>453784</v>
      </c>
      <c r="EF2" s="3">
        <v>457557</v>
      </c>
      <c r="EG2" s="3">
        <v>461135</v>
      </c>
      <c r="EH2" s="3">
        <v>465451</v>
      </c>
      <c r="EI2" s="3">
        <v>467840</v>
      </c>
      <c r="EJ2" s="3">
        <v>469655</v>
      </c>
      <c r="EK2" s="3">
        <v>470918</v>
      </c>
      <c r="EL2" s="3">
        <v>473372</v>
      </c>
      <c r="EM2" s="3">
        <v>477823</v>
      </c>
      <c r="EN2" s="3">
        <v>481314</v>
      </c>
      <c r="EO2" s="3">
        <v>484544</v>
      </c>
      <c r="EP2" s="3">
        <v>487413</v>
      </c>
      <c r="EQ2" s="3">
        <v>489783</v>
      </c>
      <c r="ER2" s="3">
        <v>487386</v>
      </c>
      <c r="ES2" s="3">
        <v>479872</v>
      </c>
      <c r="ET2" s="3">
        <v>469694</v>
      </c>
      <c r="EU2" s="3">
        <v>460105</v>
      </c>
      <c r="EV2" s="3">
        <v>458599</v>
      </c>
      <c r="EW2" s="3">
        <v>458875</v>
      </c>
      <c r="EX2" s="3">
        <v>460238</v>
      </c>
      <c r="EY2" s="3">
        <v>464543</v>
      </c>
      <c r="EZ2" s="3">
        <v>469606</v>
      </c>
      <c r="FA2" s="3">
        <v>472199</v>
      </c>
      <c r="FB2" s="3">
        <v>472612</v>
      </c>
      <c r="FC2" s="3">
        <v>473819</v>
      </c>
      <c r="FD2" s="3">
        <v>474365</v>
      </c>
      <c r="FE2" s="3">
        <v>475813</v>
      </c>
      <c r="FF2" s="3">
        <v>476479</v>
      </c>
      <c r="FG2" s="3">
        <v>480632</v>
      </c>
      <c r="FH2" s="3">
        <v>479979</v>
      </c>
      <c r="FI2" s="3">
        <v>484579</v>
      </c>
      <c r="FJ2" s="3">
        <v>484039</v>
      </c>
      <c r="FK2" s="3">
        <v>485409</v>
      </c>
      <c r="FL2" s="3">
        <v>488930</v>
      </c>
      <c r="FM2" s="3">
        <v>493002</v>
      </c>
      <c r="FN2" s="3">
        <v>496466</v>
      </c>
      <c r="FO2" s="3">
        <v>500552</v>
      </c>
      <c r="FP2" s="3">
        <v>504939</v>
      </c>
      <c r="FQ2" s="3">
        <v>508741</v>
      </c>
      <c r="FR2" s="3">
        <v>512334</v>
      </c>
      <c r="FS2" s="3">
        <v>513850</v>
      </c>
      <c r="FT2" s="3">
        <v>516876</v>
      </c>
      <c r="FU2" s="3">
        <v>518915</v>
      </c>
      <c r="FV2" s="3">
        <v>521920</v>
      </c>
      <c r="FW2" s="3">
        <v>523813</v>
      </c>
      <c r="FX2" s="3">
        <v>526750</v>
      </c>
      <c r="FY2" s="3">
        <v>528712</v>
      </c>
      <c r="FZ2" s="3">
        <v>532082</v>
      </c>
      <c r="GA2" s="3">
        <v>536566</v>
      </c>
      <c r="GB2" s="3">
        <v>540020</v>
      </c>
      <c r="GC2" s="3">
        <v>543452</v>
      </c>
      <c r="GD2" s="3">
        <v>547377</v>
      </c>
      <c r="GE2" s="3">
        <v>547688</v>
      </c>
      <c r="GF2" s="3">
        <v>548600</v>
      </c>
      <c r="GG2" s="3">
        <v>550425</v>
      </c>
      <c r="GH2" s="3">
        <v>551128</v>
      </c>
      <c r="GI2" s="3">
        <v>555141</v>
      </c>
      <c r="GJ2" s="3">
        <v>556932</v>
      </c>
      <c r="GK2" s="3">
        <v>560987</v>
      </c>
      <c r="GL2" s="3">
        <v>560861</v>
      </c>
      <c r="GM2" s="3">
        <v>545597</v>
      </c>
      <c r="GN2" s="3">
        <v>434718</v>
      </c>
      <c r="GO2" s="3">
        <v>507643</v>
      </c>
      <c r="GP2" s="3">
        <v>514531</v>
      </c>
      <c r="GQ2" s="3">
        <v>509261</v>
      </c>
      <c r="GR2" s="3">
        <v>546579</v>
      </c>
      <c r="GS2" s="3">
        <v>555956</v>
      </c>
      <c r="GT2" s="3">
        <v>564407</v>
      </c>
      <c r="GU2" s="3">
        <v>567396</v>
      </c>
      <c r="GV2" s="3">
        <v>567889</v>
      </c>
      <c r="GW2" s="3">
        <v>567445</v>
      </c>
      <c r="GX2" s="3">
        <v>568034</v>
      </c>
      <c r="GY2" s="3">
        <v>569027</v>
      </c>
      <c r="GZ2" s="3">
        <v>569076</v>
      </c>
      <c r="HA2" s="3">
        <v>568397</v>
      </c>
      <c r="HB2" s="3">
        <v>566626</v>
      </c>
      <c r="HC2" s="3">
        <v>570694</v>
      </c>
      <c r="HD2" s="4">
        <v>573830.80000000005</v>
      </c>
      <c r="HE2" s="4">
        <v>575345.5</v>
      </c>
      <c r="HF2" s="4">
        <v>577872.9</v>
      </c>
      <c r="HG2" s="4">
        <v>580628.80000000005</v>
      </c>
      <c r="HH2" s="4">
        <v>583503.5</v>
      </c>
      <c r="HI2" s="4">
        <v>586275.30000000005</v>
      </c>
      <c r="HJ2" s="4">
        <v>589088.9</v>
      </c>
      <c r="HK2" s="4">
        <v>591916.69999999995</v>
      </c>
      <c r="HL2" s="4">
        <v>594522.1</v>
      </c>
      <c r="HM2" s="4">
        <v>596959.80000000005</v>
      </c>
      <c r="HN2" s="4">
        <v>599377.1</v>
      </c>
      <c r="HO2" s="4">
        <v>601834.6</v>
      </c>
      <c r="HP2" s="4">
        <v>604302.1</v>
      </c>
      <c r="HQ2" s="4">
        <v>606749.80000000005</v>
      </c>
      <c r="HR2" s="4">
        <v>609297.9</v>
      </c>
      <c r="HS2" s="4">
        <v>611857</v>
      </c>
      <c r="HT2" s="4">
        <v>614426.80000000005</v>
      </c>
      <c r="HU2" s="4">
        <v>616915.30000000005</v>
      </c>
      <c r="HV2" s="4">
        <v>619413.80000000005</v>
      </c>
      <c r="HW2" s="4">
        <v>621860.4</v>
      </c>
      <c r="HX2" s="4">
        <v>624285.69999999995</v>
      </c>
      <c r="HY2" s="4">
        <v>626689.19999999995</v>
      </c>
      <c r="HZ2" s="4">
        <v>629070.6</v>
      </c>
      <c r="IA2" s="4">
        <v>631461.1</v>
      </c>
      <c r="IB2" s="4">
        <v>633829.1</v>
      </c>
      <c r="IC2" s="4">
        <v>636205.9</v>
      </c>
      <c r="ID2" s="4">
        <v>638591.69999999995</v>
      </c>
      <c r="IE2" s="4">
        <v>640986.4</v>
      </c>
      <c r="IF2" s="4">
        <v>643422.19999999995</v>
      </c>
      <c r="IG2" s="4">
        <v>645867.19999999995</v>
      </c>
      <c r="IH2" s="4">
        <v>648289.19999999995</v>
      </c>
      <c r="II2" s="4">
        <v>650687.80000000005</v>
      </c>
      <c r="IJ2" s="4">
        <v>653127.9</v>
      </c>
      <c r="IK2" s="4">
        <v>655511.80000000005</v>
      </c>
      <c r="IL2" s="4">
        <v>657904.4</v>
      </c>
      <c r="IM2" s="4">
        <v>660363.30000000005</v>
      </c>
      <c r="IN2" s="4">
        <v>662726.19999999995</v>
      </c>
      <c r="IO2" s="4">
        <v>665095.1</v>
      </c>
      <c r="IP2" s="4">
        <v>667467.1</v>
      </c>
      <c r="IQ2" s="4">
        <v>669898.4</v>
      </c>
      <c r="IR2" s="4">
        <v>672340.5</v>
      </c>
      <c r="IS2" s="4">
        <v>674779.1</v>
      </c>
      <c r="IT2" s="4">
        <v>677201.1</v>
      </c>
      <c r="IU2" s="4">
        <v>679755.9</v>
      </c>
      <c r="IV2" s="4">
        <v>682320.4</v>
      </c>
      <c r="IW2" s="4">
        <v>684894.4</v>
      </c>
      <c r="IX2" s="4">
        <v>687477.6</v>
      </c>
      <c r="IY2" s="4">
        <v>690132.4</v>
      </c>
      <c r="IZ2" s="4">
        <v>692799.7</v>
      </c>
      <c r="JA2" s="4">
        <v>695479.6</v>
      </c>
      <c r="JB2" s="4">
        <v>698171.9</v>
      </c>
      <c r="JC2" s="4">
        <v>700876.9</v>
      </c>
      <c r="JD2" s="4">
        <v>703594.3</v>
      </c>
      <c r="JE2" s="4">
        <v>706324.3</v>
      </c>
      <c r="JF2" s="4">
        <v>709067.1</v>
      </c>
      <c r="JG2" s="4">
        <v>711884.1</v>
      </c>
      <c r="JH2" s="4">
        <v>714714.9</v>
      </c>
      <c r="JI2" s="4">
        <v>717559.9</v>
      </c>
      <c r="JJ2" s="4">
        <v>720419.2</v>
      </c>
      <c r="JK2" s="4">
        <v>723292.7</v>
      </c>
      <c r="JL2" s="4">
        <v>726180.6</v>
      </c>
      <c r="JM2" s="4">
        <v>729083</v>
      </c>
      <c r="JN2" s="4">
        <v>731999.9</v>
      </c>
      <c r="JO2" s="4">
        <v>734931.4</v>
      </c>
      <c r="JP2" s="4">
        <v>737871.6</v>
      </c>
      <c r="JQ2" s="4">
        <v>740820.8</v>
      </c>
      <c r="JR2" s="4">
        <v>743778.7</v>
      </c>
      <c r="JS2" s="4">
        <v>746675.4</v>
      </c>
      <c r="JT2" s="4">
        <v>749579.9</v>
      </c>
      <c r="JU2" s="4">
        <v>752492.2</v>
      </c>
      <c r="JV2" s="4">
        <v>755412.4</v>
      </c>
      <c r="JW2" s="4">
        <v>758340.4</v>
      </c>
      <c r="JX2" s="4">
        <v>761276.3</v>
      </c>
      <c r="JY2" s="4">
        <v>764219.9</v>
      </c>
      <c r="JZ2" s="4">
        <v>767171.6</v>
      </c>
      <c r="KA2" s="4">
        <v>770130.9</v>
      </c>
      <c r="KB2" s="4">
        <v>773097.9</v>
      </c>
      <c r="KC2" s="4">
        <v>776072</v>
      </c>
      <c r="KD2" s="4">
        <v>779053.4</v>
      </c>
      <c r="KE2" s="4">
        <v>782041.8</v>
      </c>
      <c r="KF2" s="4">
        <v>785037.5</v>
      </c>
      <c r="KG2" s="4">
        <v>788040.4</v>
      </c>
      <c r="KH2" s="4">
        <v>791050.6</v>
      </c>
      <c r="KI2" s="4">
        <v>794067.9</v>
      </c>
      <c r="KJ2" s="4">
        <v>797092.6</v>
      </c>
      <c r="KK2" s="4">
        <v>800124.4</v>
      </c>
      <c r="KL2" s="4">
        <v>803163.7</v>
      </c>
      <c r="KM2" s="4">
        <v>806210.3</v>
      </c>
      <c r="KN2" s="4">
        <v>809264.3</v>
      </c>
      <c r="KO2" s="4">
        <v>812325.7</v>
      </c>
      <c r="KP2" s="4">
        <v>815394.7</v>
      </c>
      <c r="KQ2" s="4">
        <v>818471.3</v>
      </c>
      <c r="KR2" s="4">
        <v>821555.3</v>
      </c>
      <c r="KS2" s="4">
        <v>824647</v>
      </c>
      <c r="KT2" s="4">
        <v>827746.8</v>
      </c>
      <c r="KU2" s="4">
        <v>830854.1</v>
      </c>
      <c r="KV2" s="4">
        <v>833969.3</v>
      </c>
      <c r="KW2" s="4">
        <v>837092.1</v>
      </c>
      <c r="KX2" s="4">
        <v>840222.9</v>
      </c>
      <c r="KY2" s="4">
        <v>843361.3</v>
      </c>
      <c r="KZ2" s="4">
        <v>846507.7</v>
      </c>
      <c r="LA2" s="4">
        <v>849661.6</v>
      </c>
      <c r="LB2" s="4">
        <v>852823.4</v>
      </c>
      <c r="LC2" s="4">
        <v>855992.7</v>
      </c>
      <c r="LD2" s="4">
        <v>859169.9</v>
      </c>
      <c r="LE2" s="4">
        <v>862354.7</v>
      </c>
      <c r="LF2" s="4">
        <v>865547.4</v>
      </c>
      <c r="LG2" t="s">
        <v>336</v>
      </c>
      <c r="LH2" t="b">
        <v>1</v>
      </c>
      <c r="LI2" s="2" t="s">
        <v>337</v>
      </c>
      <c r="LJ2" t="s">
        <v>338</v>
      </c>
      <c r="LK2">
        <v>2024</v>
      </c>
      <c r="LL2">
        <v>1</v>
      </c>
      <c r="LM2" t="s">
        <v>338</v>
      </c>
      <c r="LN2" t="s">
        <v>339</v>
      </c>
      <c r="LO2" s="2" t="s">
        <v>340</v>
      </c>
      <c r="LP2" t="s">
        <v>341</v>
      </c>
      <c r="LQ2" t="s">
        <v>342</v>
      </c>
      <c r="LR2" s="2" t="s">
        <v>343</v>
      </c>
    </row>
    <row r="3" spans="1:330" x14ac:dyDescent="0.25">
      <c r="A3" t="s">
        <v>344</v>
      </c>
      <c r="B3" t="s">
        <v>331</v>
      </c>
      <c r="C3" s="2" t="s">
        <v>332</v>
      </c>
      <c r="D3" t="s">
        <v>345</v>
      </c>
      <c r="E3" t="s">
        <v>346</v>
      </c>
      <c r="F3" t="s">
        <v>335</v>
      </c>
      <c r="G3" s="3">
        <v>1514.625</v>
      </c>
      <c r="H3" s="3">
        <v>1531.125</v>
      </c>
      <c r="I3" s="3">
        <v>1523.075</v>
      </c>
      <c r="J3" s="3">
        <v>1537.5250000000001</v>
      </c>
      <c r="K3" s="3">
        <v>1524.325</v>
      </c>
      <c r="L3" s="3">
        <v>1527.95</v>
      </c>
      <c r="M3" s="3">
        <v>1513.5</v>
      </c>
      <c r="N3" s="3">
        <v>1507.625</v>
      </c>
      <c r="O3" s="3">
        <v>1489.25</v>
      </c>
      <c r="P3" s="3">
        <v>1499.9</v>
      </c>
      <c r="Q3" s="3">
        <v>1525.575</v>
      </c>
      <c r="R3" s="3">
        <v>1546.125</v>
      </c>
      <c r="S3" s="3">
        <v>1580.9</v>
      </c>
      <c r="T3" s="3">
        <v>1592.5</v>
      </c>
      <c r="U3" s="3">
        <v>1601.2249999999999</v>
      </c>
      <c r="V3" s="3">
        <v>1612.8</v>
      </c>
      <c r="W3" s="3">
        <v>1631.925</v>
      </c>
      <c r="X3" s="3">
        <v>1663.625</v>
      </c>
      <c r="Y3" s="3">
        <v>1693.625</v>
      </c>
      <c r="Z3" s="3">
        <v>1693.65</v>
      </c>
      <c r="AA3" s="3">
        <v>1699.075</v>
      </c>
      <c r="AB3" s="3">
        <v>1764.7249999999999</v>
      </c>
      <c r="AC3" s="3">
        <v>1782.4749999999999</v>
      </c>
      <c r="AD3" s="3">
        <v>1806.45</v>
      </c>
      <c r="AE3" s="3">
        <v>1809.675</v>
      </c>
      <c r="AF3" s="3">
        <v>1811.625</v>
      </c>
      <c r="AG3" s="3">
        <v>1825.075</v>
      </c>
      <c r="AH3" s="3">
        <v>1829.625</v>
      </c>
      <c r="AI3" s="3">
        <v>1835.4</v>
      </c>
      <c r="AJ3" s="3">
        <v>1797.575</v>
      </c>
      <c r="AK3" s="3">
        <v>1795.425</v>
      </c>
      <c r="AL3" s="3">
        <v>1828.925</v>
      </c>
      <c r="AM3" s="3">
        <v>1864.75</v>
      </c>
      <c r="AN3" s="3">
        <v>1850.925</v>
      </c>
      <c r="AO3" s="3">
        <v>1873.1</v>
      </c>
      <c r="AP3" s="3">
        <v>1852.7</v>
      </c>
      <c r="AQ3" s="3">
        <v>1823.9</v>
      </c>
      <c r="AR3" s="3">
        <v>1832.2249999999999</v>
      </c>
      <c r="AS3" s="3">
        <v>1825.2249999999999</v>
      </c>
      <c r="AT3" s="3">
        <v>1825.95</v>
      </c>
      <c r="AU3" s="3">
        <v>1850.0250000000001</v>
      </c>
      <c r="AV3" s="3">
        <v>1892.125</v>
      </c>
      <c r="AW3" s="3">
        <v>1929.925</v>
      </c>
      <c r="AX3" s="3">
        <v>1970.2</v>
      </c>
      <c r="AY3" s="3">
        <v>2008.7</v>
      </c>
      <c r="AZ3" s="3">
        <v>2043.425</v>
      </c>
      <c r="BA3" s="3">
        <v>2063.125</v>
      </c>
      <c r="BB3" s="3">
        <v>2080.0500000000002</v>
      </c>
      <c r="BC3" s="3">
        <v>2100.1999999999998</v>
      </c>
      <c r="BD3" s="3">
        <v>2118.6999999999998</v>
      </c>
      <c r="BE3" s="3">
        <v>2151.0500000000002</v>
      </c>
      <c r="BF3" s="3">
        <v>2167.0500000000002</v>
      </c>
      <c r="BG3" s="3">
        <v>2187.2750000000001</v>
      </c>
      <c r="BH3" s="3">
        <v>2197.125</v>
      </c>
      <c r="BI3" s="3">
        <v>2218.15</v>
      </c>
      <c r="BJ3" s="3">
        <v>2230.0500000000002</v>
      </c>
      <c r="BK3" s="3">
        <v>2246.6</v>
      </c>
      <c r="BL3" s="3">
        <v>2270.8249999999998</v>
      </c>
      <c r="BM3" s="3">
        <v>2290.5</v>
      </c>
      <c r="BN3" s="3">
        <v>2329.8249999999998</v>
      </c>
      <c r="BO3" s="3">
        <v>2341.875</v>
      </c>
      <c r="BP3" s="3">
        <v>2372.65</v>
      </c>
      <c r="BQ3" s="3">
        <v>2386.5500000000002</v>
      </c>
      <c r="BR3" s="3">
        <v>2418.35</v>
      </c>
      <c r="BS3" s="3">
        <v>2442.9250000000002</v>
      </c>
      <c r="BT3" s="3">
        <v>2461.5749999999998</v>
      </c>
      <c r="BU3" s="3">
        <v>2479.8000000000002</v>
      </c>
      <c r="BV3" s="3">
        <v>2484.6999999999998</v>
      </c>
      <c r="BW3" s="3">
        <v>2511.85</v>
      </c>
      <c r="BX3" s="3">
        <v>2520.9749999999999</v>
      </c>
      <c r="BY3" s="3">
        <v>2522.65</v>
      </c>
      <c r="BZ3" s="3">
        <v>2499.6750000000002</v>
      </c>
      <c r="CA3" s="3">
        <v>2487.9749999999999</v>
      </c>
      <c r="CB3" s="3">
        <v>2507.375</v>
      </c>
      <c r="CC3" s="3">
        <v>2520.0500000000002</v>
      </c>
      <c r="CD3" s="3">
        <v>2528.8249999999998</v>
      </c>
      <c r="CE3" s="3">
        <v>2559.1</v>
      </c>
      <c r="CF3" s="3">
        <v>2586.85</v>
      </c>
      <c r="CG3" s="3">
        <v>2612.4250000000002</v>
      </c>
      <c r="CH3" s="3">
        <v>2639.65</v>
      </c>
      <c r="CI3" s="3">
        <v>2644.0749999999998</v>
      </c>
      <c r="CJ3" s="3">
        <v>2659.45</v>
      </c>
      <c r="CK3" s="3">
        <v>2672.15</v>
      </c>
      <c r="CL3" s="3">
        <v>2708.5</v>
      </c>
      <c r="CM3" s="3">
        <v>2734.7750000000001</v>
      </c>
      <c r="CN3" s="3">
        <v>2771.85</v>
      </c>
      <c r="CO3" s="3">
        <v>2788.05</v>
      </c>
      <c r="CP3" s="3">
        <v>2819.9749999999999</v>
      </c>
      <c r="CQ3" s="3">
        <v>2830</v>
      </c>
      <c r="CR3" s="3">
        <v>2838.4250000000002</v>
      </c>
      <c r="CS3" s="3">
        <v>2862.5749999999998</v>
      </c>
      <c r="CT3" s="3">
        <v>2882.0250000000001</v>
      </c>
      <c r="CU3" s="3">
        <v>2903.6</v>
      </c>
      <c r="CV3" s="3">
        <v>2952.0250000000001</v>
      </c>
      <c r="CW3" s="3">
        <v>2978.5250000000001</v>
      </c>
      <c r="CX3" s="3">
        <v>3009.45</v>
      </c>
      <c r="CY3" s="3">
        <v>3028.875</v>
      </c>
      <c r="CZ3" s="3">
        <v>3079.3</v>
      </c>
      <c r="DA3" s="3">
        <v>3117.75</v>
      </c>
      <c r="DB3" s="3">
        <v>3144.375</v>
      </c>
      <c r="DC3" s="3">
        <v>3175.9250000000002</v>
      </c>
      <c r="DD3" s="3">
        <v>3205.3249999999998</v>
      </c>
      <c r="DE3" s="3">
        <v>3245.7</v>
      </c>
      <c r="DF3" s="3">
        <v>3297.9250000000002</v>
      </c>
      <c r="DG3" s="3">
        <v>3328.9</v>
      </c>
      <c r="DH3" s="3">
        <v>3356.6750000000002</v>
      </c>
      <c r="DI3" s="3">
        <v>3401.2</v>
      </c>
      <c r="DJ3" s="3">
        <v>3457</v>
      </c>
      <c r="DK3" s="3">
        <v>3469.5250000000001</v>
      </c>
      <c r="DL3" s="3">
        <v>3532.7249999999999</v>
      </c>
      <c r="DM3" s="3">
        <v>3536.3249999999998</v>
      </c>
      <c r="DN3" s="3">
        <v>3557.45</v>
      </c>
      <c r="DO3" s="3">
        <v>3545.7750000000001</v>
      </c>
      <c r="DP3" s="3">
        <v>3567.9250000000002</v>
      </c>
      <c r="DQ3" s="3">
        <v>3553.625</v>
      </c>
      <c r="DR3" s="3">
        <v>3563.4</v>
      </c>
      <c r="DS3" s="3">
        <v>3593.2</v>
      </c>
      <c r="DT3" s="3">
        <v>3615.2</v>
      </c>
      <c r="DU3" s="3">
        <v>3629.9</v>
      </c>
      <c r="DV3" s="3">
        <v>3634.4</v>
      </c>
      <c r="DW3" s="3">
        <v>3653.5250000000001</v>
      </c>
      <c r="DX3" s="3">
        <v>3685.9</v>
      </c>
      <c r="DY3" s="3">
        <v>3747.2</v>
      </c>
      <c r="DZ3" s="3">
        <v>3790.7</v>
      </c>
      <c r="EA3" s="3">
        <v>3812.1750000000002</v>
      </c>
      <c r="EB3" s="3">
        <v>3841.7249999999999</v>
      </c>
      <c r="EC3" s="3">
        <v>3878.15</v>
      </c>
      <c r="ED3" s="3">
        <v>3917.7249999999999</v>
      </c>
      <c r="EE3" s="3">
        <v>3961.1750000000002</v>
      </c>
      <c r="EF3" s="3">
        <v>3980.7</v>
      </c>
      <c r="EG3" s="3">
        <v>4011.9</v>
      </c>
      <c r="EH3" s="3">
        <v>4034.1750000000002</v>
      </c>
      <c r="EI3" s="3">
        <v>4088.45</v>
      </c>
      <c r="EJ3" s="3">
        <v>4099.05</v>
      </c>
      <c r="EK3" s="3">
        <v>4105.1750000000002</v>
      </c>
      <c r="EL3" s="3">
        <v>4140.4750000000004</v>
      </c>
      <c r="EM3" s="3">
        <v>4152.9250000000002</v>
      </c>
      <c r="EN3" s="3">
        <v>4178.3249999999998</v>
      </c>
      <c r="EO3" s="3">
        <v>4202.3999999999996</v>
      </c>
      <c r="EP3" s="3">
        <v>4228.8</v>
      </c>
      <c r="EQ3" s="3">
        <v>4210.75</v>
      </c>
      <c r="ER3" s="3">
        <v>4235.8249999999998</v>
      </c>
      <c r="ES3" s="3">
        <v>4213.5749999999998</v>
      </c>
      <c r="ET3" s="3">
        <v>4121.3500000000004</v>
      </c>
      <c r="EU3" s="3">
        <v>4074.5749999999998</v>
      </c>
      <c r="EV3" s="3">
        <v>4067.2750000000001</v>
      </c>
      <c r="EW3" s="3">
        <v>4081.5749999999998</v>
      </c>
      <c r="EX3" s="3">
        <v>4125.7</v>
      </c>
      <c r="EY3" s="3">
        <v>4145.6750000000002</v>
      </c>
      <c r="EZ3" s="3">
        <v>4185.8</v>
      </c>
      <c r="FA3" s="3">
        <v>4218.0749999999998</v>
      </c>
      <c r="FB3" s="3">
        <v>4240.2250000000004</v>
      </c>
      <c r="FC3" s="3">
        <v>4230.1499999999996</v>
      </c>
      <c r="FD3" s="3">
        <v>4258.7749999999996</v>
      </c>
      <c r="FE3" s="3">
        <v>4257.8249999999998</v>
      </c>
      <c r="FF3" s="3">
        <v>4305.6499999999996</v>
      </c>
      <c r="FG3" s="3">
        <v>4341.75</v>
      </c>
      <c r="FH3" s="3">
        <v>4361.125</v>
      </c>
      <c r="FI3" s="3">
        <v>4367.4250000000002</v>
      </c>
      <c r="FJ3" s="3">
        <v>4372.4750000000004</v>
      </c>
      <c r="FK3" s="3">
        <v>4415.6000000000004</v>
      </c>
      <c r="FL3" s="3">
        <v>4427.4250000000002</v>
      </c>
      <c r="FM3" s="3">
        <v>4465.125</v>
      </c>
      <c r="FN3" s="3">
        <v>4504.0249999999996</v>
      </c>
      <c r="FO3" s="3">
        <v>4488.5</v>
      </c>
      <c r="FP3" s="3">
        <v>4546.4750000000004</v>
      </c>
      <c r="FQ3" s="3">
        <v>4601.7250000000004</v>
      </c>
      <c r="FR3" s="3">
        <v>4625</v>
      </c>
      <c r="FS3" s="3">
        <v>4666.6499999999996</v>
      </c>
      <c r="FT3" s="3">
        <v>4695.55</v>
      </c>
      <c r="FU3" s="3">
        <v>4714.3500000000004</v>
      </c>
      <c r="FV3" s="3">
        <v>4723.05</v>
      </c>
      <c r="FW3" s="3">
        <v>4750.4250000000002</v>
      </c>
      <c r="FX3" s="3">
        <v>4765.6750000000002</v>
      </c>
      <c r="FY3" s="3">
        <v>4799.4750000000004</v>
      </c>
      <c r="FZ3" s="3">
        <v>4826.1000000000004</v>
      </c>
      <c r="GA3" s="3">
        <v>4849.5749999999998</v>
      </c>
      <c r="GB3" s="3">
        <v>4876.7250000000004</v>
      </c>
      <c r="GC3" s="3">
        <v>4915.2</v>
      </c>
      <c r="GD3" s="3">
        <v>4970.6000000000004</v>
      </c>
      <c r="GE3" s="3">
        <v>5011.0249999999996</v>
      </c>
      <c r="GF3" s="3">
        <v>5037.625</v>
      </c>
      <c r="GG3" s="3">
        <v>5069.05</v>
      </c>
      <c r="GH3" s="3">
        <v>5076.2250000000004</v>
      </c>
      <c r="GI3" s="3">
        <v>5103.8</v>
      </c>
      <c r="GJ3" s="3">
        <v>5146.125</v>
      </c>
      <c r="GK3" s="3">
        <v>5204.3999999999996</v>
      </c>
      <c r="GL3" s="3">
        <v>5237.7749999999996</v>
      </c>
      <c r="GM3" s="3">
        <v>5166.3999999999996</v>
      </c>
      <c r="GN3" s="3">
        <v>4758.7</v>
      </c>
      <c r="GO3" s="3">
        <v>5127.95</v>
      </c>
      <c r="GP3" s="3">
        <v>5181.0249999999996</v>
      </c>
      <c r="GQ3" s="3">
        <v>5247.625</v>
      </c>
      <c r="GR3" s="3">
        <v>5327.375</v>
      </c>
      <c r="GS3" s="3">
        <v>5370.7749999999996</v>
      </c>
      <c r="GT3" s="3">
        <v>5461.9</v>
      </c>
      <c r="GU3" s="3">
        <v>5434.7250000000004</v>
      </c>
      <c r="GV3" s="3">
        <v>5427.05</v>
      </c>
      <c r="GW3" s="3">
        <v>5462.7749999999996</v>
      </c>
      <c r="GX3" s="3">
        <v>5497.5</v>
      </c>
      <c r="GY3" s="3">
        <v>5528.0749999999998</v>
      </c>
      <c r="GZ3" s="3">
        <v>5556.35</v>
      </c>
      <c r="HA3" s="3">
        <v>5622.6750000000002</v>
      </c>
      <c r="HB3" s="3">
        <v>5669.8249999999998</v>
      </c>
      <c r="HC3" s="3">
        <v>5689.7</v>
      </c>
      <c r="HD3" s="3">
        <v>5729.6750000000002</v>
      </c>
      <c r="HE3" s="4">
        <v>5756.6989999999996</v>
      </c>
      <c r="HF3" s="4">
        <v>5781.0110000000004</v>
      </c>
      <c r="HG3" s="4">
        <v>5806.8519999999999</v>
      </c>
      <c r="HH3" s="4">
        <v>5834.9549999999999</v>
      </c>
      <c r="HI3" s="4">
        <v>5863.9139999999998</v>
      </c>
      <c r="HJ3" s="4">
        <v>5893.7380000000003</v>
      </c>
      <c r="HK3" s="4">
        <v>5923.7860000000001</v>
      </c>
      <c r="HL3" s="4">
        <v>5955.0820000000003</v>
      </c>
      <c r="HM3" s="4">
        <v>5986.9809999999998</v>
      </c>
      <c r="HN3" s="4">
        <v>6019.6419999999998</v>
      </c>
      <c r="HO3" s="4">
        <v>6051.8140000000003</v>
      </c>
      <c r="HP3" s="4">
        <v>6084.098</v>
      </c>
      <c r="HQ3" s="4">
        <v>6116.3149999999996</v>
      </c>
      <c r="HR3" s="4">
        <v>6148.19</v>
      </c>
      <c r="HS3" s="4">
        <v>6179.991</v>
      </c>
      <c r="HT3" s="4">
        <v>6211.6509999999998</v>
      </c>
      <c r="HU3" s="4">
        <v>6243.1670000000004</v>
      </c>
      <c r="HV3" s="4">
        <v>6274.4589999999998</v>
      </c>
      <c r="HW3" s="4">
        <v>6305.5990000000002</v>
      </c>
      <c r="HX3" s="4">
        <v>6337.058</v>
      </c>
      <c r="HY3" s="4">
        <v>6368.4809999999998</v>
      </c>
      <c r="HZ3" s="4">
        <v>6399.9859999999999</v>
      </c>
      <c r="IA3" s="4">
        <v>6431.4430000000002</v>
      </c>
      <c r="IB3" s="4">
        <v>6462.7420000000002</v>
      </c>
      <c r="IC3" s="4">
        <v>6493.6769999999997</v>
      </c>
      <c r="ID3" s="4">
        <v>6524.4740000000002</v>
      </c>
      <c r="IE3" s="4">
        <v>6555.241</v>
      </c>
      <c r="IF3" s="4">
        <v>6585.9210000000003</v>
      </c>
      <c r="IG3" s="4">
        <v>6616.62</v>
      </c>
      <c r="IH3" s="4">
        <v>6647.2979999999998</v>
      </c>
      <c r="II3" s="4">
        <v>6677.9229999999998</v>
      </c>
      <c r="IJ3" s="4">
        <v>6708.6549999999997</v>
      </c>
      <c r="IK3" s="4">
        <v>6739.4650000000001</v>
      </c>
      <c r="IL3" s="4">
        <v>6770.25</v>
      </c>
      <c r="IM3" s="4">
        <v>6801.0079999999998</v>
      </c>
      <c r="IN3" s="4">
        <v>6831.8879999999999</v>
      </c>
      <c r="IO3" s="4">
        <v>6862.8919999999998</v>
      </c>
      <c r="IP3" s="4">
        <v>6894.0110000000004</v>
      </c>
      <c r="IQ3" s="4">
        <v>6925.2460000000001</v>
      </c>
      <c r="IR3" s="4">
        <v>6956.5870000000004</v>
      </c>
      <c r="IS3" s="4">
        <v>6988.0370000000003</v>
      </c>
      <c r="IT3" s="4">
        <v>7019.5940000000001</v>
      </c>
      <c r="IU3" s="4">
        <v>7051.259</v>
      </c>
      <c r="IV3" s="4">
        <v>7083.05</v>
      </c>
      <c r="IW3" s="4">
        <v>7114.9660000000003</v>
      </c>
      <c r="IX3" s="4">
        <v>7147.009</v>
      </c>
      <c r="IY3" s="4">
        <v>7179.1139999999996</v>
      </c>
      <c r="IZ3" s="4">
        <v>7211.3440000000001</v>
      </c>
      <c r="JA3" s="4">
        <v>7243.6239999999998</v>
      </c>
      <c r="JB3" s="4">
        <v>7275.9740000000002</v>
      </c>
      <c r="JC3" s="4">
        <v>7308.4030000000002</v>
      </c>
      <c r="JD3" s="4">
        <v>7340.875</v>
      </c>
      <c r="JE3" s="4">
        <v>7373.5230000000001</v>
      </c>
      <c r="JF3" s="4">
        <v>7406.1869999999999</v>
      </c>
      <c r="JG3" s="4">
        <v>7438.97</v>
      </c>
      <c r="JH3" s="4">
        <v>7471.777</v>
      </c>
      <c r="JI3" s="4">
        <v>7504.7150000000001</v>
      </c>
      <c r="JJ3" s="4">
        <v>7537.8590000000004</v>
      </c>
      <c r="JK3" s="4">
        <v>7570.9859999999999</v>
      </c>
      <c r="JL3" s="4">
        <v>7604.1260000000002</v>
      </c>
      <c r="JM3" s="4">
        <v>7637.3590000000004</v>
      </c>
      <c r="JN3" s="4">
        <v>7670.741</v>
      </c>
      <c r="JO3" s="4">
        <v>7704.0249999999996</v>
      </c>
      <c r="JP3" s="4">
        <v>7737.5</v>
      </c>
      <c r="JQ3" s="4">
        <v>7771.08</v>
      </c>
      <c r="JR3" s="4">
        <v>7804.6210000000001</v>
      </c>
      <c r="JS3" s="4">
        <v>7838.2870000000003</v>
      </c>
      <c r="JT3" s="4">
        <v>7872.0389999999998</v>
      </c>
      <c r="JU3" s="4">
        <v>7905.7659999999996</v>
      </c>
      <c r="JV3" s="4">
        <v>7939.5219999999999</v>
      </c>
      <c r="JW3" s="4">
        <v>7973.3779999999997</v>
      </c>
      <c r="JX3" s="4">
        <v>8007.3209999999999</v>
      </c>
      <c r="JY3" s="4">
        <v>8041.2830000000004</v>
      </c>
      <c r="JZ3" s="4">
        <v>8075.3069999999998</v>
      </c>
      <c r="KA3" s="4">
        <v>8109.4160000000002</v>
      </c>
      <c r="KB3" s="4">
        <v>8143.5649999999996</v>
      </c>
      <c r="KC3" s="4">
        <v>8177.8270000000002</v>
      </c>
      <c r="KD3" s="4">
        <v>8212.1509999999998</v>
      </c>
      <c r="KE3" s="4">
        <v>8246.5239999999994</v>
      </c>
      <c r="KF3" s="4">
        <v>8281.0249999999996</v>
      </c>
      <c r="KG3" s="4">
        <v>8315.5550000000003</v>
      </c>
      <c r="KH3" s="4">
        <v>8350.1890000000003</v>
      </c>
      <c r="KI3" s="4">
        <v>8384.9</v>
      </c>
      <c r="KJ3" s="4">
        <v>8419.7180000000008</v>
      </c>
      <c r="KK3" s="4">
        <v>8454.5840000000007</v>
      </c>
      <c r="KL3" s="4">
        <v>8489.51</v>
      </c>
      <c r="KM3" s="4">
        <v>8524.6080000000002</v>
      </c>
      <c r="KN3" s="4">
        <v>8559.7459999999992</v>
      </c>
      <c r="KO3" s="4">
        <v>8594.9359999999997</v>
      </c>
      <c r="KP3" s="4">
        <v>8630.2219999999998</v>
      </c>
      <c r="KQ3" s="4">
        <v>8665.5959999999995</v>
      </c>
      <c r="KR3" s="4">
        <v>8701.0660000000007</v>
      </c>
      <c r="KS3" s="4">
        <v>8736.6309999999994</v>
      </c>
      <c r="KT3" s="4">
        <v>8772.3130000000001</v>
      </c>
      <c r="KU3" s="4">
        <v>8808.0619999999999</v>
      </c>
      <c r="KV3" s="4">
        <v>8843.9230000000007</v>
      </c>
      <c r="KW3" s="4">
        <v>8879.884</v>
      </c>
      <c r="KX3" s="4">
        <v>8915.9069999999992</v>
      </c>
      <c r="KY3" s="4">
        <v>8952.1280000000006</v>
      </c>
      <c r="KZ3" s="4">
        <v>8988.3439999999991</v>
      </c>
      <c r="LA3" s="4">
        <v>9024.7019999999993</v>
      </c>
      <c r="LB3" s="4">
        <v>9061.1139999999996</v>
      </c>
      <c r="LC3" s="4">
        <v>9097.6910000000007</v>
      </c>
      <c r="LD3" s="4">
        <v>9134.3539999999994</v>
      </c>
      <c r="LE3" s="4">
        <v>9171.1239999999998</v>
      </c>
      <c r="LF3" s="4">
        <v>9207.9930000000004</v>
      </c>
      <c r="LG3" t="s">
        <v>347</v>
      </c>
      <c r="LH3" t="b">
        <v>1</v>
      </c>
      <c r="LI3" s="2" t="s">
        <v>348</v>
      </c>
      <c r="LJ3" t="s">
        <v>338</v>
      </c>
      <c r="LK3">
        <v>2024</v>
      </c>
      <c r="LL3">
        <v>2</v>
      </c>
      <c r="LM3" t="s">
        <v>338</v>
      </c>
      <c r="LN3" s="2" t="s">
        <v>349</v>
      </c>
      <c r="LO3" s="2" t="s">
        <v>350</v>
      </c>
      <c r="LP3" t="s">
        <v>351</v>
      </c>
      <c r="LQ3" t="s">
        <v>342</v>
      </c>
      <c r="LR3" s="2" t="s">
        <v>343</v>
      </c>
    </row>
    <row r="4" spans="1:330" x14ac:dyDescent="0.25">
      <c r="A4" t="s">
        <v>352</v>
      </c>
      <c r="B4" t="s">
        <v>331</v>
      </c>
      <c r="C4" s="2" t="s">
        <v>332</v>
      </c>
      <c r="D4" t="s">
        <v>353</v>
      </c>
      <c r="E4" t="s">
        <v>346</v>
      </c>
      <c r="F4" t="s">
        <v>335</v>
      </c>
      <c r="G4" s="3">
        <v>52242.65</v>
      </c>
      <c r="H4" s="3">
        <v>52722.43</v>
      </c>
      <c r="I4" s="3">
        <v>52875.77</v>
      </c>
      <c r="J4" s="3">
        <v>53539.66</v>
      </c>
      <c r="K4" s="3">
        <v>51759.14</v>
      </c>
      <c r="L4" s="3">
        <v>52134.51</v>
      </c>
      <c r="M4" s="3">
        <v>52810.48</v>
      </c>
      <c r="N4" s="3">
        <v>52526.84</v>
      </c>
      <c r="O4" s="3">
        <v>52595.21</v>
      </c>
      <c r="P4" s="3">
        <v>53789.34</v>
      </c>
      <c r="Q4" s="3">
        <v>54409.61</v>
      </c>
      <c r="R4" s="3">
        <v>54986.97</v>
      </c>
      <c r="S4" s="3">
        <v>55458.37</v>
      </c>
      <c r="T4" s="3">
        <v>55787.51</v>
      </c>
      <c r="U4" s="3">
        <v>56585.37</v>
      </c>
      <c r="V4" s="3">
        <v>56653.35</v>
      </c>
      <c r="W4" s="3">
        <v>57921.84</v>
      </c>
      <c r="X4" s="3">
        <v>58330.15</v>
      </c>
      <c r="Y4" s="3">
        <v>58729.51</v>
      </c>
      <c r="Z4" s="3">
        <v>59539.25</v>
      </c>
      <c r="AA4" s="3">
        <v>60686.21</v>
      </c>
      <c r="AB4" s="3">
        <v>61280.639999999999</v>
      </c>
      <c r="AC4" s="3">
        <v>62081.49</v>
      </c>
      <c r="AD4" s="3">
        <v>62988.52</v>
      </c>
      <c r="AE4" s="3">
        <v>64175.77</v>
      </c>
      <c r="AF4" s="3">
        <v>65372.08</v>
      </c>
      <c r="AG4" s="3">
        <v>65872.72</v>
      </c>
      <c r="AH4" s="3">
        <v>66157.2</v>
      </c>
      <c r="AI4" s="3">
        <v>67431.649999999994</v>
      </c>
      <c r="AJ4" s="3">
        <v>67125.25</v>
      </c>
      <c r="AK4" s="3">
        <v>68540.479999999996</v>
      </c>
      <c r="AL4" s="3">
        <v>69895.05</v>
      </c>
      <c r="AM4" s="3">
        <v>70493.48</v>
      </c>
      <c r="AN4" s="3">
        <v>71146.73</v>
      </c>
      <c r="AO4" s="3">
        <v>71480.100000000006</v>
      </c>
      <c r="AP4" s="3">
        <v>71827.58</v>
      </c>
      <c r="AQ4" s="3">
        <v>72823.850000000006</v>
      </c>
      <c r="AR4" s="3">
        <v>73296.850000000006</v>
      </c>
      <c r="AS4" s="3">
        <v>73595.08</v>
      </c>
      <c r="AT4" s="3">
        <v>74635.23</v>
      </c>
      <c r="AU4" s="3">
        <v>75168.800000000003</v>
      </c>
      <c r="AV4" s="3">
        <v>75743.88</v>
      </c>
      <c r="AW4" s="3">
        <v>76764.23</v>
      </c>
      <c r="AX4" s="3">
        <v>77307.77</v>
      </c>
      <c r="AY4" s="3">
        <v>78032.58</v>
      </c>
      <c r="AZ4" s="3">
        <v>79658.95</v>
      </c>
      <c r="BA4" s="3">
        <v>80246.33</v>
      </c>
      <c r="BB4" s="3">
        <v>80542.25</v>
      </c>
      <c r="BC4" s="3">
        <v>81627.42</v>
      </c>
      <c r="BD4" s="3">
        <v>83146.850000000006</v>
      </c>
      <c r="BE4" s="3">
        <v>84384.77</v>
      </c>
      <c r="BF4" s="3">
        <v>85720.3</v>
      </c>
      <c r="BG4" s="3">
        <v>85758.42</v>
      </c>
      <c r="BH4" s="3">
        <v>86018.4</v>
      </c>
      <c r="BI4" s="3">
        <v>86623.83</v>
      </c>
      <c r="BJ4" s="3">
        <v>87631.63</v>
      </c>
      <c r="BK4" s="3">
        <v>87931.4</v>
      </c>
      <c r="BL4" s="3">
        <v>89458.15</v>
      </c>
      <c r="BM4" s="3">
        <v>91089.55</v>
      </c>
      <c r="BN4" s="3">
        <v>93422.8</v>
      </c>
      <c r="BO4" s="3">
        <v>94866.7</v>
      </c>
      <c r="BP4" s="3">
        <v>95559.08</v>
      </c>
      <c r="BQ4" s="3">
        <v>97321.1</v>
      </c>
      <c r="BR4" s="3">
        <v>98386.73</v>
      </c>
      <c r="BS4" s="3">
        <v>100718.5</v>
      </c>
      <c r="BT4" s="3">
        <v>99521.33</v>
      </c>
      <c r="BU4" s="3">
        <v>101067.9</v>
      </c>
      <c r="BV4" s="3">
        <v>103823.8</v>
      </c>
      <c r="BW4" s="3">
        <v>103264</v>
      </c>
      <c r="BX4" s="3">
        <v>105791</v>
      </c>
      <c r="BY4" s="3">
        <v>107937.8</v>
      </c>
      <c r="BZ4" s="3">
        <v>107869</v>
      </c>
      <c r="CA4" s="3">
        <v>109030.2</v>
      </c>
      <c r="CB4" s="3">
        <v>109977.8</v>
      </c>
      <c r="CC4" s="3">
        <v>109973</v>
      </c>
      <c r="CD4" s="3">
        <v>110813.9</v>
      </c>
      <c r="CE4" s="3">
        <v>110645.6</v>
      </c>
      <c r="CF4" s="3">
        <v>110982.39999999999</v>
      </c>
      <c r="CG4" s="3">
        <v>111402.7</v>
      </c>
      <c r="CH4" s="3">
        <v>110721.5</v>
      </c>
      <c r="CI4" s="3">
        <v>111282</v>
      </c>
      <c r="CJ4" s="3">
        <v>110343.9</v>
      </c>
      <c r="CK4" s="3">
        <v>109839</v>
      </c>
      <c r="CL4" s="3">
        <v>110263.7</v>
      </c>
      <c r="CM4" s="3">
        <v>111562.7</v>
      </c>
      <c r="CN4" s="3">
        <v>110952</v>
      </c>
      <c r="CO4" s="3">
        <v>112227</v>
      </c>
      <c r="CP4" s="3">
        <v>111792.8</v>
      </c>
      <c r="CQ4" s="3">
        <v>113013.4</v>
      </c>
      <c r="CR4" s="3">
        <v>114083.8</v>
      </c>
      <c r="CS4" s="3">
        <v>115422.8</v>
      </c>
      <c r="CT4" s="3">
        <v>115713.4</v>
      </c>
      <c r="CU4" s="3">
        <v>116649</v>
      </c>
      <c r="CV4" s="3">
        <v>118135.9</v>
      </c>
      <c r="CW4" s="3">
        <v>118290.6</v>
      </c>
      <c r="CX4" s="3">
        <v>119611.5</v>
      </c>
      <c r="CY4" s="3">
        <v>119901</v>
      </c>
      <c r="CZ4" s="3">
        <v>119018.6</v>
      </c>
      <c r="DA4" s="3">
        <v>119251.9</v>
      </c>
      <c r="DB4" s="3">
        <v>119295.2</v>
      </c>
      <c r="DC4" s="3">
        <v>117832.7</v>
      </c>
      <c r="DD4" s="3">
        <v>117325.8</v>
      </c>
      <c r="DE4" s="3">
        <v>117536.6</v>
      </c>
      <c r="DF4" s="3">
        <v>118476.4</v>
      </c>
      <c r="DG4" s="3">
        <v>116845.4</v>
      </c>
      <c r="DH4" s="3">
        <v>117293.8</v>
      </c>
      <c r="DI4" s="3">
        <v>117919.3</v>
      </c>
      <c r="DJ4" s="3">
        <v>117955.1</v>
      </c>
      <c r="DK4" s="3">
        <v>119981.1</v>
      </c>
      <c r="DL4" s="3">
        <v>120528.3</v>
      </c>
      <c r="DM4" s="3">
        <v>120564.4</v>
      </c>
      <c r="DN4" s="3">
        <v>121728.4</v>
      </c>
      <c r="DO4" s="3">
        <v>122638.9</v>
      </c>
      <c r="DP4" s="3">
        <v>121712.8</v>
      </c>
      <c r="DQ4" s="3">
        <v>120398.2</v>
      </c>
      <c r="DR4" s="3">
        <v>119971</v>
      </c>
      <c r="DS4" s="3">
        <v>120187.2</v>
      </c>
      <c r="DT4" s="3">
        <v>121146.3</v>
      </c>
      <c r="DU4" s="3">
        <v>121543.4</v>
      </c>
      <c r="DV4" s="3">
        <v>121872.3</v>
      </c>
      <c r="DW4" s="3">
        <v>121952.1</v>
      </c>
      <c r="DX4" s="3">
        <v>122779.1</v>
      </c>
      <c r="DY4" s="3">
        <v>123155.6</v>
      </c>
      <c r="DZ4" s="3">
        <v>124494.3</v>
      </c>
      <c r="EA4" s="3">
        <v>125421.2</v>
      </c>
      <c r="EB4" s="3">
        <v>125417.4</v>
      </c>
      <c r="EC4" s="3">
        <v>126193.60000000001</v>
      </c>
      <c r="ED4" s="3">
        <v>125958.1</v>
      </c>
      <c r="EE4" s="3">
        <v>126596.9</v>
      </c>
      <c r="EF4" s="3">
        <v>127578.2</v>
      </c>
      <c r="EG4" s="3">
        <v>128875.4</v>
      </c>
      <c r="EH4" s="3">
        <v>129110.5</v>
      </c>
      <c r="EI4" s="3">
        <v>129304.9</v>
      </c>
      <c r="EJ4" s="3">
        <v>129495.4</v>
      </c>
      <c r="EK4" s="3">
        <v>129253.3</v>
      </c>
      <c r="EL4" s="3">
        <v>131000.5</v>
      </c>
      <c r="EM4" s="3">
        <v>131852.70000000001</v>
      </c>
      <c r="EN4" s="3">
        <v>131893</v>
      </c>
      <c r="EO4" s="3">
        <v>131210.9</v>
      </c>
      <c r="EP4" s="3">
        <v>131764.20000000001</v>
      </c>
      <c r="EQ4" s="3">
        <v>132236.79999999999</v>
      </c>
      <c r="ER4" s="3">
        <v>131448.20000000001</v>
      </c>
      <c r="ES4" s="3">
        <v>129864.3</v>
      </c>
      <c r="ET4" s="3">
        <v>126612.5</v>
      </c>
      <c r="EU4" s="3">
        <v>120512.2</v>
      </c>
      <c r="EV4" s="3">
        <v>122891.9</v>
      </c>
      <c r="EW4" s="3">
        <v>122876.2</v>
      </c>
      <c r="EX4" s="3">
        <v>124344.3</v>
      </c>
      <c r="EY4" s="3">
        <v>125647.1</v>
      </c>
      <c r="EZ4" s="3">
        <v>127185.60000000001</v>
      </c>
      <c r="FA4" s="3">
        <v>129508.2</v>
      </c>
      <c r="FB4" s="3">
        <v>128405.4</v>
      </c>
      <c r="FC4" s="3">
        <v>127065.60000000001</v>
      </c>
      <c r="FD4" s="3">
        <v>125987.3</v>
      </c>
      <c r="FE4" s="3">
        <v>129043.4</v>
      </c>
      <c r="FF4" s="3">
        <v>128830.6</v>
      </c>
      <c r="FG4" s="3">
        <v>130669.4</v>
      </c>
      <c r="FH4" s="3">
        <v>129461.4</v>
      </c>
      <c r="FI4" s="3">
        <v>128960.7</v>
      </c>
      <c r="FJ4" s="3">
        <v>128849.60000000001</v>
      </c>
      <c r="FK4" s="3">
        <v>130670.5</v>
      </c>
      <c r="FL4" s="3">
        <v>131834.4</v>
      </c>
      <c r="FM4" s="3">
        <v>133095.5</v>
      </c>
      <c r="FN4" s="3">
        <v>132914.70000000001</v>
      </c>
      <c r="FO4" s="3">
        <v>134034.5</v>
      </c>
      <c r="FP4" s="3">
        <v>131599.5</v>
      </c>
      <c r="FQ4" s="3">
        <v>131723</v>
      </c>
      <c r="FR4" s="3">
        <v>132295.4</v>
      </c>
      <c r="FS4" s="3">
        <v>134381.1</v>
      </c>
      <c r="FT4" s="3">
        <v>134559.9</v>
      </c>
      <c r="FU4" s="3">
        <v>134713.5</v>
      </c>
      <c r="FV4" s="3">
        <v>134449.29999999999</v>
      </c>
      <c r="FW4" s="3">
        <v>135473</v>
      </c>
      <c r="FX4" s="3">
        <v>135259.1</v>
      </c>
      <c r="FY4" s="3">
        <v>135551.70000000001</v>
      </c>
      <c r="FZ4" s="3">
        <v>135722.20000000001</v>
      </c>
      <c r="GA4" s="3">
        <v>136791.4</v>
      </c>
      <c r="GB4" s="3">
        <v>137332</v>
      </c>
      <c r="GC4" s="3">
        <v>138497.70000000001</v>
      </c>
      <c r="GD4" s="3">
        <v>138612.5</v>
      </c>
      <c r="GE4" s="3">
        <v>138708.79999999999</v>
      </c>
      <c r="GF4" s="3">
        <v>139243.20000000001</v>
      </c>
      <c r="GG4" s="3">
        <v>138515.5</v>
      </c>
      <c r="GH4" s="3">
        <v>138240.79999999999</v>
      </c>
      <c r="GI4" s="3">
        <v>138553.29999999999</v>
      </c>
      <c r="GJ4" s="3">
        <v>139137.70000000001</v>
      </c>
      <c r="GK4" s="3">
        <v>139389.70000000001</v>
      </c>
      <c r="GL4" s="3">
        <v>135434.20000000001</v>
      </c>
      <c r="GM4" s="3">
        <v>136106.79999999999</v>
      </c>
      <c r="GN4" s="3">
        <v>125677.2</v>
      </c>
      <c r="GO4" s="3">
        <v>132544.20000000001</v>
      </c>
      <c r="GP4" s="3">
        <v>134869</v>
      </c>
      <c r="GQ4" s="3">
        <v>135270.29999999999</v>
      </c>
      <c r="GR4" s="3">
        <v>135939.70000000001</v>
      </c>
      <c r="GS4" s="3">
        <v>135503.70000000001</v>
      </c>
      <c r="GT4" s="3">
        <v>137154.79999999999</v>
      </c>
      <c r="GU4" s="3">
        <v>136389.6</v>
      </c>
      <c r="GV4" s="3">
        <v>137987</v>
      </c>
      <c r="GW4" s="3">
        <v>137723.29999999999</v>
      </c>
      <c r="GX4" s="3">
        <v>138225.79999999999</v>
      </c>
      <c r="GY4" s="3">
        <v>139817.70000000001</v>
      </c>
      <c r="GZ4" s="3">
        <v>141101.6</v>
      </c>
      <c r="HA4" s="3">
        <v>139669.1</v>
      </c>
      <c r="HB4" s="3">
        <v>139690.20000000001</v>
      </c>
      <c r="HC4" s="3">
        <v>138682</v>
      </c>
      <c r="HD4" s="4">
        <v>139695</v>
      </c>
      <c r="HE4" s="4">
        <v>141092.70000000001</v>
      </c>
      <c r="HF4" s="4">
        <v>141664</v>
      </c>
      <c r="HG4" s="4">
        <v>141793.20000000001</v>
      </c>
      <c r="HH4" s="4">
        <v>141889.29999999999</v>
      </c>
      <c r="HI4" s="4">
        <v>142022.79999999999</v>
      </c>
      <c r="HJ4" s="4">
        <v>142171.9</v>
      </c>
      <c r="HK4" s="4">
        <v>142375.79999999999</v>
      </c>
      <c r="HL4" s="4">
        <v>142563.6</v>
      </c>
      <c r="HM4" s="4">
        <v>142731.5</v>
      </c>
      <c r="HN4" s="4">
        <v>142888.70000000001</v>
      </c>
      <c r="HO4" s="4">
        <v>143050.29999999999</v>
      </c>
      <c r="HP4" s="4">
        <v>143199</v>
      </c>
      <c r="HQ4" s="4">
        <v>143338.1</v>
      </c>
      <c r="HR4" s="4">
        <v>143498.6</v>
      </c>
      <c r="HS4" s="4">
        <v>143611.1</v>
      </c>
      <c r="HT4" s="4">
        <v>143732.6</v>
      </c>
      <c r="HU4" s="4">
        <v>143838.1</v>
      </c>
      <c r="HV4" s="4">
        <v>143927.9</v>
      </c>
      <c r="HW4" s="4">
        <v>143996.70000000001</v>
      </c>
      <c r="HX4" s="4">
        <v>144070.1</v>
      </c>
      <c r="HY4" s="4">
        <v>144136.9</v>
      </c>
      <c r="HZ4" s="4">
        <v>144192</v>
      </c>
      <c r="IA4" s="4">
        <v>144240</v>
      </c>
      <c r="IB4" s="4">
        <v>144293.20000000001</v>
      </c>
      <c r="IC4" s="4">
        <v>144328</v>
      </c>
      <c r="ID4" s="4">
        <v>144347.6</v>
      </c>
      <c r="IE4" s="4">
        <v>144351</v>
      </c>
      <c r="IF4" s="4">
        <v>144361.5</v>
      </c>
      <c r="IG4" s="4">
        <v>144375.5</v>
      </c>
      <c r="IH4" s="4">
        <v>144393.79999999999</v>
      </c>
      <c r="II4" s="4">
        <v>144401.4</v>
      </c>
      <c r="IJ4" s="4">
        <v>144395.29999999999</v>
      </c>
      <c r="IK4" s="4">
        <v>144390.70000000001</v>
      </c>
      <c r="IL4" s="4">
        <v>144387.5</v>
      </c>
      <c r="IM4" s="4">
        <v>144383.29999999999</v>
      </c>
      <c r="IN4" s="4">
        <v>144370.1</v>
      </c>
      <c r="IO4" s="4">
        <v>144341.4</v>
      </c>
      <c r="IP4" s="4">
        <v>144298.9</v>
      </c>
      <c r="IQ4" s="4">
        <v>144261.9</v>
      </c>
      <c r="IR4" s="4">
        <v>144227.79999999999</v>
      </c>
      <c r="IS4" s="4">
        <v>144176.9</v>
      </c>
      <c r="IT4" s="4">
        <v>144109.5</v>
      </c>
      <c r="IU4" s="4">
        <v>144046.1</v>
      </c>
      <c r="IV4" s="4">
        <v>143987.4</v>
      </c>
      <c r="IW4" s="4">
        <v>143916</v>
      </c>
      <c r="IX4" s="4">
        <v>143831.1</v>
      </c>
      <c r="IY4" s="4">
        <v>143746</v>
      </c>
      <c r="IZ4" s="4">
        <v>143664.6</v>
      </c>
      <c r="JA4" s="4">
        <v>143580</v>
      </c>
      <c r="JB4" s="4">
        <v>143492.9</v>
      </c>
      <c r="JC4" s="4">
        <v>143405.6</v>
      </c>
      <c r="JD4" s="4">
        <v>143317.5</v>
      </c>
      <c r="JE4" s="4">
        <v>143227</v>
      </c>
      <c r="JF4" s="4">
        <v>143133.5</v>
      </c>
      <c r="JG4" s="4">
        <v>143040.4</v>
      </c>
      <c r="JH4" s="4">
        <v>142946.20000000001</v>
      </c>
      <c r="JI4" s="4">
        <v>142848.4</v>
      </c>
      <c r="JJ4" s="4">
        <v>142746.5</v>
      </c>
      <c r="JK4" s="4">
        <v>142642.20000000001</v>
      </c>
      <c r="JL4" s="4">
        <v>142537.4</v>
      </c>
      <c r="JM4" s="4">
        <v>142436.5</v>
      </c>
      <c r="JN4" s="4">
        <v>142340</v>
      </c>
      <c r="JO4" s="4">
        <v>142244.79999999999</v>
      </c>
      <c r="JP4" s="4">
        <v>142148.79999999999</v>
      </c>
      <c r="JQ4" s="4">
        <v>142057.4</v>
      </c>
      <c r="JR4" s="4">
        <v>141970.5</v>
      </c>
      <c r="JS4" s="4">
        <v>141885.4</v>
      </c>
      <c r="JT4" s="4">
        <v>141800.1</v>
      </c>
      <c r="JU4" s="4">
        <v>141718.70000000001</v>
      </c>
      <c r="JV4" s="4">
        <v>141641</v>
      </c>
      <c r="JW4" s="4">
        <v>141565.79999999999</v>
      </c>
      <c r="JX4" s="4">
        <v>141491.4</v>
      </c>
      <c r="JY4" s="4">
        <v>141421.70000000001</v>
      </c>
      <c r="JZ4" s="4">
        <v>141356</v>
      </c>
      <c r="KA4" s="4">
        <v>141293</v>
      </c>
      <c r="KB4" s="4">
        <v>141231.29999999999</v>
      </c>
      <c r="KC4" s="4">
        <v>141172.79999999999</v>
      </c>
      <c r="KD4" s="4">
        <v>141117.5</v>
      </c>
      <c r="KE4" s="4">
        <v>141066.29999999999</v>
      </c>
      <c r="KF4" s="4">
        <v>141019.9</v>
      </c>
      <c r="KG4" s="4">
        <v>140980.79999999999</v>
      </c>
      <c r="KH4" s="4">
        <v>140948.70000000001</v>
      </c>
      <c r="KI4" s="4">
        <v>140922.1</v>
      </c>
      <c r="KJ4" s="4">
        <v>140899.6</v>
      </c>
      <c r="KK4" s="4">
        <v>140883</v>
      </c>
      <c r="KL4" s="4">
        <v>140872.20000000001</v>
      </c>
      <c r="KM4" s="4">
        <v>140866.20000000001</v>
      </c>
      <c r="KN4" s="4">
        <v>140864.20000000001</v>
      </c>
      <c r="KO4" s="4">
        <v>140867.20000000001</v>
      </c>
      <c r="KP4" s="4">
        <v>140874.4</v>
      </c>
      <c r="KQ4" s="4">
        <v>140882.6</v>
      </c>
      <c r="KR4" s="4">
        <v>140891.6</v>
      </c>
      <c r="KS4" s="4">
        <v>140905.70000000001</v>
      </c>
      <c r="KT4" s="4">
        <v>140924.29999999999</v>
      </c>
      <c r="KU4" s="4">
        <v>140942</v>
      </c>
      <c r="KV4" s="4">
        <v>140958.5</v>
      </c>
      <c r="KW4" s="4">
        <v>140977.9</v>
      </c>
      <c r="KX4" s="4">
        <v>141000.70000000001</v>
      </c>
      <c r="KY4" s="4">
        <v>141020.20000000001</v>
      </c>
      <c r="KZ4" s="4">
        <v>141039.20000000001</v>
      </c>
      <c r="LA4" s="4">
        <v>141066.70000000001</v>
      </c>
      <c r="LB4" s="4">
        <v>141103.79999999999</v>
      </c>
      <c r="LC4" s="4">
        <v>141141.29999999999</v>
      </c>
      <c r="LD4" s="4">
        <v>141177.9</v>
      </c>
      <c r="LE4" s="4">
        <v>141224.1</v>
      </c>
      <c r="LF4" s="4">
        <v>141280</v>
      </c>
      <c r="LG4" s="2" t="s">
        <v>354</v>
      </c>
      <c r="LH4" t="b">
        <v>1</v>
      </c>
      <c r="LI4">
        <v>2015</v>
      </c>
      <c r="LJ4" t="s">
        <v>338</v>
      </c>
      <c r="LK4">
        <v>2024</v>
      </c>
      <c r="LL4">
        <v>1</v>
      </c>
      <c r="LM4" t="s">
        <v>338</v>
      </c>
      <c r="LN4" s="2" t="s">
        <v>355</v>
      </c>
      <c r="LO4" s="2" t="s">
        <v>356</v>
      </c>
      <c r="LP4" t="s">
        <v>357</v>
      </c>
      <c r="LQ4" t="s">
        <v>342</v>
      </c>
      <c r="LR4" s="2" t="s">
        <v>343</v>
      </c>
    </row>
    <row r="5" spans="1:330" x14ac:dyDescent="0.25">
      <c r="A5" t="s">
        <v>358</v>
      </c>
      <c r="B5" t="s">
        <v>331</v>
      </c>
      <c r="C5" s="2" t="s">
        <v>332</v>
      </c>
      <c r="D5" t="s">
        <v>359</v>
      </c>
      <c r="E5" t="s">
        <v>346</v>
      </c>
      <c r="F5" t="s">
        <v>335</v>
      </c>
      <c r="G5" s="3">
        <v>354.57279999999997</v>
      </c>
      <c r="H5" s="3">
        <v>357.09429999999998</v>
      </c>
      <c r="I5" s="3">
        <v>358.3091</v>
      </c>
      <c r="J5" s="3">
        <v>359.21089999999998</v>
      </c>
      <c r="K5" s="3">
        <v>362.10980000000001</v>
      </c>
      <c r="L5" s="3">
        <v>361.79689999999999</v>
      </c>
      <c r="M5" s="3">
        <v>361.94420000000002</v>
      </c>
      <c r="N5" s="3">
        <v>357.3152</v>
      </c>
      <c r="O5" s="3">
        <v>355.26299999999998</v>
      </c>
      <c r="P5" s="3">
        <v>353.51440000000002</v>
      </c>
      <c r="Q5" s="3">
        <v>357.3152</v>
      </c>
      <c r="R5" s="3">
        <v>364.45650000000001</v>
      </c>
      <c r="S5" s="3">
        <v>367.57619999999997</v>
      </c>
      <c r="T5" s="3">
        <v>373.12549999999999</v>
      </c>
      <c r="U5" s="3">
        <v>373.28199999999998</v>
      </c>
      <c r="V5" s="3">
        <v>380.11959999999999</v>
      </c>
      <c r="W5" s="3">
        <v>383.46940000000001</v>
      </c>
      <c r="X5" s="3">
        <v>385.58600000000001</v>
      </c>
      <c r="Y5" s="3">
        <v>385.43880000000001</v>
      </c>
      <c r="Z5" s="3">
        <v>392.05549999999999</v>
      </c>
      <c r="AA5" s="3">
        <v>393.72129999999999</v>
      </c>
      <c r="AB5" s="3">
        <v>395.32249999999999</v>
      </c>
      <c r="AC5" s="3">
        <v>400.4117</v>
      </c>
      <c r="AD5" s="3">
        <v>405.12349999999998</v>
      </c>
      <c r="AE5" s="3">
        <v>405.65719999999999</v>
      </c>
      <c r="AF5" s="3">
        <v>418.20060000000001</v>
      </c>
      <c r="AG5" s="3">
        <v>418.27420000000001</v>
      </c>
      <c r="AH5" s="3">
        <v>420.77730000000003</v>
      </c>
      <c r="AI5" s="3">
        <v>424.12709999999998</v>
      </c>
      <c r="AJ5" s="3">
        <v>421.38470000000001</v>
      </c>
      <c r="AK5" s="3">
        <v>419.71899999999999</v>
      </c>
      <c r="AL5" s="3">
        <v>419.11160000000001</v>
      </c>
      <c r="AM5" s="3">
        <v>424.20080000000002</v>
      </c>
      <c r="AN5" s="3">
        <v>423.05959999999999</v>
      </c>
      <c r="AO5" s="3">
        <v>424.20080000000002</v>
      </c>
      <c r="AP5" s="3">
        <v>423.81420000000003</v>
      </c>
      <c r="AQ5" s="3">
        <v>425.4984</v>
      </c>
      <c r="AR5" s="3">
        <v>422.82960000000003</v>
      </c>
      <c r="AS5" s="3">
        <v>418.73430000000002</v>
      </c>
      <c r="AT5" s="3">
        <v>419.71899999999999</v>
      </c>
      <c r="AU5" s="3">
        <v>423.59339999999997</v>
      </c>
      <c r="AV5" s="3">
        <v>428.00150000000002</v>
      </c>
      <c r="AW5" s="3">
        <v>427.01679999999999</v>
      </c>
      <c r="AX5" s="3">
        <v>432.93419999999998</v>
      </c>
      <c r="AY5" s="3">
        <v>438.63990000000001</v>
      </c>
      <c r="AZ5" s="3">
        <v>431.80220000000003</v>
      </c>
      <c r="BA5" s="3">
        <v>443.50810000000001</v>
      </c>
      <c r="BB5" s="3">
        <v>447.226</v>
      </c>
      <c r="BC5" s="3">
        <v>444.87009999999998</v>
      </c>
      <c r="BD5" s="3">
        <v>449.20460000000003</v>
      </c>
      <c r="BE5" s="3">
        <v>455.1404</v>
      </c>
      <c r="BF5" s="3">
        <v>457.8</v>
      </c>
      <c r="BG5" s="3">
        <v>455.28769999999997</v>
      </c>
      <c r="BH5" s="3">
        <v>460.53320000000002</v>
      </c>
      <c r="BI5" s="3">
        <v>463.94740000000002</v>
      </c>
      <c r="BJ5" s="3">
        <v>468.512</v>
      </c>
      <c r="BK5" s="3">
        <v>456.73250000000002</v>
      </c>
      <c r="BL5" s="3">
        <v>466.99360000000001</v>
      </c>
      <c r="BM5" s="3">
        <v>470.26049999999998</v>
      </c>
      <c r="BN5" s="3">
        <v>477.71480000000003</v>
      </c>
      <c r="BO5" s="3">
        <v>473.5367</v>
      </c>
      <c r="BP5" s="3">
        <v>482.12290000000002</v>
      </c>
      <c r="BQ5" s="3">
        <v>487.44200000000001</v>
      </c>
      <c r="BR5" s="3">
        <v>493.29500000000002</v>
      </c>
      <c r="BS5" s="3">
        <v>498.31049999999999</v>
      </c>
      <c r="BT5" s="3">
        <v>500.36270000000002</v>
      </c>
      <c r="BU5" s="3">
        <v>504.9273</v>
      </c>
      <c r="BV5" s="3">
        <v>510.78019999999998</v>
      </c>
      <c r="BW5" s="3">
        <v>521.33579999999995</v>
      </c>
      <c r="BX5" s="3">
        <v>524.00459999999998</v>
      </c>
      <c r="BY5" s="3">
        <v>535.02030000000002</v>
      </c>
      <c r="BZ5" s="3">
        <v>544.44389999999999</v>
      </c>
      <c r="CA5" s="3">
        <v>560.61310000000003</v>
      </c>
      <c r="CB5" s="3">
        <v>558.15599999999995</v>
      </c>
      <c r="CC5" s="3">
        <v>557.12530000000004</v>
      </c>
      <c r="CD5" s="3">
        <v>564.96600000000001</v>
      </c>
      <c r="CE5" s="3">
        <v>572.96320000000003</v>
      </c>
      <c r="CF5" s="3">
        <v>569.4846</v>
      </c>
      <c r="CG5" s="3">
        <v>567.97529999999995</v>
      </c>
      <c r="CH5" s="3">
        <v>566.30960000000005</v>
      </c>
      <c r="CI5" s="3">
        <v>561.87390000000005</v>
      </c>
      <c r="CJ5" s="3">
        <v>562.11320000000001</v>
      </c>
      <c r="CK5" s="3">
        <v>565.27890000000002</v>
      </c>
      <c r="CL5" s="3">
        <v>564.88319999999999</v>
      </c>
      <c r="CM5" s="3">
        <v>572.72389999999996</v>
      </c>
      <c r="CN5" s="3">
        <v>576.05539999999996</v>
      </c>
      <c r="CO5" s="3">
        <v>579.37750000000005</v>
      </c>
      <c r="CP5" s="3">
        <v>585.87469999999996</v>
      </c>
      <c r="CQ5" s="3">
        <v>583.50040000000001</v>
      </c>
      <c r="CR5" s="3">
        <v>588.24900000000002</v>
      </c>
      <c r="CS5" s="3">
        <v>589.27970000000005</v>
      </c>
      <c r="CT5" s="3">
        <v>589.51900000000001</v>
      </c>
      <c r="CU5" s="3">
        <v>585.39610000000005</v>
      </c>
      <c r="CV5" s="3">
        <v>593.55899999999997</v>
      </c>
      <c r="CW5" s="3">
        <v>595.62040000000002</v>
      </c>
      <c r="CX5" s="3">
        <v>601.00400000000002</v>
      </c>
      <c r="CY5" s="3">
        <v>598.15110000000004</v>
      </c>
      <c r="CZ5" s="3">
        <v>604.88760000000002</v>
      </c>
      <c r="DA5" s="3">
        <v>607.02260000000001</v>
      </c>
      <c r="DB5" s="3">
        <v>611.54110000000003</v>
      </c>
      <c r="DC5" s="3">
        <v>617.5598</v>
      </c>
      <c r="DD5" s="3">
        <v>614.70690000000002</v>
      </c>
      <c r="DE5" s="3">
        <v>617.5598</v>
      </c>
      <c r="DF5" s="3">
        <v>617.40329999999994</v>
      </c>
      <c r="DG5" s="3">
        <v>624.68269999999995</v>
      </c>
      <c r="DH5" s="3">
        <v>623.89120000000003</v>
      </c>
      <c r="DI5" s="3">
        <v>632.29330000000004</v>
      </c>
      <c r="DJ5" s="3">
        <v>635.30269999999996</v>
      </c>
      <c r="DK5" s="3">
        <v>645.36130000000003</v>
      </c>
      <c r="DL5" s="3">
        <v>650.34910000000002</v>
      </c>
      <c r="DM5" s="3">
        <v>650.74490000000003</v>
      </c>
      <c r="DN5" s="3">
        <v>647.97490000000005</v>
      </c>
      <c r="DO5" s="3">
        <v>661.90779999999995</v>
      </c>
      <c r="DP5" s="3">
        <v>660.01199999999994</v>
      </c>
      <c r="DQ5" s="3">
        <v>659.92920000000004</v>
      </c>
      <c r="DR5" s="3">
        <v>657.95060000000001</v>
      </c>
      <c r="DS5" s="3">
        <v>655.18060000000003</v>
      </c>
      <c r="DT5" s="3">
        <v>657.47199999999998</v>
      </c>
      <c r="DU5" s="3">
        <v>661.99059999999997</v>
      </c>
      <c r="DV5" s="3">
        <v>660.25130000000001</v>
      </c>
      <c r="DW5" s="3">
        <v>651.37980000000005</v>
      </c>
      <c r="DX5" s="3">
        <v>652.17129999999997</v>
      </c>
      <c r="DY5" s="3">
        <v>658.10709999999995</v>
      </c>
      <c r="DZ5" s="3">
        <v>658.89850000000001</v>
      </c>
      <c r="EA5" s="3">
        <v>658.10709999999995</v>
      </c>
      <c r="EB5" s="3">
        <v>661.83420000000001</v>
      </c>
      <c r="EC5" s="3">
        <v>659.68989999999997</v>
      </c>
      <c r="ED5" s="3">
        <v>659.37699999999995</v>
      </c>
      <c r="EE5" s="3">
        <v>660.56420000000003</v>
      </c>
      <c r="EF5" s="3">
        <v>664.20849999999996</v>
      </c>
      <c r="EG5" s="3">
        <v>669.67489999999998</v>
      </c>
      <c r="EH5" s="3">
        <v>672.20569999999998</v>
      </c>
      <c r="EI5" s="3">
        <v>679.73350000000005</v>
      </c>
      <c r="EJ5" s="3">
        <v>691.29219999999998</v>
      </c>
      <c r="EK5" s="3">
        <v>696.68499999999995</v>
      </c>
      <c r="EL5" s="3">
        <v>706.81719999999996</v>
      </c>
      <c r="EM5" s="3">
        <v>707.77430000000004</v>
      </c>
      <c r="EN5" s="3">
        <v>712.44010000000003</v>
      </c>
      <c r="EO5" s="3">
        <v>716.01070000000004</v>
      </c>
      <c r="EP5" s="3">
        <v>721.31150000000002</v>
      </c>
      <c r="EQ5" s="3">
        <v>725.67359999999996</v>
      </c>
      <c r="ER5" s="3">
        <v>723.06010000000003</v>
      </c>
      <c r="ES5" s="3">
        <v>719.09370000000001</v>
      </c>
      <c r="ET5" s="3">
        <v>708.00440000000003</v>
      </c>
      <c r="EU5" s="3">
        <v>674.74559999999997</v>
      </c>
      <c r="EV5" s="3">
        <v>676.56769999999995</v>
      </c>
      <c r="EW5" s="3">
        <v>680.6078</v>
      </c>
      <c r="EX5" s="3">
        <v>685.90859999999998</v>
      </c>
      <c r="EY5" s="3">
        <v>690.82280000000003</v>
      </c>
      <c r="EZ5" s="3">
        <v>705.86929999999995</v>
      </c>
      <c r="FA5" s="3">
        <v>712.67939999999999</v>
      </c>
      <c r="FB5" s="3">
        <v>717.35440000000006</v>
      </c>
      <c r="FC5" s="3">
        <v>730.34860000000003</v>
      </c>
      <c r="FD5" s="3">
        <v>732.32719999999995</v>
      </c>
      <c r="FE5" s="3">
        <v>736.36720000000003</v>
      </c>
      <c r="FF5" s="3">
        <v>736.28440000000001</v>
      </c>
      <c r="FG5" s="3">
        <v>737.8673</v>
      </c>
      <c r="FH5" s="3">
        <v>738.58510000000001</v>
      </c>
      <c r="FI5" s="3">
        <v>740.16800000000001</v>
      </c>
      <c r="FJ5" s="3">
        <v>737.71079999999995</v>
      </c>
      <c r="FK5" s="3">
        <v>733.51440000000002</v>
      </c>
      <c r="FL5" s="3">
        <v>742.54229999999995</v>
      </c>
      <c r="FM5" s="3">
        <v>746.1866</v>
      </c>
      <c r="FN5" s="3">
        <v>747.06089999999995</v>
      </c>
      <c r="FO5" s="3">
        <v>754.90160000000003</v>
      </c>
      <c r="FP5" s="3">
        <v>755.13170000000002</v>
      </c>
      <c r="FQ5" s="3">
        <v>759.01520000000005</v>
      </c>
      <c r="FR5" s="3">
        <v>764.63810000000001</v>
      </c>
      <c r="FS5" s="3">
        <v>762.89869999999996</v>
      </c>
      <c r="FT5" s="3">
        <v>767.57380000000001</v>
      </c>
      <c r="FU5" s="3">
        <v>771.13530000000003</v>
      </c>
      <c r="FV5" s="3">
        <v>774.77949999999998</v>
      </c>
      <c r="FW5" s="3">
        <v>782.22450000000003</v>
      </c>
      <c r="FX5" s="3">
        <v>784.83810000000005</v>
      </c>
      <c r="FY5" s="3">
        <v>786.97310000000004</v>
      </c>
      <c r="FZ5" s="3">
        <v>790.30460000000005</v>
      </c>
      <c r="GA5" s="3">
        <v>799.64530000000002</v>
      </c>
      <c r="GB5" s="3">
        <v>806.77750000000003</v>
      </c>
      <c r="GC5" s="3">
        <v>812.24390000000005</v>
      </c>
      <c r="GD5" s="3">
        <v>820.24109999999996</v>
      </c>
      <c r="GE5" s="3">
        <v>816.04470000000003</v>
      </c>
      <c r="GF5" s="3">
        <v>822.14610000000005</v>
      </c>
      <c r="GG5" s="3">
        <v>815.96190000000001</v>
      </c>
      <c r="GH5" s="3">
        <v>821.3546</v>
      </c>
      <c r="GI5" s="3">
        <v>825.70749999999998</v>
      </c>
      <c r="GJ5" s="3">
        <v>826.58180000000004</v>
      </c>
      <c r="GK5" s="3">
        <v>828.47749999999996</v>
      </c>
      <c r="GL5" s="3">
        <v>828.47749999999996</v>
      </c>
      <c r="GM5" s="3">
        <v>809.94320000000005</v>
      </c>
      <c r="GN5" s="3">
        <v>738.18939999999998</v>
      </c>
      <c r="GO5" s="3">
        <v>802.02890000000002</v>
      </c>
      <c r="GP5" s="3">
        <v>811.60889999999995</v>
      </c>
      <c r="GQ5" s="3">
        <v>801.62400000000002</v>
      </c>
      <c r="GR5" s="3">
        <v>821.66750000000002</v>
      </c>
      <c r="GS5" s="3">
        <v>822.77189999999996</v>
      </c>
      <c r="GT5" s="3">
        <v>827.68619999999999</v>
      </c>
      <c r="GU5" s="3">
        <v>831.17399999999998</v>
      </c>
      <c r="GV5" s="3">
        <v>831.09109999999998</v>
      </c>
      <c r="GW5" s="3">
        <v>836.40110000000004</v>
      </c>
      <c r="GX5" s="3">
        <v>831.96540000000005</v>
      </c>
      <c r="GY5" s="3">
        <v>832.99609999999996</v>
      </c>
      <c r="GZ5" s="3">
        <v>831.80899999999997</v>
      </c>
      <c r="HA5" s="3">
        <v>833.54830000000004</v>
      </c>
      <c r="HB5" s="3">
        <v>830.29970000000003</v>
      </c>
      <c r="HC5" s="3">
        <v>831.96540000000005</v>
      </c>
      <c r="HD5" s="3">
        <v>831.33040000000005</v>
      </c>
      <c r="HE5" s="4">
        <v>832.08529999999996</v>
      </c>
      <c r="HF5" s="4">
        <v>833.77250000000004</v>
      </c>
      <c r="HG5" s="4">
        <v>835.83</v>
      </c>
      <c r="HH5" s="4">
        <v>838.43520000000001</v>
      </c>
      <c r="HI5" s="4">
        <v>841.33309999999994</v>
      </c>
      <c r="HJ5" s="4">
        <v>844.44309999999996</v>
      </c>
      <c r="HK5" s="4">
        <v>847.80849999999998</v>
      </c>
      <c r="HL5" s="4">
        <v>851.27909999999997</v>
      </c>
      <c r="HM5" s="4">
        <v>854.80370000000005</v>
      </c>
      <c r="HN5" s="4">
        <v>858.46169999999995</v>
      </c>
      <c r="HO5" s="4">
        <v>862.11410000000001</v>
      </c>
      <c r="HP5" s="4">
        <v>865.80050000000006</v>
      </c>
      <c r="HQ5" s="4">
        <v>869.41849999999999</v>
      </c>
      <c r="HR5" s="4">
        <v>873.05610000000001</v>
      </c>
      <c r="HS5" s="4">
        <v>876.51589999999999</v>
      </c>
      <c r="HT5" s="4">
        <v>879.93589999999995</v>
      </c>
      <c r="HU5" s="4">
        <v>883.3175</v>
      </c>
      <c r="HV5" s="4">
        <v>886.48389999999995</v>
      </c>
      <c r="HW5" s="4">
        <v>889.39030000000002</v>
      </c>
      <c r="HX5" s="4">
        <v>892.12249999999995</v>
      </c>
      <c r="HY5" s="4">
        <v>894.55</v>
      </c>
      <c r="HZ5" s="4">
        <v>896.74580000000003</v>
      </c>
      <c r="IA5" s="4">
        <v>898.89400000000001</v>
      </c>
      <c r="IB5" s="4">
        <v>900.95500000000004</v>
      </c>
      <c r="IC5" s="4">
        <v>902.94820000000004</v>
      </c>
      <c r="ID5" s="4">
        <v>904.8655</v>
      </c>
      <c r="IE5" s="4">
        <v>906.74869999999999</v>
      </c>
      <c r="IF5" s="4">
        <v>908.61379999999997</v>
      </c>
      <c r="IG5" s="4">
        <v>910.46019999999999</v>
      </c>
      <c r="IH5" s="4">
        <v>912.28790000000004</v>
      </c>
      <c r="II5" s="4">
        <v>914.20510000000002</v>
      </c>
      <c r="IJ5" s="4">
        <v>916.10360000000003</v>
      </c>
      <c r="IK5" s="4">
        <v>917.9162</v>
      </c>
      <c r="IL5" s="4">
        <v>919.70920000000001</v>
      </c>
      <c r="IM5" s="4">
        <v>921.49459999999999</v>
      </c>
      <c r="IN5" s="4">
        <v>923.2595</v>
      </c>
      <c r="IO5" s="4">
        <v>925.00369999999998</v>
      </c>
      <c r="IP5" s="4">
        <v>926.72709999999995</v>
      </c>
      <c r="IQ5" s="4">
        <v>928.49620000000004</v>
      </c>
      <c r="IR5" s="4">
        <v>930.24469999999997</v>
      </c>
      <c r="IS5" s="4">
        <v>931.97239999999999</v>
      </c>
      <c r="IT5" s="4">
        <v>933.67899999999997</v>
      </c>
      <c r="IU5" s="4">
        <v>935.4529</v>
      </c>
      <c r="IV5" s="4">
        <v>937.20680000000004</v>
      </c>
      <c r="IW5" s="4">
        <v>938.94060000000002</v>
      </c>
      <c r="IX5" s="4">
        <v>940.58500000000004</v>
      </c>
      <c r="IY5" s="4">
        <v>942.45590000000004</v>
      </c>
      <c r="IZ5" s="4">
        <v>944.32770000000005</v>
      </c>
      <c r="JA5" s="4">
        <v>946.20029999999997</v>
      </c>
      <c r="JB5" s="4">
        <v>948.07360000000006</v>
      </c>
      <c r="JC5" s="4">
        <v>949.96699999999998</v>
      </c>
      <c r="JD5" s="4">
        <v>951.8623</v>
      </c>
      <c r="JE5" s="4">
        <v>953.75959999999998</v>
      </c>
      <c r="JF5" s="4">
        <v>955.65890000000002</v>
      </c>
      <c r="JG5" s="4">
        <v>957.54459999999995</v>
      </c>
      <c r="JH5" s="4">
        <v>959.43280000000004</v>
      </c>
      <c r="JI5" s="4">
        <v>961.32380000000001</v>
      </c>
      <c r="JJ5" s="4">
        <v>963.21749999999997</v>
      </c>
      <c r="JK5" s="4">
        <v>965.38369999999998</v>
      </c>
      <c r="JL5" s="4">
        <v>967.55579999999998</v>
      </c>
      <c r="JM5" s="4">
        <v>969.73329999999999</v>
      </c>
      <c r="JN5" s="4">
        <v>971.91669999999999</v>
      </c>
      <c r="JO5" s="4">
        <v>974.36410000000001</v>
      </c>
      <c r="JP5" s="4">
        <v>976.82050000000004</v>
      </c>
      <c r="JQ5" s="4">
        <v>979.28579999999999</v>
      </c>
      <c r="JR5" s="4">
        <v>981.76020000000005</v>
      </c>
      <c r="JS5" s="4">
        <v>984.29610000000002</v>
      </c>
      <c r="JT5" s="4">
        <v>986.84169999999995</v>
      </c>
      <c r="JU5" s="4">
        <v>989.39649999999995</v>
      </c>
      <c r="JV5" s="4">
        <v>991.9606</v>
      </c>
      <c r="JW5" s="4">
        <v>994.58389999999997</v>
      </c>
      <c r="JX5" s="4">
        <v>997.21699999999998</v>
      </c>
      <c r="JY5" s="4">
        <v>999.86</v>
      </c>
      <c r="JZ5" s="4">
        <v>1002.513</v>
      </c>
      <c r="KA5" s="4">
        <v>1005.116</v>
      </c>
      <c r="KB5" s="4">
        <v>1007.728</v>
      </c>
      <c r="KC5" s="4">
        <v>1010.349</v>
      </c>
      <c r="KD5" s="4">
        <v>1012.98</v>
      </c>
      <c r="KE5" s="4">
        <v>1015.561</v>
      </c>
      <c r="KF5" s="4">
        <v>1018.13</v>
      </c>
      <c r="KG5" s="4">
        <v>1020.688</v>
      </c>
      <c r="KH5" s="4">
        <v>1023.2329999999999</v>
      </c>
      <c r="KI5" s="4">
        <v>1025.7170000000001</v>
      </c>
      <c r="KJ5" s="4">
        <v>1028.1869999999999</v>
      </c>
      <c r="KK5" s="4">
        <v>1030.665</v>
      </c>
      <c r="KL5" s="4">
        <v>1033.1489999999999</v>
      </c>
      <c r="KM5" s="4">
        <v>1035.578</v>
      </c>
      <c r="KN5" s="4">
        <v>1038.0129999999999</v>
      </c>
      <c r="KO5" s="4">
        <v>1040.4549999999999</v>
      </c>
      <c r="KP5" s="4">
        <v>1042.905</v>
      </c>
      <c r="KQ5" s="4">
        <v>1045.1780000000001</v>
      </c>
      <c r="KR5" s="4">
        <v>1047.4559999999999</v>
      </c>
      <c r="KS5" s="4">
        <v>1049.741</v>
      </c>
      <c r="KT5" s="4">
        <v>1052.0309999999999</v>
      </c>
      <c r="KU5" s="4">
        <v>1054.317</v>
      </c>
      <c r="KV5" s="4">
        <v>1056.6089999999999</v>
      </c>
      <c r="KW5" s="4">
        <v>1058.9079999999999</v>
      </c>
      <c r="KX5" s="4">
        <v>1061.2139999999999</v>
      </c>
      <c r="KY5" s="4">
        <v>1063.472</v>
      </c>
      <c r="KZ5" s="4">
        <v>1065.7360000000001</v>
      </c>
      <c r="LA5" s="4">
        <v>1067.9949999999999</v>
      </c>
      <c r="LB5" s="4">
        <v>1070.249</v>
      </c>
      <c r="LC5" s="4">
        <v>1072.5350000000001</v>
      </c>
      <c r="LD5" s="4">
        <v>1074.817</v>
      </c>
      <c r="LE5" s="4">
        <v>1077.0940000000001</v>
      </c>
      <c r="LF5" s="4">
        <v>1079.367</v>
      </c>
      <c r="LG5" t="s">
        <v>360</v>
      </c>
      <c r="LH5" t="b">
        <v>1</v>
      </c>
      <c r="LI5" s="2" t="s">
        <v>361</v>
      </c>
      <c r="LJ5" t="s">
        <v>338</v>
      </c>
      <c r="LK5">
        <v>2024</v>
      </c>
      <c r="LL5">
        <v>2</v>
      </c>
      <c r="LM5" t="s">
        <v>338</v>
      </c>
      <c r="LN5" t="s">
        <v>362</v>
      </c>
      <c r="LO5" s="2" t="s">
        <v>363</v>
      </c>
      <c r="LP5" t="s">
        <v>364</v>
      </c>
      <c r="LQ5" t="s">
        <v>342</v>
      </c>
      <c r="LR5" s="2" t="s">
        <v>343</v>
      </c>
    </row>
    <row r="6" spans="1:330" x14ac:dyDescent="0.25">
      <c r="A6" t="s">
        <v>365</v>
      </c>
      <c r="B6" t="s">
        <v>331</v>
      </c>
      <c r="C6" s="2" t="s">
        <v>332</v>
      </c>
      <c r="D6" t="s">
        <v>359</v>
      </c>
      <c r="E6" t="s">
        <v>346</v>
      </c>
      <c r="F6" t="s">
        <v>335</v>
      </c>
      <c r="G6" s="3">
        <v>244.37899999999999</v>
      </c>
      <c r="H6" s="3">
        <v>247.94900000000001</v>
      </c>
      <c r="I6" s="3">
        <v>251.887</v>
      </c>
      <c r="J6" s="3">
        <v>254.935</v>
      </c>
      <c r="K6" s="3">
        <v>259.11799999999999</v>
      </c>
      <c r="L6" s="3">
        <v>260.94600000000003</v>
      </c>
      <c r="M6" s="3">
        <v>263.84100000000001</v>
      </c>
      <c r="N6" s="3">
        <v>259.13400000000001</v>
      </c>
      <c r="O6" s="3">
        <v>257.13400000000001</v>
      </c>
      <c r="P6" s="3">
        <v>257.05099999999999</v>
      </c>
      <c r="Q6" s="3">
        <v>256.88299999999998</v>
      </c>
      <c r="R6" s="3">
        <v>262.37599999999998</v>
      </c>
      <c r="S6" s="3">
        <v>264.851</v>
      </c>
      <c r="T6" s="3">
        <v>268.47199999999998</v>
      </c>
      <c r="U6" s="3">
        <v>271.536</v>
      </c>
      <c r="V6" s="3">
        <v>273.45299999999997</v>
      </c>
      <c r="W6" s="3">
        <v>276.54700000000003</v>
      </c>
      <c r="X6" s="3">
        <v>277.65499999999997</v>
      </c>
      <c r="Y6" s="3">
        <v>279.92700000000002</v>
      </c>
      <c r="Z6" s="3">
        <v>282.16000000000003</v>
      </c>
      <c r="AA6" s="3">
        <v>286.06200000000001</v>
      </c>
      <c r="AB6" s="3">
        <v>289.17899999999997</v>
      </c>
      <c r="AC6" s="3">
        <v>290.97899999999998</v>
      </c>
      <c r="AD6" s="3">
        <v>294.29399999999998</v>
      </c>
      <c r="AE6" s="3">
        <v>297.55200000000002</v>
      </c>
      <c r="AF6" s="3">
        <v>299.07100000000003</v>
      </c>
      <c r="AG6" s="3">
        <v>302.92</v>
      </c>
      <c r="AH6" s="3">
        <v>303.971</v>
      </c>
      <c r="AI6" s="3">
        <v>307.57400000000001</v>
      </c>
      <c r="AJ6" s="3">
        <v>305.096</v>
      </c>
      <c r="AK6" s="3">
        <v>305.55700000000002</v>
      </c>
      <c r="AL6" s="3">
        <v>305.08</v>
      </c>
      <c r="AM6" s="3">
        <v>306.214</v>
      </c>
      <c r="AN6" s="3">
        <v>308.52999999999997</v>
      </c>
      <c r="AO6" s="3">
        <v>310.60199999999998</v>
      </c>
      <c r="AP6" s="3">
        <v>312.47399999999999</v>
      </c>
      <c r="AQ6" s="3">
        <v>314.83800000000002</v>
      </c>
      <c r="AR6" s="3">
        <v>317.06900000000002</v>
      </c>
      <c r="AS6" s="3">
        <v>316.88499999999999</v>
      </c>
      <c r="AT6" s="3">
        <v>318.78199999999998</v>
      </c>
      <c r="AU6" s="3">
        <v>320.00700000000001</v>
      </c>
      <c r="AV6" s="3">
        <v>320.18200000000002</v>
      </c>
      <c r="AW6" s="3">
        <v>320.69600000000003</v>
      </c>
      <c r="AX6" s="3">
        <v>322.69200000000001</v>
      </c>
      <c r="AY6" s="3">
        <v>324.12900000000002</v>
      </c>
      <c r="AZ6" s="3">
        <v>325.67200000000003</v>
      </c>
      <c r="BA6" s="3">
        <v>327.77699999999999</v>
      </c>
      <c r="BB6" s="3">
        <v>327.47500000000002</v>
      </c>
      <c r="BC6" s="3">
        <v>328.29599999999999</v>
      </c>
      <c r="BD6" s="3">
        <v>331.02699999999999</v>
      </c>
      <c r="BE6" s="3">
        <v>332.92099999999999</v>
      </c>
      <c r="BF6" s="3">
        <v>334.60199999999998</v>
      </c>
      <c r="BG6" s="3">
        <v>335.63600000000002</v>
      </c>
      <c r="BH6" s="3">
        <v>339.31799999999998</v>
      </c>
      <c r="BI6" s="3">
        <v>341.16</v>
      </c>
      <c r="BJ6" s="3">
        <v>341.58600000000001</v>
      </c>
      <c r="BK6" s="3">
        <v>341.86700000000002</v>
      </c>
      <c r="BL6" s="3">
        <v>346.95699999999999</v>
      </c>
      <c r="BM6" s="3">
        <v>349.29</v>
      </c>
      <c r="BN6" s="3">
        <v>354.44200000000001</v>
      </c>
      <c r="BO6" s="3">
        <v>358.99299999999999</v>
      </c>
      <c r="BP6" s="3">
        <v>362.13499999999999</v>
      </c>
      <c r="BQ6" s="3">
        <v>366.71800000000002</v>
      </c>
      <c r="BR6" s="3">
        <v>369.74299999999999</v>
      </c>
      <c r="BS6" s="3">
        <v>374.55200000000002</v>
      </c>
      <c r="BT6" s="3">
        <v>378.73099999999999</v>
      </c>
      <c r="BU6" s="3">
        <v>382.99799999999999</v>
      </c>
      <c r="BV6" s="3">
        <v>388.13499999999999</v>
      </c>
      <c r="BW6" s="3">
        <v>388.95600000000002</v>
      </c>
      <c r="BX6" s="3">
        <v>391.04599999999999</v>
      </c>
      <c r="BY6" s="3">
        <v>393.58699999999999</v>
      </c>
      <c r="BZ6" s="3">
        <v>393.39800000000002</v>
      </c>
      <c r="CA6" s="3">
        <v>394.43299999999999</v>
      </c>
      <c r="CB6" s="3">
        <v>395.89</v>
      </c>
      <c r="CC6" s="3">
        <v>397.495</v>
      </c>
      <c r="CD6" s="3">
        <v>399.41300000000001</v>
      </c>
      <c r="CE6" s="3">
        <v>402.27</v>
      </c>
      <c r="CF6" s="3">
        <v>402.721</v>
      </c>
      <c r="CG6" s="3">
        <v>402.25799999999998</v>
      </c>
      <c r="CH6" s="3">
        <v>402.334</v>
      </c>
      <c r="CI6" s="3">
        <v>400.161</v>
      </c>
      <c r="CJ6" s="3">
        <v>400.18</v>
      </c>
      <c r="CK6" s="3">
        <v>400.67</v>
      </c>
      <c r="CL6" s="3">
        <v>401.72399999999999</v>
      </c>
      <c r="CM6" s="3">
        <v>404.45100000000002</v>
      </c>
      <c r="CN6" s="3">
        <v>408.50900000000001</v>
      </c>
      <c r="CO6" s="3">
        <v>412.19900000000001</v>
      </c>
      <c r="CP6" s="3">
        <v>416.08499999999998</v>
      </c>
      <c r="CQ6" s="3">
        <v>418.05099999999999</v>
      </c>
      <c r="CR6" s="3">
        <v>420.79199999999997</v>
      </c>
      <c r="CS6" s="3">
        <v>421.44900000000001</v>
      </c>
      <c r="CT6" s="3">
        <v>421.28300000000002</v>
      </c>
      <c r="CU6" s="3">
        <v>424.21100000000001</v>
      </c>
      <c r="CV6" s="3">
        <v>425.029</v>
      </c>
      <c r="CW6" s="3">
        <v>426.67</v>
      </c>
      <c r="CX6" s="3">
        <v>428.31099999999998</v>
      </c>
      <c r="CY6" s="3">
        <v>430.14</v>
      </c>
      <c r="CZ6" s="3">
        <v>434.654</v>
      </c>
      <c r="DA6" s="3">
        <v>438.976</v>
      </c>
      <c r="DB6" s="3">
        <v>443.31400000000002</v>
      </c>
      <c r="DC6" s="3">
        <v>447.56400000000002</v>
      </c>
      <c r="DD6" s="3">
        <v>450.76900000000001</v>
      </c>
      <c r="DE6" s="3">
        <v>453.1</v>
      </c>
      <c r="DF6" s="3">
        <v>456.20600000000002</v>
      </c>
      <c r="DG6" s="3">
        <v>459.34500000000003</v>
      </c>
      <c r="DH6" s="3">
        <v>462.32400000000001</v>
      </c>
      <c r="DI6" s="3">
        <v>469.13400000000001</v>
      </c>
      <c r="DJ6" s="3">
        <v>475.77800000000002</v>
      </c>
      <c r="DK6" s="3">
        <v>480.52499999999998</v>
      </c>
      <c r="DL6" s="3">
        <v>485.70400000000001</v>
      </c>
      <c r="DM6" s="3">
        <v>489.52699999999999</v>
      </c>
      <c r="DN6" s="3">
        <v>492.291</v>
      </c>
      <c r="DO6" s="3">
        <v>495.10399999999998</v>
      </c>
      <c r="DP6" s="3">
        <v>495.33499999999998</v>
      </c>
      <c r="DQ6" s="3">
        <v>497.84399999999999</v>
      </c>
      <c r="DR6" s="3">
        <v>495.72300000000001</v>
      </c>
      <c r="DS6" s="3">
        <v>498.59899999999999</v>
      </c>
      <c r="DT6" s="3">
        <v>501.09899999999999</v>
      </c>
      <c r="DU6" s="3">
        <v>502.96600000000001</v>
      </c>
      <c r="DV6" s="3">
        <v>503.54899999999998</v>
      </c>
      <c r="DW6" s="3">
        <v>505.06</v>
      </c>
      <c r="DX6" s="3">
        <v>502.93400000000003</v>
      </c>
      <c r="DY6" s="3">
        <v>508.149</v>
      </c>
      <c r="DZ6" s="3">
        <v>510.00700000000001</v>
      </c>
      <c r="EA6" s="3">
        <v>515.44899999999996</v>
      </c>
      <c r="EB6" s="3">
        <v>517.72</v>
      </c>
      <c r="EC6" s="3">
        <v>519.68600000000004</v>
      </c>
      <c r="ED6" s="3">
        <v>524.35299999999995</v>
      </c>
      <c r="EE6" s="3">
        <v>525.70600000000002</v>
      </c>
      <c r="EF6" s="3">
        <v>527.02700000000004</v>
      </c>
      <c r="EG6" s="3">
        <v>531.02</v>
      </c>
      <c r="EH6" s="3">
        <v>534.73099999999999</v>
      </c>
      <c r="EI6" s="3">
        <v>539.16899999999998</v>
      </c>
      <c r="EJ6" s="3">
        <v>545.76599999999996</v>
      </c>
      <c r="EK6" s="3">
        <v>546.32899999999995</v>
      </c>
      <c r="EL6" s="3">
        <v>549.28800000000001</v>
      </c>
      <c r="EM6" s="3">
        <v>555.14800000000002</v>
      </c>
      <c r="EN6" s="3">
        <v>558.73800000000006</v>
      </c>
      <c r="EO6" s="3">
        <v>560.29899999999998</v>
      </c>
      <c r="EP6" s="3">
        <v>560.57500000000005</v>
      </c>
      <c r="EQ6" s="3">
        <v>565.42200000000003</v>
      </c>
      <c r="ER6" s="3">
        <v>561.56700000000001</v>
      </c>
      <c r="ES6" s="3">
        <v>560.23</v>
      </c>
      <c r="ET6" s="3">
        <v>553.43899999999996</v>
      </c>
      <c r="EU6" s="3">
        <v>542.64200000000005</v>
      </c>
      <c r="EV6" s="3">
        <v>543.54300000000001</v>
      </c>
      <c r="EW6" s="3">
        <v>544.404</v>
      </c>
      <c r="EX6" s="3">
        <v>548.83600000000001</v>
      </c>
      <c r="EY6" s="3">
        <v>550.16300000000001</v>
      </c>
      <c r="EZ6" s="3">
        <v>552.90599999999995</v>
      </c>
      <c r="FA6" s="3">
        <v>556.548</v>
      </c>
      <c r="FB6" s="3">
        <v>559.98500000000001</v>
      </c>
      <c r="FC6" s="3">
        <v>567.31500000000005</v>
      </c>
      <c r="FD6" s="3">
        <v>567.23800000000006</v>
      </c>
      <c r="FE6" s="3">
        <v>569.23299999999995</v>
      </c>
      <c r="FF6" s="3">
        <v>570.96400000000006</v>
      </c>
      <c r="FG6" s="3">
        <v>571.19799999999998</v>
      </c>
      <c r="FH6" s="3">
        <v>568.66499999999996</v>
      </c>
      <c r="FI6" s="3">
        <v>569.95399999999995</v>
      </c>
      <c r="FJ6" s="3">
        <v>569.98</v>
      </c>
      <c r="FK6" s="3">
        <v>570.471</v>
      </c>
      <c r="FL6" s="3">
        <v>575.404</v>
      </c>
      <c r="FM6" s="3">
        <v>575.298</v>
      </c>
      <c r="FN6" s="3">
        <v>579.50800000000004</v>
      </c>
      <c r="FO6" s="3">
        <v>578.98099999999999</v>
      </c>
      <c r="FP6" s="3">
        <v>579.81700000000001</v>
      </c>
      <c r="FQ6" s="3">
        <v>583.28399999999999</v>
      </c>
      <c r="FR6" s="3">
        <v>582.05899999999997</v>
      </c>
      <c r="FS6" s="3">
        <v>585.51900000000001</v>
      </c>
      <c r="FT6" s="3">
        <v>585.71100000000001</v>
      </c>
      <c r="FU6" s="3">
        <v>587.226</v>
      </c>
      <c r="FV6" s="3">
        <v>588.58600000000001</v>
      </c>
      <c r="FW6" s="3">
        <v>590.88099999999997</v>
      </c>
      <c r="FX6" s="3">
        <v>589.49199999999996</v>
      </c>
      <c r="FY6" s="3">
        <v>590.26199999999994</v>
      </c>
      <c r="FZ6" s="3">
        <v>593.36500000000001</v>
      </c>
      <c r="GA6" s="3">
        <v>597.34199999999998</v>
      </c>
      <c r="GB6" s="3">
        <v>602.71299999999997</v>
      </c>
      <c r="GC6" s="3">
        <v>607.18600000000004</v>
      </c>
      <c r="GD6" s="3">
        <v>610.98099999999999</v>
      </c>
      <c r="GE6" s="3">
        <v>610.45299999999997</v>
      </c>
      <c r="GF6" s="3">
        <v>611.70799999999997</v>
      </c>
      <c r="GG6" s="3">
        <v>614.75300000000004</v>
      </c>
      <c r="GH6" s="3">
        <v>619.64499999999998</v>
      </c>
      <c r="GI6" s="3">
        <v>624.827</v>
      </c>
      <c r="GJ6" s="3">
        <v>628.46699999999998</v>
      </c>
      <c r="GK6" s="3">
        <v>628.72299999999996</v>
      </c>
      <c r="GL6" s="3">
        <v>625.51300000000003</v>
      </c>
      <c r="GM6" s="3">
        <v>593.37099999999998</v>
      </c>
      <c r="GN6" s="3">
        <v>520.03700000000003</v>
      </c>
      <c r="GO6" s="3">
        <v>602.31200000000001</v>
      </c>
      <c r="GP6" s="3">
        <v>601.44299999999998</v>
      </c>
      <c r="GQ6" s="3">
        <v>603.24599999999998</v>
      </c>
      <c r="GR6" s="3">
        <v>611.16</v>
      </c>
      <c r="GS6" s="3">
        <v>628.61500000000001</v>
      </c>
      <c r="GT6" s="3">
        <v>632.37900000000002</v>
      </c>
      <c r="GU6" s="3">
        <v>631.47900000000004</v>
      </c>
      <c r="GV6" s="3">
        <v>633.86199999999997</v>
      </c>
      <c r="GW6" s="3">
        <v>637.26499999999999</v>
      </c>
      <c r="GX6" s="3">
        <v>637.61699999999996</v>
      </c>
      <c r="GY6" s="3">
        <v>638.04499999999996</v>
      </c>
      <c r="GZ6" s="3">
        <v>642.14300000000003</v>
      </c>
      <c r="HA6" s="3">
        <v>642.85500000000002</v>
      </c>
      <c r="HB6" s="3">
        <v>645.63199999999995</v>
      </c>
      <c r="HC6" s="3">
        <v>647.36900000000003</v>
      </c>
      <c r="HD6" s="3">
        <v>649.18399999999997</v>
      </c>
      <c r="HE6" s="4">
        <v>652.54</v>
      </c>
      <c r="HF6" s="4">
        <v>651.6</v>
      </c>
      <c r="HG6" s="4">
        <v>653.69000000000005</v>
      </c>
      <c r="HH6" s="4">
        <v>656.15</v>
      </c>
      <c r="HI6" s="4">
        <v>658.82</v>
      </c>
      <c r="HJ6" s="4">
        <v>661.17</v>
      </c>
      <c r="HK6" s="4">
        <v>663.58</v>
      </c>
      <c r="HL6" s="4">
        <v>666.13</v>
      </c>
      <c r="HM6" s="4">
        <v>668.64</v>
      </c>
      <c r="HN6" s="4">
        <v>671.12</v>
      </c>
      <c r="HO6" s="4">
        <v>673.8</v>
      </c>
      <c r="HP6" s="4">
        <v>676.49</v>
      </c>
      <c r="HQ6" s="4">
        <v>679.16</v>
      </c>
      <c r="HR6" s="4">
        <v>681.94</v>
      </c>
      <c r="HS6" s="4">
        <v>684.54</v>
      </c>
      <c r="HT6" s="4">
        <v>687.22</v>
      </c>
      <c r="HU6" s="4">
        <v>689.91</v>
      </c>
      <c r="HV6" s="4">
        <v>692.57</v>
      </c>
      <c r="HW6" s="4">
        <v>695.17</v>
      </c>
      <c r="HX6" s="4">
        <v>697.84</v>
      </c>
      <c r="HY6" s="4">
        <v>700.49</v>
      </c>
      <c r="HZ6" s="4">
        <v>703.08</v>
      </c>
      <c r="IA6" s="4">
        <v>705.49</v>
      </c>
      <c r="IB6" s="4">
        <v>707.78</v>
      </c>
      <c r="IC6" s="4">
        <v>709.97</v>
      </c>
      <c r="ID6" s="4">
        <v>712.15</v>
      </c>
      <c r="IE6" s="4">
        <v>714.33</v>
      </c>
      <c r="IF6" s="4">
        <v>716.51</v>
      </c>
      <c r="IG6" s="4">
        <v>718.7</v>
      </c>
      <c r="IH6" s="4">
        <v>720.84</v>
      </c>
      <c r="II6" s="4">
        <v>722.99</v>
      </c>
      <c r="IJ6" s="4">
        <v>725.13</v>
      </c>
      <c r="IK6" s="4">
        <v>727.28</v>
      </c>
      <c r="IL6" s="4">
        <v>729.3</v>
      </c>
      <c r="IM6" s="4">
        <v>731.33</v>
      </c>
      <c r="IN6" s="4">
        <v>733.4</v>
      </c>
      <c r="IO6" s="4">
        <v>735.48</v>
      </c>
      <c r="IP6" s="4">
        <v>737.48</v>
      </c>
      <c r="IQ6" s="4">
        <v>739.48</v>
      </c>
      <c r="IR6" s="4">
        <v>741.5</v>
      </c>
      <c r="IS6" s="4">
        <v>743.52</v>
      </c>
      <c r="IT6" s="4">
        <v>745.41</v>
      </c>
      <c r="IU6" s="4">
        <v>747.3</v>
      </c>
      <c r="IV6" s="4">
        <v>749.18</v>
      </c>
      <c r="IW6" s="4">
        <v>751.07</v>
      </c>
      <c r="IX6" s="4">
        <v>752.95</v>
      </c>
      <c r="IY6" s="4">
        <v>754.82</v>
      </c>
      <c r="IZ6" s="4">
        <v>756.7</v>
      </c>
      <c r="JA6" s="4">
        <v>758.58</v>
      </c>
      <c r="JB6" s="4">
        <v>760.29</v>
      </c>
      <c r="JC6" s="4">
        <v>762.01</v>
      </c>
      <c r="JD6" s="4">
        <v>763.72</v>
      </c>
      <c r="JE6" s="4">
        <v>765.44</v>
      </c>
      <c r="JF6" s="4">
        <v>767.15</v>
      </c>
      <c r="JG6" s="4">
        <v>768.87</v>
      </c>
      <c r="JH6" s="4">
        <v>770.58</v>
      </c>
      <c r="JI6" s="4">
        <v>772.17</v>
      </c>
      <c r="JJ6" s="4">
        <v>773.76</v>
      </c>
      <c r="JK6" s="4">
        <v>775.34</v>
      </c>
      <c r="JL6" s="4">
        <v>776.93</v>
      </c>
      <c r="JM6" s="4">
        <v>778.51</v>
      </c>
      <c r="JN6" s="4">
        <v>780.1</v>
      </c>
      <c r="JO6" s="4">
        <v>781.68</v>
      </c>
      <c r="JP6" s="4">
        <v>783.2</v>
      </c>
      <c r="JQ6" s="4">
        <v>784.72</v>
      </c>
      <c r="JR6" s="4">
        <v>786.23</v>
      </c>
      <c r="JS6" s="4">
        <v>787.78</v>
      </c>
      <c r="JT6" s="4">
        <v>789.32</v>
      </c>
      <c r="JU6" s="4">
        <v>790.87</v>
      </c>
      <c r="JV6" s="4">
        <v>792.47</v>
      </c>
      <c r="JW6" s="4">
        <v>794.08</v>
      </c>
      <c r="JX6" s="4">
        <v>795.68</v>
      </c>
      <c r="JY6" s="4">
        <v>797.31</v>
      </c>
      <c r="JZ6" s="4">
        <v>798.94</v>
      </c>
      <c r="KA6" s="4">
        <v>800.57</v>
      </c>
      <c r="KB6" s="4">
        <v>802.2</v>
      </c>
      <c r="KC6" s="4">
        <v>803.83</v>
      </c>
      <c r="KD6" s="4">
        <v>805.46</v>
      </c>
      <c r="KE6" s="4">
        <v>807.09</v>
      </c>
      <c r="KF6" s="4">
        <v>808.61</v>
      </c>
      <c r="KG6" s="4">
        <v>810.13</v>
      </c>
      <c r="KH6" s="4">
        <v>811.65</v>
      </c>
      <c r="KI6" s="4">
        <v>813.17</v>
      </c>
      <c r="KJ6" s="4">
        <v>814.69</v>
      </c>
      <c r="KK6" s="4">
        <v>816.13</v>
      </c>
      <c r="KL6" s="4">
        <v>817.58</v>
      </c>
      <c r="KM6" s="4">
        <v>819.03</v>
      </c>
      <c r="KN6" s="4">
        <v>820.47</v>
      </c>
      <c r="KO6" s="4">
        <v>821.85</v>
      </c>
      <c r="KP6" s="4">
        <v>823.15</v>
      </c>
      <c r="KQ6" s="4">
        <v>824.45</v>
      </c>
      <c r="KR6" s="4">
        <v>825.68</v>
      </c>
      <c r="KS6" s="4">
        <v>826.88</v>
      </c>
      <c r="KT6" s="4">
        <v>828.06</v>
      </c>
      <c r="KU6" s="4">
        <v>829.25</v>
      </c>
      <c r="KV6" s="4">
        <v>830.49</v>
      </c>
      <c r="KW6" s="4">
        <v>831.7</v>
      </c>
      <c r="KX6" s="4">
        <v>832.88</v>
      </c>
      <c r="KY6" s="4">
        <v>834.07</v>
      </c>
      <c r="KZ6" s="4">
        <v>835.31</v>
      </c>
      <c r="LA6" s="4">
        <v>836.52</v>
      </c>
      <c r="LB6" s="4">
        <v>837.71</v>
      </c>
      <c r="LC6" s="4">
        <v>839.03</v>
      </c>
      <c r="LD6" s="4">
        <v>840.39</v>
      </c>
      <c r="LE6" s="4">
        <v>841.72</v>
      </c>
      <c r="LF6" s="4">
        <v>843.04</v>
      </c>
      <c r="LG6" t="s">
        <v>366</v>
      </c>
      <c r="LH6" t="b">
        <v>1</v>
      </c>
      <c r="LI6" s="2" t="s">
        <v>367</v>
      </c>
      <c r="LJ6" t="s">
        <v>338</v>
      </c>
      <c r="LK6">
        <v>2024</v>
      </c>
      <c r="LL6">
        <v>2</v>
      </c>
      <c r="LM6" t="s">
        <v>338</v>
      </c>
      <c r="LN6" s="2" t="s">
        <v>368</v>
      </c>
      <c r="LO6" s="2" t="s">
        <v>369</v>
      </c>
      <c r="LP6" t="s">
        <v>370</v>
      </c>
      <c r="LQ6" t="s">
        <v>342</v>
      </c>
      <c r="LR6" s="2" t="s">
        <v>343</v>
      </c>
    </row>
    <row r="7" spans="1:330" x14ac:dyDescent="0.25">
      <c r="A7" t="s">
        <v>371</v>
      </c>
      <c r="B7" t="s">
        <v>331</v>
      </c>
      <c r="C7" s="2" t="s">
        <v>332</v>
      </c>
      <c r="D7" t="s">
        <v>359</v>
      </c>
      <c r="E7" t="s">
        <v>346</v>
      </c>
      <c r="F7" t="s">
        <v>335</v>
      </c>
      <c r="G7" s="3">
        <v>209.6728</v>
      </c>
      <c r="H7" s="3">
        <v>215.95439999999999</v>
      </c>
      <c r="I7" s="3">
        <v>222.827</v>
      </c>
      <c r="J7" s="3">
        <v>228.26949999999999</v>
      </c>
      <c r="K7" s="3">
        <v>230.12010000000001</v>
      </c>
      <c r="L7" s="3">
        <v>232.31880000000001</v>
      </c>
      <c r="M7" s="3">
        <v>232.70519999999999</v>
      </c>
      <c r="N7" s="3">
        <v>227.84110000000001</v>
      </c>
      <c r="O7" s="3">
        <v>223.87719999999999</v>
      </c>
      <c r="P7" s="3">
        <v>223.7629</v>
      </c>
      <c r="Q7" s="3">
        <v>226.94239999999999</v>
      </c>
      <c r="R7" s="3">
        <v>229.4855</v>
      </c>
      <c r="S7" s="3">
        <v>233.5283</v>
      </c>
      <c r="T7" s="3">
        <v>237.74979999999999</v>
      </c>
      <c r="U7" s="3">
        <v>243.79140000000001</v>
      </c>
      <c r="V7" s="3">
        <v>248.02099999999999</v>
      </c>
      <c r="W7" s="3">
        <v>248.11920000000001</v>
      </c>
      <c r="X7" s="3">
        <v>246.73740000000001</v>
      </c>
      <c r="Y7" s="3">
        <v>244.42920000000001</v>
      </c>
      <c r="Z7" s="3">
        <v>246.5231</v>
      </c>
      <c r="AA7" s="3">
        <v>250.5531</v>
      </c>
      <c r="AB7" s="3">
        <v>254.88730000000001</v>
      </c>
      <c r="AC7" s="3">
        <v>256.22739999999999</v>
      </c>
      <c r="AD7" s="3">
        <v>260.13159999999999</v>
      </c>
      <c r="AE7" s="3">
        <v>264.24189999999999</v>
      </c>
      <c r="AF7" s="3">
        <v>266.1635</v>
      </c>
      <c r="AG7" s="3">
        <v>270.77010000000001</v>
      </c>
      <c r="AH7" s="3">
        <v>277.14339999999999</v>
      </c>
      <c r="AI7" s="3">
        <v>276.64729999999997</v>
      </c>
      <c r="AJ7" s="3">
        <v>278.79430000000002</v>
      </c>
      <c r="AK7" s="3">
        <v>279.02800000000002</v>
      </c>
      <c r="AL7" s="3">
        <v>281.40519999999998</v>
      </c>
      <c r="AM7" s="3">
        <v>280.49200000000002</v>
      </c>
      <c r="AN7" s="3">
        <v>281.03899999999999</v>
      </c>
      <c r="AO7" s="3">
        <v>281.17</v>
      </c>
      <c r="AP7" s="3">
        <v>283.452</v>
      </c>
      <c r="AQ7" s="3">
        <v>283.339</v>
      </c>
      <c r="AR7" s="3">
        <v>282.53399999999999</v>
      </c>
      <c r="AS7" s="3">
        <v>282.38299999999998</v>
      </c>
      <c r="AT7" s="3">
        <v>281.56</v>
      </c>
      <c r="AU7" s="3">
        <v>282.34899999999999</v>
      </c>
      <c r="AV7" s="3">
        <v>282.01100000000002</v>
      </c>
      <c r="AW7" s="3">
        <v>287.26100000000002</v>
      </c>
      <c r="AX7" s="3">
        <v>293.63</v>
      </c>
      <c r="AY7" s="3">
        <v>293.05200000000002</v>
      </c>
      <c r="AZ7" s="3">
        <v>293.99799999999999</v>
      </c>
      <c r="BA7" s="3">
        <v>297.459</v>
      </c>
      <c r="BB7" s="3">
        <v>297.50700000000001</v>
      </c>
      <c r="BC7" s="3">
        <v>299.20600000000002</v>
      </c>
      <c r="BD7" s="3">
        <v>303.16000000000003</v>
      </c>
      <c r="BE7" s="3">
        <v>305.58699999999999</v>
      </c>
      <c r="BF7" s="3">
        <v>307.625</v>
      </c>
      <c r="BG7" s="3">
        <v>309.54300000000001</v>
      </c>
      <c r="BH7" s="3">
        <v>311.54399999999998</v>
      </c>
      <c r="BI7" s="3">
        <v>314.65499999999997</v>
      </c>
      <c r="BJ7" s="3">
        <v>315.94600000000003</v>
      </c>
      <c r="BK7" s="3">
        <v>317.24099999999999</v>
      </c>
      <c r="BL7" s="3">
        <v>322.04399999999998</v>
      </c>
      <c r="BM7" s="3">
        <v>322.97399999999999</v>
      </c>
      <c r="BN7" s="3">
        <v>326.44900000000001</v>
      </c>
      <c r="BO7" s="3">
        <v>331.25400000000002</v>
      </c>
      <c r="BP7" s="3">
        <v>333.358</v>
      </c>
      <c r="BQ7" s="3">
        <v>337.73899999999998</v>
      </c>
      <c r="BR7" s="3">
        <v>341.77100000000002</v>
      </c>
      <c r="BS7" s="3">
        <v>343.89299999999997</v>
      </c>
      <c r="BT7" s="3">
        <v>345.38200000000001</v>
      </c>
      <c r="BU7" s="3">
        <v>348.98200000000003</v>
      </c>
      <c r="BV7" s="3">
        <v>352.57400000000001</v>
      </c>
      <c r="BW7" s="3">
        <v>353.97800000000001</v>
      </c>
      <c r="BX7" s="3">
        <v>355.05700000000002</v>
      </c>
      <c r="BY7" s="3">
        <v>355.62799999999999</v>
      </c>
      <c r="BZ7" s="3">
        <v>353.31599999999997</v>
      </c>
      <c r="CA7" s="3">
        <v>356.85</v>
      </c>
      <c r="CB7" s="3">
        <v>354.89699999999999</v>
      </c>
      <c r="CC7" s="3">
        <v>355.024</v>
      </c>
      <c r="CD7" s="3">
        <v>359.19099999999997</v>
      </c>
      <c r="CE7" s="3">
        <v>360.15800000000002</v>
      </c>
      <c r="CF7" s="3">
        <v>359.95100000000002</v>
      </c>
      <c r="CG7" s="3">
        <v>359.15100000000001</v>
      </c>
      <c r="CH7" s="3">
        <v>356.67599999999999</v>
      </c>
      <c r="CI7" s="3">
        <v>356.17700000000002</v>
      </c>
      <c r="CJ7" s="3">
        <v>355.31900000000002</v>
      </c>
      <c r="CK7" s="3">
        <v>354.75799999999998</v>
      </c>
      <c r="CL7" s="3">
        <v>357.35899999999998</v>
      </c>
      <c r="CM7" s="3">
        <v>360.08100000000002</v>
      </c>
      <c r="CN7" s="3">
        <v>362.68700000000001</v>
      </c>
      <c r="CO7" s="3">
        <v>364.95</v>
      </c>
      <c r="CP7" s="3">
        <v>368.37599999999998</v>
      </c>
      <c r="CQ7" s="3">
        <v>373</v>
      </c>
      <c r="CR7" s="3">
        <v>373.262</v>
      </c>
      <c r="CS7" s="3">
        <v>374.92200000000003</v>
      </c>
      <c r="CT7" s="3">
        <v>378.02699999999999</v>
      </c>
      <c r="CU7" s="3">
        <v>379.565</v>
      </c>
      <c r="CV7" s="3">
        <v>379.58300000000003</v>
      </c>
      <c r="CW7" s="3">
        <v>380.00599999999997</v>
      </c>
      <c r="CX7" s="3">
        <v>378.83800000000002</v>
      </c>
      <c r="CY7" s="3">
        <v>379.99299999999999</v>
      </c>
      <c r="CZ7" s="3">
        <v>385.20499999999998</v>
      </c>
      <c r="DA7" s="3">
        <v>387.935</v>
      </c>
      <c r="DB7" s="3">
        <v>394.65199999999999</v>
      </c>
      <c r="DC7" s="3">
        <v>391.68900000000002</v>
      </c>
      <c r="DD7" s="3">
        <v>394.01600000000002</v>
      </c>
      <c r="DE7" s="3">
        <v>394.49700000000001</v>
      </c>
      <c r="DF7" s="3">
        <v>392.565</v>
      </c>
      <c r="DG7" s="3">
        <v>395.04300000000001</v>
      </c>
      <c r="DH7" s="3">
        <v>396.553</v>
      </c>
      <c r="DI7" s="3">
        <v>400.09300000000002</v>
      </c>
      <c r="DJ7" s="3">
        <v>405.64800000000002</v>
      </c>
      <c r="DK7" s="3">
        <v>410.63499999999999</v>
      </c>
      <c r="DL7" s="3">
        <v>413.41699999999997</v>
      </c>
      <c r="DM7" s="3">
        <v>416.29599999999999</v>
      </c>
      <c r="DN7" s="3">
        <v>422.77300000000002</v>
      </c>
      <c r="DO7" s="3">
        <v>424.97800000000001</v>
      </c>
      <c r="DP7" s="3">
        <v>423.79500000000002</v>
      </c>
      <c r="DQ7" s="3">
        <v>422.05</v>
      </c>
      <c r="DR7" s="3">
        <v>421.28699999999998</v>
      </c>
      <c r="DS7" s="3">
        <v>422.23200000000003</v>
      </c>
      <c r="DT7" s="3">
        <v>423.72300000000001</v>
      </c>
      <c r="DU7" s="3">
        <v>424.48399999999998</v>
      </c>
      <c r="DV7" s="3">
        <v>425.887</v>
      </c>
      <c r="DW7" s="3">
        <v>424.613</v>
      </c>
      <c r="DX7" s="3">
        <v>424.16199999999998</v>
      </c>
      <c r="DY7" s="3">
        <v>423.87400000000002</v>
      </c>
      <c r="DZ7" s="3">
        <v>427.81200000000001</v>
      </c>
      <c r="EA7" s="3">
        <v>428.82299999999998</v>
      </c>
      <c r="EB7" s="3">
        <v>430.24</v>
      </c>
      <c r="EC7" s="3">
        <v>430.02199999999999</v>
      </c>
      <c r="ED7" s="3">
        <v>431.43299999999999</v>
      </c>
      <c r="EE7" s="3">
        <v>430.28199999999998</v>
      </c>
      <c r="EF7" s="3">
        <v>433.90899999999999</v>
      </c>
      <c r="EG7" s="3">
        <v>437.00200000000001</v>
      </c>
      <c r="EH7" s="3">
        <v>437.17099999999999</v>
      </c>
      <c r="EI7" s="3">
        <v>437.85500000000002</v>
      </c>
      <c r="EJ7" s="3">
        <v>441.11900000000003</v>
      </c>
      <c r="EK7" s="3">
        <v>443.30399999999997</v>
      </c>
      <c r="EL7" s="3">
        <v>449.12</v>
      </c>
      <c r="EM7" s="3">
        <v>447.87099999999998</v>
      </c>
      <c r="EN7" s="3">
        <v>448.93099999999998</v>
      </c>
      <c r="EO7" s="3">
        <v>449.67700000000002</v>
      </c>
      <c r="EP7" s="3">
        <v>448.22800000000001</v>
      </c>
      <c r="EQ7" s="3">
        <v>453.49900000000002</v>
      </c>
      <c r="ER7" s="3">
        <v>448.97</v>
      </c>
      <c r="ES7" s="3">
        <v>443.40499999999997</v>
      </c>
      <c r="ET7" s="3">
        <v>431.56900000000002</v>
      </c>
      <c r="EU7" s="3">
        <v>421.02699999999999</v>
      </c>
      <c r="EV7" s="3">
        <v>418.49099999999999</v>
      </c>
      <c r="EW7" s="3">
        <v>420.83699999999999</v>
      </c>
      <c r="EX7" s="3">
        <v>422.29300000000001</v>
      </c>
      <c r="EY7" s="3">
        <v>423.69600000000003</v>
      </c>
      <c r="EZ7" s="3">
        <v>426.83499999999998</v>
      </c>
      <c r="FA7" s="3">
        <v>428.95600000000002</v>
      </c>
      <c r="FB7" s="3">
        <v>431.16</v>
      </c>
      <c r="FC7" s="3">
        <v>433.31</v>
      </c>
      <c r="FD7" s="3">
        <v>433.67</v>
      </c>
      <c r="FE7" s="3">
        <v>431.45800000000003</v>
      </c>
      <c r="FF7" s="3">
        <v>427.18099999999998</v>
      </c>
      <c r="FG7" s="3">
        <v>422.34699999999998</v>
      </c>
      <c r="FH7" s="3">
        <v>419.51100000000002</v>
      </c>
      <c r="FI7" s="3">
        <v>417.38099999999997</v>
      </c>
      <c r="FJ7" s="3">
        <v>414.30399999999997</v>
      </c>
      <c r="FK7" s="3">
        <v>410.07600000000002</v>
      </c>
      <c r="FL7" s="3">
        <v>410.39100000000002</v>
      </c>
      <c r="FM7" s="3">
        <v>411.30599999999998</v>
      </c>
      <c r="FN7" s="3">
        <v>410.56900000000002</v>
      </c>
      <c r="FO7" s="3">
        <v>410.96199999999999</v>
      </c>
      <c r="FP7" s="3">
        <v>410.94900000000001</v>
      </c>
      <c r="FQ7" s="3">
        <v>411.62400000000002</v>
      </c>
      <c r="FR7" s="3">
        <v>410.24900000000002</v>
      </c>
      <c r="FS7" s="3">
        <v>411.43400000000003</v>
      </c>
      <c r="FT7" s="3">
        <v>413.00099999999998</v>
      </c>
      <c r="FU7" s="3">
        <v>413.86700000000002</v>
      </c>
      <c r="FV7" s="3">
        <v>415.87700000000001</v>
      </c>
      <c r="FW7" s="3">
        <v>417.33100000000002</v>
      </c>
      <c r="FX7" s="3">
        <v>418.14600000000002</v>
      </c>
      <c r="FY7" s="3">
        <v>420.375</v>
      </c>
      <c r="FZ7" s="3">
        <v>421.947</v>
      </c>
      <c r="GA7" s="3">
        <v>423.95600000000002</v>
      </c>
      <c r="GB7" s="3">
        <v>425.84100000000001</v>
      </c>
      <c r="GC7" s="3">
        <v>427.47699999999998</v>
      </c>
      <c r="GD7" s="3">
        <v>429.83499999999998</v>
      </c>
      <c r="GE7" s="3">
        <v>429.42</v>
      </c>
      <c r="GF7" s="3">
        <v>429.678</v>
      </c>
      <c r="GG7" s="3">
        <v>430.012</v>
      </c>
      <c r="GH7" s="3">
        <v>431.29700000000003</v>
      </c>
      <c r="GI7" s="3">
        <v>431.67099999999999</v>
      </c>
      <c r="GJ7" s="3">
        <v>433.09800000000001</v>
      </c>
      <c r="GK7" s="3">
        <v>433.36599999999999</v>
      </c>
      <c r="GL7" s="3">
        <v>430.53300000000002</v>
      </c>
      <c r="GM7" s="3">
        <v>404.54300000000001</v>
      </c>
      <c r="GN7" s="3">
        <v>356.80200000000002</v>
      </c>
      <c r="GO7" s="3">
        <v>406.44499999999999</v>
      </c>
      <c r="GP7" s="3">
        <v>404.44</v>
      </c>
      <c r="GQ7" s="3">
        <v>410.589</v>
      </c>
      <c r="GR7" s="3">
        <v>421.44200000000001</v>
      </c>
      <c r="GS7" s="3">
        <v>433.39400000000001</v>
      </c>
      <c r="GT7" s="3">
        <v>436.959</v>
      </c>
      <c r="GU7" s="3">
        <v>437.82799999999997</v>
      </c>
      <c r="GV7" s="3">
        <v>443.952</v>
      </c>
      <c r="GW7" s="3">
        <v>445.70800000000003</v>
      </c>
      <c r="GX7" s="3">
        <v>445.464</v>
      </c>
      <c r="GY7" s="3">
        <v>447.40300000000002</v>
      </c>
      <c r="GZ7" s="3">
        <v>446.714</v>
      </c>
      <c r="HA7" s="3">
        <v>448.20699999999999</v>
      </c>
      <c r="HB7" s="3">
        <v>448.66300000000001</v>
      </c>
      <c r="HC7" s="3">
        <v>450.16500000000002</v>
      </c>
      <c r="HD7" s="3">
        <v>450.90699999999998</v>
      </c>
      <c r="HE7" s="4">
        <v>451.71859999999998</v>
      </c>
      <c r="HF7" s="4">
        <v>453.07380000000001</v>
      </c>
      <c r="HG7" s="4">
        <v>454.57350000000002</v>
      </c>
      <c r="HH7" s="4">
        <v>455.87990000000002</v>
      </c>
      <c r="HI7" s="4">
        <v>457.0016</v>
      </c>
      <c r="HJ7" s="4">
        <v>458.1234</v>
      </c>
      <c r="HK7" s="4">
        <v>459.13209999999998</v>
      </c>
      <c r="HL7" s="4">
        <v>459.89729999999997</v>
      </c>
      <c r="HM7" s="4">
        <v>460.45350000000002</v>
      </c>
      <c r="HN7" s="4">
        <v>461.0976</v>
      </c>
      <c r="HO7" s="4">
        <v>461.74160000000001</v>
      </c>
      <c r="HP7" s="4">
        <v>462.38569999999999</v>
      </c>
      <c r="HQ7" s="4">
        <v>463.10950000000003</v>
      </c>
      <c r="HR7" s="4">
        <v>463.83330000000001</v>
      </c>
      <c r="HS7" s="4">
        <v>464.55720000000002</v>
      </c>
      <c r="HT7" s="4">
        <v>465.18329999999997</v>
      </c>
      <c r="HU7" s="4">
        <v>465.80939999999998</v>
      </c>
      <c r="HV7" s="4">
        <v>466.43549999999999</v>
      </c>
      <c r="HW7" s="4">
        <v>467.06169999999997</v>
      </c>
      <c r="HX7" s="4">
        <v>467.68779999999998</v>
      </c>
      <c r="HY7" s="4">
        <v>468.31389999999999</v>
      </c>
      <c r="HZ7" s="4">
        <v>468.94009999999997</v>
      </c>
      <c r="IA7" s="4">
        <v>469.56619999999998</v>
      </c>
      <c r="IB7" s="4">
        <v>470.10070000000002</v>
      </c>
      <c r="IC7" s="4">
        <v>470.63529999999997</v>
      </c>
      <c r="ID7" s="4">
        <v>471.16980000000001</v>
      </c>
      <c r="IE7" s="4">
        <v>471.70429999999999</v>
      </c>
      <c r="IF7" s="4">
        <v>472.23880000000003</v>
      </c>
      <c r="IG7" s="4">
        <v>472.73469999999998</v>
      </c>
      <c r="IH7" s="4">
        <v>473.23070000000001</v>
      </c>
      <c r="II7" s="4">
        <v>473.72649999999999</v>
      </c>
      <c r="IJ7" s="4">
        <v>474.22239999999999</v>
      </c>
      <c r="IK7" s="4">
        <v>474.7183</v>
      </c>
      <c r="IL7" s="4">
        <v>475.21420000000001</v>
      </c>
      <c r="IM7" s="4">
        <v>475.71010000000001</v>
      </c>
      <c r="IN7" s="4">
        <v>476.14609999999999</v>
      </c>
      <c r="IO7" s="4">
        <v>476.58210000000003</v>
      </c>
      <c r="IP7" s="4">
        <v>476.93779999999998</v>
      </c>
      <c r="IQ7" s="4">
        <v>477.29349999999999</v>
      </c>
      <c r="IR7" s="4">
        <v>477.64929999999998</v>
      </c>
      <c r="IS7" s="4">
        <v>477.96480000000003</v>
      </c>
      <c r="IT7" s="4">
        <v>478.28050000000002</v>
      </c>
      <c r="IU7" s="4">
        <v>478.59609999999998</v>
      </c>
      <c r="IV7" s="4">
        <v>478.9117</v>
      </c>
      <c r="IW7" s="4">
        <v>479.22730000000001</v>
      </c>
      <c r="IX7" s="4">
        <v>479.54289999999997</v>
      </c>
      <c r="IY7" s="4">
        <v>479.85849999999999</v>
      </c>
      <c r="IZ7" s="4">
        <v>480.07429999999999</v>
      </c>
      <c r="JA7" s="4">
        <v>480.32060000000001</v>
      </c>
      <c r="JB7" s="4">
        <v>480.56459999999998</v>
      </c>
      <c r="JC7" s="4">
        <v>480.78660000000002</v>
      </c>
      <c r="JD7" s="4">
        <v>481.00599999999997</v>
      </c>
      <c r="JE7" s="4">
        <v>481.2226</v>
      </c>
      <c r="JF7" s="4">
        <v>481.4366</v>
      </c>
      <c r="JG7" s="4">
        <v>481.59960000000001</v>
      </c>
      <c r="JH7" s="4">
        <v>481.75959999999998</v>
      </c>
      <c r="JI7" s="4">
        <v>481.9162</v>
      </c>
      <c r="JJ7" s="4">
        <v>482.0693</v>
      </c>
      <c r="JK7" s="4">
        <v>482.20609999999999</v>
      </c>
      <c r="JL7" s="4">
        <v>482.33879999999999</v>
      </c>
      <c r="JM7" s="4">
        <v>482.46730000000002</v>
      </c>
      <c r="JN7" s="4">
        <v>482.59190000000001</v>
      </c>
      <c r="JO7" s="4">
        <v>482.73880000000003</v>
      </c>
      <c r="JP7" s="4">
        <v>482.88150000000002</v>
      </c>
      <c r="JQ7" s="4">
        <v>483.0204</v>
      </c>
      <c r="JR7" s="4">
        <v>483.1549</v>
      </c>
      <c r="JS7" s="4">
        <v>483.28</v>
      </c>
      <c r="JT7" s="4">
        <v>483.4008</v>
      </c>
      <c r="JU7" s="4">
        <v>483.51729999999998</v>
      </c>
      <c r="JV7" s="4">
        <v>483.62970000000001</v>
      </c>
      <c r="JW7" s="4">
        <v>483.74689999999998</v>
      </c>
      <c r="JX7" s="4">
        <v>483.86020000000002</v>
      </c>
      <c r="JY7" s="4">
        <v>483.96960000000001</v>
      </c>
      <c r="JZ7" s="4">
        <v>484.0752</v>
      </c>
      <c r="KA7" s="4">
        <v>484.18869999999998</v>
      </c>
      <c r="KB7" s="4">
        <v>484.29840000000002</v>
      </c>
      <c r="KC7" s="4">
        <v>484.40469999999999</v>
      </c>
      <c r="KD7" s="4">
        <v>484.50670000000002</v>
      </c>
      <c r="KE7" s="4">
        <v>484.58339999999998</v>
      </c>
      <c r="KF7" s="4">
        <v>484.65640000000002</v>
      </c>
      <c r="KG7" s="4">
        <v>484.72609999999997</v>
      </c>
      <c r="KH7" s="4">
        <v>484.79199999999997</v>
      </c>
      <c r="KI7" s="4">
        <v>484.91590000000002</v>
      </c>
      <c r="KJ7" s="4">
        <v>485.03649999999999</v>
      </c>
      <c r="KK7" s="4">
        <v>485.1542</v>
      </c>
      <c r="KL7" s="4">
        <v>485.26870000000002</v>
      </c>
      <c r="KM7" s="4">
        <v>485.42680000000001</v>
      </c>
      <c r="KN7" s="4">
        <v>485.58229999999998</v>
      </c>
      <c r="KO7" s="4">
        <v>485.73509999999999</v>
      </c>
      <c r="KP7" s="4">
        <v>485.88510000000002</v>
      </c>
      <c r="KQ7" s="4">
        <v>486.09160000000003</v>
      </c>
      <c r="KR7" s="4">
        <v>486.29520000000002</v>
      </c>
      <c r="KS7" s="4">
        <v>486.49709999999999</v>
      </c>
      <c r="KT7" s="4">
        <v>486.69659999999999</v>
      </c>
      <c r="KU7" s="4">
        <v>486.91050000000001</v>
      </c>
      <c r="KV7" s="4">
        <v>487.12290000000002</v>
      </c>
      <c r="KW7" s="4">
        <v>487.33370000000002</v>
      </c>
      <c r="KX7" s="4">
        <v>487.54259999999999</v>
      </c>
      <c r="KY7" s="4">
        <v>487.82709999999997</v>
      </c>
      <c r="KZ7" s="4">
        <v>488.11040000000003</v>
      </c>
      <c r="LA7" s="4">
        <v>488.3922</v>
      </c>
      <c r="LB7" s="4">
        <v>488.67290000000003</v>
      </c>
      <c r="LC7" s="4">
        <v>488.99189999999999</v>
      </c>
      <c r="LD7" s="4">
        <v>489.31009999999998</v>
      </c>
      <c r="LE7" s="4">
        <v>489.62740000000002</v>
      </c>
      <c r="LF7" s="4">
        <v>489.94389999999999</v>
      </c>
      <c r="LG7" t="s">
        <v>372</v>
      </c>
      <c r="LH7" t="b">
        <v>1</v>
      </c>
      <c r="LI7" s="2" t="s">
        <v>361</v>
      </c>
      <c r="LJ7" t="s">
        <v>338</v>
      </c>
      <c r="LK7">
        <v>2024</v>
      </c>
      <c r="LL7">
        <v>2</v>
      </c>
      <c r="LM7" t="s">
        <v>338</v>
      </c>
      <c r="LN7" s="2" t="s">
        <v>373</v>
      </c>
      <c r="LO7" s="2" t="s">
        <v>374</v>
      </c>
      <c r="LP7" t="s">
        <v>375</v>
      </c>
      <c r="LQ7" t="s">
        <v>342</v>
      </c>
      <c r="LR7" s="2" t="s">
        <v>343</v>
      </c>
    </row>
    <row r="8" spans="1:330" x14ac:dyDescent="0.25">
      <c r="A8" t="s">
        <v>376</v>
      </c>
      <c r="B8" t="s">
        <v>331</v>
      </c>
      <c r="C8" s="2" t="s">
        <v>332</v>
      </c>
      <c r="D8" t="s">
        <v>377</v>
      </c>
      <c r="E8" t="s">
        <v>334</v>
      </c>
      <c r="F8" t="s">
        <v>335</v>
      </c>
      <c r="G8" s="3">
        <v>174319.5</v>
      </c>
      <c r="H8" s="3">
        <v>175982.5</v>
      </c>
      <c r="I8" s="3">
        <v>176800.8</v>
      </c>
      <c r="J8" s="3">
        <v>180061.8</v>
      </c>
      <c r="K8" s="3">
        <v>181552</v>
      </c>
      <c r="L8" s="3">
        <v>183414.3</v>
      </c>
      <c r="M8" s="3">
        <v>183449.5</v>
      </c>
      <c r="N8" s="3">
        <v>182493.8</v>
      </c>
      <c r="O8" s="3">
        <v>181499.5</v>
      </c>
      <c r="P8" s="3">
        <v>183828</v>
      </c>
      <c r="Q8" s="3">
        <v>187354.8</v>
      </c>
      <c r="R8" s="3">
        <v>189522.8</v>
      </c>
      <c r="S8" s="3">
        <v>192825.5</v>
      </c>
      <c r="T8" s="3">
        <v>196983.8</v>
      </c>
      <c r="U8" s="3">
        <v>197893.3</v>
      </c>
      <c r="V8" s="3">
        <v>198213</v>
      </c>
      <c r="W8" s="3">
        <v>201253.3</v>
      </c>
      <c r="X8" s="3">
        <v>202280.3</v>
      </c>
      <c r="Y8" s="3">
        <v>203469.3</v>
      </c>
      <c r="Z8" s="3">
        <v>206693.5</v>
      </c>
      <c r="AA8" s="3">
        <v>208478.5</v>
      </c>
      <c r="AB8" s="3">
        <v>209897.5</v>
      </c>
      <c r="AC8" s="3">
        <v>211855.5</v>
      </c>
      <c r="AD8" s="3">
        <v>213864.3</v>
      </c>
      <c r="AE8" s="3">
        <v>215570.5</v>
      </c>
      <c r="AF8" s="3">
        <v>218430.3</v>
      </c>
      <c r="AG8" s="3">
        <v>220031.5</v>
      </c>
      <c r="AH8" s="3">
        <v>221507.8</v>
      </c>
      <c r="AI8" s="3">
        <v>223045.8</v>
      </c>
      <c r="AJ8" s="3">
        <v>222948.3</v>
      </c>
      <c r="AK8" s="3">
        <v>222763</v>
      </c>
      <c r="AL8" s="3">
        <v>225845.3</v>
      </c>
      <c r="AM8" s="3">
        <v>230710.8</v>
      </c>
      <c r="AN8" s="3">
        <v>233233.3</v>
      </c>
      <c r="AO8" s="3">
        <v>231136.3</v>
      </c>
      <c r="AP8" s="3">
        <v>230073.3</v>
      </c>
      <c r="AQ8" s="3">
        <v>227440.3</v>
      </c>
      <c r="AR8" s="3">
        <v>224821.8</v>
      </c>
      <c r="AS8" s="3">
        <v>222828</v>
      </c>
      <c r="AT8" s="3">
        <v>220771.8</v>
      </c>
      <c r="AU8" s="3">
        <v>224379.8</v>
      </c>
      <c r="AV8" s="3">
        <v>228806.3</v>
      </c>
      <c r="AW8" s="3">
        <v>231376.8</v>
      </c>
      <c r="AX8" s="3">
        <v>234253.3</v>
      </c>
      <c r="AY8" s="3">
        <v>238310.5</v>
      </c>
      <c r="AZ8" s="3">
        <v>242935.3</v>
      </c>
      <c r="BA8" s="3">
        <v>243979.8</v>
      </c>
      <c r="BB8" s="3">
        <v>247787.5</v>
      </c>
      <c r="BC8" s="3">
        <v>251594.5</v>
      </c>
      <c r="BD8" s="3">
        <v>252403.8</v>
      </c>
      <c r="BE8" s="3">
        <v>255608</v>
      </c>
      <c r="BF8" s="3">
        <v>259505</v>
      </c>
      <c r="BG8" s="3">
        <v>259373.5</v>
      </c>
      <c r="BH8" s="3">
        <v>260864.3</v>
      </c>
      <c r="BI8" s="3">
        <v>261192.3</v>
      </c>
      <c r="BJ8" s="3">
        <v>259301.5</v>
      </c>
      <c r="BK8" s="3">
        <v>265295</v>
      </c>
      <c r="BL8" s="3">
        <v>268693.5</v>
      </c>
      <c r="BM8" s="3">
        <v>272798.8</v>
      </c>
      <c r="BN8" s="3">
        <v>276323</v>
      </c>
      <c r="BO8" s="3">
        <v>280349</v>
      </c>
      <c r="BP8" s="3">
        <v>282836.8</v>
      </c>
      <c r="BQ8" s="3">
        <v>282878.8</v>
      </c>
      <c r="BR8" s="3">
        <v>284820</v>
      </c>
      <c r="BS8" s="3">
        <v>288111</v>
      </c>
      <c r="BT8" s="3">
        <v>289231.8</v>
      </c>
      <c r="BU8" s="3">
        <v>290276</v>
      </c>
      <c r="BV8" s="3">
        <v>289698.3</v>
      </c>
      <c r="BW8" s="3">
        <v>292484.3</v>
      </c>
      <c r="BX8" s="3">
        <v>291310.8</v>
      </c>
      <c r="BY8" s="3">
        <v>289223</v>
      </c>
      <c r="BZ8" s="3">
        <v>286647.8</v>
      </c>
      <c r="CA8" s="3">
        <v>282524</v>
      </c>
      <c r="CB8" s="3">
        <v>283880</v>
      </c>
      <c r="CC8" s="3">
        <v>284256.5</v>
      </c>
      <c r="CD8" s="3">
        <v>284756</v>
      </c>
      <c r="CE8" s="3">
        <v>284957</v>
      </c>
      <c r="CF8" s="3">
        <v>285281.8</v>
      </c>
      <c r="CG8" s="3">
        <v>286827</v>
      </c>
      <c r="CH8" s="3">
        <v>288461.3</v>
      </c>
      <c r="CI8" s="3">
        <v>290292.8</v>
      </c>
      <c r="CJ8" s="3">
        <v>292937</v>
      </c>
      <c r="CK8" s="3">
        <v>295738.5</v>
      </c>
      <c r="CL8" s="3">
        <v>297003.5</v>
      </c>
      <c r="CM8" s="3">
        <v>301382.8</v>
      </c>
      <c r="CN8" s="3">
        <v>305782.5</v>
      </c>
      <c r="CO8" s="3">
        <v>309702.8</v>
      </c>
      <c r="CP8" s="3">
        <v>311952.5</v>
      </c>
      <c r="CQ8" s="3">
        <v>314818.8</v>
      </c>
      <c r="CR8" s="3">
        <v>314952.5</v>
      </c>
      <c r="CS8" s="3">
        <v>315368.8</v>
      </c>
      <c r="CT8" s="3">
        <v>316641.5</v>
      </c>
      <c r="CU8" s="3">
        <v>317101</v>
      </c>
      <c r="CV8" s="3">
        <v>319358.5</v>
      </c>
      <c r="CW8" s="3">
        <v>322040.8</v>
      </c>
      <c r="CX8" s="3">
        <v>324592.3</v>
      </c>
      <c r="CY8" s="3">
        <v>328941.5</v>
      </c>
      <c r="CZ8" s="3">
        <v>332643.3</v>
      </c>
      <c r="DA8" s="3">
        <v>336586.8</v>
      </c>
      <c r="DB8" s="3">
        <v>339839.5</v>
      </c>
      <c r="DC8" s="3">
        <v>344638</v>
      </c>
      <c r="DD8" s="3">
        <v>344820.5</v>
      </c>
      <c r="DE8" s="3">
        <v>347962.5</v>
      </c>
      <c r="DF8" s="3">
        <v>352677.3</v>
      </c>
      <c r="DG8" s="3">
        <v>359045</v>
      </c>
      <c r="DH8" s="3">
        <v>362006.3</v>
      </c>
      <c r="DI8" s="3">
        <v>367680.5</v>
      </c>
      <c r="DJ8" s="3">
        <v>372831.5</v>
      </c>
      <c r="DK8" s="3">
        <v>378669</v>
      </c>
      <c r="DL8" s="3">
        <v>383125.8</v>
      </c>
      <c r="DM8" s="3">
        <v>387053</v>
      </c>
      <c r="DN8" s="3">
        <v>387818.5</v>
      </c>
      <c r="DO8" s="3">
        <v>390001.5</v>
      </c>
      <c r="DP8" s="3">
        <v>391228</v>
      </c>
      <c r="DQ8" s="3">
        <v>390953</v>
      </c>
      <c r="DR8" s="3">
        <v>393297.8</v>
      </c>
      <c r="DS8" s="3">
        <v>399048.5</v>
      </c>
      <c r="DT8" s="3">
        <v>401406.3</v>
      </c>
      <c r="DU8" s="3">
        <v>404877.3</v>
      </c>
      <c r="DV8" s="3">
        <v>407101</v>
      </c>
      <c r="DW8" s="3">
        <v>409366</v>
      </c>
      <c r="DX8" s="3">
        <v>408772.3</v>
      </c>
      <c r="DY8" s="3">
        <v>410300.5</v>
      </c>
      <c r="DZ8" s="3">
        <v>413121</v>
      </c>
      <c r="EA8" s="3">
        <v>416125</v>
      </c>
      <c r="EB8" s="3">
        <v>421055.5</v>
      </c>
      <c r="EC8" s="3">
        <v>426033.8</v>
      </c>
      <c r="ED8" s="3">
        <v>429108.5</v>
      </c>
      <c r="EE8" s="3">
        <v>430611.3</v>
      </c>
      <c r="EF8" s="3">
        <v>433723.5</v>
      </c>
      <c r="EG8" s="3">
        <v>438979.8</v>
      </c>
      <c r="EH8" s="3">
        <v>443339.5</v>
      </c>
      <c r="EI8" s="3">
        <v>446939</v>
      </c>
      <c r="EJ8" s="3">
        <v>447162.5</v>
      </c>
      <c r="EK8" s="3">
        <v>448421.3</v>
      </c>
      <c r="EL8" s="3">
        <v>450207</v>
      </c>
      <c r="EM8" s="3">
        <v>453080.3</v>
      </c>
      <c r="EN8" s="3">
        <v>457455.8</v>
      </c>
      <c r="EO8" s="3">
        <v>459169.8</v>
      </c>
      <c r="EP8" s="3">
        <v>459773.3</v>
      </c>
      <c r="EQ8" s="3">
        <v>460118.3</v>
      </c>
      <c r="ER8" s="3">
        <v>461794.8</v>
      </c>
      <c r="ES8" s="3">
        <v>465589.5</v>
      </c>
      <c r="ET8" s="3">
        <v>460187.3</v>
      </c>
      <c r="EU8" s="3">
        <v>449802.8</v>
      </c>
      <c r="EV8" s="3">
        <v>444950.8</v>
      </c>
      <c r="EW8" s="3">
        <v>446940.8</v>
      </c>
      <c r="EX8" s="3">
        <v>452133.8</v>
      </c>
      <c r="EY8" s="3">
        <v>457611.5</v>
      </c>
      <c r="EZ8" s="3">
        <v>460007.8</v>
      </c>
      <c r="FA8" s="3">
        <v>463228</v>
      </c>
      <c r="FB8" s="3">
        <v>468424.5</v>
      </c>
      <c r="FC8" s="3">
        <v>471992</v>
      </c>
      <c r="FD8" s="3">
        <v>472848.8</v>
      </c>
      <c r="FE8" s="3">
        <v>479318.5</v>
      </c>
      <c r="FF8" s="3">
        <v>483127.8</v>
      </c>
      <c r="FG8" s="3">
        <v>483432.8</v>
      </c>
      <c r="FH8" s="3">
        <v>485004.3</v>
      </c>
      <c r="FI8" s="3">
        <v>485668</v>
      </c>
      <c r="FJ8" s="3">
        <v>486667.5</v>
      </c>
      <c r="FK8" s="3">
        <v>491023.8</v>
      </c>
      <c r="FL8" s="3">
        <v>493851.5</v>
      </c>
      <c r="FM8" s="3">
        <v>497912.5</v>
      </c>
      <c r="FN8" s="3">
        <v>503123.5</v>
      </c>
      <c r="FO8" s="3">
        <v>503973.8</v>
      </c>
      <c r="FP8" s="3">
        <v>508567.8</v>
      </c>
      <c r="FQ8" s="3">
        <v>513442.8</v>
      </c>
      <c r="FR8" s="3">
        <v>516991.5</v>
      </c>
      <c r="FS8" s="3">
        <v>514113</v>
      </c>
      <c r="FT8" s="3">
        <v>512709.5</v>
      </c>
      <c r="FU8" s="3">
        <v>514545.5</v>
      </c>
      <c r="FV8" s="3">
        <v>514886.5</v>
      </c>
      <c r="FW8" s="3">
        <v>517933</v>
      </c>
      <c r="FX8" s="3">
        <v>515353</v>
      </c>
      <c r="FY8" s="3">
        <v>520701.3</v>
      </c>
      <c r="FZ8" s="3">
        <v>523622.5</v>
      </c>
      <c r="GA8" s="3">
        <v>530210.80000000005</v>
      </c>
      <c r="GB8" s="3">
        <v>535791.5</v>
      </c>
      <c r="GC8" s="3">
        <v>535959.80000000005</v>
      </c>
      <c r="GD8" s="3">
        <v>538679</v>
      </c>
      <c r="GE8" s="3">
        <v>544941.30000000005</v>
      </c>
      <c r="GF8" s="3">
        <v>549192</v>
      </c>
      <c r="GG8" s="3">
        <v>551962.30000000005</v>
      </c>
      <c r="GH8" s="3">
        <v>553262.5</v>
      </c>
      <c r="GI8" s="3">
        <v>554594</v>
      </c>
      <c r="GJ8" s="3">
        <v>560665.5</v>
      </c>
      <c r="GK8" s="3">
        <v>562233.30000000005</v>
      </c>
      <c r="GL8" s="3">
        <v>563838.5</v>
      </c>
      <c r="GM8" s="3">
        <v>552844</v>
      </c>
      <c r="GN8" s="3">
        <v>492031.5</v>
      </c>
      <c r="GO8" s="3">
        <v>536725.30000000005</v>
      </c>
      <c r="GP8" s="3">
        <v>546807</v>
      </c>
      <c r="GQ8" s="3">
        <v>554680.30000000005</v>
      </c>
      <c r="GR8" s="3">
        <v>552950.5</v>
      </c>
      <c r="GS8" s="3">
        <v>562240.80000000005</v>
      </c>
      <c r="GT8" s="3">
        <v>571064.30000000005</v>
      </c>
      <c r="GU8" s="3">
        <v>576553.80000000005</v>
      </c>
      <c r="GV8" s="3">
        <v>581970.30000000005</v>
      </c>
      <c r="GW8" s="3">
        <v>584635.80000000005</v>
      </c>
      <c r="GX8" s="3">
        <v>583376.80000000005</v>
      </c>
      <c r="GY8" s="3">
        <v>588322.80000000005</v>
      </c>
      <c r="GZ8" s="3">
        <v>589342.5</v>
      </c>
      <c r="HA8" s="3">
        <v>588909.5</v>
      </c>
      <c r="HB8" s="3">
        <v>589018.5</v>
      </c>
      <c r="HC8" s="3">
        <v>591452.80000000005</v>
      </c>
      <c r="HD8" s="4">
        <v>592644.19999999995</v>
      </c>
      <c r="HE8" s="4">
        <v>591280.30000000005</v>
      </c>
      <c r="HF8" s="4">
        <v>593129.9</v>
      </c>
      <c r="HG8" s="4">
        <v>595408.1</v>
      </c>
      <c r="HH8" s="4">
        <v>598563.69999999995</v>
      </c>
      <c r="HI8" s="4">
        <v>602239.9</v>
      </c>
      <c r="HJ8" s="4">
        <v>606228.5</v>
      </c>
      <c r="HK8" s="4">
        <v>610277.69999999995</v>
      </c>
      <c r="HL8" s="4">
        <v>614310.6</v>
      </c>
      <c r="HM8" s="4">
        <v>618442.6</v>
      </c>
      <c r="HN8" s="4">
        <v>622555.4</v>
      </c>
      <c r="HO8" s="4">
        <v>626551.9</v>
      </c>
      <c r="HP8" s="4">
        <v>630445.4</v>
      </c>
      <c r="HQ8" s="4">
        <v>634258.6</v>
      </c>
      <c r="HR8" s="4">
        <v>637970.4</v>
      </c>
      <c r="HS8" s="4">
        <v>641573.30000000005</v>
      </c>
      <c r="HT8" s="4">
        <v>645102.30000000005</v>
      </c>
      <c r="HU8" s="4">
        <v>648618.1</v>
      </c>
      <c r="HV8" s="4">
        <v>652245.4</v>
      </c>
      <c r="HW8" s="4">
        <v>655801.9</v>
      </c>
      <c r="HX8" s="4">
        <v>659308.30000000005</v>
      </c>
      <c r="HY8" s="4">
        <v>662796.5</v>
      </c>
      <c r="HZ8" s="4">
        <v>666378.80000000005</v>
      </c>
      <c r="IA8" s="4">
        <v>669948.9</v>
      </c>
      <c r="IB8" s="4">
        <v>673489.7</v>
      </c>
      <c r="IC8" s="4">
        <v>676993.9</v>
      </c>
      <c r="ID8" s="4">
        <v>680477.8</v>
      </c>
      <c r="IE8" s="4">
        <v>683897.3</v>
      </c>
      <c r="IF8" s="4">
        <v>687295.5</v>
      </c>
      <c r="IG8" s="4">
        <v>690724.6</v>
      </c>
      <c r="IH8" s="4">
        <v>694136.5</v>
      </c>
      <c r="II8" s="4">
        <v>697511.7</v>
      </c>
      <c r="IJ8" s="4">
        <v>700892.5</v>
      </c>
      <c r="IK8" s="4">
        <v>704272.1</v>
      </c>
      <c r="IL8" s="4">
        <v>707746.7</v>
      </c>
      <c r="IM8" s="4">
        <v>711280.5</v>
      </c>
      <c r="IN8" s="4">
        <v>714812.4</v>
      </c>
      <c r="IO8" s="4">
        <v>718354</v>
      </c>
      <c r="IP8" s="4">
        <v>721914.7</v>
      </c>
      <c r="IQ8" s="4">
        <v>725485.4</v>
      </c>
      <c r="IR8" s="4">
        <v>729081.6</v>
      </c>
      <c r="IS8" s="4">
        <v>732699.8</v>
      </c>
      <c r="IT8" s="4">
        <v>736331.8</v>
      </c>
      <c r="IU8" s="4">
        <v>739908.7</v>
      </c>
      <c r="IV8" s="4">
        <v>743565.9</v>
      </c>
      <c r="IW8" s="4">
        <v>747248.6</v>
      </c>
      <c r="IX8" s="4">
        <v>750953.3</v>
      </c>
      <c r="IY8" s="4">
        <v>754659.1</v>
      </c>
      <c r="IZ8" s="4">
        <v>758373.3</v>
      </c>
      <c r="JA8" s="4">
        <v>762110.4</v>
      </c>
      <c r="JB8" s="4">
        <v>765879.7</v>
      </c>
      <c r="JC8" s="4">
        <v>769671.4</v>
      </c>
      <c r="JD8" s="4">
        <v>773473.9</v>
      </c>
      <c r="JE8" s="4">
        <v>777276.9</v>
      </c>
      <c r="JF8" s="4">
        <v>781080.5</v>
      </c>
      <c r="JG8" s="4">
        <v>784873.7</v>
      </c>
      <c r="JH8" s="4">
        <v>788689.1</v>
      </c>
      <c r="JI8" s="4">
        <v>792547.1</v>
      </c>
      <c r="JJ8" s="4">
        <v>796445.4</v>
      </c>
      <c r="JK8" s="4">
        <v>800350.3</v>
      </c>
      <c r="JL8" s="4">
        <v>804273.2</v>
      </c>
      <c r="JM8" s="4">
        <v>808232.1</v>
      </c>
      <c r="JN8" s="4">
        <v>812222.9</v>
      </c>
      <c r="JO8" s="4">
        <v>816194.1</v>
      </c>
      <c r="JP8" s="4">
        <v>820185.7</v>
      </c>
      <c r="JQ8" s="4">
        <v>824229.3</v>
      </c>
      <c r="JR8" s="4">
        <v>828325.7</v>
      </c>
      <c r="JS8" s="4">
        <v>832426.3</v>
      </c>
      <c r="JT8" s="4">
        <v>836538.9</v>
      </c>
      <c r="JU8" s="4">
        <v>840677.9</v>
      </c>
      <c r="JV8" s="4">
        <v>844843.6</v>
      </c>
      <c r="JW8" s="4">
        <v>849044.6</v>
      </c>
      <c r="JX8" s="4">
        <v>853239.1</v>
      </c>
      <c r="JY8" s="4">
        <v>857449.9</v>
      </c>
      <c r="JZ8" s="4">
        <v>861682.4</v>
      </c>
      <c r="KA8" s="4">
        <v>865942.3</v>
      </c>
      <c r="KB8" s="4">
        <v>870196</v>
      </c>
      <c r="KC8" s="4">
        <v>874450.2</v>
      </c>
      <c r="KD8" s="4">
        <v>878690.8</v>
      </c>
      <c r="KE8" s="4">
        <v>882977.9</v>
      </c>
      <c r="KF8" s="4">
        <v>887242.2</v>
      </c>
      <c r="KG8" s="4">
        <v>891505.5</v>
      </c>
      <c r="KH8" s="4">
        <v>895765.6</v>
      </c>
      <c r="KI8" s="4">
        <v>899979.7</v>
      </c>
      <c r="KJ8" s="4">
        <v>904237.6</v>
      </c>
      <c r="KK8" s="4">
        <v>908518.3</v>
      </c>
      <c r="KL8" s="4">
        <v>912818.9</v>
      </c>
      <c r="KM8" s="4">
        <v>917120.3</v>
      </c>
      <c r="KN8" s="4">
        <v>921445.6</v>
      </c>
      <c r="KO8" s="4">
        <v>925785.3</v>
      </c>
      <c r="KP8" s="4">
        <v>930132.1</v>
      </c>
      <c r="KQ8" s="4">
        <v>934514.4</v>
      </c>
      <c r="KR8" s="4">
        <v>938886.4</v>
      </c>
      <c r="KS8" s="4">
        <v>943264.4</v>
      </c>
      <c r="KT8" s="4">
        <v>947639.4</v>
      </c>
      <c r="KU8" s="4">
        <v>952022.7</v>
      </c>
      <c r="KV8" s="4">
        <v>956418.9</v>
      </c>
      <c r="KW8" s="4">
        <v>960811.7</v>
      </c>
      <c r="KX8" s="4">
        <v>965205.6</v>
      </c>
      <c r="KY8" s="4">
        <v>969667.8</v>
      </c>
      <c r="KZ8" s="4">
        <v>974113.9</v>
      </c>
      <c r="LA8" s="4">
        <v>978551.4</v>
      </c>
      <c r="LB8" s="4">
        <v>982972.5</v>
      </c>
      <c r="LC8" s="4">
        <v>987347</v>
      </c>
      <c r="LD8" s="4">
        <v>991782.1</v>
      </c>
      <c r="LE8" s="4">
        <v>996218.6</v>
      </c>
      <c r="LF8" s="4">
        <v>1000668</v>
      </c>
      <c r="LG8" t="s">
        <v>378</v>
      </c>
      <c r="LH8" t="b">
        <v>1</v>
      </c>
      <c r="LI8" s="2" t="s">
        <v>348</v>
      </c>
      <c r="LJ8" t="s">
        <v>338</v>
      </c>
      <c r="LK8">
        <v>2024</v>
      </c>
      <c r="LL8">
        <v>1</v>
      </c>
      <c r="LM8" t="s">
        <v>338</v>
      </c>
      <c r="LN8" s="2" t="s">
        <v>379</v>
      </c>
      <c r="LO8" s="2" t="s">
        <v>380</v>
      </c>
      <c r="LP8" t="s">
        <v>381</v>
      </c>
      <c r="LQ8" t="s">
        <v>342</v>
      </c>
      <c r="LR8" s="2" t="s">
        <v>343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D520-8F02-4C97-A538-B060B87BB351}">
  <dimension ref="A1:I318"/>
  <sheetViews>
    <sheetView workbookViewId="0">
      <pane xSplit="2" ySplit="6" topLeftCell="C166" activePane="bottomRight" state="frozen"/>
      <selection activeCell="F5" sqref="F5"/>
      <selection pane="topRight" activeCell="F5" sqref="F5"/>
      <selection pane="bottomLeft" activeCell="F5" sqref="F5"/>
      <selection pane="bottomRight" activeCell="F5" sqref="F5"/>
    </sheetView>
  </sheetViews>
  <sheetFormatPr defaultColWidth="9.140625" defaultRowHeight="15" x14ac:dyDescent="0.25"/>
  <cols>
    <col min="1" max="1" width="5" style="5" bestFit="1" customWidth="1"/>
    <col min="2" max="2" width="9.140625" style="5"/>
    <col min="3" max="9" width="17.5703125" style="5" bestFit="1" customWidth="1"/>
    <col min="10" max="16384" width="9.140625" style="5"/>
  </cols>
  <sheetData>
    <row r="1" spans="1:9" x14ac:dyDescent="0.25">
      <c r="C1" s="6" t="s">
        <v>343</v>
      </c>
      <c r="D1" s="6" t="str">
        <f>$C$1</f>
        <v>AUG006N.db</v>
      </c>
      <c r="E1" s="6" t="str">
        <f t="shared" ref="E1:I1" si="0">$C$1</f>
        <v>AUG006N.db</v>
      </c>
      <c r="F1" s="6" t="str">
        <f t="shared" si="0"/>
        <v>AUG006N.db</v>
      </c>
      <c r="G1" s="6" t="str">
        <f t="shared" si="0"/>
        <v>AUG006N.db</v>
      </c>
      <c r="H1" s="6" t="str">
        <f t="shared" si="0"/>
        <v>AUG006N.db</v>
      </c>
      <c r="I1" s="6" t="str">
        <f t="shared" si="0"/>
        <v>AUG006N.db</v>
      </c>
    </row>
    <row r="2" spans="1:9" x14ac:dyDescent="0.25">
      <c r="C2" s="5" t="s">
        <v>382</v>
      </c>
      <c r="D2" s="5" t="s">
        <v>384</v>
      </c>
      <c r="E2" s="5" t="s">
        <v>352</v>
      </c>
      <c r="F2" s="5" t="s">
        <v>358</v>
      </c>
      <c r="G2" s="5" t="s">
        <v>365</v>
      </c>
      <c r="H2" s="5" t="s">
        <v>371</v>
      </c>
      <c r="I2" s="5" t="s">
        <v>376</v>
      </c>
    </row>
    <row r="3" spans="1:9" x14ac:dyDescent="0.25">
      <c r="C3" s="5" t="s">
        <v>342</v>
      </c>
      <c r="D3" s="5" t="s">
        <v>342</v>
      </c>
      <c r="E3" s="5" t="s">
        <v>342</v>
      </c>
      <c r="F3" s="5" t="s">
        <v>342</v>
      </c>
      <c r="G3" s="5" t="s">
        <v>342</v>
      </c>
      <c r="H3" s="5" t="s">
        <v>342</v>
      </c>
      <c r="I3" s="5" t="s">
        <v>342</v>
      </c>
    </row>
    <row r="4" spans="1:9" x14ac:dyDescent="0.25">
      <c r="C4" s="5" t="s">
        <v>341</v>
      </c>
      <c r="D4" s="5" t="s">
        <v>351</v>
      </c>
      <c r="E4" s="5" t="s">
        <v>357</v>
      </c>
      <c r="F4" s="5" t="s">
        <v>364</v>
      </c>
      <c r="G4" s="5" t="s">
        <v>370</v>
      </c>
      <c r="H4" s="5" t="s">
        <v>375</v>
      </c>
      <c r="I4" s="5" t="s">
        <v>381</v>
      </c>
    </row>
    <row r="5" spans="1:9" x14ac:dyDescent="0.25">
      <c r="C5" s="5" t="s">
        <v>383</v>
      </c>
      <c r="D5" s="5" t="s">
        <v>383</v>
      </c>
      <c r="E5" s="5" t="s">
        <v>383</v>
      </c>
      <c r="F5" s="5" t="s">
        <v>383</v>
      </c>
      <c r="G5" s="5" t="s">
        <v>383</v>
      </c>
      <c r="H5" s="5" t="s">
        <v>383</v>
      </c>
      <c r="I5" s="5" t="s">
        <v>383</v>
      </c>
    </row>
    <row r="6" spans="1:9" x14ac:dyDescent="0.25">
      <c r="B6" s="5">
        <f>B318+5</f>
        <v>2289</v>
      </c>
      <c r="C6" s="7" t="str" cm="1">
        <f t="array" ref="C6">_xlfn.CONCAT(INDEX(GMW!$A$2:$LR$60,MATCH(1,(GMW!$LQ$2:$LQ$60=C$3)*(GMW!$LP$2:$LP$60=C$4)*(GMW!$LR$2:$LR$60=C$1),0),$B6-1966),"0",(INDEX(GMW!$A$2:$LR$60,MATCH(1,(GMW!$LQ$2:$LQ$60=C$3)*(GMW!$LP$2:$LP$60=C$4)*(GMW!$LR$2:$LR$60=C$1),0),$B6-1965)))</f>
        <v>202401</v>
      </c>
      <c r="D6" s="7" t="str" cm="1">
        <f t="array" ref="D6">_xlfn.CONCAT(INDEX(GMW!$A$2:$LR$60,MATCH(1,(GMW!$LQ$2:$LQ$60=D$3)*(GMW!$LP$2:$LP$60=D$4)*(GMW!$LR$2:$LR$60=D$1),0),$B6-1966),"0",(INDEX(GMW!$A$2:$LR$60,MATCH(1,(GMW!$LQ$2:$LQ$60=D$3)*(GMW!$LP$2:$LP$60=D$4)*(GMW!$LR$2:$LR$60=D$1),0),$B6-1965)))</f>
        <v>202402</v>
      </c>
      <c r="E6" s="7" t="str" cm="1">
        <f t="array" ref="E6">_xlfn.CONCAT(INDEX(GMW!$A$2:$LR$60,MATCH(1,(GMW!$LQ$2:$LQ$60=E$3)*(GMW!$LP$2:$LP$60=E$4)*(GMW!$LR$2:$LR$60=E$1),0),$B6-1966),"0",(INDEX(GMW!$A$2:$LR$60,MATCH(1,(GMW!$LQ$2:$LQ$60=E$3)*(GMW!$LP$2:$LP$60=E$4)*(GMW!$LR$2:$LR$60=E$1),0),$B6-1965)))</f>
        <v>202401</v>
      </c>
      <c r="F6" s="7" t="str" cm="1">
        <f t="array" ref="F6">_xlfn.CONCAT(INDEX(GMW!$A$2:$LR$60,MATCH(1,(GMW!$LQ$2:$LQ$60=F$3)*(GMW!$LP$2:$LP$60=F$4)*(GMW!$LR$2:$LR$60=F$1),0),$B6-1966),"0",(INDEX(GMW!$A$2:$LR$60,MATCH(1,(GMW!$LQ$2:$LQ$60=F$3)*(GMW!$LP$2:$LP$60=F$4)*(GMW!$LR$2:$LR$60=F$1),0),$B6-1965)))</f>
        <v>202402</v>
      </c>
      <c r="G6" s="7" t="str" cm="1">
        <f t="array" ref="G6">_xlfn.CONCAT(INDEX(GMW!$A$2:$LR$60,MATCH(1,(GMW!$LQ$2:$LQ$60=G$3)*(GMW!$LP$2:$LP$60=G$4)*(GMW!$LR$2:$LR$60=G$1),0),$B6-1966),"0",(INDEX(GMW!$A$2:$LR$60,MATCH(1,(GMW!$LQ$2:$LQ$60=G$3)*(GMW!$LP$2:$LP$60=G$4)*(GMW!$LR$2:$LR$60=G$1),0),$B6-1965)))</f>
        <v>202402</v>
      </c>
      <c r="H6" s="7" t="str" cm="1">
        <f t="array" ref="H6">_xlfn.CONCAT(INDEX(GMW!$A$2:$LR$60,MATCH(1,(GMW!$LQ$2:$LQ$60=H$3)*(GMW!$LP$2:$LP$60=H$4)*(GMW!$LR$2:$LR$60=H$1),0),$B6-1966),"0",(INDEX(GMW!$A$2:$LR$60,MATCH(1,(GMW!$LQ$2:$LQ$60=H$3)*(GMW!$LP$2:$LP$60=H$4)*(GMW!$LR$2:$LR$60=H$1),0),$B6-1965)))</f>
        <v>202402</v>
      </c>
      <c r="I6" s="7" t="str" cm="1">
        <f t="array" ref="I6">_xlfn.CONCAT(INDEX(GMW!$A$2:$LR$60,MATCH(1,(GMW!$LQ$2:$LQ$60=I$3)*(GMW!$LP$2:$LP$60=I$4)*(GMW!$LR$2:$LR$60=I$1),0),$B6-1966),"0",(INDEX(GMW!$A$2:$LR$60,MATCH(1,(GMW!$LQ$2:$LQ$60=I$3)*(GMW!$LP$2:$LP$60=I$4)*(GMW!$LR$2:$LR$60=I$1),0),$B6-1965)))</f>
        <v>202401</v>
      </c>
    </row>
    <row r="7" spans="1:9" x14ac:dyDescent="0.25">
      <c r="A7" s="5">
        <v>1973</v>
      </c>
      <c r="B7" s="5">
        <v>1973</v>
      </c>
      <c r="C7" s="5" cm="1">
        <f t="array" ref="C7">INDEX(GMW!$A$2:$LR$60,MATCH(1,(GMW!$LQ$2:$LQ$60=C$3)*(GMW!$LP$2:$LP$60=C$4)*(GMW!$LR$2:$LR$60=C$1),0),$B7-1966)</f>
        <v>223780</v>
      </c>
      <c r="D7" s="5" cm="1">
        <f t="array" ref="D7">INDEX(GMW!$A$2:$LR$60,MATCH(1,(GMW!$LQ$2:$LQ$60=D$3)*(GMW!$LP$2:$LP$60=D$4)*(GMW!$LR$2:$LR$60=D$1),0),$B7-1966)</f>
        <v>1514.625</v>
      </c>
      <c r="E7" s="5" cm="1">
        <f t="array" ref="E7">INDEX(GMW!$A$2:$LR$60,MATCH(1,(GMW!$LQ$2:$LQ$60=E$3)*(GMW!$LP$2:$LP$60=E$4)*(GMW!$LR$2:$LR$60=E$1),0),$B7-1966)</f>
        <v>52242.65</v>
      </c>
      <c r="F7" s="5" cm="1">
        <f t="array" ref="F7">INDEX(GMW!$A$2:$LR$60,MATCH(1,(GMW!$LQ$2:$LQ$60=F$3)*(GMW!$LP$2:$LP$60=F$4)*(GMW!$LR$2:$LR$60=F$1),0),$B7-1966)</f>
        <v>354.57279999999997</v>
      </c>
      <c r="G7" s="5" cm="1">
        <f t="array" ref="G7">INDEX(GMW!$A$2:$LR$60,MATCH(1,(GMW!$LQ$2:$LQ$60=G$3)*(GMW!$LP$2:$LP$60=G$4)*(GMW!$LR$2:$LR$60=G$1),0),$B7-1966)</f>
        <v>244.37899999999999</v>
      </c>
      <c r="H7" s="5" cm="1">
        <f t="array" ref="H7">INDEX(GMW!$A$2:$LR$60,MATCH(1,(GMW!$LQ$2:$LQ$60=H$3)*(GMW!$LP$2:$LP$60=H$4)*(GMW!$LR$2:$LR$60=H$1),0),$B7-1966)</f>
        <v>209.6728</v>
      </c>
      <c r="I7" s="5" cm="1">
        <f t="array" ref="I7">INDEX(GMW!$A$2:$LR$60,MATCH(1,(GMW!$LQ$2:$LQ$60=I$3)*(GMW!$LP$2:$LP$60=I$4)*(GMW!$LR$2:$LR$60=I$1),0),$B7-1966)</f>
        <v>174319.5</v>
      </c>
    </row>
    <row r="8" spans="1:9" x14ac:dyDescent="0.25">
      <c r="A8" s="5">
        <f>A7</f>
        <v>1973</v>
      </c>
      <c r="B8" s="5">
        <f>+B7+1</f>
        <v>1974</v>
      </c>
      <c r="C8" s="5" cm="1">
        <f t="array" ref="C8">INDEX(GMW!$A$2:$LR$60,MATCH(1,(GMW!$LQ$2:$LQ$60=C$3)*(GMW!$LP$2:$LP$60=C$4)*(GMW!$LR$2:$LR$60=C$1),0),$B8-1966)</f>
        <v>224213</v>
      </c>
      <c r="D8" s="5" cm="1">
        <f t="array" ref="D8">INDEX(GMW!$A$2:$LR$60,MATCH(1,(GMW!$LQ$2:$LQ$60=D$3)*(GMW!$LP$2:$LP$60=D$4)*(GMW!$LR$2:$LR$60=D$1),0),$B8-1966)</f>
        <v>1531.125</v>
      </c>
      <c r="E8" s="5" cm="1">
        <f t="array" ref="E8">INDEX(GMW!$A$2:$LR$60,MATCH(1,(GMW!$LQ$2:$LQ$60=E$3)*(GMW!$LP$2:$LP$60=E$4)*(GMW!$LR$2:$LR$60=E$1),0),$B8-1966)</f>
        <v>52722.43</v>
      </c>
      <c r="F8" s="5" cm="1">
        <f t="array" ref="F8">INDEX(GMW!$A$2:$LR$60,MATCH(1,(GMW!$LQ$2:$LQ$60=F$3)*(GMW!$LP$2:$LP$60=F$4)*(GMW!$LR$2:$LR$60=F$1),0),$B8-1966)</f>
        <v>357.09429999999998</v>
      </c>
      <c r="G8" s="5" cm="1">
        <f t="array" ref="G8">INDEX(GMW!$A$2:$LR$60,MATCH(1,(GMW!$LQ$2:$LQ$60=G$3)*(GMW!$LP$2:$LP$60=G$4)*(GMW!$LR$2:$LR$60=G$1),0),$B8-1966)</f>
        <v>247.94900000000001</v>
      </c>
      <c r="H8" s="5" cm="1">
        <f t="array" ref="H8">INDEX(GMW!$A$2:$LR$60,MATCH(1,(GMW!$LQ$2:$LQ$60=H$3)*(GMW!$LP$2:$LP$60=H$4)*(GMW!$LR$2:$LR$60=H$1),0),$B8-1966)</f>
        <v>215.95439999999999</v>
      </c>
      <c r="I8" s="5" cm="1">
        <f t="array" ref="I8">INDEX(GMW!$A$2:$LR$60,MATCH(1,(GMW!$LQ$2:$LQ$60=I$3)*(GMW!$LP$2:$LP$60=I$4)*(GMW!$LR$2:$LR$60=I$1),0),$B8-1966)</f>
        <v>175982.5</v>
      </c>
    </row>
    <row r="9" spans="1:9" x14ac:dyDescent="0.25">
      <c r="A9" s="5">
        <f>A8</f>
        <v>1973</v>
      </c>
      <c r="B9" s="5">
        <f t="shared" ref="B9:B47" si="1">+B8+1</f>
        <v>1975</v>
      </c>
      <c r="C9" s="5" cm="1">
        <f t="array" ref="C9">INDEX(GMW!$A$2:$LR$60,MATCH(1,(GMW!$LQ$2:$LQ$60=C$3)*(GMW!$LP$2:$LP$60=C$4)*(GMW!$LR$2:$LR$60=C$1),0),$B9-1966)</f>
        <v>222122</v>
      </c>
      <c r="D9" s="5" cm="1">
        <f t="array" ref="D9">INDEX(GMW!$A$2:$LR$60,MATCH(1,(GMW!$LQ$2:$LQ$60=D$3)*(GMW!$LP$2:$LP$60=D$4)*(GMW!$LR$2:$LR$60=D$1),0),$B9-1966)</f>
        <v>1523.075</v>
      </c>
      <c r="E9" s="5" cm="1">
        <f t="array" ref="E9">INDEX(GMW!$A$2:$LR$60,MATCH(1,(GMW!$LQ$2:$LQ$60=E$3)*(GMW!$LP$2:$LP$60=E$4)*(GMW!$LR$2:$LR$60=E$1),0),$B9-1966)</f>
        <v>52875.77</v>
      </c>
      <c r="F9" s="5" cm="1">
        <f t="array" ref="F9">INDEX(GMW!$A$2:$LR$60,MATCH(1,(GMW!$LQ$2:$LQ$60=F$3)*(GMW!$LP$2:$LP$60=F$4)*(GMW!$LR$2:$LR$60=F$1),0),$B9-1966)</f>
        <v>358.3091</v>
      </c>
      <c r="G9" s="5" cm="1">
        <f t="array" ref="G9">INDEX(GMW!$A$2:$LR$60,MATCH(1,(GMW!$LQ$2:$LQ$60=G$3)*(GMW!$LP$2:$LP$60=G$4)*(GMW!$LR$2:$LR$60=G$1),0),$B9-1966)</f>
        <v>251.887</v>
      </c>
      <c r="H9" s="5" cm="1">
        <f t="array" ref="H9">INDEX(GMW!$A$2:$LR$60,MATCH(1,(GMW!$LQ$2:$LQ$60=H$3)*(GMW!$LP$2:$LP$60=H$4)*(GMW!$LR$2:$LR$60=H$1),0),$B9-1966)</f>
        <v>222.827</v>
      </c>
      <c r="I9" s="5" cm="1">
        <f t="array" ref="I9">INDEX(GMW!$A$2:$LR$60,MATCH(1,(GMW!$LQ$2:$LQ$60=I$3)*(GMW!$LP$2:$LP$60=I$4)*(GMW!$LR$2:$LR$60=I$1),0),$B9-1966)</f>
        <v>176800.8</v>
      </c>
    </row>
    <row r="10" spans="1:9" x14ac:dyDescent="0.25">
      <c r="A10" s="5">
        <f>A9</f>
        <v>1973</v>
      </c>
      <c r="B10" s="5">
        <f t="shared" si="1"/>
        <v>1976</v>
      </c>
      <c r="C10" s="5" cm="1">
        <f t="array" ref="C10">INDEX(GMW!$A$2:$LR$60,MATCH(1,(GMW!$LQ$2:$LQ$60=C$3)*(GMW!$LP$2:$LP$60=C$4)*(GMW!$LR$2:$LR$60=C$1),0),$B10-1966)</f>
        <v>221266</v>
      </c>
      <c r="D10" s="5" cm="1">
        <f t="array" ref="D10">INDEX(GMW!$A$2:$LR$60,MATCH(1,(GMW!$LQ$2:$LQ$60=D$3)*(GMW!$LP$2:$LP$60=D$4)*(GMW!$LR$2:$LR$60=D$1),0),$B10-1966)</f>
        <v>1537.5250000000001</v>
      </c>
      <c r="E10" s="5" cm="1">
        <f t="array" ref="E10">INDEX(GMW!$A$2:$LR$60,MATCH(1,(GMW!$LQ$2:$LQ$60=E$3)*(GMW!$LP$2:$LP$60=E$4)*(GMW!$LR$2:$LR$60=E$1),0),$B10-1966)</f>
        <v>53539.66</v>
      </c>
      <c r="F10" s="5" cm="1">
        <f t="array" ref="F10">INDEX(GMW!$A$2:$LR$60,MATCH(1,(GMW!$LQ$2:$LQ$60=F$3)*(GMW!$LP$2:$LP$60=F$4)*(GMW!$LR$2:$LR$60=F$1),0),$B10-1966)</f>
        <v>359.21089999999998</v>
      </c>
      <c r="G10" s="5" cm="1">
        <f t="array" ref="G10">INDEX(GMW!$A$2:$LR$60,MATCH(1,(GMW!$LQ$2:$LQ$60=G$3)*(GMW!$LP$2:$LP$60=G$4)*(GMW!$LR$2:$LR$60=G$1),0),$B10-1966)</f>
        <v>254.935</v>
      </c>
      <c r="H10" s="5" cm="1">
        <f t="array" ref="H10">INDEX(GMW!$A$2:$LR$60,MATCH(1,(GMW!$LQ$2:$LQ$60=H$3)*(GMW!$LP$2:$LP$60=H$4)*(GMW!$LR$2:$LR$60=H$1),0),$B10-1966)</f>
        <v>228.26949999999999</v>
      </c>
      <c r="I10" s="5" cm="1">
        <f t="array" ref="I10">INDEX(GMW!$A$2:$LR$60,MATCH(1,(GMW!$LQ$2:$LQ$60=I$3)*(GMW!$LP$2:$LP$60=I$4)*(GMW!$LR$2:$LR$60=I$1),0),$B10-1966)</f>
        <v>180061.8</v>
      </c>
    </row>
    <row r="11" spans="1:9" x14ac:dyDescent="0.25">
      <c r="A11" s="5">
        <f>+A7+1</f>
        <v>1974</v>
      </c>
      <c r="B11" s="5">
        <f t="shared" si="1"/>
        <v>1977</v>
      </c>
      <c r="C11" s="5" cm="1">
        <f t="array" ref="C11">INDEX(GMW!$A$2:$LR$60,MATCH(1,(GMW!$LQ$2:$LQ$60=C$3)*(GMW!$LP$2:$LP$60=C$4)*(GMW!$LR$2:$LR$60=C$1),0),$B11-1966)</f>
        <v>215122</v>
      </c>
      <c r="D11" s="5" cm="1">
        <f t="array" ref="D11">INDEX(GMW!$A$2:$LR$60,MATCH(1,(GMW!$LQ$2:$LQ$60=D$3)*(GMW!$LP$2:$LP$60=D$4)*(GMW!$LR$2:$LR$60=D$1),0),$B11-1966)</f>
        <v>1524.325</v>
      </c>
      <c r="E11" s="5" cm="1">
        <f t="array" ref="E11">INDEX(GMW!$A$2:$LR$60,MATCH(1,(GMW!$LQ$2:$LQ$60=E$3)*(GMW!$LP$2:$LP$60=E$4)*(GMW!$LR$2:$LR$60=E$1),0),$B11-1966)</f>
        <v>51759.14</v>
      </c>
      <c r="F11" s="5" cm="1">
        <f t="array" ref="F11">INDEX(GMW!$A$2:$LR$60,MATCH(1,(GMW!$LQ$2:$LQ$60=F$3)*(GMW!$LP$2:$LP$60=F$4)*(GMW!$LR$2:$LR$60=F$1),0),$B11-1966)</f>
        <v>362.10980000000001</v>
      </c>
      <c r="G11" s="5" cm="1">
        <f t="array" ref="G11">INDEX(GMW!$A$2:$LR$60,MATCH(1,(GMW!$LQ$2:$LQ$60=G$3)*(GMW!$LP$2:$LP$60=G$4)*(GMW!$LR$2:$LR$60=G$1),0),$B11-1966)</f>
        <v>259.11799999999999</v>
      </c>
      <c r="H11" s="5" cm="1">
        <f t="array" ref="H11">INDEX(GMW!$A$2:$LR$60,MATCH(1,(GMW!$LQ$2:$LQ$60=H$3)*(GMW!$LP$2:$LP$60=H$4)*(GMW!$LR$2:$LR$60=H$1),0),$B11-1966)</f>
        <v>230.12010000000001</v>
      </c>
      <c r="I11" s="5" cm="1">
        <f t="array" ref="I11">INDEX(GMW!$A$2:$LR$60,MATCH(1,(GMW!$LQ$2:$LQ$60=I$3)*(GMW!$LP$2:$LP$60=I$4)*(GMW!$LR$2:$LR$60=I$1),0),$B11-1966)</f>
        <v>181552</v>
      </c>
    </row>
    <row r="12" spans="1:9" x14ac:dyDescent="0.25">
      <c r="A12" s="5">
        <f t="shared" ref="A12:A75" si="2">+A8+1</f>
        <v>1974</v>
      </c>
      <c r="B12" s="5">
        <f t="shared" si="1"/>
        <v>1978</v>
      </c>
      <c r="C12" s="5" cm="1">
        <f t="array" ref="C12">INDEX(GMW!$A$2:$LR$60,MATCH(1,(GMW!$LQ$2:$LQ$60=C$3)*(GMW!$LP$2:$LP$60=C$4)*(GMW!$LR$2:$LR$60=C$1),0),$B12-1966)</f>
        <v>218215</v>
      </c>
      <c r="D12" s="5" cm="1">
        <f t="array" ref="D12">INDEX(GMW!$A$2:$LR$60,MATCH(1,(GMW!$LQ$2:$LQ$60=D$3)*(GMW!$LP$2:$LP$60=D$4)*(GMW!$LR$2:$LR$60=D$1),0),$B12-1966)</f>
        <v>1527.95</v>
      </c>
      <c r="E12" s="5" cm="1">
        <f t="array" ref="E12">INDEX(GMW!$A$2:$LR$60,MATCH(1,(GMW!$LQ$2:$LQ$60=E$3)*(GMW!$LP$2:$LP$60=E$4)*(GMW!$LR$2:$LR$60=E$1),0),$B12-1966)</f>
        <v>52134.51</v>
      </c>
      <c r="F12" s="5" cm="1">
        <f t="array" ref="F12">INDEX(GMW!$A$2:$LR$60,MATCH(1,(GMW!$LQ$2:$LQ$60=F$3)*(GMW!$LP$2:$LP$60=F$4)*(GMW!$LR$2:$LR$60=F$1),0),$B12-1966)</f>
        <v>361.79689999999999</v>
      </c>
      <c r="G12" s="5" cm="1">
        <f t="array" ref="G12">INDEX(GMW!$A$2:$LR$60,MATCH(1,(GMW!$LQ$2:$LQ$60=G$3)*(GMW!$LP$2:$LP$60=G$4)*(GMW!$LR$2:$LR$60=G$1),0),$B12-1966)</f>
        <v>260.94600000000003</v>
      </c>
      <c r="H12" s="5" cm="1">
        <f t="array" ref="H12">INDEX(GMW!$A$2:$LR$60,MATCH(1,(GMW!$LQ$2:$LQ$60=H$3)*(GMW!$LP$2:$LP$60=H$4)*(GMW!$LR$2:$LR$60=H$1),0),$B12-1966)</f>
        <v>232.31880000000001</v>
      </c>
      <c r="I12" s="5" cm="1">
        <f t="array" ref="I12">INDEX(GMW!$A$2:$LR$60,MATCH(1,(GMW!$LQ$2:$LQ$60=I$3)*(GMW!$LP$2:$LP$60=I$4)*(GMW!$LR$2:$LR$60=I$1),0),$B12-1966)</f>
        <v>183414.3</v>
      </c>
    </row>
    <row r="13" spans="1:9" x14ac:dyDescent="0.25">
      <c r="A13" s="5">
        <f t="shared" si="2"/>
        <v>1974</v>
      </c>
      <c r="B13" s="5">
        <f t="shared" si="1"/>
        <v>1979</v>
      </c>
      <c r="C13" s="5" cm="1">
        <f t="array" ref="C13">INDEX(GMW!$A$2:$LR$60,MATCH(1,(GMW!$LQ$2:$LQ$60=C$3)*(GMW!$LP$2:$LP$60=C$4)*(GMW!$LR$2:$LR$60=C$1),0),$B13-1966)</f>
        <v>219517</v>
      </c>
      <c r="D13" s="5" cm="1">
        <f t="array" ref="D13">INDEX(GMW!$A$2:$LR$60,MATCH(1,(GMW!$LQ$2:$LQ$60=D$3)*(GMW!$LP$2:$LP$60=D$4)*(GMW!$LR$2:$LR$60=D$1),0),$B13-1966)</f>
        <v>1513.5</v>
      </c>
      <c r="E13" s="5" cm="1">
        <f t="array" ref="E13">INDEX(GMW!$A$2:$LR$60,MATCH(1,(GMW!$LQ$2:$LQ$60=E$3)*(GMW!$LP$2:$LP$60=E$4)*(GMW!$LR$2:$LR$60=E$1),0),$B13-1966)</f>
        <v>52810.48</v>
      </c>
      <c r="F13" s="5" cm="1">
        <f t="array" ref="F13">INDEX(GMW!$A$2:$LR$60,MATCH(1,(GMW!$LQ$2:$LQ$60=F$3)*(GMW!$LP$2:$LP$60=F$4)*(GMW!$LR$2:$LR$60=F$1),0),$B13-1966)</f>
        <v>361.94420000000002</v>
      </c>
      <c r="G13" s="5" cm="1">
        <f t="array" ref="G13">INDEX(GMW!$A$2:$LR$60,MATCH(1,(GMW!$LQ$2:$LQ$60=G$3)*(GMW!$LP$2:$LP$60=G$4)*(GMW!$LR$2:$LR$60=G$1),0),$B13-1966)</f>
        <v>263.84100000000001</v>
      </c>
      <c r="H13" s="5" cm="1">
        <f t="array" ref="H13">INDEX(GMW!$A$2:$LR$60,MATCH(1,(GMW!$LQ$2:$LQ$60=H$3)*(GMW!$LP$2:$LP$60=H$4)*(GMW!$LR$2:$LR$60=H$1),0),$B13-1966)</f>
        <v>232.70519999999999</v>
      </c>
      <c r="I13" s="5" cm="1">
        <f t="array" ref="I13">INDEX(GMW!$A$2:$LR$60,MATCH(1,(GMW!$LQ$2:$LQ$60=I$3)*(GMW!$LP$2:$LP$60=I$4)*(GMW!$LR$2:$LR$60=I$1),0),$B13-1966)</f>
        <v>183449.5</v>
      </c>
    </row>
    <row r="14" spans="1:9" x14ac:dyDescent="0.25">
      <c r="A14" s="5">
        <f t="shared" si="2"/>
        <v>1974</v>
      </c>
      <c r="B14" s="5">
        <f t="shared" si="1"/>
        <v>1980</v>
      </c>
      <c r="C14" s="5" cm="1">
        <f t="array" ref="C14">INDEX(GMW!$A$2:$LR$60,MATCH(1,(GMW!$LQ$2:$LQ$60=C$3)*(GMW!$LP$2:$LP$60=C$4)*(GMW!$LR$2:$LR$60=C$1),0),$B14-1966)</f>
        <v>216301</v>
      </c>
      <c r="D14" s="5" cm="1">
        <f t="array" ref="D14">INDEX(GMW!$A$2:$LR$60,MATCH(1,(GMW!$LQ$2:$LQ$60=D$3)*(GMW!$LP$2:$LP$60=D$4)*(GMW!$LR$2:$LR$60=D$1),0),$B14-1966)</f>
        <v>1507.625</v>
      </c>
      <c r="E14" s="5" cm="1">
        <f t="array" ref="E14">INDEX(GMW!$A$2:$LR$60,MATCH(1,(GMW!$LQ$2:$LQ$60=E$3)*(GMW!$LP$2:$LP$60=E$4)*(GMW!$LR$2:$LR$60=E$1),0),$B14-1966)</f>
        <v>52526.84</v>
      </c>
      <c r="F14" s="5" cm="1">
        <f t="array" ref="F14">INDEX(GMW!$A$2:$LR$60,MATCH(1,(GMW!$LQ$2:$LQ$60=F$3)*(GMW!$LP$2:$LP$60=F$4)*(GMW!$LR$2:$LR$60=F$1),0),$B14-1966)</f>
        <v>357.3152</v>
      </c>
      <c r="G14" s="5" cm="1">
        <f t="array" ref="G14">INDEX(GMW!$A$2:$LR$60,MATCH(1,(GMW!$LQ$2:$LQ$60=G$3)*(GMW!$LP$2:$LP$60=G$4)*(GMW!$LR$2:$LR$60=G$1),0),$B14-1966)</f>
        <v>259.13400000000001</v>
      </c>
      <c r="H14" s="5" cm="1">
        <f t="array" ref="H14">INDEX(GMW!$A$2:$LR$60,MATCH(1,(GMW!$LQ$2:$LQ$60=H$3)*(GMW!$LP$2:$LP$60=H$4)*(GMW!$LR$2:$LR$60=H$1),0),$B14-1966)</f>
        <v>227.84110000000001</v>
      </c>
      <c r="I14" s="5" cm="1">
        <f t="array" ref="I14">INDEX(GMW!$A$2:$LR$60,MATCH(1,(GMW!$LQ$2:$LQ$60=I$3)*(GMW!$LP$2:$LP$60=I$4)*(GMW!$LR$2:$LR$60=I$1),0),$B14-1966)</f>
        <v>182493.8</v>
      </c>
    </row>
    <row r="15" spans="1:9" x14ac:dyDescent="0.25">
      <c r="A15" s="5">
        <f t="shared" si="2"/>
        <v>1975</v>
      </c>
      <c r="B15" s="5">
        <f t="shared" si="1"/>
        <v>1981</v>
      </c>
      <c r="C15" s="5" cm="1">
        <f t="array" ref="C15">INDEX(GMW!$A$2:$LR$60,MATCH(1,(GMW!$LQ$2:$LQ$60=C$3)*(GMW!$LP$2:$LP$60=C$4)*(GMW!$LR$2:$LR$60=C$1),0),$B15-1966)</f>
        <v>216390</v>
      </c>
      <c r="D15" s="5" cm="1">
        <f t="array" ref="D15">INDEX(GMW!$A$2:$LR$60,MATCH(1,(GMW!$LQ$2:$LQ$60=D$3)*(GMW!$LP$2:$LP$60=D$4)*(GMW!$LR$2:$LR$60=D$1),0),$B15-1966)</f>
        <v>1489.25</v>
      </c>
      <c r="E15" s="5" cm="1">
        <f t="array" ref="E15">INDEX(GMW!$A$2:$LR$60,MATCH(1,(GMW!$LQ$2:$LQ$60=E$3)*(GMW!$LP$2:$LP$60=E$4)*(GMW!$LR$2:$LR$60=E$1),0),$B15-1966)</f>
        <v>52595.21</v>
      </c>
      <c r="F15" s="5" cm="1">
        <f t="array" ref="F15">INDEX(GMW!$A$2:$LR$60,MATCH(1,(GMW!$LQ$2:$LQ$60=F$3)*(GMW!$LP$2:$LP$60=F$4)*(GMW!$LR$2:$LR$60=F$1),0),$B15-1966)</f>
        <v>355.26299999999998</v>
      </c>
      <c r="G15" s="5" cm="1">
        <f t="array" ref="G15">INDEX(GMW!$A$2:$LR$60,MATCH(1,(GMW!$LQ$2:$LQ$60=G$3)*(GMW!$LP$2:$LP$60=G$4)*(GMW!$LR$2:$LR$60=G$1),0),$B15-1966)</f>
        <v>257.13400000000001</v>
      </c>
      <c r="H15" s="5" cm="1">
        <f t="array" ref="H15">INDEX(GMW!$A$2:$LR$60,MATCH(1,(GMW!$LQ$2:$LQ$60=H$3)*(GMW!$LP$2:$LP$60=H$4)*(GMW!$LR$2:$LR$60=H$1),0),$B15-1966)</f>
        <v>223.87719999999999</v>
      </c>
      <c r="I15" s="5" cm="1">
        <f t="array" ref="I15">INDEX(GMW!$A$2:$LR$60,MATCH(1,(GMW!$LQ$2:$LQ$60=I$3)*(GMW!$LP$2:$LP$60=I$4)*(GMW!$LR$2:$LR$60=I$1),0),$B15-1966)</f>
        <v>181499.5</v>
      </c>
    </row>
    <row r="16" spans="1:9" x14ac:dyDescent="0.25">
      <c r="A16" s="5">
        <f t="shared" si="2"/>
        <v>1975</v>
      </c>
      <c r="B16" s="5">
        <f t="shared" si="1"/>
        <v>1982</v>
      </c>
      <c r="C16" s="5" cm="1">
        <f t="array" ref="C16">INDEX(GMW!$A$2:$LR$60,MATCH(1,(GMW!$LQ$2:$LQ$60=C$3)*(GMW!$LP$2:$LP$60=C$4)*(GMW!$LR$2:$LR$60=C$1),0),$B16-1966)</f>
        <v>212882</v>
      </c>
      <c r="D16" s="5" cm="1">
        <f t="array" ref="D16">INDEX(GMW!$A$2:$LR$60,MATCH(1,(GMW!$LQ$2:$LQ$60=D$3)*(GMW!$LP$2:$LP$60=D$4)*(GMW!$LR$2:$LR$60=D$1),0),$B16-1966)</f>
        <v>1499.9</v>
      </c>
      <c r="E16" s="5" cm="1">
        <f t="array" ref="E16">INDEX(GMW!$A$2:$LR$60,MATCH(1,(GMW!$LQ$2:$LQ$60=E$3)*(GMW!$LP$2:$LP$60=E$4)*(GMW!$LR$2:$LR$60=E$1),0),$B16-1966)</f>
        <v>53789.34</v>
      </c>
      <c r="F16" s="5" cm="1">
        <f t="array" ref="F16">INDEX(GMW!$A$2:$LR$60,MATCH(1,(GMW!$LQ$2:$LQ$60=F$3)*(GMW!$LP$2:$LP$60=F$4)*(GMW!$LR$2:$LR$60=F$1),0),$B16-1966)</f>
        <v>353.51440000000002</v>
      </c>
      <c r="G16" s="5" cm="1">
        <f t="array" ref="G16">INDEX(GMW!$A$2:$LR$60,MATCH(1,(GMW!$LQ$2:$LQ$60=G$3)*(GMW!$LP$2:$LP$60=G$4)*(GMW!$LR$2:$LR$60=G$1),0),$B16-1966)</f>
        <v>257.05099999999999</v>
      </c>
      <c r="H16" s="5" cm="1">
        <f t="array" ref="H16">INDEX(GMW!$A$2:$LR$60,MATCH(1,(GMW!$LQ$2:$LQ$60=H$3)*(GMW!$LP$2:$LP$60=H$4)*(GMW!$LR$2:$LR$60=H$1),0),$B16-1966)</f>
        <v>223.7629</v>
      </c>
      <c r="I16" s="5" cm="1">
        <f t="array" ref="I16">INDEX(GMW!$A$2:$LR$60,MATCH(1,(GMW!$LQ$2:$LQ$60=I$3)*(GMW!$LP$2:$LP$60=I$4)*(GMW!$LR$2:$LR$60=I$1),0),$B16-1966)</f>
        <v>183828</v>
      </c>
    </row>
    <row r="17" spans="1:9" x14ac:dyDescent="0.25">
      <c r="A17" s="5">
        <f t="shared" si="2"/>
        <v>1975</v>
      </c>
      <c r="B17" s="5">
        <f t="shared" si="1"/>
        <v>1983</v>
      </c>
      <c r="C17" s="5" cm="1">
        <f t="array" ref="C17">INDEX(GMW!$A$2:$LR$60,MATCH(1,(GMW!$LQ$2:$LQ$60=C$3)*(GMW!$LP$2:$LP$60=C$4)*(GMW!$LR$2:$LR$60=C$1),0),$B17-1966)</f>
        <v>212192</v>
      </c>
      <c r="D17" s="5" cm="1">
        <f t="array" ref="D17">INDEX(GMW!$A$2:$LR$60,MATCH(1,(GMW!$LQ$2:$LQ$60=D$3)*(GMW!$LP$2:$LP$60=D$4)*(GMW!$LR$2:$LR$60=D$1),0),$B17-1966)</f>
        <v>1525.575</v>
      </c>
      <c r="E17" s="5" cm="1">
        <f t="array" ref="E17">INDEX(GMW!$A$2:$LR$60,MATCH(1,(GMW!$LQ$2:$LQ$60=E$3)*(GMW!$LP$2:$LP$60=E$4)*(GMW!$LR$2:$LR$60=E$1),0),$B17-1966)</f>
        <v>54409.61</v>
      </c>
      <c r="F17" s="5" cm="1">
        <f t="array" ref="F17">INDEX(GMW!$A$2:$LR$60,MATCH(1,(GMW!$LQ$2:$LQ$60=F$3)*(GMW!$LP$2:$LP$60=F$4)*(GMW!$LR$2:$LR$60=F$1),0),$B17-1966)</f>
        <v>357.3152</v>
      </c>
      <c r="G17" s="5" cm="1">
        <f t="array" ref="G17">INDEX(GMW!$A$2:$LR$60,MATCH(1,(GMW!$LQ$2:$LQ$60=G$3)*(GMW!$LP$2:$LP$60=G$4)*(GMW!$LR$2:$LR$60=G$1),0),$B17-1966)</f>
        <v>256.88299999999998</v>
      </c>
      <c r="H17" s="5" cm="1">
        <f t="array" ref="H17">INDEX(GMW!$A$2:$LR$60,MATCH(1,(GMW!$LQ$2:$LQ$60=H$3)*(GMW!$LP$2:$LP$60=H$4)*(GMW!$LR$2:$LR$60=H$1),0),$B17-1966)</f>
        <v>226.94239999999999</v>
      </c>
      <c r="I17" s="5" cm="1">
        <f t="array" ref="I17">INDEX(GMW!$A$2:$LR$60,MATCH(1,(GMW!$LQ$2:$LQ$60=I$3)*(GMW!$LP$2:$LP$60=I$4)*(GMW!$LR$2:$LR$60=I$1),0),$B17-1966)</f>
        <v>187354.8</v>
      </c>
    </row>
    <row r="18" spans="1:9" x14ac:dyDescent="0.25">
      <c r="A18" s="5">
        <f t="shared" si="2"/>
        <v>1975</v>
      </c>
      <c r="B18" s="5">
        <f t="shared" si="1"/>
        <v>1984</v>
      </c>
      <c r="C18" s="5" cm="1">
        <f t="array" ref="C18">INDEX(GMW!$A$2:$LR$60,MATCH(1,(GMW!$LQ$2:$LQ$60=C$3)*(GMW!$LP$2:$LP$60=C$4)*(GMW!$LR$2:$LR$60=C$1),0),$B18-1966)</f>
        <v>214585</v>
      </c>
      <c r="D18" s="5" cm="1">
        <f t="array" ref="D18">INDEX(GMW!$A$2:$LR$60,MATCH(1,(GMW!$LQ$2:$LQ$60=D$3)*(GMW!$LP$2:$LP$60=D$4)*(GMW!$LR$2:$LR$60=D$1),0),$B18-1966)</f>
        <v>1546.125</v>
      </c>
      <c r="E18" s="5" cm="1">
        <f t="array" ref="E18">INDEX(GMW!$A$2:$LR$60,MATCH(1,(GMW!$LQ$2:$LQ$60=E$3)*(GMW!$LP$2:$LP$60=E$4)*(GMW!$LR$2:$LR$60=E$1),0),$B18-1966)</f>
        <v>54986.97</v>
      </c>
      <c r="F18" s="5" cm="1">
        <f t="array" ref="F18">INDEX(GMW!$A$2:$LR$60,MATCH(1,(GMW!$LQ$2:$LQ$60=F$3)*(GMW!$LP$2:$LP$60=F$4)*(GMW!$LR$2:$LR$60=F$1),0),$B18-1966)</f>
        <v>364.45650000000001</v>
      </c>
      <c r="G18" s="5" cm="1">
        <f t="array" ref="G18">INDEX(GMW!$A$2:$LR$60,MATCH(1,(GMW!$LQ$2:$LQ$60=G$3)*(GMW!$LP$2:$LP$60=G$4)*(GMW!$LR$2:$LR$60=G$1),0),$B18-1966)</f>
        <v>262.37599999999998</v>
      </c>
      <c r="H18" s="5" cm="1">
        <f t="array" ref="H18">INDEX(GMW!$A$2:$LR$60,MATCH(1,(GMW!$LQ$2:$LQ$60=H$3)*(GMW!$LP$2:$LP$60=H$4)*(GMW!$LR$2:$LR$60=H$1),0),$B18-1966)</f>
        <v>229.4855</v>
      </c>
      <c r="I18" s="5" cm="1">
        <f t="array" ref="I18">INDEX(GMW!$A$2:$LR$60,MATCH(1,(GMW!$LQ$2:$LQ$60=I$3)*(GMW!$LP$2:$LP$60=I$4)*(GMW!$LR$2:$LR$60=I$1),0),$B18-1966)</f>
        <v>189522.8</v>
      </c>
    </row>
    <row r="19" spans="1:9" x14ac:dyDescent="0.25">
      <c r="A19" s="5">
        <f t="shared" si="2"/>
        <v>1976</v>
      </c>
      <c r="B19" s="5">
        <f t="shared" si="1"/>
        <v>1985</v>
      </c>
      <c r="C19" s="5" cm="1">
        <f t="array" ref="C19">INDEX(GMW!$A$2:$LR$60,MATCH(1,(GMW!$LQ$2:$LQ$60=C$3)*(GMW!$LP$2:$LP$60=C$4)*(GMW!$LR$2:$LR$60=C$1),0),$B19-1966)</f>
        <v>218180</v>
      </c>
      <c r="D19" s="5" cm="1">
        <f t="array" ref="D19">INDEX(GMW!$A$2:$LR$60,MATCH(1,(GMW!$LQ$2:$LQ$60=D$3)*(GMW!$LP$2:$LP$60=D$4)*(GMW!$LR$2:$LR$60=D$1),0),$B19-1966)</f>
        <v>1580.9</v>
      </c>
      <c r="E19" s="5" cm="1">
        <f t="array" ref="E19">INDEX(GMW!$A$2:$LR$60,MATCH(1,(GMW!$LQ$2:$LQ$60=E$3)*(GMW!$LP$2:$LP$60=E$4)*(GMW!$LR$2:$LR$60=E$1),0),$B19-1966)</f>
        <v>55458.37</v>
      </c>
      <c r="F19" s="5" cm="1">
        <f t="array" ref="F19">INDEX(GMW!$A$2:$LR$60,MATCH(1,(GMW!$LQ$2:$LQ$60=F$3)*(GMW!$LP$2:$LP$60=F$4)*(GMW!$LR$2:$LR$60=F$1),0),$B19-1966)</f>
        <v>367.57619999999997</v>
      </c>
      <c r="G19" s="5" cm="1">
        <f t="array" ref="G19">INDEX(GMW!$A$2:$LR$60,MATCH(1,(GMW!$LQ$2:$LQ$60=G$3)*(GMW!$LP$2:$LP$60=G$4)*(GMW!$LR$2:$LR$60=G$1),0),$B19-1966)</f>
        <v>264.851</v>
      </c>
      <c r="H19" s="5" cm="1">
        <f t="array" ref="H19">INDEX(GMW!$A$2:$LR$60,MATCH(1,(GMW!$LQ$2:$LQ$60=H$3)*(GMW!$LP$2:$LP$60=H$4)*(GMW!$LR$2:$LR$60=H$1),0),$B19-1966)</f>
        <v>233.5283</v>
      </c>
      <c r="I19" s="5" cm="1">
        <f t="array" ref="I19">INDEX(GMW!$A$2:$LR$60,MATCH(1,(GMW!$LQ$2:$LQ$60=I$3)*(GMW!$LP$2:$LP$60=I$4)*(GMW!$LR$2:$LR$60=I$1),0),$B19-1966)</f>
        <v>192825.5</v>
      </c>
    </row>
    <row r="20" spans="1:9" x14ac:dyDescent="0.25">
      <c r="A20" s="5">
        <f t="shared" si="2"/>
        <v>1976</v>
      </c>
      <c r="B20" s="5">
        <f t="shared" si="1"/>
        <v>1986</v>
      </c>
      <c r="C20" s="5" cm="1">
        <f t="array" ref="C20">INDEX(GMW!$A$2:$LR$60,MATCH(1,(GMW!$LQ$2:$LQ$60=C$3)*(GMW!$LP$2:$LP$60=C$4)*(GMW!$LR$2:$LR$60=C$1),0),$B20-1966)</f>
        <v>217883</v>
      </c>
      <c r="D20" s="5" cm="1">
        <f t="array" ref="D20">INDEX(GMW!$A$2:$LR$60,MATCH(1,(GMW!$LQ$2:$LQ$60=D$3)*(GMW!$LP$2:$LP$60=D$4)*(GMW!$LR$2:$LR$60=D$1),0),$B20-1966)</f>
        <v>1592.5</v>
      </c>
      <c r="E20" s="5" cm="1">
        <f t="array" ref="E20">INDEX(GMW!$A$2:$LR$60,MATCH(1,(GMW!$LQ$2:$LQ$60=E$3)*(GMW!$LP$2:$LP$60=E$4)*(GMW!$LR$2:$LR$60=E$1),0),$B20-1966)</f>
        <v>55787.51</v>
      </c>
      <c r="F20" s="5" cm="1">
        <f t="array" ref="F20">INDEX(GMW!$A$2:$LR$60,MATCH(1,(GMW!$LQ$2:$LQ$60=F$3)*(GMW!$LP$2:$LP$60=F$4)*(GMW!$LR$2:$LR$60=F$1),0),$B20-1966)</f>
        <v>373.12549999999999</v>
      </c>
      <c r="G20" s="5" cm="1">
        <f t="array" ref="G20">INDEX(GMW!$A$2:$LR$60,MATCH(1,(GMW!$LQ$2:$LQ$60=G$3)*(GMW!$LP$2:$LP$60=G$4)*(GMW!$LR$2:$LR$60=G$1),0),$B20-1966)</f>
        <v>268.47199999999998</v>
      </c>
      <c r="H20" s="5" cm="1">
        <f t="array" ref="H20">INDEX(GMW!$A$2:$LR$60,MATCH(1,(GMW!$LQ$2:$LQ$60=H$3)*(GMW!$LP$2:$LP$60=H$4)*(GMW!$LR$2:$LR$60=H$1),0),$B20-1966)</f>
        <v>237.74979999999999</v>
      </c>
      <c r="I20" s="5" cm="1">
        <f t="array" ref="I20">INDEX(GMW!$A$2:$LR$60,MATCH(1,(GMW!$LQ$2:$LQ$60=I$3)*(GMW!$LP$2:$LP$60=I$4)*(GMW!$LR$2:$LR$60=I$1),0),$B20-1966)</f>
        <v>196983.8</v>
      </c>
    </row>
    <row r="21" spans="1:9" x14ac:dyDescent="0.25">
      <c r="A21" s="5">
        <f t="shared" si="2"/>
        <v>1976</v>
      </c>
      <c r="B21" s="5">
        <f t="shared" si="1"/>
        <v>1987</v>
      </c>
      <c r="C21" s="5" cm="1">
        <f t="array" ref="C21">INDEX(GMW!$A$2:$LR$60,MATCH(1,(GMW!$LQ$2:$LQ$60=C$3)*(GMW!$LP$2:$LP$60=C$4)*(GMW!$LR$2:$LR$60=C$1),0),$B21-1966)</f>
        <v>220587</v>
      </c>
      <c r="D21" s="5" cm="1">
        <f t="array" ref="D21">INDEX(GMW!$A$2:$LR$60,MATCH(1,(GMW!$LQ$2:$LQ$60=D$3)*(GMW!$LP$2:$LP$60=D$4)*(GMW!$LR$2:$LR$60=D$1),0),$B21-1966)</f>
        <v>1601.2249999999999</v>
      </c>
      <c r="E21" s="5" cm="1">
        <f t="array" ref="E21">INDEX(GMW!$A$2:$LR$60,MATCH(1,(GMW!$LQ$2:$LQ$60=E$3)*(GMW!$LP$2:$LP$60=E$4)*(GMW!$LR$2:$LR$60=E$1),0),$B21-1966)</f>
        <v>56585.37</v>
      </c>
      <c r="F21" s="5" cm="1">
        <f t="array" ref="F21">INDEX(GMW!$A$2:$LR$60,MATCH(1,(GMW!$LQ$2:$LQ$60=F$3)*(GMW!$LP$2:$LP$60=F$4)*(GMW!$LR$2:$LR$60=F$1),0),$B21-1966)</f>
        <v>373.28199999999998</v>
      </c>
      <c r="G21" s="5" cm="1">
        <f t="array" ref="G21">INDEX(GMW!$A$2:$LR$60,MATCH(1,(GMW!$LQ$2:$LQ$60=G$3)*(GMW!$LP$2:$LP$60=G$4)*(GMW!$LR$2:$LR$60=G$1),0),$B21-1966)</f>
        <v>271.536</v>
      </c>
      <c r="H21" s="5" cm="1">
        <f t="array" ref="H21">INDEX(GMW!$A$2:$LR$60,MATCH(1,(GMW!$LQ$2:$LQ$60=H$3)*(GMW!$LP$2:$LP$60=H$4)*(GMW!$LR$2:$LR$60=H$1),0),$B21-1966)</f>
        <v>243.79140000000001</v>
      </c>
      <c r="I21" s="5" cm="1">
        <f t="array" ref="I21">INDEX(GMW!$A$2:$LR$60,MATCH(1,(GMW!$LQ$2:$LQ$60=I$3)*(GMW!$LP$2:$LP$60=I$4)*(GMW!$LR$2:$LR$60=I$1),0),$B21-1966)</f>
        <v>197893.3</v>
      </c>
    </row>
    <row r="22" spans="1:9" x14ac:dyDescent="0.25">
      <c r="A22" s="5">
        <f t="shared" si="2"/>
        <v>1976</v>
      </c>
      <c r="B22" s="5">
        <f t="shared" si="1"/>
        <v>1988</v>
      </c>
      <c r="C22" s="5" cm="1">
        <f t="array" ref="C22">INDEX(GMW!$A$2:$LR$60,MATCH(1,(GMW!$LQ$2:$LQ$60=C$3)*(GMW!$LP$2:$LP$60=C$4)*(GMW!$LR$2:$LR$60=C$1),0),$B22-1966)</f>
        <v>225228</v>
      </c>
      <c r="D22" s="5" cm="1">
        <f t="array" ref="D22">INDEX(GMW!$A$2:$LR$60,MATCH(1,(GMW!$LQ$2:$LQ$60=D$3)*(GMW!$LP$2:$LP$60=D$4)*(GMW!$LR$2:$LR$60=D$1),0),$B22-1966)</f>
        <v>1612.8</v>
      </c>
      <c r="E22" s="5" cm="1">
        <f t="array" ref="E22">INDEX(GMW!$A$2:$LR$60,MATCH(1,(GMW!$LQ$2:$LQ$60=E$3)*(GMW!$LP$2:$LP$60=E$4)*(GMW!$LR$2:$LR$60=E$1),0),$B22-1966)</f>
        <v>56653.35</v>
      </c>
      <c r="F22" s="5" cm="1">
        <f t="array" ref="F22">INDEX(GMW!$A$2:$LR$60,MATCH(1,(GMW!$LQ$2:$LQ$60=F$3)*(GMW!$LP$2:$LP$60=F$4)*(GMW!$LR$2:$LR$60=F$1),0),$B22-1966)</f>
        <v>380.11959999999999</v>
      </c>
      <c r="G22" s="5" cm="1">
        <f t="array" ref="G22">INDEX(GMW!$A$2:$LR$60,MATCH(1,(GMW!$LQ$2:$LQ$60=G$3)*(GMW!$LP$2:$LP$60=G$4)*(GMW!$LR$2:$LR$60=G$1),0),$B22-1966)</f>
        <v>273.45299999999997</v>
      </c>
      <c r="H22" s="5" cm="1">
        <f t="array" ref="H22">INDEX(GMW!$A$2:$LR$60,MATCH(1,(GMW!$LQ$2:$LQ$60=H$3)*(GMW!$LP$2:$LP$60=H$4)*(GMW!$LR$2:$LR$60=H$1),0),$B22-1966)</f>
        <v>248.02099999999999</v>
      </c>
      <c r="I22" s="5" cm="1">
        <f t="array" ref="I22">INDEX(GMW!$A$2:$LR$60,MATCH(1,(GMW!$LQ$2:$LQ$60=I$3)*(GMW!$LP$2:$LP$60=I$4)*(GMW!$LR$2:$LR$60=I$1),0),$B22-1966)</f>
        <v>198213</v>
      </c>
    </row>
    <row r="23" spans="1:9" x14ac:dyDescent="0.25">
      <c r="A23" s="5">
        <f t="shared" si="2"/>
        <v>1977</v>
      </c>
      <c r="B23" s="5">
        <f t="shared" si="1"/>
        <v>1989</v>
      </c>
      <c r="C23" s="5" cm="1">
        <f t="array" ref="C23">INDEX(GMW!$A$2:$LR$60,MATCH(1,(GMW!$LQ$2:$LQ$60=C$3)*(GMW!$LP$2:$LP$60=C$4)*(GMW!$LR$2:$LR$60=C$1),0),$B23-1966)</f>
        <v>225362</v>
      </c>
      <c r="D23" s="5" cm="1">
        <f t="array" ref="D23">INDEX(GMW!$A$2:$LR$60,MATCH(1,(GMW!$LQ$2:$LQ$60=D$3)*(GMW!$LP$2:$LP$60=D$4)*(GMW!$LR$2:$LR$60=D$1),0),$B23-1966)</f>
        <v>1631.925</v>
      </c>
      <c r="E23" s="5" cm="1">
        <f t="array" ref="E23">INDEX(GMW!$A$2:$LR$60,MATCH(1,(GMW!$LQ$2:$LQ$60=E$3)*(GMW!$LP$2:$LP$60=E$4)*(GMW!$LR$2:$LR$60=E$1),0),$B23-1966)</f>
        <v>57921.84</v>
      </c>
      <c r="F23" s="5" cm="1">
        <f t="array" ref="F23">INDEX(GMW!$A$2:$LR$60,MATCH(1,(GMW!$LQ$2:$LQ$60=F$3)*(GMW!$LP$2:$LP$60=F$4)*(GMW!$LR$2:$LR$60=F$1),0),$B23-1966)</f>
        <v>383.46940000000001</v>
      </c>
      <c r="G23" s="5" cm="1">
        <f t="array" ref="G23">INDEX(GMW!$A$2:$LR$60,MATCH(1,(GMW!$LQ$2:$LQ$60=G$3)*(GMW!$LP$2:$LP$60=G$4)*(GMW!$LR$2:$LR$60=G$1),0),$B23-1966)</f>
        <v>276.54700000000003</v>
      </c>
      <c r="H23" s="5" cm="1">
        <f t="array" ref="H23">INDEX(GMW!$A$2:$LR$60,MATCH(1,(GMW!$LQ$2:$LQ$60=H$3)*(GMW!$LP$2:$LP$60=H$4)*(GMW!$LR$2:$LR$60=H$1),0),$B23-1966)</f>
        <v>248.11920000000001</v>
      </c>
      <c r="I23" s="5" cm="1">
        <f t="array" ref="I23">INDEX(GMW!$A$2:$LR$60,MATCH(1,(GMW!$LQ$2:$LQ$60=I$3)*(GMW!$LP$2:$LP$60=I$4)*(GMW!$LR$2:$LR$60=I$1),0),$B23-1966)</f>
        <v>201253.3</v>
      </c>
    </row>
    <row r="24" spans="1:9" x14ac:dyDescent="0.25">
      <c r="A24" s="5">
        <f t="shared" si="2"/>
        <v>1977</v>
      </c>
      <c r="B24" s="5">
        <f t="shared" si="1"/>
        <v>1990</v>
      </c>
      <c r="C24" s="5" cm="1">
        <f t="array" ref="C24">INDEX(GMW!$A$2:$LR$60,MATCH(1,(GMW!$LQ$2:$LQ$60=C$3)*(GMW!$LP$2:$LP$60=C$4)*(GMW!$LR$2:$LR$60=C$1),0),$B24-1966)</f>
        <v>223815</v>
      </c>
      <c r="D24" s="5" cm="1">
        <f t="array" ref="D24">INDEX(GMW!$A$2:$LR$60,MATCH(1,(GMW!$LQ$2:$LQ$60=D$3)*(GMW!$LP$2:$LP$60=D$4)*(GMW!$LR$2:$LR$60=D$1),0),$B24-1966)</f>
        <v>1663.625</v>
      </c>
      <c r="E24" s="5" cm="1">
        <f t="array" ref="E24">INDEX(GMW!$A$2:$LR$60,MATCH(1,(GMW!$LQ$2:$LQ$60=E$3)*(GMW!$LP$2:$LP$60=E$4)*(GMW!$LR$2:$LR$60=E$1),0),$B24-1966)</f>
        <v>58330.15</v>
      </c>
      <c r="F24" s="5" cm="1">
        <f t="array" ref="F24">INDEX(GMW!$A$2:$LR$60,MATCH(1,(GMW!$LQ$2:$LQ$60=F$3)*(GMW!$LP$2:$LP$60=F$4)*(GMW!$LR$2:$LR$60=F$1),0),$B24-1966)</f>
        <v>385.58600000000001</v>
      </c>
      <c r="G24" s="5" cm="1">
        <f t="array" ref="G24">INDEX(GMW!$A$2:$LR$60,MATCH(1,(GMW!$LQ$2:$LQ$60=G$3)*(GMW!$LP$2:$LP$60=G$4)*(GMW!$LR$2:$LR$60=G$1),0),$B24-1966)</f>
        <v>277.65499999999997</v>
      </c>
      <c r="H24" s="5" cm="1">
        <f t="array" ref="H24">INDEX(GMW!$A$2:$LR$60,MATCH(1,(GMW!$LQ$2:$LQ$60=H$3)*(GMW!$LP$2:$LP$60=H$4)*(GMW!$LR$2:$LR$60=H$1),0),$B24-1966)</f>
        <v>246.73740000000001</v>
      </c>
      <c r="I24" s="5" cm="1">
        <f t="array" ref="I24">INDEX(GMW!$A$2:$LR$60,MATCH(1,(GMW!$LQ$2:$LQ$60=I$3)*(GMW!$LP$2:$LP$60=I$4)*(GMW!$LR$2:$LR$60=I$1),0),$B24-1966)</f>
        <v>202280.3</v>
      </c>
    </row>
    <row r="25" spans="1:9" x14ac:dyDescent="0.25">
      <c r="A25" s="5">
        <f t="shared" si="2"/>
        <v>1977</v>
      </c>
      <c r="B25" s="5">
        <f t="shared" si="1"/>
        <v>1991</v>
      </c>
      <c r="C25" s="5" cm="1">
        <f t="array" ref="C25">INDEX(GMW!$A$2:$LR$60,MATCH(1,(GMW!$LQ$2:$LQ$60=C$3)*(GMW!$LP$2:$LP$60=C$4)*(GMW!$LR$2:$LR$60=C$1),0),$B25-1966)</f>
        <v>225295</v>
      </c>
      <c r="D25" s="5" cm="1">
        <f t="array" ref="D25">INDEX(GMW!$A$2:$LR$60,MATCH(1,(GMW!$LQ$2:$LQ$60=D$3)*(GMW!$LP$2:$LP$60=D$4)*(GMW!$LR$2:$LR$60=D$1),0),$B25-1966)</f>
        <v>1693.625</v>
      </c>
      <c r="E25" s="5" cm="1">
        <f t="array" ref="E25">INDEX(GMW!$A$2:$LR$60,MATCH(1,(GMW!$LQ$2:$LQ$60=E$3)*(GMW!$LP$2:$LP$60=E$4)*(GMW!$LR$2:$LR$60=E$1),0),$B25-1966)</f>
        <v>58729.51</v>
      </c>
      <c r="F25" s="5" cm="1">
        <f t="array" ref="F25">INDEX(GMW!$A$2:$LR$60,MATCH(1,(GMW!$LQ$2:$LQ$60=F$3)*(GMW!$LP$2:$LP$60=F$4)*(GMW!$LR$2:$LR$60=F$1),0),$B25-1966)</f>
        <v>385.43880000000001</v>
      </c>
      <c r="G25" s="5" cm="1">
        <f t="array" ref="G25">INDEX(GMW!$A$2:$LR$60,MATCH(1,(GMW!$LQ$2:$LQ$60=G$3)*(GMW!$LP$2:$LP$60=G$4)*(GMW!$LR$2:$LR$60=G$1),0),$B25-1966)</f>
        <v>279.92700000000002</v>
      </c>
      <c r="H25" s="5" cm="1">
        <f t="array" ref="H25">INDEX(GMW!$A$2:$LR$60,MATCH(1,(GMW!$LQ$2:$LQ$60=H$3)*(GMW!$LP$2:$LP$60=H$4)*(GMW!$LR$2:$LR$60=H$1),0),$B25-1966)</f>
        <v>244.42920000000001</v>
      </c>
      <c r="I25" s="5" cm="1">
        <f t="array" ref="I25">INDEX(GMW!$A$2:$LR$60,MATCH(1,(GMW!$LQ$2:$LQ$60=I$3)*(GMW!$LP$2:$LP$60=I$4)*(GMW!$LR$2:$LR$60=I$1),0),$B25-1966)</f>
        <v>203469.3</v>
      </c>
    </row>
    <row r="26" spans="1:9" x14ac:dyDescent="0.25">
      <c r="A26" s="5">
        <f t="shared" si="2"/>
        <v>1977</v>
      </c>
      <c r="B26" s="5">
        <f t="shared" si="1"/>
        <v>1992</v>
      </c>
      <c r="C26" s="5" cm="1">
        <f t="array" ref="C26">INDEX(GMW!$A$2:$LR$60,MATCH(1,(GMW!$LQ$2:$LQ$60=C$3)*(GMW!$LP$2:$LP$60=C$4)*(GMW!$LR$2:$LR$60=C$1),0),$B26-1966)</f>
        <v>229115</v>
      </c>
      <c r="D26" s="5" cm="1">
        <f t="array" ref="D26">INDEX(GMW!$A$2:$LR$60,MATCH(1,(GMW!$LQ$2:$LQ$60=D$3)*(GMW!$LP$2:$LP$60=D$4)*(GMW!$LR$2:$LR$60=D$1),0),$B26-1966)</f>
        <v>1693.65</v>
      </c>
      <c r="E26" s="5" cm="1">
        <f t="array" ref="E26">INDEX(GMW!$A$2:$LR$60,MATCH(1,(GMW!$LQ$2:$LQ$60=E$3)*(GMW!$LP$2:$LP$60=E$4)*(GMW!$LR$2:$LR$60=E$1),0),$B26-1966)</f>
        <v>59539.25</v>
      </c>
      <c r="F26" s="5" cm="1">
        <f t="array" ref="F26">INDEX(GMW!$A$2:$LR$60,MATCH(1,(GMW!$LQ$2:$LQ$60=F$3)*(GMW!$LP$2:$LP$60=F$4)*(GMW!$LR$2:$LR$60=F$1),0),$B26-1966)</f>
        <v>392.05549999999999</v>
      </c>
      <c r="G26" s="5" cm="1">
        <f t="array" ref="G26">INDEX(GMW!$A$2:$LR$60,MATCH(1,(GMW!$LQ$2:$LQ$60=G$3)*(GMW!$LP$2:$LP$60=G$4)*(GMW!$LR$2:$LR$60=G$1),0),$B26-1966)</f>
        <v>282.16000000000003</v>
      </c>
      <c r="H26" s="5" cm="1">
        <f t="array" ref="H26">INDEX(GMW!$A$2:$LR$60,MATCH(1,(GMW!$LQ$2:$LQ$60=H$3)*(GMW!$LP$2:$LP$60=H$4)*(GMW!$LR$2:$LR$60=H$1),0),$B26-1966)</f>
        <v>246.5231</v>
      </c>
      <c r="I26" s="5" cm="1">
        <f t="array" ref="I26">INDEX(GMW!$A$2:$LR$60,MATCH(1,(GMW!$LQ$2:$LQ$60=I$3)*(GMW!$LP$2:$LP$60=I$4)*(GMW!$LR$2:$LR$60=I$1),0),$B26-1966)</f>
        <v>206693.5</v>
      </c>
    </row>
    <row r="27" spans="1:9" x14ac:dyDescent="0.25">
      <c r="A27" s="5">
        <f t="shared" si="2"/>
        <v>1978</v>
      </c>
      <c r="B27" s="5">
        <f t="shared" si="1"/>
        <v>1993</v>
      </c>
      <c r="C27" s="5" cm="1">
        <f t="array" ref="C27">INDEX(GMW!$A$2:$LR$60,MATCH(1,(GMW!$LQ$2:$LQ$60=C$3)*(GMW!$LP$2:$LP$60=C$4)*(GMW!$LR$2:$LR$60=C$1),0),$B27-1966)</f>
        <v>231258</v>
      </c>
      <c r="D27" s="5" cm="1">
        <f t="array" ref="D27">INDEX(GMW!$A$2:$LR$60,MATCH(1,(GMW!$LQ$2:$LQ$60=D$3)*(GMW!$LP$2:$LP$60=D$4)*(GMW!$LR$2:$LR$60=D$1),0),$B27-1966)</f>
        <v>1699.075</v>
      </c>
      <c r="E27" s="5" cm="1">
        <f t="array" ref="E27">INDEX(GMW!$A$2:$LR$60,MATCH(1,(GMW!$LQ$2:$LQ$60=E$3)*(GMW!$LP$2:$LP$60=E$4)*(GMW!$LR$2:$LR$60=E$1),0),$B27-1966)</f>
        <v>60686.21</v>
      </c>
      <c r="F27" s="5" cm="1">
        <f t="array" ref="F27">INDEX(GMW!$A$2:$LR$60,MATCH(1,(GMW!$LQ$2:$LQ$60=F$3)*(GMW!$LP$2:$LP$60=F$4)*(GMW!$LR$2:$LR$60=F$1),0),$B27-1966)</f>
        <v>393.72129999999999</v>
      </c>
      <c r="G27" s="5" cm="1">
        <f t="array" ref="G27">INDEX(GMW!$A$2:$LR$60,MATCH(1,(GMW!$LQ$2:$LQ$60=G$3)*(GMW!$LP$2:$LP$60=G$4)*(GMW!$LR$2:$LR$60=G$1),0),$B27-1966)</f>
        <v>286.06200000000001</v>
      </c>
      <c r="H27" s="5" cm="1">
        <f t="array" ref="H27">INDEX(GMW!$A$2:$LR$60,MATCH(1,(GMW!$LQ$2:$LQ$60=H$3)*(GMW!$LP$2:$LP$60=H$4)*(GMW!$LR$2:$LR$60=H$1),0),$B27-1966)</f>
        <v>250.5531</v>
      </c>
      <c r="I27" s="5" cm="1">
        <f t="array" ref="I27">INDEX(GMW!$A$2:$LR$60,MATCH(1,(GMW!$LQ$2:$LQ$60=I$3)*(GMW!$LP$2:$LP$60=I$4)*(GMW!$LR$2:$LR$60=I$1),0),$B27-1966)</f>
        <v>208478.5</v>
      </c>
    </row>
    <row r="28" spans="1:9" x14ac:dyDescent="0.25">
      <c r="A28" s="5">
        <f t="shared" si="2"/>
        <v>1978</v>
      </c>
      <c r="B28" s="5">
        <f t="shared" si="1"/>
        <v>1994</v>
      </c>
      <c r="C28" s="5" cm="1">
        <f t="array" ref="C28">INDEX(GMW!$A$2:$LR$60,MATCH(1,(GMW!$LQ$2:$LQ$60=C$3)*(GMW!$LP$2:$LP$60=C$4)*(GMW!$LR$2:$LR$60=C$1),0),$B28-1966)</f>
        <v>233910</v>
      </c>
      <c r="D28" s="5" cm="1">
        <f t="array" ref="D28">INDEX(GMW!$A$2:$LR$60,MATCH(1,(GMW!$LQ$2:$LQ$60=D$3)*(GMW!$LP$2:$LP$60=D$4)*(GMW!$LR$2:$LR$60=D$1),0),$B28-1966)</f>
        <v>1764.7249999999999</v>
      </c>
      <c r="E28" s="5" cm="1">
        <f t="array" ref="E28">INDEX(GMW!$A$2:$LR$60,MATCH(1,(GMW!$LQ$2:$LQ$60=E$3)*(GMW!$LP$2:$LP$60=E$4)*(GMW!$LR$2:$LR$60=E$1),0),$B28-1966)</f>
        <v>61280.639999999999</v>
      </c>
      <c r="F28" s="5" cm="1">
        <f t="array" ref="F28">INDEX(GMW!$A$2:$LR$60,MATCH(1,(GMW!$LQ$2:$LQ$60=F$3)*(GMW!$LP$2:$LP$60=F$4)*(GMW!$LR$2:$LR$60=F$1),0),$B28-1966)</f>
        <v>395.32249999999999</v>
      </c>
      <c r="G28" s="5" cm="1">
        <f t="array" ref="G28">INDEX(GMW!$A$2:$LR$60,MATCH(1,(GMW!$LQ$2:$LQ$60=G$3)*(GMW!$LP$2:$LP$60=G$4)*(GMW!$LR$2:$LR$60=G$1),0),$B28-1966)</f>
        <v>289.17899999999997</v>
      </c>
      <c r="H28" s="5" cm="1">
        <f t="array" ref="H28">INDEX(GMW!$A$2:$LR$60,MATCH(1,(GMW!$LQ$2:$LQ$60=H$3)*(GMW!$LP$2:$LP$60=H$4)*(GMW!$LR$2:$LR$60=H$1),0),$B28-1966)</f>
        <v>254.88730000000001</v>
      </c>
      <c r="I28" s="5" cm="1">
        <f t="array" ref="I28">INDEX(GMW!$A$2:$LR$60,MATCH(1,(GMW!$LQ$2:$LQ$60=I$3)*(GMW!$LP$2:$LP$60=I$4)*(GMW!$LR$2:$LR$60=I$1),0),$B28-1966)</f>
        <v>209897.5</v>
      </c>
    </row>
    <row r="29" spans="1:9" x14ac:dyDescent="0.25">
      <c r="A29" s="5">
        <f t="shared" si="2"/>
        <v>1978</v>
      </c>
      <c r="B29" s="5">
        <f t="shared" si="1"/>
        <v>1995</v>
      </c>
      <c r="C29" s="5" cm="1">
        <f t="array" ref="C29">INDEX(GMW!$A$2:$LR$60,MATCH(1,(GMW!$LQ$2:$LQ$60=C$3)*(GMW!$LP$2:$LP$60=C$4)*(GMW!$LR$2:$LR$60=C$1),0),$B29-1966)</f>
        <v>237107</v>
      </c>
      <c r="D29" s="5" cm="1">
        <f t="array" ref="D29">INDEX(GMW!$A$2:$LR$60,MATCH(1,(GMW!$LQ$2:$LQ$60=D$3)*(GMW!$LP$2:$LP$60=D$4)*(GMW!$LR$2:$LR$60=D$1),0),$B29-1966)</f>
        <v>1782.4749999999999</v>
      </c>
      <c r="E29" s="5" cm="1">
        <f t="array" ref="E29">INDEX(GMW!$A$2:$LR$60,MATCH(1,(GMW!$LQ$2:$LQ$60=E$3)*(GMW!$LP$2:$LP$60=E$4)*(GMW!$LR$2:$LR$60=E$1),0),$B29-1966)</f>
        <v>62081.49</v>
      </c>
      <c r="F29" s="5" cm="1">
        <f t="array" ref="F29">INDEX(GMW!$A$2:$LR$60,MATCH(1,(GMW!$LQ$2:$LQ$60=F$3)*(GMW!$LP$2:$LP$60=F$4)*(GMW!$LR$2:$LR$60=F$1),0),$B29-1966)</f>
        <v>400.4117</v>
      </c>
      <c r="G29" s="5" cm="1">
        <f t="array" ref="G29">INDEX(GMW!$A$2:$LR$60,MATCH(1,(GMW!$LQ$2:$LQ$60=G$3)*(GMW!$LP$2:$LP$60=G$4)*(GMW!$LR$2:$LR$60=G$1),0),$B29-1966)</f>
        <v>290.97899999999998</v>
      </c>
      <c r="H29" s="5" cm="1">
        <f t="array" ref="H29">INDEX(GMW!$A$2:$LR$60,MATCH(1,(GMW!$LQ$2:$LQ$60=H$3)*(GMW!$LP$2:$LP$60=H$4)*(GMW!$LR$2:$LR$60=H$1),0),$B29-1966)</f>
        <v>256.22739999999999</v>
      </c>
      <c r="I29" s="5" cm="1">
        <f t="array" ref="I29">INDEX(GMW!$A$2:$LR$60,MATCH(1,(GMW!$LQ$2:$LQ$60=I$3)*(GMW!$LP$2:$LP$60=I$4)*(GMW!$LR$2:$LR$60=I$1),0),$B29-1966)</f>
        <v>211855.5</v>
      </c>
    </row>
    <row r="30" spans="1:9" x14ac:dyDescent="0.25">
      <c r="A30" s="5">
        <f t="shared" si="2"/>
        <v>1978</v>
      </c>
      <c r="B30" s="5">
        <f t="shared" si="1"/>
        <v>1996</v>
      </c>
      <c r="C30" s="5" cm="1">
        <f t="array" ref="C30">INDEX(GMW!$A$2:$LR$60,MATCH(1,(GMW!$LQ$2:$LQ$60=C$3)*(GMW!$LP$2:$LP$60=C$4)*(GMW!$LR$2:$LR$60=C$1),0),$B30-1966)</f>
        <v>239186</v>
      </c>
      <c r="D30" s="5" cm="1">
        <f t="array" ref="D30">INDEX(GMW!$A$2:$LR$60,MATCH(1,(GMW!$LQ$2:$LQ$60=D$3)*(GMW!$LP$2:$LP$60=D$4)*(GMW!$LR$2:$LR$60=D$1),0),$B30-1966)</f>
        <v>1806.45</v>
      </c>
      <c r="E30" s="5" cm="1">
        <f t="array" ref="E30">INDEX(GMW!$A$2:$LR$60,MATCH(1,(GMW!$LQ$2:$LQ$60=E$3)*(GMW!$LP$2:$LP$60=E$4)*(GMW!$LR$2:$LR$60=E$1),0),$B30-1966)</f>
        <v>62988.52</v>
      </c>
      <c r="F30" s="5" cm="1">
        <f t="array" ref="F30">INDEX(GMW!$A$2:$LR$60,MATCH(1,(GMW!$LQ$2:$LQ$60=F$3)*(GMW!$LP$2:$LP$60=F$4)*(GMW!$LR$2:$LR$60=F$1),0),$B30-1966)</f>
        <v>405.12349999999998</v>
      </c>
      <c r="G30" s="5" cm="1">
        <f t="array" ref="G30">INDEX(GMW!$A$2:$LR$60,MATCH(1,(GMW!$LQ$2:$LQ$60=G$3)*(GMW!$LP$2:$LP$60=G$4)*(GMW!$LR$2:$LR$60=G$1),0),$B30-1966)</f>
        <v>294.29399999999998</v>
      </c>
      <c r="H30" s="5" cm="1">
        <f t="array" ref="H30">INDEX(GMW!$A$2:$LR$60,MATCH(1,(GMW!$LQ$2:$LQ$60=H$3)*(GMW!$LP$2:$LP$60=H$4)*(GMW!$LR$2:$LR$60=H$1),0),$B30-1966)</f>
        <v>260.13159999999999</v>
      </c>
      <c r="I30" s="5" cm="1">
        <f t="array" ref="I30">INDEX(GMW!$A$2:$LR$60,MATCH(1,(GMW!$LQ$2:$LQ$60=I$3)*(GMW!$LP$2:$LP$60=I$4)*(GMW!$LR$2:$LR$60=I$1),0),$B30-1966)</f>
        <v>213864.3</v>
      </c>
    </row>
    <row r="31" spans="1:9" x14ac:dyDescent="0.25">
      <c r="A31" s="5">
        <f t="shared" si="2"/>
        <v>1979</v>
      </c>
      <c r="B31" s="5">
        <f t="shared" si="1"/>
        <v>1997</v>
      </c>
      <c r="C31" s="5" cm="1">
        <f t="array" ref="C31">INDEX(GMW!$A$2:$LR$60,MATCH(1,(GMW!$LQ$2:$LQ$60=C$3)*(GMW!$LP$2:$LP$60=C$4)*(GMW!$LR$2:$LR$60=C$1),0),$B31-1966)</f>
        <v>238472</v>
      </c>
      <c r="D31" s="5" cm="1">
        <f t="array" ref="D31">INDEX(GMW!$A$2:$LR$60,MATCH(1,(GMW!$LQ$2:$LQ$60=D$3)*(GMW!$LP$2:$LP$60=D$4)*(GMW!$LR$2:$LR$60=D$1),0),$B31-1966)</f>
        <v>1809.675</v>
      </c>
      <c r="E31" s="5" cm="1">
        <f t="array" ref="E31">INDEX(GMW!$A$2:$LR$60,MATCH(1,(GMW!$LQ$2:$LQ$60=E$3)*(GMW!$LP$2:$LP$60=E$4)*(GMW!$LR$2:$LR$60=E$1),0),$B31-1966)</f>
        <v>64175.77</v>
      </c>
      <c r="F31" s="5" cm="1">
        <f t="array" ref="F31">INDEX(GMW!$A$2:$LR$60,MATCH(1,(GMW!$LQ$2:$LQ$60=F$3)*(GMW!$LP$2:$LP$60=F$4)*(GMW!$LR$2:$LR$60=F$1),0),$B31-1966)</f>
        <v>405.65719999999999</v>
      </c>
      <c r="G31" s="5" cm="1">
        <f t="array" ref="G31">INDEX(GMW!$A$2:$LR$60,MATCH(1,(GMW!$LQ$2:$LQ$60=G$3)*(GMW!$LP$2:$LP$60=G$4)*(GMW!$LR$2:$LR$60=G$1),0),$B31-1966)</f>
        <v>297.55200000000002</v>
      </c>
      <c r="H31" s="5" cm="1">
        <f t="array" ref="H31">INDEX(GMW!$A$2:$LR$60,MATCH(1,(GMW!$LQ$2:$LQ$60=H$3)*(GMW!$LP$2:$LP$60=H$4)*(GMW!$LR$2:$LR$60=H$1),0),$B31-1966)</f>
        <v>264.24189999999999</v>
      </c>
      <c r="I31" s="5" cm="1">
        <f t="array" ref="I31">INDEX(GMW!$A$2:$LR$60,MATCH(1,(GMW!$LQ$2:$LQ$60=I$3)*(GMW!$LP$2:$LP$60=I$4)*(GMW!$LR$2:$LR$60=I$1),0),$B31-1966)</f>
        <v>215570.5</v>
      </c>
    </row>
    <row r="32" spans="1:9" x14ac:dyDescent="0.25">
      <c r="A32" s="5">
        <f t="shared" si="2"/>
        <v>1979</v>
      </c>
      <c r="B32" s="5">
        <f t="shared" si="1"/>
        <v>1998</v>
      </c>
      <c r="C32" s="5" cm="1">
        <f t="array" ref="C32">INDEX(GMW!$A$2:$LR$60,MATCH(1,(GMW!$LQ$2:$LQ$60=C$3)*(GMW!$LP$2:$LP$60=C$4)*(GMW!$LR$2:$LR$60=C$1),0),$B32-1966)</f>
        <v>248867</v>
      </c>
      <c r="D32" s="5" cm="1">
        <f t="array" ref="D32">INDEX(GMW!$A$2:$LR$60,MATCH(1,(GMW!$LQ$2:$LQ$60=D$3)*(GMW!$LP$2:$LP$60=D$4)*(GMW!$LR$2:$LR$60=D$1),0),$B32-1966)</f>
        <v>1811.625</v>
      </c>
      <c r="E32" s="5" cm="1">
        <f t="array" ref="E32">INDEX(GMW!$A$2:$LR$60,MATCH(1,(GMW!$LQ$2:$LQ$60=E$3)*(GMW!$LP$2:$LP$60=E$4)*(GMW!$LR$2:$LR$60=E$1),0),$B32-1966)</f>
        <v>65372.08</v>
      </c>
      <c r="F32" s="5" cm="1">
        <f t="array" ref="F32">INDEX(GMW!$A$2:$LR$60,MATCH(1,(GMW!$LQ$2:$LQ$60=F$3)*(GMW!$LP$2:$LP$60=F$4)*(GMW!$LR$2:$LR$60=F$1),0),$B32-1966)</f>
        <v>418.20060000000001</v>
      </c>
      <c r="G32" s="5" cm="1">
        <f t="array" ref="G32">INDEX(GMW!$A$2:$LR$60,MATCH(1,(GMW!$LQ$2:$LQ$60=G$3)*(GMW!$LP$2:$LP$60=G$4)*(GMW!$LR$2:$LR$60=G$1),0),$B32-1966)</f>
        <v>299.07100000000003</v>
      </c>
      <c r="H32" s="5" cm="1">
        <f t="array" ref="H32">INDEX(GMW!$A$2:$LR$60,MATCH(1,(GMW!$LQ$2:$LQ$60=H$3)*(GMW!$LP$2:$LP$60=H$4)*(GMW!$LR$2:$LR$60=H$1),0),$B32-1966)</f>
        <v>266.1635</v>
      </c>
      <c r="I32" s="5" cm="1">
        <f t="array" ref="I32">INDEX(GMW!$A$2:$LR$60,MATCH(1,(GMW!$LQ$2:$LQ$60=I$3)*(GMW!$LP$2:$LP$60=I$4)*(GMW!$LR$2:$LR$60=I$1),0),$B32-1966)</f>
        <v>218430.3</v>
      </c>
    </row>
    <row r="33" spans="1:9" x14ac:dyDescent="0.25">
      <c r="A33" s="5">
        <f t="shared" si="2"/>
        <v>1979</v>
      </c>
      <c r="B33" s="5">
        <f t="shared" si="1"/>
        <v>1999</v>
      </c>
      <c r="C33" s="5" cm="1">
        <f t="array" ref="C33">INDEX(GMW!$A$2:$LR$60,MATCH(1,(GMW!$LQ$2:$LQ$60=C$3)*(GMW!$LP$2:$LP$60=C$4)*(GMW!$LR$2:$LR$60=C$1),0),$B33-1966)</f>
        <v>243369</v>
      </c>
      <c r="D33" s="5" cm="1">
        <f t="array" ref="D33">INDEX(GMW!$A$2:$LR$60,MATCH(1,(GMW!$LQ$2:$LQ$60=D$3)*(GMW!$LP$2:$LP$60=D$4)*(GMW!$LR$2:$LR$60=D$1),0),$B33-1966)</f>
        <v>1825.075</v>
      </c>
      <c r="E33" s="5" cm="1">
        <f t="array" ref="E33">INDEX(GMW!$A$2:$LR$60,MATCH(1,(GMW!$LQ$2:$LQ$60=E$3)*(GMW!$LP$2:$LP$60=E$4)*(GMW!$LR$2:$LR$60=E$1),0),$B33-1966)</f>
        <v>65872.72</v>
      </c>
      <c r="F33" s="5" cm="1">
        <f t="array" ref="F33">INDEX(GMW!$A$2:$LR$60,MATCH(1,(GMW!$LQ$2:$LQ$60=F$3)*(GMW!$LP$2:$LP$60=F$4)*(GMW!$LR$2:$LR$60=F$1),0),$B33-1966)</f>
        <v>418.27420000000001</v>
      </c>
      <c r="G33" s="5" cm="1">
        <f t="array" ref="G33">INDEX(GMW!$A$2:$LR$60,MATCH(1,(GMW!$LQ$2:$LQ$60=G$3)*(GMW!$LP$2:$LP$60=G$4)*(GMW!$LR$2:$LR$60=G$1),0),$B33-1966)</f>
        <v>302.92</v>
      </c>
      <c r="H33" s="5" cm="1">
        <f t="array" ref="H33">INDEX(GMW!$A$2:$LR$60,MATCH(1,(GMW!$LQ$2:$LQ$60=H$3)*(GMW!$LP$2:$LP$60=H$4)*(GMW!$LR$2:$LR$60=H$1),0),$B33-1966)</f>
        <v>270.77010000000001</v>
      </c>
      <c r="I33" s="5" cm="1">
        <f t="array" ref="I33">INDEX(GMW!$A$2:$LR$60,MATCH(1,(GMW!$LQ$2:$LQ$60=I$3)*(GMW!$LP$2:$LP$60=I$4)*(GMW!$LR$2:$LR$60=I$1),0),$B33-1966)</f>
        <v>220031.5</v>
      </c>
    </row>
    <row r="34" spans="1:9" x14ac:dyDescent="0.25">
      <c r="A34" s="5">
        <f t="shared" si="2"/>
        <v>1979</v>
      </c>
      <c r="B34" s="5">
        <f t="shared" si="1"/>
        <v>2000</v>
      </c>
      <c r="C34" s="5" cm="1">
        <f t="array" ref="C34">INDEX(GMW!$A$2:$LR$60,MATCH(1,(GMW!$LQ$2:$LQ$60=C$3)*(GMW!$LP$2:$LP$60=C$4)*(GMW!$LR$2:$LR$60=C$1),0),$B34-1966)</f>
        <v>245858</v>
      </c>
      <c r="D34" s="5" cm="1">
        <f t="array" ref="D34">INDEX(GMW!$A$2:$LR$60,MATCH(1,(GMW!$LQ$2:$LQ$60=D$3)*(GMW!$LP$2:$LP$60=D$4)*(GMW!$LR$2:$LR$60=D$1),0),$B34-1966)</f>
        <v>1829.625</v>
      </c>
      <c r="E34" s="5" cm="1">
        <f t="array" ref="E34">INDEX(GMW!$A$2:$LR$60,MATCH(1,(GMW!$LQ$2:$LQ$60=E$3)*(GMW!$LP$2:$LP$60=E$4)*(GMW!$LR$2:$LR$60=E$1),0),$B34-1966)</f>
        <v>66157.2</v>
      </c>
      <c r="F34" s="5" cm="1">
        <f t="array" ref="F34">INDEX(GMW!$A$2:$LR$60,MATCH(1,(GMW!$LQ$2:$LQ$60=F$3)*(GMW!$LP$2:$LP$60=F$4)*(GMW!$LR$2:$LR$60=F$1),0),$B34-1966)</f>
        <v>420.77730000000003</v>
      </c>
      <c r="G34" s="5" cm="1">
        <f t="array" ref="G34">INDEX(GMW!$A$2:$LR$60,MATCH(1,(GMW!$LQ$2:$LQ$60=G$3)*(GMW!$LP$2:$LP$60=G$4)*(GMW!$LR$2:$LR$60=G$1),0),$B34-1966)</f>
        <v>303.971</v>
      </c>
      <c r="H34" s="5" cm="1">
        <f t="array" ref="H34">INDEX(GMW!$A$2:$LR$60,MATCH(1,(GMW!$LQ$2:$LQ$60=H$3)*(GMW!$LP$2:$LP$60=H$4)*(GMW!$LR$2:$LR$60=H$1),0),$B34-1966)</f>
        <v>277.14339999999999</v>
      </c>
      <c r="I34" s="5" cm="1">
        <f t="array" ref="I34">INDEX(GMW!$A$2:$LR$60,MATCH(1,(GMW!$LQ$2:$LQ$60=I$3)*(GMW!$LP$2:$LP$60=I$4)*(GMW!$LR$2:$LR$60=I$1),0),$B34-1966)</f>
        <v>221507.8</v>
      </c>
    </row>
    <row r="35" spans="1:9" x14ac:dyDescent="0.25">
      <c r="A35" s="5">
        <f t="shared" si="2"/>
        <v>1980</v>
      </c>
      <c r="B35" s="5">
        <f t="shared" si="1"/>
        <v>2001</v>
      </c>
      <c r="C35" s="5" cm="1">
        <f t="array" ref="C35">INDEX(GMW!$A$2:$LR$60,MATCH(1,(GMW!$LQ$2:$LQ$60=C$3)*(GMW!$LP$2:$LP$60=C$4)*(GMW!$LR$2:$LR$60=C$1),0),$B35-1966)</f>
        <v>243513</v>
      </c>
      <c r="D35" s="5" cm="1">
        <f t="array" ref="D35">INDEX(GMW!$A$2:$LR$60,MATCH(1,(GMW!$LQ$2:$LQ$60=D$3)*(GMW!$LP$2:$LP$60=D$4)*(GMW!$LR$2:$LR$60=D$1),0),$B35-1966)</f>
        <v>1835.4</v>
      </c>
      <c r="E35" s="5" cm="1">
        <f t="array" ref="E35">INDEX(GMW!$A$2:$LR$60,MATCH(1,(GMW!$LQ$2:$LQ$60=E$3)*(GMW!$LP$2:$LP$60=E$4)*(GMW!$LR$2:$LR$60=E$1),0),$B35-1966)</f>
        <v>67431.649999999994</v>
      </c>
      <c r="F35" s="5" cm="1">
        <f t="array" ref="F35">INDEX(GMW!$A$2:$LR$60,MATCH(1,(GMW!$LQ$2:$LQ$60=F$3)*(GMW!$LP$2:$LP$60=F$4)*(GMW!$LR$2:$LR$60=F$1),0),$B35-1966)</f>
        <v>424.12709999999998</v>
      </c>
      <c r="G35" s="5" cm="1">
        <f t="array" ref="G35">INDEX(GMW!$A$2:$LR$60,MATCH(1,(GMW!$LQ$2:$LQ$60=G$3)*(GMW!$LP$2:$LP$60=G$4)*(GMW!$LR$2:$LR$60=G$1),0),$B35-1966)</f>
        <v>307.57400000000001</v>
      </c>
      <c r="H35" s="5" cm="1">
        <f t="array" ref="H35">INDEX(GMW!$A$2:$LR$60,MATCH(1,(GMW!$LQ$2:$LQ$60=H$3)*(GMW!$LP$2:$LP$60=H$4)*(GMW!$LR$2:$LR$60=H$1),0),$B35-1966)</f>
        <v>276.64729999999997</v>
      </c>
      <c r="I35" s="5" cm="1">
        <f t="array" ref="I35">INDEX(GMW!$A$2:$LR$60,MATCH(1,(GMW!$LQ$2:$LQ$60=I$3)*(GMW!$LP$2:$LP$60=I$4)*(GMW!$LR$2:$LR$60=I$1),0),$B35-1966)</f>
        <v>223045.8</v>
      </c>
    </row>
    <row r="36" spans="1:9" x14ac:dyDescent="0.25">
      <c r="A36" s="5">
        <f t="shared" si="2"/>
        <v>1980</v>
      </c>
      <c r="B36" s="5">
        <f t="shared" si="1"/>
        <v>2002</v>
      </c>
      <c r="C36" s="5" cm="1">
        <f t="array" ref="C36">INDEX(GMW!$A$2:$LR$60,MATCH(1,(GMW!$LQ$2:$LQ$60=C$3)*(GMW!$LP$2:$LP$60=C$4)*(GMW!$LR$2:$LR$60=C$1),0),$B36-1966)</f>
        <v>238722</v>
      </c>
      <c r="D36" s="5" cm="1">
        <f t="array" ref="D36">INDEX(GMW!$A$2:$LR$60,MATCH(1,(GMW!$LQ$2:$LQ$60=D$3)*(GMW!$LP$2:$LP$60=D$4)*(GMW!$LR$2:$LR$60=D$1),0),$B36-1966)</f>
        <v>1797.575</v>
      </c>
      <c r="E36" s="5" cm="1">
        <f t="array" ref="E36">INDEX(GMW!$A$2:$LR$60,MATCH(1,(GMW!$LQ$2:$LQ$60=E$3)*(GMW!$LP$2:$LP$60=E$4)*(GMW!$LR$2:$LR$60=E$1),0),$B36-1966)</f>
        <v>67125.25</v>
      </c>
      <c r="F36" s="5" cm="1">
        <f t="array" ref="F36">INDEX(GMW!$A$2:$LR$60,MATCH(1,(GMW!$LQ$2:$LQ$60=F$3)*(GMW!$LP$2:$LP$60=F$4)*(GMW!$LR$2:$LR$60=F$1),0),$B36-1966)</f>
        <v>421.38470000000001</v>
      </c>
      <c r="G36" s="5" cm="1">
        <f t="array" ref="G36">INDEX(GMW!$A$2:$LR$60,MATCH(1,(GMW!$LQ$2:$LQ$60=G$3)*(GMW!$LP$2:$LP$60=G$4)*(GMW!$LR$2:$LR$60=G$1),0),$B36-1966)</f>
        <v>305.096</v>
      </c>
      <c r="H36" s="5" cm="1">
        <f t="array" ref="H36">INDEX(GMW!$A$2:$LR$60,MATCH(1,(GMW!$LQ$2:$LQ$60=H$3)*(GMW!$LP$2:$LP$60=H$4)*(GMW!$LR$2:$LR$60=H$1),0),$B36-1966)</f>
        <v>278.79430000000002</v>
      </c>
      <c r="I36" s="5" cm="1">
        <f t="array" ref="I36">INDEX(GMW!$A$2:$LR$60,MATCH(1,(GMW!$LQ$2:$LQ$60=I$3)*(GMW!$LP$2:$LP$60=I$4)*(GMW!$LR$2:$LR$60=I$1),0),$B36-1966)</f>
        <v>222948.3</v>
      </c>
    </row>
    <row r="37" spans="1:9" x14ac:dyDescent="0.25">
      <c r="A37" s="5">
        <f t="shared" si="2"/>
        <v>1980</v>
      </c>
      <c r="B37" s="5">
        <f t="shared" si="1"/>
        <v>2003</v>
      </c>
      <c r="C37" s="5" cm="1">
        <f t="array" ref="C37">INDEX(GMW!$A$2:$LR$60,MATCH(1,(GMW!$LQ$2:$LQ$60=C$3)*(GMW!$LP$2:$LP$60=C$4)*(GMW!$LR$2:$LR$60=C$1),0),$B37-1966)</f>
        <v>238432</v>
      </c>
      <c r="D37" s="5" cm="1">
        <f t="array" ref="D37">INDEX(GMW!$A$2:$LR$60,MATCH(1,(GMW!$LQ$2:$LQ$60=D$3)*(GMW!$LP$2:$LP$60=D$4)*(GMW!$LR$2:$LR$60=D$1),0),$B37-1966)</f>
        <v>1795.425</v>
      </c>
      <c r="E37" s="5" cm="1">
        <f t="array" ref="E37">INDEX(GMW!$A$2:$LR$60,MATCH(1,(GMW!$LQ$2:$LQ$60=E$3)*(GMW!$LP$2:$LP$60=E$4)*(GMW!$LR$2:$LR$60=E$1),0),$B37-1966)</f>
        <v>68540.479999999996</v>
      </c>
      <c r="F37" s="5" cm="1">
        <f t="array" ref="F37">INDEX(GMW!$A$2:$LR$60,MATCH(1,(GMW!$LQ$2:$LQ$60=F$3)*(GMW!$LP$2:$LP$60=F$4)*(GMW!$LR$2:$LR$60=F$1),0),$B37-1966)</f>
        <v>419.71899999999999</v>
      </c>
      <c r="G37" s="5" cm="1">
        <f t="array" ref="G37">INDEX(GMW!$A$2:$LR$60,MATCH(1,(GMW!$LQ$2:$LQ$60=G$3)*(GMW!$LP$2:$LP$60=G$4)*(GMW!$LR$2:$LR$60=G$1),0),$B37-1966)</f>
        <v>305.55700000000002</v>
      </c>
      <c r="H37" s="5" cm="1">
        <f t="array" ref="H37">INDEX(GMW!$A$2:$LR$60,MATCH(1,(GMW!$LQ$2:$LQ$60=H$3)*(GMW!$LP$2:$LP$60=H$4)*(GMW!$LR$2:$LR$60=H$1),0),$B37-1966)</f>
        <v>279.02800000000002</v>
      </c>
      <c r="I37" s="5" cm="1">
        <f t="array" ref="I37">INDEX(GMW!$A$2:$LR$60,MATCH(1,(GMW!$LQ$2:$LQ$60=I$3)*(GMW!$LP$2:$LP$60=I$4)*(GMW!$LR$2:$LR$60=I$1),0),$B37-1966)</f>
        <v>222763</v>
      </c>
    </row>
    <row r="38" spans="1:9" x14ac:dyDescent="0.25">
      <c r="A38" s="5">
        <f t="shared" si="2"/>
        <v>1980</v>
      </c>
      <c r="B38" s="5">
        <f t="shared" si="1"/>
        <v>2004</v>
      </c>
      <c r="C38" s="5" cm="1">
        <f t="array" ref="C38">INDEX(GMW!$A$2:$LR$60,MATCH(1,(GMW!$LQ$2:$LQ$60=C$3)*(GMW!$LP$2:$LP$60=C$4)*(GMW!$LR$2:$LR$60=C$1),0),$B38-1966)</f>
        <v>235866</v>
      </c>
      <c r="D38" s="5" cm="1">
        <f t="array" ref="D38">INDEX(GMW!$A$2:$LR$60,MATCH(1,(GMW!$LQ$2:$LQ$60=D$3)*(GMW!$LP$2:$LP$60=D$4)*(GMW!$LR$2:$LR$60=D$1),0),$B38-1966)</f>
        <v>1828.925</v>
      </c>
      <c r="E38" s="5" cm="1">
        <f t="array" ref="E38">INDEX(GMW!$A$2:$LR$60,MATCH(1,(GMW!$LQ$2:$LQ$60=E$3)*(GMW!$LP$2:$LP$60=E$4)*(GMW!$LR$2:$LR$60=E$1),0),$B38-1966)</f>
        <v>69895.05</v>
      </c>
      <c r="F38" s="5" cm="1">
        <f t="array" ref="F38">INDEX(GMW!$A$2:$LR$60,MATCH(1,(GMW!$LQ$2:$LQ$60=F$3)*(GMW!$LP$2:$LP$60=F$4)*(GMW!$LR$2:$LR$60=F$1),0),$B38-1966)</f>
        <v>419.11160000000001</v>
      </c>
      <c r="G38" s="5" cm="1">
        <f t="array" ref="G38">INDEX(GMW!$A$2:$LR$60,MATCH(1,(GMW!$LQ$2:$LQ$60=G$3)*(GMW!$LP$2:$LP$60=G$4)*(GMW!$LR$2:$LR$60=G$1),0),$B38-1966)</f>
        <v>305.08</v>
      </c>
      <c r="H38" s="5" cm="1">
        <f t="array" ref="H38">INDEX(GMW!$A$2:$LR$60,MATCH(1,(GMW!$LQ$2:$LQ$60=H$3)*(GMW!$LP$2:$LP$60=H$4)*(GMW!$LR$2:$LR$60=H$1),0),$B38-1966)</f>
        <v>281.40519999999998</v>
      </c>
      <c r="I38" s="5" cm="1">
        <f t="array" ref="I38">INDEX(GMW!$A$2:$LR$60,MATCH(1,(GMW!$LQ$2:$LQ$60=I$3)*(GMW!$LP$2:$LP$60=I$4)*(GMW!$LR$2:$LR$60=I$1),0),$B38-1966)</f>
        <v>225845.3</v>
      </c>
    </row>
    <row r="39" spans="1:9" x14ac:dyDescent="0.25">
      <c r="A39" s="5">
        <f t="shared" si="2"/>
        <v>1981</v>
      </c>
      <c r="B39" s="5">
        <f t="shared" si="1"/>
        <v>2005</v>
      </c>
      <c r="C39" s="5" cm="1">
        <f t="array" ref="C39">INDEX(GMW!$A$2:$LR$60,MATCH(1,(GMW!$LQ$2:$LQ$60=C$3)*(GMW!$LP$2:$LP$60=C$4)*(GMW!$LR$2:$LR$60=C$1),0),$B39-1966)</f>
        <v>235712</v>
      </c>
      <c r="D39" s="5" cm="1">
        <f t="array" ref="D39">INDEX(GMW!$A$2:$LR$60,MATCH(1,(GMW!$LQ$2:$LQ$60=D$3)*(GMW!$LP$2:$LP$60=D$4)*(GMW!$LR$2:$LR$60=D$1),0),$B39-1966)</f>
        <v>1864.75</v>
      </c>
      <c r="E39" s="5" cm="1">
        <f t="array" ref="E39">INDEX(GMW!$A$2:$LR$60,MATCH(1,(GMW!$LQ$2:$LQ$60=E$3)*(GMW!$LP$2:$LP$60=E$4)*(GMW!$LR$2:$LR$60=E$1),0),$B39-1966)</f>
        <v>70493.48</v>
      </c>
      <c r="F39" s="5" cm="1">
        <f t="array" ref="F39">INDEX(GMW!$A$2:$LR$60,MATCH(1,(GMW!$LQ$2:$LQ$60=F$3)*(GMW!$LP$2:$LP$60=F$4)*(GMW!$LR$2:$LR$60=F$1),0),$B39-1966)</f>
        <v>424.20080000000002</v>
      </c>
      <c r="G39" s="5" cm="1">
        <f t="array" ref="G39">INDEX(GMW!$A$2:$LR$60,MATCH(1,(GMW!$LQ$2:$LQ$60=G$3)*(GMW!$LP$2:$LP$60=G$4)*(GMW!$LR$2:$LR$60=G$1),0),$B39-1966)</f>
        <v>306.214</v>
      </c>
      <c r="H39" s="5" cm="1">
        <f t="array" ref="H39">INDEX(GMW!$A$2:$LR$60,MATCH(1,(GMW!$LQ$2:$LQ$60=H$3)*(GMW!$LP$2:$LP$60=H$4)*(GMW!$LR$2:$LR$60=H$1),0),$B39-1966)</f>
        <v>280.49200000000002</v>
      </c>
      <c r="I39" s="5" cm="1">
        <f t="array" ref="I39">INDEX(GMW!$A$2:$LR$60,MATCH(1,(GMW!$LQ$2:$LQ$60=I$3)*(GMW!$LP$2:$LP$60=I$4)*(GMW!$LR$2:$LR$60=I$1),0),$B39-1966)</f>
        <v>230710.8</v>
      </c>
    </row>
    <row r="40" spans="1:9" x14ac:dyDescent="0.25">
      <c r="A40" s="5">
        <f t="shared" si="2"/>
        <v>1981</v>
      </c>
      <c r="B40" s="5">
        <f t="shared" si="1"/>
        <v>2006</v>
      </c>
      <c r="C40" s="5" cm="1">
        <f t="array" ref="C40">INDEX(GMW!$A$2:$LR$60,MATCH(1,(GMW!$LQ$2:$LQ$60=C$3)*(GMW!$LP$2:$LP$60=C$4)*(GMW!$LR$2:$LR$60=C$1),0),$B40-1966)</f>
        <v>236272</v>
      </c>
      <c r="D40" s="5" cm="1">
        <f t="array" ref="D40">INDEX(GMW!$A$2:$LR$60,MATCH(1,(GMW!$LQ$2:$LQ$60=D$3)*(GMW!$LP$2:$LP$60=D$4)*(GMW!$LR$2:$LR$60=D$1),0),$B40-1966)</f>
        <v>1850.925</v>
      </c>
      <c r="E40" s="5" cm="1">
        <f t="array" ref="E40">INDEX(GMW!$A$2:$LR$60,MATCH(1,(GMW!$LQ$2:$LQ$60=E$3)*(GMW!$LP$2:$LP$60=E$4)*(GMW!$LR$2:$LR$60=E$1),0),$B40-1966)</f>
        <v>71146.73</v>
      </c>
      <c r="F40" s="5" cm="1">
        <f t="array" ref="F40">INDEX(GMW!$A$2:$LR$60,MATCH(1,(GMW!$LQ$2:$LQ$60=F$3)*(GMW!$LP$2:$LP$60=F$4)*(GMW!$LR$2:$LR$60=F$1),0),$B40-1966)</f>
        <v>423.05959999999999</v>
      </c>
      <c r="G40" s="5" cm="1">
        <f t="array" ref="G40">INDEX(GMW!$A$2:$LR$60,MATCH(1,(GMW!$LQ$2:$LQ$60=G$3)*(GMW!$LP$2:$LP$60=G$4)*(GMW!$LR$2:$LR$60=G$1),0),$B40-1966)</f>
        <v>308.52999999999997</v>
      </c>
      <c r="H40" s="5" cm="1">
        <f t="array" ref="H40">INDEX(GMW!$A$2:$LR$60,MATCH(1,(GMW!$LQ$2:$LQ$60=H$3)*(GMW!$LP$2:$LP$60=H$4)*(GMW!$LR$2:$LR$60=H$1),0),$B40-1966)</f>
        <v>281.03899999999999</v>
      </c>
      <c r="I40" s="5" cm="1">
        <f t="array" ref="I40">INDEX(GMW!$A$2:$LR$60,MATCH(1,(GMW!$LQ$2:$LQ$60=I$3)*(GMW!$LP$2:$LP$60=I$4)*(GMW!$LR$2:$LR$60=I$1),0),$B40-1966)</f>
        <v>233233.3</v>
      </c>
    </row>
    <row r="41" spans="1:9" x14ac:dyDescent="0.25">
      <c r="A41" s="5">
        <f t="shared" si="2"/>
        <v>1981</v>
      </c>
      <c r="B41" s="5">
        <f t="shared" si="1"/>
        <v>2007</v>
      </c>
      <c r="C41" s="5" cm="1">
        <f t="array" ref="C41">INDEX(GMW!$A$2:$LR$60,MATCH(1,(GMW!$LQ$2:$LQ$60=C$3)*(GMW!$LP$2:$LP$60=C$4)*(GMW!$LR$2:$LR$60=C$1),0),$B41-1966)</f>
        <v>238846</v>
      </c>
      <c r="D41" s="5" cm="1">
        <f t="array" ref="D41">INDEX(GMW!$A$2:$LR$60,MATCH(1,(GMW!$LQ$2:$LQ$60=D$3)*(GMW!$LP$2:$LP$60=D$4)*(GMW!$LR$2:$LR$60=D$1),0),$B41-1966)</f>
        <v>1873.1</v>
      </c>
      <c r="E41" s="5" cm="1">
        <f t="array" ref="E41">INDEX(GMW!$A$2:$LR$60,MATCH(1,(GMW!$LQ$2:$LQ$60=E$3)*(GMW!$LP$2:$LP$60=E$4)*(GMW!$LR$2:$LR$60=E$1),0),$B41-1966)</f>
        <v>71480.100000000006</v>
      </c>
      <c r="F41" s="5" cm="1">
        <f t="array" ref="F41">INDEX(GMW!$A$2:$LR$60,MATCH(1,(GMW!$LQ$2:$LQ$60=F$3)*(GMW!$LP$2:$LP$60=F$4)*(GMW!$LR$2:$LR$60=F$1),0),$B41-1966)</f>
        <v>424.20080000000002</v>
      </c>
      <c r="G41" s="5" cm="1">
        <f t="array" ref="G41">INDEX(GMW!$A$2:$LR$60,MATCH(1,(GMW!$LQ$2:$LQ$60=G$3)*(GMW!$LP$2:$LP$60=G$4)*(GMW!$LR$2:$LR$60=G$1),0),$B41-1966)</f>
        <v>310.60199999999998</v>
      </c>
      <c r="H41" s="5" cm="1">
        <f t="array" ref="H41">INDEX(GMW!$A$2:$LR$60,MATCH(1,(GMW!$LQ$2:$LQ$60=H$3)*(GMW!$LP$2:$LP$60=H$4)*(GMW!$LR$2:$LR$60=H$1),0),$B41-1966)</f>
        <v>281.17</v>
      </c>
      <c r="I41" s="5" cm="1">
        <f t="array" ref="I41">INDEX(GMW!$A$2:$LR$60,MATCH(1,(GMW!$LQ$2:$LQ$60=I$3)*(GMW!$LP$2:$LP$60=I$4)*(GMW!$LR$2:$LR$60=I$1),0),$B41-1966)</f>
        <v>231136.3</v>
      </c>
    </row>
    <row r="42" spans="1:9" x14ac:dyDescent="0.25">
      <c r="A42" s="5">
        <f t="shared" si="2"/>
        <v>1981</v>
      </c>
      <c r="B42" s="5">
        <f t="shared" si="1"/>
        <v>2008</v>
      </c>
      <c r="C42" s="5" cm="1">
        <f t="array" ref="C42">INDEX(GMW!$A$2:$LR$60,MATCH(1,(GMW!$LQ$2:$LQ$60=C$3)*(GMW!$LP$2:$LP$60=C$4)*(GMW!$LR$2:$LR$60=C$1),0),$B42-1966)</f>
        <v>239131</v>
      </c>
      <c r="D42" s="5" cm="1">
        <f t="array" ref="D42">INDEX(GMW!$A$2:$LR$60,MATCH(1,(GMW!$LQ$2:$LQ$60=D$3)*(GMW!$LP$2:$LP$60=D$4)*(GMW!$LR$2:$LR$60=D$1),0),$B42-1966)</f>
        <v>1852.7</v>
      </c>
      <c r="E42" s="5" cm="1">
        <f t="array" ref="E42">INDEX(GMW!$A$2:$LR$60,MATCH(1,(GMW!$LQ$2:$LQ$60=E$3)*(GMW!$LP$2:$LP$60=E$4)*(GMW!$LR$2:$LR$60=E$1),0),$B42-1966)</f>
        <v>71827.58</v>
      </c>
      <c r="F42" s="5" cm="1">
        <f t="array" ref="F42">INDEX(GMW!$A$2:$LR$60,MATCH(1,(GMW!$LQ$2:$LQ$60=F$3)*(GMW!$LP$2:$LP$60=F$4)*(GMW!$LR$2:$LR$60=F$1),0),$B42-1966)</f>
        <v>423.81420000000003</v>
      </c>
      <c r="G42" s="5" cm="1">
        <f t="array" ref="G42">INDEX(GMW!$A$2:$LR$60,MATCH(1,(GMW!$LQ$2:$LQ$60=G$3)*(GMW!$LP$2:$LP$60=G$4)*(GMW!$LR$2:$LR$60=G$1),0),$B42-1966)</f>
        <v>312.47399999999999</v>
      </c>
      <c r="H42" s="5" cm="1">
        <f t="array" ref="H42">INDEX(GMW!$A$2:$LR$60,MATCH(1,(GMW!$LQ$2:$LQ$60=H$3)*(GMW!$LP$2:$LP$60=H$4)*(GMW!$LR$2:$LR$60=H$1),0),$B42-1966)</f>
        <v>283.452</v>
      </c>
      <c r="I42" s="5" cm="1">
        <f t="array" ref="I42">INDEX(GMW!$A$2:$LR$60,MATCH(1,(GMW!$LQ$2:$LQ$60=I$3)*(GMW!$LP$2:$LP$60=I$4)*(GMW!$LR$2:$LR$60=I$1),0),$B42-1966)</f>
        <v>230073.3</v>
      </c>
    </row>
    <row r="43" spans="1:9" x14ac:dyDescent="0.25">
      <c r="A43" s="5">
        <f t="shared" si="2"/>
        <v>1982</v>
      </c>
      <c r="B43" s="5">
        <f t="shared" si="1"/>
        <v>2009</v>
      </c>
      <c r="C43" s="5" cm="1">
        <f t="array" ref="C43">INDEX(GMW!$A$2:$LR$60,MATCH(1,(GMW!$LQ$2:$LQ$60=C$3)*(GMW!$LP$2:$LP$60=C$4)*(GMW!$LR$2:$LR$60=C$1),0),$B43-1966)</f>
        <v>239578</v>
      </c>
      <c r="D43" s="5" cm="1">
        <f t="array" ref="D43">INDEX(GMW!$A$2:$LR$60,MATCH(1,(GMW!$LQ$2:$LQ$60=D$3)*(GMW!$LP$2:$LP$60=D$4)*(GMW!$LR$2:$LR$60=D$1),0),$B43-1966)</f>
        <v>1823.9</v>
      </c>
      <c r="E43" s="5" cm="1">
        <f t="array" ref="E43">INDEX(GMW!$A$2:$LR$60,MATCH(1,(GMW!$LQ$2:$LQ$60=E$3)*(GMW!$LP$2:$LP$60=E$4)*(GMW!$LR$2:$LR$60=E$1),0),$B43-1966)</f>
        <v>72823.850000000006</v>
      </c>
      <c r="F43" s="5" cm="1">
        <f t="array" ref="F43">INDEX(GMW!$A$2:$LR$60,MATCH(1,(GMW!$LQ$2:$LQ$60=F$3)*(GMW!$LP$2:$LP$60=F$4)*(GMW!$LR$2:$LR$60=F$1),0),$B43-1966)</f>
        <v>425.4984</v>
      </c>
      <c r="G43" s="5" cm="1">
        <f t="array" ref="G43">INDEX(GMW!$A$2:$LR$60,MATCH(1,(GMW!$LQ$2:$LQ$60=G$3)*(GMW!$LP$2:$LP$60=G$4)*(GMW!$LR$2:$LR$60=G$1),0),$B43-1966)</f>
        <v>314.83800000000002</v>
      </c>
      <c r="H43" s="5" cm="1">
        <f t="array" ref="H43">INDEX(GMW!$A$2:$LR$60,MATCH(1,(GMW!$LQ$2:$LQ$60=H$3)*(GMW!$LP$2:$LP$60=H$4)*(GMW!$LR$2:$LR$60=H$1),0),$B43-1966)</f>
        <v>283.339</v>
      </c>
      <c r="I43" s="5" cm="1">
        <f t="array" ref="I43">INDEX(GMW!$A$2:$LR$60,MATCH(1,(GMW!$LQ$2:$LQ$60=I$3)*(GMW!$LP$2:$LP$60=I$4)*(GMW!$LR$2:$LR$60=I$1),0),$B43-1966)</f>
        <v>227440.3</v>
      </c>
    </row>
    <row r="44" spans="1:9" x14ac:dyDescent="0.25">
      <c r="A44" s="5">
        <f t="shared" si="2"/>
        <v>1982</v>
      </c>
      <c r="B44" s="5">
        <f t="shared" si="1"/>
        <v>2010</v>
      </c>
      <c r="C44" s="5" cm="1">
        <f t="array" ref="C44">INDEX(GMW!$A$2:$LR$60,MATCH(1,(GMW!$LQ$2:$LQ$60=C$3)*(GMW!$LP$2:$LP$60=C$4)*(GMW!$LR$2:$LR$60=C$1),0),$B44-1966)</f>
        <v>242095</v>
      </c>
      <c r="D44" s="5" cm="1">
        <f t="array" ref="D44">INDEX(GMW!$A$2:$LR$60,MATCH(1,(GMW!$LQ$2:$LQ$60=D$3)*(GMW!$LP$2:$LP$60=D$4)*(GMW!$LR$2:$LR$60=D$1),0),$B44-1966)</f>
        <v>1832.2249999999999</v>
      </c>
      <c r="E44" s="5" cm="1">
        <f t="array" ref="E44">INDEX(GMW!$A$2:$LR$60,MATCH(1,(GMW!$LQ$2:$LQ$60=E$3)*(GMW!$LP$2:$LP$60=E$4)*(GMW!$LR$2:$LR$60=E$1),0),$B44-1966)</f>
        <v>73296.850000000006</v>
      </c>
      <c r="F44" s="5" cm="1">
        <f t="array" ref="F44">INDEX(GMW!$A$2:$LR$60,MATCH(1,(GMW!$LQ$2:$LQ$60=F$3)*(GMW!$LP$2:$LP$60=F$4)*(GMW!$LR$2:$LR$60=F$1),0),$B44-1966)</f>
        <v>422.82960000000003</v>
      </c>
      <c r="G44" s="5" cm="1">
        <f t="array" ref="G44">INDEX(GMW!$A$2:$LR$60,MATCH(1,(GMW!$LQ$2:$LQ$60=G$3)*(GMW!$LP$2:$LP$60=G$4)*(GMW!$LR$2:$LR$60=G$1),0),$B44-1966)</f>
        <v>317.06900000000002</v>
      </c>
      <c r="H44" s="5" cm="1">
        <f t="array" ref="H44">INDEX(GMW!$A$2:$LR$60,MATCH(1,(GMW!$LQ$2:$LQ$60=H$3)*(GMW!$LP$2:$LP$60=H$4)*(GMW!$LR$2:$LR$60=H$1),0),$B44-1966)</f>
        <v>282.53399999999999</v>
      </c>
      <c r="I44" s="5" cm="1">
        <f t="array" ref="I44">INDEX(GMW!$A$2:$LR$60,MATCH(1,(GMW!$LQ$2:$LQ$60=I$3)*(GMW!$LP$2:$LP$60=I$4)*(GMW!$LR$2:$LR$60=I$1),0),$B44-1966)</f>
        <v>224821.8</v>
      </c>
    </row>
    <row r="45" spans="1:9" x14ac:dyDescent="0.25">
      <c r="A45" s="5">
        <f t="shared" si="2"/>
        <v>1982</v>
      </c>
      <c r="B45" s="5">
        <f t="shared" si="1"/>
        <v>2011</v>
      </c>
      <c r="C45" s="5" cm="1">
        <f t="array" ref="C45">INDEX(GMW!$A$2:$LR$60,MATCH(1,(GMW!$LQ$2:$LQ$60=C$3)*(GMW!$LP$2:$LP$60=C$4)*(GMW!$LR$2:$LR$60=C$1),0),$B45-1966)</f>
        <v>242639</v>
      </c>
      <c r="D45" s="5" cm="1">
        <f t="array" ref="D45">INDEX(GMW!$A$2:$LR$60,MATCH(1,(GMW!$LQ$2:$LQ$60=D$3)*(GMW!$LP$2:$LP$60=D$4)*(GMW!$LR$2:$LR$60=D$1),0),$B45-1966)</f>
        <v>1825.2249999999999</v>
      </c>
      <c r="E45" s="5" cm="1">
        <f t="array" ref="E45">INDEX(GMW!$A$2:$LR$60,MATCH(1,(GMW!$LQ$2:$LQ$60=E$3)*(GMW!$LP$2:$LP$60=E$4)*(GMW!$LR$2:$LR$60=E$1),0),$B45-1966)</f>
        <v>73595.08</v>
      </c>
      <c r="F45" s="5" cm="1">
        <f t="array" ref="F45">INDEX(GMW!$A$2:$LR$60,MATCH(1,(GMW!$LQ$2:$LQ$60=F$3)*(GMW!$LP$2:$LP$60=F$4)*(GMW!$LR$2:$LR$60=F$1),0),$B45-1966)</f>
        <v>418.73430000000002</v>
      </c>
      <c r="G45" s="5" cm="1">
        <f t="array" ref="G45">INDEX(GMW!$A$2:$LR$60,MATCH(1,(GMW!$LQ$2:$LQ$60=G$3)*(GMW!$LP$2:$LP$60=G$4)*(GMW!$LR$2:$LR$60=G$1),0),$B45-1966)</f>
        <v>316.88499999999999</v>
      </c>
      <c r="H45" s="5" cm="1">
        <f t="array" ref="H45">INDEX(GMW!$A$2:$LR$60,MATCH(1,(GMW!$LQ$2:$LQ$60=H$3)*(GMW!$LP$2:$LP$60=H$4)*(GMW!$LR$2:$LR$60=H$1),0),$B45-1966)</f>
        <v>282.38299999999998</v>
      </c>
      <c r="I45" s="5" cm="1">
        <f t="array" ref="I45">INDEX(GMW!$A$2:$LR$60,MATCH(1,(GMW!$LQ$2:$LQ$60=I$3)*(GMW!$LP$2:$LP$60=I$4)*(GMW!$LR$2:$LR$60=I$1),0),$B45-1966)</f>
        <v>222828</v>
      </c>
    </row>
    <row r="46" spans="1:9" x14ac:dyDescent="0.25">
      <c r="A46" s="5">
        <f t="shared" si="2"/>
        <v>1982</v>
      </c>
      <c r="B46" s="5">
        <f t="shared" si="1"/>
        <v>2012</v>
      </c>
      <c r="C46" s="5" cm="1">
        <f t="array" ref="C46">INDEX(GMW!$A$2:$LR$60,MATCH(1,(GMW!$LQ$2:$LQ$60=C$3)*(GMW!$LP$2:$LP$60=C$4)*(GMW!$LR$2:$LR$60=C$1),0),$B46-1966)</f>
        <v>244317</v>
      </c>
      <c r="D46" s="5" cm="1">
        <f t="array" ref="D46">INDEX(GMW!$A$2:$LR$60,MATCH(1,(GMW!$LQ$2:$LQ$60=D$3)*(GMW!$LP$2:$LP$60=D$4)*(GMW!$LR$2:$LR$60=D$1),0),$B46-1966)</f>
        <v>1825.95</v>
      </c>
      <c r="E46" s="5" cm="1">
        <f t="array" ref="E46">INDEX(GMW!$A$2:$LR$60,MATCH(1,(GMW!$LQ$2:$LQ$60=E$3)*(GMW!$LP$2:$LP$60=E$4)*(GMW!$LR$2:$LR$60=E$1),0),$B46-1966)</f>
        <v>74635.23</v>
      </c>
      <c r="F46" s="5" cm="1">
        <f t="array" ref="F46">INDEX(GMW!$A$2:$LR$60,MATCH(1,(GMW!$LQ$2:$LQ$60=F$3)*(GMW!$LP$2:$LP$60=F$4)*(GMW!$LR$2:$LR$60=F$1),0),$B46-1966)</f>
        <v>419.71899999999999</v>
      </c>
      <c r="G46" s="5" cm="1">
        <f t="array" ref="G46">INDEX(GMW!$A$2:$LR$60,MATCH(1,(GMW!$LQ$2:$LQ$60=G$3)*(GMW!$LP$2:$LP$60=G$4)*(GMW!$LR$2:$LR$60=G$1),0),$B46-1966)</f>
        <v>318.78199999999998</v>
      </c>
      <c r="H46" s="5" cm="1">
        <f t="array" ref="H46">INDEX(GMW!$A$2:$LR$60,MATCH(1,(GMW!$LQ$2:$LQ$60=H$3)*(GMW!$LP$2:$LP$60=H$4)*(GMW!$LR$2:$LR$60=H$1),0),$B46-1966)</f>
        <v>281.56</v>
      </c>
      <c r="I46" s="5" cm="1">
        <f t="array" ref="I46">INDEX(GMW!$A$2:$LR$60,MATCH(1,(GMW!$LQ$2:$LQ$60=I$3)*(GMW!$LP$2:$LP$60=I$4)*(GMW!$LR$2:$LR$60=I$1),0),$B46-1966)</f>
        <v>220771.8</v>
      </c>
    </row>
    <row r="47" spans="1:9" x14ac:dyDescent="0.25">
      <c r="A47" s="5">
        <f t="shared" si="2"/>
        <v>1983</v>
      </c>
      <c r="B47" s="5">
        <f t="shared" si="1"/>
        <v>2013</v>
      </c>
      <c r="C47" s="5" cm="1">
        <f t="array" ref="C47">INDEX(GMW!$A$2:$LR$60,MATCH(1,(GMW!$LQ$2:$LQ$60=C$3)*(GMW!$LP$2:$LP$60=C$4)*(GMW!$LR$2:$LR$60=C$1),0),$B47-1966)</f>
        <v>249032</v>
      </c>
      <c r="D47" s="5" cm="1">
        <f t="array" ref="D47">INDEX(GMW!$A$2:$LR$60,MATCH(1,(GMW!$LQ$2:$LQ$60=D$3)*(GMW!$LP$2:$LP$60=D$4)*(GMW!$LR$2:$LR$60=D$1),0),$B47-1966)</f>
        <v>1850.0250000000001</v>
      </c>
      <c r="E47" s="5" cm="1">
        <f t="array" ref="E47">INDEX(GMW!$A$2:$LR$60,MATCH(1,(GMW!$LQ$2:$LQ$60=E$3)*(GMW!$LP$2:$LP$60=E$4)*(GMW!$LR$2:$LR$60=E$1),0),$B47-1966)</f>
        <v>75168.800000000003</v>
      </c>
      <c r="F47" s="5" cm="1">
        <f t="array" ref="F47">INDEX(GMW!$A$2:$LR$60,MATCH(1,(GMW!$LQ$2:$LQ$60=F$3)*(GMW!$LP$2:$LP$60=F$4)*(GMW!$LR$2:$LR$60=F$1),0),$B47-1966)</f>
        <v>423.59339999999997</v>
      </c>
      <c r="G47" s="5" cm="1">
        <f t="array" ref="G47">INDEX(GMW!$A$2:$LR$60,MATCH(1,(GMW!$LQ$2:$LQ$60=G$3)*(GMW!$LP$2:$LP$60=G$4)*(GMW!$LR$2:$LR$60=G$1),0),$B47-1966)</f>
        <v>320.00700000000001</v>
      </c>
      <c r="H47" s="5" cm="1">
        <f t="array" ref="H47">INDEX(GMW!$A$2:$LR$60,MATCH(1,(GMW!$LQ$2:$LQ$60=H$3)*(GMW!$LP$2:$LP$60=H$4)*(GMW!$LR$2:$LR$60=H$1),0),$B47-1966)</f>
        <v>282.34899999999999</v>
      </c>
      <c r="I47" s="5" cm="1">
        <f t="array" ref="I47">INDEX(GMW!$A$2:$LR$60,MATCH(1,(GMW!$LQ$2:$LQ$60=I$3)*(GMW!$LP$2:$LP$60=I$4)*(GMW!$LR$2:$LR$60=I$1),0),$B47-1966)</f>
        <v>224379.8</v>
      </c>
    </row>
    <row r="48" spans="1:9" x14ac:dyDescent="0.25">
      <c r="A48" s="5">
        <f t="shared" si="2"/>
        <v>1983</v>
      </c>
      <c r="B48" s="5">
        <f>+B47+1</f>
        <v>2014</v>
      </c>
      <c r="C48" s="5" cm="1">
        <f t="array" ref="C48">INDEX(GMW!$A$2:$LR$60,MATCH(1,(GMW!$LQ$2:$LQ$60=C$3)*(GMW!$LP$2:$LP$60=C$4)*(GMW!$LR$2:$LR$60=C$1),0),$B48-1966)</f>
        <v>250761</v>
      </c>
      <c r="D48" s="5" cm="1">
        <f t="array" ref="D48">INDEX(GMW!$A$2:$LR$60,MATCH(1,(GMW!$LQ$2:$LQ$60=D$3)*(GMW!$LP$2:$LP$60=D$4)*(GMW!$LR$2:$LR$60=D$1),0),$B48-1966)</f>
        <v>1892.125</v>
      </c>
      <c r="E48" s="5" cm="1">
        <f t="array" ref="E48">INDEX(GMW!$A$2:$LR$60,MATCH(1,(GMW!$LQ$2:$LQ$60=E$3)*(GMW!$LP$2:$LP$60=E$4)*(GMW!$LR$2:$LR$60=E$1),0),$B48-1966)</f>
        <v>75743.88</v>
      </c>
      <c r="F48" s="5" cm="1">
        <f t="array" ref="F48">INDEX(GMW!$A$2:$LR$60,MATCH(1,(GMW!$LQ$2:$LQ$60=F$3)*(GMW!$LP$2:$LP$60=F$4)*(GMW!$LR$2:$LR$60=F$1),0),$B48-1966)</f>
        <v>428.00150000000002</v>
      </c>
      <c r="G48" s="5" cm="1">
        <f t="array" ref="G48">INDEX(GMW!$A$2:$LR$60,MATCH(1,(GMW!$LQ$2:$LQ$60=G$3)*(GMW!$LP$2:$LP$60=G$4)*(GMW!$LR$2:$LR$60=G$1),0),$B48-1966)</f>
        <v>320.18200000000002</v>
      </c>
      <c r="H48" s="5" cm="1">
        <f t="array" ref="H48">INDEX(GMW!$A$2:$LR$60,MATCH(1,(GMW!$LQ$2:$LQ$60=H$3)*(GMW!$LP$2:$LP$60=H$4)*(GMW!$LR$2:$LR$60=H$1),0),$B48-1966)</f>
        <v>282.01100000000002</v>
      </c>
      <c r="I48" s="5" cm="1">
        <f t="array" ref="I48">INDEX(GMW!$A$2:$LR$60,MATCH(1,(GMW!$LQ$2:$LQ$60=I$3)*(GMW!$LP$2:$LP$60=I$4)*(GMW!$LR$2:$LR$60=I$1),0),$B48-1966)</f>
        <v>228806.3</v>
      </c>
    </row>
    <row r="49" spans="1:9" x14ac:dyDescent="0.25">
      <c r="A49" s="5">
        <f t="shared" si="2"/>
        <v>1983</v>
      </c>
      <c r="B49" s="5">
        <f t="shared" ref="B49:B112" si="3">+B48+1</f>
        <v>2015</v>
      </c>
      <c r="C49" s="5" cm="1">
        <f t="array" ref="C49">INDEX(GMW!$A$2:$LR$60,MATCH(1,(GMW!$LQ$2:$LQ$60=C$3)*(GMW!$LP$2:$LP$60=C$4)*(GMW!$LR$2:$LR$60=C$1),0),$B49-1966)</f>
        <v>253655</v>
      </c>
      <c r="D49" s="5" cm="1">
        <f t="array" ref="D49">INDEX(GMW!$A$2:$LR$60,MATCH(1,(GMW!$LQ$2:$LQ$60=D$3)*(GMW!$LP$2:$LP$60=D$4)*(GMW!$LR$2:$LR$60=D$1),0),$B49-1966)</f>
        <v>1929.925</v>
      </c>
      <c r="E49" s="5" cm="1">
        <f t="array" ref="E49">INDEX(GMW!$A$2:$LR$60,MATCH(1,(GMW!$LQ$2:$LQ$60=E$3)*(GMW!$LP$2:$LP$60=E$4)*(GMW!$LR$2:$LR$60=E$1),0),$B49-1966)</f>
        <v>76764.23</v>
      </c>
      <c r="F49" s="5" cm="1">
        <f t="array" ref="F49">INDEX(GMW!$A$2:$LR$60,MATCH(1,(GMW!$LQ$2:$LQ$60=F$3)*(GMW!$LP$2:$LP$60=F$4)*(GMW!$LR$2:$LR$60=F$1),0),$B49-1966)</f>
        <v>427.01679999999999</v>
      </c>
      <c r="G49" s="5" cm="1">
        <f t="array" ref="G49">INDEX(GMW!$A$2:$LR$60,MATCH(1,(GMW!$LQ$2:$LQ$60=G$3)*(GMW!$LP$2:$LP$60=G$4)*(GMW!$LR$2:$LR$60=G$1),0),$B49-1966)</f>
        <v>320.69600000000003</v>
      </c>
      <c r="H49" s="5" cm="1">
        <f t="array" ref="H49">INDEX(GMW!$A$2:$LR$60,MATCH(1,(GMW!$LQ$2:$LQ$60=H$3)*(GMW!$LP$2:$LP$60=H$4)*(GMW!$LR$2:$LR$60=H$1),0),$B49-1966)</f>
        <v>287.26100000000002</v>
      </c>
      <c r="I49" s="5" cm="1">
        <f t="array" ref="I49">INDEX(GMW!$A$2:$LR$60,MATCH(1,(GMW!$LQ$2:$LQ$60=I$3)*(GMW!$LP$2:$LP$60=I$4)*(GMW!$LR$2:$LR$60=I$1),0),$B49-1966)</f>
        <v>231376.8</v>
      </c>
    </row>
    <row r="50" spans="1:9" x14ac:dyDescent="0.25">
      <c r="A50" s="5">
        <f t="shared" si="2"/>
        <v>1983</v>
      </c>
      <c r="B50" s="5">
        <f t="shared" si="3"/>
        <v>2016</v>
      </c>
      <c r="C50" s="5" cm="1">
        <f t="array" ref="C50">INDEX(GMW!$A$2:$LR$60,MATCH(1,(GMW!$LQ$2:$LQ$60=C$3)*(GMW!$LP$2:$LP$60=C$4)*(GMW!$LR$2:$LR$60=C$1),0),$B50-1966)</f>
        <v>255533</v>
      </c>
      <c r="D50" s="5" cm="1">
        <f t="array" ref="D50">INDEX(GMW!$A$2:$LR$60,MATCH(1,(GMW!$LQ$2:$LQ$60=D$3)*(GMW!$LP$2:$LP$60=D$4)*(GMW!$LR$2:$LR$60=D$1),0),$B50-1966)</f>
        <v>1970.2</v>
      </c>
      <c r="E50" s="5" cm="1">
        <f t="array" ref="E50">INDEX(GMW!$A$2:$LR$60,MATCH(1,(GMW!$LQ$2:$LQ$60=E$3)*(GMW!$LP$2:$LP$60=E$4)*(GMW!$LR$2:$LR$60=E$1),0),$B50-1966)</f>
        <v>77307.77</v>
      </c>
      <c r="F50" s="5" cm="1">
        <f t="array" ref="F50">INDEX(GMW!$A$2:$LR$60,MATCH(1,(GMW!$LQ$2:$LQ$60=F$3)*(GMW!$LP$2:$LP$60=F$4)*(GMW!$LR$2:$LR$60=F$1),0),$B50-1966)</f>
        <v>432.93419999999998</v>
      </c>
      <c r="G50" s="5" cm="1">
        <f t="array" ref="G50">INDEX(GMW!$A$2:$LR$60,MATCH(1,(GMW!$LQ$2:$LQ$60=G$3)*(GMW!$LP$2:$LP$60=G$4)*(GMW!$LR$2:$LR$60=G$1),0),$B50-1966)</f>
        <v>322.69200000000001</v>
      </c>
      <c r="H50" s="5" cm="1">
        <f t="array" ref="H50">INDEX(GMW!$A$2:$LR$60,MATCH(1,(GMW!$LQ$2:$LQ$60=H$3)*(GMW!$LP$2:$LP$60=H$4)*(GMW!$LR$2:$LR$60=H$1),0),$B50-1966)</f>
        <v>293.63</v>
      </c>
      <c r="I50" s="5" cm="1">
        <f t="array" ref="I50">INDEX(GMW!$A$2:$LR$60,MATCH(1,(GMW!$LQ$2:$LQ$60=I$3)*(GMW!$LP$2:$LP$60=I$4)*(GMW!$LR$2:$LR$60=I$1),0),$B50-1966)</f>
        <v>234253.3</v>
      </c>
    </row>
    <row r="51" spans="1:9" x14ac:dyDescent="0.25">
      <c r="A51" s="5">
        <f t="shared" si="2"/>
        <v>1984</v>
      </c>
      <c r="B51" s="5">
        <f t="shared" si="3"/>
        <v>2017</v>
      </c>
      <c r="C51" s="5" cm="1">
        <f t="array" ref="C51">INDEX(GMW!$A$2:$LR$60,MATCH(1,(GMW!$LQ$2:$LQ$60=C$3)*(GMW!$LP$2:$LP$60=C$4)*(GMW!$LR$2:$LR$60=C$1),0),$B51-1966)</f>
        <v>257683</v>
      </c>
      <c r="D51" s="5" cm="1">
        <f t="array" ref="D51">INDEX(GMW!$A$2:$LR$60,MATCH(1,(GMW!$LQ$2:$LQ$60=D$3)*(GMW!$LP$2:$LP$60=D$4)*(GMW!$LR$2:$LR$60=D$1),0),$B51-1966)</f>
        <v>2008.7</v>
      </c>
      <c r="E51" s="5" cm="1">
        <f t="array" ref="E51">INDEX(GMW!$A$2:$LR$60,MATCH(1,(GMW!$LQ$2:$LQ$60=E$3)*(GMW!$LP$2:$LP$60=E$4)*(GMW!$LR$2:$LR$60=E$1),0),$B51-1966)</f>
        <v>78032.58</v>
      </c>
      <c r="F51" s="5" cm="1">
        <f t="array" ref="F51">INDEX(GMW!$A$2:$LR$60,MATCH(1,(GMW!$LQ$2:$LQ$60=F$3)*(GMW!$LP$2:$LP$60=F$4)*(GMW!$LR$2:$LR$60=F$1),0),$B51-1966)</f>
        <v>438.63990000000001</v>
      </c>
      <c r="G51" s="5" cm="1">
        <f t="array" ref="G51">INDEX(GMW!$A$2:$LR$60,MATCH(1,(GMW!$LQ$2:$LQ$60=G$3)*(GMW!$LP$2:$LP$60=G$4)*(GMW!$LR$2:$LR$60=G$1),0),$B51-1966)</f>
        <v>324.12900000000002</v>
      </c>
      <c r="H51" s="5" cm="1">
        <f t="array" ref="H51">INDEX(GMW!$A$2:$LR$60,MATCH(1,(GMW!$LQ$2:$LQ$60=H$3)*(GMW!$LP$2:$LP$60=H$4)*(GMW!$LR$2:$LR$60=H$1),0),$B51-1966)</f>
        <v>293.05200000000002</v>
      </c>
      <c r="I51" s="5" cm="1">
        <f t="array" ref="I51">INDEX(GMW!$A$2:$LR$60,MATCH(1,(GMW!$LQ$2:$LQ$60=I$3)*(GMW!$LP$2:$LP$60=I$4)*(GMW!$LR$2:$LR$60=I$1),0),$B51-1966)</f>
        <v>238310.5</v>
      </c>
    </row>
    <row r="52" spans="1:9" x14ac:dyDescent="0.25">
      <c r="A52" s="5">
        <f t="shared" si="2"/>
        <v>1984</v>
      </c>
      <c r="B52" s="5">
        <f t="shared" si="3"/>
        <v>2018</v>
      </c>
      <c r="C52" s="5" cm="1">
        <f t="array" ref="C52">INDEX(GMW!$A$2:$LR$60,MATCH(1,(GMW!$LQ$2:$LQ$60=C$3)*(GMW!$LP$2:$LP$60=C$4)*(GMW!$LR$2:$LR$60=C$1),0),$B52-1966)</f>
        <v>255100</v>
      </c>
      <c r="D52" s="5" cm="1">
        <f t="array" ref="D52">INDEX(GMW!$A$2:$LR$60,MATCH(1,(GMW!$LQ$2:$LQ$60=D$3)*(GMW!$LP$2:$LP$60=D$4)*(GMW!$LR$2:$LR$60=D$1),0),$B52-1966)</f>
        <v>2043.425</v>
      </c>
      <c r="E52" s="5" cm="1">
        <f t="array" ref="E52">INDEX(GMW!$A$2:$LR$60,MATCH(1,(GMW!$LQ$2:$LQ$60=E$3)*(GMW!$LP$2:$LP$60=E$4)*(GMW!$LR$2:$LR$60=E$1),0),$B52-1966)</f>
        <v>79658.95</v>
      </c>
      <c r="F52" s="5" cm="1">
        <f t="array" ref="F52">INDEX(GMW!$A$2:$LR$60,MATCH(1,(GMW!$LQ$2:$LQ$60=F$3)*(GMW!$LP$2:$LP$60=F$4)*(GMW!$LR$2:$LR$60=F$1),0),$B52-1966)</f>
        <v>431.80220000000003</v>
      </c>
      <c r="G52" s="5" cm="1">
        <f t="array" ref="G52">INDEX(GMW!$A$2:$LR$60,MATCH(1,(GMW!$LQ$2:$LQ$60=G$3)*(GMW!$LP$2:$LP$60=G$4)*(GMW!$LR$2:$LR$60=G$1),0),$B52-1966)</f>
        <v>325.67200000000003</v>
      </c>
      <c r="H52" s="5" cm="1">
        <f t="array" ref="H52">INDEX(GMW!$A$2:$LR$60,MATCH(1,(GMW!$LQ$2:$LQ$60=H$3)*(GMW!$LP$2:$LP$60=H$4)*(GMW!$LR$2:$LR$60=H$1),0),$B52-1966)</f>
        <v>293.99799999999999</v>
      </c>
      <c r="I52" s="5" cm="1">
        <f t="array" ref="I52">INDEX(GMW!$A$2:$LR$60,MATCH(1,(GMW!$LQ$2:$LQ$60=I$3)*(GMW!$LP$2:$LP$60=I$4)*(GMW!$LR$2:$LR$60=I$1),0),$B52-1966)</f>
        <v>242935.3</v>
      </c>
    </row>
    <row r="53" spans="1:9" x14ac:dyDescent="0.25">
      <c r="A53" s="5">
        <f t="shared" si="2"/>
        <v>1984</v>
      </c>
      <c r="B53" s="5">
        <f t="shared" si="3"/>
        <v>2019</v>
      </c>
      <c r="C53" s="5" cm="1">
        <f t="array" ref="C53">INDEX(GMW!$A$2:$LR$60,MATCH(1,(GMW!$LQ$2:$LQ$60=C$3)*(GMW!$LP$2:$LP$60=C$4)*(GMW!$LR$2:$LR$60=C$1),0),$B53-1966)</f>
        <v>256975</v>
      </c>
      <c r="D53" s="5" cm="1">
        <f t="array" ref="D53">INDEX(GMW!$A$2:$LR$60,MATCH(1,(GMW!$LQ$2:$LQ$60=D$3)*(GMW!$LP$2:$LP$60=D$4)*(GMW!$LR$2:$LR$60=D$1),0),$B53-1966)</f>
        <v>2063.125</v>
      </c>
      <c r="E53" s="5" cm="1">
        <f t="array" ref="E53">INDEX(GMW!$A$2:$LR$60,MATCH(1,(GMW!$LQ$2:$LQ$60=E$3)*(GMW!$LP$2:$LP$60=E$4)*(GMW!$LR$2:$LR$60=E$1),0),$B53-1966)</f>
        <v>80246.33</v>
      </c>
      <c r="F53" s="5" cm="1">
        <f t="array" ref="F53">INDEX(GMW!$A$2:$LR$60,MATCH(1,(GMW!$LQ$2:$LQ$60=F$3)*(GMW!$LP$2:$LP$60=F$4)*(GMW!$LR$2:$LR$60=F$1),0),$B53-1966)</f>
        <v>443.50810000000001</v>
      </c>
      <c r="G53" s="5" cm="1">
        <f t="array" ref="G53">INDEX(GMW!$A$2:$LR$60,MATCH(1,(GMW!$LQ$2:$LQ$60=G$3)*(GMW!$LP$2:$LP$60=G$4)*(GMW!$LR$2:$LR$60=G$1),0),$B53-1966)</f>
        <v>327.77699999999999</v>
      </c>
      <c r="H53" s="5" cm="1">
        <f t="array" ref="H53">INDEX(GMW!$A$2:$LR$60,MATCH(1,(GMW!$LQ$2:$LQ$60=H$3)*(GMW!$LP$2:$LP$60=H$4)*(GMW!$LR$2:$LR$60=H$1),0),$B53-1966)</f>
        <v>297.459</v>
      </c>
      <c r="I53" s="5" cm="1">
        <f t="array" ref="I53">INDEX(GMW!$A$2:$LR$60,MATCH(1,(GMW!$LQ$2:$LQ$60=I$3)*(GMW!$LP$2:$LP$60=I$4)*(GMW!$LR$2:$LR$60=I$1),0),$B53-1966)</f>
        <v>243979.8</v>
      </c>
    </row>
    <row r="54" spans="1:9" x14ac:dyDescent="0.25">
      <c r="A54" s="5">
        <f t="shared" si="2"/>
        <v>1984</v>
      </c>
      <c r="B54" s="5">
        <f t="shared" si="3"/>
        <v>2020</v>
      </c>
      <c r="C54" s="5" cm="1">
        <f t="array" ref="C54">INDEX(GMW!$A$2:$LR$60,MATCH(1,(GMW!$LQ$2:$LQ$60=C$3)*(GMW!$LP$2:$LP$60=C$4)*(GMW!$LR$2:$LR$60=C$1),0),$B54-1966)</f>
        <v>261627</v>
      </c>
      <c r="D54" s="5" cm="1">
        <f t="array" ref="D54">INDEX(GMW!$A$2:$LR$60,MATCH(1,(GMW!$LQ$2:$LQ$60=D$3)*(GMW!$LP$2:$LP$60=D$4)*(GMW!$LR$2:$LR$60=D$1),0),$B54-1966)</f>
        <v>2080.0500000000002</v>
      </c>
      <c r="E54" s="5" cm="1">
        <f t="array" ref="E54">INDEX(GMW!$A$2:$LR$60,MATCH(1,(GMW!$LQ$2:$LQ$60=E$3)*(GMW!$LP$2:$LP$60=E$4)*(GMW!$LR$2:$LR$60=E$1),0),$B54-1966)</f>
        <v>80542.25</v>
      </c>
      <c r="F54" s="5" cm="1">
        <f t="array" ref="F54">INDEX(GMW!$A$2:$LR$60,MATCH(1,(GMW!$LQ$2:$LQ$60=F$3)*(GMW!$LP$2:$LP$60=F$4)*(GMW!$LR$2:$LR$60=F$1),0),$B54-1966)</f>
        <v>447.226</v>
      </c>
      <c r="G54" s="5" cm="1">
        <f t="array" ref="G54">INDEX(GMW!$A$2:$LR$60,MATCH(1,(GMW!$LQ$2:$LQ$60=G$3)*(GMW!$LP$2:$LP$60=G$4)*(GMW!$LR$2:$LR$60=G$1),0),$B54-1966)</f>
        <v>327.47500000000002</v>
      </c>
      <c r="H54" s="5" cm="1">
        <f t="array" ref="H54">INDEX(GMW!$A$2:$LR$60,MATCH(1,(GMW!$LQ$2:$LQ$60=H$3)*(GMW!$LP$2:$LP$60=H$4)*(GMW!$LR$2:$LR$60=H$1),0),$B54-1966)</f>
        <v>297.50700000000001</v>
      </c>
      <c r="I54" s="5" cm="1">
        <f t="array" ref="I54">INDEX(GMW!$A$2:$LR$60,MATCH(1,(GMW!$LQ$2:$LQ$60=I$3)*(GMW!$LP$2:$LP$60=I$4)*(GMW!$LR$2:$LR$60=I$1),0),$B54-1966)</f>
        <v>247787.5</v>
      </c>
    </row>
    <row r="55" spans="1:9" x14ac:dyDescent="0.25">
      <c r="A55" s="5">
        <f t="shared" si="2"/>
        <v>1985</v>
      </c>
      <c r="B55" s="5">
        <f t="shared" si="3"/>
        <v>2021</v>
      </c>
      <c r="C55" s="5" cm="1">
        <f t="array" ref="C55">INDEX(GMW!$A$2:$LR$60,MATCH(1,(GMW!$LQ$2:$LQ$60=C$3)*(GMW!$LP$2:$LP$60=C$4)*(GMW!$LR$2:$LR$60=C$1),0),$B55-1966)</f>
        <v>264127</v>
      </c>
      <c r="D55" s="5" cm="1">
        <f t="array" ref="D55">INDEX(GMW!$A$2:$LR$60,MATCH(1,(GMW!$LQ$2:$LQ$60=D$3)*(GMW!$LP$2:$LP$60=D$4)*(GMW!$LR$2:$LR$60=D$1),0),$B55-1966)</f>
        <v>2100.1999999999998</v>
      </c>
      <c r="E55" s="5" cm="1">
        <f t="array" ref="E55">INDEX(GMW!$A$2:$LR$60,MATCH(1,(GMW!$LQ$2:$LQ$60=E$3)*(GMW!$LP$2:$LP$60=E$4)*(GMW!$LR$2:$LR$60=E$1),0),$B55-1966)</f>
        <v>81627.42</v>
      </c>
      <c r="F55" s="5" cm="1">
        <f t="array" ref="F55">INDEX(GMW!$A$2:$LR$60,MATCH(1,(GMW!$LQ$2:$LQ$60=F$3)*(GMW!$LP$2:$LP$60=F$4)*(GMW!$LR$2:$LR$60=F$1),0),$B55-1966)</f>
        <v>444.87009999999998</v>
      </c>
      <c r="G55" s="5" cm="1">
        <f t="array" ref="G55">INDEX(GMW!$A$2:$LR$60,MATCH(1,(GMW!$LQ$2:$LQ$60=G$3)*(GMW!$LP$2:$LP$60=G$4)*(GMW!$LR$2:$LR$60=G$1),0),$B55-1966)</f>
        <v>328.29599999999999</v>
      </c>
      <c r="H55" s="5" cm="1">
        <f t="array" ref="H55">INDEX(GMW!$A$2:$LR$60,MATCH(1,(GMW!$LQ$2:$LQ$60=H$3)*(GMW!$LP$2:$LP$60=H$4)*(GMW!$LR$2:$LR$60=H$1),0),$B55-1966)</f>
        <v>299.20600000000002</v>
      </c>
      <c r="I55" s="5" cm="1">
        <f t="array" ref="I55">INDEX(GMW!$A$2:$LR$60,MATCH(1,(GMW!$LQ$2:$LQ$60=I$3)*(GMW!$LP$2:$LP$60=I$4)*(GMW!$LR$2:$LR$60=I$1),0),$B55-1966)</f>
        <v>251594.5</v>
      </c>
    </row>
    <row r="56" spans="1:9" x14ac:dyDescent="0.25">
      <c r="A56" s="5">
        <f t="shared" si="2"/>
        <v>1985</v>
      </c>
      <c r="B56" s="5">
        <f t="shared" si="3"/>
        <v>2022</v>
      </c>
      <c r="C56" s="5" cm="1">
        <f t="array" ref="C56">INDEX(GMW!$A$2:$LR$60,MATCH(1,(GMW!$LQ$2:$LQ$60=C$3)*(GMW!$LP$2:$LP$60=C$4)*(GMW!$LR$2:$LR$60=C$1),0),$B56-1966)</f>
        <v>269787</v>
      </c>
      <c r="D56" s="5" cm="1">
        <f t="array" ref="D56">INDEX(GMW!$A$2:$LR$60,MATCH(1,(GMW!$LQ$2:$LQ$60=D$3)*(GMW!$LP$2:$LP$60=D$4)*(GMW!$LR$2:$LR$60=D$1),0),$B56-1966)</f>
        <v>2118.6999999999998</v>
      </c>
      <c r="E56" s="5" cm="1">
        <f t="array" ref="E56">INDEX(GMW!$A$2:$LR$60,MATCH(1,(GMW!$LQ$2:$LQ$60=E$3)*(GMW!$LP$2:$LP$60=E$4)*(GMW!$LR$2:$LR$60=E$1),0),$B56-1966)</f>
        <v>83146.850000000006</v>
      </c>
      <c r="F56" s="5" cm="1">
        <f t="array" ref="F56">INDEX(GMW!$A$2:$LR$60,MATCH(1,(GMW!$LQ$2:$LQ$60=F$3)*(GMW!$LP$2:$LP$60=F$4)*(GMW!$LR$2:$LR$60=F$1),0),$B56-1966)</f>
        <v>449.20460000000003</v>
      </c>
      <c r="G56" s="5" cm="1">
        <f t="array" ref="G56">INDEX(GMW!$A$2:$LR$60,MATCH(1,(GMW!$LQ$2:$LQ$60=G$3)*(GMW!$LP$2:$LP$60=G$4)*(GMW!$LR$2:$LR$60=G$1),0),$B56-1966)</f>
        <v>331.02699999999999</v>
      </c>
      <c r="H56" s="5" cm="1">
        <f t="array" ref="H56">INDEX(GMW!$A$2:$LR$60,MATCH(1,(GMW!$LQ$2:$LQ$60=H$3)*(GMW!$LP$2:$LP$60=H$4)*(GMW!$LR$2:$LR$60=H$1),0),$B56-1966)</f>
        <v>303.16000000000003</v>
      </c>
      <c r="I56" s="5" cm="1">
        <f t="array" ref="I56">INDEX(GMW!$A$2:$LR$60,MATCH(1,(GMW!$LQ$2:$LQ$60=I$3)*(GMW!$LP$2:$LP$60=I$4)*(GMW!$LR$2:$LR$60=I$1),0),$B56-1966)</f>
        <v>252403.8</v>
      </c>
    </row>
    <row r="57" spans="1:9" x14ac:dyDescent="0.25">
      <c r="A57" s="5">
        <f t="shared" si="2"/>
        <v>1985</v>
      </c>
      <c r="B57" s="5">
        <f t="shared" si="3"/>
        <v>2023</v>
      </c>
      <c r="C57" s="5" cm="1">
        <f t="array" ref="C57">INDEX(GMW!$A$2:$LR$60,MATCH(1,(GMW!$LQ$2:$LQ$60=C$3)*(GMW!$LP$2:$LP$60=C$4)*(GMW!$LR$2:$LR$60=C$1),0),$B57-1966)</f>
        <v>269737</v>
      </c>
      <c r="D57" s="5" cm="1">
        <f t="array" ref="D57">INDEX(GMW!$A$2:$LR$60,MATCH(1,(GMW!$LQ$2:$LQ$60=D$3)*(GMW!$LP$2:$LP$60=D$4)*(GMW!$LR$2:$LR$60=D$1),0),$B57-1966)</f>
        <v>2151.0500000000002</v>
      </c>
      <c r="E57" s="5" cm="1">
        <f t="array" ref="E57">INDEX(GMW!$A$2:$LR$60,MATCH(1,(GMW!$LQ$2:$LQ$60=E$3)*(GMW!$LP$2:$LP$60=E$4)*(GMW!$LR$2:$LR$60=E$1),0),$B57-1966)</f>
        <v>84384.77</v>
      </c>
      <c r="F57" s="5" cm="1">
        <f t="array" ref="F57">INDEX(GMW!$A$2:$LR$60,MATCH(1,(GMW!$LQ$2:$LQ$60=F$3)*(GMW!$LP$2:$LP$60=F$4)*(GMW!$LR$2:$LR$60=F$1),0),$B57-1966)</f>
        <v>455.1404</v>
      </c>
      <c r="G57" s="5" cm="1">
        <f t="array" ref="G57">INDEX(GMW!$A$2:$LR$60,MATCH(1,(GMW!$LQ$2:$LQ$60=G$3)*(GMW!$LP$2:$LP$60=G$4)*(GMW!$LR$2:$LR$60=G$1),0),$B57-1966)</f>
        <v>332.92099999999999</v>
      </c>
      <c r="H57" s="5" cm="1">
        <f t="array" ref="H57">INDEX(GMW!$A$2:$LR$60,MATCH(1,(GMW!$LQ$2:$LQ$60=H$3)*(GMW!$LP$2:$LP$60=H$4)*(GMW!$LR$2:$LR$60=H$1),0),$B57-1966)</f>
        <v>305.58699999999999</v>
      </c>
      <c r="I57" s="5" cm="1">
        <f t="array" ref="I57">INDEX(GMW!$A$2:$LR$60,MATCH(1,(GMW!$LQ$2:$LQ$60=I$3)*(GMW!$LP$2:$LP$60=I$4)*(GMW!$LR$2:$LR$60=I$1),0),$B57-1966)</f>
        <v>255608</v>
      </c>
    </row>
    <row r="58" spans="1:9" x14ac:dyDescent="0.25">
      <c r="A58" s="5">
        <f t="shared" si="2"/>
        <v>1985</v>
      </c>
      <c r="B58" s="5">
        <f t="shared" si="3"/>
        <v>2024</v>
      </c>
      <c r="C58" s="5" cm="1">
        <f t="array" ref="C58">INDEX(GMW!$A$2:$LR$60,MATCH(1,(GMW!$LQ$2:$LQ$60=C$3)*(GMW!$LP$2:$LP$60=C$4)*(GMW!$LR$2:$LR$60=C$1),0),$B58-1966)</f>
        <v>269896</v>
      </c>
      <c r="D58" s="5" cm="1">
        <f t="array" ref="D58">INDEX(GMW!$A$2:$LR$60,MATCH(1,(GMW!$LQ$2:$LQ$60=D$3)*(GMW!$LP$2:$LP$60=D$4)*(GMW!$LR$2:$LR$60=D$1),0),$B58-1966)</f>
        <v>2167.0500000000002</v>
      </c>
      <c r="E58" s="5" cm="1">
        <f t="array" ref="E58">INDEX(GMW!$A$2:$LR$60,MATCH(1,(GMW!$LQ$2:$LQ$60=E$3)*(GMW!$LP$2:$LP$60=E$4)*(GMW!$LR$2:$LR$60=E$1),0),$B58-1966)</f>
        <v>85720.3</v>
      </c>
      <c r="F58" s="5" cm="1">
        <f t="array" ref="F58">INDEX(GMW!$A$2:$LR$60,MATCH(1,(GMW!$LQ$2:$LQ$60=F$3)*(GMW!$LP$2:$LP$60=F$4)*(GMW!$LR$2:$LR$60=F$1),0),$B58-1966)</f>
        <v>457.8</v>
      </c>
      <c r="G58" s="5" cm="1">
        <f t="array" ref="G58">INDEX(GMW!$A$2:$LR$60,MATCH(1,(GMW!$LQ$2:$LQ$60=G$3)*(GMW!$LP$2:$LP$60=G$4)*(GMW!$LR$2:$LR$60=G$1),0),$B58-1966)</f>
        <v>334.60199999999998</v>
      </c>
      <c r="H58" s="5" cm="1">
        <f t="array" ref="H58">INDEX(GMW!$A$2:$LR$60,MATCH(1,(GMW!$LQ$2:$LQ$60=H$3)*(GMW!$LP$2:$LP$60=H$4)*(GMW!$LR$2:$LR$60=H$1),0),$B58-1966)</f>
        <v>307.625</v>
      </c>
      <c r="I58" s="5" cm="1">
        <f t="array" ref="I58">INDEX(GMW!$A$2:$LR$60,MATCH(1,(GMW!$LQ$2:$LQ$60=I$3)*(GMW!$LP$2:$LP$60=I$4)*(GMW!$LR$2:$LR$60=I$1),0),$B58-1966)</f>
        <v>259505</v>
      </c>
    </row>
    <row r="59" spans="1:9" x14ac:dyDescent="0.25">
      <c r="A59" s="5">
        <f t="shared" si="2"/>
        <v>1986</v>
      </c>
      <c r="B59" s="5">
        <f t="shared" si="3"/>
        <v>2025</v>
      </c>
      <c r="C59" s="5" cm="1">
        <f t="array" ref="C59">INDEX(GMW!$A$2:$LR$60,MATCH(1,(GMW!$LQ$2:$LQ$60=C$3)*(GMW!$LP$2:$LP$60=C$4)*(GMW!$LR$2:$LR$60=C$1),0),$B59-1966)</f>
        <v>272720</v>
      </c>
      <c r="D59" s="5" cm="1">
        <f t="array" ref="D59">INDEX(GMW!$A$2:$LR$60,MATCH(1,(GMW!$LQ$2:$LQ$60=D$3)*(GMW!$LP$2:$LP$60=D$4)*(GMW!$LR$2:$LR$60=D$1),0),$B59-1966)</f>
        <v>2187.2750000000001</v>
      </c>
      <c r="E59" s="5" cm="1">
        <f t="array" ref="E59">INDEX(GMW!$A$2:$LR$60,MATCH(1,(GMW!$LQ$2:$LQ$60=E$3)*(GMW!$LP$2:$LP$60=E$4)*(GMW!$LR$2:$LR$60=E$1),0),$B59-1966)</f>
        <v>85758.42</v>
      </c>
      <c r="F59" s="5" cm="1">
        <f t="array" ref="F59">INDEX(GMW!$A$2:$LR$60,MATCH(1,(GMW!$LQ$2:$LQ$60=F$3)*(GMW!$LP$2:$LP$60=F$4)*(GMW!$LR$2:$LR$60=F$1),0),$B59-1966)</f>
        <v>455.28769999999997</v>
      </c>
      <c r="G59" s="5" cm="1">
        <f t="array" ref="G59">INDEX(GMW!$A$2:$LR$60,MATCH(1,(GMW!$LQ$2:$LQ$60=G$3)*(GMW!$LP$2:$LP$60=G$4)*(GMW!$LR$2:$LR$60=G$1),0),$B59-1966)</f>
        <v>335.63600000000002</v>
      </c>
      <c r="H59" s="5" cm="1">
        <f t="array" ref="H59">INDEX(GMW!$A$2:$LR$60,MATCH(1,(GMW!$LQ$2:$LQ$60=H$3)*(GMW!$LP$2:$LP$60=H$4)*(GMW!$LR$2:$LR$60=H$1),0),$B59-1966)</f>
        <v>309.54300000000001</v>
      </c>
      <c r="I59" s="5" cm="1">
        <f t="array" ref="I59">INDEX(GMW!$A$2:$LR$60,MATCH(1,(GMW!$LQ$2:$LQ$60=I$3)*(GMW!$LP$2:$LP$60=I$4)*(GMW!$LR$2:$LR$60=I$1),0),$B59-1966)</f>
        <v>259373.5</v>
      </c>
    </row>
    <row r="60" spans="1:9" x14ac:dyDescent="0.25">
      <c r="A60" s="5">
        <f t="shared" si="2"/>
        <v>1986</v>
      </c>
      <c r="B60" s="5">
        <f t="shared" si="3"/>
        <v>2026</v>
      </c>
      <c r="C60" s="5" cm="1">
        <f t="array" ref="C60">INDEX(GMW!$A$2:$LR$60,MATCH(1,(GMW!$LQ$2:$LQ$60=C$3)*(GMW!$LP$2:$LP$60=C$4)*(GMW!$LR$2:$LR$60=C$1),0),$B60-1966)</f>
        <v>275136</v>
      </c>
      <c r="D60" s="5" cm="1">
        <f t="array" ref="D60">INDEX(GMW!$A$2:$LR$60,MATCH(1,(GMW!$LQ$2:$LQ$60=D$3)*(GMW!$LP$2:$LP$60=D$4)*(GMW!$LR$2:$LR$60=D$1),0),$B60-1966)</f>
        <v>2197.125</v>
      </c>
      <c r="E60" s="5" cm="1">
        <f t="array" ref="E60">INDEX(GMW!$A$2:$LR$60,MATCH(1,(GMW!$LQ$2:$LQ$60=E$3)*(GMW!$LP$2:$LP$60=E$4)*(GMW!$LR$2:$LR$60=E$1),0),$B60-1966)</f>
        <v>86018.4</v>
      </c>
      <c r="F60" s="5" cm="1">
        <f t="array" ref="F60">INDEX(GMW!$A$2:$LR$60,MATCH(1,(GMW!$LQ$2:$LQ$60=F$3)*(GMW!$LP$2:$LP$60=F$4)*(GMW!$LR$2:$LR$60=F$1),0),$B60-1966)</f>
        <v>460.53320000000002</v>
      </c>
      <c r="G60" s="5" cm="1">
        <f t="array" ref="G60">INDEX(GMW!$A$2:$LR$60,MATCH(1,(GMW!$LQ$2:$LQ$60=G$3)*(GMW!$LP$2:$LP$60=G$4)*(GMW!$LR$2:$LR$60=G$1),0),$B60-1966)</f>
        <v>339.31799999999998</v>
      </c>
      <c r="H60" s="5" cm="1">
        <f t="array" ref="H60">INDEX(GMW!$A$2:$LR$60,MATCH(1,(GMW!$LQ$2:$LQ$60=H$3)*(GMW!$LP$2:$LP$60=H$4)*(GMW!$LR$2:$LR$60=H$1),0),$B60-1966)</f>
        <v>311.54399999999998</v>
      </c>
      <c r="I60" s="5" cm="1">
        <f t="array" ref="I60">INDEX(GMW!$A$2:$LR$60,MATCH(1,(GMW!$LQ$2:$LQ$60=I$3)*(GMW!$LP$2:$LP$60=I$4)*(GMW!$LR$2:$LR$60=I$1),0),$B60-1966)</f>
        <v>260864.3</v>
      </c>
    </row>
    <row r="61" spans="1:9" x14ac:dyDescent="0.25">
      <c r="A61" s="5">
        <f t="shared" si="2"/>
        <v>1986</v>
      </c>
      <c r="B61" s="5">
        <f t="shared" si="3"/>
        <v>2027</v>
      </c>
      <c r="C61" s="5" cm="1">
        <f t="array" ref="C61">INDEX(GMW!$A$2:$LR$60,MATCH(1,(GMW!$LQ$2:$LQ$60=C$3)*(GMW!$LP$2:$LP$60=C$4)*(GMW!$LR$2:$LR$60=C$1),0),$B61-1966)</f>
        <v>276863</v>
      </c>
      <c r="D61" s="5" cm="1">
        <f t="array" ref="D61">INDEX(GMW!$A$2:$LR$60,MATCH(1,(GMW!$LQ$2:$LQ$60=D$3)*(GMW!$LP$2:$LP$60=D$4)*(GMW!$LR$2:$LR$60=D$1),0),$B61-1966)</f>
        <v>2218.15</v>
      </c>
      <c r="E61" s="5" cm="1">
        <f t="array" ref="E61">INDEX(GMW!$A$2:$LR$60,MATCH(1,(GMW!$LQ$2:$LQ$60=E$3)*(GMW!$LP$2:$LP$60=E$4)*(GMW!$LR$2:$LR$60=E$1),0),$B61-1966)</f>
        <v>86623.83</v>
      </c>
      <c r="F61" s="5" cm="1">
        <f t="array" ref="F61">INDEX(GMW!$A$2:$LR$60,MATCH(1,(GMW!$LQ$2:$LQ$60=F$3)*(GMW!$LP$2:$LP$60=F$4)*(GMW!$LR$2:$LR$60=F$1),0),$B61-1966)</f>
        <v>463.94740000000002</v>
      </c>
      <c r="G61" s="5" cm="1">
        <f t="array" ref="G61">INDEX(GMW!$A$2:$LR$60,MATCH(1,(GMW!$LQ$2:$LQ$60=G$3)*(GMW!$LP$2:$LP$60=G$4)*(GMW!$LR$2:$LR$60=G$1),0),$B61-1966)</f>
        <v>341.16</v>
      </c>
      <c r="H61" s="5" cm="1">
        <f t="array" ref="H61">INDEX(GMW!$A$2:$LR$60,MATCH(1,(GMW!$LQ$2:$LQ$60=H$3)*(GMW!$LP$2:$LP$60=H$4)*(GMW!$LR$2:$LR$60=H$1),0),$B61-1966)</f>
        <v>314.65499999999997</v>
      </c>
      <c r="I61" s="5" cm="1">
        <f t="array" ref="I61">INDEX(GMW!$A$2:$LR$60,MATCH(1,(GMW!$LQ$2:$LQ$60=I$3)*(GMW!$LP$2:$LP$60=I$4)*(GMW!$LR$2:$LR$60=I$1),0),$B61-1966)</f>
        <v>261192.3</v>
      </c>
    </row>
    <row r="62" spans="1:9" x14ac:dyDescent="0.25">
      <c r="A62" s="5">
        <f t="shared" si="2"/>
        <v>1986</v>
      </c>
      <c r="B62" s="5">
        <f t="shared" si="3"/>
        <v>2028</v>
      </c>
      <c r="C62" s="5" cm="1">
        <f t="array" ref="C62">INDEX(GMW!$A$2:$LR$60,MATCH(1,(GMW!$LQ$2:$LQ$60=C$3)*(GMW!$LP$2:$LP$60=C$4)*(GMW!$LR$2:$LR$60=C$1),0),$B62-1966)</f>
        <v>282193</v>
      </c>
      <c r="D62" s="5" cm="1">
        <f t="array" ref="D62">INDEX(GMW!$A$2:$LR$60,MATCH(1,(GMW!$LQ$2:$LQ$60=D$3)*(GMW!$LP$2:$LP$60=D$4)*(GMW!$LR$2:$LR$60=D$1),0),$B62-1966)</f>
        <v>2230.0500000000002</v>
      </c>
      <c r="E62" s="5" cm="1">
        <f t="array" ref="E62">INDEX(GMW!$A$2:$LR$60,MATCH(1,(GMW!$LQ$2:$LQ$60=E$3)*(GMW!$LP$2:$LP$60=E$4)*(GMW!$LR$2:$LR$60=E$1),0),$B62-1966)</f>
        <v>87631.63</v>
      </c>
      <c r="F62" s="5" cm="1">
        <f t="array" ref="F62">INDEX(GMW!$A$2:$LR$60,MATCH(1,(GMW!$LQ$2:$LQ$60=F$3)*(GMW!$LP$2:$LP$60=F$4)*(GMW!$LR$2:$LR$60=F$1),0),$B62-1966)</f>
        <v>468.512</v>
      </c>
      <c r="G62" s="5" cm="1">
        <f t="array" ref="G62">INDEX(GMW!$A$2:$LR$60,MATCH(1,(GMW!$LQ$2:$LQ$60=G$3)*(GMW!$LP$2:$LP$60=G$4)*(GMW!$LR$2:$LR$60=G$1),0),$B62-1966)</f>
        <v>341.58600000000001</v>
      </c>
      <c r="H62" s="5" cm="1">
        <f t="array" ref="H62">INDEX(GMW!$A$2:$LR$60,MATCH(1,(GMW!$LQ$2:$LQ$60=H$3)*(GMW!$LP$2:$LP$60=H$4)*(GMW!$LR$2:$LR$60=H$1),0),$B62-1966)</f>
        <v>315.94600000000003</v>
      </c>
      <c r="I62" s="5" cm="1">
        <f t="array" ref="I62">INDEX(GMW!$A$2:$LR$60,MATCH(1,(GMW!$LQ$2:$LQ$60=I$3)*(GMW!$LP$2:$LP$60=I$4)*(GMW!$LR$2:$LR$60=I$1),0),$B62-1966)</f>
        <v>259301.5</v>
      </c>
    </row>
    <row r="63" spans="1:9" x14ac:dyDescent="0.25">
      <c r="A63" s="5">
        <f t="shared" si="2"/>
        <v>1987</v>
      </c>
      <c r="B63" s="5">
        <f t="shared" si="3"/>
        <v>2029</v>
      </c>
      <c r="C63" s="5" cm="1">
        <f t="array" ref="C63">INDEX(GMW!$A$2:$LR$60,MATCH(1,(GMW!$LQ$2:$LQ$60=C$3)*(GMW!$LP$2:$LP$60=C$4)*(GMW!$LR$2:$LR$60=C$1),0),$B63-1966)</f>
        <v>284172</v>
      </c>
      <c r="D63" s="5" cm="1">
        <f t="array" ref="D63">INDEX(GMW!$A$2:$LR$60,MATCH(1,(GMW!$LQ$2:$LQ$60=D$3)*(GMW!$LP$2:$LP$60=D$4)*(GMW!$LR$2:$LR$60=D$1),0),$B63-1966)</f>
        <v>2246.6</v>
      </c>
      <c r="E63" s="5" cm="1">
        <f t="array" ref="E63">INDEX(GMW!$A$2:$LR$60,MATCH(1,(GMW!$LQ$2:$LQ$60=E$3)*(GMW!$LP$2:$LP$60=E$4)*(GMW!$LR$2:$LR$60=E$1),0),$B63-1966)</f>
        <v>87931.4</v>
      </c>
      <c r="F63" s="5" cm="1">
        <f t="array" ref="F63">INDEX(GMW!$A$2:$LR$60,MATCH(1,(GMW!$LQ$2:$LQ$60=F$3)*(GMW!$LP$2:$LP$60=F$4)*(GMW!$LR$2:$LR$60=F$1),0),$B63-1966)</f>
        <v>456.73250000000002</v>
      </c>
      <c r="G63" s="5" cm="1">
        <f t="array" ref="G63">INDEX(GMW!$A$2:$LR$60,MATCH(1,(GMW!$LQ$2:$LQ$60=G$3)*(GMW!$LP$2:$LP$60=G$4)*(GMW!$LR$2:$LR$60=G$1),0),$B63-1966)</f>
        <v>341.86700000000002</v>
      </c>
      <c r="H63" s="5" cm="1">
        <f t="array" ref="H63">INDEX(GMW!$A$2:$LR$60,MATCH(1,(GMW!$LQ$2:$LQ$60=H$3)*(GMW!$LP$2:$LP$60=H$4)*(GMW!$LR$2:$LR$60=H$1),0),$B63-1966)</f>
        <v>317.24099999999999</v>
      </c>
      <c r="I63" s="5" cm="1">
        <f t="array" ref="I63">INDEX(GMW!$A$2:$LR$60,MATCH(1,(GMW!$LQ$2:$LQ$60=I$3)*(GMW!$LP$2:$LP$60=I$4)*(GMW!$LR$2:$LR$60=I$1),0),$B63-1966)</f>
        <v>265295</v>
      </c>
    </row>
    <row r="64" spans="1:9" x14ac:dyDescent="0.25">
      <c r="A64" s="5">
        <f t="shared" si="2"/>
        <v>1987</v>
      </c>
      <c r="B64" s="5">
        <f t="shared" si="3"/>
        <v>2030</v>
      </c>
      <c r="C64" s="5" cm="1">
        <f t="array" ref="C64">INDEX(GMW!$A$2:$LR$60,MATCH(1,(GMW!$LQ$2:$LQ$60=C$3)*(GMW!$LP$2:$LP$60=C$4)*(GMW!$LR$2:$LR$60=C$1),0),$B64-1966)</f>
        <v>288385</v>
      </c>
      <c r="D64" s="5" cm="1">
        <f t="array" ref="D64">INDEX(GMW!$A$2:$LR$60,MATCH(1,(GMW!$LQ$2:$LQ$60=D$3)*(GMW!$LP$2:$LP$60=D$4)*(GMW!$LR$2:$LR$60=D$1),0),$B64-1966)</f>
        <v>2270.8249999999998</v>
      </c>
      <c r="E64" s="5" cm="1">
        <f t="array" ref="E64">INDEX(GMW!$A$2:$LR$60,MATCH(1,(GMW!$LQ$2:$LQ$60=E$3)*(GMW!$LP$2:$LP$60=E$4)*(GMW!$LR$2:$LR$60=E$1),0),$B64-1966)</f>
        <v>89458.15</v>
      </c>
      <c r="F64" s="5" cm="1">
        <f t="array" ref="F64">INDEX(GMW!$A$2:$LR$60,MATCH(1,(GMW!$LQ$2:$LQ$60=F$3)*(GMW!$LP$2:$LP$60=F$4)*(GMW!$LR$2:$LR$60=F$1),0),$B64-1966)</f>
        <v>466.99360000000001</v>
      </c>
      <c r="G64" s="5" cm="1">
        <f t="array" ref="G64">INDEX(GMW!$A$2:$LR$60,MATCH(1,(GMW!$LQ$2:$LQ$60=G$3)*(GMW!$LP$2:$LP$60=G$4)*(GMW!$LR$2:$LR$60=G$1),0),$B64-1966)</f>
        <v>346.95699999999999</v>
      </c>
      <c r="H64" s="5" cm="1">
        <f t="array" ref="H64">INDEX(GMW!$A$2:$LR$60,MATCH(1,(GMW!$LQ$2:$LQ$60=H$3)*(GMW!$LP$2:$LP$60=H$4)*(GMW!$LR$2:$LR$60=H$1),0),$B64-1966)</f>
        <v>322.04399999999998</v>
      </c>
      <c r="I64" s="5" cm="1">
        <f t="array" ref="I64">INDEX(GMW!$A$2:$LR$60,MATCH(1,(GMW!$LQ$2:$LQ$60=I$3)*(GMW!$LP$2:$LP$60=I$4)*(GMW!$LR$2:$LR$60=I$1),0),$B64-1966)</f>
        <v>268693.5</v>
      </c>
    </row>
    <row r="65" spans="1:9" x14ac:dyDescent="0.25">
      <c r="A65" s="5">
        <f t="shared" si="2"/>
        <v>1987</v>
      </c>
      <c r="B65" s="5">
        <f t="shared" si="3"/>
        <v>2031</v>
      </c>
      <c r="C65" s="5" cm="1">
        <f t="array" ref="C65">INDEX(GMW!$A$2:$LR$60,MATCH(1,(GMW!$LQ$2:$LQ$60=C$3)*(GMW!$LP$2:$LP$60=C$4)*(GMW!$LR$2:$LR$60=C$1),0),$B65-1966)</f>
        <v>295493</v>
      </c>
      <c r="D65" s="5" cm="1">
        <f t="array" ref="D65">INDEX(GMW!$A$2:$LR$60,MATCH(1,(GMW!$LQ$2:$LQ$60=D$3)*(GMW!$LP$2:$LP$60=D$4)*(GMW!$LR$2:$LR$60=D$1),0),$B65-1966)</f>
        <v>2290.5</v>
      </c>
      <c r="E65" s="5" cm="1">
        <f t="array" ref="E65">INDEX(GMW!$A$2:$LR$60,MATCH(1,(GMW!$LQ$2:$LQ$60=E$3)*(GMW!$LP$2:$LP$60=E$4)*(GMW!$LR$2:$LR$60=E$1),0),$B65-1966)</f>
        <v>91089.55</v>
      </c>
      <c r="F65" s="5" cm="1">
        <f t="array" ref="F65">INDEX(GMW!$A$2:$LR$60,MATCH(1,(GMW!$LQ$2:$LQ$60=F$3)*(GMW!$LP$2:$LP$60=F$4)*(GMW!$LR$2:$LR$60=F$1),0),$B65-1966)</f>
        <v>470.26049999999998</v>
      </c>
      <c r="G65" s="5" cm="1">
        <f t="array" ref="G65">INDEX(GMW!$A$2:$LR$60,MATCH(1,(GMW!$LQ$2:$LQ$60=G$3)*(GMW!$LP$2:$LP$60=G$4)*(GMW!$LR$2:$LR$60=G$1),0),$B65-1966)</f>
        <v>349.29</v>
      </c>
      <c r="H65" s="5" cm="1">
        <f t="array" ref="H65">INDEX(GMW!$A$2:$LR$60,MATCH(1,(GMW!$LQ$2:$LQ$60=H$3)*(GMW!$LP$2:$LP$60=H$4)*(GMW!$LR$2:$LR$60=H$1),0),$B65-1966)</f>
        <v>322.97399999999999</v>
      </c>
      <c r="I65" s="5" cm="1">
        <f t="array" ref="I65">INDEX(GMW!$A$2:$LR$60,MATCH(1,(GMW!$LQ$2:$LQ$60=I$3)*(GMW!$LP$2:$LP$60=I$4)*(GMW!$LR$2:$LR$60=I$1),0),$B65-1966)</f>
        <v>272798.8</v>
      </c>
    </row>
    <row r="66" spans="1:9" x14ac:dyDescent="0.25">
      <c r="A66" s="5">
        <f t="shared" si="2"/>
        <v>1987</v>
      </c>
      <c r="B66" s="5">
        <f t="shared" si="3"/>
        <v>2032</v>
      </c>
      <c r="C66" s="5" cm="1">
        <f t="array" ref="C66">INDEX(GMW!$A$2:$LR$60,MATCH(1,(GMW!$LQ$2:$LQ$60=C$3)*(GMW!$LP$2:$LP$60=C$4)*(GMW!$LR$2:$LR$60=C$1),0),$B66-1966)</f>
        <v>298855</v>
      </c>
      <c r="D66" s="5" cm="1">
        <f t="array" ref="D66">INDEX(GMW!$A$2:$LR$60,MATCH(1,(GMW!$LQ$2:$LQ$60=D$3)*(GMW!$LP$2:$LP$60=D$4)*(GMW!$LR$2:$LR$60=D$1),0),$B66-1966)</f>
        <v>2329.8249999999998</v>
      </c>
      <c r="E66" s="5" cm="1">
        <f t="array" ref="E66">INDEX(GMW!$A$2:$LR$60,MATCH(1,(GMW!$LQ$2:$LQ$60=E$3)*(GMW!$LP$2:$LP$60=E$4)*(GMW!$LR$2:$LR$60=E$1),0),$B66-1966)</f>
        <v>93422.8</v>
      </c>
      <c r="F66" s="5" cm="1">
        <f t="array" ref="F66">INDEX(GMW!$A$2:$LR$60,MATCH(1,(GMW!$LQ$2:$LQ$60=F$3)*(GMW!$LP$2:$LP$60=F$4)*(GMW!$LR$2:$LR$60=F$1),0),$B66-1966)</f>
        <v>477.71480000000003</v>
      </c>
      <c r="G66" s="5" cm="1">
        <f t="array" ref="G66">INDEX(GMW!$A$2:$LR$60,MATCH(1,(GMW!$LQ$2:$LQ$60=G$3)*(GMW!$LP$2:$LP$60=G$4)*(GMW!$LR$2:$LR$60=G$1),0),$B66-1966)</f>
        <v>354.44200000000001</v>
      </c>
      <c r="H66" s="5" cm="1">
        <f t="array" ref="H66">INDEX(GMW!$A$2:$LR$60,MATCH(1,(GMW!$LQ$2:$LQ$60=H$3)*(GMW!$LP$2:$LP$60=H$4)*(GMW!$LR$2:$LR$60=H$1),0),$B66-1966)</f>
        <v>326.44900000000001</v>
      </c>
      <c r="I66" s="5" cm="1">
        <f t="array" ref="I66">INDEX(GMW!$A$2:$LR$60,MATCH(1,(GMW!$LQ$2:$LQ$60=I$3)*(GMW!$LP$2:$LP$60=I$4)*(GMW!$LR$2:$LR$60=I$1),0),$B66-1966)</f>
        <v>276323</v>
      </c>
    </row>
    <row r="67" spans="1:9" x14ac:dyDescent="0.25">
      <c r="A67" s="5">
        <f t="shared" si="2"/>
        <v>1988</v>
      </c>
      <c r="B67" s="5">
        <f t="shared" si="3"/>
        <v>2033</v>
      </c>
      <c r="C67" s="5" cm="1">
        <f t="array" ref="C67">INDEX(GMW!$A$2:$LR$60,MATCH(1,(GMW!$LQ$2:$LQ$60=C$3)*(GMW!$LP$2:$LP$60=C$4)*(GMW!$LR$2:$LR$60=C$1),0),$B67-1966)</f>
        <v>303698</v>
      </c>
      <c r="D67" s="5" cm="1">
        <f t="array" ref="D67">INDEX(GMW!$A$2:$LR$60,MATCH(1,(GMW!$LQ$2:$LQ$60=D$3)*(GMW!$LP$2:$LP$60=D$4)*(GMW!$LR$2:$LR$60=D$1),0),$B67-1966)</f>
        <v>2341.875</v>
      </c>
      <c r="E67" s="5" cm="1">
        <f t="array" ref="E67">INDEX(GMW!$A$2:$LR$60,MATCH(1,(GMW!$LQ$2:$LQ$60=E$3)*(GMW!$LP$2:$LP$60=E$4)*(GMW!$LR$2:$LR$60=E$1),0),$B67-1966)</f>
        <v>94866.7</v>
      </c>
      <c r="F67" s="5" cm="1">
        <f t="array" ref="F67">INDEX(GMW!$A$2:$LR$60,MATCH(1,(GMW!$LQ$2:$LQ$60=F$3)*(GMW!$LP$2:$LP$60=F$4)*(GMW!$LR$2:$LR$60=F$1),0),$B67-1966)</f>
        <v>473.5367</v>
      </c>
      <c r="G67" s="5" cm="1">
        <f t="array" ref="G67">INDEX(GMW!$A$2:$LR$60,MATCH(1,(GMW!$LQ$2:$LQ$60=G$3)*(GMW!$LP$2:$LP$60=G$4)*(GMW!$LR$2:$LR$60=G$1),0),$B67-1966)</f>
        <v>358.99299999999999</v>
      </c>
      <c r="H67" s="5" cm="1">
        <f t="array" ref="H67">INDEX(GMW!$A$2:$LR$60,MATCH(1,(GMW!$LQ$2:$LQ$60=H$3)*(GMW!$LP$2:$LP$60=H$4)*(GMW!$LR$2:$LR$60=H$1),0),$B67-1966)</f>
        <v>331.25400000000002</v>
      </c>
      <c r="I67" s="5" cm="1">
        <f t="array" ref="I67">INDEX(GMW!$A$2:$LR$60,MATCH(1,(GMW!$LQ$2:$LQ$60=I$3)*(GMW!$LP$2:$LP$60=I$4)*(GMW!$LR$2:$LR$60=I$1),0),$B67-1966)</f>
        <v>280349</v>
      </c>
    </row>
    <row r="68" spans="1:9" x14ac:dyDescent="0.25">
      <c r="A68" s="5">
        <f t="shared" si="2"/>
        <v>1988</v>
      </c>
      <c r="B68" s="5">
        <f t="shared" si="3"/>
        <v>2034</v>
      </c>
      <c r="C68" s="5" cm="1">
        <f t="array" ref="C68">INDEX(GMW!$A$2:$LR$60,MATCH(1,(GMW!$LQ$2:$LQ$60=C$3)*(GMW!$LP$2:$LP$60=C$4)*(GMW!$LR$2:$LR$60=C$1),0),$B68-1966)</f>
        <v>305281</v>
      </c>
      <c r="D68" s="5" cm="1">
        <f t="array" ref="D68">INDEX(GMW!$A$2:$LR$60,MATCH(1,(GMW!$LQ$2:$LQ$60=D$3)*(GMW!$LP$2:$LP$60=D$4)*(GMW!$LR$2:$LR$60=D$1),0),$B68-1966)</f>
        <v>2372.65</v>
      </c>
      <c r="E68" s="5" cm="1">
        <f t="array" ref="E68">INDEX(GMW!$A$2:$LR$60,MATCH(1,(GMW!$LQ$2:$LQ$60=E$3)*(GMW!$LP$2:$LP$60=E$4)*(GMW!$LR$2:$LR$60=E$1),0),$B68-1966)</f>
        <v>95559.08</v>
      </c>
      <c r="F68" s="5" cm="1">
        <f t="array" ref="F68">INDEX(GMW!$A$2:$LR$60,MATCH(1,(GMW!$LQ$2:$LQ$60=F$3)*(GMW!$LP$2:$LP$60=F$4)*(GMW!$LR$2:$LR$60=F$1),0),$B68-1966)</f>
        <v>482.12290000000002</v>
      </c>
      <c r="G68" s="5" cm="1">
        <f t="array" ref="G68">INDEX(GMW!$A$2:$LR$60,MATCH(1,(GMW!$LQ$2:$LQ$60=G$3)*(GMW!$LP$2:$LP$60=G$4)*(GMW!$LR$2:$LR$60=G$1),0),$B68-1966)</f>
        <v>362.13499999999999</v>
      </c>
      <c r="H68" s="5" cm="1">
        <f t="array" ref="H68">INDEX(GMW!$A$2:$LR$60,MATCH(1,(GMW!$LQ$2:$LQ$60=H$3)*(GMW!$LP$2:$LP$60=H$4)*(GMW!$LR$2:$LR$60=H$1),0),$B68-1966)</f>
        <v>333.358</v>
      </c>
      <c r="I68" s="5" cm="1">
        <f t="array" ref="I68">INDEX(GMW!$A$2:$LR$60,MATCH(1,(GMW!$LQ$2:$LQ$60=I$3)*(GMW!$LP$2:$LP$60=I$4)*(GMW!$LR$2:$LR$60=I$1),0),$B68-1966)</f>
        <v>282836.8</v>
      </c>
    </row>
    <row r="69" spans="1:9" x14ac:dyDescent="0.25">
      <c r="A69" s="5">
        <f t="shared" si="2"/>
        <v>1988</v>
      </c>
      <c r="B69" s="5">
        <f t="shared" si="3"/>
        <v>2035</v>
      </c>
      <c r="C69" s="5" cm="1">
        <f t="array" ref="C69">INDEX(GMW!$A$2:$LR$60,MATCH(1,(GMW!$LQ$2:$LQ$60=C$3)*(GMW!$LP$2:$LP$60=C$4)*(GMW!$LR$2:$LR$60=C$1),0),$B69-1966)</f>
        <v>309097</v>
      </c>
      <c r="D69" s="5" cm="1">
        <f t="array" ref="D69">INDEX(GMW!$A$2:$LR$60,MATCH(1,(GMW!$LQ$2:$LQ$60=D$3)*(GMW!$LP$2:$LP$60=D$4)*(GMW!$LR$2:$LR$60=D$1),0),$B69-1966)</f>
        <v>2386.5500000000002</v>
      </c>
      <c r="E69" s="5" cm="1">
        <f t="array" ref="E69">INDEX(GMW!$A$2:$LR$60,MATCH(1,(GMW!$LQ$2:$LQ$60=E$3)*(GMW!$LP$2:$LP$60=E$4)*(GMW!$LR$2:$LR$60=E$1),0),$B69-1966)</f>
        <v>97321.1</v>
      </c>
      <c r="F69" s="5" cm="1">
        <f t="array" ref="F69">INDEX(GMW!$A$2:$LR$60,MATCH(1,(GMW!$LQ$2:$LQ$60=F$3)*(GMW!$LP$2:$LP$60=F$4)*(GMW!$LR$2:$LR$60=F$1),0),$B69-1966)</f>
        <v>487.44200000000001</v>
      </c>
      <c r="G69" s="5" cm="1">
        <f t="array" ref="G69">INDEX(GMW!$A$2:$LR$60,MATCH(1,(GMW!$LQ$2:$LQ$60=G$3)*(GMW!$LP$2:$LP$60=G$4)*(GMW!$LR$2:$LR$60=G$1),0),$B69-1966)</f>
        <v>366.71800000000002</v>
      </c>
      <c r="H69" s="5" cm="1">
        <f t="array" ref="H69">INDEX(GMW!$A$2:$LR$60,MATCH(1,(GMW!$LQ$2:$LQ$60=H$3)*(GMW!$LP$2:$LP$60=H$4)*(GMW!$LR$2:$LR$60=H$1),0),$B69-1966)</f>
        <v>337.73899999999998</v>
      </c>
      <c r="I69" s="5" cm="1">
        <f t="array" ref="I69">INDEX(GMW!$A$2:$LR$60,MATCH(1,(GMW!$LQ$2:$LQ$60=I$3)*(GMW!$LP$2:$LP$60=I$4)*(GMW!$LR$2:$LR$60=I$1),0),$B69-1966)</f>
        <v>282878.8</v>
      </c>
    </row>
    <row r="70" spans="1:9" x14ac:dyDescent="0.25">
      <c r="A70" s="5">
        <f t="shared" si="2"/>
        <v>1988</v>
      </c>
      <c r="B70" s="5">
        <f t="shared" si="3"/>
        <v>2036</v>
      </c>
      <c r="C70" s="5" cm="1">
        <f t="array" ref="C70">INDEX(GMW!$A$2:$LR$60,MATCH(1,(GMW!$LQ$2:$LQ$60=C$3)*(GMW!$LP$2:$LP$60=C$4)*(GMW!$LR$2:$LR$60=C$1),0),$B70-1966)</f>
        <v>311574</v>
      </c>
      <c r="D70" s="5" cm="1">
        <f t="array" ref="D70">INDEX(GMW!$A$2:$LR$60,MATCH(1,(GMW!$LQ$2:$LQ$60=D$3)*(GMW!$LP$2:$LP$60=D$4)*(GMW!$LR$2:$LR$60=D$1),0),$B70-1966)</f>
        <v>2418.35</v>
      </c>
      <c r="E70" s="5" cm="1">
        <f t="array" ref="E70">INDEX(GMW!$A$2:$LR$60,MATCH(1,(GMW!$LQ$2:$LQ$60=E$3)*(GMW!$LP$2:$LP$60=E$4)*(GMW!$LR$2:$LR$60=E$1),0),$B70-1966)</f>
        <v>98386.73</v>
      </c>
      <c r="F70" s="5" cm="1">
        <f t="array" ref="F70">INDEX(GMW!$A$2:$LR$60,MATCH(1,(GMW!$LQ$2:$LQ$60=F$3)*(GMW!$LP$2:$LP$60=F$4)*(GMW!$LR$2:$LR$60=F$1),0),$B70-1966)</f>
        <v>493.29500000000002</v>
      </c>
      <c r="G70" s="5" cm="1">
        <f t="array" ref="G70">INDEX(GMW!$A$2:$LR$60,MATCH(1,(GMW!$LQ$2:$LQ$60=G$3)*(GMW!$LP$2:$LP$60=G$4)*(GMW!$LR$2:$LR$60=G$1),0),$B70-1966)</f>
        <v>369.74299999999999</v>
      </c>
      <c r="H70" s="5" cm="1">
        <f t="array" ref="H70">INDEX(GMW!$A$2:$LR$60,MATCH(1,(GMW!$LQ$2:$LQ$60=H$3)*(GMW!$LP$2:$LP$60=H$4)*(GMW!$LR$2:$LR$60=H$1),0),$B70-1966)</f>
        <v>341.77100000000002</v>
      </c>
      <c r="I70" s="5" cm="1">
        <f t="array" ref="I70">INDEX(GMW!$A$2:$LR$60,MATCH(1,(GMW!$LQ$2:$LQ$60=I$3)*(GMW!$LP$2:$LP$60=I$4)*(GMW!$LR$2:$LR$60=I$1),0),$B70-1966)</f>
        <v>284820</v>
      </c>
    </row>
    <row r="71" spans="1:9" x14ac:dyDescent="0.25">
      <c r="A71" s="5">
        <f t="shared" si="2"/>
        <v>1989</v>
      </c>
      <c r="B71" s="5">
        <f t="shared" si="3"/>
        <v>2037</v>
      </c>
      <c r="C71" s="5" cm="1">
        <f t="array" ref="C71">INDEX(GMW!$A$2:$LR$60,MATCH(1,(GMW!$LQ$2:$LQ$60=C$3)*(GMW!$LP$2:$LP$60=C$4)*(GMW!$LR$2:$LR$60=C$1),0),$B71-1966)</f>
        <v>313083</v>
      </c>
      <c r="D71" s="5" cm="1">
        <f t="array" ref="D71">INDEX(GMW!$A$2:$LR$60,MATCH(1,(GMW!$LQ$2:$LQ$60=D$3)*(GMW!$LP$2:$LP$60=D$4)*(GMW!$LR$2:$LR$60=D$1),0),$B71-1966)</f>
        <v>2442.9250000000002</v>
      </c>
      <c r="E71" s="5" cm="1">
        <f t="array" ref="E71">INDEX(GMW!$A$2:$LR$60,MATCH(1,(GMW!$LQ$2:$LQ$60=E$3)*(GMW!$LP$2:$LP$60=E$4)*(GMW!$LR$2:$LR$60=E$1),0),$B71-1966)</f>
        <v>100718.5</v>
      </c>
      <c r="F71" s="5" cm="1">
        <f t="array" ref="F71">INDEX(GMW!$A$2:$LR$60,MATCH(1,(GMW!$LQ$2:$LQ$60=F$3)*(GMW!$LP$2:$LP$60=F$4)*(GMW!$LR$2:$LR$60=F$1),0),$B71-1966)</f>
        <v>498.31049999999999</v>
      </c>
      <c r="G71" s="5" cm="1">
        <f t="array" ref="G71">INDEX(GMW!$A$2:$LR$60,MATCH(1,(GMW!$LQ$2:$LQ$60=G$3)*(GMW!$LP$2:$LP$60=G$4)*(GMW!$LR$2:$LR$60=G$1),0),$B71-1966)</f>
        <v>374.55200000000002</v>
      </c>
      <c r="H71" s="5" cm="1">
        <f t="array" ref="H71">INDEX(GMW!$A$2:$LR$60,MATCH(1,(GMW!$LQ$2:$LQ$60=H$3)*(GMW!$LP$2:$LP$60=H$4)*(GMW!$LR$2:$LR$60=H$1),0),$B71-1966)</f>
        <v>343.89299999999997</v>
      </c>
      <c r="I71" s="5" cm="1">
        <f t="array" ref="I71">INDEX(GMW!$A$2:$LR$60,MATCH(1,(GMW!$LQ$2:$LQ$60=I$3)*(GMW!$LP$2:$LP$60=I$4)*(GMW!$LR$2:$LR$60=I$1),0),$B71-1966)</f>
        <v>288111</v>
      </c>
    </row>
    <row r="72" spans="1:9" x14ac:dyDescent="0.25">
      <c r="A72" s="5">
        <f t="shared" si="2"/>
        <v>1989</v>
      </c>
      <c r="B72" s="5">
        <f t="shared" si="3"/>
        <v>2038</v>
      </c>
      <c r="C72" s="5" cm="1">
        <f t="array" ref="C72">INDEX(GMW!$A$2:$LR$60,MATCH(1,(GMW!$LQ$2:$LQ$60=C$3)*(GMW!$LP$2:$LP$60=C$4)*(GMW!$LR$2:$LR$60=C$1),0),$B72-1966)</f>
        <v>315039</v>
      </c>
      <c r="D72" s="5" cm="1">
        <f t="array" ref="D72">INDEX(GMW!$A$2:$LR$60,MATCH(1,(GMW!$LQ$2:$LQ$60=D$3)*(GMW!$LP$2:$LP$60=D$4)*(GMW!$LR$2:$LR$60=D$1),0),$B72-1966)</f>
        <v>2461.5749999999998</v>
      </c>
      <c r="E72" s="5" cm="1">
        <f t="array" ref="E72">INDEX(GMW!$A$2:$LR$60,MATCH(1,(GMW!$LQ$2:$LQ$60=E$3)*(GMW!$LP$2:$LP$60=E$4)*(GMW!$LR$2:$LR$60=E$1),0),$B72-1966)</f>
        <v>99521.33</v>
      </c>
      <c r="F72" s="5" cm="1">
        <f t="array" ref="F72">INDEX(GMW!$A$2:$LR$60,MATCH(1,(GMW!$LQ$2:$LQ$60=F$3)*(GMW!$LP$2:$LP$60=F$4)*(GMW!$LR$2:$LR$60=F$1),0),$B72-1966)</f>
        <v>500.36270000000002</v>
      </c>
      <c r="G72" s="5" cm="1">
        <f t="array" ref="G72">INDEX(GMW!$A$2:$LR$60,MATCH(1,(GMW!$LQ$2:$LQ$60=G$3)*(GMW!$LP$2:$LP$60=G$4)*(GMW!$LR$2:$LR$60=G$1),0),$B72-1966)</f>
        <v>378.73099999999999</v>
      </c>
      <c r="H72" s="5" cm="1">
        <f t="array" ref="H72">INDEX(GMW!$A$2:$LR$60,MATCH(1,(GMW!$LQ$2:$LQ$60=H$3)*(GMW!$LP$2:$LP$60=H$4)*(GMW!$LR$2:$LR$60=H$1),0),$B72-1966)</f>
        <v>345.38200000000001</v>
      </c>
      <c r="I72" s="5" cm="1">
        <f t="array" ref="I72">INDEX(GMW!$A$2:$LR$60,MATCH(1,(GMW!$LQ$2:$LQ$60=I$3)*(GMW!$LP$2:$LP$60=I$4)*(GMW!$LR$2:$LR$60=I$1),0),$B72-1966)</f>
        <v>289231.8</v>
      </c>
    </row>
    <row r="73" spans="1:9" x14ac:dyDescent="0.25">
      <c r="A73" s="5">
        <f t="shared" si="2"/>
        <v>1989</v>
      </c>
      <c r="B73" s="5">
        <f t="shared" si="3"/>
        <v>2039</v>
      </c>
      <c r="C73" s="5" cm="1">
        <f t="array" ref="C73">INDEX(GMW!$A$2:$LR$60,MATCH(1,(GMW!$LQ$2:$LQ$60=C$3)*(GMW!$LP$2:$LP$60=C$4)*(GMW!$LR$2:$LR$60=C$1),0),$B73-1966)</f>
        <v>315554</v>
      </c>
      <c r="D73" s="5" cm="1">
        <f t="array" ref="D73">INDEX(GMW!$A$2:$LR$60,MATCH(1,(GMW!$LQ$2:$LQ$60=D$3)*(GMW!$LP$2:$LP$60=D$4)*(GMW!$LR$2:$LR$60=D$1),0),$B73-1966)</f>
        <v>2479.8000000000002</v>
      </c>
      <c r="E73" s="5" cm="1">
        <f t="array" ref="E73">INDEX(GMW!$A$2:$LR$60,MATCH(1,(GMW!$LQ$2:$LQ$60=E$3)*(GMW!$LP$2:$LP$60=E$4)*(GMW!$LR$2:$LR$60=E$1),0),$B73-1966)</f>
        <v>101067.9</v>
      </c>
      <c r="F73" s="5" cm="1">
        <f t="array" ref="F73">INDEX(GMW!$A$2:$LR$60,MATCH(1,(GMW!$LQ$2:$LQ$60=F$3)*(GMW!$LP$2:$LP$60=F$4)*(GMW!$LR$2:$LR$60=F$1),0),$B73-1966)</f>
        <v>504.9273</v>
      </c>
      <c r="G73" s="5" cm="1">
        <f t="array" ref="G73">INDEX(GMW!$A$2:$LR$60,MATCH(1,(GMW!$LQ$2:$LQ$60=G$3)*(GMW!$LP$2:$LP$60=G$4)*(GMW!$LR$2:$LR$60=G$1),0),$B73-1966)</f>
        <v>382.99799999999999</v>
      </c>
      <c r="H73" s="5" cm="1">
        <f t="array" ref="H73">INDEX(GMW!$A$2:$LR$60,MATCH(1,(GMW!$LQ$2:$LQ$60=H$3)*(GMW!$LP$2:$LP$60=H$4)*(GMW!$LR$2:$LR$60=H$1),0),$B73-1966)</f>
        <v>348.98200000000003</v>
      </c>
      <c r="I73" s="5" cm="1">
        <f t="array" ref="I73">INDEX(GMW!$A$2:$LR$60,MATCH(1,(GMW!$LQ$2:$LQ$60=I$3)*(GMW!$LP$2:$LP$60=I$4)*(GMW!$LR$2:$LR$60=I$1),0),$B73-1966)</f>
        <v>290276</v>
      </c>
    </row>
    <row r="74" spans="1:9" x14ac:dyDescent="0.25">
      <c r="A74" s="5">
        <f t="shared" si="2"/>
        <v>1989</v>
      </c>
      <c r="B74" s="5">
        <f t="shared" si="3"/>
        <v>2040</v>
      </c>
      <c r="C74" s="5" cm="1">
        <f t="array" ref="C74">INDEX(GMW!$A$2:$LR$60,MATCH(1,(GMW!$LQ$2:$LQ$60=C$3)*(GMW!$LP$2:$LP$60=C$4)*(GMW!$LR$2:$LR$60=C$1),0),$B74-1966)</f>
        <v>315515</v>
      </c>
      <c r="D74" s="5" cm="1">
        <f t="array" ref="D74">INDEX(GMW!$A$2:$LR$60,MATCH(1,(GMW!$LQ$2:$LQ$60=D$3)*(GMW!$LP$2:$LP$60=D$4)*(GMW!$LR$2:$LR$60=D$1),0),$B74-1966)</f>
        <v>2484.6999999999998</v>
      </c>
      <c r="E74" s="5" cm="1">
        <f t="array" ref="E74">INDEX(GMW!$A$2:$LR$60,MATCH(1,(GMW!$LQ$2:$LQ$60=E$3)*(GMW!$LP$2:$LP$60=E$4)*(GMW!$LR$2:$LR$60=E$1),0),$B74-1966)</f>
        <v>103823.8</v>
      </c>
      <c r="F74" s="5" cm="1">
        <f t="array" ref="F74">INDEX(GMW!$A$2:$LR$60,MATCH(1,(GMW!$LQ$2:$LQ$60=F$3)*(GMW!$LP$2:$LP$60=F$4)*(GMW!$LR$2:$LR$60=F$1),0),$B74-1966)</f>
        <v>510.78019999999998</v>
      </c>
      <c r="G74" s="5" cm="1">
        <f t="array" ref="G74">INDEX(GMW!$A$2:$LR$60,MATCH(1,(GMW!$LQ$2:$LQ$60=G$3)*(GMW!$LP$2:$LP$60=G$4)*(GMW!$LR$2:$LR$60=G$1),0),$B74-1966)</f>
        <v>388.13499999999999</v>
      </c>
      <c r="H74" s="5" cm="1">
        <f t="array" ref="H74">INDEX(GMW!$A$2:$LR$60,MATCH(1,(GMW!$LQ$2:$LQ$60=H$3)*(GMW!$LP$2:$LP$60=H$4)*(GMW!$LR$2:$LR$60=H$1),0),$B74-1966)</f>
        <v>352.57400000000001</v>
      </c>
      <c r="I74" s="5" cm="1">
        <f t="array" ref="I74">INDEX(GMW!$A$2:$LR$60,MATCH(1,(GMW!$LQ$2:$LQ$60=I$3)*(GMW!$LP$2:$LP$60=I$4)*(GMW!$LR$2:$LR$60=I$1),0),$B74-1966)</f>
        <v>289698.3</v>
      </c>
    </row>
    <row r="75" spans="1:9" x14ac:dyDescent="0.25">
      <c r="A75" s="5">
        <f t="shared" si="2"/>
        <v>1990</v>
      </c>
      <c r="B75" s="5">
        <f t="shared" si="3"/>
        <v>2041</v>
      </c>
      <c r="C75" s="5" cm="1">
        <f t="array" ref="C75">INDEX(GMW!$A$2:$LR$60,MATCH(1,(GMW!$LQ$2:$LQ$60=C$3)*(GMW!$LP$2:$LP$60=C$4)*(GMW!$LR$2:$LR$60=C$1),0),$B75-1966)</f>
        <v>317117</v>
      </c>
      <c r="D75" s="5" cm="1">
        <f t="array" ref="D75">INDEX(GMW!$A$2:$LR$60,MATCH(1,(GMW!$LQ$2:$LQ$60=D$3)*(GMW!$LP$2:$LP$60=D$4)*(GMW!$LR$2:$LR$60=D$1),0),$B75-1966)</f>
        <v>2511.85</v>
      </c>
      <c r="E75" s="5" cm="1">
        <f t="array" ref="E75">INDEX(GMW!$A$2:$LR$60,MATCH(1,(GMW!$LQ$2:$LQ$60=E$3)*(GMW!$LP$2:$LP$60=E$4)*(GMW!$LR$2:$LR$60=E$1),0),$B75-1966)</f>
        <v>103264</v>
      </c>
      <c r="F75" s="5" cm="1">
        <f t="array" ref="F75">INDEX(GMW!$A$2:$LR$60,MATCH(1,(GMW!$LQ$2:$LQ$60=F$3)*(GMW!$LP$2:$LP$60=F$4)*(GMW!$LR$2:$LR$60=F$1),0),$B75-1966)</f>
        <v>521.33579999999995</v>
      </c>
      <c r="G75" s="5" cm="1">
        <f t="array" ref="G75">INDEX(GMW!$A$2:$LR$60,MATCH(1,(GMW!$LQ$2:$LQ$60=G$3)*(GMW!$LP$2:$LP$60=G$4)*(GMW!$LR$2:$LR$60=G$1),0),$B75-1966)</f>
        <v>388.95600000000002</v>
      </c>
      <c r="H75" s="5" cm="1">
        <f t="array" ref="H75">INDEX(GMW!$A$2:$LR$60,MATCH(1,(GMW!$LQ$2:$LQ$60=H$3)*(GMW!$LP$2:$LP$60=H$4)*(GMW!$LR$2:$LR$60=H$1),0),$B75-1966)</f>
        <v>353.97800000000001</v>
      </c>
      <c r="I75" s="5" cm="1">
        <f t="array" ref="I75">INDEX(GMW!$A$2:$LR$60,MATCH(1,(GMW!$LQ$2:$LQ$60=I$3)*(GMW!$LP$2:$LP$60=I$4)*(GMW!$LR$2:$LR$60=I$1),0),$B75-1966)</f>
        <v>292484.3</v>
      </c>
    </row>
    <row r="76" spans="1:9" x14ac:dyDescent="0.25">
      <c r="A76" s="5">
        <f t="shared" ref="A76:A139" si="4">+A72+1</f>
        <v>1990</v>
      </c>
      <c r="B76" s="5">
        <f t="shared" si="3"/>
        <v>2042</v>
      </c>
      <c r="C76" s="5" cm="1">
        <f t="array" ref="C76">INDEX(GMW!$A$2:$LR$60,MATCH(1,(GMW!$LQ$2:$LQ$60=C$3)*(GMW!$LP$2:$LP$60=C$4)*(GMW!$LR$2:$LR$60=C$1),0),$B76-1966)</f>
        <v>319239</v>
      </c>
      <c r="D76" s="5" cm="1">
        <f t="array" ref="D76">INDEX(GMW!$A$2:$LR$60,MATCH(1,(GMW!$LQ$2:$LQ$60=D$3)*(GMW!$LP$2:$LP$60=D$4)*(GMW!$LR$2:$LR$60=D$1),0),$B76-1966)</f>
        <v>2520.9749999999999</v>
      </c>
      <c r="E76" s="5" cm="1">
        <f t="array" ref="E76">INDEX(GMW!$A$2:$LR$60,MATCH(1,(GMW!$LQ$2:$LQ$60=E$3)*(GMW!$LP$2:$LP$60=E$4)*(GMW!$LR$2:$LR$60=E$1),0),$B76-1966)</f>
        <v>105791</v>
      </c>
      <c r="F76" s="5" cm="1">
        <f t="array" ref="F76">INDEX(GMW!$A$2:$LR$60,MATCH(1,(GMW!$LQ$2:$LQ$60=F$3)*(GMW!$LP$2:$LP$60=F$4)*(GMW!$LR$2:$LR$60=F$1),0),$B76-1966)</f>
        <v>524.00459999999998</v>
      </c>
      <c r="G76" s="5" cm="1">
        <f t="array" ref="G76">INDEX(GMW!$A$2:$LR$60,MATCH(1,(GMW!$LQ$2:$LQ$60=G$3)*(GMW!$LP$2:$LP$60=G$4)*(GMW!$LR$2:$LR$60=G$1),0),$B76-1966)</f>
        <v>391.04599999999999</v>
      </c>
      <c r="H76" s="5" cm="1">
        <f t="array" ref="H76">INDEX(GMW!$A$2:$LR$60,MATCH(1,(GMW!$LQ$2:$LQ$60=H$3)*(GMW!$LP$2:$LP$60=H$4)*(GMW!$LR$2:$LR$60=H$1),0),$B76-1966)</f>
        <v>355.05700000000002</v>
      </c>
      <c r="I76" s="5" cm="1">
        <f t="array" ref="I76">INDEX(GMW!$A$2:$LR$60,MATCH(1,(GMW!$LQ$2:$LQ$60=I$3)*(GMW!$LP$2:$LP$60=I$4)*(GMW!$LR$2:$LR$60=I$1),0),$B76-1966)</f>
        <v>291310.8</v>
      </c>
    </row>
    <row r="77" spans="1:9" x14ac:dyDescent="0.25">
      <c r="A77" s="5">
        <f t="shared" si="4"/>
        <v>1990</v>
      </c>
      <c r="B77" s="5">
        <f t="shared" si="3"/>
        <v>2043</v>
      </c>
      <c r="C77" s="5" cm="1">
        <f t="array" ref="C77">INDEX(GMW!$A$2:$LR$60,MATCH(1,(GMW!$LQ$2:$LQ$60=C$3)*(GMW!$LP$2:$LP$60=C$4)*(GMW!$LR$2:$LR$60=C$1),0),$B77-1966)</f>
        <v>315744</v>
      </c>
      <c r="D77" s="5" cm="1">
        <f t="array" ref="D77">INDEX(GMW!$A$2:$LR$60,MATCH(1,(GMW!$LQ$2:$LQ$60=D$3)*(GMW!$LP$2:$LP$60=D$4)*(GMW!$LR$2:$LR$60=D$1),0),$B77-1966)</f>
        <v>2522.65</v>
      </c>
      <c r="E77" s="5" cm="1">
        <f t="array" ref="E77">INDEX(GMW!$A$2:$LR$60,MATCH(1,(GMW!$LQ$2:$LQ$60=E$3)*(GMW!$LP$2:$LP$60=E$4)*(GMW!$LR$2:$LR$60=E$1),0),$B77-1966)</f>
        <v>107937.8</v>
      </c>
      <c r="F77" s="5" cm="1">
        <f t="array" ref="F77">INDEX(GMW!$A$2:$LR$60,MATCH(1,(GMW!$LQ$2:$LQ$60=F$3)*(GMW!$LP$2:$LP$60=F$4)*(GMW!$LR$2:$LR$60=F$1),0),$B77-1966)</f>
        <v>535.02030000000002</v>
      </c>
      <c r="G77" s="5" cm="1">
        <f t="array" ref="G77">INDEX(GMW!$A$2:$LR$60,MATCH(1,(GMW!$LQ$2:$LQ$60=G$3)*(GMW!$LP$2:$LP$60=G$4)*(GMW!$LR$2:$LR$60=G$1),0),$B77-1966)</f>
        <v>393.58699999999999</v>
      </c>
      <c r="H77" s="5" cm="1">
        <f t="array" ref="H77">INDEX(GMW!$A$2:$LR$60,MATCH(1,(GMW!$LQ$2:$LQ$60=H$3)*(GMW!$LP$2:$LP$60=H$4)*(GMW!$LR$2:$LR$60=H$1),0),$B77-1966)</f>
        <v>355.62799999999999</v>
      </c>
      <c r="I77" s="5" cm="1">
        <f t="array" ref="I77">INDEX(GMW!$A$2:$LR$60,MATCH(1,(GMW!$LQ$2:$LQ$60=I$3)*(GMW!$LP$2:$LP$60=I$4)*(GMW!$LR$2:$LR$60=I$1),0),$B77-1966)</f>
        <v>289223</v>
      </c>
    </row>
    <row r="78" spans="1:9" x14ac:dyDescent="0.25">
      <c r="A78" s="5">
        <f t="shared" si="4"/>
        <v>1990</v>
      </c>
      <c r="B78" s="5">
        <f t="shared" si="3"/>
        <v>2044</v>
      </c>
      <c r="C78" s="5" cm="1">
        <f t="array" ref="C78">INDEX(GMW!$A$2:$LR$60,MATCH(1,(GMW!$LQ$2:$LQ$60=C$3)*(GMW!$LP$2:$LP$60=C$4)*(GMW!$LR$2:$LR$60=C$1),0),$B78-1966)</f>
        <v>314148</v>
      </c>
      <c r="D78" s="5" cm="1">
        <f t="array" ref="D78">INDEX(GMW!$A$2:$LR$60,MATCH(1,(GMW!$LQ$2:$LQ$60=D$3)*(GMW!$LP$2:$LP$60=D$4)*(GMW!$LR$2:$LR$60=D$1),0),$B78-1966)</f>
        <v>2499.6750000000002</v>
      </c>
      <c r="E78" s="5" cm="1">
        <f t="array" ref="E78">INDEX(GMW!$A$2:$LR$60,MATCH(1,(GMW!$LQ$2:$LQ$60=E$3)*(GMW!$LP$2:$LP$60=E$4)*(GMW!$LR$2:$LR$60=E$1),0),$B78-1966)</f>
        <v>107869</v>
      </c>
      <c r="F78" s="5" cm="1">
        <f t="array" ref="F78">INDEX(GMW!$A$2:$LR$60,MATCH(1,(GMW!$LQ$2:$LQ$60=F$3)*(GMW!$LP$2:$LP$60=F$4)*(GMW!$LR$2:$LR$60=F$1),0),$B78-1966)</f>
        <v>544.44389999999999</v>
      </c>
      <c r="G78" s="5" cm="1">
        <f t="array" ref="G78">INDEX(GMW!$A$2:$LR$60,MATCH(1,(GMW!$LQ$2:$LQ$60=G$3)*(GMW!$LP$2:$LP$60=G$4)*(GMW!$LR$2:$LR$60=G$1),0),$B78-1966)</f>
        <v>393.39800000000002</v>
      </c>
      <c r="H78" s="5" cm="1">
        <f t="array" ref="H78">INDEX(GMW!$A$2:$LR$60,MATCH(1,(GMW!$LQ$2:$LQ$60=H$3)*(GMW!$LP$2:$LP$60=H$4)*(GMW!$LR$2:$LR$60=H$1),0),$B78-1966)</f>
        <v>353.31599999999997</v>
      </c>
      <c r="I78" s="5" cm="1">
        <f t="array" ref="I78">INDEX(GMW!$A$2:$LR$60,MATCH(1,(GMW!$LQ$2:$LQ$60=I$3)*(GMW!$LP$2:$LP$60=I$4)*(GMW!$LR$2:$LR$60=I$1),0),$B78-1966)</f>
        <v>286647.8</v>
      </c>
    </row>
    <row r="79" spans="1:9" x14ac:dyDescent="0.25">
      <c r="A79" s="5">
        <f t="shared" si="4"/>
        <v>1991</v>
      </c>
      <c r="B79" s="5">
        <f t="shared" si="3"/>
        <v>2045</v>
      </c>
      <c r="C79" s="5" cm="1">
        <f t="array" ref="C79">INDEX(GMW!$A$2:$LR$60,MATCH(1,(GMW!$LQ$2:$LQ$60=C$3)*(GMW!$LP$2:$LP$60=C$4)*(GMW!$LR$2:$LR$60=C$1),0),$B79-1966)</f>
        <v>312596</v>
      </c>
      <c r="D79" s="5" cm="1">
        <f t="array" ref="D79">INDEX(GMW!$A$2:$LR$60,MATCH(1,(GMW!$LQ$2:$LQ$60=D$3)*(GMW!$LP$2:$LP$60=D$4)*(GMW!$LR$2:$LR$60=D$1),0),$B79-1966)</f>
        <v>2487.9749999999999</v>
      </c>
      <c r="E79" s="5" cm="1">
        <f t="array" ref="E79">INDEX(GMW!$A$2:$LR$60,MATCH(1,(GMW!$LQ$2:$LQ$60=E$3)*(GMW!$LP$2:$LP$60=E$4)*(GMW!$LR$2:$LR$60=E$1),0),$B79-1966)</f>
        <v>109030.2</v>
      </c>
      <c r="F79" s="5" cm="1">
        <f t="array" ref="F79">INDEX(GMW!$A$2:$LR$60,MATCH(1,(GMW!$LQ$2:$LQ$60=F$3)*(GMW!$LP$2:$LP$60=F$4)*(GMW!$LR$2:$LR$60=F$1),0),$B79-1966)</f>
        <v>560.61310000000003</v>
      </c>
      <c r="G79" s="5" cm="1">
        <f t="array" ref="G79">INDEX(GMW!$A$2:$LR$60,MATCH(1,(GMW!$LQ$2:$LQ$60=G$3)*(GMW!$LP$2:$LP$60=G$4)*(GMW!$LR$2:$LR$60=G$1),0),$B79-1966)</f>
        <v>394.43299999999999</v>
      </c>
      <c r="H79" s="5" cm="1">
        <f t="array" ref="H79">INDEX(GMW!$A$2:$LR$60,MATCH(1,(GMW!$LQ$2:$LQ$60=H$3)*(GMW!$LP$2:$LP$60=H$4)*(GMW!$LR$2:$LR$60=H$1),0),$B79-1966)</f>
        <v>356.85</v>
      </c>
      <c r="I79" s="5" cm="1">
        <f t="array" ref="I79">INDEX(GMW!$A$2:$LR$60,MATCH(1,(GMW!$LQ$2:$LQ$60=I$3)*(GMW!$LP$2:$LP$60=I$4)*(GMW!$LR$2:$LR$60=I$1),0),$B79-1966)</f>
        <v>282524</v>
      </c>
    </row>
    <row r="80" spans="1:9" x14ac:dyDescent="0.25">
      <c r="A80" s="5">
        <f t="shared" si="4"/>
        <v>1991</v>
      </c>
      <c r="B80" s="5">
        <f t="shared" si="3"/>
        <v>2046</v>
      </c>
      <c r="C80" s="5" cm="1">
        <f t="array" ref="C80">INDEX(GMW!$A$2:$LR$60,MATCH(1,(GMW!$LQ$2:$LQ$60=C$3)*(GMW!$LP$2:$LP$60=C$4)*(GMW!$LR$2:$LR$60=C$1),0),$B80-1966)</f>
        <v>312235</v>
      </c>
      <c r="D80" s="5" cm="1">
        <f t="array" ref="D80">INDEX(GMW!$A$2:$LR$60,MATCH(1,(GMW!$LQ$2:$LQ$60=D$3)*(GMW!$LP$2:$LP$60=D$4)*(GMW!$LR$2:$LR$60=D$1),0),$B80-1966)</f>
        <v>2507.375</v>
      </c>
      <c r="E80" s="5" cm="1">
        <f t="array" ref="E80">INDEX(GMW!$A$2:$LR$60,MATCH(1,(GMW!$LQ$2:$LQ$60=E$3)*(GMW!$LP$2:$LP$60=E$4)*(GMW!$LR$2:$LR$60=E$1),0),$B80-1966)</f>
        <v>109977.8</v>
      </c>
      <c r="F80" s="5" cm="1">
        <f t="array" ref="F80">INDEX(GMW!$A$2:$LR$60,MATCH(1,(GMW!$LQ$2:$LQ$60=F$3)*(GMW!$LP$2:$LP$60=F$4)*(GMW!$LR$2:$LR$60=F$1),0),$B80-1966)</f>
        <v>558.15599999999995</v>
      </c>
      <c r="G80" s="5" cm="1">
        <f t="array" ref="G80">INDEX(GMW!$A$2:$LR$60,MATCH(1,(GMW!$LQ$2:$LQ$60=G$3)*(GMW!$LP$2:$LP$60=G$4)*(GMW!$LR$2:$LR$60=G$1),0),$B80-1966)</f>
        <v>395.89</v>
      </c>
      <c r="H80" s="5" cm="1">
        <f t="array" ref="H80">INDEX(GMW!$A$2:$LR$60,MATCH(1,(GMW!$LQ$2:$LQ$60=H$3)*(GMW!$LP$2:$LP$60=H$4)*(GMW!$LR$2:$LR$60=H$1),0),$B80-1966)</f>
        <v>354.89699999999999</v>
      </c>
      <c r="I80" s="5" cm="1">
        <f t="array" ref="I80">INDEX(GMW!$A$2:$LR$60,MATCH(1,(GMW!$LQ$2:$LQ$60=I$3)*(GMW!$LP$2:$LP$60=I$4)*(GMW!$LR$2:$LR$60=I$1),0),$B80-1966)</f>
        <v>283880</v>
      </c>
    </row>
    <row r="81" spans="1:9" x14ac:dyDescent="0.25">
      <c r="A81" s="5">
        <f t="shared" si="4"/>
        <v>1991</v>
      </c>
      <c r="B81" s="5">
        <f t="shared" si="3"/>
        <v>2047</v>
      </c>
      <c r="C81" s="5" cm="1">
        <f t="array" ref="C81">INDEX(GMW!$A$2:$LR$60,MATCH(1,(GMW!$LQ$2:$LQ$60=C$3)*(GMW!$LP$2:$LP$60=C$4)*(GMW!$LR$2:$LR$60=C$1),0),$B81-1966)</f>
        <v>311624</v>
      </c>
      <c r="D81" s="5" cm="1">
        <f t="array" ref="D81">INDEX(GMW!$A$2:$LR$60,MATCH(1,(GMW!$LQ$2:$LQ$60=D$3)*(GMW!$LP$2:$LP$60=D$4)*(GMW!$LR$2:$LR$60=D$1),0),$B81-1966)</f>
        <v>2520.0500000000002</v>
      </c>
      <c r="E81" s="5" cm="1">
        <f t="array" ref="E81">INDEX(GMW!$A$2:$LR$60,MATCH(1,(GMW!$LQ$2:$LQ$60=E$3)*(GMW!$LP$2:$LP$60=E$4)*(GMW!$LR$2:$LR$60=E$1),0),$B81-1966)</f>
        <v>109973</v>
      </c>
      <c r="F81" s="5" cm="1">
        <f t="array" ref="F81">INDEX(GMW!$A$2:$LR$60,MATCH(1,(GMW!$LQ$2:$LQ$60=F$3)*(GMW!$LP$2:$LP$60=F$4)*(GMW!$LR$2:$LR$60=F$1),0),$B81-1966)</f>
        <v>557.12530000000004</v>
      </c>
      <c r="G81" s="5" cm="1">
        <f t="array" ref="G81">INDEX(GMW!$A$2:$LR$60,MATCH(1,(GMW!$LQ$2:$LQ$60=G$3)*(GMW!$LP$2:$LP$60=G$4)*(GMW!$LR$2:$LR$60=G$1),0),$B81-1966)</f>
        <v>397.495</v>
      </c>
      <c r="H81" s="5" cm="1">
        <f t="array" ref="H81">INDEX(GMW!$A$2:$LR$60,MATCH(1,(GMW!$LQ$2:$LQ$60=H$3)*(GMW!$LP$2:$LP$60=H$4)*(GMW!$LR$2:$LR$60=H$1),0),$B81-1966)</f>
        <v>355.024</v>
      </c>
      <c r="I81" s="5" cm="1">
        <f t="array" ref="I81">INDEX(GMW!$A$2:$LR$60,MATCH(1,(GMW!$LQ$2:$LQ$60=I$3)*(GMW!$LP$2:$LP$60=I$4)*(GMW!$LR$2:$LR$60=I$1),0),$B81-1966)</f>
        <v>284256.5</v>
      </c>
    </row>
    <row r="82" spans="1:9" x14ac:dyDescent="0.25">
      <c r="A82" s="5">
        <f t="shared" si="4"/>
        <v>1991</v>
      </c>
      <c r="B82" s="5">
        <f t="shared" si="3"/>
        <v>2048</v>
      </c>
      <c r="C82" s="5" cm="1">
        <f t="array" ref="C82">INDEX(GMW!$A$2:$LR$60,MATCH(1,(GMW!$LQ$2:$LQ$60=C$3)*(GMW!$LP$2:$LP$60=C$4)*(GMW!$LR$2:$LR$60=C$1),0),$B82-1966)</f>
        <v>312006</v>
      </c>
      <c r="D82" s="5" cm="1">
        <f t="array" ref="D82">INDEX(GMW!$A$2:$LR$60,MATCH(1,(GMW!$LQ$2:$LQ$60=D$3)*(GMW!$LP$2:$LP$60=D$4)*(GMW!$LR$2:$LR$60=D$1),0),$B82-1966)</f>
        <v>2528.8249999999998</v>
      </c>
      <c r="E82" s="5" cm="1">
        <f t="array" ref="E82">INDEX(GMW!$A$2:$LR$60,MATCH(1,(GMW!$LQ$2:$LQ$60=E$3)*(GMW!$LP$2:$LP$60=E$4)*(GMW!$LR$2:$LR$60=E$1),0),$B82-1966)</f>
        <v>110813.9</v>
      </c>
      <c r="F82" s="5" cm="1">
        <f t="array" ref="F82">INDEX(GMW!$A$2:$LR$60,MATCH(1,(GMW!$LQ$2:$LQ$60=F$3)*(GMW!$LP$2:$LP$60=F$4)*(GMW!$LR$2:$LR$60=F$1),0),$B82-1966)</f>
        <v>564.96600000000001</v>
      </c>
      <c r="G82" s="5" cm="1">
        <f t="array" ref="G82">INDEX(GMW!$A$2:$LR$60,MATCH(1,(GMW!$LQ$2:$LQ$60=G$3)*(GMW!$LP$2:$LP$60=G$4)*(GMW!$LR$2:$LR$60=G$1),0),$B82-1966)</f>
        <v>399.41300000000001</v>
      </c>
      <c r="H82" s="5" cm="1">
        <f t="array" ref="H82">INDEX(GMW!$A$2:$LR$60,MATCH(1,(GMW!$LQ$2:$LQ$60=H$3)*(GMW!$LP$2:$LP$60=H$4)*(GMW!$LR$2:$LR$60=H$1),0),$B82-1966)</f>
        <v>359.19099999999997</v>
      </c>
      <c r="I82" s="5" cm="1">
        <f t="array" ref="I82">INDEX(GMW!$A$2:$LR$60,MATCH(1,(GMW!$LQ$2:$LQ$60=I$3)*(GMW!$LP$2:$LP$60=I$4)*(GMW!$LR$2:$LR$60=I$1),0),$B82-1966)</f>
        <v>284756</v>
      </c>
    </row>
    <row r="83" spans="1:9" x14ac:dyDescent="0.25">
      <c r="A83" s="5">
        <f t="shared" si="4"/>
        <v>1992</v>
      </c>
      <c r="B83" s="5">
        <f t="shared" si="3"/>
        <v>2049</v>
      </c>
      <c r="C83" s="5" cm="1">
        <f t="array" ref="C83">INDEX(GMW!$A$2:$LR$60,MATCH(1,(GMW!$LQ$2:$LQ$60=C$3)*(GMW!$LP$2:$LP$60=C$4)*(GMW!$LR$2:$LR$60=C$1),0),$B83-1966)</f>
        <v>311904</v>
      </c>
      <c r="D83" s="5" cm="1">
        <f t="array" ref="D83">INDEX(GMW!$A$2:$LR$60,MATCH(1,(GMW!$LQ$2:$LQ$60=D$3)*(GMW!$LP$2:$LP$60=D$4)*(GMW!$LR$2:$LR$60=D$1),0),$B83-1966)</f>
        <v>2559.1</v>
      </c>
      <c r="E83" s="5" cm="1">
        <f t="array" ref="E83">INDEX(GMW!$A$2:$LR$60,MATCH(1,(GMW!$LQ$2:$LQ$60=E$3)*(GMW!$LP$2:$LP$60=E$4)*(GMW!$LR$2:$LR$60=E$1),0),$B83-1966)</f>
        <v>110645.6</v>
      </c>
      <c r="F83" s="5" cm="1">
        <f t="array" ref="F83">INDEX(GMW!$A$2:$LR$60,MATCH(1,(GMW!$LQ$2:$LQ$60=F$3)*(GMW!$LP$2:$LP$60=F$4)*(GMW!$LR$2:$LR$60=F$1),0),$B83-1966)</f>
        <v>572.96320000000003</v>
      </c>
      <c r="G83" s="5" cm="1">
        <f t="array" ref="G83">INDEX(GMW!$A$2:$LR$60,MATCH(1,(GMW!$LQ$2:$LQ$60=G$3)*(GMW!$LP$2:$LP$60=G$4)*(GMW!$LR$2:$LR$60=G$1),0),$B83-1966)</f>
        <v>402.27</v>
      </c>
      <c r="H83" s="5" cm="1">
        <f t="array" ref="H83">INDEX(GMW!$A$2:$LR$60,MATCH(1,(GMW!$LQ$2:$LQ$60=H$3)*(GMW!$LP$2:$LP$60=H$4)*(GMW!$LR$2:$LR$60=H$1),0),$B83-1966)</f>
        <v>360.15800000000002</v>
      </c>
      <c r="I83" s="5" cm="1">
        <f t="array" ref="I83">INDEX(GMW!$A$2:$LR$60,MATCH(1,(GMW!$LQ$2:$LQ$60=I$3)*(GMW!$LP$2:$LP$60=I$4)*(GMW!$LR$2:$LR$60=I$1),0),$B83-1966)</f>
        <v>284957</v>
      </c>
    </row>
    <row r="84" spans="1:9" x14ac:dyDescent="0.25">
      <c r="A84" s="5">
        <f t="shared" si="4"/>
        <v>1992</v>
      </c>
      <c r="B84" s="5">
        <f t="shared" si="3"/>
        <v>2050</v>
      </c>
      <c r="C84" s="5" cm="1">
        <f t="array" ref="C84">INDEX(GMW!$A$2:$LR$60,MATCH(1,(GMW!$LQ$2:$LQ$60=C$3)*(GMW!$LP$2:$LP$60=C$4)*(GMW!$LR$2:$LR$60=C$1),0),$B84-1966)</f>
        <v>311418</v>
      </c>
      <c r="D84" s="5" cm="1">
        <f t="array" ref="D84">INDEX(GMW!$A$2:$LR$60,MATCH(1,(GMW!$LQ$2:$LQ$60=D$3)*(GMW!$LP$2:$LP$60=D$4)*(GMW!$LR$2:$LR$60=D$1),0),$B84-1966)</f>
        <v>2586.85</v>
      </c>
      <c r="E84" s="5" cm="1">
        <f t="array" ref="E84">INDEX(GMW!$A$2:$LR$60,MATCH(1,(GMW!$LQ$2:$LQ$60=E$3)*(GMW!$LP$2:$LP$60=E$4)*(GMW!$LR$2:$LR$60=E$1),0),$B84-1966)</f>
        <v>110982.39999999999</v>
      </c>
      <c r="F84" s="5" cm="1">
        <f t="array" ref="F84">INDEX(GMW!$A$2:$LR$60,MATCH(1,(GMW!$LQ$2:$LQ$60=F$3)*(GMW!$LP$2:$LP$60=F$4)*(GMW!$LR$2:$LR$60=F$1),0),$B84-1966)</f>
        <v>569.4846</v>
      </c>
      <c r="G84" s="5" cm="1">
        <f t="array" ref="G84">INDEX(GMW!$A$2:$LR$60,MATCH(1,(GMW!$LQ$2:$LQ$60=G$3)*(GMW!$LP$2:$LP$60=G$4)*(GMW!$LR$2:$LR$60=G$1),0),$B84-1966)</f>
        <v>402.721</v>
      </c>
      <c r="H84" s="5" cm="1">
        <f t="array" ref="H84">INDEX(GMW!$A$2:$LR$60,MATCH(1,(GMW!$LQ$2:$LQ$60=H$3)*(GMW!$LP$2:$LP$60=H$4)*(GMW!$LR$2:$LR$60=H$1),0),$B84-1966)</f>
        <v>359.95100000000002</v>
      </c>
      <c r="I84" s="5" cm="1">
        <f t="array" ref="I84">INDEX(GMW!$A$2:$LR$60,MATCH(1,(GMW!$LQ$2:$LQ$60=I$3)*(GMW!$LP$2:$LP$60=I$4)*(GMW!$LR$2:$LR$60=I$1),0),$B84-1966)</f>
        <v>285281.8</v>
      </c>
    </row>
    <row r="85" spans="1:9" x14ac:dyDescent="0.25">
      <c r="A85" s="5">
        <f t="shared" si="4"/>
        <v>1992</v>
      </c>
      <c r="B85" s="5">
        <f t="shared" si="3"/>
        <v>2051</v>
      </c>
      <c r="C85" s="5" cm="1">
        <f t="array" ref="C85">INDEX(GMW!$A$2:$LR$60,MATCH(1,(GMW!$LQ$2:$LQ$60=C$3)*(GMW!$LP$2:$LP$60=C$4)*(GMW!$LR$2:$LR$60=C$1),0),$B85-1966)</f>
        <v>312896</v>
      </c>
      <c r="D85" s="5" cm="1">
        <f t="array" ref="D85">INDEX(GMW!$A$2:$LR$60,MATCH(1,(GMW!$LQ$2:$LQ$60=D$3)*(GMW!$LP$2:$LP$60=D$4)*(GMW!$LR$2:$LR$60=D$1),0),$B85-1966)</f>
        <v>2612.4250000000002</v>
      </c>
      <c r="E85" s="5" cm="1">
        <f t="array" ref="E85">INDEX(GMW!$A$2:$LR$60,MATCH(1,(GMW!$LQ$2:$LQ$60=E$3)*(GMW!$LP$2:$LP$60=E$4)*(GMW!$LR$2:$LR$60=E$1),0),$B85-1966)</f>
        <v>111402.7</v>
      </c>
      <c r="F85" s="5" cm="1">
        <f t="array" ref="F85">INDEX(GMW!$A$2:$LR$60,MATCH(1,(GMW!$LQ$2:$LQ$60=F$3)*(GMW!$LP$2:$LP$60=F$4)*(GMW!$LR$2:$LR$60=F$1),0),$B85-1966)</f>
        <v>567.97529999999995</v>
      </c>
      <c r="G85" s="5" cm="1">
        <f t="array" ref="G85">INDEX(GMW!$A$2:$LR$60,MATCH(1,(GMW!$LQ$2:$LQ$60=G$3)*(GMW!$LP$2:$LP$60=G$4)*(GMW!$LR$2:$LR$60=G$1),0),$B85-1966)</f>
        <v>402.25799999999998</v>
      </c>
      <c r="H85" s="5" cm="1">
        <f t="array" ref="H85">INDEX(GMW!$A$2:$LR$60,MATCH(1,(GMW!$LQ$2:$LQ$60=H$3)*(GMW!$LP$2:$LP$60=H$4)*(GMW!$LR$2:$LR$60=H$1),0),$B85-1966)</f>
        <v>359.15100000000001</v>
      </c>
      <c r="I85" s="5" cm="1">
        <f t="array" ref="I85">INDEX(GMW!$A$2:$LR$60,MATCH(1,(GMW!$LQ$2:$LQ$60=I$3)*(GMW!$LP$2:$LP$60=I$4)*(GMW!$LR$2:$LR$60=I$1),0),$B85-1966)</f>
        <v>286827</v>
      </c>
    </row>
    <row r="86" spans="1:9" x14ac:dyDescent="0.25">
      <c r="A86" s="5">
        <f t="shared" si="4"/>
        <v>1992</v>
      </c>
      <c r="B86" s="5">
        <f t="shared" si="3"/>
        <v>2052</v>
      </c>
      <c r="C86" s="5" cm="1">
        <f t="array" ref="C86">INDEX(GMW!$A$2:$LR$60,MATCH(1,(GMW!$LQ$2:$LQ$60=C$3)*(GMW!$LP$2:$LP$60=C$4)*(GMW!$LR$2:$LR$60=C$1),0),$B86-1966)</f>
        <v>315307</v>
      </c>
      <c r="D86" s="5" cm="1">
        <f t="array" ref="D86">INDEX(GMW!$A$2:$LR$60,MATCH(1,(GMW!$LQ$2:$LQ$60=D$3)*(GMW!$LP$2:$LP$60=D$4)*(GMW!$LR$2:$LR$60=D$1),0),$B86-1966)</f>
        <v>2639.65</v>
      </c>
      <c r="E86" s="5" cm="1">
        <f t="array" ref="E86">INDEX(GMW!$A$2:$LR$60,MATCH(1,(GMW!$LQ$2:$LQ$60=E$3)*(GMW!$LP$2:$LP$60=E$4)*(GMW!$LR$2:$LR$60=E$1),0),$B86-1966)</f>
        <v>110721.5</v>
      </c>
      <c r="F86" s="5" cm="1">
        <f t="array" ref="F86">INDEX(GMW!$A$2:$LR$60,MATCH(1,(GMW!$LQ$2:$LQ$60=F$3)*(GMW!$LP$2:$LP$60=F$4)*(GMW!$LR$2:$LR$60=F$1),0),$B86-1966)</f>
        <v>566.30960000000005</v>
      </c>
      <c r="G86" s="5" cm="1">
        <f t="array" ref="G86">INDEX(GMW!$A$2:$LR$60,MATCH(1,(GMW!$LQ$2:$LQ$60=G$3)*(GMW!$LP$2:$LP$60=G$4)*(GMW!$LR$2:$LR$60=G$1),0),$B86-1966)</f>
        <v>402.334</v>
      </c>
      <c r="H86" s="5" cm="1">
        <f t="array" ref="H86">INDEX(GMW!$A$2:$LR$60,MATCH(1,(GMW!$LQ$2:$LQ$60=H$3)*(GMW!$LP$2:$LP$60=H$4)*(GMW!$LR$2:$LR$60=H$1),0),$B86-1966)</f>
        <v>356.67599999999999</v>
      </c>
      <c r="I86" s="5" cm="1">
        <f t="array" ref="I86">INDEX(GMW!$A$2:$LR$60,MATCH(1,(GMW!$LQ$2:$LQ$60=I$3)*(GMW!$LP$2:$LP$60=I$4)*(GMW!$LR$2:$LR$60=I$1),0),$B86-1966)</f>
        <v>288461.3</v>
      </c>
    </row>
    <row r="87" spans="1:9" x14ac:dyDescent="0.25">
      <c r="A87" s="5">
        <f t="shared" si="4"/>
        <v>1993</v>
      </c>
      <c r="B87" s="5">
        <f t="shared" si="3"/>
        <v>2053</v>
      </c>
      <c r="C87" s="5" cm="1">
        <f t="array" ref="C87">INDEX(GMW!$A$2:$LR$60,MATCH(1,(GMW!$LQ$2:$LQ$60=C$3)*(GMW!$LP$2:$LP$60=C$4)*(GMW!$LR$2:$LR$60=C$1),0),$B87-1966)</f>
        <v>316882</v>
      </c>
      <c r="D87" s="5" cm="1">
        <f t="array" ref="D87">INDEX(GMW!$A$2:$LR$60,MATCH(1,(GMW!$LQ$2:$LQ$60=D$3)*(GMW!$LP$2:$LP$60=D$4)*(GMW!$LR$2:$LR$60=D$1),0),$B87-1966)</f>
        <v>2644.0749999999998</v>
      </c>
      <c r="E87" s="5" cm="1">
        <f t="array" ref="E87">INDEX(GMW!$A$2:$LR$60,MATCH(1,(GMW!$LQ$2:$LQ$60=E$3)*(GMW!$LP$2:$LP$60=E$4)*(GMW!$LR$2:$LR$60=E$1),0),$B87-1966)</f>
        <v>111282</v>
      </c>
      <c r="F87" s="5" cm="1">
        <f t="array" ref="F87">INDEX(GMW!$A$2:$LR$60,MATCH(1,(GMW!$LQ$2:$LQ$60=F$3)*(GMW!$LP$2:$LP$60=F$4)*(GMW!$LR$2:$LR$60=F$1),0),$B87-1966)</f>
        <v>561.87390000000005</v>
      </c>
      <c r="G87" s="5" cm="1">
        <f t="array" ref="G87">INDEX(GMW!$A$2:$LR$60,MATCH(1,(GMW!$LQ$2:$LQ$60=G$3)*(GMW!$LP$2:$LP$60=G$4)*(GMW!$LR$2:$LR$60=G$1),0),$B87-1966)</f>
        <v>400.161</v>
      </c>
      <c r="H87" s="5" cm="1">
        <f t="array" ref="H87">INDEX(GMW!$A$2:$LR$60,MATCH(1,(GMW!$LQ$2:$LQ$60=H$3)*(GMW!$LP$2:$LP$60=H$4)*(GMW!$LR$2:$LR$60=H$1),0),$B87-1966)</f>
        <v>356.17700000000002</v>
      </c>
      <c r="I87" s="5" cm="1">
        <f t="array" ref="I87">INDEX(GMW!$A$2:$LR$60,MATCH(1,(GMW!$LQ$2:$LQ$60=I$3)*(GMW!$LP$2:$LP$60=I$4)*(GMW!$LR$2:$LR$60=I$1),0),$B87-1966)</f>
        <v>290292.8</v>
      </c>
    </row>
    <row r="88" spans="1:9" x14ac:dyDescent="0.25">
      <c r="A88" s="5">
        <f t="shared" si="4"/>
        <v>1993</v>
      </c>
      <c r="B88" s="5">
        <f t="shared" si="3"/>
        <v>2054</v>
      </c>
      <c r="C88" s="5" cm="1">
        <f t="array" ref="C88">INDEX(GMW!$A$2:$LR$60,MATCH(1,(GMW!$LQ$2:$LQ$60=C$3)*(GMW!$LP$2:$LP$60=C$4)*(GMW!$LR$2:$LR$60=C$1),0),$B88-1966)</f>
        <v>318302</v>
      </c>
      <c r="D88" s="5" cm="1">
        <f t="array" ref="D88">INDEX(GMW!$A$2:$LR$60,MATCH(1,(GMW!$LQ$2:$LQ$60=D$3)*(GMW!$LP$2:$LP$60=D$4)*(GMW!$LR$2:$LR$60=D$1),0),$B88-1966)</f>
        <v>2659.45</v>
      </c>
      <c r="E88" s="5" cm="1">
        <f t="array" ref="E88">INDEX(GMW!$A$2:$LR$60,MATCH(1,(GMW!$LQ$2:$LQ$60=E$3)*(GMW!$LP$2:$LP$60=E$4)*(GMW!$LR$2:$LR$60=E$1),0),$B88-1966)</f>
        <v>110343.9</v>
      </c>
      <c r="F88" s="5" cm="1">
        <f t="array" ref="F88">INDEX(GMW!$A$2:$LR$60,MATCH(1,(GMW!$LQ$2:$LQ$60=F$3)*(GMW!$LP$2:$LP$60=F$4)*(GMW!$LR$2:$LR$60=F$1),0),$B88-1966)</f>
        <v>562.11320000000001</v>
      </c>
      <c r="G88" s="5" cm="1">
        <f t="array" ref="G88">INDEX(GMW!$A$2:$LR$60,MATCH(1,(GMW!$LQ$2:$LQ$60=G$3)*(GMW!$LP$2:$LP$60=G$4)*(GMW!$LR$2:$LR$60=G$1),0),$B88-1966)</f>
        <v>400.18</v>
      </c>
      <c r="H88" s="5" cm="1">
        <f t="array" ref="H88">INDEX(GMW!$A$2:$LR$60,MATCH(1,(GMW!$LQ$2:$LQ$60=H$3)*(GMW!$LP$2:$LP$60=H$4)*(GMW!$LR$2:$LR$60=H$1),0),$B88-1966)</f>
        <v>355.31900000000002</v>
      </c>
      <c r="I88" s="5" cm="1">
        <f t="array" ref="I88">INDEX(GMW!$A$2:$LR$60,MATCH(1,(GMW!$LQ$2:$LQ$60=I$3)*(GMW!$LP$2:$LP$60=I$4)*(GMW!$LR$2:$LR$60=I$1),0),$B88-1966)</f>
        <v>292937</v>
      </c>
    </row>
    <row r="89" spans="1:9" x14ac:dyDescent="0.25">
      <c r="A89" s="5">
        <f t="shared" si="4"/>
        <v>1993</v>
      </c>
      <c r="B89" s="5">
        <f t="shared" si="3"/>
        <v>2055</v>
      </c>
      <c r="C89" s="5" cm="1">
        <f t="array" ref="C89">INDEX(GMW!$A$2:$LR$60,MATCH(1,(GMW!$LQ$2:$LQ$60=C$3)*(GMW!$LP$2:$LP$60=C$4)*(GMW!$LR$2:$LR$60=C$1),0),$B89-1966)</f>
        <v>321218</v>
      </c>
      <c r="D89" s="5" cm="1">
        <f t="array" ref="D89">INDEX(GMW!$A$2:$LR$60,MATCH(1,(GMW!$LQ$2:$LQ$60=D$3)*(GMW!$LP$2:$LP$60=D$4)*(GMW!$LR$2:$LR$60=D$1),0),$B89-1966)</f>
        <v>2672.15</v>
      </c>
      <c r="E89" s="5" cm="1">
        <f t="array" ref="E89">INDEX(GMW!$A$2:$LR$60,MATCH(1,(GMW!$LQ$2:$LQ$60=E$3)*(GMW!$LP$2:$LP$60=E$4)*(GMW!$LR$2:$LR$60=E$1),0),$B89-1966)</f>
        <v>109839</v>
      </c>
      <c r="F89" s="5" cm="1">
        <f t="array" ref="F89">INDEX(GMW!$A$2:$LR$60,MATCH(1,(GMW!$LQ$2:$LQ$60=F$3)*(GMW!$LP$2:$LP$60=F$4)*(GMW!$LR$2:$LR$60=F$1),0),$B89-1966)</f>
        <v>565.27890000000002</v>
      </c>
      <c r="G89" s="5" cm="1">
        <f t="array" ref="G89">INDEX(GMW!$A$2:$LR$60,MATCH(1,(GMW!$LQ$2:$LQ$60=G$3)*(GMW!$LP$2:$LP$60=G$4)*(GMW!$LR$2:$LR$60=G$1),0),$B89-1966)</f>
        <v>400.67</v>
      </c>
      <c r="H89" s="5" cm="1">
        <f t="array" ref="H89">INDEX(GMW!$A$2:$LR$60,MATCH(1,(GMW!$LQ$2:$LQ$60=H$3)*(GMW!$LP$2:$LP$60=H$4)*(GMW!$LR$2:$LR$60=H$1),0),$B89-1966)</f>
        <v>354.75799999999998</v>
      </c>
      <c r="I89" s="5" cm="1">
        <f t="array" ref="I89">INDEX(GMW!$A$2:$LR$60,MATCH(1,(GMW!$LQ$2:$LQ$60=I$3)*(GMW!$LP$2:$LP$60=I$4)*(GMW!$LR$2:$LR$60=I$1),0),$B89-1966)</f>
        <v>295738.5</v>
      </c>
    </row>
    <row r="90" spans="1:9" x14ac:dyDescent="0.25">
      <c r="A90" s="5">
        <f t="shared" si="4"/>
        <v>1993</v>
      </c>
      <c r="B90" s="5">
        <f t="shared" si="3"/>
        <v>2056</v>
      </c>
      <c r="C90" s="5" cm="1">
        <f t="array" ref="C90">INDEX(GMW!$A$2:$LR$60,MATCH(1,(GMW!$LQ$2:$LQ$60=C$3)*(GMW!$LP$2:$LP$60=C$4)*(GMW!$LR$2:$LR$60=C$1),0),$B90-1966)</f>
        <v>323400</v>
      </c>
      <c r="D90" s="5" cm="1">
        <f t="array" ref="D90">INDEX(GMW!$A$2:$LR$60,MATCH(1,(GMW!$LQ$2:$LQ$60=D$3)*(GMW!$LP$2:$LP$60=D$4)*(GMW!$LR$2:$LR$60=D$1),0),$B90-1966)</f>
        <v>2708.5</v>
      </c>
      <c r="E90" s="5" cm="1">
        <f t="array" ref="E90">INDEX(GMW!$A$2:$LR$60,MATCH(1,(GMW!$LQ$2:$LQ$60=E$3)*(GMW!$LP$2:$LP$60=E$4)*(GMW!$LR$2:$LR$60=E$1),0),$B90-1966)</f>
        <v>110263.7</v>
      </c>
      <c r="F90" s="5" cm="1">
        <f t="array" ref="F90">INDEX(GMW!$A$2:$LR$60,MATCH(1,(GMW!$LQ$2:$LQ$60=F$3)*(GMW!$LP$2:$LP$60=F$4)*(GMW!$LR$2:$LR$60=F$1),0),$B90-1966)</f>
        <v>564.88319999999999</v>
      </c>
      <c r="G90" s="5" cm="1">
        <f t="array" ref="G90">INDEX(GMW!$A$2:$LR$60,MATCH(1,(GMW!$LQ$2:$LQ$60=G$3)*(GMW!$LP$2:$LP$60=G$4)*(GMW!$LR$2:$LR$60=G$1),0),$B90-1966)</f>
        <v>401.72399999999999</v>
      </c>
      <c r="H90" s="5" cm="1">
        <f t="array" ref="H90">INDEX(GMW!$A$2:$LR$60,MATCH(1,(GMW!$LQ$2:$LQ$60=H$3)*(GMW!$LP$2:$LP$60=H$4)*(GMW!$LR$2:$LR$60=H$1),0),$B90-1966)</f>
        <v>357.35899999999998</v>
      </c>
      <c r="I90" s="5" cm="1">
        <f t="array" ref="I90">INDEX(GMW!$A$2:$LR$60,MATCH(1,(GMW!$LQ$2:$LQ$60=I$3)*(GMW!$LP$2:$LP$60=I$4)*(GMW!$LR$2:$LR$60=I$1),0),$B90-1966)</f>
        <v>297003.5</v>
      </c>
    </row>
    <row r="91" spans="1:9" x14ac:dyDescent="0.25">
      <c r="A91" s="5">
        <f t="shared" si="4"/>
        <v>1994</v>
      </c>
      <c r="B91" s="5">
        <f t="shared" si="3"/>
        <v>2057</v>
      </c>
      <c r="C91" s="5" cm="1">
        <f t="array" ref="C91">INDEX(GMW!$A$2:$LR$60,MATCH(1,(GMW!$LQ$2:$LQ$60=C$3)*(GMW!$LP$2:$LP$60=C$4)*(GMW!$LR$2:$LR$60=C$1),0),$B91-1966)</f>
        <v>326585</v>
      </c>
      <c r="D91" s="5" cm="1">
        <f t="array" ref="D91">INDEX(GMW!$A$2:$LR$60,MATCH(1,(GMW!$LQ$2:$LQ$60=D$3)*(GMW!$LP$2:$LP$60=D$4)*(GMW!$LR$2:$LR$60=D$1),0),$B91-1966)</f>
        <v>2734.7750000000001</v>
      </c>
      <c r="E91" s="5" cm="1">
        <f t="array" ref="E91">INDEX(GMW!$A$2:$LR$60,MATCH(1,(GMW!$LQ$2:$LQ$60=E$3)*(GMW!$LP$2:$LP$60=E$4)*(GMW!$LR$2:$LR$60=E$1),0),$B91-1966)</f>
        <v>111562.7</v>
      </c>
      <c r="F91" s="5" cm="1">
        <f t="array" ref="F91">INDEX(GMW!$A$2:$LR$60,MATCH(1,(GMW!$LQ$2:$LQ$60=F$3)*(GMW!$LP$2:$LP$60=F$4)*(GMW!$LR$2:$LR$60=F$1),0),$B91-1966)</f>
        <v>572.72389999999996</v>
      </c>
      <c r="G91" s="5" cm="1">
        <f t="array" ref="G91">INDEX(GMW!$A$2:$LR$60,MATCH(1,(GMW!$LQ$2:$LQ$60=G$3)*(GMW!$LP$2:$LP$60=G$4)*(GMW!$LR$2:$LR$60=G$1),0),$B91-1966)</f>
        <v>404.45100000000002</v>
      </c>
      <c r="H91" s="5" cm="1">
        <f t="array" ref="H91">INDEX(GMW!$A$2:$LR$60,MATCH(1,(GMW!$LQ$2:$LQ$60=H$3)*(GMW!$LP$2:$LP$60=H$4)*(GMW!$LR$2:$LR$60=H$1),0),$B91-1966)</f>
        <v>360.08100000000002</v>
      </c>
      <c r="I91" s="5" cm="1">
        <f t="array" ref="I91">INDEX(GMW!$A$2:$LR$60,MATCH(1,(GMW!$LQ$2:$LQ$60=I$3)*(GMW!$LP$2:$LP$60=I$4)*(GMW!$LR$2:$LR$60=I$1),0),$B91-1966)</f>
        <v>301382.8</v>
      </c>
    </row>
    <row r="92" spans="1:9" x14ac:dyDescent="0.25">
      <c r="A92" s="5">
        <f t="shared" si="4"/>
        <v>1994</v>
      </c>
      <c r="B92" s="5">
        <f t="shared" si="3"/>
        <v>2058</v>
      </c>
      <c r="C92" s="5" cm="1">
        <f t="array" ref="C92">INDEX(GMW!$A$2:$LR$60,MATCH(1,(GMW!$LQ$2:$LQ$60=C$3)*(GMW!$LP$2:$LP$60=C$4)*(GMW!$LR$2:$LR$60=C$1),0),$B92-1966)</f>
        <v>329584</v>
      </c>
      <c r="D92" s="5" cm="1">
        <f t="array" ref="D92">INDEX(GMW!$A$2:$LR$60,MATCH(1,(GMW!$LQ$2:$LQ$60=D$3)*(GMW!$LP$2:$LP$60=D$4)*(GMW!$LR$2:$LR$60=D$1),0),$B92-1966)</f>
        <v>2771.85</v>
      </c>
      <c r="E92" s="5" cm="1">
        <f t="array" ref="E92">INDEX(GMW!$A$2:$LR$60,MATCH(1,(GMW!$LQ$2:$LQ$60=E$3)*(GMW!$LP$2:$LP$60=E$4)*(GMW!$LR$2:$LR$60=E$1),0),$B92-1966)</f>
        <v>110952</v>
      </c>
      <c r="F92" s="5" cm="1">
        <f t="array" ref="F92">INDEX(GMW!$A$2:$LR$60,MATCH(1,(GMW!$LQ$2:$LQ$60=F$3)*(GMW!$LP$2:$LP$60=F$4)*(GMW!$LR$2:$LR$60=F$1),0),$B92-1966)</f>
        <v>576.05539999999996</v>
      </c>
      <c r="G92" s="5" cm="1">
        <f t="array" ref="G92">INDEX(GMW!$A$2:$LR$60,MATCH(1,(GMW!$LQ$2:$LQ$60=G$3)*(GMW!$LP$2:$LP$60=G$4)*(GMW!$LR$2:$LR$60=G$1),0),$B92-1966)</f>
        <v>408.50900000000001</v>
      </c>
      <c r="H92" s="5" cm="1">
        <f t="array" ref="H92">INDEX(GMW!$A$2:$LR$60,MATCH(1,(GMW!$LQ$2:$LQ$60=H$3)*(GMW!$LP$2:$LP$60=H$4)*(GMW!$LR$2:$LR$60=H$1),0),$B92-1966)</f>
        <v>362.68700000000001</v>
      </c>
      <c r="I92" s="5" cm="1">
        <f t="array" ref="I92">INDEX(GMW!$A$2:$LR$60,MATCH(1,(GMW!$LQ$2:$LQ$60=I$3)*(GMW!$LP$2:$LP$60=I$4)*(GMW!$LR$2:$LR$60=I$1),0),$B92-1966)</f>
        <v>305782.5</v>
      </c>
    </row>
    <row r="93" spans="1:9" x14ac:dyDescent="0.25">
      <c r="A93" s="5">
        <f t="shared" si="4"/>
        <v>1994</v>
      </c>
      <c r="B93" s="5">
        <f t="shared" si="3"/>
        <v>2059</v>
      </c>
      <c r="C93" s="5" cm="1">
        <f t="array" ref="C93">INDEX(GMW!$A$2:$LR$60,MATCH(1,(GMW!$LQ$2:$LQ$60=C$3)*(GMW!$LP$2:$LP$60=C$4)*(GMW!$LR$2:$LR$60=C$1),0),$B93-1966)</f>
        <v>332911</v>
      </c>
      <c r="D93" s="5" cm="1">
        <f t="array" ref="D93">INDEX(GMW!$A$2:$LR$60,MATCH(1,(GMW!$LQ$2:$LQ$60=D$3)*(GMW!$LP$2:$LP$60=D$4)*(GMW!$LR$2:$LR$60=D$1),0),$B93-1966)</f>
        <v>2788.05</v>
      </c>
      <c r="E93" s="5" cm="1">
        <f t="array" ref="E93">INDEX(GMW!$A$2:$LR$60,MATCH(1,(GMW!$LQ$2:$LQ$60=E$3)*(GMW!$LP$2:$LP$60=E$4)*(GMW!$LR$2:$LR$60=E$1),0),$B93-1966)</f>
        <v>112227</v>
      </c>
      <c r="F93" s="5" cm="1">
        <f t="array" ref="F93">INDEX(GMW!$A$2:$LR$60,MATCH(1,(GMW!$LQ$2:$LQ$60=F$3)*(GMW!$LP$2:$LP$60=F$4)*(GMW!$LR$2:$LR$60=F$1),0),$B93-1966)</f>
        <v>579.37750000000005</v>
      </c>
      <c r="G93" s="5" cm="1">
        <f t="array" ref="G93">INDEX(GMW!$A$2:$LR$60,MATCH(1,(GMW!$LQ$2:$LQ$60=G$3)*(GMW!$LP$2:$LP$60=G$4)*(GMW!$LR$2:$LR$60=G$1),0),$B93-1966)</f>
        <v>412.19900000000001</v>
      </c>
      <c r="H93" s="5" cm="1">
        <f t="array" ref="H93">INDEX(GMW!$A$2:$LR$60,MATCH(1,(GMW!$LQ$2:$LQ$60=H$3)*(GMW!$LP$2:$LP$60=H$4)*(GMW!$LR$2:$LR$60=H$1),0),$B93-1966)</f>
        <v>364.95</v>
      </c>
      <c r="I93" s="5" cm="1">
        <f t="array" ref="I93">INDEX(GMW!$A$2:$LR$60,MATCH(1,(GMW!$LQ$2:$LQ$60=I$3)*(GMW!$LP$2:$LP$60=I$4)*(GMW!$LR$2:$LR$60=I$1),0),$B93-1966)</f>
        <v>309702.8</v>
      </c>
    </row>
    <row r="94" spans="1:9" x14ac:dyDescent="0.25">
      <c r="A94" s="5">
        <f t="shared" si="4"/>
        <v>1994</v>
      </c>
      <c r="B94" s="5">
        <f t="shared" si="3"/>
        <v>2060</v>
      </c>
      <c r="C94" s="5" cm="1">
        <f t="array" ref="C94">INDEX(GMW!$A$2:$LR$60,MATCH(1,(GMW!$LQ$2:$LQ$60=C$3)*(GMW!$LP$2:$LP$60=C$4)*(GMW!$LR$2:$LR$60=C$1),0),$B94-1966)</f>
        <v>334363</v>
      </c>
      <c r="D94" s="5" cm="1">
        <f t="array" ref="D94">INDEX(GMW!$A$2:$LR$60,MATCH(1,(GMW!$LQ$2:$LQ$60=D$3)*(GMW!$LP$2:$LP$60=D$4)*(GMW!$LR$2:$LR$60=D$1),0),$B94-1966)</f>
        <v>2819.9749999999999</v>
      </c>
      <c r="E94" s="5" cm="1">
        <f t="array" ref="E94">INDEX(GMW!$A$2:$LR$60,MATCH(1,(GMW!$LQ$2:$LQ$60=E$3)*(GMW!$LP$2:$LP$60=E$4)*(GMW!$LR$2:$LR$60=E$1),0),$B94-1966)</f>
        <v>111792.8</v>
      </c>
      <c r="F94" s="5" cm="1">
        <f t="array" ref="F94">INDEX(GMW!$A$2:$LR$60,MATCH(1,(GMW!$LQ$2:$LQ$60=F$3)*(GMW!$LP$2:$LP$60=F$4)*(GMW!$LR$2:$LR$60=F$1),0),$B94-1966)</f>
        <v>585.87469999999996</v>
      </c>
      <c r="G94" s="5" cm="1">
        <f t="array" ref="G94">INDEX(GMW!$A$2:$LR$60,MATCH(1,(GMW!$LQ$2:$LQ$60=G$3)*(GMW!$LP$2:$LP$60=G$4)*(GMW!$LR$2:$LR$60=G$1),0),$B94-1966)</f>
        <v>416.08499999999998</v>
      </c>
      <c r="H94" s="5" cm="1">
        <f t="array" ref="H94">INDEX(GMW!$A$2:$LR$60,MATCH(1,(GMW!$LQ$2:$LQ$60=H$3)*(GMW!$LP$2:$LP$60=H$4)*(GMW!$LR$2:$LR$60=H$1),0),$B94-1966)</f>
        <v>368.37599999999998</v>
      </c>
      <c r="I94" s="5" cm="1">
        <f t="array" ref="I94">INDEX(GMW!$A$2:$LR$60,MATCH(1,(GMW!$LQ$2:$LQ$60=I$3)*(GMW!$LP$2:$LP$60=I$4)*(GMW!$LR$2:$LR$60=I$1),0),$B94-1966)</f>
        <v>311952.5</v>
      </c>
    </row>
    <row r="95" spans="1:9" x14ac:dyDescent="0.25">
      <c r="A95" s="5">
        <f t="shared" si="4"/>
        <v>1995</v>
      </c>
      <c r="B95" s="5">
        <f t="shared" si="3"/>
        <v>2061</v>
      </c>
      <c r="C95" s="5" cm="1">
        <f t="array" ref="C95">INDEX(GMW!$A$2:$LR$60,MATCH(1,(GMW!$LQ$2:$LQ$60=C$3)*(GMW!$LP$2:$LP$60=C$4)*(GMW!$LR$2:$LR$60=C$1),0),$B95-1966)</f>
        <v>336090</v>
      </c>
      <c r="D95" s="5" cm="1">
        <f t="array" ref="D95">INDEX(GMW!$A$2:$LR$60,MATCH(1,(GMW!$LQ$2:$LQ$60=D$3)*(GMW!$LP$2:$LP$60=D$4)*(GMW!$LR$2:$LR$60=D$1),0),$B95-1966)</f>
        <v>2830</v>
      </c>
      <c r="E95" s="5" cm="1">
        <f t="array" ref="E95">INDEX(GMW!$A$2:$LR$60,MATCH(1,(GMW!$LQ$2:$LQ$60=E$3)*(GMW!$LP$2:$LP$60=E$4)*(GMW!$LR$2:$LR$60=E$1),0),$B95-1966)</f>
        <v>113013.4</v>
      </c>
      <c r="F95" s="5" cm="1">
        <f t="array" ref="F95">INDEX(GMW!$A$2:$LR$60,MATCH(1,(GMW!$LQ$2:$LQ$60=F$3)*(GMW!$LP$2:$LP$60=F$4)*(GMW!$LR$2:$LR$60=F$1),0),$B95-1966)</f>
        <v>583.50040000000001</v>
      </c>
      <c r="G95" s="5" cm="1">
        <f t="array" ref="G95">INDEX(GMW!$A$2:$LR$60,MATCH(1,(GMW!$LQ$2:$LQ$60=G$3)*(GMW!$LP$2:$LP$60=G$4)*(GMW!$LR$2:$LR$60=G$1),0),$B95-1966)</f>
        <v>418.05099999999999</v>
      </c>
      <c r="H95" s="5" cm="1">
        <f t="array" ref="H95">INDEX(GMW!$A$2:$LR$60,MATCH(1,(GMW!$LQ$2:$LQ$60=H$3)*(GMW!$LP$2:$LP$60=H$4)*(GMW!$LR$2:$LR$60=H$1),0),$B95-1966)</f>
        <v>373</v>
      </c>
      <c r="I95" s="5" cm="1">
        <f t="array" ref="I95">INDEX(GMW!$A$2:$LR$60,MATCH(1,(GMW!$LQ$2:$LQ$60=I$3)*(GMW!$LP$2:$LP$60=I$4)*(GMW!$LR$2:$LR$60=I$1),0),$B95-1966)</f>
        <v>314818.8</v>
      </c>
    </row>
    <row r="96" spans="1:9" x14ac:dyDescent="0.25">
      <c r="A96" s="5">
        <f t="shared" si="4"/>
        <v>1995</v>
      </c>
      <c r="B96" s="5">
        <f t="shared" si="3"/>
        <v>2062</v>
      </c>
      <c r="C96" s="5" cm="1">
        <f t="array" ref="C96">INDEX(GMW!$A$2:$LR$60,MATCH(1,(GMW!$LQ$2:$LQ$60=C$3)*(GMW!$LP$2:$LP$60=C$4)*(GMW!$LR$2:$LR$60=C$1),0),$B96-1966)</f>
        <v>336789</v>
      </c>
      <c r="D96" s="5" cm="1">
        <f t="array" ref="D96">INDEX(GMW!$A$2:$LR$60,MATCH(1,(GMW!$LQ$2:$LQ$60=D$3)*(GMW!$LP$2:$LP$60=D$4)*(GMW!$LR$2:$LR$60=D$1),0),$B96-1966)</f>
        <v>2838.4250000000002</v>
      </c>
      <c r="E96" s="5" cm="1">
        <f t="array" ref="E96">INDEX(GMW!$A$2:$LR$60,MATCH(1,(GMW!$LQ$2:$LQ$60=E$3)*(GMW!$LP$2:$LP$60=E$4)*(GMW!$LR$2:$LR$60=E$1),0),$B96-1966)</f>
        <v>114083.8</v>
      </c>
      <c r="F96" s="5" cm="1">
        <f t="array" ref="F96">INDEX(GMW!$A$2:$LR$60,MATCH(1,(GMW!$LQ$2:$LQ$60=F$3)*(GMW!$LP$2:$LP$60=F$4)*(GMW!$LR$2:$LR$60=F$1),0),$B96-1966)</f>
        <v>588.24900000000002</v>
      </c>
      <c r="G96" s="5" cm="1">
        <f t="array" ref="G96">INDEX(GMW!$A$2:$LR$60,MATCH(1,(GMW!$LQ$2:$LQ$60=G$3)*(GMW!$LP$2:$LP$60=G$4)*(GMW!$LR$2:$LR$60=G$1),0),$B96-1966)</f>
        <v>420.79199999999997</v>
      </c>
      <c r="H96" s="5" cm="1">
        <f t="array" ref="H96">INDEX(GMW!$A$2:$LR$60,MATCH(1,(GMW!$LQ$2:$LQ$60=H$3)*(GMW!$LP$2:$LP$60=H$4)*(GMW!$LR$2:$LR$60=H$1),0),$B96-1966)</f>
        <v>373.262</v>
      </c>
      <c r="I96" s="5" cm="1">
        <f t="array" ref="I96">INDEX(GMW!$A$2:$LR$60,MATCH(1,(GMW!$LQ$2:$LQ$60=I$3)*(GMW!$LP$2:$LP$60=I$4)*(GMW!$LR$2:$LR$60=I$1),0),$B96-1966)</f>
        <v>314952.5</v>
      </c>
    </row>
    <row r="97" spans="1:9" x14ac:dyDescent="0.25">
      <c r="A97" s="5">
        <f t="shared" si="4"/>
        <v>1995</v>
      </c>
      <c r="B97" s="5">
        <f t="shared" si="3"/>
        <v>2063</v>
      </c>
      <c r="C97" s="5" cm="1">
        <f t="array" ref="C97">INDEX(GMW!$A$2:$LR$60,MATCH(1,(GMW!$LQ$2:$LQ$60=C$3)*(GMW!$LP$2:$LP$60=C$4)*(GMW!$LR$2:$LR$60=C$1),0),$B97-1966)</f>
        <v>340542</v>
      </c>
      <c r="D97" s="5" cm="1">
        <f t="array" ref="D97">INDEX(GMW!$A$2:$LR$60,MATCH(1,(GMW!$LQ$2:$LQ$60=D$3)*(GMW!$LP$2:$LP$60=D$4)*(GMW!$LR$2:$LR$60=D$1),0),$B97-1966)</f>
        <v>2862.5749999999998</v>
      </c>
      <c r="E97" s="5" cm="1">
        <f t="array" ref="E97">INDEX(GMW!$A$2:$LR$60,MATCH(1,(GMW!$LQ$2:$LQ$60=E$3)*(GMW!$LP$2:$LP$60=E$4)*(GMW!$LR$2:$LR$60=E$1),0),$B97-1966)</f>
        <v>115422.8</v>
      </c>
      <c r="F97" s="5" cm="1">
        <f t="array" ref="F97">INDEX(GMW!$A$2:$LR$60,MATCH(1,(GMW!$LQ$2:$LQ$60=F$3)*(GMW!$LP$2:$LP$60=F$4)*(GMW!$LR$2:$LR$60=F$1),0),$B97-1966)</f>
        <v>589.27970000000005</v>
      </c>
      <c r="G97" s="5" cm="1">
        <f t="array" ref="G97">INDEX(GMW!$A$2:$LR$60,MATCH(1,(GMW!$LQ$2:$LQ$60=G$3)*(GMW!$LP$2:$LP$60=G$4)*(GMW!$LR$2:$LR$60=G$1),0),$B97-1966)</f>
        <v>421.44900000000001</v>
      </c>
      <c r="H97" s="5" cm="1">
        <f t="array" ref="H97">INDEX(GMW!$A$2:$LR$60,MATCH(1,(GMW!$LQ$2:$LQ$60=H$3)*(GMW!$LP$2:$LP$60=H$4)*(GMW!$LR$2:$LR$60=H$1),0),$B97-1966)</f>
        <v>374.92200000000003</v>
      </c>
      <c r="I97" s="5" cm="1">
        <f t="array" ref="I97">INDEX(GMW!$A$2:$LR$60,MATCH(1,(GMW!$LQ$2:$LQ$60=I$3)*(GMW!$LP$2:$LP$60=I$4)*(GMW!$LR$2:$LR$60=I$1),0),$B97-1966)</f>
        <v>315368.8</v>
      </c>
    </row>
    <row r="98" spans="1:9" x14ac:dyDescent="0.25">
      <c r="A98" s="5">
        <f t="shared" si="4"/>
        <v>1995</v>
      </c>
      <c r="B98" s="5">
        <f t="shared" si="3"/>
        <v>2064</v>
      </c>
      <c r="C98" s="5" cm="1">
        <f t="array" ref="C98">INDEX(GMW!$A$2:$LR$60,MATCH(1,(GMW!$LQ$2:$LQ$60=C$3)*(GMW!$LP$2:$LP$60=C$4)*(GMW!$LR$2:$LR$60=C$1),0),$B98-1966)</f>
        <v>341602</v>
      </c>
      <c r="D98" s="5" cm="1">
        <f t="array" ref="D98">INDEX(GMW!$A$2:$LR$60,MATCH(1,(GMW!$LQ$2:$LQ$60=D$3)*(GMW!$LP$2:$LP$60=D$4)*(GMW!$LR$2:$LR$60=D$1),0),$B98-1966)</f>
        <v>2882.0250000000001</v>
      </c>
      <c r="E98" s="5" cm="1">
        <f t="array" ref="E98">INDEX(GMW!$A$2:$LR$60,MATCH(1,(GMW!$LQ$2:$LQ$60=E$3)*(GMW!$LP$2:$LP$60=E$4)*(GMW!$LR$2:$LR$60=E$1),0),$B98-1966)</f>
        <v>115713.4</v>
      </c>
      <c r="F98" s="5" cm="1">
        <f t="array" ref="F98">INDEX(GMW!$A$2:$LR$60,MATCH(1,(GMW!$LQ$2:$LQ$60=F$3)*(GMW!$LP$2:$LP$60=F$4)*(GMW!$LR$2:$LR$60=F$1),0),$B98-1966)</f>
        <v>589.51900000000001</v>
      </c>
      <c r="G98" s="5" cm="1">
        <f t="array" ref="G98">INDEX(GMW!$A$2:$LR$60,MATCH(1,(GMW!$LQ$2:$LQ$60=G$3)*(GMW!$LP$2:$LP$60=G$4)*(GMW!$LR$2:$LR$60=G$1),0),$B98-1966)</f>
        <v>421.28300000000002</v>
      </c>
      <c r="H98" s="5" cm="1">
        <f t="array" ref="H98">INDEX(GMW!$A$2:$LR$60,MATCH(1,(GMW!$LQ$2:$LQ$60=H$3)*(GMW!$LP$2:$LP$60=H$4)*(GMW!$LR$2:$LR$60=H$1),0),$B98-1966)</f>
        <v>378.02699999999999</v>
      </c>
      <c r="I98" s="5" cm="1">
        <f t="array" ref="I98">INDEX(GMW!$A$2:$LR$60,MATCH(1,(GMW!$LQ$2:$LQ$60=I$3)*(GMW!$LP$2:$LP$60=I$4)*(GMW!$LR$2:$LR$60=I$1),0),$B98-1966)</f>
        <v>316641.5</v>
      </c>
    </row>
    <row r="99" spans="1:9" x14ac:dyDescent="0.25">
      <c r="A99" s="5">
        <f t="shared" si="4"/>
        <v>1996</v>
      </c>
      <c r="B99" s="5">
        <f t="shared" si="3"/>
        <v>2065</v>
      </c>
      <c r="C99" s="5" cm="1">
        <f t="array" ref="C99">INDEX(GMW!$A$2:$LR$60,MATCH(1,(GMW!$LQ$2:$LQ$60=C$3)*(GMW!$LP$2:$LP$60=C$4)*(GMW!$LR$2:$LR$60=C$1),0),$B99-1966)</f>
        <v>343859</v>
      </c>
      <c r="D99" s="5" cm="1">
        <f t="array" ref="D99">INDEX(GMW!$A$2:$LR$60,MATCH(1,(GMW!$LQ$2:$LQ$60=D$3)*(GMW!$LP$2:$LP$60=D$4)*(GMW!$LR$2:$LR$60=D$1),0),$B99-1966)</f>
        <v>2903.6</v>
      </c>
      <c r="E99" s="5" cm="1">
        <f t="array" ref="E99">INDEX(GMW!$A$2:$LR$60,MATCH(1,(GMW!$LQ$2:$LQ$60=E$3)*(GMW!$LP$2:$LP$60=E$4)*(GMW!$LR$2:$LR$60=E$1),0),$B99-1966)</f>
        <v>116649</v>
      </c>
      <c r="F99" s="5" cm="1">
        <f t="array" ref="F99">INDEX(GMW!$A$2:$LR$60,MATCH(1,(GMW!$LQ$2:$LQ$60=F$3)*(GMW!$LP$2:$LP$60=F$4)*(GMW!$LR$2:$LR$60=F$1),0),$B99-1966)</f>
        <v>585.39610000000005</v>
      </c>
      <c r="G99" s="5" cm="1">
        <f t="array" ref="G99">INDEX(GMW!$A$2:$LR$60,MATCH(1,(GMW!$LQ$2:$LQ$60=G$3)*(GMW!$LP$2:$LP$60=G$4)*(GMW!$LR$2:$LR$60=G$1),0),$B99-1966)</f>
        <v>424.21100000000001</v>
      </c>
      <c r="H99" s="5" cm="1">
        <f t="array" ref="H99">INDEX(GMW!$A$2:$LR$60,MATCH(1,(GMW!$LQ$2:$LQ$60=H$3)*(GMW!$LP$2:$LP$60=H$4)*(GMW!$LR$2:$LR$60=H$1),0),$B99-1966)</f>
        <v>379.565</v>
      </c>
      <c r="I99" s="5" cm="1">
        <f t="array" ref="I99">INDEX(GMW!$A$2:$LR$60,MATCH(1,(GMW!$LQ$2:$LQ$60=I$3)*(GMW!$LP$2:$LP$60=I$4)*(GMW!$LR$2:$LR$60=I$1),0),$B99-1966)</f>
        <v>317101</v>
      </c>
    </row>
    <row r="100" spans="1:9" x14ac:dyDescent="0.25">
      <c r="A100" s="5">
        <f t="shared" si="4"/>
        <v>1996</v>
      </c>
      <c r="B100" s="5">
        <f t="shared" si="3"/>
        <v>2066</v>
      </c>
      <c r="C100" s="5" cm="1">
        <f t="array" ref="C100">INDEX(GMW!$A$2:$LR$60,MATCH(1,(GMW!$LQ$2:$LQ$60=C$3)*(GMW!$LP$2:$LP$60=C$4)*(GMW!$LR$2:$LR$60=C$1),0),$B100-1966)</f>
        <v>344979</v>
      </c>
      <c r="D100" s="5" cm="1">
        <f t="array" ref="D100">INDEX(GMW!$A$2:$LR$60,MATCH(1,(GMW!$LQ$2:$LQ$60=D$3)*(GMW!$LP$2:$LP$60=D$4)*(GMW!$LR$2:$LR$60=D$1),0),$B100-1966)</f>
        <v>2952.0250000000001</v>
      </c>
      <c r="E100" s="5" cm="1">
        <f t="array" ref="E100">INDEX(GMW!$A$2:$LR$60,MATCH(1,(GMW!$LQ$2:$LQ$60=E$3)*(GMW!$LP$2:$LP$60=E$4)*(GMW!$LR$2:$LR$60=E$1),0),$B100-1966)</f>
        <v>118135.9</v>
      </c>
      <c r="F100" s="5" cm="1">
        <f t="array" ref="F100">INDEX(GMW!$A$2:$LR$60,MATCH(1,(GMW!$LQ$2:$LQ$60=F$3)*(GMW!$LP$2:$LP$60=F$4)*(GMW!$LR$2:$LR$60=F$1),0),$B100-1966)</f>
        <v>593.55899999999997</v>
      </c>
      <c r="G100" s="5" cm="1">
        <f t="array" ref="G100">INDEX(GMW!$A$2:$LR$60,MATCH(1,(GMW!$LQ$2:$LQ$60=G$3)*(GMW!$LP$2:$LP$60=G$4)*(GMW!$LR$2:$LR$60=G$1),0),$B100-1966)</f>
        <v>425.029</v>
      </c>
      <c r="H100" s="5" cm="1">
        <f t="array" ref="H100">INDEX(GMW!$A$2:$LR$60,MATCH(1,(GMW!$LQ$2:$LQ$60=H$3)*(GMW!$LP$2:$LP$60=H$4)*(GMW!$LR$2:$LR$60=H$1),0),$B100-1966)</f>
        <v>379.58300000000003</v>
      </c>
      <c r="I100" s="5" cm="1">
        <f t="array" ref="I100">INDEX(GMW!$A$2:$LR$60,MATCH(1,(GMW!$LQ$2:$LQ$60=I$3)*(GMW!$LP$2:$LP$60=I$4)*(GMW!$LR$2:$LR$60=I$1),0),$B100-1966)</f>
        <v>319358.5</v>
      </c>
    </row>
    <row r="101" spans="1:9" x14ac:dyDescent="0.25">
      <c r="A101" s="5">
        <f t="shared" si="4"/>
        <v>1996</v>
      </c>
      <c r="B101" s="5">
        <f t="shared" si="3"/>
        <v>2067</v>
      </c>
      <c r="C101" s="5" cm="1">
        <f t="array" ref="C101">INDEX(GMW!$A$2:$LR$60,MATCH(1,(GMW!$LQ$2:$LQ$60=C$3)*(GMW!$LP$2:$LP$60=C$4)*(GMW!$LR$2:$LR$60=C$1),0),$B101-1966)</f>
        <v>348214</v>
      </c>
      <c r="D101" s="5" cm="1">
        <f t="array" ref="D101">INDEX(GMW!$A$2:$LR$60,MATCH(1,(GMW!$LQ$2:$LQ$60=D$3)*(GMW!$LP$2:$LP$60=D$4)*(GMW!$LR$2:$LR$60=D$1),0),$B101-1966)</f>
        <v>2978.5250000000001</v>
      </c>
      <c r="E101" s="5" cm="1">
        <f t="array" ref="E101">INDEX(GMW!$A$2:$LR$60,MATCH(1,(GMW!$LQ$2:$LQ$60=E$3)*(GMW!$LP$2:$LP$60=E$4)*(GMW!$LR$2:$LR$60=E$1),0),$B101-1966)</f>
        <v>118290.6</v>
      </c>
      <c r="F101" s="5" cm="1">
        <f t="array" ref="F101">INDEX(GMW!$A$2:$LR$60,MATCH(1,(GMW!$LQ$2:$LQ$60=F$3)*(GMW!$LP$2:$LP$60=F$4)*(GMW!$LR$2:$LR$60=F$1),0),$B101-1966)</f>
        <v>595.62040000000002</v>
      </c>
      <c r="G101" s="5" cm="1">
        <f t="array" ref="G101">INDEX(GMW!$A$2:$LR$60,MATCH(1,(GMW!$LQ$2:$LQ$60=G$3)*(GMW!$LP$2:$LP$60=G$4)*(GMW!$LR$2:$LR$60=G$1),0),$B101-1966)</f>
        <v>426.67</v>
      </c>
      <c r="H101" s="5" cm="1">
        <f t="array" ref="H101">INDEX(GMW!$A$2:$LR$60,MATCH(1,(GMW!$LQ$2:$LQ$60=H$3)*(GMW!$LP$2:$LP$60=H$4)*(GMW!$LR$2:$LR$60=H$1),0),$B101-1966)</f>
        <v>380.00599999999997</v>
      </c>
      <c r="I101" s="5" cm="1">
        <f t="array" ref="I101">INDEX(GMW!$A$2:$LR$60,MATCH(1,(GMW!$LQ$2:$LQ$60=I$3)*(GMW!$LP$2:$LP$60=I$4)*(GMW!$LR$2:$LR$60=I$1),0),$B101-1966)</f>
        <v>322040.8</v>
      </c>
    </row>
    <row r="102" spans="1:9" x14ac:dyDescent="0.25">
      <c r="A102" s="5">
        <f t="shared" si="4"/>
        <v>1996</v>
      </c>
      <c r="B102" s="5">
        <f t="shared" si="3"/>
        <v>2068</v>
      </c>
      <c r="C102" s="5" cm="1">
        <f t="array" ref="C102">INDEX(GMW!$A$2:$LR$60,MATCH(1,(GMW!$LQ$2:$LQ$60=C$3)*(GMW!$LP$2:$LP$60=C$4)*(GMW!$LR$2:$LR$60=C$1),0),$B102-1966)</f>
        <v>352958</v>
      </c>
      <c r="D102" s="5" cm="1">
        <f t="array" ref="D102">INDEX(GMW!$A$2:$LR$60,MATCH(1,(GMW!$LQ$2:$LQ$60=D$3)*(GMW!$LP$2:$LP$60=D$4)*(GMW!$LR$2:$LR$60=D$1),0),$B102-1966)</f>
        <v>3009.45</v>
      </c>
      <c r="E102" s="5" cm="1">
        <f t="array" ref="E102">INDEX(GMW!$A$2:$LR$60,MATCH(1,(GMW!$LQ$2:$LQ$60=E$3)*(GMW!$LP$2:$LP$60=E$4)*(GMW!$LR$2:$LR$60=E$1),0),$B102-1966)</f>
        <v>119611.5</v>
      </c>
      <c r="F102" s="5" cm="1">
        <f t="array" ref="F102">INDEX(GMW!$A$2:$LR$60,MATCH(1,(GMW!$LQ$2:$LQ$60=F$3)*(GMW!$LP$2:$LP$60=F$4)*(GMW!$LR$2:$LR$60=F$1),0),$B102-1966)</f>
        <v>601.00400000000002</v>
      </c>
      <c r="G102" s="5" cm="1">
        <f t="array" ref="G102">INDEX(GMW!$A$2:$LR$60,MATCH(1,(GMW!$LQ$2:$LQ$60=G$3)*(GMW!$LP$2:$LP$60=G$4)*(GMW!$LR$2:$LR$60=G$1),0),$B102-1966)</f>
        <v>428.31099999999998</v>
      </c>
      <c r="H102" s="5" cm="1">
        <f t="array" ref="H102">INDEX(GMW!$A$2:$LR$60,MATCH(1,(GMW!$LQ$2:$LQ$60=H$3)*(GMW!$LP$2:$LP$60=H$4)*(GMW!$LR$2:$LR$60=H$1),0),$B102-1966)</f>
        <v>378.83800000000002</v>
      </c>
      <c r="I102" s="5" cm="1">
        <f t="array" ref="I102">INDEX(GMW!$A$2:$LR$60,MATCH(1,(GMW!$LQ$2:$LQ$60=I$3)*(GMW!$LP$2:$LP$60=I$4)*(GMW!$LR$2:$LR$60=I$1),0),$B102-1966)</f>
        <v>324592.3</v>
      </c>
    </row>
    <row r="103" spans="1:9" x14ac:dyDescent="0.25">
      <c r="A103" s="5">
        <f t="shared" si="4"/>
        <v>1997</v>
      </c>
      <c r="B103" s="5">
        <f t="shared" si="3"/>
        <v>2069</v>
      </c>
      <c r="C103" s="5" cm="1">
        <f t="array" ref="C103">INDEX(GMW!$A$2:$LR$60,MATCH(1,(GMW!$LQ$2:$LQ$60=C$3)*(GMW!$LP$2:$LP$60=C$4)*(GMW!$LR$2:$LR$60=C$1),0),$B103-1966)</f>
        <v>358611</v>
      </c>
      <c r="D103" s="5" cm="1">
        <f t="array" ref="D103">INDEX(GMW!$A$2:$LR$60,MATCH(1,(GMW!$LQ$2:$LQ$60=D$3)*(GMW!$LP$2:$LP$60=D$4)*(GMW!$LR$2:$LR$60=D$1),0),$B103-1966)</f>
        <v>3028.875</v>
      </c>
      <c r="E103" s="5" cm="1">
        <f t="array" ref="E103">INDEX(GMW!$A$2:$LR$60,MATCH(1,(GMW!$LQ$2:$LQ$60=E$3)*(GMW!$LP$2:$LP$60=E$4)*(GMW!$LR$2:$LR$60=E$1),0),$B103-1966)</f>
        <v>119901</v>
      </c>
      <c r="F103" s="5" cm="1">
        <f t="array" ref="F103">INDEX(GMW!$A$2:$LR$60,MATCH(1,(GMW!$LQ$2:$LQ$60=F$3)*(GMW!$LP$2:$LP$60=F$4)*(GMW!$LR$2:$LR$60=F$1),0),$B103-1966)</f>
        <v>598.15110000000004</v>
      </c>
      <c r="G103" s="5" cm="1">
        <f t="array" ref="G103">INDEX(GMW!$A$2:$LR$60,MATCH(1,(GMW!$LQ$2:$LQ$60=G$3)*(GMW!$LP$2:$LP$60=G$4)*(GMW!$LR$2:$LR$60=G$1),0),$B103-1966)</f>
        <v>430.14</v>
      </c>
      <c r="H103" s="5" cm="1">
        <f t="array" ref="H103">INDEX(GMW!$A$2:$LR$60,MATCH(1,(GMW!$LQ$2:$LQ$60=H$3)*(GMW!$LP$2:$LP$60=H$4)*(GMW!$LR$2:$LR$60=H$1),0),$B103-1966)</f>
        <v>379.99299999999999</v>
      </c>
      <c r="I103" s="5" cm="1">
        <f t="array" ref="I103">INDEX(GMW!$A$2:$LR$60,MATCH(1,(GMW!$LQ$2:$LQ$60=I$3)*(GMW!$LP$2:$LP$60=I$4)*(GMW!$LR$2:$LR$60=I$1),0),$B103-1966)</f>
        <v>328941.5</v>
      </c>
    </row>
    <row r="104" spans="1:9" x14ac:dyDescent="0.25">
      <c r="A104" s="5">
        <f t="shared" si="4"/>
        <v>1997</v>
      </c>
      <c r="B104" s="5">
        <f t="shared" si="3"/>
        <v>2070</v>
      </c>
      <c r="C104" s="5" cm="1">
        <f t="array" ref="C104">INDEX(GMW!$A$2:$LR$60,MATCH(1,(GMW!$LQ$2:$LQ$60=C$3)*(GMW!$LP$2:$LP$60=C$4)*(GMW!$LR$2:$LR$60=C$1),0),$B104-1966)</f>
        <v>362573</v>
      </c>
      <c r="D104" s="5" cm="1">
        <f t="array" ref="D104">INDEX(GMW!$A$2:$LR$60,MATCH(1,(GMW!$LQ$2:$LQ$60=D$3)*(GMW!$LP$2:$LP$60=D$4)*(GMW!$LR$2:$LR$60=D$1),0),$B104-1966)</f>
        <v>3079.3</v>
      </c>
      <c r="E104" s="5" cm="1">
        <f t="array" ref="E104">INDEX(GMW!$A$2:$LR$60,MATCH(1,(GMW!$LQ$2:$LQ$60=E$3)*(GMW!$LP$2:$LP$60=E$4)*(GMW!$LR$2:$LR$60=E$1),0),$B104-1966)</f>
        <v>119018.6</v>
      </c>
      <c r="F104" s="5" cm="1">
        <f t="array" ref="F104">INDEX(GMW!$A$2:$LR$60,MATCH(1,(GMW!$LQ$2:$LQ$60=F$3)*(GMW!$LP$2:$LP$60=F$4)*(GMW!$LR$2:$LR$60=F$1),0),$B104-1966)</f>
        <v>604.88760000000002</v>
      </c>
      <c r="G104" s="5" cm="1">
        <f t="array" ref="G104">INDEX(GMW!$A$2:$LR$60,MATCH(1,(GMW!$LQ$2:$LQ$60=G$3)*(GMW!$LP$2:$LP$60=G$4)*(GMW!$LR$2:$LR$60=G$1),0),$B104-1966)</f>
        <v>434.654</v>
      </c>
      <c r="H104" s="5" cm="1">
        <f t="array" ref="H104">INDEX(GMW!$A$2:$LR$60,MATCH(1,(GMW!$LQ$2:$LQ$60=H$3)*(GMW!$LP$2:$LP$60=H$4)*(GMW!$LR$2:$LR$60=H$1),0),$B104-1966)</f>
        <v>385.20499999999998</v>
      </c>
      <c r="I104" s="5" cm="1">
        <f t="array" ref="I104">INDEX(GMW!$A$2:$LR$60,MATCH(1,(GMW!$LQ$2:$LQ$60=I$3)*(GMW!$LP$2:$LP$60=I$4)*(GMW!$LR$2:$LR$60=I$1),0),$B104-1966)</f>
        <v>332643.3</v>
      </c>
    </row>
    <row r="105" spans="1:9" x14ac:dyDescent="0.25">
      <c r="A105" s="5">
        <f t="shared" si="4"/>
        <v>1997</v>
      </c>
      <c r="B105" s="5">
        <f t="shared" si="3"/>
        <v>2071</v>
      </c>
      <c r="C105" s="5" cm="1">
        <f t="array" ref="C105">INDEX(GMW!$A$2:$LR$60,MATCH(1,(GMW!$LQ$2:$LQ$60=C$3)*(GMW!$LP$2:$LP$60=C$4)*(GMW!$LR$2:$LR$60=C$1),0),$B105-1966)</f>
        <v>365942</v>
      </c>
      <c r="D105" s="5" cm="1">
        <f t="array" ref="D105">INDEX(GMW!$A$2:$LR$60,MATCH(1,(GMW!$LQ$2:$LQ$60=D$3)*(GMW!$LP$2:$LP$60=D$4)*(GMW!$LR$2:$LR$60=D$1),0),$B105-1966)</f>
        <v>3117.75</v>
      </c>
      <c r="E105" s="5" cm="1">
        <f t="array" ref="E105">INDEX(GMW!$A$2:$LR$60,MATCH(1,(GMW!$LQ$2:$LQ$60=E$3)*(GMW!$LP$2:$LP$60=E$4)*(GMW!$LR$2:$LR$60=E$1),0),$B105-1966)</f>
        <v>119251.9</v>
      </c>
      <c r="F105" s="5" cm="1">
        <f t="array" ref="F105">INDEX(GMW!$A$2:$LR$60,MATCH(1,(GMW!$LQ$2:$LQ$60=F$3)*(GMW!$LP$2:$LP$60=F$4)*(GMW!$LR$2:$LR$60=F$1),0),$B105-1966)</f>
        <v>607.02260000000001</v>
      </c>
      <c r="G105" s="5" cm="1">
        <f t="array" ref="G105">INDEX(GMW!$A$2:$LR$60,MATCH(1,(GMW!$LQ$2:$LQ$60=G$3)*(GMW!$LP$2:$LP$60=G$4)*(GMW!$LR$2:$LR$60=G$1),0),$B105-1966)</f>
        <v>438.976</v>
      </c>
      <c r="H105" s="5" cm="1">
        <f t="array" ref="H105">INDEX(GMW!$A$2:$LR$60,MATCH(1,(GMW!$LQ$2:$LQ$60=H$3)*(GMW!$LP$2:$LP$60=H$4)*(GMW!$LR$2:$LR$60=H$1),0),$B105-1966)</f>
        <v>387.935</v>
      </c>
      <c r="I105" s="5" cm="1">
        <f t="array" ref="I105">INDEX(GMW!$A$2:$LR$60,MATCH(1,(GMW!$LQ$2:$LQ$60=I$3)*(GMW!$LP$2:$LP$60=I$4)*(GMW!$LR$2:$LR$60=I$1),0),$B105-1966)</f>
        <v>336586.8</v>
      </c>
    </row>
    <row r="106" spans="1:9" x14ac:dyDescent="0.25">
      <c r="A106" s="5">
        <f t="shared" si="4"/>
        <v>1997</v>
      </c>
      <c r="B106" s="5">
        <f t="shared" si="3"/>
        <v>2072</v>
      </c>
      <c r="C106" s="5" cm="1">
        <f t="array" ref="C106">INDEX(GMW!$A$2:$LR$60,MATCH(1,(GMW!$LQ$2:$LQ$60=C$3)*(GMW!$LP$2:$LP$60=C$4)*(GMW!$LR$2:$LR$60=C$1),0),$B106-1966)</f>
        <v>371341</v>
      </c>
      <c r="D106" s="5" cm="1">
        <f t="array" ref="D106">INDEX(GMW!$A$2:$LR$60,MATCH(1,(GMW!$LQ$2:$LQ$60=D$3)*(GMW!$LP$2:$LP$60=D$4)*(GMW!$LR$2:$LR$60=D$1),0),$B106-1966)</f>
        <v>3144.375</v>
      </c>
      <c r="E106" s="5" cm="1">
        <f t="array" ref="E106">INDEX(GMW!$A$2:$LR$60,MATCH(1,(GMW!$LQ$2:$LQ$60=E$3)*(GMW!$LP$2:$LP$60=E$4)*(GMW!$LR$2:$LR$60=E$1),0),$B106-1966)</f>
        <v>119295.2</v>
      </c>
      <c r="F106" s="5" cm="1">
        <f t="array" ref="F106">INDEX(GMW!$A$2:$LR$60,MATCH(1,(GMW!$LQ$2:$LQ$60=F$3)*(GMW!$LP$2:$LP$60=F$4)*(GMW!$LR$2:$LR$60=F$1),0),$B106-1966)</f>
        <v>611.54110000000003</v>
      </c>
      <c r="G106" s="5" cm="1">
        <f t="array" ref="G106">INDEX(GMW!$A$2:$LR$60,MATCH(1,(GMW!$LQ$2:$LQ$60=G$3)*(GMW!$LP$2:$LP$60=G$4)*(GMW!$LR$2:$LR$60=G$1),0),$B106-1966)</f>
        <v>443.31400000000002</v>
      </c>
      <c r="H106" s="5" cm="1">
        <f t="array" ref="H106">INDEX(GMW!$A$2:$LR$60,MATCH(1,(GMW!$LQ$2:$LQ$60=H$3)*(GMW!$LP$2:$LP$60=H$4)*(GMW!$LR$2:$LR$60=H$1),0),$B106-1966)</f>
        <v>394.65199999999999</v>
      </c>
      <c r="I106" s="5" cm="1">
        <f t="array" ref="I106">INDEX(GMW!$A$2:$LR$60,MATCH(1,(GMW!$LQ$2:$LQ$60=I$3)*(GMW!$LP$2:$LP$60=I$4)*(GMW!$LR$2:$LR$60=I$1),0),$B106-1966)</f>
        <v>339839.5</v>
      </c>
    </row>
    <row r="107" spans="1:9" x14ac:dyDescent="0.25">
      <c r="A107" s="5">
        <f t="shared" si="4"/>
        <v>1998</v>
      </c>
      <c r="B107" s="5">
        <f t="shared" si="3"/>
        <v>2073</v>
      </c>
      <c r="C107" s="5" cm="1">
        <f t="array" ref="C107">INDEX(GMW!$A$2:$LR$60,MATCH(1,(GMW!$LQ$2:$LQ$60=C$3)*(GMW!$LP$2:$LP$60=C$4)*(GMW!$LR$2:$LR$60=C$1),0),$B107-1966)</f>
        <v>374037</v>
      </c>
      <c r="D107" s="5" cm="1">
        <f t="array" ref="D107">INDEX(GMW!$A$2:$LR$60,MATCH(1,(GMW!$LQ$2:$LQ$60=D$3)*(GMW!$LP$2:$LP$60=D$4)*(GMW!$LR$2:$LR$60=D$1),0),$B107-1966)</f>
        <v>3175.9250000000002</v>
      </c>
      <c r="E107" s="5" cm="1">
        <f t="array" ref="E107">INDEX(GMW!$A$2:$LR$60,MATCH(1,(GMW!$LQ$2:$LQ$60=E$3)*(GMW!$LP$2:$LP$60=E$4)*(GMW!$LR$2:$LR$60=E$1),0),$B107-1966)</f>
        <v>117832.7</v>
      </c>
      <c r="F107" s="5" cm="1">
        <f t="array" ref="F107">INDEX(GMW!$A$2:$LR$60,MATCH(1,(GMW!$LQ$2:$LQ$60=F$3)*(GMW!$LP$2:$LP$60=F$4)*(GMW!$LR$2:$LR$60=F$1),0),$B107-1966)</f>
        <v>617.5598</v>
      </c>
      <c r="G107" s="5" cm="1">
        <f t="array" ref="G107">INDEX(GMW!$A$2:$LR$60,MATCH(1,(GMW!$LQ$2:$LQ$60=G$3)*(GMW!$LP$2:$LP$60=G$4)*(GMW!$LR$2:$LR$60=G$1),0),$B107-1966)</f>
        <v>447.56400000000002</v>
      </c>
      <c r="H107" s="5" cm="1">
        <f t="array" ref="H107">INDEX(GMW!$A$2:$LR$60,MATCH(1,(GMW!$LQ$2:$LQ$60=H$3)*(GMW!$LP$2:$LP$60=H$4)*(GMW!$LR$2:$LR$60=H$1),0),$B107-1966)</f>
        <v>391.68900000000002</v>
      </c>
      <c r="I107" s="5" cm="1">
        <f t="array" ref="I107">INDEX(GMW!$A$2:$LR$60,MATCH(1,(GMW!$LQ$2:$LQ$60=I$3)*(GMW!$LP$2:$LP$60=I$4)*(GMW!$LR$2:$LR$60=I$1),0),$B107-1966)</f>
        <v>344638</v>
      </c>
    </row>
    <row r="108" spans="1:9" x14ac:dyDescent="0.25">
      <c r="A108" s="5">
        <f t="shared" si="4"/>
        <v>1998</v>
      </c>
      <c r="B108" s="5">
        <f t="shared" si="3"/>
        <v>2074</v>
      </c>
      <c r="C108" s="5" cm="1">
        <f t="array" ref="C108">INDEX(GMW!$A$2:$LR$60,MATCH(1,(GMW!$LQ$2:$LQ$60=C$3)*(GMW!$LP$2:$LP$60=C$4)*(GMW!$LR$2:$LR$60=C$1),0),$B108-1966)</f>
        <v>376421</v>
      </c>
      <c r="D108" s="5" cm="1">
        <f t="array" ref="D108">INDEX(GMW!$A$2:$LR$60,MATCH(1,(GMW!$LQ$2:$LQ$60=D$3)*(GMW!$LP$2:$LP$60=D$4)*(GMW!$LR$2:$LR$60=D$1),0),$B108-1966)</f>
        <v>3205.3249999999998</v>
      </c>
      <c r="E108" s="5" cm="1">
        <f t="array" ref="E108">INDEX(GMW!$A$2:$LR$60,MATCH(1,(GMW!$LQ$2:$LQ$60=E$3)*(GMW!$LP$2:$LP$60=E$4)*(GMW!$LR$2:$LR$60=E$1),0),$B108-1966)</f>
        <v>117325.8</v>
      </c>
      <c r="F108" s="5" cm="1">
        <f t="array" ref="F108">INDEX(GMW!$A$2:$LR$60,MATCH(1,(GMW!$LQ$2:$LQ$60=F$3)*(GMW!$LP$2:$LP$60=F$4)*(GMW!$LR$2:$LR$60=F$1),0),$B108-1966)</f>
        <v>614.70690000000002</v>
      </c>
      <c r="G108" s="5" cm="1">
        <f t="array" ref="G108">INDEX(GMW!$A$2:$LR$60,MATCH(1,(GMW!$LQ$2:$LQ$60=G$3)*(GMW!$LP$2:$LP$60=G$4)*(GMW!$LR$2:$LR$60=G$1),0),$B108-1966)</f>
        <v>450.76900000000001</v>
      </c>
      <c r="H108" s="5" cm="1">
        <f t="array" ref="H108">INDEX(GMW!$A$2:$LR$60,MATCH(1,(GMW!$LQ$2:$LQ$60=H$3)*(GMW!$LP$2:$LP$60=H$4)*(GMW!$LR$2:$LR$60=H$1),0),$B108-1966)</f>
        <v>394.01600000000002</v>
      </c>
      <c r="I108" s="5" cm="1">
        <f t="array" ref="I108">INDEX(GMW!$A$2:$LR$60,MATCH(1,(GMW!$LQ$2:$LQ$60=I$3)*(GMW!$LP$2:$LP$60=I$4)*(GMW!$LR$2:$LR$60=I$1),0),$B108-1966)</f>
        <v>344820.5</v>
      </c>
    </row>
    <row r="109" spans="1:9" x14ac:dyDescent="0.25">
      <c r="A109" s="5">
        <f t="shared" si="4"/>
        <v>1998</v>
      </c>
      <c r="B109" s="5">
        <f t="shared" si="3"/>
        <v>2075</v>
      </c>
      <c r="C109" s="5" cm="1">
        <f t="array" ref="C109">INDEX(GMW!$A$2:$LR$60,MATCH(1,(GMW!$LQ$2:$LQ$60=C$3)*(GMW!$LP$2:$LP$60=C$4)*(GMW!$LR$2:$LR$60=C$1),0),$B109-1966)</f>
        <v>377650</v>
      </c>
      <c r="D109" s="5" cm="1">
        <f t="array" ref="D109">INDEX(GMW!$A$2:$LR$60,MATCH(1,(GMW!$LQ$2:$LQ$60=D$3)*(GMW!$LP$2:$LP$60=D$4)*(GMW!$LR$2:$LR$60=D$1),0),$B109-1966)</f>
        <v>3245.7</v>
      </c>
      <c r="E109" s="5" cm="1">
        <f t="array" ref="E109">INDEX(GMW!$A$2:$LR$60,MATCH(1,(GMW!$LQ$2:$LQ$60=E$3)*(GMW!$LP$2:$LP$60=E$4)*(GMW!$LR$2:$LR$60=E$1),0),$B109-1966)</f>
        <v>117536.6</v>
      </c>
      <c r="F109" s="5" cm="1">
        <f t="array" ref="F109">INDEX(GMW!$A$2:$LR$60,MATCH(1,(GMW!$LQ$2:$LQ$60=F$3)*(GMW!$LP$2:$LP$60=F$4)*(GMW!$LR$2:$LR$60=F$1),0),$B109-1966)</f>
        <v>617.5598</v>
      </c>
      <c r="G109" s="5" cm="1">
        <f t="array" ref="G109">INDEX(GMW!$A$2:$LR$60,MATCH(1,(GMW!$LQ$2:$LQ$60=G$3)*(GMW!$LP$2:$LP$60=G$4)*(GMW!$LR$2:$LR$60=G$1),0),$B109-1966)</f>
        <v>453.1</v>
      </c>
      <c r="H109" s="5" cm="1">
        <f t="array" ref="H109">INDEX(GMW!$A$2:$LR$60,MATCH(1,(GMW!$LQ$2:$LQ$60=H$3)*(GMW!$LP$2:$LP$60=H$4)*(GMW!$LR$2:$LR$60=H$1),0),$B109-1966)</f>
        <v>394.49700000000001</v>
      </c>
      <c r="I109" s="5" cm="1">
        <f t="array" ref="I109">INDEX(GMW!$A$2:$LR$60,MATCH(1,(GMW!$LQ$2:$LQ$60=I$3)*(GMW!$LP$2:$LP$60=I$4)*(GMW!$LR$2:$LR$60=I$1),0),$B109-1966)</f>
        <v>347962.5</v>
      </c>
    </row>
    <row r="110" spans="1:9" x14ac:dyDescent="0.25">
      <c r="A110" s="5">
        <f t="shared" si="4"/>
        <v>1998</v>
      </c>
      <c r="B110" s="5">
        <f t="shared" si="3"/>
        <v>2076</v>
      </c>
      <c r="C110" s="5" cm="1">
        <f t="array" ref="C110">INDEX(GMW!$A$2:$LR$60,MATCH(1,(GMW!$LQ$2:$LQ$60=C$3)*(GMW!$LP$2:$LP$60=C$4)*(GMW!$LR$2:$LR$60=C$1),0),$B110-1966)</f>
        <v>380155</v>
      </c>
      <c r="D110" s="5" cm="1">
        <f t="array" ref="D110">INDEX(GMW!$A$2:$LR$60,MATCH(1,(GMW!$LQ$2:$LQ$60=D$3)*(GMW!$LP$2:$LP$60=D$4)*(GMW!$LR$2:$LR$60=D$1),0),$B110-1966)</f>
        <v>3297.9250000000002</v>
      </c>
      <c r="E110" s="5" cm="1">
        <f t="array" ref="E110">INDEX(GMW!$A$2:$LR$60,MATCH(1,(GMW!$LQ$2:$LQ$60=E$3)*(GMW!$LP$2:$LP$60=E$4)*(GMW!$LR$2:$LR$60=E$1),0),$B110-1966)</f>
        <v>118476.4</v>
      </c>
      <c r="F110" s="5" cm="1">
        <f t="array" ref="F110">INDEX(GMW!$A$2:$LR$60,MATCH(1,(GMW!$LQ$2:$LQ$60=F$3)*(GMW!$LP$2:$LP$60=F$4)*(GMW!$LR$2:$LR$60=F$1),0),$B110-1966)</f>
        <v>617.40329999999994</v>
      </c>
      <c r="G110" s="5" cm="1">
        <f t="array" ref="G110">INDEX(GMW!$A$2:$LR$60,MATCH(1,(GMW!$LQ$2:$LQ$60=G$3)*(GMW!$LP$2:$LP$60=G$4)*(GMW!$LR$2:$LR$60=G$1),0),$B110-1966)</f>
        <v>456.20600000000002</v>
      </c>
      <c r="H110" s="5" cm="1">
        <f t="array" ref="H110">INDEX(GMW!$A$2:$LR$60,MATCH(1,(GMW!$LQ$2:$LQ$60=H$3)*(GMW!$LP$2:$LP$60=H$4)*(GMW!$LR$2:$LR$60=H$1),0),$B110-1966)</f>
        <v>392.565</v>
      </c>
      <c r="I110" s="5" cm="1">
        <f t="array" ref="I110">INDEX(GMW!$A$2:$LR$60,MATCH(1,(GMW!$LQ$2:$LQ$60=I$3)*(GMW!$LP$2:$LP$60=I$4)*(GMW!$LR$2:$LR$60=I$1),0),$B110-1966)</f>
        <v>352677.3</v>
      </c>
    </row>
    <row r="111" spans="1:9" x14ac:dyDescent="0.25">
      <c r="A111" s="5">
        <f t="shared" si="4"/>
        <v>1999</v>
      </c>
      <c r="B111" s="5">
        <f t="shared" si="3"/>
        <v>2077</v>
      </c>
      <c r="C111" s="5" cm="1">
        <f t="array" ref="C111">INDEX(GMW!$A$2:$LR$60,MATCH(1,(GMW!$LQ$2:$LQ$60=C$3)*(GMW!$LP$2:$LP$60=C$4)*(GMW!$LR$2:$LR$60=C$1),0),$B111-1966)</f>
        <v>382789</v>
      </c>
      <c r="D111" s="5" cm="1">
        <f t="array" ref="D111">INDEX(GMW!$A$2:$LR$60,MATCH(1,(GMW!$LQ$2:$LQ$60=D$3)*(GMW!$LP$2:$LP$60=D$4)*(GMW!$LR$2:$LR$60=D$1),0),$B111-1966)</f>
        <v>3328.9</v>
      </c>
      <c r="E111" s="5" cm="1">
        <f t="array" ref="E111">INDEX(GMW!$A$2:$LR$60,MATCH(1,(GMW!$LQ$2:$LQ$60=E$3)*(GMW!$LP$2:$LP$60=E$4)*(GMW!$LR$2:$LR$60=E$1),0),$B111-1966)</f>
        <v>116845.4</v>
      </c>
      <c r="F111" s="5" cm="1">
        <f t="array" ref="F111">INDEX(GMW!$A$2:$LR$60,MATCH(1,(GMW!$LQ$2:$LQ$60=F$3)*(GMW!$LP$2:$LP$60=F$4)*(GMW!$LR$2:$LR$60=F$1),0),$B111-1966)</f>
        <v>624.68269999999995</v>
      </c>
      <c r="G111" s="5" cm="1">
        <f t="array" ref="G111">INDEX(GMW!$A$2:$LR$60,MATCH(1,(GMW!$LQ$2:$LQ$60=G$3)*(GMW!$LP$2:$LP$60=G$4)*(GMW!$LR$2:$LR$60=G$1),0),$B111-1966)</f>
        <v>459.34500000000003</v>
      </c>
      <c r="H111" s="5" cm="1">
        <f t="array" ref="H111">INDEX(GMW!$A$2:$LR$60,MATCH(1,(GMW!$LQ$2:$LQ$60=H$3)*(GMW!$LP$2:$LP$60=H$4)*(GMW!$LR$2:$LR$60=H$1),0),$B111-1966)</f>
        <v>395.04300000000001</v>
      </c>
      <c r="I111" s="5" cm="1">
        <f t="array" ref="I111">INDEX(GMW!$A$2:$LR$60,MATCH(1,(GMW!$LQ$2:$LQ$60=I$3)*(GMW!$LP$2:$LP$60=I$4)*(GMW!$LR$2:$LR$60=I$1),0),$B111-1966)</f>
        <v>359045</v>
      </c>
    </row>
    <row r="112" spans="1:9" x14ac:dyDescent="0.25">
      <c r="A112" s="5">
        <f t="shared" si="4"/>
        <v>1999</v>
      </c>
      <c r="B112" s="5">
        <f t="shared" si="3"/>
        <v>2078</v>
      </c>
      <c r="C112" s="5" cm="1">
        <f t="array" ref="C112">INDEX(GMW!$A$2:$LR$60,MATCH(1,(GMW!$LQ$2:$LQ$60=C$3)*(GMW!$LP$2:$LP$60=C$4)*(GMW!$LR$2:$LR$60=C$1),0),$B112-1966)</f>
        <v>384605</v>
      </c>
      <c r="D112" s="5" cm="1">
        <f t="array" ref="D112">INDEX(GMW!$A$2:$LR$60,MATCH(1,(GMW!$LQ$2:$LQ$60=D$3)*(GMW!$LP$2:$LP$60=D$4)*(GMW!$LR$2:$LR$60=D$1),0),$B112-1966)</f>
        <v>3356.6750000000002</v>
      </c>
      <c r="E112" s="5" cm="1">
        <f t="array" ref="E112">INDEX(GMW!$A$2:$LR$60,MATCH(1,(GMW!$LQ$2:$LQ$60=E$3)*(GMW!$LP$2:$LP$60=E$4)*(GMW!$LR$2:$LR$60=E$1),0),$B112-1966)</f>
        <v>117293.8</v>
      </c>
      <c r="F112" s="5" cm="1">
        <f t="array" ref="F112">INDEX(GMW!$A$2:$LR$60,MATCH(1,(GMW!$LQ$2:$LQ$60=F$3)*(GMW!$LP$2:$LP$60=F$4)*(GMW!$LR$2:$LR$60=F$1),0),$B112-1966)</f>
        <v>623.89120000000003</v>
      </c>
      <c r="G112" s="5" cm="1">
        <f t="array" ref="G112">INDEX(GMW!$A$2:$LR$60,MATCH(1,(GMW!$LQ$2:$LQ$60=G$3)*(GMW!$LP$2:$LP$60=G$4)*(GMW!$LR$2:$LR$60=G$1),0),$B112-1966)</f>
        <v>462.32400000000001</v>
      </c>
      <c r="H112" s="5" cm="1">
        <f t="array" ref="H112">INDEX(GMW!$A$2:$LR$60,MATCH(1,(GMW!$LQ$2:$LQ$60=H$3)*(GMW!$LP$2:$LP$60=H$4)*(GMW!$LR$2:$LR$60=H$1),0),$B112-1966)</f>
        <v>396.553</v>
      </c>
      <c r="I112" s="5" cm="1">
        <f t="array" ref="I112">INDEX(GMW!$A$2:$LR$60,MATCH(1,(GMW!$LQ$2:$LQ$60=I$3)*(GMW!$LP$2:$LP$60=I$4)*(GMW!$LR$2:$LR$60=I$1),0),$B112-1966)</f>
        <v>362006.3</v>
      </c>
    </row>
    <row r="113" spans="1:9" x14ac:dyDescent="0.25">
      <c r="A113" s="5">
        <f t="shared" si="4"/>
        <v>1999</v>
      </c>
      <c r="B113" s="5">
        <f t="shared" ref="B113:B176" si="5">+B112+1</f>
        <v>2079</v>
      </c>
      <c r="C113" s="5" cm="1">
        <f t="array" ref="C113">INDEX(GMW!$A$2:$LR$60,MATCH(1,(GMW!$LQ$2:$LQ$60=C$3)*(GMW!$LP$2:$LP$60=C$4)*(GMW!$LR$2:$LR$60=C$1),0),$B113-1966)</f>
        <v>390758</v>
      </c>
      <c r="D113" s="5" cm="1">
        <f t="array" ref="D113">INDEX(GMW!$A$2:$LR$60,MATCH(1,(GMW!$LQ$2:$LQ$60=D$3)*(GMW!$LP$2:$LP$60=D$4)*(GMW!$LR$2:$LR$60=D$1),0),$B113-1966)</f>
        <v>3401.2</v>
      </c>
      <c r="E113" s="5" cm="1">
        <f t="array" ref="E113">INDEX(GMW!$A$2:$LR$60,MATCH(1,(GMW!$LQ$2:$LQ$60=E$3)*(GMW!$LP$2:$LP$60=E$4)*(GMW!$LR$2:$LR$60=E$1),0),$B113-1966)</f>
        <v>117919.3</v>
      </c>
      <c r="F113" s="5" cm="1">
        <f t="array" ref="F113">INDEX(GMW!$A$2:$LR$60,MATCH(1,(GMW!$LQ$2:$LQ$60=F$3)*(GMW!$LP$2:$LP$60=F$4)*(GMW!$LR$2:$LR$60=F$1),0),$B113-1966)</f>
        <v>632.29330000000004</v>
      </c>
      <c r="G113" s="5" cm="1">
        <f t="array" ref="G113">INDEX(GMW!$A$2:$LR$60,MATCH(1,(GMW!$LQ$2:$LQ$60=G$3)*(GMW!$LP$2:$LP$60=G$4)*(GMW!$LR$2:$LR$60=G$1),0),$B113-1966)</f>
        <v>469.13400000000001</v>
      </c>
      <c r="H113" s="5" cm="1">
        <f t="array" ref="H113">INDEX(GMW!$A$2:$LR$60,MATCH(1,(GMW!$LQ$2:$LQ$60=H$3)*(GMW!$LP$2:$LP$60=H$4)*(GMW!$LR$2:$LR$60=H$1),0),$B113-1966)</f>
        <v>400.09300000000002</v>
      </c>
      <c r="I113" s="5" cm="1">
        <f t="array" ref="I113">INDEX(GMW!$A$2:$LR$60,MATCH(1,(GMW!$LQ$2:$LQ$60=I$3)*(GMW!$LP$2:$LP$60=I$4)*(GMW!$LR$2:$LR$60=I$1),0),$B113-1966)</f>
        <v>367680.5</v>
      </c>
    </row>
    <row r="114" spans="1:9" x14ac:dyDescent="0.25">
      <c r="A114" s="5">
        <f t="shared" si="4"/>
        <v>1999</v>
      </c>
      <c r="B114" s="5">
        <f t="shared" si="5"/>
        <v>2080</v>
      </c>
      <c r="C114" s="5" cm="1">
        <f t="array" ref="C114">INDEX(GMW!$A$2:$LR$60,MATCH(1,(GMW!$LQ$2:$LQ$60=C$3)*(GMW!$LP$2:$LP$60=C$4)*(GMW!$LR$2:$LR$60=C$1),0),$B114-1966)</f>
        <v>396357</v>
      </c>
      <c r="D114" s="5" cm="1">
        <f t="array" ref="D114">INDEX(GMW!$A$2:$LR$60,MATCH(1,(GMW!$LQ$2:$LQ$60=D$3)*(GMW!$LP$2:$LP$60=D$4)*(GMW!$LR$2:$LR$60=D$1),0),$B114-1966)</f>
        <v>3457</v>
      </c>
      <c r="E114" s="5" cm="1">
        <f t="array" ref="E114">INDEX(GMW!$A$2:$LR$60,MATCH(1,(GMW!$LQ$2:$LQ$60=E$3)*(GMW!$LP$2:$LP$60=E$4)*(GMW!$LR$2:$LR$60=E$1),0),$B114-1966)</f>
        <v>117955.1</v>
      </c>
      <c r="F114" s="5" cm="1">
        <f t="array" ref="F114">INDEX(GMW!$A$2:$LR$60,MATCH(1,(GMW!$LQ$2:$LQ$60=F$3)*(GMW!$LP$2:$LP$60=F$4)*(GMW!$LR$2:$LR$60=F$1),0),$B114-1966)</f>
        <v>635.30269999999996</v>
      </c>
      <c r="G114" s="5" cm="1">
        <f t="array" ref="G114">INDEX(GMW!$A$2:$LR$60,MATCH(1,(GMW!$LQ$2:$LQ$60=G$3)*(GMW!$LP$2:$LP$60=G$4)*(GMW!$LR$2:$LR$60=G$1),0),$B114-1966)</f>
        <v>475.77800000000002</v>
      </c>
      <c r="H114" s="5" cm="1">
        <f t="array" ref="H114">INDEX(GMW!$A$2:$LR$60,MATCH(1,(GMW!$LQ$2:$LQ$60=H$3)*(GMW!$LP$2:$LP$60=H$4)*(GMW!$LR$2:$LR$60=H$1),0),$B114-1966)</f>
        <v>405.64800000000002</v>
      </c>
      <c r="I114" s="5" cm="1">
        <f t="array" ref="I114">INDEX(GMW!$A$2:$LR$60,MATCH(1,(GMW!$LQ$2:$LQ$60=I$3)*(GMW!$LP$2:$LP$60=I$4)*(GMW!$LR$2:$LR$60=I$1),0),$B114-1966)</f>
        <v>372831.5</v>
      </c>
    </row>
    <row r="115" spans="1:9" x14ac:dyDescent="0.25">
      <c r="A115" s="5">
        <f t="shared" si="4"/>
        <v>2000</v>
      </c>
      <c r="B115" s="5">
        <f t="shared" si="5"/>
        <v>2081</v>
      </c>
      <c r="C115" s="5" cm="1">
        <f t="array" ref="C115">INDEX(GMW!$A$2:$LR$60,MATCH(1,(GMW!$LQ$2:$LQ$60=C$3)*(GMW!$LP$2:$LP$60=C$4)*(GMW!$LR$2:$LR$60=C$1),0),$B115-1966)</f>
        <v>401242</v>
      </c>
      <c r="D115" s="5" cm="1">
        <f t="array" ref="D115">INDEX(GMW!$A$2:$LR$60,MATCH(1,(GMW!$LQ$2:$LQ$60=D$3)*(GMW!$LP$2:$LP$60=D$4)*(GMW!$LR$2:$LR$60=D$1),0),$B115-1966)</f>
        <v>3469.5250000000001</v>
      </c>
      <c r="E115" s="5" cm="1">
        <f t="array" ref="E115">INDEX(GMW!$A$2:$LR$60,MATCH(1,(GMW!$LQ$2:$LQ$60=E$3)*(GMW!$LP$2:$LP$60=E$4)*(GMW!$LR$2:$LR$60=E$1),0),$B115-1966)</f>
        <v>119981.1</v>
      </c>
      <c r="F115" s="5" cm="1">
        <f t="array" ref="F115">INDEX(GMW!$A$2:$LR$60,MATCH(1,(GMW!$LQ$2:$LQ$60=F$3)*(GMW!$LP$2:$LP$60=F$4)*(GMW!$LR$2:$LR$60=F$1),0),$B115-1966)</f>
        <v>645.36130000000003</v>
      </c>
      <c r="G115" s="5" cm="1">
        <f t="array" ref="G115">INDEX(GMW!$A$2:$LR$60,MATCH(1,(GMW!$LQ$2:$LQ$60=G$3)*(GMW!$LP$2:$LP$60=G$4)*(GMW!$LR$2:$LR$60=G$1),0),$B115-1966)</f>
        <v>480.52499999999998</v>
      </c>
      <c r="H115" s="5" cm="1">
        <f t="array" ref="H115">INDEX(GMW!$A$2:$LR$60,MATCH(1,(GMW!$LQ$2:$LQ$60=H$3)*(GMW!$LP$2:$LP$60=H$4)*(GMW!$LR$2:$LR$60=H$1),0),$B115-1966)</f>
        <v>410.63499999999999</v>
      </c>
      <c r="I115" s="5" cm="1">
        <f t="array" ref="I115">INDEX(GMW!$A$2:$LR$60,MATCH(1,(GMW!$LQ$2:$LQ$60=I$3)*(GMW!$LP$2:$LP$60=I$4)*(GMW!$LR$2:$LR$60=I$1),0),$B115-1966)</f>
        <v>378669</v>
      </c>
    </row>
    <row r="116" spans="1:9" x14ac:dyDescent="0.25">
      <c r="A116" s="5">
        <f t="shared" si="4"/>
        <v>2000</v>
      </c>
      <c r="B116" s="5">
        <f t="shared" si="5"/>
        <v>2082</v>
      </c>
      <c r="C116" s="5" cm="1">
        <f t="array" ref="C116">INDEX(GMW!$A$2:$LR$60,MATCH(1,(GMW!$LQ$2:$LQ$60=C$3)*(GMW!$LP$2:$LP$60=C$4)*(GMW!$LR$2:$LR$60=C$1),0),$B116-1966)</f>
        <v>404196</v>
      </c>
      <c r="D116" s="5" cm="1">
        <f t="array" ref="D116">INDEX(GMW!$A$2:$LR$60,MATCH(1,(GMW!$LQ$2:$LQ$60=D$3)*(GMW!$LP$2:$LP$60=D$4)*(GMW!$LR$2:$LR$60=D$1),0),$B116-1966)</f>
        <v>3532.7249999999999</v>
      </c>
      <c r="E116" s="5" cm="1">
        <f t="array" ref="E116">INDEX(GMW!$A$2:$LR$60,MATCH(1,(GMW!$LQ$2:$LQ$60=E$3)*(GMW!$LP$2:$LP$60=E$4)*(GMW!$LR$2:$LR$60=E$1),0),$B116-1966)</f>
        <v>120528.3</v>
      </c>
      <c r="F116" s="5" cm="1">
        <f t="array" ref="F116">INDEX(GMW!$A$2:$LR$60,MATCH(1,(GMW!$LQ$2:$LQ$60=F$3)*(GMW!$LP$2:$LP$60=F$4)*(GMW!$LR$2:$LR$60=F$1),0),$B116-1966)</f>
        <v>650.34910000000002</v>
      </c>
      <c r="G116" s="5" cm="1">
        <f t="array" ref="G116">INDEX(GMW!$A$2:$LR$60,MATCH(1,(GMW!$LQ$2:$LQ$60=G$3)*(GMW!$LP$2:$LP$60=G$4)*(GMW!$LR$2:$LR$60=G$1),0),$B116-1966)</f>
        <v>485.70400000000001</v>
      </c>
      <c r="H116" s="5" cm="1">
        <f t="array" ref="H116">INDEX(GMW!$A$2:$LR$60,MATCH(1,(GMW!$LQ$2:$LQ$60=H$3)*(GMW!$LP$2:$LP$60=H$4)*(GMW!$LR$2:$LR$60=H$1),0),$B116-1966)</f>
        <v>413.41699999999997</v>
      </c>
      <c r="I116" s="5" cm="1">
        <f t="array" ref="I116">INDEX(GMW!$A$2:$LR$60,MATCH(1,(GMW!$LQ$2:$LQ$60=I$3)*(GMW!$LP$2:$LP$60=I$4)*(GMW!$LR$2:$LR$60=I$1),0),$B116-1966)</f>
        <v>383125.8</v>
      </c>
    </row>
    <row r="117" spans="1:9" x14ac:dyDescent="0.25">
      <c r="A117" s="5">
        <f t="shared" si="4"/>
        <v>2000</v>
      </c>
      <c r="B117" s="5">
        <f t="shared" si="5"/>
        <v>2083</v>
      </c>
      <c r="C117" s="5" cm="1">
        <f t="array" ref="C117">INDEX(GMW!$A$2:$LR$60,MATCH(1,(GMW!$LQ$2:$LQ$60=C$3)*(GMW!$LP$2:$LP$60=C$4)*(GMW!$LR$2:$LR$60=C$1),0),$B117-1966)</f>
        <v>406795</v>
      </c>
      <c r="D117" s="5" cm="1">
        <f t="array" ref="D117">INDEX(GMW!$A$2:$LR$60,MATCH(1,(GMW!$LQ$2:$LQ$60=D$3)*(GMW!$LP$2:$LP$60=D$4)*(GMW!$LR$2:$LR$60=D$1),0),$B117-1966)</f>
        <v>3536.3249999999998</v>
      </c>
      <c r="E117" s="5" cm="1">
        <f t="array" ref="E117">INDEX(GMW!$A$2:$LR$60,MATCH(1,(GMW!$LQ$2:$LQ$60=E$3)*(GMW!$LP$2:$LP$60=E$4)*(GMW!$LR$2:$LR$60=E$1),0),$B117-1966)</f>
        <v>120564.4</v>
      </c>
      <c r="F117" s="5" cm="1">
        <f t="array" ref="F117">INDEX(GMW!$A$2:$LR$60,MATCH(1,(GMW!$LQ$2:$LQ$60=F$3)*(GMW!$LP$2:$LP$60=F$4)*(GMW!$LR$2:$LR$60=F$1),0),$B117-1966)</f>
        <v>650.74490000000003</v>
      </c>
      <c r="G117" s="5" cm="1">
        <f t="array" ref="G117">INDEX(GMW!$A$2:$LR$60,MATCH(1,(GMW!$LQ$2:$LQ$60=G$3)*(GMW!$LP$2:$LP$60=G$4)*(GMW!$LR$2:$LR$60=G$1),0),$B117-1966)</f>
        <v>489.52699999999999</v>
      </c>
      <c r="H117" s="5" cm="1">
        <f t="array" ref="H117">INDEX(GMW!$A$2:$LR$60,MATCH(1,(GMW!$LQ$2:$LQ$60=H$3)*(GMW!$LP$2:$LP$60=H$4)*(GMW!$LR$2:$LR$60=H$1),0),$B117-1966)</f>
        <v>416.29599999999999</v>
      </c>
      <c r="I117" s="5" cm="1">
        <f t="array" ref="I117">INDEX(GMW!$A$2:$LR$60,MATCH(1,(GMW!$LQ$2:$LQ$60=I$3)*(GMW!$LP$2:$LP$60=I$4)*(GMW!$LR$2:$LR$60=I$1),0),$B117-1966)</f>
        <v>387053</v>
      </c>
    </row>
    <row r="118" spans="1:9" x14ac:dyDescent="0.25">
      <c r="A118" s="5">
        <f t="shared" si="4"/>
        <v>2000</v>
      </c>
      <c r="B118" s="5">
        <f t="shared" si="5"/>
        <v>2084</v>
      </c>
      <c r="C118" s="5" cm="1">
        <f t="array" ref="C118">INDEX(GMW!$A$2:$LR$60,MATCH(1,(GMW!$LQ$2:$LQ$60=C$3)*(GMW!$LP$2:$LP$60=C$4)*(GMW!$LR$2:$LR$60=C$1),0),$B118-1966)</f>
        <v>409411</v>
      </c>
      <c r="D118" s="5" cm="1">
        <f t="array" ref="D118">INDEX(GMW!$A$2:$LR$60,MATCH(1,(GMW!$LQ$2:$LQ$60=D$3)*(GMW!$LP$2:$LP$60=D$4)*(GMW!$LR$2:$LR$60=D$1),0),$B118-1966)</f>
        <v>3557.45</v>
      </c>
      <c r="E118" s="5" cm="1">
        <f t="array" ref="E118">INDEX(GMW!$A$2:$LR$60,MATCH(1,(GMW!$LQ$2:$LQ$60=E$3)*(GMW!$LP$2:$LP$60=E$4)*(GMW!$LR$2:$LR$60=E$1),0),$B118-1966)</f>
        <v>121728.4</v>
      </c>
      <c r="F118" s="5" cm="1">
        <f t="array" ref="F118">INDEX(GMW!$A$2:$LR$60,MATCH(1,(GMW!$LQ$2:$LQ$60=F$3)*(GMW!$LP$2:$LP$60=F$4)*(GMW!$LR$2:$LR$60=F$1),0),$B118-1966)</f>
        <v>647.97490000000005</v>
      </c>
      <c r="G118" s="5" cm="1">
        <f t="array" ref="G118">INDEX(GMW!$A$2:$LR$60,MATCH(1,(GMW!$LQ$2:$LQ$60=G$3)*(GMW!$LP$2:$LP$60=G$4)*(GMW!$LR$2:$LR$60=G$1),0),$B118-1966)</f>
        <v>492.291</v>
      </c>
      <c r="H118" s="5" cm="1">
        <f t="array" ref="H118">INDEX(GMW!$A$2:$LR$60,MATCH(1,(GMW!$LQ$2:$LQ$60=H$3)*(GMW!$LP$2:$LP$60=H$4)*(GMW!$LR$2:$LR$60=H$1),0),$B118-1966)</f>
        <v>422.77300000000002</v>
      </c>
      <c r="I118" s="5" cm="1">
        <f t="array" ref="I118">INDEX(GMW!$A$2:$LR$60,MATCH(1,(GMW!$LQ$2:$LQ$60=I$3)*(GMW!$LP$2:$LP$60=I$4)*(GMW!$LR$2:$LR$60=I$1),0),$B118-1966)</f>
        <v>387818.5</v>
      </c>
    </row>
    <row r="119" spans="1:9" x14ac:dyDescent="0.25">
      <c r="A119" s="5">
        <f t="shared" si="4"/>
        <v>2001</v>
      </c>
      <c r="B119" s="5">
        <f t="shared" si="5"/>
        <v>2085</v>
      </c>
      <c r="C119" s="5" cm="1">
        <f t="array" ref="C119">INDEX(GMW!$A$2:$LR$60,MATCH(1,(GMW!$LQ$2:$LQ$60=C$3)*(GMW!$LP$2:$LP$60=C$4)*(GMW!$LR$2:$LR$60=C$1),0),$B119-1966)</f>
        <v>413054</v>
      </c>
      <c r="D119" s="5" cm="1">
        <f t="array" ref="D119">INDEX(GMW!$A$2:$LR$60,MATCH(1,(GMW!$LQ$2:$LQ$60=D$3)*(GMW!$LP$2:$LP$60=D$4)*(GMW!$LR$2:$LR$60=D$1),0),$B119-1966)</f>
        <v>3545.7750000000001</v>
      </c>
      <c r="E119" s="5" cm="1">
        <f t="array" ref="E119">INDEX(GMW!$A$2:$LR$60,MATCH(1,(GMW!$LQ$2:$LQ$60=E$3)*(GMW!$LP$2:$LP$60=E$4)*(GMW!$LR$2:$LR$60=E$1),0),$B119-1966)</f>
        <v>122638.9</v>
      </c>
      <c r="F119" s="5" cm="1">
        <f t="array" ref="F119">INDEX(GMW!$A$2:$LR$60,MATCH(1,(GMW!$LQ$2:$LQ$60=F$3)*(GMW!$LP$2:$LP$60=F$4)*(GMW!$LR$2:$LR$60=F$1),0),$B119-1966)</f>
        <v>661.90779999999995</v>
      </c>
      <c r="G119" s="5" cm="1">
        <f t="array" ref="G119">INDEX(GMW!$A$2:$LR$60,MATCH(1,(GMW!$LQ$2:$LQ$60=G$3)*(GMW!$LP$2:$LP$60=G$4)*(GMW!$LR$2:$LR$60=G$1),0),$B119-1966)</f>
        <v>495.10399999999998</v>
      </c>
      <c r="H119" s="5" cm="1">
        <f t="array" ref="H119">INDEX(GMW!$A$2:$LR$60,MATCH(1,(GMW!$LQ$2:$LQ$60=H$3)*(GMW!$LP$2:$LP$60=H$4)*(GMW!$LR$2:$LR$60=H$1),0),$B119-1966)</f>
        <v>424.97800000000001</v>
      </c>
      <c r="I119" s="5" cm="1">
        <f t="array" ref="I119">INDEX(GMW!$A$2:$LR$60,MATCH(1,(GMW!$LQ$2:$LQ$60=I$3)*(GMW!$LP$2:$LP$60=I$4)*(GMW!$LR$2:$LR$60=I$1),0),$B119-1966)</f>
        <v>390001.5</v>
      </c>
    </row>
    <row r="120" spans="1:9" x14ac:dyDescent="0.25">
      <c r="A120" s="5">
        <f t="shared" si="4"/>
        <v>2001</v>
      </c>
      <c r="B120" s="5">
        <f t="shared" si="5"/>
        <v>2086</v>
      </c>
      <c r="C120" s="5" cm="1">
        <f t="array" ref="C120">INDEX(GMW!$A$2:$LR$60,MATCH(1,(GMW!$LQ$2:$LQ$60=C$3)*(GMW!$LP$2:$LP$60=C$4)*(GMW!$LR$2:$LR$60=C$1),0),$B120-1966)</f>
        <v>414878</v>
      </c>
      <c r="D120" s="5" cm="1">
        <f t="array" ref="D120">INDEX(GMW!$A$2:$LR$60,MATCH(1,(GMW!$LQ$2:$LQ$60=D$3)*(GMW!$LP$2:$LP$60=D$4)*(GMW!$LR$2:$LR$60=D$1),0),$B120-1966)</f>
        <v>3567.9250000000002</v>
      </c>
      <c r="E120" s="5" cm="1">
        <f t="array" ref="E120">INDEX(GMW!$A$2:$LR$60,MATCH(1,(GMW!$LQ$2:$LQ$60=E$3)*(GMW!$LP$2:$LP$60=E$4)*(GMW!$LR$2:$LR$60=E$1),0),$B120-1966)</f>
        <v>121712.8</v>
      </c>
      <c r="F120" s="5" cm="1">
        <f t="array" ref="F120">INDEX(GMW!$A$2:$LR$60,MATCH(1,(GMW!$LQ$2:$LQ$60=F$3)*(GMW!$LP$2:$LP$60=F$4)*(GMW!$LR$2:$LR$60=F$1),0),$B120-1966)</f>
        <v>660.01199999999994</v>
      </c>
      <c r="G120" s="5" cm="1">
        <f t="array" ref="G120">INDEX(GMW!$A$2:$LR$60,MATCH(1,(GMW!$LQ$2:$LQ$60=G$3)*(GMW!$LP$2:$LP$60=G$4)*(GMW!$LR$2:$LR$60=G$1),0),$B120-1966)</f>
        <v>495.33499999999998</v>
      </c>
      <c r="H120" s="5" cm="1">
        <f t="array" ref="H120">INDEX(GMW!$A$2:$LR$60,MATCH(1,(GMW!$LQ$2:$LQ$60=H$3)*(GMW!$LP$2:$LP$60=H$4)*(GMW!$LR$2:$LR$60=H$1),0),$B120-1966)</f>
        <v>423.79500000000002</v>
      </c>
      <c r="I120" s="5" cm="1">
        <f t="array" ref="I120">INDEX(GMW!$A$2:$LR$60,MATCH(1,(GMW!$LQ$2:$LQ$60=I$3)*(GMW!$LP$2:$LP$60=I$4)*(GMW!$LR$2:$LR$60=I$1),0),$B120-1966)</f>
        <v>391228</v>
      </c>
    </row>
    <row r="121" spans="1:9" x14ac:dyDescent="0.25">
      <c r="A121" s="5">
        <f t="shared" si="4"/>
        <v>2001</v>
      </c>
      <c r="B121" s="5">
        <f t="shared" si="5"/>
        <v>2087</v>
      </c>
      <c r="C121" s="5" cm="1">
        <f t="array" ref="C121">INDEX(GMW!$A$2:$LR$60,MATCH(1,(GMW!$LQ$2:$LQ$60=C$3)*(GMW!$LP$2:$LP$60=C$4)*(GMW!$LR$2:$LR$60=C$1),0),$B121-1966)</f>
        <v>417085</v>
      </c>
      <c r="D121" s="5" cm="1">
        <f t="array" ref="D121">INDEX(GMW!$A$2:$LR$60,MATCH(1,(GMW!$LQ$2:$LQ$60=D$3)*(GMW!$LP$2:$LP$60=D$4)*(GMW!$LR$2:$LR$60=D$1),0),$B121-1966)</f>
        <v>3553.625</v>
      </c>
      <c r="E121" s="5" cm="1">
        <f t="array" ref="E121">INDEX(GMW!$A$2:$LR$60,MATCH(1,(GMW!$LQ$2:$LQ$60=E$3)*(GMW!$LP$2:$LP$60=E$4)*(GMW!$LR$2:$LR$60=E$1),0),$B121-1966)</f>
        <v>120398.2</v>
      </c>
      <c r="F121" s="5" cm="1">
        <f t="array" ref="F121">INDEX(GMW!$A$2:$LR$60,MATCH(1,(GMW!$LQ$2:$LQ$60=F$3)*(GMW!$LP$2:$LP$60=F$4)*(GMW!$LR$2:$LR$60=F$1),0),$B121-1966)</f>
        <v>659.92920000000004</v>
      </c>
      <c r="G121" s="5" cm="1">
        <f t="array" ref="G121">INDEX(GMW!$A$2:$LR$60,MATCH(1,(GMW!$LQ$2:$LQ$60=G$3)*(GMW!$LP$2:$LP$60=G$4)*(GMW!$LR$2:$LR$60=G$1),0),$B121-1966)</f>
        <v>497.84399999999999</v>
      </c>
      <c r="H121" s="5" cm="1">
        <f t="array" ref="H121">INDEX(GMW!$A$2:$LR$60,MATCH(1,(GMW!$LQ$2:$LQ$60=H$3)*(GMW!$LP$2:$LP$60=H$4)*(GMW!$LR$2:$LR$60=H$1),0),$B121-1966)</f>
        <v>422.05</v>
      </c>
      <c r="I121" s="5" cm="1">
        <f t="array" ref="I121">INDEX(GMW!$A$2:$LR$60,MATCH(1,(GMW!$LQ$2:$LQ$60=I$3)*(GMW!$LP$2:$LP$60=I$4)*(GMW!$LR$2:$LR$60=I$1),0),$B121-1966)</f>
        <v>390953</v>
      </c>
    </row>
    <row r="122" spans="1:9" x14ac:dyDescent="0.25">
      <c r="A122" s="5">
        <f t="shared" si="4"/>
        <v>2001</v>
      </c>
      <c r="B122" s="5">
        <f t="shared" si="5"/>
        <v>2088</v>
      </c>
      <c r="C122" s="5" cm="1">
        <f t="array" ref="C122">INDEX(GMW!$A$2:$LR$60,MATCH(1,(GMW!$LQ$2:$LQ$60=C$3)*(GMW!$LP$2:$LP$60=C$4)*(GMW!$LR$2:$LR$60=C$1),0),$B122-1966)</f>
        <v>418445</v>
      </c>
      <c r="D122" s="5" cm="1">
        <f t="array" ref="D122">INDEX(GMW!$A$2:$LR$60,MATCH(1,(GMW!$LQ$2:$LQ$60=D$3)*(GMW!$LP$2:$LP$60=D$4)*(GMW!$LR$2:$LR$60=D$1),0),$B122-1966)</f>
        <v>3563.4</v>
      </c>
      <c r="E122" s="5" cm="1">
        <f t="array" ref="E122">INDEX(GMW!$A$2:$LR$60,MATCH(1,(GMW!$LQ$2:$LQ$60=E$3)*(GMW!$LP$2:$LP$60=E$4)*(GMW!$LR$2:$LR$60=E$1),0),$B122-1966)</f>
        <v>119971</v>
      </c>
      <c r="F122" s="5" cm="1">
        <f t="array" ref="F122">INDEX(GMW!$A$2:$LR$60,MATCH(1,(GMW!$LQ$2:$LQ$60=F$3)*(GMW!$LP$2:$LP$60=F$4)*(GMW!$LR$2:$LR$60=F$1),0),$B122-1966)</f>
        <v>657.95060000000001</v>
      </c>
      <c r="G122" s="5" cm="1">
        <f t="array" ref="G122">INDEX(GMW!$A$2:$LR$60,MATCH(1,(GMW!$LQ$2:$LQ$60=G$3)*(GMW!$LP$2:$LP$60=G$4)*(GMW!$LR$2:$LR$60=G$1),0),$B122-1966)</f>
        <v>495.72300000000001</v>
      </c>
      <c r="H122" s="5" cm="1">
        <f t="array" ref="H122">INDEX(GMW!$A$2:$LR$60,MATCH(1,(GMW!$LQ$2:$LQ$60=H$3)*(GMW!$LP$2:$LP$60=H$4)*(GMW!$LR$2:$LR$60=H$1),0),$B122-1966)</f>
        <v>421.28699999999998</v>
      </c>
      <c r="I122" s="5" cm="1">
        <f t="array" ref="I122">INDEX(GMW!$A$2:$LR$60,MATCH(1,(GMW!$LQ$2:$LQ$60=I$3)*(GMW!$LP$2:$LP$60=I$4)*(GMW!$LR$2:$LR$60=I$1),0),$B122-1966)</f>
        <v>393297.8</v>
      </c>
    </row>
    <row r="123" spans="1:9" x14ac:dyDescent="0.25">
      <c r="A123" s="5">
        <f t="shared" si="4"/>
        <v>2002</v>
      </c>
      <c r="B123" s="5">
        <f t="shared" si="5"/>
        <v>2089</v>
      </c>
      <c r="C123" s="5" cm="1">
        <f t="array" ref="C123">INDEX(GMW!$A$2:$LR$60,MATCH(1,(GMW!$LQ$2:$LQ$60=C$3)*(GMW!$LP$2:$LP$60=C$4)*(GMW!$LR$2:$LR$60=C$1),0),$B123-1966)</f>
        <v>419534</v>
      </c>
      <c r="D123" s="5" cm="1">
        <f t="array" ref="D123">INDEX(GMW!$A$2:$LR$60,MATCH(1,(GMW!$LQ$2:$LQ$60=D$3)*(GMW!$LP$2:$LP$60=D$4)*(GMW!$LR$2:$LR$60=D$1),0),$B123-1966)</f>
        <v>3593.2</v>
      </c>
      <c r="E123" s="5" cm="1">
        <f t="array" ref="E123">INDEX(GMW!$A$2:$LR$60,MATCH(1,(GMW!$LQ$2:$LQ$60=E$3)*(GMW!$LP$2:$LP$60=E$4)*(GMW!$LR$2:$LR$60=E$1),0),$B123-1966)</f>
        <v>120187.2</v>
      </c>
      <c r="F123" s="5" cm="1">
        <f t="array" ref="F123">INDEX(GMW!$A$2:$LR$60,MATCH(1,(GMW!$LQ$2:$LQ$60=F$3)*(GMW!$LP$2:$LP$60=F$4)*(GMW!$LR$2:$LR$60=F$1),0),$B123-1966)</f>
        <v>655.18060000000003</v>
      </c>
      <c r="G123" s="5" cm="1">
        <f t="array" ref="G123">INDEX(GMW!$A$2:$LR$60,MATCH(1,(GMW!$LQ$2:$LQ$60=G$3)*(GMW!$LP$2:$LP$60=G$4)*(GMW!$LR$2:$LR$60=G$1),0),$B123-1966)</f>
        <v>498.59899999999999</v>
      </c>
      <c r="H123" s="5" cm="1">
        <f t="array" ref="H123">INDEX(GMW!$A$2:$LR$60,MATCH(1,(GMW!$LQ$2:$LQ$60=H$3)*(GMW!$LP$2:$LP$60=H$4)*(GMW!$LR$2:$LR$60=H$1),0),$B123-1966)</f>
        <v>422.23200000000003</v>
      </c>
      <c r="I123" s="5" cm="1">
        <f t="array" ref="I123">INDEX(GMW!$A$2:$LR$60,MATCH(1,(GMW!$LQ$2:$LQ$60=I$3)*(GMW!$LP$2:$LP$60=I$4)*(GMW!$LR$2:$LR$60=I$1),0),$B123-1966)</f>
        <v>399048.5</v>
      </c>
    </row>
    <row r="124" spans="1:9" x14ac:dyDescent="0.25">
      <c r="A124" s="5">
        <f t="shared" si="4"/>
        <v>2002</v>
      </c>
      <c r="B124" s="5">
        <f t="shared" si="5"/>
        <v>2090</v>
      </c>
      <c r="C124" s="5" cm="1">
        <f t="array" ref="C124">INDEX(GMW!$A$2:$LR$60,MATCH(1,(GMW!$LQ$2:$LQ$60=C$3)*(GMW!$LP$2:$LP$60=C$4)*(GMW!$LR$2:$LR$60=C$1),0),$B124-1966)</f>
        <v>421587</v>
      </c>
      <c r="D124" s="5" cm="1">
        <f t="array" ref="D124">INDEX(GMW!$A$2:$LR$60,MATCH(1,(GMW!$LQ$2:$LQ$60=D$3)*(GMW!$LP$2:$LP$60=D$4)*(GMW!$LR$2:$LR$60=D$1),0),$B124-1966)</f>
        <v>3615.2</v>
      </c>
      <c r="E124" s="5" cm="1">
        <f t="array" ref="E124">INDEX(GMW!$A$2:$LR$60,MATCH(1,(GMW!$LQ$2:$LQ$60=E$3)*(GMW!$LP$2:$LP$60=E$4)*(GMW!$LR$2:$LR$60=E$1),0),$B124-1966)</f>
        <v>121146.3</v>
      </c>
      <c r="F124" s="5" cm="1">
        <f t="array" ref="F124">INDEX(GMW!$A$2:$LR$60,MATCH(1,(GMW!$LQ$2:$LQ$60=F$3)*(GMW!$LP$2:$LP$60=F$4)*(GMW!$LR$2:$LR$60=F$1),0),$B124-1966)</f>
        <v>657.47199999999998</v>
      </c>
      <c r="G124" s="5" cm="1">
        <f t="array" ref="G124">INDEX(GMW!$A$2:$LR$60,MATCH(1,(GMW!$LQ$2:$LQ$60=G$3)*(GMW!$LP$2:$LP$60=G$4)*(GMW!$LR$2:$LR$60=G$1),0),$B124-1966)</f>
        <v>501.09899999999999</v>
      </c>
      <c r="H124" s="5" cm="1">
        <f t="array" ref="H124">INDEX(GMW!$A$2:$LR$60,MATCH(1,(GMW!$LQ$2:$LQ$60=H$3)*(GMW!$LP$2:$LP$60=H$4)*(GMW!$LR$2:$LR$60=H$1),0),$B124-1966)</f>
        <v>423.72300000000001</v>
      </c>
      <c r="I124" s="5" cm="1">
        <f t="array" ref="I124">INDEX(GMW!$A$2:$LR$60,MATCH(1,(GMW!$LQ$2:$LQ$60=I$3)*(GMW!$LP$2:$LP$60=I$4)*(GMW!$LR$2:$LR$60=I$1),0),$B124-1966)</f>
        <v>401406.3</v>
      </c>
    </row>
    <row r="125" spans="1:9" x14ac:dyDescent="0.25">
      <c r="A125" s="5">
        <f t="shared" si="4"/>
        <v>2002</v>
      </c>
      <c r="B125" s="5">
        <f t="shared" si="5"/>
        <v>2091</v>
      </c>
      <c r="C125" s="5" cm="1">
        <f t="array" ref="C125">INDEX(GMW!$A$2:$LR$60,MATCH(1,(GMW!$LQ$2:$LQ$60=C$3)*(GMW!$LP$2:$LP$60=C$4)*(GMW!$LR$2:$LR$60=C$1),0),$B125-1966)</f>
        <v>424425</v>
      </c>
      <c r="D125" s="5" cm="1">
        <f t="array" ref="D125">INDEX(GMW!$A$2:$LR$60,MATCH(1,(GMW!$LQ$2:$LQ$60=D$3)*(GMW!$LP$2:$LP$60=D$4)*(GMW!$LR$2:$LR$60=D$1),0),$B125-1966)</f>
        <v>3629.9</v>
      </c>
      <c r="E125" s="5" cm="1">
        <f t="array" ref="E125">INDEX(GMW!$A$2:$LR$60,MATCH(1,(GMW!$LQ$2:$LQ$60=E$3)*(GMW!$LP$2:$LP$60=E$4)*(GMW!$LR$2:$LR$60=E$1),0),$B125-1966)</f>
        <v>121543.4</v>
      </c>
      <c r="F125" s="5" cm="1">
        <f t="array" ref="F125">INDEX(GMW!$A$2:$LR$60,MATCH(1,(GMW!$LQ$2:$LQ$60=F$3)*(GMW!$LP$2:$LP$60=F$4)*(GMW!$LR$2:$LR$60=F$1),0),$B125-1966)</f>
        <v>661.99059999999997</v>
      </c>
      <c r="G125" s="5" cm="1">
        <f t="array" ref="G125">INDEX(GMW!$A$2:$LR$60,MATCH(1,(GMW!$LQ$2:$LQ$60=G$3)*(GMW!$LP$2:$LP$60=G$4)*(GMW!$LR$2:$LR$60=G$1),0),$B125-1966)</f>
        <v>502.96600000000001</v>
      </c>
      <c r="H125" s="5" cm="1">
        <f t="array" ref="H125">INDEX(GMW!$A$2:$LR$60,MATCH(1,(GMW!$LQ$2:$LQ$60=H$3)*(GMW!$LP$2:$LP$60=H$4)*(GMW!$LR$2:$LR$60=H$1),0),$B125-1966)</f>
        <v>424.48399999999998</v>
      </c>
      <c r="I125" s="5" cm="1">
        <f t="array" ref="I125">INDEX(GMW!$A$2:$LR$60,MATCH(1,(GMW!$LQ$2:$LQ$60=I$3)*(GMW!$LP$2:$LP$60=I$4)*(GMW!$LR$2:$LR$60=I$1),0),$B125-1966)</f>
        <v>404877.3</v>
      </c>
    </row>
    <row r="126" spans="1:9" x14ac:dyDescent="0.25">
      <c r="A126" s="5">
        <f t="shared" si="4"/>
        <v>2002</v>
      </c>
      <c r="B126" s="5">
        <f t="shared" si="5"/>
        <v>2092</v>
      </c>
      <c r="C126" s="5" cm="1">
        <f t="array" ref="C126">INDEX(GMW!$A$2:$LR$60,MATCH(1,(GMW!$LQ$2:$LQ$60=C$3)*(GMW!$LP$2:$LP$60=C$4)*(GMW!$LR$2:$LR$60=C$1),0),$B126-1966)</f>
        <v>427725</v>
      </c>
      <c r="D126" s="5" cm="1">
        <f t="array" ref="D126">INDEX(GMW!$A$2:$LR$60,MATCH(1,(GMW!$LQ$2:$LQ$60=D$3)*(GMW!$LP$2:$LP$60=D$4)*(GMW!$LR$2:$LR$60=D$1),0),$B126-1966)</f>
        <v>3634.4</v>
      </c>
      <c r="E126" s="5" cm="1">
        <f t="array" ref="E126">INDEX(GMW!$A$2:$LR$60,MATCH(1,(GMW!$LQ$2:$LQ$60=E$3)*(GMW!$LP$2:$LP$60=E$4)*(GMW!$LR$2:$LR$60=E$1),0),$B126-1966)</f>
        <v>121872.3</v>
      </c>
      <c r="F126" s="5" cm="1">
        <f t="array" ref="F126">INDEX(GMW!$A$2:$LR$60,MATCH(1,(GMW!$LQ$2:$LQ$60=F$3)*(GMW!$LP$2:$LP$60=F$4)*(GMW!$LR$2:$LR$60=F$1),0),$B126-1966)</f>
        <v>660.25130000000001</v>
      </c>
      <c r="G126" s="5" cm="1">
        <f t="array" ref="G126">INDEX(GMW!$A$2:$LR$60,MATCH(1,(GMW!$LQ$2:$LQ$60=G$3)*(GMW!$LP$2:$LP$60=G$4)*(GMW!$LR$2:$LR$60=G$1),0),$B126-1966)</f>
        <v>503.54899999999998</v>
      </c>
      <c r="H126" s="5" cm="1">
        <f t="array" ref="H126">INDEX(GMW!$A$2:$LR$60,MATCH(1,(GMW!$LQ$2:$LQ$60=H$3)*(GMW!$LP$2:$LP$60=H$4)*(GMW!$LR$2:$LR$60=H$1),0),$B126-1966)</f>
        <v>425.887</v>
      </c>
      <c r="I126" s="5" cm="1">
        <f t="array" ref="I126">INDEX(GMW!$A$2:$LR$60,MATCH(1,(GMW!$LQ$2:$LQ$60=I$3)*(GMW!$LP$2:$LP$60=I$4)*(GMW!$LR$2:$LR$60=I$1),0),$B126-1966)</f>
        <v>407101</v>
      </c>
    </row>
    <row r="127" spans="1:9" x14ac:dyDescent="0.25">
      <c r="A127" s="5">
        <f t="shared" si="4"/>
        <v>2003</v>
      </c>
      <c r="B127" s="5">
        <f t="shared" si="5"/>
        <v>2093</v>
      </c>
      <c r="C127" s="5" cm="1">
        <f t="array" ref="C127">INDEX(GMW!$A$2:$LR$60,MATCH(1,(GMW!$LQ$2:$LQ$60=C$3)*(GMW!$LP$2:$LP$60=C$4)*(GMW!$LR$2:$LR$60=C$1),0),$B127-1966)</f>
        <v>430832</v>
      </c>
      <c r="D127" s="5" cm="1">
        <f t="array" ref="D127">INDEX(GMW!$A$2:$LR$60,MATCH(1,(GMW!$LQ$2:$LQ$60=D$3)*(GMW!$LP$2:$LP$60=D$4)*(GMW!$LR$2:$LR$60=D$1),0),$B127-1966)</f>
        <v>3653.5250000000001</v>
      </c>
      <c r="E127" s="5" cm="1">
        <f t="array" ref="E127">INDEX(GMW!$A$2:$LR$60,MATCH(1,(GMW!$LQ$2:$LQ$60=E$3)*(GMW!$LP$2:$LP$60=E$4)*(GMW!$LR$2:$LR$60=E$1),0),$B127-1966)</f>
        <v>121952.1</v>
      </c>
      <c r="F127" s="5" cm="1">
        <f t="array" ref="F127">INDEX(GMW!$A$2:$LR$60,MATCH(1,(GMW!$LQ$2:$LQ$60=F$3)*(GMW!$LP$2:$LP$60=F$4)*(GMW!$LR$2:$LR$60=F$1),0),$B127-1966)</f>
        <v>651.37980000000005</v>
      </c>
      <c r="G127" s="5" cm="1">
        <f t="array" ref="G127">INDEX(GMW!$A$2:$LR$60,MATCH(1,(GMW!$LQ$2:$LQ$60=G$3)*(GMW!$LP$2:$LP$60=G$4)*(GMW!$LR$2:$LR$60=G$1),0),$B127-1966)</f>
        <v>505.06</v>
      </c>
      <c r="H127" s="5" cm="1">
        <f t="array" ref="H127">INDEX(GMW!$A$2:$LR$60,MATCH(1,(GMW!$LQ$2:$LQ$60=H$3)*(GMW!$LP$2:$LP$60=H$4)*(GMW!$LR$2:$LR$60=H$1),0),$B127-1966)</f>
        <v>424.613</v>
      </c>
      <c r="I127" s="5" cm="1">
        <f t="array" ref="I127">INDEX(GMW!$A$2:$LR$60,MATCH(1,(GMW!$LQ$2:$LQ$60=I$3)*(GMW!$LP$2:$LP$60=I$4)*(GMW!$LR$2:$LR$60=I$1),0),$B127-1966)</f>
        <v>409366</v>
      </c>
    </row>
    <row r="128" spans="1:9" x14ac:dyDescent="0.25">
      <c r="A128" s="5">
        <f t="shared" si="4"/>
        <v>2003</v>
      </c>
      <c r="B128" s="5">
        <f t="shared" si="5"/>
        <v>2094</v>
      </c>
      <c r="C128" s="5" cm="1">
        <f t="array" ref="C128">INDEX(GMW!$A$2:$LR$60,MATCH(1,(GMW!$LQ$2:$LQ$60=C$3)*(GMW!$LP$2:$LP$60=C$4)*(GMW!$LR$2:$LR$60=C$1),0),$B128-1966)</f>
        <v>434837</v>
      </c>
      <c r="D128" s="5" cm="1">
        <f t="array" ref="D128">INDEX(GMW!$A$2:$LR$60,MATCH(1,(GMW!$LQ$2:$LQ$60=D$3)*(GMW!$LP$2:$LP$60=D$4)*(GMW!$LR$2:$LR$60=D$1),0),$B128-1966)</f>
        <v>3685.9</v>
      </c>
      <c r="E128" s="5" cm="1">
        <f t="array" ref="E128">INDEX(GMW!$A$2:$LR$60,MATCH(1,(GMW!$LQ$2:$LQ$60=E$3)*(GMW!$LP$2:$LP$60=E$4)*(GMW!$LR$2:$LR$60=E$1),0),$B128-1966)</f>
        <v>122779.1</v>
      </c>
      <c r="F128" s="5" cm="1">
        <f t="array" ref="F128">INDEX(GMW!$A$2:$LR$60,MATCH(1,(GMW!$LQ$2:$LQ$60=F$3)*(GMW!$LP$2:$LP$60=F$4)*(GMW!$LR$2:$LR$60=F$1),0),$B128-1966)</f>
        <v>652.17129999999997</v>
      </c>
      <c r="G128" s="5" cm="1">
        <f t="array" ref="G128">INDEX(GMW!$A$2:$LR$60,MATCH(1,(GMW!$LQ$2:$LQ$60=G$3)*(GMW!$LP$2:$LP$60=G$4)*(GMW!$LR$2:$LR$60=G$1),0),$B128-1966)</f>
        <v>502.93400000000003</v>
      </c>
      <c r="H128" s="5" cm="1">
        <f t="array" ref="H128">INDEX(GMW!$A$2:$LR$60,MATCH(1,(GMW!$LQ$2:$LQ$60=H$3)*(GMW!$LP$2:$LP$60=H$4)*(GMW!$LR$2:$LR$60=H$1),0),$B128-1966)</f>
        <v>424.16199999999998</v>
      </c>
      <c r="I128" s="5" cm="1">
        <f t="array" ref="I128">INDEX(GMW!$A$2:$LR$60,MATCH(1,(GMW!$LQ$2:$LQ$60=I$3)*(GMW!$LP$2:$LP$60=I$4)*(GMW!$LR$2:$LR$60=I$1),0),$B128-1966)</f>
        <v>408772.3</v>
      </c>
    </row>
    <row r="129" spans="1:9" x14ac:dyDescent="0.25">
      <c r="A129" s="5">
        <f t="shared" si="4"/>
        <v>2003</v>
      </c>
      <c r="B129" s="5">
        <f t="shared" si="5"/>
        <v>2095</v>
      </c>
      <c r="C129" s="5" cm="1">
        <f t="array" ref="C129">INDEX(GMW!$A$2:$LR$60,MATCH(1,(GMW!$LQ$2:$LQ$60=C$3)*(GMW!$LP$2:$LP$60=C$4)*(GMW!$LR$2:$LR$60=C$1),0),$B129-1966)</f>
        <v>438710</v>
      </c>
      <c r="D129" s="5" cm="1">
        <f t="array" ref="D129">INDEX(GMW!$A$2:$LR$60,MATCH(1,(GMW!$LQ$2:$LQ$60=D$3)*(GMW!$LP$2:$LP$60=D$4)*(GMW!$LR$2:$LR$60=D$1),0),$B129-1966)</f>
        <v>3747.2</v>
      </c>
      <c r="E129" s="5" cm="1">
        <f t="array" ref="E129">INDEX(GMW!$A$2:$LR$60,MATCH(1,(GMW!$LQ$2:$LQ$60=E$3)*(GMW!$LP$2:$LP$60=E$4)*(GMW!$LR$2:$LR$60=E$1),0),$B129-1966)</f>
        <v>123155.6</v>
      </c>
      <c r="F129" s="5" cm="1">
        <f t="array" ref="F129">INDEX(GMW!$A$2:$LR$60,MATCH(1,(GMW!$LQ$2:$LQ$60=F$3)*(GMW!$LP$2:$LP$60=F$4)*(GMW!$LR$2:$LR$60=F$1),0),$B129-1966)</f>
        <v>658.10709999999995</v>
      </c>
      <c r="G129" s="5" cm="1">
        <f t="array" ref="G129">INDEX(GMW!$A$2:$LR$60,MATCH(1,(GMW!$LQ$2:$LQ$60=G$3)*(GMW!$LP$2:$LP$60=G$4)*(GMW!$LR$2:$LR$60=G$1),0),$B129-1966)</f>
        <v>508.149</v>
      </c>
      <c r="H129" s="5" cm="1">
        <f t="array" ref="H129">INDEX(GMW!$A$2:$LR$60,MATCH(1,(GMW!$LQ$2:$LQ$60=H$3)*(GMW!$LP$2:$LP$60=H$4)*(GMW!$LR$2:$LR$60=H$1),0),$B129-1966)</f>
        <v>423.87400000000002</v>
      </c>
      <c r="I129" s="5" cm="1">
        <f t="array" ref="I129">INDEX(GMW!$A$2:$LR$60,MATCH(1,(GMW!$LQ$2:$LQ$60=I$3)*(GMW!$LP$2:$LP$60=I$4)*(GMW!$LR$2:$LR$60=I$1),0),$B129-1966)</f>
        <v>410300.5</v>
      </c>
    </row>
    <row r="130" spans="1:9" x14ac:dyDescent="0.25">
      <c r="A130" s="5">
        <f t="shared" si="4"/>
        <v>2003</v>
      </c>
      <c r="B130" s="5">
        <f t="shared" si="5"/>
        <v>2096</v>
      </c>
      <c r="C130" s="5" cm="1">
        <f t="array" ref="C130">INDEX(GMW!$A$2:$LR$60,MATCH(1,(GMW!$LQ$2:$LQ$60=C$3)*(GMW!$LP$2:$LP$60=C$4)*(GMW!$LR$2:$LR$60=C$1),0),$B130-1966)</f>
        <v>442172</v>
      </c>
      <c r="D130" s="5" cm="1">
        <f t="array" ref="D130">INDEX(GMW!$A$2:$LR$60,MATCH(1,(GMW!$LQ$2:$LQ$60=D$3)*(GMW!$LP$2:$LP$60=D$4)*(GMW!$LR$2:$LR$60=D$1),0),$B130-1966)</f>
        <v>3790.7</v>
      </c>
      <c r="E130" s="5" cm="1">
        <f t="array" ref="E130">INDEX(GMW!$A$2:$LR$60,MATCH(1,(GMW!$LQ$2:$LQ$60=E$3)*(GMW!$LP$2:$LP$60=E$4)*(GMW!$LR$2:$LR$60=E$1),0),$B130-1966)</f>
        <v>124494.3</v>
      </c>
      <c r="F130" s="5" cm="1">
        <f t="array" ref="F130">INDEX(GMW!$A$2:$LR$60,MATCH(1,(GMW!$LQ$2:$LQ$60=F$3)*(GMW!$LP$2:$LP$60=F$4)*(GMW!$LR$2:$LR$60=F$1),0),$B130-1966)</f>
        <v>658.89850000000001</v>
      </c>
      <c r="G130" s="5" cm="1">
        <f t="array" ref="G130">INDEX(GMW!$A$2:$LR$60,MATCH(1,(GMW!$LQ$2:$LQ$60=G$3)*(GMW!$LP$2:$LP$60=G$4)*(GMW!$LR$2:$LR$60=G$1),0),$B130-1966)</f>
        <v>510.00700000000001</v>
      </c>
      <c r="H130" s="5" cm="1">
        <f t="array" ref="H130">INDEX(GMW!$A$2:$LR$60,MATCH(1,(GMW!$LQ$2:$LQ$60=H$3)*(GMW!$LP$2:$LP$60=H$4)*(GMW!$LR$2:$LR$60=H$1),0),$B130-1966)</f>
        <v>427.81200000000001</v>
      </c>
      <c r="I130" s="5" cm="1">
        <f t="array" ref="I130">INDEX(GMW!$A$2:$LR$60,MATCH(1,(GMW!$LQ$2:$LQ$60=I$3)*(GMW!$LP$2:$LP$60=I$4)*(GMW!$LR$2:$LR$60=I$1),0),$B130-1966)</f>
        <v>413121</v>
      </c>
    </row>
    <row r="131" spans="1:9" x14ac:dyDescent="0.25">
      <c r="A131" s="5">
        <f t="shared" si="4"/>
        <v>2004</v>
      </c>
      <c r="B131" s="5">
        <f t="shared" si="5"/>
        <v>2097</v>
      </c>
      <c r="C131" s="5" cm="1">
        <f t="array" ref="C131">INDEX(GMW!$A$2:$LR$60,MATCH(1,(GMW!$LQ$2:$LQ$60=C$3)*(GMW!$LP$2:$LP$60=C$4)*(GMW!$LR$2:$LR$60=C$1),0),$B131-1966)</f>
        <v>443853</v>
      </c>
      <c r="D131" s="5" cm="1">
        <f t="array" ref="D131">INDEX(GMW!$A$2:$LR$60,MATCH(1,(GMW!$LQ$2:$LQ$60=D$3)*(GMW!$LP$2:$LP$60=D$4)*(GMW!$LR$2:$LR$60=D$1),0),$B131-1966)</f>
        <v>3812.1750000000002</v>
      </c>
      <c r="E131" s="5" cm="1">
        <f t="array" ref="E131">INDEX(GMW!$A$2:$LR$60,MATCH(1,(GMW!$LQ$2:$LQ$60=E$3)*(GMW!$LP$2:$LP$60=E$4)*(GMW!$LR$2:$LR$60=E$1),0),$B131-1966)</f>
        <v>125421.2</v>
      </c>
      <c r="F131" s="5" cm="1">
        <f t="array" ref="F131">INDEX(GMW!$A$2:$LR$60,MATCH(1,(GMW!$LQ$2:$LQ$60=F$3)*(GMW!$LP$2:$LP$60=F$4)*(GMW!$LR$2:$LR$60=F$1),0),$B131-1966)</f>
        <v>658.10709999999995</v>
      </c>
      <c r="G131" s="5" cm="1">
        <f t="array" ref="G131">INDEX(GMW!$A$2:$LR$60,MATCH(1,(GMW!$LQ$2:$LQ$60=G$3)*(GMW!$LP$2:$LP$60=G$4)*(GMW!$LR$2:$LR$60=G$1),0),$B131-1966)</f>
        <v>515.44899999999996</v>
      </c>
      <c r="H131" s="5" cm="1">
        <f t="array" ref="H131">INDEX(GMW!$A$2:$LR$60,MATCH(1,(GMW!$LQ$2:$LQ$60=H$3)*(GMW!$LP$2:$LP$60=H$4)*(GMW!$LR$2:$LR$60=H$1),0),$B131-1966)</f>
        <v>428.82299999999998</v>
      </c>
      <c r="I131" s="5" cm="1">
        <f t="array" ref="I131">INDEX(GMW!$A$2:$LR$60,MATCH(1,(GMW!$LQ$2:$LQ$60=I$3)*(GMW!$LP$2:$LP$60=I$4)*(GMW!$LR$2:$LR$60=I$1),0),$B131-1966)</f>
        <v>416125</v>
      </c>
    </row>
    <row r="132" spans="1:9" x14ac:dyDescent="0.25">
      <c r="A132" s="5">
        <f t="shared" si="4"/>
        <v>2004</v>
      </c>
      <c r="B132" s="5">
        <f t="shared" si="5"/>
        <v>2098</v>
      </c>
      <c r="C132" s="5" cm="1">
        <f t="array" ref="C132">INDEX(GMW!$A$2:$LR$60,MATCH(1,(GMW!$LQ$2:$LQ$60=C$3)*(GMW!$LP$2:$LP$60=C$4)*(GMW!$LR$2:$LR$60=C$1),0),$B132-1966)</f>
        <v>446443</v>
      </c>
      <c r="D132" s="5" cm="1">
        <f t="array" ref="D132">INDEX(GMW!$A$2:$LR$60,MATCH(1,(GMW!$LQ$2:$LQ$60=D$3)*(GMW!$LP$2:$LP$60=D$4)*(GMW!$LR$2:$LR$60=D$1),0),$B132-1966)</f>
        <v>3841.7249999999999</v>
      </c>
      <c r="E132" s="5" cm="1">
        <f t="array" ref="E132">INDEX(GMW!$A$2:$LR$60,MATCH(1,(GMW!$LQ$2:$LQ$60=E$3)*(GMW!$LP$2:$LP$60=E$4)*(GMW!$LR$2:$LR$60=E$1),0),$B132-1966)</f>
        <v>125417.4</v>
      </c>
      <c r="F132" s="5" cm="1">
        <f t="array" ref="F132">INDEX(GMW!$A$2:$LR$60,MATCH(1,(GMW!$LQ$2:$LQ$60=F$3)*(GMW!$LP$2:$LP$60=F$4)*(GMW!$LR$2:$LR$60=F$1),0),$B132-1966)</f>
        <v>661.83420000000001</v>
      </c>
      <c r="G132" s="5" cm="1">
        <f t="array" ref="G132">INDEX(GMW!$A$2:$LR$60,MATCH(1,(GMW!$LQ$2:$LQ$60=G$3)*(GMW!$LP$2:$LP$60=G$4)*(GMW!$LR$2:$LR$60=G$1),0),$B132-1966)</f>
        <v>517.72</v>
      </c>
      <c r="H132" s="5" cm="1">
        <f t="array" ref="H132">INDEX(GMW!$A$2:$LR$60,MATCH(1,(GMW!$LQ$2:$LQ$60=H$3)*(GMW!$LP$2:$LP$60=H$4)*(GMW!$LR$2:$LR$60=H$1),0),$B132-1966)</f>
        <v>430.24</v>
      </c>
      <c r="I132" s="5" cm="1">
        <f t="array" ref="I132">INDEX(GMW!$A$2:$LR$60,MATCH(1,(GMW!$LQ$2:$LQ$60=I$3)*(GMW!$LP$2:$LP$60=I$4)*(GMW!$LR$2:$LR$60=I$1),0),$B132-1966)</f>
        <v>421055.5</v>
      </c>
    </row>
    <row r="133" spans="1:9" x14ac:dyDescent="0.25">
      <c r="A133" s="5">
        <f t="shared" si="4"/>
        <v>2004</v>
      </c>
      <c r="B133" s="5">
        <f t="shared" si="5"/>
        <v>2099</v>
      </c>
      <c r="C133" s="5" cm="1">
        <f t="array" ref="C133">INDEX(GMW!$A$2:$LR$60,MATCH(1,(GMW!$LQ$2:$LQ$60=C$3)*(GMW!$LP$2:$LP$60=C$4)*(GMW!$LR$2:$LR$60=C$1),0),$B133-1966)</f>
        <v>448171</v>
      </c>
      <c r="D133" s="5" cm="1">
        <f t="array" ref="D133">INDEX(GMW!$A$2:$LR$60,MATCH(1,(GMW!$LQ$2:$LQ$60=D$3)*(GMW!$LP$2:$LP$60=D$4)*(GMW!$LR$2:$LR$60=D$1),0),$B133-1966)</f>
        <v>3878.15</v>
      </c>
      <c r="E133" s="5" cm="1">
        <f t="array" ref="E133">INDEX(GMW!$A$2:$LR$60,MATCH(1,(GMW!$LQ$2:$LQ$60=E$3)*(GMW!$LP$2:$LP$60=E$4)*(GMW!$LR$2:$LR$60=E$1),0),$B133-1966)</f>
        <v>126193.60000000001</v>
      </c>
      <c r="F133" s="5" cm="1">
        <f t="array" ref="F133">INDEX(GMW!$A$2:$LR$60,MATCH(1,(GMW!$LQ$2:$LQ$60=F$3)*(GMW!$LP$2:$LP$60=F$4)*(GMW!$LR$2:$LR$60=F$1),0),$B133-1966)</f>
        <v>659.68989999999997</v>
      </c>
      <c r="G133" s="5" cm="1">
        <f t="array" ref="G133">INDEX(GMW!$A$2:$LR$60,MATCH(1,(GMW!$LQ$2:$LQ$60=G$3)*(GMW!$LP$2:$LP$60=G$4)*(GMW!$LR$2:$LR$60=G$1),0),$B133-1966)</f>
        <v>519.68600000000004</v>
      </c>
      <c r="H133" s="5" cm="1">
        <f t="array" ref="H133">INDEX(GMW!$A$2:$LR$60,MATCH(1,(GMW!$LQ$2:$LQ$60=H$3)*(GMW!$LP$2:$LP$60=H$4)*(GMW!$LR$2:$LR$60=H$1),0),$B133-1966)</f>
        <v>430.02199999999999</v>
      </c>
      <c r="I133" s="5" cm="1">
        <f t="array" ref="I133">INDEX(GMW!$A$2:$LR$60,MATCH(1,(GMW!$LQ$2:$LQ$60=I$3)*(GMW!$LP$2:$LP$60=I$4)*(GMW!$LR$2:$LR$60=I$1),0),$B133-1966)</f>
        <v>426033.8</v>
      </c>
    </row>
    <row r="134" spans="1:9" x14ac:dyDescent="0.25">
      <c r="A134" s="5">
        <f t="shared" si="4"/>
        <v>2004</v>
      </c>
      <c r="B134" s="5">
        <f t="shared" si="5"/>
        <v>2100</v>
      </c>
      <c r="C134" s="5" cm="1">
        <f t="array" ref="C134">INDEX(GMW!$A$2:$LR$60,MATCH(1,(GMW!$LQ$2:$LQ$60=C$3)*(GMW!$LP$2:$LP$60=C$4)*(GMW!$LR$2:$LR$60=C$1),0),$B134-1966)</f>
        <v>450464</v>
      </c>
      <c r="D134" s="5" cm="1">
        <f t="array" ref="D134">INDEX(GMW!$A$2:$LR$60,MATCH(1,(GMW!$LQ$2:$LQ$60=D$3)*(GMW!$LP$2:$LP$60=D$4)*(GMW!$LR$2:$LR$60=D$1),0),$B134-1966)</f>
        <v>3917.7249999999999</v>
      </c>
      <c r="E134" s="5" cm="1">
        <f t="array" ref="E134">INDEX(GMW!$A$2:$LR$60,MATCH(1,(GMW!$LQ$2:$LQ$60=E$3)*(GMW!$LP$2:$LP$60=E$4)*(GMW!$LR$2:$LR$60=E$1),0),$B134-1966)</f>
        <v>125958.1</v>
      </c>
      <c r="F134" s="5" cm="1">
        <f t="array" ref="F134">INDEX(GMW!$A$2:$LR$60,MATCH(1,(GMW!$LQ$2:$LQ$60=F$3)*(GMW!$LP$2:$LP$60=F$4)*(GMW!$LR$2:$LR$60=F$1),0),$B134-1966)</f>
        <v>659.37699999999995</v>
      </c>
      <c r="G134" s="5" cm="1">
        <f t="array" ref="G134">INDEX(GMW!$A$2:$LR$60,MATCH(1,(GMW!$LQ$2:$LQ$60=G$3)*(GMW!$LP$2:$LP$60=G$4)*(GMW!$LR$2:$LR$60=G$1),0),$B134-1966)</f>
        <v>524.35299999999995</v>
      </c>
      <c r="H134" s="5" cm="1">
        <f t="array" ref="H134">INDEX(GMW!$A$2:$LR$60,MATCH(1,(GMW!$LQ$2:$LQ$60=H$3)*(GMW!$LP$2:$LP$60=H$4)*(GMW!$LR$2:$LR$60=H$1),0),$B134-1966)</f>
        <v>431.43299999999999</v>
      </c>
      <c r="I134" s="5" cm="1">
        <f t="array" ref="I134">INDEX(GMW!$A$2:$LR$60,MATCH(1,(GMW!$LQ$2:$LQ$60=I$3)*(GMW!$LP$2:$LP$60=I$4)*(GMW!$LR$2:$LR$60=I$1),0),$B134-1966)</f>
        <v>429108.5</v>
      </c>
    </row>
    <row r="135" spans="1:9" x14ac:dyDescent="0.25">
      <c r="A135" s="5">
        <f t="shared" si="4"/>
        <v>2005</v>
      </c>
      <c r="B135" s="5">
        <f t="shared" si="5"/>
        <v>2101</v>
      </c>
      <c r="C135" s="5" cm="1">
        <f t="array" ref="C135">INDEX(GMW!$A$2:$LR$60,MATCH(1,(GMW!$LQ$2:$LQ$60=C$3)*(GMW!$LP$2:$LP$60=C$4)*(GMW!$LR$2:$LR$60=C$1),0),$B135-1966)</f>
        <v>453784</v>
      </c>
      <c r="D135" s="5" cm="1">
        <f t="array" ref="D135">INDEX(GMW!$A$2:$LR$60,MATCH(1,(GMW!$LQ$2:$LQ$60=D$3)*(GMW!$LP$2:$LP$60=D$4)*(GMW!$LR$2:$LR$60=D$1),0),$B135-1966)</f>
        <v>3961.1750000000002</v>
      </c>
      <c r="E135" s="5" cm="1">
        <f t="array" ref="E135">INDEX(GMW!$A$2:$LR$60,MATCH(1,(GMW!$LQ$2:$LQ$60=E$3)*(GMW!$LP$2:$LP$60=E$4)*(GMW!$LR$2:$LR$60=E$1),0),$B135-1966)</f>
        <v>126596.9</v>
      </c>
      <c r="F135" s="5" cm="1">
        <f t="array" ref="F135">INDEX(GMW!$A$2:$LR$60,MATCH(1,(GMW!$LQ$2:$LQ$60=F$3)*(GMW!$LP$2:$LP$60=F$4)*(GMW!$LR$2:$LR$60=F$1),0),$B135-1966)</f>
        <v>660.56420000000003</v>
      </c>
      <c r="G135" s="5" cm="1">
        <f t="array" ref="G135">INDEX(GMW!$A$2:$LR$60,MATCH(1,(GMW!$LQ$2:$LQ$60=G$3)*(GMW!$LP$2:$LP$60=G$4)*(GMW!$LR$2:$LR$60=G$1),0),$B135-1966)</f>
        <v>525.70600000000002</v>
      </c>
      <c r="H135" s="5" cm="1">
        <f t="array" ref="H135">INDEX(GMW!$A$2:$LR$60,MATCH(1,(GMW!$LQ$2:$LQ$60=H$3)*(GMW!$LP$2:$LP$60=H$4)*(GMW!$LR$2:$LR$60=H$1),0),$B135-1966)</f>
        <v>430.28199999999998</v>
      </c>
      <c r="I135" s="5" cm="1">
        <f t="array" ref="I135">INDEX(GMW!$A$2:$LR$60,MATCH(1,(GMW!$LQ$2:$LQ$60=I$3)*(GMW!$LP$2:$LP$60=I$4)*(GMW!$LR$2:$LR$60=I$1),0),$B135-1966)</f>
        <v>430611.3</v>
      </c>
    </row>
    <row r="136" spans="1:9" x14ac:dyDescent="0.25">
      <c r="A136" s="5">
        <f t="shared" si="4"/>
        <v>2005</v>
      </c>
      <c r="B136" s="5">
        <f t="shared" si="5"/>
        <v>2102</v>
      </c>
      <c r="C136" s="5" cm="1">
        <f t="array" ref="C136">INDEX(GMW!$A$2:$LR$60,MATCH(1,(GMW!$LQ$2:$LQ$60=C$3)*(GMW!$LP$2:$LP$60=C$4)*(GMW!$LR$2:$LR$60=C$1),0),$B136-1966)</f>
        <v>457557</v>
      </c>
      <c r="D136" s="5" cm="1">
        <f t="array" ref="D136">INDEX(GMW!$A$2:$LR$60,MATCH(1,(GMW!$LQ$2:$LQ$60=D$3)*(GMW!$LP$2:$LP$60=D$4)*(GMW!$LR$2:$LR$60=D$1),0),$B136-1966)</f>
        <v>3980.7</v>
      </c>
      <c r="E136" s="5" cm="1">
        <f t="array" ref="E136">INDEX(GMW!$A$2:$LR$60,MATCH(1,(GMW!$LQ$2:$LQ$60=E$3)*(GMW!$LP$2:$LP$60=E$4)*(GMW!$LR$2:$LR$60=E$1),0),$B136-1966)</f>
        <v>127578.2</v>
      </c>
      <c r="F136" s="5" cm="1">
        <f t="array" ref="F136">INDEX(GMW!$A$2:$LR$60,MATCH(1,(GMW!$LQ$2:$LQ$60=F$3)*(GMW!$LP$2:$LP$60=F$4)*(GMW!$LR$2:$LR$60=F$1),0),$B136-1966)</f>
        <v>664.20849999999996</v>
      </c>
      <c r="G136" s="5" cm="1">
        <f t="array" ref="G136">INDEX(GMW!$A$2:$LR$60,MATCH(1,(GMW!$LQ$2:$LQ$60=G$3)*(GMW!$LP$2:$LP$60=G$4)*(GMW!$LR$2:$LR$60=G$1),0),$B136-1966)</f>
        <v>527.02700000000004</v>
      </c>
      <c r="H136" s="5" cm="1">
        <f t="array" ref="H136">INDEX(GMW!$A$2:$LR$60,MATCH(1,(GMW!$LQ$2:$LQ$60=H$3)*(GMW!$LP$2:$LP$60=H$4)*(GMW!$LR$2:$LR$60=H$1),0),$B136-1966)</f>
        <v>433.90899999999999</v>
      </c>
      <c r="I136" s="5" cm="1">
        <f t="array" ref="I136">INDEX(GMW!$A$2:$LR$60,MATCH(1,(GMW!$LQ$2:$LQ$60=I$3)*(GMW!$LP$2:$LP$60=I$4)*(GMW!$LR$2:$LR$60=I$1),0),$B136-1966)</f>
        <v>433723.5</v>
      </c>
    </row>
    <row r="137" spans="1:9" x14ac:dyDescent="0.25">
      <c r="A137" s="5">
        <f t="shared" si="4"/>
        <v>2005</v>
      </c>
      <c r="B137" s="5">
        <f t="shared" si="5"/>
        <v>2103</v>
      </c>
      <c r="C137" s="5" cm="1">
        <f t="array" ref="C137">INDEX(GMW!$A$2:$LR$60,MATCH(1,(GMW!$LQ$2:$LQ$60=C$3)*(GMW!$LP$2:$LP$60=C$4)*(GMW!$LR$2:$LR$60=C$1),0),$B137-1966)</f>
        <v>461135</v>
      </c>
      <c r="D137" s="5" cm="1">
        <f t="array" ref="D137">INDEX(GMW!$A$2:$LR$60,MATCH(1,(GMW!$LQ$2:$LQ$60=D$3)*(GMW!$LP$2:$LP$60=D$4)*(GMW!$LR$2:$LR$60=D$1),0),$B137-1966)</f>
        <v>4011.9</v>
      </c>
      <c r="E137" s="5" cm="1">
        <f t="array" ref="E137">INDEX(GMW!$A$2:$LR$60,MATCH(1,(GMW!$LQ$2:$LQ$60=E$3)*(GMW!$LP$2:$LP$60=E$4)*(GMW!$LR$2:$LR$60=E$1),0),$B137-1966)</f>
        <v>128875.4</v>
      </c>
      <c r="F137" s="5" cm="1">
        <f t="array" ref="F137">INDEX(GMW!$A$2:$LR$60,MATCH(1,(GMW!$LQ$2:$LQ$60=F$3)*(GMW!$LP$2:$LP$60=F$4)*(GMW!$LR$2:$LR$60=F$1),0),$B137-1966)</f>
        <v>669.67489999999998</v>
      </c>
      <c r="G137" s="5" cm="1">
        <f t="array" ref="G137">INDEX(GMW!$A$2:$LR$60,MATCH(1,(GMW!$LQ$2:$LQ$60=G$3)*(GMW!$LP$2:$LP$60=G$4)*(GMW!$LR$2:$LR$60=G$1),0),$B137-1966)</f>
        <v>531.02</v>
      </c>
      <c r="H137" s="5" cm="1">
        <f t="array" ref="H137">INDEX(GMW!$A$2:$LR$60,MATCH(1,(GMW!$LQ$2:$LQ$60=H$3)*(GMW!$LP$2:$LP$60=H$4)*(GMW!$LR$2:$LR$60=H$1),0),$B137-1966)</f>
        <v>437.00200000000001</v>
      </c>
      <c r="I137" s="5" cm="1">
        <f t="array" ref="I137">INDEX(GMW!$A$2:$LR$60,MATCH(1,(GMW!$LQ$2:$LQ$60=I$3)*(GMW!$LP$2:$LP$60=I$4)*(GMW!$LR$2:$LR$60=I$1),0),$B137-1966)</f>
        <v>438979.8</v>
      </c>
    </row>
    <row r="138" spans="1:9" x14ac:dyDescent="0.25">
      <c r="A138" s="5">
        <f t="shared" si="4"/>
        <v>2005</v>
      </c>
      <c r="B138" s="5">
        <f t="shared" si="5"/>
        <v>2104</v>
      </c>
      <c r="C138" s="5" cm="1">
        <f t="array" ref="C138">INDEX(GMW!$A$2:$LR$60,MATCH(1,(GMW!$LQ$2:$LQ$60=C$3)*(GMW!$LP$2:$LP$60=C$4)*(GMW!$LR$2:$LR$60=C$1),0),$B138-1966)</f>
        <v>465451</v>
      </c>
      <c r="D138" s="5" cm="1">
        <f t="array" ref="D138">INDEX(GMW!$A$2:$LR$60,MATCH(1,(GMW!$LQ$2:$LQ$60=D$3)*(GMW!$LP$2:$LP$60=D$4)*(GMW!$LR$2:$LR$60=D$1),0),$B138-1966)</f>
        <v>4034.1750000000002</v>
      </c>
      <c r="E138" s="5" cm="1">
        <f t="array" ref="E138">INDEX(GMW!$A$2:$LR$60,MATCH(1,(GMW!$LQ$2:$LQ$60=E$3)*(GMW!$LP$2:$LP$60=E$4)*(GMW!$LR$2:$LR$60=E$1),0),$B138-1966)</f>
        <v>129110.5</v>
      </c>
      <c r="F138" s="5" cm="1">
        <f t="array" ref="F138">INDEX(GMW!$A$2:$LR$60,MATCH(1,(GMW!$LQ$2:$LQ$60=F$3)*(GMW!$LP$2:$LP$60=F$4)*(GMW!$LR$2:$LR$60=F$1),0),$B138-1966)</f>
        <v>672.20569999999998</v>
      </c>
      <c r="G138" s="5" cm="1">
        <f t="array" ref="G138">INDEX(GMW!$A$2:$LR$60,MATCH(1,(GMW!$LQ$2:$LQ$60=G$3)*(GMW!$LP$2:$LP$60=G$4)*(GMW!$LR$2:$LR$60=G$1),0),$B138-1966)</f>
        <v>534.73099999999999</v>
      </c>
      <c r="H138" s="5" cm="1">
        <f t="array" ref="H138">INDEX(GMW!$A$2:$LR$60,MATCH(1,(GMW!$LQ$2:$LQ$60=H$3)*(GMW!$LP$2:$LP$60=H$4)*(GMW!$LR$2:$LR$60=H$1),0),$B138-1966)</f>
        <v>437.17099999999999</v>
      </c>
      <c r="I138" s="5" cm="1">
        <f t="array" ref="I138">INDEX(GMW!$A$2:$LR$60,MATCH(1,(GMW!$LQ$2:$LQ$60=I$3)*(GMW!$LP$2:$LP$60=I$4)*(GMW!$LR$2:$LR$60=I$1),0),$B138-1966)</f>
        <v>443339.5</v>
      </c>
    </row>
    <row r="139" spans="1:9" x14ac:dyDescent="0.25">
      <c r="A139" s="5">
        <f t="shared" si="4"/>
        <v>2006</v>
      </c>
      <c r="B139" s="5">
        <f t="shared" si="5"/>
        <v>2105</v>
      </c>
      <c r="C139" s="5" cm="1">
        <f t="array" ref="C139">INDEX(GMW!$A$2:$LR$60,MATCH(1,(GMW!$LQ$2:$LQ$60=C$3)*(GMW!$LP$2:$LP$60=C$4)*(GMW!$LR$2:$LR$60=C$1),0),$B139-1966)</f>
        <v>467840</v>
      </c>
      <c r="D139" s="5" cm="1">
        <f t="array" ref="D139">INDEX(GMW!$A$2:$LR$60,MATCH(1,(GMW!$LQ$2:$LQ$60=D$3)*(GMW!$LP$2:$LP$60=D$4)*(GMW!$LR$2:$LR$60=D$1),0),$B139-1966)</f>
        <v>4088.45</v>
      </c>
      <c r="E139" s="5" cm="1">
        <f t="array" ref="E139">INDEX(GMW!$A$2:$LR$60,MATCH(1,(GMW!$LQ$2:$LQ$60=E$3)*(GMW!$LP$2:$LP$60=E$4)*(GMW!$LR$2:$LR$60=E$1),0),$B139-1966)</f>
        <v>129304.9</v>
      </c>
      <c r="F139" s="5" cm="1">
        <f t="array" ref="F139">INDEX(GMW!$A$2:$LR$60,MATCH(1,(GMW!$LQ$2:$LQ$60=F$3)*(GMW!$LP$2:$LP$60=F$4)*(GMW!$LR$2:$LR$60=F$1),0),$B139-1966)</f>
        <v>679.73350000000005</v>
      </c>
      <c r="G139" s="5" cm="1">
        <f t="array" ref="G139">INDEX(GMW!$A$2:$LR$60,MATCH(1,(GMW!$LQ$2:$LQ$60=G$3)*(GMW!$LP$2:$LP$60=G$4)*(GMW!$LR$2:$LR$60=G$1),0),$B139-1966)</f>
        <v>539.16899999999998</v>
      </c>
      <c r="H139" s="5" cm="1">
        <f t="array" ref="H139">INDEX(GMW!$A$2:$LR$60,MATCH(1,(GMW!$LQ$2:$LQ$60=H$3)*(GMW!$LP$2:$LP$60=H$4)*(GMW!$LR$2:$LR$60=H$1),0),$B139-1966)</f>
        <v>437.85500000000002</v>
      </c>
      <c r="I139" s="5" cm="1">
        <f t="array" ref="I139">INDEX(GMW!$A$2:$LR$60,MATCH(1,(GMW!$LQ$2:$LQ$60=I$3)*(GMW!$LP$2:$LP$60=I$4)*(GMW!$LR$2:$LR$60=I$1),0),$B139-1966)</f>
        <v>446939</v>
      </c>
    </row>
    <row r="140" spans="1:9" x14ac:dyDescent="0.25">
      <c r="A140" s="5">
        <f t="shared" ref="A140:A203" si="6">+A136+1</f>
        <v>2006</v>
      </c>
      <c r="B140" s="5">
        <f t="shared" si="5"/>
        <v>2106</v>
      </c>
      <c r="C140" s="5" cm="1">
        <f t="array" ref="C140">INDEX(GMW!$A$2:$LR$60,MATCH(1,(GMW!$LQ$2:$LQ$60=C$3)*(GMW!$LP$2:$LP$60=C$4)*(GMW!$LR$2:$LR$60=C$1),0),$B140-1966)</f>
        <v>469655</v>
      </c>
      <c r="D140" s="5" cm="1">
        <f t="array" ref="D140">INDEX(GMW!$A$2:$LR$60,MATCH(1,(GMW!$LQ$2:$LQ$60=D$3)*(GMW!$LP$2:$LP$60=D$4)*(GMW!$LR$2:$LR$60=D$1),0),$B140-1966)</f>
        <v>4099.05</v>
      </c>
      <c r="E140" s="5" cm="1">
        <f t="array" ref="E140">INDEX(GMW!$A$2:$LR$60,MATCH(1,(GMW!$LQ$2:$LQ$60=E$3)*(GMW!$LP$2:$LP$60=E$4)*(GMW!$LR$2:$LR$60=E$1),0),$B140-1966)</f>
        <v>129495.4</v>
      </c>
      <c r="F140" s="5" cm="1">
        <f t="array" ref="F140">INDEX(GMW!$A$2:$LR$60,MATCH(1,(GMW!$LQ$2:$LQ$60=F$3)*(GMW!$LP$2:$LP$60=F$4)*(GMW!$LR$2:$LR$60=F$1),0),$B140-1966)</f>
        <v>691.29219999999998</v>
      </c>
      <c r="G140" s="5" cm="1">
        <f t="array" ref="G140">INDEX(GMW!$A$2:$LR$60,MATCH(1,(GMW!$LQ$2:$LQ$60=G$3)*(GMW!$LP$2:$LP$60=G$4)*(GMW!$LR$2:$LR$60=G$1),0),$B140-1966)</f>
        <v>545.76599999999996</v>
      </c>
      <c r="H140" s="5" cm="1">
        <f t="array" ref="H140">INDEX(GMW!$A$2:$LR$60,MATCH(1,(GMW!$LQ$2:$LQ$60=H$3)*(GMW!$LP$2:$LP$60=H$4)*(GMW!$LR$2:$LR$60=H$1),0),$B140-1966)</f>
        <v>441.11900000000003</v>
      </c>
      <c r="I140" s="5" cm="1">
        <f t="array" ref="I140">INDEX(GMW!$A$2:$LR$60,MATCH(1,(GMW!$LQ$2:$LQ$60=I$3)*(GMW!$LP$2:$LP$60=I$4)*(GMW!$LR$2:$LR$60=I$1),0),$B140-1966)</f>
        <v>447162.5</v>
      </c>
    </row>
    <row r="141" spans="1:9" x14ac:dyDescent="0.25">
      <c r="A141" s="5">
        <f t="shared" si="6"/>
        <v>2006</v>
      </c>
      <c r="B141" s="5">
        <f t="shared" si="5"/>
        <v>2107</v>
      </c>
      <c r="C141" s="5" cm="1">
        <f t="array" ref="C141">INDEX(GMW!$A$2:$LR$60,MATCH(1,(GMW!$LQ$2:$LQ$60=C$3)*(GMW!$LP$2:$LP$60=C$4)*(GMW!$LR$2:$LR$60=C$1),0),$B141-1966)</f>
        <v>470918</v>
      </c>
      <c r="D141" s="5" cm="1">
        <f t="array" ref="D141">INDEX(GMW!$A$2:$LR$60,MATCH(1,(GMW!$LQ$2:$LQ$60=D$3)*(GMW!$LP$2:$LP$60=D$4)*(GMW!$LR$2:$LR$60=D$1),0),$B141-1966)</f>
        <v>4105.1750000000002</v>
      </c>
      <c r="E141" s="5" cm="1">
        <f t="array" ref="E141">INDEX(GMW!$A$2:$LR$60,MATCH(1,(GMW!$LQ$2:$LQ$60=E$3)*(GMW!$LP$2:$LP$60=E$4)*(GMW!$LR$2:$LR$60=E$1),0),$B141-1966)</f>
        <v>129253.3</v>
      </c>
      <c r="F141" s="5" cm="1">
        <f t="array" ref="F141">INDEX(GMW!$A$2:$LR$60,MATCH(1,(GMW!$LQ$2:$LQ$60=F$3)*(GMW!$LP$2:$LP$60=F$4)*(GMW!$LR$2:$LR$60=F$1),0),$B141-1966)</f>
        <v>696.68499999999995</v>
      </c>
      <c r="G141" s="5" cm="1">
        <f t="array" ref="G141">INDEX(GMW!$A$2:$LR$60,MATCH(1,(GMW!$LQ$2:$LQ$60=G$3)*(GMW!$LP$2:$LP$60=G$4)*(GMW!$LR$2:$LR$60=G$1),0),$B141-1966)</f>
        <v>546.32899999999995</v>
      </c>
      <c r="H141" s="5" cm="1">
        <f t="array" ref="H141">INDEX(GMW!$A$2:$LR$60,MATCH(1,(GMW!$LQ$2:$LQ$60=H$3)*(GMW!$LP$2:$LP$60=H$4)*(GMW!$LR$2:$LR$60=H$1),0),$B141-1966)</f>
        <v>443.30399999999997</v>
      </c>
      <c r="I141" s="5" cm="1">
        <f t="array" ref="I141">INDEX(GMW!$A$2:$LR$60,MATCH(1,(GMW!$LQ$2:$LQ$60=I$3)*(GMW!$LP$2:$LP$60=I$4)*(GMW!$LR$2:$LR$60=I$1),0),$B141-1966)</f>
        <v>448421.3</v>
      </c>
    </row>
    <row r="142" spans="1:9" x14ac:dyDescent="0.25">
      <c r="A142" s="5">
        <f t="shared" si="6"/>
        <v>2006</v>
      </c>
      <c r="B142" s="5">
        <f t="shared" si="5"/>
        <v>2108</v>
      </c>
      <c r="C142" s="5" cm="1">
        <f t="array" ref="C142">INDEX(GMW!$A$2:$LR$60,MATCH(1,(GMW!$LQ$2:$LQ$60=C$3)*(GMW!$LP$2:$LP$60=C$4)*(GMW!$LR$2:$LR$60=C$1),0),$B142-1966)</f>
        <v>473372</v>
      </c>
      <c r="D142" s="5" cm="1">
        <f t="array" ref="D142">INDEX(GMW!$A$2:$LR$60,MATCH(1,(GMW!$LQ$2:$LQ$60=D$3)*(GMW!$LP$2:$LP$60=D$4)*(GMW!$LR$2:$LR$60=D$1),0),$B142-1966)</f>
        <v>4140.4750000000004</v>
      </c>
      <c r="E142" s="5" cm="1">
        <f t="array" ref="E142">INDEX(GMW!$A$2:$LR$60,MATCH(1,(GMW!$LQ$2:$LQ$60=E$3)*(GMW!$LP$2:$LP$60=E$4)*(GMW!$LR$2:$LR$60=E$1),0),$B142-1966)</f>
        <v>131000.5</v>
      </c>
      <c r="F142" s="5" cm="1">
        <f t="array" ref="F142">INDEX(GMW!$A$2:$LR$60,MATCH(1,(GMW!$LQ$2:$LQ$60=F$3)*(GMW!$LP$2:$LP$60=F$4)*(GMW!$LR$2:$LR$60=F$1),0),$B142-1966)</f>
        <v>706.81719999999996</v>
      </c>
      <c r="G142" s="5" cm="1">
        <f t="array" ref="G142">INDEX(GMW!$A$2:$LR$60,MATCH(1,(GMW!$LQ$2:$LQ$60=G$3)*(GMW!$LP$2:$LP$60=G$4)*(GMW!$LR$2:$LR$60=G$1),0),$B142-1966)</f>
        <v>549.28800000000001</v>
      </c>
      <c r="H142" s="5" cm="1">
        <f t="array" ref="H142">INDEX(GMW!$A$2:$LR$60,MATCH(1,(GMW!$LQ$2:$LQ$60=H$3)*(GMW!$LP$2:$LP$60=H$4)*(GMW!$LR$2:$LR$60=H$1),0),$B142-1966)</f>
        <v>449.12</v>
      </c>
      <c r="I142" s="5" cm="1">
        <f t="array" ref="I142">INDEX(GMW!$A$2:$LR$60,MATCH(1,(GMW!$LQ$2:$LQ$60=I$3)*(GMW!$LP$2:$LP$60=I$4)*(GMW!$LR$2:$LR$60=I$1),0),$B142-1966)</f>
        <v>450207</v>
      </c>
    </row>
    <row r="143" spans="1:9" x14ac:dyDescent="0.25">
      <c r="A143" s="5">
        <f t="shared" si="6"/>
        <v>2007</v>
      </c>
      <c r="B143" s="5">
        <f t="shared" si="5"/>
        <v>2109</v>
      </c>
      <c r="C143" s="5" cm="1">
        <f t="array" ref="C143">INDEX(GMW!$A$2:$LR$60,MATCH(1,(GMW!$LQ$2:$LQ$60=C$3)*(GMW!$LP$2:$LP$60=C$4)*(GMW!$LR$2:$LR$60=C$1),0),$B143-1966)</f>
        <v>477823</v>
      </c>
      <c r="D143" s="5" cm="1">
        <f t="array" ref="D143">INDEX(GMW!$A$2:$LR$60,MATCH(1,(GMW!$LQ$2:$LQ$60=D$3)*(GMW!$LP$2:$LP$60=D$4)*(GMW!$LR$2:$LR$60=D$1),0),$B143-1966)</f>
        <v>4152.9250000000002</v>
      </c>
      <c r="E143" s="5" cm="1">
        <f t="array" ref="E143">INDEX(GMW!$A$2:$LR$60,MATCH(1,(GMW!$LQ$2:$LQ$60=E$3)*(GMW!$LP$2:$LP$60=E$4)*(GMW!$LR$2:$LR$60=E$1),0),$B143-1966)</f>
        <v>131852.70000000001</v>
      </c>
      <c r="F143" s="5" cm="1">
        <f t="array" ref="F143">INDEX(GMW!$A$2:$LR$60,MATCH(1,(GMW!$LQ$2:$LQ$60=F$3)*(GMW!$LP$2:$LP$60=F$4)*(GMW!$LR$2:$LR$60=F$1),0),$B143-1966)</f>
        <v>707.77430000000004</v>
      </c>
      <c r="G143" s="5" cm="1">
        <f t="array" ref="G143">INDEX(GMW!$A$2:$LR$60,MATCH(1,(GMW!$LQ$2:$LQ$60=G$3)*(GMW!$LP$2:$LP$60=G$4)*(GMW!$LR$2:$LR$60=G$1),0),$B143-1966)</f>
        <v>555.14800000000002</v>
      </c>
      <c r="H143" s="5" cm="1">
        <f t="array" ref="H143">INDEX(GMW!$A$2:$LR$60,MATCH(1,(GMW!$LQ$2:$LQ$60=H$3)*(GMW!$LP$2:$LP$60=H$4)*(GMW!$LR$2:$LR$60=H$1),0),$B143-1966)</f>
        <v>447.87099999999998</v>
      </c>
      <c r="I143" s="5" cm="1">
        <f t="array" ref="I143">INDEX(GMW!$A$2:$LR$60,MATCH(1,(GMW!$LQ$2:$LQ$60=I$3)*(GMW!$LP$2:$LP$60=I$4)*(GMW!$LR$2:$LR$60=I$1),0),$B143-1966)</f>
        <v>453080.3</v>
      </c>
    </row>
    <row r="144" spans="1:9" x14ac:dyDescent="0.25">
      <c r="A144" s="5">
        <f t="shared" si="6"/>
        <v>2007</v>
      </c>
      <c r="B144" s="5">
        <f t="shared" si="5"/>
        <v>2110</v>
      </c>
      <c r="C144" s="5" cm="1">
        <f t="array" ref="C144">INDEX(GMW!$A$2:$LR$60,MATCH(1,(GMW!$LQ$2:$LQ$60=C$3)*(GMW!$LP$2:$LP$60=C$4)*(GMW!$LR$2:$LR$60=C$1),0),$B144-1966)</f>
        <v>481314</v>
      </c>
      <c r="D144" s="5" cm="1">
        <f t="array" ref="D144">INDEX(GMW!$A$2:$LR$60,MATCH(1,(GMW!$LQ$2:$LQ$60=D$3)*(GMW!$LP$2:$LP$60=D$4)*(GMW!$LR$2:$LR$60=D$1),0),$B144-1966)</f>
        <v>4178.3249999999998</v>
      </c>
      <c r="E144" s="5" cm="1">
        <f t="array" ref="E144">INDEX(GMW!$A$2:$LR$60,MATCH(1,(GMW!$LQ$2:$LQ$60=E$3)*(GMW!$LP$2:$LP$60=E$4)*(GMW!$LR$2:$LR$60=E$1),0),$B144-1966)</f>
        <v>131893</v>
      </c>
      <c r="F144" s="5" cm="1">
        <f t="array" ref="F144">INDEX(GMW!$A$2:$LR$60,MATCH(1,(GMW!$LQ$2:$LQ$60=F$3)*(GMW!$LP$2:$LP$60=F$4)*(GMW!$LR$2:$LR$60=F$1),0),$B144-1966)</f>
        <v>712.44010000000003</v>
      </c>
      <c r="G144" s="5" cm="1">
        <f t="array" ref="G144">INDEX(GMW!$A$2:$LR$60,MATCH(1,(GMW!$LQ$2:$LQ$60=G$3)*(GMW!$LP$2:$LP$60=G$4)*(GMW!$LR$2:$LR$60=G$1),0),$B144-1966)</f>
        <v>558.73800000000006</v>
      </c>
      <c r="H144" s="5" cm="1">
        <f t="array" ref="H144">INDEX(GMW!$A$2:$LR$60,MATCH(1,(GMW!$LQ$2:$LQ$60=H$3)*(GMW!$LP$2:$LP$60=H$4)*(GMW!$LR$2:$LR$60=H$1),0),$B144-1966)</f>
        <v>448.93099999999998</v>
      </c>
      <c r="I144" s="5" cm="1">
        <f t="array" ref="I144">INDEX(GMW!$A$2:$LR$60,MATCH(1,(GMW!$LQ$2:$LQ$60=I$3)*(GMW!$LP$2:$LP$60=I$4)*(GMW!$LR$2:$LR$60=I$1),0),$B144-1966)</f>
        <v>457455.8</v>
      </c>
    </row>
    <row r="145" spans="1:9" x14ac:dyDescent="0.25">
      <c r="A145" s="5">
        <f t="shared" si="6"/>
        <v>2007</v>
      </c>
      <c r="B145" s="5">
        <f t="shared" si="5"/>
        <v>2111</v>
      </c>
      <c r="C145" s="5" cm="1">
        <f t="array" ref="C145">INDEX(GMW!$A$2:$LR$60,MATCH(1,(GMW!$LQ$2:$LQ$60=C$3)*(GMW!$LP$2:$LP$60=C$4)*(GMW!$LR$2:$LR$60=C$1),0),$B145-1966)</f>
        <v>484544</v>
      </c>
      <c r="D145" s="5" cm="1">
        <f t="array" ref="D145">INDEX(GMW!$A$2:$LR$60,MATCH(1,(GMW!$LQ$2:$LQ$60=D$3)*(GMW!$LP$2:$LP$60=D$4)*(GMW!$LR$2:$LR$60=D$1),0),$B145-1966)</f>
        <v>4202.3999999999996</v>
      </c>
      <c r="E145" s="5" cm="1">
        <f t="array" ref="E145">INDEX(GMW!$A$2:$LR$60,MATCH(1,(GMW!$LQ$2:$LQ$60=E$3)*(GMW!$LP$2:$LP$60=E$4)*(GMW!$LR$2:$LR$60=E$1),0),$B145-1966)</f>
        <v>131210.9</v>
      </c>
      <c r="F145" s="5" cm="1">
        <f t="array" ref="F145">INDEX(GMW!$A$2:$LR$60,MATCH(1,(GMW!$LQ$2:$LQ$60=F$3)*(GMW!$LP$2:$LP$60=F$4)*(GMW!$LR$2:$LR$60=F$1),0),$B145-1966)</f>
        <v>716.01070000000004</v>
      </c>
      <c r="G145" s="5" cm="1">
        <f t="array" ref="G145">INDEX(GMW!$A$2:$LR$60,MATCH(1,(GMW!$LQ$2:$LQ$60=G$3)*(GMW!$LP$2:$LP$60=G$4)*(GMW!$LR$2:$LR$60=G$1),0),$B145-1966)</f>
        <v>560.29899999999998</v>
      </c>
      <c r="H145" s="5" cm="1">
        <f t="array" ref="H145">INDEX(GMW!$A$2:$LR$60,MATCH(1,(GMW!$LQ$2:$LQ$60=H$3)*(GMW!$LP$2:$LP$60=H$4)*(GMW!$LR$2:$LR$60=H$1),0),$B145-1966)</f>
        <v>449.67700000000002</v>
      </c>
      <c r="I145" s="5" cm="1">
        <f t="array" ref="I145">INDEX(GMW!$A$2:$LR$60,MATCH(1,(GMW!$LQ$2:$LQ$60=I$3)*(GMW!$LP$2:$LP$60=I$4)*(GMW!$LR$2:$LR$60=I$1),0),$B145-1966)</f>
        <v>459169.8</v>
      </c>
    </row>
    <row r="146" spans="1:9" x14ac:dyDescent="0.25">
      <c r="A146" s="5">
        <f t="shared" si="6"/>
        <v>2007</v>
      </c>
      <c r="B146" s="5">
        <f t="shared" si="5"/>
        <v>2112</v>
      </c>
      <c r="C146" s="5" cm="1">
        <f t="array" ref="C146">INDEX(GMW!$A$2:$LR$60,MATCH(1,(GMW!$LQ$2:$LQ$60=C$3)*(GMW!$LP$2:$LP$60=C$4)*(GMW!$LR$2:$LR$60=C$1),0),$B146-1966)</f>
        <v>487413</v>
      </c>
      <c r="D146" s="5" cm="1">
        <f t="array" ref="D146">INDEX(GMW!$A$2:$LR$60,MATCH(1,(GMW!$LQ$2:$LQ$60=D$3)*(GMW!$LP$2:$LP$60=D$4)*(GMW!$LR$2:$LR$60=D$1),0),$B146-1966)</f>
        <v>4228.8</v>
      </c>
      <c r="E146" s="5" cm="1">
        <f t="array" ref="E146">INDEX(GMW!$A$2:$LR$60,MATCH(1,(GMW!$LQ$2:$LQ$60=E$3)*(GMW!$LP$2:$LP$60=E$4)*(GMW!$LR$2:$LR$60=E$1),0),$B146-1966)</f>
        <v>131764.20000000001</v>
      </c>
      <c r="F146" s="5" cm="1">
        <f t="array" ref="F146">INDEX(GMW!$A$2:$LR$60,MATCH(1,(GMW!$LQ$2:$LQ$60=F$3)*(GMW!$LP$2:$LP$60=F$4)*(GMW!$LR$2:$LR$60=F$1),0),$B146-1966)</f>
        <v>721.31150000000002</v>
      </c>
      <c r="G146" s="5" cm="1">
        <f t="array" ref="G146">INDEX(GMW!$A$2:$LR$60,MATCH(1,(GMW!$LQ$2:$LQ$60=G$3)*(GMW!$LP$2:$LP$60=G$4)*(GMW!$LR$2:$LR$60=G$1),0),$B146-1966)</f>
        <v>560.57500000000005</v>
      </c>
      <c r="H146" s="5" cm="1">
        <f t="array" ref="H146">INDEX(GMW!$A$2:$LR$60,MATCH(1,(GMW!$LQ$2:$LQ$60=H$3)*(GMW!$LP$2:$LP$60=H$4)*(GMW!$LR$2:$LR$60=H$1),0),$B146-1966)</f>
        <v>448.22800000000001</v>
      </c>
      <c r="I146" s="5" cm="1">
        <f t="array" ref="I146">INDEX(GMW!$A$2:$LR$60,MATCH(1,(GMW!$LQ$2:$LQ$60=I$3)*(GMW!$LP$2:$LP$60=I$4)*(GMW!$LR$2:$LR$60=I$1),0),$B146-1966)</f>
        <v>459773.3</v>
      </c>
    </row>
    <row r="147" spans="1:9" x14ac:dyDescent="0.25">
      <c r="A147" s="5">
        <f t="shared" si="6"/>
        <v>2008</v>
      </c>
      <c r="B147" s="5">
        <f t="shared" si="5"/>
        <v>2113</v>
      </c>
      <c r="C147" s="5" cm="1">
        <f t="array" ref="C147">INDEX(GMW!$A$2:$LR$60,MATCH(1,(GMW!$LQ$2:$LQ$60=C$3)*(GMW!$LP$2:$LP$60=C$4)*(GMW!$LR$2:$LR$60=C$1),0),$B147-1966)</f>
        <v>489783</v>
      </c>
      <c r="D147" s="5" cm="1">
        <f t="array" ref="D147">INDEX(GMW!$A$2:$LR$60,MATCH(1,(GMW!$LQ$2:$LQ$60=D$3)*(GMW!$LP$2:$LP$60=D$4)*(GMW!$LR$2:$LR$60=D$1),0),$B147-1966)</f>
        <v>4210.75</v>
      </c>
      <c r="E147" s="5" cm="1">
        <f t="array" ref="E147">INDEX(GMW!$A$2:$LR$60,MATCH(1,(GMW!$LQ$2:$LQ$60=E$3)*(GMW!$LP$2:$LP$60=E$4)*(GMW!$LR$2:$LR$60=E$1),0),$B147-1966)</f>
        <v>132236.79999999999</v>
      </c>
      <c r="F147" s="5" cm="1">
        <f t="array" ref="F147">INDEX(GMW!$A$2:$LR$60,MATCH(1,(GMW!$LQ$2:$LQ$60=F$3)*(GMW!$LP$2:$LP$60=F$4)*(GMW!$LR$2:$LR$60=F$1),0),$B147-1966)</f>
        <v>725.67359999999996</v>
      </c>
      <c r="G147" s="5" cm="1">
        <f t="array" ref="G147">INDEX(GMW!$A$2:$LR$60,MATCH(1,(GMW!$LQ$2:$LQ$60=G$3)*(GMW!$LP$2:$LP$60=G$4)*(GMW!$LR$2:$LR$60=G$1),0),$B147-1966)</f>
        <v>565.42200000000003</v>
      </c>
      <c r="H147" s="5" cm="1">
        <f t="array" ref="H147">INDEX(GMW!$A$2:$LR$60,MATCH(1,(GMW!$LQ$2:$LQ$60=H$3)*(GMW!$LP$2:$LP$60=H$4)*(GMW!$LR$2:$LR$60=H$1),0),$B147-1966)</f>
        <v>453.49900000000002</v>
      </c>
      <c r="I147" s="5" cm="1">
        <f t="array" ref="I147">INDEX(GMW!$A$2:$LR$60,MATCH(1,(GMW!$LQ$2:$LQ$60=I$3)*(GMW!$LP$2:$LP$60=I$4)*(GMW!$LR$2:$LR$60=I$1),0),$B147-1966)</f>
        <v>460118.3</v>
      </c>
    </row>
    <row r="148" spans="1:9" x14ac:dyDescent="0.25">
      <c r="A148" s="5">
        <f t="shared" si="6"/>
        <v>2008</v>
      </c>
      <c r="B148" s="5">
        <f t="shared" si="5"/>
        <v>2114</v>
      </c>
      <c r="C148" s="5" cm="1">
        <f t="array" ref="C148">INDEX(GMW!$A$2:$LR$60,MATCH(1,(GMW!$LQ$2:$LQ$60=C$3)*(GMW!$LP$2:$LP$60=C$4)*(GMW!$LR$2:$LR$60=C$1),0),$B148-1966)</f>
        <v>487386</v>
      </c>
      <c r="D148" s="5" cm="1">
        <f t="array" ref="D148">INDEX(GMW!$A$2:$LR$60,MATCH(1,(GMW!$LQ$2:$LQ$60=D$3)*(GMW!$LP$2:$LP$60=D$4)*(GMW!$LR$2:$LR$60=D$1),0),$B148-1966)</f>
        <v>4235.8249999999998</v>
      </c>
      <c r="E148" s="5" cm="1">
        <f t="array" ref="E148">INDEX(GMW!$A$2:$LR$60,MATCH(1,(GMW!$LQ$2:$LQ$60=E$3)*(GMW!$LP$2:$LP$60=E$4)*(GMW!$LR$2:$LR$60=E$1),0),$B148-1966)</f>
        <v>131448.20000000001</v>
      </c>
      <c r="F148" s="5" cm="1">
        <f t="array" ref="F148">INDEX(GMW!$A$2:$LR$60,MATCH(1,(GMW!$LQ$2:$LQ$60=F$3)*(GMW!$LP$2:$LP$60=F$4)*(GMW!$LR$2:$LR$60=F$1),0),$B148-1966)</f>
        <v>723.06010000000003</v>
      </c>
      <c r="G148" s="5" cm="1">
        <f t="array" ref="G148">INDEX(GMW!$A$2:$LR$60,MATCH(1,(GMW!$LQ$2:$LQ$60=G$3)*(GMW!$LP$2:$LP$60=G$4)*(GMW!$LR$2:$LR$60=G$1),0),$B148-1966)</f>
        <v>561.56700000000001</v>
      </c>
      <c r="H148" s="5" cm="1">
        <f t="array" ref="H148">INDEX(GMW!$A$2:$LR$60,MATCH(1,(GMW!$LQ$2:$LQ$60=H$3)*(GMW!$LP$2:$LP$60=H$4)*(GMW!$LR$2:$LR$60=H$1),0),$B148-1966)</f>
        <v>448.97</v>
      </c>
      <c r="I148" s="5" cm="1">
        <f t="array" ref="I148">INDEX(GMW!$A$2:$LR$60,MATCH(1,(GMW!$LQ$2:$LQ$60=I$3)*(GMW!$LP$2:$LP$60=I$4)*(GMW!$LR$2:$LR$60=I$1),0),$B148-1966)</f>
        <v>461794.8</v>
      </c>
    </row>
    <row r="149" spans="1:9" x14ac:dyDescent="0.25">
      <c r="A149" s="5">
        <f t="shared" si="6"/>
        <v>2008</v>
      </c>
      <c r="B149" s="5">
        <f t="shared" si="5"/>
        <v>2115</v>
      </c>
      <c r="C149" s="5" cm="1">
        <f t="array" ref="C149">INDEX(GMW!$A$2:$LR$60,MATCH(1,(GMW!$LQ$2:$LQ$60=C$3)*(GMW!$LP$2:$LP$60=C$4)*(GMW!$LR$2:$LR$60=C$1),0),$B149-1966)</f>
        <v>479872</v>
      </c>
      <c r="D149" s="5" cm="1">
        <f t="array" ref="D149">INDEX(GMW!$A$2:$LR$60,MATCH(1,(GMW!$LQ$2:$LQ$60=D$3)*(GMW!$LP$2:$LP$60=D$4)*(GMW!$LR$2:$LR$60=D$1),0),$B149-1966)</f>
        <v>4213.5749999999998</v>
      </c>
      <c r="E149" s="5" cm="1">
        <f t="array" ref="E149">INDEX(GMW!$A$2:$LR$60,MATCH(1,(GMW!$LQ$2:$LQ$60=E$3)*(GMW!$LP$2:$LP$60=E$4)*(GMW!$LR$2:$LR$60=E$1),0),$B149-1966)</f>
        <v>129864.3</v>
      </c>
      <c r="F149" s="5" cm="1">
        <f t="array" ref="F149">INDEX(GMW!$A$2:$LR$60,MATCH(1,(GMW!$LQ$2:$LQ$60=F$3)*(GMW!$LP$2:$LP$60=F$4)*(GMW!$LR$2:$LR$60=F$1),0),$B149-1966)</f>
        <v>719.09370000000001</v>
      </c>
      <c r="G149" s="5" cm="1">
        <f t="array" ref="G149">INDEX(GMW!$A$2:$LR$60,MATCH(1,(GMW!$LQ$2:$LQ$60=G$3)*(GMW!$LP$2:$LP$60=G$4)*(GMW!$LR$2:$LR$60=G$1),0),$B149-1966)</f>
        <v>560.23</v>
      </c>
      <c r="H149" s="5" cm="1">
        <f t="array" ref="H149">INDEX(GMW!$A$2:$LR$60,MATCH(1,(GMW!$LQ$2:$LQ$60=H$3)*(GMW!$LP$2:$LP$60=H$4)*(GMW!$LR$2:$LR$60=H$1),0),$B149-1966)</f>
        <v>443.40499999999997</v>
      </c>
      <c r="I149" s="5" cm="1">
        <f t="array" ref="I149">INDEX(GMW!$A$2:$LR$60,MATCH(1,(GMW!$LQ$2:$LQ$60=I$3)*(GMW!$LP$2:$LP$60=I$4)*(GMW!$LR$2:$LR$60=I$1),0),$B149-1966)</f>
        <v>465589.5</v>
      </c>
    </row>
    <row r="150" spans="1:9" x14ac:dyDescent="0.25">
      <c r="A150" s="5">
        <f t="shared" si="6"/>
        <v>2008</v>
      </c>
      <c r="B150" s="5">
        <f t="shared" si="5"/>
        <v>2116</v>
      </c>
      <c r="C150" s="5" cm="1">
        <f t="array" ref="C150">INDEX(GMW!$A$2:$LR$60,MATCH(1,(GMW!$LQ$2:$LQ$60=C$3)*(GMW!$LP$2:$LP$60=C$4)*(GMW!$LR$2:$LR$60=C$1),0),$B150-1966)</f>
        <v>469694</v>
      </c>
      <c r="D150" s="5" cm="1">
        <f t="array" ref="D150">INDEX(GMW!$A$2:$LR$60,MATCH(1,(GMW!$LQ$2:$LQ$60=D$3)*(GMW!$LP$2:$LP$60=D$4)*(GMW!$LR$2:$LR$60=D$1),0),$B150-1966)</f>
        <v>4121.3500000000004</v>
      </c>
      <c r="E150" s="5" cm="1">
        <f t="array" ref="E150">INDEX(GMW!$A$2:$LR$60,MATCH(1,(GMW!$LQ$2:$LQ$60=E$3)*(GMW!$LP$2:$LP$60=E$4)*(GMW!$LR$2:$LR$60=E$1),0),$B150-1966)</f>
        <v>126612.5</v>
      </c>
      <c r="F150" s="5" cm="1">
        <f t="array" ref="F150">INDEX(GMW!$A$2:$LR$60,MATCH(1,(GMW!$LQ$2:$LQ$60=F$3)*(GMW!$LP$2:$LP$60=F$4)*(GMW!$LR$2:$LR$60=F$1),0),$B150-1966)</f>
        <v>708.00440000000003</v>
      </c>
      <c r="G150" s="5" cm="1">
        <f t="array" ref="G150">INDEX(GMW!$A$2:$LR$60,MATCH(1,(GMW!$LQ$2:$LQ$60=G$3)*(GMW!$LP$2:$LP$60=G$4)*(GMW!$LR$2:$LR$60=G$1),0),$B150-1966)</f>
        <v>553.43899999999996</v>
      </c>
      <c r="H150" s="5" cm="1">
        <f t="array" ref="H150">INDEX(GMW!$A$2:$LR$60,MATCH(1,(GMW!$LQ$2:$LQ$60=H$3)*(GMW!$LP$2:$LP$60=H$4)*(GMW!$LR$2:$LR$60=H$1),0),$B150-1966)</f>
        <v>431.56900000000002</v>
      </c>
      <c r="I150" s="5" cm="1">
        <f t="array" ref="I150">INDEX(GMW!$A$2:$LR$60,MATCH(1,(GMW!$LQ$2:$LQ$60=I$3)*(GMW!$LP$2:$LP$60=I$4)*(GMW!$LR$2:$LR$60=I$1),0),$B150-1966)</f>
        <v>460187.3</v>
      </c>
    </row>
    <row r="151" spans="1:9" x14ac:dyDescent="0.25">
      <c r="A151" s="5">
        <f t="shared" si="6"/>
        <v>2009</v>
      </c>
      <c r="B151" s="5">
        <f t="shared" si="5"/>
        <v>2117</v>
      </c>
      <c r="C151" s="5" cm="1">
        <f t="array" ref="C151">INDEX(GMW!$A$2:$LR$60,MATCH(1,(GMW!$LQ$2:$LQ$60=C$3)*(GMW!$LP$2:$LP$60=C$4)*(GMW!$LR$2:$LR$60=C$1),0),$B151-1966)</f>
        <v>460105</v>
      </c>
      <c r="D151" s="5" cm="1">
        <f t="array" ref="D151">INDEX(GMW!$A$2:$LR$60,MATCH(1,(GMW!$LQ$2:$LQ$60=D$3)*(GMW!$LP$2:$LP$60=D$4)*(GMW!$LR$2:$LR$60=D$1),0),$B151-1966)</f>
        <v>4074.5749999999998</v>
      </c>
      <c r="E151" s="5" cm="1">
        <f t="array" ref="E151">INDEX(GMW!$A$2:$LR$60,MATCH(1,(GMW!$LQ$2:$LQ$60=E$3)*(GMW!$LP$2:$LP$60=E$4)*(GMW!$LR$2:$LR$60=E$1),0),$B151-1966)</f>
        <v>120512.2</v>
      </c>
      <c r="F151" s="5" cm="1">
        <f t="array" ref="F151">INDEX(GMW!$A$2:$LR$60,MATCH(1,(GMW!$LQ$2:$LQ$60=F$3)*(GMW!$LP$2:$LP$60=F$4)*(GMW!$LR$2:$LR$60=F$1),0),$B151-1966)</f>
        <v>674.74559999999997</v>
      </c>
      <c r="G151" s="5" cm="1">
        <f t="array" ref="G151">INDEX(GMW!$A$2:$LR$60,MATCH(1,(GMW!$LQ$2:$LQ$60=G$3)*(GMW!$LP$2:$LP$60=G$4)*(GMW!$LR$2:$LR$60=G$1),0),$B151-1966)</f>
        <v>542.64200000000005</v>
      </c>
      <c r="H151" s="5" cm="1">
        <f t="array" ref="H151">INDEX(GMW!$A$2:$LR$60,MATCH(1,(GMW!$LQ$2:$LQ$60=H$3)*(GMW!$LP$2:$LP$60=H$4)*(GMW!$LR$2:$LR$60=H$1),0),$B151-1966)</f>
        <v>421.02699999999999</v>
      </c>
      <c r="I151" s="5" cm="1">
        <f t="array" ref="I151">INDEX(GMW!$A$2:$LR$60,MATCH(1,(GMW!$LQ$2:$LQ$60=I$3)*(GMW!$LP$2:$LP$60=I$4)*(GMW!$LR$2:$LR$60=I$1),0),$B151-1966)</f>
        <v>449802.8</v>
      </c>
    </row>
    <row r="152" spans="1:9" x14ac:dyDescent="0.25">
      <c r="A152" s="5">
        <f t="shared" si="6"/>
        <v>2009</v>
      </c>
      <c r="B152" s="5">
        <f t="shared" si="5"/>
        <v>2118</v>
      </c>
      <c r="C152" s="5" cm="1">
        <f t="array" ref="C152">INDEX(GMW!$A$2:$LR$60,MATCH(1,(GMW!$LQ$2:$LQ$60=C$3)*(GMW!$LP$2:$LP$60=C$4)*(GMW!$LR$2:$LR$60=C$1),0),$B152-1966)</f>
        <v>458599</v>
      </c>
      <c r="D152" s="5" cm="1">
        <f t="array" ref="D152">INDEX(GMW!$A$2:$LR$60,MATCH(1,(GMW!$LQ$2:$LQ$60=D$3)*(GMW!$LP$2:$LP$60=D$4)*(GMW!$LR$2:$LR$60=D$1),0),$B152-1966)</f>
        <v>4067.2750000000001</v>
      </c>
      <c r="E152" s="5" cm="1">
        <f t="array" ref="E152">INDEX(GMW!$A$2:$LR$60,MATCH(1,(GMW!$LQ$2:$LQ$60=E$3)*(GMW!$LP$2:$LP$60=E$4)*(GMW!$LR$2:$LR$60=E$1),0),$B152-1966)</f>
        <v>122891.9</v>
      </c>
      <c r="F152" s="5" cm="1">
        <f t="array" ref="F152">INDEX(GMW!$A$2:$LR$60,MATCH(1,(GMW!$LQ$2:$LQ$60=F$3)*(GMW!$LP$2:$LP$60=F$4)*(GMW!$LR$2:$LR$60=F$1),0),$B152-1966)</f>
        <v>676.56769999999995</v>
      </c>
      <c r="G152" s="5" cm="1">
        <f t="array" ref="G152">INDEX(GMW!$A$2:$LR$60,MATCH(1,(GMW!$LQ$2:$LQ$60=G$3)*(GMW!$LP$2:$LP$60=G$4)*(GMW!$LR$2:$LR$60=G$1),0),$B152-1966)</f>
        <v>543.54300000000001</v>
      </c>
      <c r="H152" s="5" cm="1">
        <f t="array" ref="H152">INDEX(GMW!$A$2:$LR$60,MATCH(1,(GMW!$LQ$2:$LQ$60=H$3)*(GMW!$LP$2:$LP$60=H$4)*(GMW!$LR$2:$LR$60=H$1),0),$B152-1966)</f>
        <v>418.49099999999999</v>
      </c>
      <c r="I152" s="5" cm="1">
        <f t="array" ref="I152">INDEX(GMW!$A$2:$LR$60,MATCH(1,(GMW!$LQ$2:$LQ$60=I$3)*(GMW!$LP$2:$LP$60=I$4)*(GMW!$LR$2:$LR$60=I$1),0),$B152-1966)</f>
        <v>444950.8</v>
      </c>
    </row>
    <row r="153" spans="1:9" x14ac:dyDescent="0.25">
      <c r="A153" s="5">
        <f t="shared" si="6"/>
        <v>2009</v>
      </c>
      <c r="B153" s="5">
        <f t="shared" si="5"/>
        <v>2119</v>
      </c>
      <c r="C153" s="5" cm="1">
        <f t="array" ref="C153">INDEX(GMW!$A$2:$LR$60,MATCH(1,(GMW!$LQ$2:$LQ$60=C$3)*(GMW!$LP$2:$LP$60=C$4)*(GMW!$LR$2:$LR$60=C$1),0),$B153-1966)</f>
        <v>458875</v>
      </c>
      <c r="D153" s="5" cm="1">
        <f t="array" ref="D153">INDEX(GMW!$A$2:$LR$60,MATCH(1,(GMW!$LQ$2:$LQ$60=D$3)*(GMW!$LP$2:$LP$60=D$4)*(GMW!$LR$2:$LR$60=D$1),0),$B153-1966)</f>
        <v>4081.5749999999998</v>
      </c>
      <c r="E153" s="5" cm="1">
        <f t="array" ref="E153">INDEX(GMW!$A$2:$LR$60,MATCH(1,(GMW!$LQ$2:$LQ$60=E$3)*(GMW!$LP$2:$LP$60=E$4)*(GMW!$LR$2:$LR$60=E$1),0),$B153-1966)</f>
        <v>122876.2</v>
      </c>
      <c r="F153" s="5" cm="1">
        <f t="array" ref="F153">INDEX(GMW!$A$2:$LR$60,MATCH(1,(GMW!$LQ$2:$LQ$60=F$3)*(GMW!$LP$2:$LP$60=F$4)*(GMW!$LR$2:$LR$60=F$1),0),$B153-1966)</f>
        <v>680.6078</v>
      </c>
      <c r="G153" s="5" cm="1">
        <f t="array" ref="G153">INDEX(GMW!$A$2:$LR$60,MATCH(1,(GMW!$LQ$2:$LQ$60=G$3)*(GMW!$LP$2:$LP$60=G$4)*(GMW!$LR$2:$LR$60=G$1),0),$B153-1966)</f>
        <v>544.404</v>
      </c>
      <c r="H153" s="5" cm="1">
        <f t="array" ref="H153">INDEX(GMW!$A$2:$LR$60,MATCH(1,(GMW!$LQ$2:$LQ$60=H$3)*(GMW!$LP$2:$LP$60=H$4)*(GMW!$LR$2:$LR$60=H$1),0),$B153-1966)</f>
        <v>420.83699999999999</v>
      </c>
      <c r="I153" s="5" cm="1">
        <f t="array" ref="I153">INDEX(GMW!$A$2:$LR$60,MATCH(1,(GMW!$LQ$2:$LQ$60=I$3)*(GMW!$LP$2:$LP$60=I$4)*(GMW!$LR$2:$LR$60=I$1),0),$B153-1966)</f>
        <v>446940.8</v>
      </c>
    </row>
    <row r="154" spans="1:9" x14ac:dyDescent="0.25">
      <c r="A154" s="5">
        <f t="shared" si="6"/>
        <v>2009</v>
      </c>
      <c r="B154" s="5">
        <f t="shared" si="5"/>
        <v>2120</v>
      </c>
      <c r="C154" s="5" cm="1">
        <f t="array" ref="C154">INDEX(GMW!$A$2:$LR$60,MATCH(1,(GMW!$LQ$2:$LQ$60=C$3)*(GMW!$LP$2:$LP$60=C$4)*(GMW!$LR$2:$LR$60=C$1),0),$B154-1966)</f>
        <v>460238</v>
      </c>
      <c r="D154" s="5" cm="1">
        <f t="array" ref="D154">INDEX(GMW!$A$2:$LR$60,MATCH(1,(GMW!$LQ$2:$LQ$60=D$3)*(GMW!$LP$2:$LP$60=D$4)*(GMW!$LR$2:$LR$60=D$1),0),$B154-1966)</f>
        <v>4125.7</v>
      </c>
      <c r="E154" s="5" cm="1">
        <f t="array" ref="E154">INDEX(GMW!$A$2:$LR$60,MATCH(1,(GMW!$LQ$2:$LQ$60=E$3)*(GMW!$LP$2:$LP$60=E$4)*(GMW!$LR$2:$LR$60=E$1),0),$B154-1966)</f>
        <v>124344.3</v>
      </c>
      <c r="F154" s="5" cm="1">
        <f t="array" ref="F154">INDEX(GMW!$A$2:$LR$60,MATCH(1,(GMW!$LQ$2:$LQ$60=F$3)*(GMW!$LP$2:$LP$60=F$4)*(GMW!$LR$2:$LR$60=F$1),0),$B154-1966)</f>
        <v>685.90859999999998</v>
      </c>
      <c r="G154" s="5" cm="1">
        <f t="array" ref="G154">INDEX(GMW!$A$2:$LR$60,MATCH(1,(GMW!$LQ$2:$LQ$60=G$3)*(GMW!$LP$2:$LP$60=G$4)*(GMW!$LR$2:$LR$60=G$1),0),$B154-1966)</f>
        <v>548.83600000000001</v>
      </c>
      <c r="H154" s="5" cm="1">
        <f t="array" ref="H154">INDEX(GMW!$A$2:$LR$60,MATCH(1,(GMW!$LQ$2:$LQ$60=H$3)*(GMW!$LP$2:$LP$60=H$4)*(GMW!$LR$2:$LR$60=H$1),0),$B154-1966)</f>
        <v>422.29300000000001</v>
      </c>
      <c r="I154" s="5" cm="1">
        <f t="array" ref="I154">INDEX(GMW!$A$2:$LR$60,MATCH(1,(GMW!$LQ$2:$LQ$60=I$3)*(GMW!$LP$2:$LP$60=I$4)*(GMW!$LR$2:$LR$60=I$1),0),$B154-1966)</f>
        <v>452133.8</v>
      </c>
    </row>
    <row r="155" spans="1:9" x14ac:dyDescent="0.25">
      <c r="A155" s="5">
        <f t="shared" si="6"/>
        <v>2010</v>
      </c>
      <c r="B155" s="5">
        <f t="shared" si="5"/>
        <v>2121</v>
      </c>
      <c r="C155" s="5" cm="1">
        <f t="array" ref="C155">INDEX(GMW!$A$2:$LR$60,MATCH(1,(GMW!$LQ$2:$LQ$60=C$3)*(GMW!$LP$2:$LP$60=C$4)*(GMW!$LR$2:$LR$60=C$1),0),$B155-1966)</f>
        <v>464543</v>
      </c>
      <c r="D155" s="5" cm="1">
        <f t="array" ref="D155">INDEX(GMW!$A$2:$LR$60,MATCH(1,(GMW!$LQ$2:$LQ$60=D$3)*(GMW!$LP$2:$LP$60=D$4)*(GMW!$LR$2:$LR$60=D$1),0),$B155-1966)</f>
        <v>4145.6750000000002</v>
      </c>
      <c r="E155" s="5" cm="1">
        <f t="array" ref="E155">INDEX(GMW!$A$2:$LR$60,MATCH(1,(GMW!$LQ$2:$LQ$60=E$3)*(GMW!$LP$2:$LP$60=E$4)*(GMW!$LR$2:$LR$60=E$1),0),$B155-1966)</f>
        <v>125647.1</v>
      </c>
      <c r="F155" s="5" cm="1">
        <f t="array" ref="F155">INDEX(GMW!$A$2:$LR$60,MATCH(1,(GMW!$LQ$2:$LQ$60=F$3)*(GMW!$LP$2:$LP$60=F$4)*(GMW!$LR$2:$LR$60=F$1),0),$B155-1966)</f>
        <v>690.82280000000003</v>
      </c>
      <c r="G155" s="5" cm="1">
        <f t="array" ref="G155">INDEX(GMW!$A$2:$LR$60,MATCH(1,(GMW!$LQ$2:$LQ$60=G$3)*(GMW!$LP$2:$LP$60=G$4)*(GMW!$LR$2:$LR$60=G$1),0),$B155-1966)</f>
        <v>550.16300000000001</v>
      </c>
      <c r="H155" s="5" cm="1">
        <f t="array" ref="H155">INDEX(GMW!$A$2:$LR$60,MATCH(1,(GMW!$LQ$2:$LQ$60=H$3)*(GMW!$LP$2:$LP$60=H$4)*(GMW!$LR$2:$LR$60=H$1),0),$B155-1966)</f>
        <v>423.69600000000003</v>
      </c>
      <c r="I155" s="5" cm="1">
        <f t="array" ref="I155">INDEX(GMW!$A$2:$LR$60,MATCH(1,(GMW!$LQ$2:$LQ$60=I$3)*(GMW!$LP$2:$LP$60=I$4)*(GMW!$LR$2:$LR$60=I$1),0),$B155-1966)</f>
        <v>457611.5</v>
      </c>
    </row>
    <row r="156" spans="1:9" x14ac:dyDescent="0.25">
      <c r="A156" s="5">
        <f t="shared" si="6"/>
        <v>2010</v>
      </c>
      <c r="B156" s="5">
        <f t="shared" si="5"/>
        <v>2122</v>
      </c>
      <c r="C156" s="5" cm="1">
        <f t="array" ref="C156">INDEX(GMW!$A$2:$LR$60,MATCH(1,(GMW!$LQ$2:$LQ$60=C$3)*(GMW!$LP$2:$LP$60=C$4)*(GMW!$LR$2:$LR$60=C$1),0),$B156-1966)</f>
        <v>469606</v>
      </c>
      <c r="D156" s="5" cm="1">
        <f t="array" ref="D156">INDEX(GMW!$A$2:$LR$60,MATCH(1,(GMW!$LQ$2:$LQ$60=D$3)*(GMW!$LP$2:$LP$60=D$4)*(GMW!$LR$2:$LR$60=D$1),0),$B156-1966)</f>
        <v>4185.8</v>
      </c>
      <c r="E156" s="5" cm="1">
        <f t="array" ref="E156">INDEX(GMW!$A$2:$LR$60,MATCH(1,(GMW!$LQ$2:$LQ$60=E$3)*(GMW!$LP$2:$LP$60=E$4)*(GMW!$LR$2:$LR$60=E$1),0),$B156-1966)</f>
        <v>127185.60000000001</v>
      </c>
      <c r="F156" s="5" cm="1">
        <f t="array" ref="F156">INDEX(GMW!$A$2:$LR$60,MATCH(1,(GMW!$LQ$2:$LQ$60=F$3)*(GMW!$LP$2:$LP$60=F$4)*(GMW!$LR$2:$LR$60=F$1),0),$B156-1966)</f>
        <v>705.86929999999995</v>
      </c>
      <c r="G156" s="5" cm="1">
        <f t="array" ref="G156">INDEX(GMW!$A$2:$LR$60,MATCH(1,(GMW!$LQ$2:$LQ$60=G$3)*(GMW!$LP$2:$LP$60=G$4)*(GMW!$LR$2:$LR$60=G$1),0),$B156-1966)</f>
        <v>552.90599999999995</v>
      </c>
      <c r="H156" s="5" cm="1">
        <f t="array" ref="H156">INDEX(GMW!$A$2:$LR$60,MATCH(1,(GMW!$LQ$2:$LQ$60=H$3)*(GMW!$LP$2:$LP$60=H$4)*(GMW!$LR$2:$LR$60=H$1),0),$B156-1966)</f>
        <v>426.83499999999998</v>
      </c>
      <c r="I156" s="5" cm="1">
        <f t="array" ref="I156">INDEX(GMW!$A$2:$LR$60,MATCH(1,(GMW!$LQ$2:$LQ$60=I$3)*(GMW!$LP$2:$LP$60=I$4)*(GMW!$LR$2:$LR$60=I$1),0),$B156-1966)</f>
        <v>460007.8</v>
      </c>
    </row>
    <row r="157" spans="1:9" x14ac:dyDescent="0.25">
      <c r="A157" s="5">
        <f t="shared" si="6"/>
        <v>2010</v>
      </c>
      <c r="B157" s="5">
        <f t="shared" si="5"/>
        <v>2123</v>
      </c>
      <c r="C157" s="5" cm="1">
        <f t="array" ref="C157">INDEX(GMW!$A$2:$LR$60,MATCH(1,(GMW!$LQ$2:$LQ$60=C$3)*(GMW!$LP$2:$LP$60=C$4)*(GMW!$LR$2:$LR$60=C$1),0),$B157-1966)</f>
        <v>472199</v>
      </c>
      <c r="D157" s="5" cm="1">
        <f t="array" ref="D157">INDEX(GMW!$A$2:$LR$60,MATCH(1,(GMW!$LQ$2:$LQ$60=D$3)*(GMW!$LP$2:$LP$60=D$4)*(GMW!$LR$2:$LR$60=D$1),0),$B157-1966)</f>
        <v>4218.0749999999998</v>
      </c>
      <c r="E157" s="5" cm="1">
        <f t="array" ref="E157">INDEX(GMW!$A$2:$LR$60,MATCH(1,(GMW!$LQ$2:$LQ$60=E$3)*(GMW!$LP$2:$LP$60=E$4)*(GMW!$LR$2:$LR$60=E$1),0),$B157-1966)</f>
        <v>129508.2</v>
      </c>
      <c r="F157" s="5" cm="1">
        <f t="array" ref="F157">INDEX(GMW!$A$2:$LR$60,MATCH(1,(GMW!$LQ$2:$LQ$60=F$3)*(GMW!$LP$2:$LP$60=F$4)*(GMW!$LR$2:$LR$60=F$1),0),$B157-1966)</f>
        <v>712.67939999999999</v>
      </c>
      <c r="G157" s="5" cm="1">
        <f t="array" ref="G157">INDEX(GMW!$A$2:$LR$60,MATCH(1,(GMW!$LQ$2:$LQ$60=G$3)*(GMW!$LP$2:$LP$60=G$4)*(GMW!$LR$2:$LR$60=G$1),0),$B157-1966)</f>
        <v>556.548</v>
      </c>
      <c r="H157" s="5" cm="1">
        <f t="array" ref="H157">INDEX(GMW!$A$2:$LR$60,MATCH(1,(GMW!$LQ$2:$LQ$60=H$3)*(GMW!$LP$2:$LP$60=H$4)*(GMW!$LR$2:$LR$60=H$1),0),$B157-1966)</f>
        <v>428.95600000000002</v>
      </c>
      <c r="I157" s="5" cm="1">
        <f t="array" ref="I157">INDEX(GMW!$A$2:$LR$60,MATCH(1,(GMW!$LQ$2:$LQ$60=I$3)*(GMW!$LP$2:$LP$60=I$4)*(GMW!$LR$2:$LR$60=I$1),0),$B157-1966)</f>
        <v>463228</v>
      </c>
    </row>
    <row r="158" spans="1:9" x14ac:dyDescent="0.25">
      <c r="A158" s="5">
        <f t="shared" si="6"/>
        <v>2010</v>
      </c>
      <c r="B158" s="5">
        <f t="shared" si="5"/>
        <v>2124</v>
      </c>
      <c r="C158" s="5" cm="1">
        <f t="array" ref="C158">INDEX(GMW!$A$2:$LR$60,MATCH(1,(GMW!$LQ$2:$LQ$60=C$3)*(GMW!$LP$2:$LP$60=C$4)*(GMW!$LR$2:$LR$60=C$1),0),$B158-1966)</f>
        <v>472612</v>
      </c>
      <c r="D158" s="5" cm="1">
        <f t="array" ref="D158">INDEX(GMW!$A$2:$LR$60,MATCH(1,(GMW!$LQ$2:$LQ$60=D$3)*(GMW!$LP$2:$LP$60=D$4)*(GMW!$LR$2:$LR$60=D$1),0),$B158-1966)</f>
        <v>4240.2250000000004</v>
      </c>
      <c r="E158" s="5" cm="1">
        <f t="array" ref="E158">INDEX(GMW!$A$2:$LR$60,MATCH(1,(GMW!$LQ$2:$LQ$60=E$3)*(GMW!$LP$2:$LP$60=E$4)*(GMW!$LR$2:$LR$60=E$1),0),$B158-1966)</f>
        <v>128405.4</v>
      </c>
      <c r="F158" s="5" cm="1">
        <f t="array" ref="F158">INDEX(GMW!$A$2:$LR$60,MATCH(1,(GMW!$LQ$2:$LQ$60=F$3)*(GMW!$LP$2:$LP$60=F$4)*(GMW!$LR$2:$LR$60=F$1),0),$B158-1966)</f>
        <v>717.35440000000006</v>
      </c>
      <c r="G158" s="5" cm="1">
        <f t="array" ref="G158">INDEX(GMW!$A$2:$LR$60,MATCH(1,(GMW!$LQ$2:$LQ$60=G$3)*(GMW!$LP$2:$LP$60=G$4)*(GMW!$LR$2:$LR$60=G$1),0),$B158-1966)</f>
        <v>559.98500000000001</v>
      </c>
      <c r="H158" s="5" cm="1">
        <f t="array" ref="H158">INDEX(GMW!$A$2:$LR$60,MATCH(1,(GMW!$LQ$2:$LQ$60=H$3)*(GMW!$LP$2:$LP$60=H$4)*(GMW!$LR$2:$LR$60=H$1),0),$B158-1966)</f>
        <v>431.16</v>
      </c>
      <c r="I158" s="5" cm="1">
        <f t="array" ref="I158">INDEX(GMW!$A$2:$LR$60,MATCH(1,(GMW!$LQ$2:$LQ$60=I$3)*(GMW!$LP$2:$LP$60=I$4)*(GMW!$LR$2:$LR$60=I$1),0),$B158-1966)</f>
        <v>468424.5</v>
      </c>
    </row>
    <row r="159" spans="1:9" x14ac:dyDescent="0.25">
      <c r="A159" s="5">
        <f t="shared" si="6"/>
        <v>2011</v>
      </c>
      <c r="B159" s="5">
        <f t="shared" si="5"/>
        <v>2125</v>
      </c>
      <c r="C159" s="5" cm="1">
        <f t="array" ref="C159">INDEX(GMW!$A$2:$LR$60,MATCH(1,(GMW!$LQ$2:$LQ$60=C$3)*(GMW!$LP$2:$LP$60=C$4)*(GMW!$LR$2:$LR$60=C$1),0),$B159-1966)</f>
        <v>473819</v>
      </c>
      <c r="D159" s="5" cm="1">
        <f t="array" ref="D159">INDEX(GMW!$A$2:$LR$60,MATCH(1,(GMW!$LQ$2:$LQ$60=D$3)*(GMW!$LP$2:$LP$60=D$4)*(GMW!$LR$2:$LR$60=D$1),0),$B159-1966)</f>
        <v>4230.1499999999996</v>
      </c>
      <c r="E159" s="5" cm="1">
        <f t="array" ref="E159">INDEX(GMW!$A$2:$LR$60,MATCH(1,(GMW!$LQ$2:$LQ$60=E$3)*(GMW!$LP$2:$LP$60=E$4)*(GMW!$LR$2:$LR$60=E$1),0),$B159-1966)</f>
        <v>127065.60000000001</v>
      </c>
      <c r="F159" s="5" cm="1">
        <f t="array" ref="F159">INDEX(GMW!$A$2:$LR$60,MATCH(1,(GMW!$LQ$2:$LQ$60=F$3)*(GMW!$LP$2:$LP$60=F$4)*(GMW!$LR$2:$LR$60=F$1),0),$B159-1966)</f>
        <v>730.34860000000003</v>
      </c>
      <c r="G159" s="5" cm="1">
        <f t="array" ref="G159">INDEX(GMW!$A$2:$LR$60,MATCH(1,(GMW!$LQ$2:$LQ$60=G$3)*(GMW!$LP$2:$LP$60=G$4)*(GMW!$LR$2:$LR$60=G$1),0),$B159-1966)</f>
        <v>567.31500000000005</v>
      </c>
      <c r="H159" s="5" cm="1">
        <f t="array" ref="H159">INDEX(GMW!$A$2:$LR$60,MATCH(1,(GMW!$LQ$2:$LQ$60=H$3)*(GMW!$LP$2:$LP$60=H$4)*(GMW!$LR$2:$LR$60=H$1),0),$B159-1966)</f>
        <v>433.31</v>
      </c>
      <c r="I159" s="5" cm="1">
        <f t="array" ref="I159">INDEX(GMW!$A$2:$LR$60,MATCH(1,(GMW!$LQ$2:$LQ$60=I$3)*(GMW!$LP$2:$LP$60=I$4)*(GMW!$LR$2:$LR$60=I$1),0),$B159-1966)</f>
        <v>471992</v>
      </c>
    </row>
    <row r="160" spans="1:9" x14ac:dyDescent="0.25">
      <c r="A160" s="5">
        <f t="shared" si="6"/>
        <v>2011</v>
      </c>
      <c r="B160" s="5">
        <f t="shared" si="5"/>
        <v>2126</v>
      </c>
      <c r="C160" s="5" cm="1">
        <f t="array" ref="C160">INDEX(GMW!$A$2:$LR$60,MATCH(1,(GMW!$LQ$2:$LQ$60=C$3)*(GMW!$LP$2:$LP$60=C$4)*(GMW!$LR$2:$LR$60=C$1),0),$B160-1966)</f>
        <v>474365</v>
      </c>
      <c r="D160" s="5" cm="1">
        <f t="array" ref="D160">INDEX(GMW!$A$2:$LR$60,MATCH(1,(GMW!$LQ$2:$LQ$60=D$3)*(GMW!$LP$2:$LP$60=D$4)*(GMW!$LR$2:$LR$60=D$1),0),$B160-1966)</f>
        <v>4258.7749999999996</v>
      </c>
      <c r="E160" s="5" cm="1">
        <f t="array" ref="E160">INDEX(GMW!$A$2:$LR$60,MATCH(1,(GMW!$LQ$2:$LQ$60=E$3)*(GMW!$LP$2:$LP$60=E$4)*(GMW!$LR$2:$LR$60=E$1),0),$B160-1966)</f>
        <v>125987.3</v>
      </c>
      <c r="F160" s="5" cm="1">
        <f t="array" ref="F160">INDEX(GMW!$A$2:$LR$60,MATCH(1,(GMW!$LQ$2:$LQ$60=F$3)*(GMW!$LP$2:$LP$60=F$4)*(GMW!$LR$2:$LR$60=F$1),0),$B160-1966)</f>
        <v>732.32719999999995</v>
      </c>
      <c r="G160" s="5" cm="1">
        <f t="array" ref="G160">INDEX(GMW!$A$2:$LR$60,MATCH(1,(GMW!$LQ$2:$LQ$60=G$3)*(GMW!$LP$2:$LP$60=G$4)*(GMW!$LR$2:$LR$60=G$1),0),$B160-1966)</f>
        <v>567.23800000000006</v>
      </c>
      <c r="H160" s="5" cm="1">
        <f t="array" ref="H160">INDEX(GMW!$A$2:$LR$60,MATCH(1,(GMW!$LQ$2:$LQ$60=H$3)*(GMW!$LP$2:$LP$60=H$4)*(GMW!$LR$2:$LR$60=H$1),0),$B160-1966)</f>
        <v>433.67</v>
      </c>
      <c r="I160" s="5" cm="1">
        <f t="array" ref="I160">INDEX(GMW!$A$2:$LR$60,MATCH(1,(GMW!$LQ$2:$LQ$60=I$3)*(GMW!$LP$2:$LP$60=I$4)*(GMW!$LR$2:$LR$60=I$1),0),$B160-1966)</f>
        <v>472848.8</v>
      </c>
    </row>
    <row r="161" spans="1:9" x14ac:dyDescent="0.25">
      <c r="A161" s="5">
        <f t="shared" si="6"/>
        <v>2011</v>
      </c>
      <c r="B161" s="5">
        <f t="shared" si="5"/>
        <v>2127</v>
      </c>
      <c r="C161" s="5" cm="1">
        <f t="array" ref="C161">INDEX(GMW!$A$2:$LR$60,MATCH(1,(GMW!$LQ$2:$LQ$60=C$3)*(GMW!$LP$2:$LP$60=C$4)*(GMW!$LR$2:$LR$60=C$1),0),$B161-1966)</f>
        <v>475813</v>
      </c>
      <c r="D161" s="5" cm="1">
        <f t="array" ref="D161">INDEX(GMW!$A$2:$LR$60,MATCH(1,(GMW!$LQ$2:$LQ$60=D$3)*(GMW!$LP$2:$LP$60=D$4)*(GMW!$LR$2:$LR$60=D$1),0),$B161-1966)</f>
        <v>4257.8249999999998</v>
      </c>
      <c r="E161" s="5" cm="1">
        <f t="array" ref="E161">INDEX(GMW!$A$2:$LR$60,MATCH(1,(GMW!$LQ$2:$LQ$60=E$3)*(GMW!$LP$2:$LP$60=E$4)*(GMW!$LR$2:$LR$60=E$1),0),$B161-1966)</f>
        <v>129043.4</v>
      </c>
      <c r="F161" s="5" cm="1">
        <f t="array" ref="F161">INDEX(GMW!$A$2:$LR$60,MATCH(1,(GMW!$LQ$2:$LQ$60=F$3)*(GMW!$LP$2:$LP$60=F$4)*(GMW!$LR$2:$LR$60=F$1),0),$B161-1966)</f>
        <v>736.36720000000003</v>
      </c>
      <c r="G161" s="5" cm="1">
        <f t="array" ref="G161">INDEX(GMW!$A$2:$LR$60,MATCH(1,(GMW!$LQ$2:$LQ$60=G$3)*(GMW!$LP$2:$LP$60=G$4)*(GMW!$LR$2:$LR$60=G$1),0),$B161-1966)</f>
        <v>569.23299999999995</v>
      </c>
      <c r="H161" s="5" cm="1">
        <f t="array" ref="H161">INDEX(GMW!$A$2:$LR$60,MATCH(1,(GMW!$LQ$2:$LQ$60=H$3)*(GMW!$LP$2:$LP$60=H$4)*(GMW!$LR$2:$LR$60=H$1),0),$B161-1966)</f>
        <v>431.45800000000003</v>
      </c>
      <c r="I161" s="5" cm="1">
        <f t="array" ref="I161">INDEX(GMW!$A$2:$LR$60,MATCH(1,(GMW!$LQ$2:$LQ$60=I$3)*(GMW!$LP$2:$LP$60=I$4)*(GMW!$LR$2:$LR$60=I$1),0),$B161-1966)</f>
        <v>479318.5</v>
      </c>
    </row>
    <row r="162" spans="1:9" x14ac:dyDescent="0.25">
      <c r="A162" s="5">
        <f t="shared" si="6"/>
        <v>2011</v>
      </c>
      <c r="B162" s="5">
        <f t="shared" si="5"/>
        <v>2128</v>
      </c>
      <c r="C162" s="5" cm="1">
        <f t="array" ref="C162">INDEX(GMW!$A$2:$LR$60,MATCH(1,(GMW!$LQ$2:$LQ$60=C$3)*(GMW!$LP$2:$LP$60=C$4)*(GMW!$LR$2:$LR$60=C$1),0),$B162-1966)</f>
        <v>476479</v>
      </c>
      <c r="D162" s="5" cm="1">
        <f t="array" ref="D162">INDEX(GMW!$A$2:$LR$60,MATCH(1,(GMW!$LQ$2:$LQ$60=D$3)*(GMW!$LP$2:$LP$60=D$4)*(GMW!$LR$2:$LR$60=D$1),0),$B162-1966)</f>
        <v>4305.6499999999996</v>
      </c>
      <c r="E162" s="5" cm="1">
        <f t="array" ref="E162">INDEX(GMW!$A$2:$LR$60,MATCH(1,(GMW!$LQ$2:$LQ$60=E$3)*(GMW!$LP$2:$LP$60=E$4)*(GMW!$LR$2:$LR$60=E$1),0),$B162-1966)</f>
        <v>128830.6</v>
      </c>
      <c r="F162" s="5" cm="1">
        <f t="array" ref="F162">INDEX(GMW!$A$2:$LR$60,MATCH(1,(GMW!$LQ$2:$LQ$60=F$3)*(GMW!$LP$2:$LP$60=F$4)*(GMW!$LR$2:$LR$60=F$1),0),$B162-1966)</f>
        <v>736.28440000000001</v>
      </c>
      <c r="G162" s="5" cm="1">
        <f t="array" ref="G162">INDEX(GMW!$A$2:$LR$60,MATCH(1,(GMW!$LQ$2:$LQ$60=G$3)*(GMW!$LP$2:$LP$60=G$4)*(GMW!$LR$2:$LR$60=G$1),0),$B162-1966)</f>
        <v>570.96400000000006</v>
      </c>
      <c r="H162" s="5" cm="1">
        <f t="array" ref="H162">INDEX(GMW!$A$2:$LR$60,MATCH(1,(GMW!$LQ$2:$LQ$60=H$3)*(GMW!$LP$2:$LP$60=H$4)*(GMW!$LR$2:$LR$60=H$1),0),$B162-1966)</f>
        <v>427.18099999999998</v>
      </c>
      <c r="I162" s="5" cm="1">
        <f t="array" ref="I162">INDEX(GMW!$A$2:$LR$60,MATCH(1,(GMW!$LQ$2:$LQ$60=I$3)*(GMW!$LP$2:$LP$60=I$4)*(GMW!$LR$2:$LR$60=I$1),0),$B162-1966)</f>
        <v>483127.8</v>
      </c>
    </row>
    <row r="163" spans="1:9" x14ac:dyDescent="0.25">
      <c r="A163" s="5">
        <f t="shared" si="6"/>
        <v>2012</v>
      </c>
      <c r="B163" s="5">
        <f t="shared" si="5"/>
        <v>2129</v>
      </c>
      <c r="C163" s="5" cm="1">
        <f t="array" ref="C163">INDEX(GMW!$A$2:$LR$60,MATCH(1,(GMW!$LQ$2:$LQ$60=C$3)*(GMW!$LP$2:$LP$60=C$4)*(GMW!$LR$2:$LR$60=C$1),0),$B163-1966)</f>
        <v>480632</v>
      </c>
      <c r="D163" s="5" cm="1">
        <f t="array" ref="D163">INDEX(GMW!$A$2:$LR$60,MATCH(1,(GMW!$LQ$2:$LQ$60=D$3)*(GMW!$LP$2:$LP$60=D$4)*(GMW!$LR$2:$LR$60=D$1),0),$B163-1966)</f>
        <v>4341.75</v>
      </c>
      <c r="E163" s="5" cm="1">
        <f t="array" ref="E163">INDEX(GMW!$A$2:$LR$60,MATCH(1,(GMW!$LQ$2:$LQ$60=E$3)*(GMW!$LP$2:$LP$60=E$4)*(GMW!$LR$2:$LR$60=E$1),0),$B163-1966)</f>
        <v>130669.4</v>
      </c>
      <c r="F163" s="5" cm="1">
        <f t="array" ref="F163">INDEX(GMW!$A$2:$LR$60,MATCH(1,(GMW!$LQ$2:$LQ$60=F$3)*(GMW!$LP$2:$LP$60=F$4)*(GMW!$LR$2:$LR$60=F$1),0),$B163-1966)</f>
        <v>737.8673</v>
      </c>
      <c r="G163" s="5" cm="1">
        <f t="array" ref="G163">INDEX(GMW!$A$2:$LR$60,MATCH(1,(GMW!$LQ$2:$LQ$60=G$3)*(GMW!$LP$2:$LP$60=G$4)*(GMW!$LR$2:$LR$60=G$1),0),$B163-1966)</f>
        <v>571.19799999999998</v>
      </c>
      <c r="H163" s="5" cm="1">
        <f t="array" ref="H163">INDEX(GMW!$A$2:$LR$60,MATCH(1,(GMW!$LQ$2:$LQ$60=H$3)*(GMW!$LP$2:$LP$60=H$4)*(GMW!$LR$2:$LR$60=H$1),0),$B163-1966)</f>
        <v>422.34699999999998</v>
      </c>
      <c r="I163" s="5" cm="1">
        <f t="array" ref="I163">INDEX(GMW!$A$2:$LR$60,MATCH(1,(GMW!$LQ$2:$LQ$60=I$3)*(GMW!$LP$2:$LP$60=I$4)*(GMW!$LR$2:$LR$60=I$1),0),$B163-1966)</f>
        <v>483432.8</v>
      </c>
    </row>
    <row r="164" spans="1:9" x14ac:dyDescent="0.25">
      <c r="A164" s="5">
        <f t="shared" si="6"/>
        <v>2012</v>
      </c>
      <c r="B164" s="5">
        <f t="shared" si="5"/>
        <v>2130</v>
      </c>
      <c r="C164" s="5" cm="1">
        <f t="array" ref="C164">INDEX(GMW!$A$2:$LR$60,MATCH(1,(GMW!$LQ$2:$LQ$60=C$3)*(GMW!$LP$2:$LP$60=C$4)*(GMW!$LR$2:$LR$60=C$1),0),$B164-1966)</f>
        <v>479979</v>
      </c>
      <c r="D164" s="5" cm="1">
        <f t="array" ref="D164">INDEX(GMW!$A$2:$LR$60,MATCH(1,(GMW!$LQ$2:$LQ$60=D$3)*(GMW!$LP$2:$LP$60=D$4)*(GMW!$LR$2:$LR$60=D$1),0),$B164-1966)</f>
        <v>4361.125</v>
      </c>
      <c r="E164" s="5" cm="1">
        <f t="array" ref="E164">INDEX(GMW!$A$2:$LR$60,MATCH(1,(GMW!$LQ$2:$LQ$60=E$3)*(GMW!$LP$2:$LP$60=E$4)*(GMW!$LR$2:$LR$60=E$1),0),$B164-1966)</f>
        <v>129461.4</v>
      </c>
      <c r="F164" s="5" cm="1">
        <f t="array" ref="F164">INDEX(GMW!$A$2:$LR$60,MATCH(1,(GMW!$LQ$2:$LQ$60=F$3)*(GMW!$LP$2:$LP$60=F$4)*(GMW!$LR$2:$LR$60=F$1),0),$B164-1966)</f>
        <v>738.58510000000001</v>
      </c>
      <c r="G164" s="5" cm="1">
        <f t="array" ref="G164">INDEX(GMW!$A$2:$LR$60,MATCH(1,(GMW!$LQ$2:$LQ$60=G$3)*(GMW!$LP$2:$LP$60=G$4)*(GMW!$LR$2:$LR$60=G$1),0),$B164-1966)</f>
        <v>568.66499999999996</v>
      </c>
      <c r="H164" s="5" cm="1">
        <f t="array" ref="H164">INDEX(GMW!$A$2:$LR$60,MATCH(1,(GMW!$LQ$2:$LQ$60=H$3)*(GMW!$LP$2:$LP$60=H$4)*(GMW!$LR$2:$LR$60=H$1),0),$B164-1966)</f>
        <v>419.51100000000002</v>
      </c>
      <c r="I164" s="5" cm="1">
        <f t="array" ref="I164">INDEX(GMW!$A$2:$LR$60,MATCH(1,(GMW!$LQ$2:$LQ$60=I$3)*(GMW!$LP$2:$LP$60=I$4)*(GMW!$LR$2:$LR$60=I$1),0),$B164-1966)</f>
        <v>485004.3</v>
      </c>
    </row>
    <row r="165" spans="1:9" x14ac:dyDescent="0.25">
      <c r="A165" s="5">
        <f t="shared" si="6"/>
        <v>2012</v>
      </c>
      <c r="B165" s="5">
        <f t="shared" si="5"/>
        <v>2131</v>
      </c>
      <c r="C165" s="5" cm="1">
        <f t="array" ref="C165">INDEX(GMW!$A$2:$LR$60,MATCH(1,(GMW!$LQ$2:$LQ$60=C$3)*(GMW!$LP$2:$LP$60=C$4)*(GMW!$LR$2:$LR$60=C$1),0),$B165-1966)</f>
        <v>484579</v>
      </c>
      <c r="D165" s="5" cm="1">
        <f t="array" ref="D165">INDEX(GMW!$A$2:$LR$60,MATCH(1,(GMW!$LQ$2:$LQ$60=D$3)*(GMW!$LP$2:$LP$60=D$4)*(GMW!$LR$2:$LR$60=D$1),0),$B165-1966)</f>
        <v>4367.4250000000002</v>
      </c>
      <c r="E165" s="5" cm="1">
        <f t="array" ref="E165">INDEX(GMW!$A$2:$LR$60,MATCH(1,(GMW!$LQ$2:$LQ$60=E$3)*(GMW!$LP$2:$LP$60=E$4)*(GMW!$LR$2:$LR$60=E$1),0),$B165-1966)</f>
        <v>128960.7</v>
      </c>
      <c r="F165" s="5" cm="1">
        <f t="array" ref="F165">INDEX(GMW!$A$2:$LR$60,MATCH(1,(GMW!$LQ$2:$LQ$60=F$3)*(GMW!$LP$2:$LP$60=F$4)*(GMW!$LR$2:$LR$60=F$1),0),$B165-1966)</f>
        <v>740.16800000000001</v>
      </c>
      <c r="G165" s="5" cm="1">
        <f t="array" ref="G165">INDEX(GMW!$A$2:$LR$60,MATCH(1,(GMW!$LQ$2:$LQ$60=G$3)*(GMW!$LP$2:$LP$60=G$4)*(GMW!$LR$2:$LR$60=G$1),0),$B165-1966)</f>
        <v>569.95399999999995</v>
      </c>
      <c r="H165" s="5" cm="1">
        <f t="array" ref="H165">INDEX(GMW!$A$2:$LR$60,MATCH(1,(GMW!$LQ$2:$LQ$60=H$3)*(GMW!$LP$2:$LP$60=H$4)*(GMW!$LR$2:$LR$60=H$1),0),$B165-1966)</f>
        <v>417.38099999999997</v>
      </c>
      <c r="I165" s="5" cm="1">
        <f t="array" ref="I165">INDEX(GMW!$A$2:$LR$60,MATCH(1,(GMW!$LQ$2:$LQ$60=I$3)*(GMW!$LP$2:$LP$60=I$4)*(GMW!$LR$2:$LR$60=I$1),0),$B165-1966)</f>
        <v>485668</v>
      </c>
    </row>
    <row r="166" spans="1:9" x14ac:dyDescent="0.25">
      <c r="A166" s="5">
        <f t="shared" si="6"/>
        <v>2012</v>
      </c>
      <c r="B166" s="5">
        <f t="shared" si="5"/>
        <v>2132</v>
      </c>
      <c r="C166" s="5" cm="1">
        <f t="array" ref="C166">INDEX(GMW!$A$2:$LR$60,MATCH(1,(GMW!$LQ$2:$LQ$60=C$3)*(GMW!$LP$2:$LP$60=C$4)*(GMW!$LR$2:$LR$60=C$1),0),$B166-1966)</f>
        <v>484039</v>
      </c>
      <c r="D166" s="5" cm="1">
        <f t="array" ref="D166">INDEX(GMW!$A$2:$LR$60,MATCH(1,(GMW!$LQ$2:$LQ$60=D$3)*(GMW!$LP$2:$LP$60=D$4)*(GMW!$LR$2:$LR$60=D$1),0),$B166-1966)</f>
        <v>4372.4750000000004</v>
      </c>
      <c r="E166" s="5" cm="1">
        <f t="array" ref="E166">INDEX(GMW!$A$2:$LR$60,MATCH(1,(GMW!$LQ$2:$LQ$60=E$3)*(GMW!$LP$2:$LP$60=E$4)*(GMW!$LR$2:$LR$60=E$1),0),$B166-1966)</f>
        <v>128849.60000000001</v>
      </c>
      <c r="F166" s="5" cm="1">
        <f t="array" ref="F166">INDEX(GMW!$A$2:$LR$60,MATCH(1,(GMW!$LQ$2:$LQ$60=F$3)*(GMW!$LP$2:$LP$60=F$4)*(GMW!$LR$2:$LR$60=F$1),0),$B166-1966)</f>
        <v>737.71079999999995</v>
      </c>
      <c r="G166" s="5" cm="1">
        <f t="array" ref="G166">INDEX(GMW!$A$2:$LR$60,MATCH(1,(GMW!$LQ$2:$LQ$60=G$3)*(GMW!$LP$2:$LP$60=G$4)*(GMW!$LR$2:$LR$60=G$1),0),$B166-1966)</f>
        <v>569.98</v>
      </c>
      <c r="H166" s="5" cm="1">
        <f t="array" ref="H166">INDEX(GMW!$A$2:$LR$60,MATCH(1,(GMW!$LQ$2:$LQ$60=H$3)*(GMW!$LP$2:$LP$60=H$4)*(GMW!$LR$2:$LR$60=H$1),0),$B166-1966)</f>
        <v>414.30399999999997</v>
      </c>
      <c r="I166" s="5" cm="1">
        <f t="array" ref="I166">INDEX(GMW!$A$2:$LR$60,MATCH(1,(GMW!$LQ$2:$LQ$60=I$3)*(GMW!$LP$2:$LP$60=I$4)*(GMW!$LR$2:$LR$60=I$1),0),$B166-1966)</f>
        <v>486667.5</v>
      </c>
    </row>
    <row r="167" spans="1:9" x14ac:dyDescent="0.25">
      <c r="A167" s="5">
        <f t="shared" si="6"/>
        <v>2013</v>
      </c>
      <c r="B167" s="5">
        <f t="shared" si="5"/>
        <v>2133</v>
      </c>
      <c r="C167" s="5" cm="1">
        <f t="array" ref="C167">INDEX(GMW!$A$2:$LR$60,MATCH(1,(GMW!$LQ$2:$LQ$60=C$3)*(GMW!$LP$2:$LP$60=C$4)*(GMW!$LR$2:$LR$60=C$1),0),$B167-1966)</f>
        <v>485409</v>
      </c>
      <c r="D167" s="5" cm="1">
        <f t="array" ref="D167">INDEX(GMW!$A$2:$LR$60,MATCH(1,(GMW!$LQ$2:$LQ$60=D$3)*(GMW!$LP$2:$LP$60=D$4)*(GMW!$LR$2:$LR$60=D$1),0),$B167-1966)</f>
        <v>4415.6000000000004</v>
      </c>
      <c r="E167" s="5" cm="1">
        <f t="array" ref="E167">INDEX(GMW!$A$2:$LR$60,MATCH(1,(GMW!$LQ$2:$LQ$60=E$3)*(GMW!$LP$2:$LP$60=E$4)*(GMW!$LR$2:$LR$60=E$1),0),$B167-1966)</f>
        <v>130670.5</v>
      </c>
      <c r="F167" s="5" cm="1">
        <f t="array" ref="F167">INDEX(GMW!$A$2:$LR$60,MATCH(1,(GMW!$LQ$2:$LQ$60=F$3)*(GMW!$LP$2:$LP$60=F$4)*(GMW!$LR$2:$LR$60=F$1),0),$B167-1966)</f>
        <v>733.51440000000002</v>
      </c>
      <c r="G167" s="5" cm="1">
        <f t="array" ref="G167">INDEX(GMW!$A$2:$LR$60,MATCH(1,(GMW!$LQ$2:$LQ$60=G$3)*(GMW!$LP$2:$LP$60=G$4)*(GMW!$LR$2:$LR$60=G$1),0),$B167-1966)</f>
        <v>570.471</v>
      </c>
      <c r="H167" s="5" cm="1">
        <f t="array" ref="H167">INDEX(GMW!$A$2:$LR$60,MATCH(1,(GMW!$LQ$2:$LQ$60=H$3)*(GMW!$LP$2:$LP$60=H$4)*(GMW!$LR$2:$LR$60=H$1),0),$B167-1966)</f>
        <v>410.07600000000002</v>
      </c>
      <c r="I167" s="5" cm="1">
        <f t="array" ref="I167">INDEX(GMW!$A$2:$LR$60,MATCH(1,(GMW!$LQ$2:$LQ$60=I$3)*(GMW!$LP$2:$LP$60=I$4)*(GMW!$LR$2:$LR$60=I$1),0),$B167-1966)</f>
        <v>491023.8</v>
      </c>
    </row>
    <row r="168" spans="1:9" x14ac:dyDescent="0.25">
      <c r="A168" s="5">
        <f t="shared" si="6"/>
        <v>2013</v>
      </c>
      <c r="B168" s="5">
        <f t="shared" si="5"/>
        <v>2134</v>
      </c>
      <c r="C168" s="5" cm="1">
        <f t="array" ref="C168">INDEX(GMW!$A$2:$LR$60,MATCH(1,(GMW!$LQ$2:$LQ$60=C$3)*(GMW!$LP$2:$LP$60=C$4)*(GMW!$LR$2:$LR$60=C$1),0),$B168-1966)</f>
        <v>488930</v>
      </c>
      <c r="D168" s="5" cm="1">
        <f t="array" ref="D168">INDEX(GMW!$A$2:$LR$60,MATCH(1,(GMW!$LQ$2:$LQ$60=D$3)*(GMW!$LP$2:$LP$60=D$4)*(GMW!$LR$2:$LR$60=D$1),0),$B168-1966)</f>
        <v>4427.4250000000002</v>
      </c>
      <c r="E168" s="5" cm="1">
        <f t="array" ref="E168">INDEX(GMW!$A$2:$LR$60,MATCH(1,(GMW!$LQ$2:$LQ$60=E$3)*(GMW!$LP$2:$LP$60=E$4)*(GMW!$LR$2:$LR$60=E$1),0),$B168-1966)</f>
        <v>131834.4</v>
      </c>
      <c r="F168" s="5" cm="1">
        <f t="array" ref="F168">INDEX(GMW!$A$2:$LR$60,MATCH(1,(GMW!$LQ$2:$LQ$60=F$3)*(GMW!$LP$2:$LP$60=F$4)*(GMW!$LR$2:$LR$60=F$1),0),$B168-1966)</f>
        <v>742.54229999999995</v>
      </c>
      <c r="G168" s="5" cm="1">
        <f t="array" ref="G168">INDEX(GMW!$A$2:$LR$60,MATCH(1,(GMW!$LQ$2:$LQ$60=G$3)*(GMW!$LP$2:$LP$60=G$4)*(GMW!$LR$2:$LR$60=G$1),0),$B168-1966)</f>
        <v>575.404</v>
      </c>
      <c r="H168" s="5" cm="1">
        <f t="array" ref="H168">INDEX(GMW!$A$2:$LR$60,MATCH(1,(GMW!$LQ$2:$LQ$60=H$3)*(GMW!$LP$2:$LP$60=H$4)*(GMW!$LR$2:$LR$60=H$1),0),$B168-1966)</f>
        <v>410.39100000000002</v>
      </c>
      <c r="I168" s="5" cm="1">
        <f t="array" ref="I168">INDEX(GMW!$A$2:$LR$60,MATCH(1,(GMW!$LQ$2:$LQ$60=I$3)*(GMW!$LP$2:$LP$60=I$4)*(GMW!$LR$2:$LR$60=I$1),0),$B168-1966)</f>
        <v>493851.5</v>
      </c>
    </row>
    <row r="169" spans="1:9" x14ac:dyDescent="0.25">
      <c r="A169" s="5">
        <f t="shared" si="6"/>
        <v>2013</v>
      </c>
      <c r="B169" s="5">
        <f t="shared" si="5"/>
        <v>2135</v>
      </c>
      <c r="C169" s="5" cm="1">
        <f t="array" ref="C169">INDEX(GMW!$A$2:$LR$60,MATCH(1,(GMW!$LQ$2:$LQ$60=C$3)*(GMW!$LP$2:$LP$60=C$4)*(GMW!$LR$2:$LR$60=C$1),0),$B169-1966)</f>
        <v>493002</v>
      </c>
      <c r="D169" s="5" cm="1">
        <f t="array" ref="D169">INDEX(GMW!$A$2:$LR$60,MATCH(1,(GMW!$LQ$2:$LQ$60=D$3)*(GMW!$LP$2:$LP$60=D$4)*(GMW!$LR$2:$LR$60=D$1),0),$B169-1966)</f>
        <v>4465.125</v>
      </c>
      <c r="E169" s="5" cm="1">
        <f t="array" ref="E169">INDEX(GMW!$A$2:$LR$60,MATCH(1,(GMW!$LQ$2:$LQ$60=E$3)*(GMW!$LP$2:$LP$60=E$4)*(GMW!$LR$2:$LR$60=E$1),0),$B169-1966)</f>
        <v>133095.5</v>
      </c>
      <c r="F169" s="5" cm="1">
        <f t="array" ref="F169">INDEX(GMW!$A$2:$LR$60,MATCH(1,(GMW!$LQ$2:$LQ$60=F$3)*(GMW!$LP$2:$LP$60=F$4)*(GMW!$LR$2:$LR$60=F$1),0),$B169-1966)</f>
        <v>746.1866</v>
      </c>
      <c r="G169" s="5" cm="1">
        <f t="array" ref="G169">INDEX(GMW!$A$2:$LR$60,MATCH(1,(GMW!$LQ$2:$LQ$60=G$3)*(GMW!$LP$2:$LP$60=G$4)*(GMW!$LR$2:$LR$60=G$1),0),$B169-1966)</f>
        <v>575.298</v>
      </c>
      <c r="H169" s="5" cm="1">
        <f t="array" ref="H169">INDEX(GMW!$A$2:$LR$60,MATCH(1,(GMW!$LQ$2:$LQ$60=H$3)*(GMW!$LP$2:$LP$60=H$4)*(GMW!$LR$2:$LR$60=H$1),0),$B169-1966)</f>
        <v>411.30599999999998</v>
      </c>
      <c r="I169" s="5" cm="1">
        <f t="array" ref="I169">INDEX(GMW!$A$2:$LR$60,MATCH(1,(GMW!$LQ$2:$LQ$60=I$3)*(GMW!$LP$2:$LP$60=I$4)*(GMW!$LR$2:$LR$60=I$1),0),$B169-1966)</f>
        <v>497912.5</v>
      </c>
    </row>
    <row r="170" spans="1:9" x14ac:dyDescent="0.25">
      <c r="A170" s="5">
        <f t="shared" si="6"/>
        <v>2013</v>
      </c>
      <c r="B170" s="5">
        <f t="shared" si="5"/>
        <v>2136</v>
      </c>
      <c r="C170" s="5" cm="1">
        <f t="array" ref="C170">INDEX(GMW!$A$2:$LR$60,MATCH(1,(GMW!$LQ$2:$LQ$60=C$3)*(GMW!$LP$2:$LP$60=C$4)*(GMW!$LR$2:$LR$60=C$1),0),$B170-1966)</f>
        <v>496466</v>
      </c>
      <c r="D170" s="5" cm="1">
        <f t="array" ref="D170">INDEX(GMW!$A$2:$LR$60,MATCH(1,(GMW!$LQ$2:$LQ$60=D$3)*(GMW!$LP$2:$LP$60=D$4)*(GMW!$LR$2:$LR$60=D$1),0),$B170-1966)</f>
        <v>4504.0249999999996</v>
      </c>
      <c r="E170" s="5" cm="1">
        <f t="array" ref="E170">INDEX(GMW!$A$2:$LR$60,MATCH(1,(GMW!$LQ$2:$LQ$60=E$3)*(GMW!$LP$2:$LP$60=E$4)*(GMW!$LR$2:$LR$60=E$1),0),$B170-1966)</f>
        <v>132914.70000000001</v>
      </c>
      <c r="F170" s="5" cm="1">
        <f t="array" ref="F170">INDEX(GMW!$A$2:$LR$60,MATCH(1,(GMW!$LQ$2:$LQ$60=F$3)*(GMW!$LP$2:$LP$60=F$4)*(GMW!$LR$2:$LR$60=F$1),0),$B170-1966)</f>
        <v>747.06089999999995</v>
      </c>
      <c r="G170" s="5" cm="1">
        <f t="array" ref="G170">INDEX(GMW!$A$2:$LR$60,MATCH(1,(GMW!$LQ$2:$LQ$60=G$3)*(GMW!$LP$2:$LP$60=G$4)*(GMW!$LR$2:$LR$60=G$1),0),$B170-1966)</f>
        <v>579.50800000000004</v>
      </c>
      <c r="H170" s="5" cm="1">
        <f t="array" ref="H170">INDEX(GMW!$A$2:$LR$60,MATCH(1,(GMW!$LQ$2:$LQ$60=H$3)*(GMW!$LP$2:$LP$60=H$4)*(GMW!$LR$2:$LR$60=H$1),0),$B170-1966)</f>
        <v>410.56900000000002</v>
      </c>
      <c r="I170" s="5" cm="1">
        <f t="array" ref="I170">INDEX(GMW!$A$2:$LR$60,MATCH(1,(GMW!$LQ$2:$LQ$60=I$3)*(GMW!$LP$2:$LP$60=I$4)*(GMW!$LR$2:$LR$60=I$1),0),$B170-1966)</f>
        <v>503123.5</v>
      </c>
    </row>
    <row r="171" spans="1:9" x14ac:dyDescent="0.25">
      <c r="A171" s="5">
        <f t="shared" si="6"/>
        <v>2014</v>
      </c>
      <c r="B171" s="5">
        <f t="shared" si="5"/>
        <v>2137</v>
      </c>
      <c r="C171" s="5" cm="1">
        <f t="array" ref="C171">INDEX(GMW!$A$2:$LR$60,MATCH(1,(GMW!$LQ$2:$LQ$60=C$3)*(GMW!$LP$2:$LP$60=C$4)*(GMW!$LR$2:$LR$60=C$1),0),$B171-1966)</f>
        <v>500552</v>
      </c>
      <c r="D171" s="5" cm="1">
        <f t="array" ref="D171">INDEX(GMW!$A$2:$LR$60,MATCH(1,(GMW!$LQ$2:$LQ$60=D$3)*(GMW!$LP$2:$LP$60=D$4)*(GMW!$LR$2:$LR$60=D$1),0),$B171-1966)</f>
        <v>4488.5</v>
      </c>
      <c r="E171" s="5" cm="1">
        <f t="array" ref="E171">INDEX(GMW!$A$2:$LR$60,MATCH(1,(GMW!$LQ$2:$LQ$60=E$3)*(GMW!$LP$2:$LP$60=E$4)*(GMW!$LR$2:$LR$60=E$1),0),$B171-1966)</f>
        <v>134034.5</v>
      </c>
      <c r="F171" s="5" cm="1">
        <f t="array" ref="F171">INDEX(GMW!$A$2:$LR$60,MATCH(1,(GMW!$LQ$2:$LQ$60=F$3)*(GMW!$LP$2:$LP$60=F$4)*(GMW!$LR$2:$LR$60=F$1),0),$B171-1966)</f>
        <v>754.90160000000003</v>
      </c>
      <c r="G171" s="5" cm="1">
        <f t="array" ref="G171">INDEX(GMW!$A$2:$LR$60,MATCH(1,(GMW!$LQ$2:$LQ$60=G$3)*(GMW!$LP$2:$LP$60=G$4)*(GMW!$LR$2:$LR$60=G$1),0),$B171-1966)</f>
        <v>578.98099999999999</v>
      </c>
      <c r="H171" s="5" cm="1">
        <f t="array" ref="H171">INDEX(GMW!$A$2:$LR$60,MATCH(1,(GMW!$LQ$2:$LQ$60=H$3)*(GMW!$LP$2:$LP$60=H$4)*(GMW!$LR$2:$LR$60=H$1),0),$B171-1966)</f>
        <v>410.96199999999999</v>
      </c>
      <c r="I171" s="5" cm="1">
        <f t="array" ref="I171">INDEX(GMW!$A$2:$LR$60,MATCH(1,(GMW!$LQ$2:$LQ$60=I$3)*(GMW!$LP$2:$LP$60=I$4)*(GMW!$LR$2:$LR$60=I$1),0),$B171-1966)</f>
        <v>503973.8</v>
      </c>
    </row>
    <row r="172" spans="1:9" x14ac:dyDescent="0.25">
      <c r="A172" s="5">
        <f t="shared" si="6"/>
        <v>2014</v>
      </c>
      <c r="B172" s="5">
        <f t="shared" si="5"/>
        <v>2138</v>
      </c>
      <c r="C172" s="5" cm="1">
        <f t="array" ref="C172">INDEX(GMW!$A$2:$LR$60,MATCH(1,(GMW!$LQ$2:$LQ$60=C$3)*(GMW!$LP$2:$LP$60=C$4)*(GMW!$LR$2:$LR$60=C$1),0),$B172-1966)</f>
        <v>504939</v>
      </c>
      <c r="D172" s="5" cm="1">
        <f t="array" ref="D172">INDEX(GMW!$A$2:$LR$60,MATCH(1,(GMW!$LQ$2:$LQ$60=D$3)*(GMW!$LP$2:$LP$60=D$4)*(GMW!$LR$2:$LR$60=D$1),0),$B172-1966)</f>
        <v>4546.4750000000004</v>
      </c>
      <c r="E172" s="5" cm="1">
        <f t="array" ref="E172">INDEX(GMW!$A$2:$LR$60,MATCH(1,(GMW!$LQ$2:$LQ$60=E$3)*(GMW!$LP$2:$LP$60=E$4)*(GMW!$LR$2:$LR$60=E$1),0),$B172-1966)</f>
        <v>131599.5</v>
      </c>
      <c r="F172" s="5" cm="1">
        <f t="array" ref="F172">INDEX(GMW!$A$2:$LR$60,MATCH(1,(GMW!$LQ$2:$LQ$60=F$3)*(GMW!$LP$2:$LP$60=F$4)*(GMW!$LR$2:$LR$60=F$1),0),$B172-1966)</f>
        <v>755.13170000000002</v>
      </c>
      <c r="G172" s="5" cm="1">
        <f t="array" ref="G172">INDEX(GMW!$A$2:$LR$60,MATCH(1,(GMW!$LQ$2:$LQ$60=G$3)*(GMW!$LP$2:$LP$60=G$4)*(GMW!$LR$2:$LR$60=G$1),0),$B172-1966)</f>
        <v>579.81700000000001</v>
      </c>
      <c r="H172" s="5" cm="1">
        <f t="array" ref="H172">INDEX(GMW!$A$2:$LR$60,MATCH(1,(GMW!$LQ$2:$LQ$60=H$3)*(GMW!$LP$2:$LP$60=H$4)*(GMW!$LR$2:$LR$60=H$1),0),$B172-1966)</f>
        <v>410.94900000000001</v>
      </c>
      <c r="I172" s="5" cm="1">
        <f t="array" ref="I172">INDEX(GMW!$A$2:$LR$60,MATCH(1,(GMW!$LQ$2:$LQ$60=I$3)*(GMW!$LP$2:$LP$60=I$4)*(GMW!$LR$2:$LR$60=I$1),0),$B172-1966)</f>
        <v>508567.8</v>
      </c>
    </row>
    <row r="173" spans="1:9" x14ac:dyDescent="0.25">
      <c r="A173" s="5">
        <f t="shared" si="6"/>
        <v>2014</v>
      </c>
      <c r="B173" s="5">
        <f t="shared" si="5"/>
        <v>2139</v>
      </c>
      <c r="C173" s="5" cm="1">
        <f t="array" ref="C173">INDEX(GMW!$A$2:$LR$60,MATCH(1,(GMW!$LQ$2:$LQ$60=C$3)*(GMW!$LP$2:$LP$60=C$4)*(GMW!$LR$2:$LR$60=C$1),0),$B173-1966)</f>
        <v>508741</v>
      </c>
      <c r="D173" s="5" cm="1">
        <f t="array" ref="D173">INDEX(GMW!$A$2:$LR$60,MATCH(1,(GMW!$LQ$2:$LQ$60=D$3)*(GMW!$LP$2:$LP$60=D$4)*(GMW!$LR$2:$LR$60=D$1),0),$B173-1966)</f>
        <v>4601.7250000000004</v>
      </c>
      <c r="E173" s="5" cm="1">
        <f t="array" ref="E173">INDEX(GMW!$A$2:$LR$60,MATCH(1,(GMW!$LQ$2:$LQ$60=E$3)*(GMW!$LP$2:$LP$60=E$4)*(GMW!$LR$2:$LR$60=E$1),0),$B173-1966)</f>
        <v>131723</v>
      </c>
      <c r="F173" s="5" cm="1">
        <f t="array" ref="F173">INDEX(GMW!$A$2:$LR$60,MATCH(1,(GMW!$LQ$2:$LQ$60=F$3)*(GMW!$LP$2:$LP$60=F$4)*(GMW!$LR$2:$LR$60=F$1),0),$B173-1966)</f>
        <v>759.01520000000005</v>
      </c>
      <c r="G173" s="5" cm="1">
        <f t="array" ref="G173">INDEX(GMW!$A$2:$LR$60,MATCH(1,(GMW!$LQ$2:$LQ$60=G$3)*(GMW!$LP$2:$LP$60=G$4)*(GMW!$LR$2:$LR$60=G$1),0),$B173-1966)</f>
        <v>583.28399999999999</v>
      </c>
      <c r="H173" s="5" cm="1">
        <f t="array" ref="H173">INDEX(GMW!$A$2:$LR$60,MATCH(1,(GMW!$LQ$2:$LQ$60=H$3)*(GMW!$LP$2:$LP$60=H$4)*(GMW!$LR$2:$LR$60=H$1),0),$B173-1966)</f>
        <v>411.62400000000002</v>
      </c>
      <c r="I173" s="5" cm="1">
        <f t="array" ref="I173">INDEX(GMW!$A$2:$LR$60,MATCH(1,(GMW!$LQ$2:$LQ$60=I$3)*(GMW!$LP$2:$LP$60=I$4)*(GMW!$LR$2:$LR$60=I$1),0),$B173-1966)</f>
        <v>513442.8</v>
      </c>
    </row>
    <row r="174" spans="1:9" x14ac:dyDescent="0.25">
      <c r="A174" s="5">
        <f t="shared" si="6"/>
        <v>2014</v>
      </c>
      <c r="B174" s="5">
        <f t="shared" si="5"/>
        <v>2140</v>
      </c>
      <c r="C174" s="5" cm="1">
        <f t="array" ref="C174">INDEX(GMW!$A$2:$LR$60,MATCH(1,(GMW!$LQ$2:$LQ$60=C$3)*(GMW!$LP$2:$LP$60=C$4)*(GMW!$LR$2:$LR$60=C$1),0),$B174-1966)</f>
        <v>512334</v>
      </c>
      <c r="D174" s="5" cm="1">
        <f t="array" ref="D174">INDEX(GMW!$A$2:$LR$60,MATCH(1,(GMW!$LQ$2:$LQ$60=D$3)*(GMW!$LP$2:$LP$60=D$4)*(GMW!$LR$2:$LR$60=D$1),0),$B174-1966)</f>
        <v>4625</v>
      </c>
      <c r="E174" s="5" cm="1">
        <f t="array" ref="E174">INDEX(GMW!$A$2:$LR$60,MATCH(1,(GMW!$LQ$2:$LQ$60=E$3)*(GMW!$LP$2:$LP$60=E$4)*(GMW!$LR$2:$LR$60=E$1),0),$B174-1966)</f>
        <v>132295.4</v>
      </c>
      <c r="F174" s="5" cm="1">
        <f t="array" ref="F174">INDEX(GMW!$A$2:$LR$60,MATCH(1,(GMW!$LQ$2:$LQ$60=F$3)*(GMW!$LP$2:$LP$60=F$4)*(GMW!$LR$2:$LR$60=F$1),0),$B174-1966)</f>
        <v>764.63810000000001</v>
      </c>
      <c r="G174" s="5" cm="1">
        <f t="array" ref="G174">INDEX(GMW!$A$2:$LR$60,MATCH(1,(GMW!$LQ$2:$LQ$60=G$3)*(GMW!$LP$2:$LP$60=G$4)*(GMW!$LR$2:$LR$60=G$1),0),$B174-1966)</f>
        <v>582.05899999999997</v>
      </c>
      <c r="H174" s="5" cm="1">
        <f t="array" ref="H174">INDEX(GMW!$A$2:$LR$60,MATCH(1,(GMW!$LQ$2:$LQ$60=H$3)*(GMW!$LP$2:$LP$60=H$4)*(GMW!$LR$2:$LR$60=H$1),0),$B174-1966)</f>
        <v>410.24900000000002</v>
      </c>
      <c r="I174" s="5" cm="1">
        <f t="array" ref="I174">INDEX(GMW!$A$2:$LR$60,MATCH(1,(GMW!$LQ$2:$LQ$60=I$3)*(GMW!$LP$2:$LP$60=I$4)*(GMW!$LR$2:$LR$60=I$1),0),$B174-1966)</f>
        <v>516991.5</v>
      </c>
    </row>
    <row r="175" spans="1:9" x14ac:dyDescent="0.25">
      <c r="A175" s="5">
        <f t="shared" si="6"/>
        <v>2015</v>
      </c>
      <c r="B175" s="5">
        <f t="shared" si="5"/>
        <v>2141</v>
      </c>
      <c r="C175" s="5" cm="1">
        <f t="array" ref="C175">INDEX(GMW!$A$2:$LR$60,MATCH(1,(GMW!$LQ$2:$LQ$60=C$3)*(GMW!$LP$2:$LP$60=C$4)*(GMW!$LR$2:$LR$60=C$1),0),$B175-1966)</f>
        <v>513850</v>
      </c>
      <c r="D175" s="5" cm="1">
        <f t="array" ref="D175">INDEX(GMW!$A$2:$LR$60,MATCH(1,(GMW!$LQ$2:$LQ$60=D$3)*(GMW!$LP$2:$LP$60=D$4)*(GMW!$LR$2:$LR$60=D$1),0),$B175-1966)</f>
        <v>4666.6499999999996</v>
      </c>
      <c r="E175" s="5" cm="1">
        <f t="array" ref="E175">INDEX(GMW!$A$2:$LR$60,MATCH(1,(GMW!$LQ$2:$LQ$60=E$3)*(GMW!$LP$2:$LP$60=E$4)*(GMW!$LR$2:$LR$60=E$1),0),$B175-1966)</f>
        <v>134381.1</v>
      </c>
      <c r="F175" s="5" cm="1">
        <f t="array" ref="F175">INDEX(GMW!$A$2:$LR$60,MATCH(1,(GMW!$LQ$2:$LQ$60=F$3)*(GMW!$LP$2:$LP$60=F$4)*(GMW!$LR$2:$LR$60=F$1),0),$B175-1966)</f>
        <v>762.89869999999996</v>
      </c>
      <c r="G175" s="5" cm="1">
        <f t="array" ref="G175">INDEX(GMW!$A$2:$LR$60,MATCH(1,(GMW!$LQ$2:$LQ$60=G$3)*(GMW!$LP$2:$LP$60=G$4)*(GMW!$LR$2:$LR$60=G$1),0),$B175-1966)</f>
        <v>585.51900000000001</v>
      </c>
      <c r="H175" s="5" cm="1">
        <f t="array" ref="H175">INDEX(GMW!$A$2:$LR$60,MATCH(1,(GMW!$LQ$2:$LQ$60=H$3)*(GMW!$LP$2:$LP$60=H$4)*(GMW!$LR$2:$LR$60=H$1),0),$B175-1966)</f>
        <v>411.43400000000003</v>
      </c>
      <c r="I175" s="5" cm="1">
        <f t="array" ref="I175">INDEX(GMW!$A$2:$LR$60,MATCH(1,(GMW!$LQ$2:$LQ$60=I$3)*(GMW!$LP$2:$LP$60=I$4)*(GMW!$LR$2:$LR$60=I$1),0),$B175-1966)</f>
        <v>514113</v>
      </c>
    </row>
    <row r="176" spans="1:9" x14ac:dyDescent="0.25">
      <c r="A176" s="5">
        <f t="shared" si="6"/>
        <v>2015</v>
      </c>
      <c r="B176" s="5">
        <f t="shared" si="5"/>
        <v>2142</v>
      </c>
      <c r="C176" s="5" cm="1">
        <f t="array" ref="C176">INDEX(GMW!$A$2:$LR$60,MATCH(1,(GMW!$LQ$2:$LQ$60=C$3)*(GMW!$LP$2:$LP$60=C$4)*(GMW!$LR$2:$LR$60=C$1),0),$B176-1966)</f>
        <v>516876</v>
      </c>
      <c r="D176" s="5" cm="1">
        <f t="array" ref="D176">INDEX(GMW!$A$2:$LR$60,MATCH(1,(GMW!$LQ$2:$LQ$60=D$3)*(GMW!$LP$2:$LP$60=D$4)*(GMW!$LR$2:$LR$60=D$1),0),$B176-1966)</f>
        <v>4695.55</v>
      </c>
      <c r="E176" s="5" cm="1">
        <f t="array" ref="E176">INDEX(GMW!$A$2:$LR$60,MATCH(1,(GMW!$LQ$2:$LQ$60=E$3)*(GMW!$LP$2:$LP$60=E$4)*(GMW!$LR$2:$LR$60=E$1),0),$B176-1966)</f>
        <v>134559.9</v>
      </c>
      <c r="F176" s="5" cm="1">
        <f t="array" ref="F176">INDEX(GMW!$A$2:$LR$60,MATCH(1,(GMW!$LQ$2:$LQ$60=F$3)*(GMW!$LP$2:$LP$60=F$4)*(GMW!$LR$2:$LR$60=F$1),0),$B176-1966)</f>
        <v>767.57380000000001</v>
      </c>
      <c r="G176" s="5" cm="1">
        <f t="array" ref="G176">INDEX(GMW!$A$2:$LR$60,MATCH(1,(GMW!$LQ$2:$LQ$60=G$3)*(GMW!$LP$2:$LP$60=G$4)*(GMW!$LR$2:$LR$60=G$1),0),$B176-1966)</f>
        <v>585.71100000000001</v>
      </c>
      <c r="H176" s="5" cm="1">
        <f t="array" ref="H176">INDEX(GMW!$A$2:$LR$60,MATCH(1,(GMW!$LQ$2:$LQ$60=H$3)*(GMW!$LP$2:$LP$60=H$4)*(GMW!$LR$2:$LR$60=H$1),0),$B176-1966)</f>
        <v>413.00099999999998</v>
      </c>
      <c r="I176" s="5" cm="1">
        <f t="array" ref="I176">INDEX(GMW!$A$2:$LR$60,MATCH(1,(GMW!$LQ$2:$LQ$60=I$3)*(GMW!$LP$2:$LP$60=I$4)*(GMW!$LR$2:$LR$60=I$1),0),$B176-1966)</f>
        <v>512709.5</v>
      </c>
    </row>
    <row r="177" spans="1:9" x14ac:dyDescent="0.25">
      <c r="A177" s="5">
        <f t="shared" si="6"/>
        <v>2015</v>
      </c>
      <c r="B177" s="5">
        <f t="shared" ref="B177:B240" si="7">+B176+1</f>
        <v>2143</v>
      </c>
      <c r="C177" s="5" cm="1">
        <f t="array" ref="C177">INDEX(GMW!$A$2:$LR$60,MATCH(1,(GMW!$LQ$2:$LQ$60=C$3)*(GMW!$LP$2:$LP$60=C$4)*(GMW!$LR$2:$LR$60=C$1),0),$B177-1966)</f>
        <v>518915</v>
      </c>
      <c r="D177" s="5" cm="1">
        <f t="array" ref="D177">INDEX(GMW!$A$2:$LR$60,MATCH(1,(GMW!$LQ$2:$LQ$60=D$3)*(GMW!$LP$2:$LP$60=D$4)*(GMW!$LR$2:$LR$60=D$1),0),$B177-1966)</f>
        <v>4714.3500000000004</v>
      </c>
      <c r="E177" s="5" cm="1">
        <f t="array" ref="E177">INDEX(GMW!$A$2:$LR$60,MATCH(1,(GMW!$LQ$2:$LQ$60=E$3)*(GMW!$LP$2:$LP$60=E$4)*(GMW!$LR$2:$LR$60=E$1),0),$B177-1966)</f>
        <v>134713.5</v>
      </c>
      <c r="F177" s="5" cm="1">
        <f t="array" ref="F177">INDEX(GMW!$A$2:$LR$60,MATCH(1,(GMW!$LQ$2:$LQ$60=F$3)*(GMW!$LP$2:$LP$60=F$4)*(GMW!$LR$2:$LR$60=F$1),0),$B177-1966)</f>
        <v>771.13530000000003</v>
      </c>
      <c r="G177" s="5" cm="1">
        <f t="array" ref="G177">INDEX(GMW!$A$2:$LR$60,MATCH(1,(GMW!$LQ$2:$LQ$60=G$3)*(GMW!$LP$2:$LP$60=G$4)*(GMW!$LR$2:$LR$60=G$1),0),$B177-1966)</f>
        <v>587.226</v>
      </c>
      <c r="H177" s="5" cm="1">
        <f t="array" ref="H177">INDEX(GMW!$A$2:$LR$60,MATCH(1,(GMW!$LQ$2:$LQ$60=H$3)*(GMW!$LP$2:$LP$60=H$4)*(GMW!$LR$2:$LR$60=H$1),0),$B177-1966)</f>
        <v>413.86700000000002</v>
      </c>
      <c r="I177" s="5" cm="1">
        <f t="array" ref="I177">INDEX(GMW!$A$2:$LR$60,MATCH(1,(GMW!$LQ$2:$LQ$60=I$3)*(GMW!$LP$2:$LP$60=I$4)*(GMW!$LR$2:$LR$60=I$1),0),$B177-1966)</f>
        <v>514545.5</v>
      </c>
    </row>
    <row r="178" spans="1:9" x14ac:dyDescent="0.25">
      <c r="A178" s="5">
        <f t="shared" si="6"/>
        <v>2015</v>
      </c>
      <c r="B178" s="5">
        <f t="shared" si="7"/>
        <v>2144</v>
      </c>
      <c r="C178" s="5" cm="1">
        <f t="array" ref="C178">INDEX(GMW!$A$2:$LR$60,MATCH(1,(GMW!$LQ$2:$LQ$60=C$3)*(GMW!$LP$2:$LP$60=C$4)*(GMW!$LR$2:$LR$60=C$1),0),$B178-1966)</f>
        <v>521920</v>
      </c>
      <c r="D178" s="5" cm="1">
        <f t="array" ref="D178">INDEX(GMW!$A$2:$LR$60,MATCH(1,(GMW!$LQ$2:$LQ$60=D$3)*(GMW!$LP$2:$LP$60=D$4)*(GMW!$LR$2:$LR$60=D$1),0),$B178-1966)</f>
        <v>4723.05</v>
      </c>
      <c r="E178" s="5" cm="1">
        <f t="array" ref="E178">INDEX(GMW!$A$2:$LR$60,MATCH(1,(GMW!$LQ$2:$LQ$60=E$3)*(GMW!$LP$2:$LP$60=E$4)*(GMW!$LR$2:$LR$60=E$1),0),$B178-1966)</f>
        <v>134449.29999999999</v>
      </c>
      <c r="F178" s="5" cm="1">
        <f t="array" ref="F178">INDEX(GMW!$A$2:$LR$60,MATCH(1,(GMW!$LQ$2:$LQ$60=F$3)*(GMW!$LP$2:$LP$60=F$4)*(GMW!$LR$2:$LR$60=F$1),0),$B178-1966)</f>
        <v>774.77949999999998</v>
      </c>
      <c r="G178" s="5" cm="1">
        <f t="array" ref="G178">INDEX(GMW!$A$2:$LR$60,MATCH(1,(GMW!$LQ$2:$LQ$60=G$3)*(GMW!$LP$2:$LP$60=G$4)*(GMW!$LR$2:$LR$60=G$1),0),$B178-1966)</f>
        <v>588.58600000000001</v>
      </c>
      <c r="H178" s="5" cm="1">
        <f t="array" ref="H178">INDEX(GMW!$A$2:$LR$60,MATCH(1,(GMW!$LQ$2:$LQ$60=H$3)*(GMW!$LP$2:$LP$60=H$4)*(GMW!$LR$2:$LR$60=H$1),0),$B178-1966)</f>
        <v>415.87700000000001</v>
      </c>
      <c r="I178" s="5" cm="1">
        <f t="array" ref="I178">INDEX(GMW!$A$2:$LR$60,MATCH(1,(GMW!$LQ$2:$LQ$60=I$3)*(GMW!$LP$2:$LP$60=I$4)*(GMW!$LR$2:$LR$60=I$1),0),$B178-1966)</f>
        <v>514886.5</v>
      </c>
    </row>
    <row r="179" spans="1:9" x14ac:dyDescent="0.25">
      <c r="A179" s="5">
        <f t="shared" si="6"/>
        <v>2016</v>
      </c>
      <c r="B179" s="5">
        <f t="shared" si="7"/>
        <v>2145</v>
      </c>
      <c r="C179" s="5" cm="1">
        <f t="array" ref="C179">INDEX(GMW!$A$2:$LR$60,MATCH(1,(GMW!$LQ$2:$LQ$60=C$3)*(GMW!$LP$2:$LP$60=C$4)*(GMW!$LR$2:$LR$60=C$1),0),$B179-1966)</f>
        <v>523813</v>
      </c>
      <c r="D179" s="5" cm="1">
        <f t="array" ref="D179">INDEX(GMW!$A$2:$LR$60,MATCH(1,(GMW!$LQ$2:$LQ$60=D$3)*(GMW!$LP$2:$LP$60=D$4)*(GMW!$LR$2:$LR$60=D$1),0),$B179-1966)</f>
        <v>4750.4250000000002</v>
      </c>
      <c r="E179" s="5" cm="1">
        <f t="array" ref="E179">INDEX(GMW!$A$2:$LR$60,MATCH(1,(GMW!$LQ$2:$LQ$60=E$3)*(GMW!$LP$2:$LP$60=E$4)*(GMW!$LR$2:$LR$60=E$1),0),$B179-1966)</f>
        <v>135473</v>
      </c>
      <c r="F179" s="5" cm="1">
        <f t="array" ref="F179">INDEX(GMW!$A$2:$LR$60,MATCH(1,(GMW!$LQ$2:$LQ$60=F$3)*(GMW!$LP$2:$LP$60=F$4)*(GMW!$LR$2:$LR$60=F$1),0),$B179-1966)</f>
        <v>782.22450000000003</v>
      </c>
      <c r="G179" s="5" cm="1">
        <f t="array" ref="G179">INDEX(GMW!$A$2:$LR$60,MATCH(1,(GMW!$LQ$2:$LQ$60=G$3)*(GMW!$LP$2:$LP$60=G$4)*(GMW!$LR$2:$LR$60=G$1),0),$B179-1966)</f>
        <v>590.88099999999997</v>
      </c>
      <c r="H179" s="5" cm="1">
        <f t="array" ref="H179">INDEX(GMW!$A$2:$LR$60,MATCH(1,(GMW!$LQ$2:$LQ$60=H$3)*(GMW!$LP$2:$LP$60=H$4)*(GMW!$LR$2:$LR$60=H$1),0),$B179-1966)</f>
        <v>417.33100000000002</v>
      </c>
      <c r="I179" s="5" cm="1">
        <f t="array" ref="I179">INDEX(GMW!$A$2:$LR$60,MATCH(1,(GMW!$LQ$2:$LQ$60=I$3)*(GMW!$LP$2:$LP$60=I$4)*(GMW!$LR$2:$LR$60=I$1),0),$B179-1966)</f>
        <v>517933</v>
      </c>
    </row>
    <row r="180" spans="1:9" x14ac:dyDescent="0.25">
      <c r="A180" s="5">
        <f t="shared" si="6"/>
        <v>2016</v>
      </c>
      <c r="B180" s="5">
        <f t="shared" si="7"/>
        <v>2146</v>
      </c>
      <c r="C180" s="5" cm="1">
        <f t="array" ref="C180">INDEX(GMW!$A$2:$LR$60,MATCH(1,(GMW!$LQ$2:$LQ$60=C$3)*(GMW!$LP$2:$LP$60=C$4)*(GMW!$LR$2:$LR$60=C$1),0),$B180-1966)</f>
        <v>526750</v>
      </c>
      <c r="D180" s="5" cm="1">
        <f t="array" ref="D180">INDEX(GMW!$A$2:$LR$60,MATCH(1,(GMW!$LQ$2:$LQ$60=D$3)*(GMW!$LP$2:$LP$60=D$4)*(GMW!$LR$2:$LR$60=D$1),0),$B180-1966)</f>
        <v>4765.6750000000002</v>
      </c>
      <c r="E180" s="5" cm="1">
        <f t="array" ref="E180">INDEX(GMW!$A$2:$LR$60,MATCH(1,(GMW!$LQ$2:$LQ$60=E$3)*(GMW!$LP$2:$LP$60=E$4)*(GMW!$LR$2:$LR$60=E$1),0),$B180-1966)</f>
        <v>135259.1</v>
      </c>
      <c r="F180" s="5" cm="1">
        <f t="array" ref="F180">INDEX(GMW!$A$2:$LR$60,MATCH(1,(GMW!$LQ$2:$LQ$60=F$3)*(GMW!$LP$2:$LP$60=F$4)*(GMW!$LR$2:$LR$60=F$1),0),$B180-1966)</f>
        <v>784.83810000000005</v>
      </c>
      <c r="G180" s="5" cm="1">
        <f t="array" ref="G180">INDEX(GMW!$A$2:$LR$60,MATCH(1,(GMW!$LQ$2:$LQ$60=G$3)*(GMW!$LP$2:$LP$60=G$4)*(GMW!$LR$2:$LR$60=G$1),0),$B180-1966)</f>
        <v>589.49199999999996</v>
      </c>
      <c r="H180" s="5" cm="1">
        <f t="array" ref="H180">INDEX(GMW!$A$2:$LR$60,MATCH(1,(GMW!$LQ$2:$LQ$60=H$3)*(GMW!$LP$2:$LP$60=H$4)*(GMW!$LR$2:$LR$60=H$1),0),$B180-1966)</f>
        <v>418.14600000000002</v>
      </c>
      <c r="I180" s="5" cm="1">
        <f t="array" ref="I180">INDEX(GMW!$A$2:$LR$60,MATCH(1,(GMW!$LQ$2:$LQ$60=I$3)*(GMW!$LP$2:$LP$60=I$4)*(GMW!$LR$2:$LR$60=I$1),0),$B180-1966)</f>
        <v>515353</v>
      </c>
    </row>
    <row r="181" spans="1:9" x14ac:dyDescent="0.25">
      <c r="A181" s="5">
        <f t="shared" si="6"/>
        <v>2016</v>
      </c>
      <c r="B181" s="5">
        <f t="shared" si="7"/>
        <v>2147</v>
      </c>
      <c r="C181" s="5" cm="1">
        <f t="array" ref="C181">INDEX(GMW!$A$2:$LR$60,MATCH(1,(GMW!$LQ$2:$LQ$60=C$3)*(GMW!$LP$2:$LP$60=C$4)*(GMW!$LR$2:$LR$60=C$1),0),$B181-1966)</f>
        <v>528712</v>
      </c>
      <c r="D181" s="5" cm="1">
        <f t="array" ref="D181">INDEX(GMW!$A$2:$LR$60,MATCH(1,(GMW!$LQ$2:$LQ$60=D$3)*(GMW!$LP$2:$LP$60=D$4)*(GMW!$LR$2:$LR$60=D$1),0),$B181-1966)</f>
        <v>4799.4750000000004</v>
      </c>
      <c r="E181" s="5" cm="1">
        <f t="array" ref="E181">INDEX(GMW!$A$2:$LR$60,MATCH(1,(GMW!$LQ$2:$LQ$60=E$3)*(GMW!$LP$2:$LP$60=E$4)*(GMW!$LR$2:$LR$60=E$1),0),$B181-1966)</f>
        <v>135551.70000000001</v>
      </c>
      <c r="F181" s="5" cm="1">
        <f t="array" ref="F181">INDEX(GMW!$A$2:$LR$60,MATCH(1,(GMW!$LQ$2:$LQ$60=F$3)*(GMW!$LP$2:$LP$60=F$4)*(GMW!$LR$2:$LR$60=F$1),0),$B181-1966)</f>
        <v>786.97310000000004</v>
      </c>
      <c r="G181" s="5" cm="1">
        <f t="array" ref="G181">INDEX(GMW!$A$2:$LR$60,MATCH(1,(GMW!$LQ$2:$LQ$60=G$3)*(GMW!$LP$2:$LP$60=G$4)*(GMW!$LR$2:$LR$60=G$1),0),$B181-1966)</f>
        <v>590.26199999999994</v>
      </c>
      <c r="H181" s="5" cm="1">
        <f t="array" ref="H181">INDEX(GMW!$A$2:$LR$60,MATCH(1,(GMW!$LQ$2:$LQ$60=H$3)*(GMW!$LP$2:$LP$60=H$4)*(GMW!$LR$2:$LR$60=H$1),0),$B181-1966)</f>
        <v>420.375</v>
      </c>
      <c r="I181" s="5" cm="1">
        <f t="array" ref="I181">INDEX(GMW!$A$2:$LR$60,MATCH(1,(GMW!$LQ$2:$LQ$60=I$3)*(GMW!$LP$2:$LP$60=I$4)*(GMW!$LR$2:$LR$60=I$1),0),$B181-1966)</f>
        <v>520701.3</v>
      </c>
    </row>
    <row r="182" spans="1:9" x14ac:dyDescent="0.25">
      <c r="A182" s="5">
        <f t="shared" si="6"/>
        <v>2016</v>
      </c>
      <c r="B182" s="5">
        <f t="shared" si="7"/>
        <v>2148</v>
      </c>
      <c r="C182" s="5" cm="1">
        <f t="array" ref="C182">INDEX(GMW!$A$2:$LR$60,MATCH(1,(GMW!$LQ$2:$LQ$60=C$3)*(GMW!$LP$2:$LP$60=C$4)*(GMW!$LR$2:$LR$60=C$1),0),$B182-1966)</f>
        <v>532082</v>
      </c>
      <c r="D182" s="5" cm="1">
        <f t="array" ref="D182">INDEX(GMW!$A$2:$LR$60,MATCH(1,(GMW!$LQ$2:$LQ$60=D$3)*(GMW!$LP$2:$LP$60=D$4)*(GMW!$LR$2:$LR$60=D$1),0),$B182-1966)</f>
        <v>4826.1000000000004</v>
      </c>
      <c r="E182" s="5" cm="1">
        <f t="array" ref="E182">INDEX(GMW!$A$2:$LR$60,MATCH(1,(GMW!$LQ$2:$LQ$60=E$3)*(GMW!$LP$2:$LP$60=E$4)*(GMW!$LR$2:$LR$60=E$1),0),$B182-1966)</f>
        <v>135722.20000000001</v>
      </c>
      <c r="F182" s="5" cm="1">
        <f t="array" ref="F182">INDEX(GMW!$A$2:$LR$60,MATCH(1,(GMW!$LQ$2:$LQ$60=F$3)*(GMW!$LP$2:$LP$60=F$4)*(GMW!$LR$2:$LR$60=F$1),0),$B182-1966)</f>
        <v>790.30460000000005</v>
      </c>
      <c r="G182" s="5" cm="1">
        <f t="array" ref="G182">INDEX(GMW!$A$2:$LR$60,MATCH(1,(GMW!$LQ$2:$LQ$60=G$3)*(GMW!$LP$2:$LP$60=G$4)*(GMW!$LR$2:$LR$60=G$1),0),$B182-1966)</f>
        <v>593.36500000000001</v>
      </c>
      <c r="H182" s="5" cm="1">
        <f t="array" ref="H182">INDEX(GMW!$A$2:$LR$60,MATCH(1,(GMW!$LQ$2:$LQ$60=H$3)*(GMW!$LP$2:$LP$60=H$4)*(GMW!$LR$2:$LR$60=H$1),0),$B182-1966)</f>
        <v>421.947</v>
      </c>
      <c r="I182" s="5" cm="1">
        <f t="array" ref="I182">INDEX(GMW!$A$2:$LR$60,MATCH(1,(GMW!$LQ$2:$LQ$60=I$3)*(GMW!$LP$2:$LP$60=I$4)*(GMW!$LR$2:$LR$60=I$1),0),$B182-1966)</f>
        <v>523622.5</v>
      </c>
    </row>
    <row r="183" spans="1:9" x14ac:dyDescent="0.25">
      <c r="A183" s="5">
        <f t="shared" si="6"/>
        <v>2017</v>
      </c>
      <c r="B183" s="5">
        <f t="shared" si="7"/>
        <v>2149</v>
      </c>
      <c r="C183" s="5" cm="1">
        <f t="array" ref="C183">INDEX(GMW!$A$2:$LR$60,MATCH(1,(GMW!$LQ$2:$LQ$60=C$3)*(GMW!$LP$2:$LP$60=C$4)*(GMW!$LR$2:$LR$60=C$1),0),$B183-1966)</f>
        <v>536566</v>
      </c>
      <c r="D183" s="5" cm="1">
        <f t="array" ref="D183">INDEX(GMW!$A$2:$LR$60,MATCH(1,(GMW!$LQ$2:$LQ$60=D$3)*(GMW!$LP$2:$LP$60=D$4)*(GMW!$LR$2:$LR$60=D$1),0),$B183-1966)</f>
        <v>4849.5749999999998</v>
      </c>
      <c r="E183" s="5" cm="1">
        <f t="array" ref="E183">INDEX(GMW!$A$2:$LR$60,MATCH(1,(GMW!$LQ$2:$LQ$60=E$3)*(GMW!$LP$2:$LP$60=E$4)*(GMW!$LR$2:$LR$60=E$1),0),$B183-1966)</f>
        <v>136791.4</v>
      </c>
      <c r="F183" s="5" cm="1">
        <f t="array" ref="F183">INDEX(GMW!$A$2:$LR$60,MATCH(1,(GMW!$LQ$2:$LQ$60=F$3)*(GMW!$LP$2:$LP$60=F$4)*(GMW!$LR$2:$LR$60=F$1),0),$B183-1966)</f>
        <v>799.64530000000002</v>
      </c>
      <c r="G183" s="5" cm="1">
        <f t="array" ref="G183">INDEX(GMW!$A$2:$LR$60,MATCH(1,(GMW!$LQ$2:$LQ$60=G$3)*(GMW!$LP$2:$LP$60=G$4)*(GMW!$LR$2:$LR$60=G$1),0),$B183-1966)</f>
        <v>597.34199999999998</v>
      </c>
      <c r="H183" s="5" cm="1">
        <f t="array" ref="H183">INDEX(GMW!$A$2:$LR$60,MATCH(1,(GMW!$LQ$2:$LQ$60=H$3)*(GMW!$LP$2:$LP$60=H$4)*(GMW!$LR$2:$LR$60=H$1),0),$B183-1966)</f>
        <v>423.95600000000002</v>
      </c>
      <c r="I183" s="5" cm="1">
        <f t="array" ref="I183">INDEX(GMW!$A$2:$LR$60,MATCH(1,(GMW!$LQ$2:$LQ$60=I$3)*(GMW!$LP$2:$LP$60=I$4)*(GMW!$LR$2:$LR$60=I$1),0),$B183-1966)</f>
        <v>530210.80000000005</v>
      </c>
    </row>
    <row r="184" spans="1:9" x14ac:dyDescent="0.25">
      <c r="A184" s="5">
        <f t="shared" si="6"/>
        <v>2017</v>
      </c>
      <c r="B184" s="5">
        <f t="shared" si="7"/>
        <v>2150</v>
      </c>
      <c r="C184" s="5" cm="1">
        <f t="array" ref="C184">INDEX(GMW!$A$2:$LR$60,MATCH(1,(GMW!$LQ$2:$LQ$60=C$3)*(GMW!$LP$2:$LP$60=C$4)*(GMW!$LR$2:$LR$60=C$1),0),$B184-1966)</f>
        <v>540020</v>
      </c>
      <c r="D184" s="5" cm="1">
        <f t="array" ref="D184">INDEX(GMW!$A$2:$LR$60,MATCH(1,(GMW!$LQ$2:$LQ$60=D$3)*(GMW!$LP$2:$LP$60=D$4)*(GMW!$LR$2:$LR$60=D$1),0),$B184-1966)</f>
        <v>4876.7250000000004</v>
      </c>
      <c r="E184" s="5" cm="1">
        <f t="array" ref="E184">INDEX(GMW!$A$2:$LR$60,MATCH(1,(GMW!$LQ$2:$LQ$60=E$3)*(GMW!$LP$2:$LP$60=E$4)*(GMW!$LR$2:$LR$60=E$1),0),$B184-1966)</f>
        <v>137332</v>
      </c>
      <c r="F184" s="5" cm="1">
        <f t="array" ref="F184">INDEX(GMW!$A$2:$LR$60,MATCH(1,(GMW!$LQ$2:$LQ$60=F$3)*(GMW!$LP$2:$LP$60=F$4)*(GMW!$LR$2:$LR$60=F$1),0),$B184-1966)</f>
        <v>806.77750000000003</v>
      </c>
      <c r="G184" s="5" cm="1">
        <f t="array" ref="G184">INDEX(GMW!$A$2:$LR$60,MATCH(1,(GMW!$LQ$2:$LQ$60=G$3)*(GMW!$LP$2:$LP$60=G$4)*(GMW!$LR$2:$LR$60=G$1),0),$B184-1966)</f>
        <v>602.71299999999997</v>
      </c>
      <c r="H184" s="5" cm="1">
        <f t="array" ref="H184">INDEX(GMW!$A$2:$LR$60,MATCH(1,(GMW!$LQ$2:$LQ$60=H$3)*(GMW!$LP$2:$LP$60=H$4)*(GMW!$LR$2:$LR$60=H$1),0),$B184-1966)</f>
        <v>425.84100000000001</v>
      </c>
      <c r="I184" s="5" cm="1">
        <f t="array" ref="I184">INDEX(GMW!$A$2:$LR$60,MATCH(1,(GMW!$LQ$2:$LQ$60=I$3)*(GMW!$LP$2:$LP$60=I$4)*(GMW!$LR$2:$LR$60=I$1),0),$B184-1966)</f>
        <v>535791.5</v>
      </c>
    </row>
    <row r="185" spans="1:9" x14ac:dyDescent="0.25">
      <c r="A185" s="5">
        <f t="shared" si="6"/>
        <v>2017</v>
      </c>
      <c r="B185" s="5">
        <f t="shared" si="7"/>
        <v>2151</v>
      </c>
      <c r="C185" s="5" cm="1">
        <f t="array" ref="C185">INDEX(GMW!$A$2:$LR$60,MATCH(1,(GMW!$LQ$2:$LQ$60=C$3)*(GMW!$LP$2:$LP$60=C$4)*(GMW!$LR$2:$LR$60=C$1),0),$B185-1966)</f>
        <v>543452</v>
      </c>
      <c r="D185" s="5" cm="1">
        <f t="array" ref="D185">INDEX(GMW!$A$2:$LR$60,MATCH(1,(GMW!$LQ$2:$LQ$60=D$3)*(GMW!$LP$2:$LP$60=D$4)*(GMW!$LR$2:$LR$60=D$1),0),$B185-1966)</f>
        <v>4915.2</v>
      </c>
      <c r="E185" s="5" cm="1">
        <f t="array" ref="E185">INDEX(GMW!$A$2:$LR$60,MATCH(1,(GMW!$LQ$2:$LQ$60=E$3)*(GMW!$LP$2:$LP$60=E$4)*(GMW!$LR$2:$LR$60=E$1),0),$B185-1966)</f>
        <v>138497.70000000001</v>
      </c>
      <c r="F185" s="5" cm="1">
        <f t="array" ref="F185">INDEX(GMW!$A$2:$LR$60,MATCH(1,(GMW!$LQ$2:$LQ$60=F$3)*(GMW!$LP$2:$LP$60=F$4)*(GMW!$LR$2:$LR$60=F$1),0),$B185-1966)</f>
        <v>812.24390000000005</v>
      </c>
      <c r="G185" s="5" cm="1">
        <f t="array" ref="G185">INDEX(GMW!$A$2:$LR$60,MATCH(1,(GMW!$LQ$2:$LQ$60=G$3)*(GMW!$LP$2:$LP$60=G$4)*(GMW!$LR$2:$LR$60=G$1),0),$B185-1966)</f>
        <v>607.18600000000004</v>
      </c>
      <c r="H185" s="5" cm="1">
        <f t="array" ref="H185">INDEX(GMW!$A$2:$LR$60,MATCH(1,(GMW!$LQ$2:$LQ$60=H$3)*(GMW!$LP$2:$LP$60=H$4)*(GMW!$LR$2:$LR$60=H$1),0),$B185-1966)</f>
        <v>427.47699999999998</v>
      </c>
      <c r="I185" s="5" cm="1">
        <f t="array" ref="I185">INDEX(GMW!$A$2:$LR$60,MATCH(1,(GMW!$LQ$2:$LQ$60=I$3)*(GMW!$LP$2:$LP$60=I$4)*(GMW!$LR$2:$LR$60=I$1),0),$B185-1966)</f>
        <v>535959.80000000005</v>
      </c>
    </row>
    <row r="186" spans="1:9" x14ac:dyDescent="0.25">
      <c r="A186" s="5">
        <f t="shared" si="6"/>
        <v>2017</v>
      </c>
      <c r="B186" s="5">
        <f t="shared" si="7"/>
        <v>2152</v>
      </c>
      <c r="C186" s="5" cm="1">
        <f t="array" ref="C186">INDEX(GMW!$A$2:$LR$60,MATCH(1,(GMW!$LQ$2:$LQ$60=C$3)*(GMW!$LP$2:$LP$60=C$4)*(GMW!$LR$2:$LR$60=C$1),0),$B186-1966)</f>
        <v>547377</v>
      </c>
      <c r="D186" s="5" cm="1">
        <f t="array" ref="D186">INDEX(GMW!$A$2:$LR$60,MATCH(1,(GMW!$LQ$2:$LQ$60=D$3)*(GMW!$LP$2:$LP$60=D$4)*(GMW!$LR$2:$LR$60=D$1),0),$B186-1966)</f>
        <v>4970.6000000000004</v>
      </c>
      <c r="E186" s="5" cm="1">
        <f t="array" ref="E186">INDEX(GMW!$A$2:$LR$60,MATCH(1,(GMW!$LQ$2:$LQ$60=E$3)*(GMW!$LP$2:$LP$60=E$4)*(GMW!$LR$2:$LR$60=E$1),0),$B186-1966)</f>
        <v>138612.5</v>
      </c>
      <c r="F186" s="5" cm="1">
        <f t="array" ref="F186">INDEX(GMW!$A$2:$LR$60,MATCH(1,(GMW!$LQ$2:$LQ$60=F$3)*(GMW!$LP$2:$LP$60=F$4)*(GMW!$LR$2:$LR$60=F$1),0),$B186-1966)</f>
        <v>820.24109999999996</v>
      </c>
      <c r="G186" s="5" cm="1">
        <f t="array" ref="G186">INDEX(GMW!$A$2:$LR$60,MATCH(1,(GMW!$LQ$2:$LQ$60=G$3)*(GMW!$LP$2:$LP$60=G$4)*(GMW!$LR$2:$LR$60=G$1),0),$B186-1966)</f>
        <v>610.98099999999999</v>
      </c>
      <c r="H186" s="5" cm="1">
        <f t="array" ref="H186">INDEX(GMW!$A$2:$LR$60,MATCH(1,(GMW!$LQ$2:$LQ$60=H$3)*(GMW!$LP$2:$LP$60=H$4)*(GMW!$LR$2:$LR$60=H$1),0),$B186-1966)</f>
        <v>429.83499999999998</v>
      </c>
      <c r="I186" s="5" cm="1">
        <f t="array" ref="I186">INDEX(GMW!$A$2:$LR$60,MATCH(1,(GMW!$LQ$2:$LQ$60=I$3)*(GMW!$LP$2:$LP$60=I$4)*(GMW!$LR$2:$LR$60=I$1),0),$B186-1966)</f>
        <v>538679</v>
      </c>
    </row>
    <row r="187" spans="1:9" x14ac:dyDescent="0.25">
      <c r="A187" s="5">
        <f t="shared" si="6"/>
        <v>2018</v>
      </c>
      <c r="B187" s="5">
        <f t="shared" si="7"/>
        <v>2153</v>
      </c>
      <c r="C187" s="5" cm="1">
        <f t="array" ref="C187">INDEX(GMW!$A$2:$LR$60,MATCH(1,(GMW!$LQ$2:$LQ$60=C$3)*(GMW!$LP$2:$LP$60=C$4)*(GMW!$LR$2:$LR$60=C$1),0),$B187-1966)</f>
        <v>547688</v>
      </c>
      <c r="D187" s="5" cm="1">
        <f t="array" ref="D187">INDEX(GMW!$A$2:$LR$60,MATCH(1,(GMW!$LQ$2:$LQ$60=D$3)*(GMW!$LP$2:$LP$60=D$4)*(GMW!$LR$2:$LR$60=D$1),0),$B187-1966)</f>
        <v>5011.0249999999996</v>
      </c>
      <c r="E187" s="5" cm="1">
        <f t="array" ref="E187">INDEX(GMW!$A$2:$LR$60,MATCH(1,(GMW!$LQ$2:$LQ$60=E$3)*(GMW!$LP$2:$LP$60=E$4)*(GMW!$LR$2:$LR$60=E$1),0),$B187-1966)</f>
        <v>138708.79999999999</v>
      </c>
      <c r="F187" s="5" cm="1">
        <f t="array" ref="F187">INDEX(GMW!$A$2:$LR$60,MATCH(1,(GMW!$LQ$2:$LQ$60=F$3)*(GMW!$LP$2:$LP$60=F$4)*(GMW!$LR$2:$LR$60=F$1),0),$B187-1966)</f>
        <v>816.04470000000003</v>
      </c>
      <c r="G187" s="5" cm="1">
        <f t="array" ref="G187">INDEX(GMW!$A$2:$LR$60,MATCH(1,(GMW!$LQ$2:$LQ$60=G$3)*(GMW!$LP$2:$LP$60=G$4)*(GMW!$LR$2:$LR$60=G$1),0),$B187-1966)</f>
        <v>610.45299999999997</v>
      </c>
      <c r="H187" s="5" cm="1">
        <f t="array" ref="H187">INDEX(GMW!$A$2:$LR$60,MATCH(1,(GMW!$LQ$2:$LQ$60=H$3)*(GMW!$LP$2:$LP$60=H$4)*(GMW!$LR$2:$LR$60=H$1),0),$B187-1966)</f>
        <v>429.42</v>
      </c>
      <c r="I187" s="5" cm="1">
        <f t="array" ref="I187">INDEX(GMW!$A$2:$LR$60,MATCH(1,(GMW!$LQ$2:$LQ$60=I$3)*(GMW!$LP$2:$LP$60=I$4)*(GMW!$LR$2:$LR$60=I$1),0),$B187-1966)</f>
        <v>544941.30000000005</v>
      </c>
    </row>
    <row r="188" spans="1:9" x14ac:dyDescent="0.25">
      <c r="A188" s="5">
        <f t="shared" si="6"/>
        <v>2018</v>
      </c>
      <c r="B188" s="5">
        <f t="shared" si="7"/>
        <v>2154</v>
      </c>
      <c r="C188" s="5" cm="1">
        <f t="array" ref="C188">INDEX(GMW!$A$2:$LR$60,MATCH(1,(GMW!$LQ$2:$LQ$60=C$3)*(GMW!$LP$2:$LP$60=C$4)*(GMW!$LR$2:$LR$60=C$1),0),$B188-1966)</f>
        <v>548600</v>
      </c>
      <c r="D188" s="5" cm="1">
        <f t="array" ref="D188">INDEX(GMW!$A$2:$LR$60,MATCH(1,(GMW!$LQ$2:$LQ$60=D$3)*(GMW!$LP$2:$LP$60=D$4)*(GMW!$LR$2:$LR$60=D$1),0),$B188-1966)</f>
        <v>5037.625</v>
      </c>
      <c r="E188" s="5" cm="1">
        <f t="array" ref="E188">INDEX(GMW!$A$2:$LR$60,MATCH(1,(GMW!$LQ$2:$LQ$60=E$3)*(GMW!$LP$2:$LP$60=E$4)*(GMW!$LR$2:$LR$60=E$1),0),$B188-1966)</f>
        <v>139243.20000000001</v>
      </c>
      <c r="F188" s="5" cm="1">
        <f t="array" ref="F188">INDEX(GMW!$A$2:$LR$60,MATCH(1,(GMW!$LQ$2:$LQ$60=F$3)*(GMW!$LP$2:$LP$60=F$4)*(GMW!$LR$2:$LR$60=F$1),0),$B188-1966)</f>
        <v>822.14610000000005</v>
      </c>
      <c r="G188" s="5" cm="1">
        <f t="array" ref="G188">INDEX(GMW!$A$2:$LR$60,MATCH(1,(GMW!$LQ$2:$LQ$60=G$3)*(GMW!$LP$2:$LP$60=G$4)*(GMW!$LR$2:$LR$60=G$1),0),$B188-1966)</f>
        <v>611.70799999999997</v>
      </c>
      <c r="H188" s="5" cm="1">
        <f t="array" ref="H188">INDEX(GMW!$A$2:$LR$60,MATCH(1,(GMW!$LQ$2:$LQ$60=H$3)*(GMW!$LP$2:$LP$60=H$4)*(GMW!$LR$2:$LR$60=H$1),0),$B188-1966)</f>
        <v>429.678</v>
      </c>
      <c r="I188" s="5" cm="1">
        <f t="array" ref="I188">INDEX(GMW!$A$2:$LR$60,MATCH(1,(GMW!$LQ$2:$LQ$60=I$3)*(GMW!$LP$2:$LP$60=I$4)*(GMW!$LR$2:$LR$60=I$1),0),$B188-1966)</f>
        <v>549192</v>
      </c>
    </row>
    <row r="189" spans="1:9" x14ac:dyDescent="0.25">
      <c r="A189" s="5">
        <f t="shared" si="6"/>
        <v>2018</v>
      </c>
      <c r="B189" s="5">
        <f t="shared" si="7"/>
        <v>2155</v>
      </c>
      <c r="C189" s="5" cm="1">
        <f t="array" ref="C189">INDEX(GMW!$A$2:$LR$60,MATCH(1,(GMW!$LQ$2:$LQ$60=C$3)*(GMW!$LP$2:$LP$60=C$4)*(GMW!$LR$2:$LR$60=C$1),0),$B189-1966)</f>
        <v>550425</v>
      </c>
      <c r="D189" s="5" cm="1">
        <f t="array" ref="D189">INDEX(GMW!$A$2:$LR$60,MATCH(1,(GMW!$LQ$2:$LQ$60=D$3)*(GMW!$LP$2:$LP$60=D$4)*(GMW!$LR$2:$LR$60=D$1),0),$B189-1966)</f>
        <v>5069.05</v>
      </c>
      <c r="E189" s="5" cm="1">
        <f t="array" ref="E189">INDEX(GMW!$A$2:$LR$60,MATCH(1,(GMW!$LQ$2:$LQ$60=E$3)*(GMW!$LP$2:$LP$60=E$4)*(GMW!$LR$2:$LR$60=E$1),0),$B189-1966)</f>
        <v>138515.5</v>
      </c>
      <c r="F189" s="5" cm="1">
        <f t="array" ref="F189">INDEX(GMW!$A$2:$LR$60,MATCH(1,(GMW!$LQ$2:$LQ$60=F$3)*(GMW!$LP$2:$LP$60=F$4)*(GMW!$LR$2:$LR$60=F$1),0),$B189-1966)</f>
        <v>815.96190000000001</v>
      </c>
      <c r="G189" s="5" cm="1">
        <f t="array" ref="G189">INDEX(GMW!$A$2:$LR$60,MATCH(1,(GMW!$LQ$2:$LQ$60=G$3)*(GMW!$LP$2:$LP$60=G$4)*(GMW!$LR$2:$LR$60=G$1),0),$B189-1966)</f>
        <v>614.75300000000004</v>
      </c>
      <c r="H189" s="5" cm="1">
        <f t="array" ref="H189">INDEX(GMW!$A$2:$LR$60,MATCH(1,(GMW!$LQ$2:$LQ$60=H$3)*(GMW!$LP$2:$LP$60=H$4)*(GMW!$LR$2:$LR$60=H$1),0),$B189-1966)</f>
        <v>430.012</v>
      </c>
      <c r="I189" s="5" cm="1">
        <f t="array" ref="I189">INDEX(GMW!$A$2:$LR$60,MATCH(1,(GMW!$LQ$2:$LQ$60=I$3)*(GMW!$LP$2:$LP$60=I$4)*(GMW!$LR$2:$LR$60=I$1),0),$B189-1966)</f>
        <v>551962.30000000005</v>
      </c>
    </row>
    <row r="190" spans="1:9" x14ac:dyDescent="0.25">
      <c r="A190" s="5">
        <f t="shared" si="6"/>
        <v>2018</v>
      </c>
      <c r="B190" s="5">
        <f t="shared" si="7"/>
        <v>2156</v>
      </c>
      <c r="C190" s="5" cm="1">
        <f t="array" ref="C190">INDEX(GMW!$A$2:$LR$60,MATCH(1,(GMW!$LQ$2:$LQ$60=C$3)*(GMW!$LP$2:$LP$60=C$4)*(GMW!$LR$2:$LR$60=C$1),0),$B190-1966)</f>
        <v>551128</v>
      </c>
      <c r="D190" s="5" cm="1">
        <f t="array" ref="D190">INDEX(GMW!$A$2:$LR$60,MATCH(1,(GMW!$LQ$2:$LQ$60=D$3)*(GMW!$LP$2:$LP$60=D$4)*(GMW!$LR$2:$LR$60=D$1),0),$B190-1966)</f>
        <v>5076.2250000000004</v>
      </c>
      <c r="E190" s="5" cm="1">
        <f t="array" ref="E190">INDEX(GMW!$A$2:$LR$60,MATCH(1,(GMW!$LQ$2:$LQ$60=E$3)*(GMW!$LP$2:$LP$60=E$4)*(GMW!$LR$2:$LR$60=E$1),0),$B190-1966)</f>
        <v>138240.79999999999</v>
      </c>
      <c r="F190" s="5" cm="1">
        <f t="array" ref="F190">INDEX(GMW!$A$2:$LR$60,MATCH(1,(GMW!$LQ$2:$LQ$60=F$3)*(GMW!$LP$2:$LP$60=F$4)*(GMW!$LR$2:$LR$60=F$1),0),$B190-1966)</f>
        <v>821.3546</v>
      </c>
      <c r="G190" s="5" cm="1">
        <f t="array" ref="G190">INDEX(GMW!$A$2:$LR$60,MATCH(1,(GMW!$LQ$2:$LQ$60=G$3)*(GMW!$LP$2:$LP$60=G$4)*(GMW!$LR$2:$LR$60=G$1),0),$B190-1966)</f>
        <v>619.64499999999998</v>
      </c>
      <c r="H190" s="5" cm="1">
        <f t="array" ref="H190">INDEX(GMW!$A$2:$LR$60,MATCH(1,(GMW!$LQ$2:$LQ$60=H$3)*(GMW!$LP$2:$LP$60=H$4)*(GMW!$LR$2:$LR$60=H$1),0),$B190-1966)</f>
        <v>431.29700000000003</v>
      </c>
      <c r="I190" s="5" cm="1">
        <f t="array" ref="I190">INDEX(GMW!$A$2:$LR$60,MATCH(1,(GMW!$LQ$2:$LQ$60=I$3)*(GMW!$LP$2:$LP$60=I$4)*(GMW!$LR$2:$LR$60=I$1),0),$B190-1966)</f>
        <v>553262.5</v>
      </c>
    </row>
    <row r="191" spans="1:9" x14ac:dyDescent="0.25">
      <c r="A191" s="5">
        <f t="shared" si="6"/>
        <v>2019</v>
      </c>
      <c r="B191" s="5">
        <f t="shared" si="7"/>
        <v>2157</v>
      </c>
      <c r="C191" s="5" cm="1">
        <f t="array" ref="C191">INDEX(GMW!$A$2:$LR$60,MATCH(1,(GMW!$LQ$2:$LQ$60=C$3)*(GMW!$LP$2:$LP$60=C$4)*(GMW!$LR$2:$LR$60=C$1),0),$B191-1966)</f>
        <v>555141</v>
      </c>
      <c r="D191" s="5" cm="1">
        <f t="array" ref="D191">INDEX(GMW!$A$2:$LR$60,MATCH(1,(GMW!$LQ$2:$LQ$60=D$3)*(GMW!$LP$2:$LP$60=D$4)*(GMW!$LR$2:$LR$60=D$1),0),$B191-1966)</f>
        <v>5103.8</v>
      </c>
      <c r="E191" s="5" cm="1">
        <f t="array" ref="E191">INDEX(GMW!$A$2:$LR$60,MATCH(1,(GMW!$LQ$2:$LQ$60=E$3)*(GMW!$LP$2:$LP$60=E$4)*(GMW!$LR$2:$LR$60=E$1),0),$B191-1966)</f>
        <v>138553.29999999999</v>
      </c>
      <c r="F191" s="5" cm="1">
        <f t="array" ref="F191">INDEX(GMW!$A$2:$LR$60,MATCH(1,(GMW!$LQ$2:$LQ$60=F$3)*(GMW!$LP$2:$LP$60=F$4)*(GMW!$LR$2:$LR$60=F$1),0),$B191-1966)</f>
        <v>825.70749999999998</v>
      </c>
      <c r="G191" s="5" cm="1">
        <f t="array" ref="G191">INDEX(GMW!$A$2:$LR$60,MATCH(1,(GMW!$LQ$2:$LQ$60=G$3)*(GMW!$LP$2:$LP$60=G$4)*(GMW!$LR$2:$LR$60=G$1),0),$B191-1966)</f>
        <v>624.827</v>
      </c>
      <c r="H191" s="5" cm="1">
        <f t="array" ref="H191">INDEX(GMW!$A$2:$LR$60,MATCH(1,(GMW!$LQ$2:$LQ$60=H$3)*(GMW!$LP$2:$LP$60=H$4)*(GMW!$LR$2:$LR$60=H$1),0),$B191-1966)</f>
        <v>431.67099999999999</v>
      </c>
      <c r="I191" s="5" cm="1">
        <f t="array" ref="I191">INDEX(GMW!$A$2:$LR$60,MATCH(1,(GMW!$LQ$2:$LQ$60=I$3)*(GMW!$LP$2:$LP$60=I$4)*(GMW!$LR$2:$LR$60=I$1),0),$B191-1966)</f>
        <v>554594</v>
      </c>
    </row>
    <row r="192" spans="1:9" x14ac:dyDescent="0.25">
      <c r="A192" s="5">
        <f t="shared" si="6"/>
        <v>2019</v>
      </c>
      <c r="B192" s="5">
        <f t="shared" si="7"/>
        <v>2158</v>
      </c>
      <c r="C192" s="5" cm="1">
        <f t="array" ref="C192">INDEX(GMW!$A$2:$LR$60,MATCH(1,(GMW!$LQ$2:$LQ$60=C$3)*(GMW!$LP$2:$LP$60=C$4)*(GMW!$LR$2:$LR$60=C$1),0),$B192-1966)</f>
        <v>556932</v>
      </c>
      <c r="D192" s="5" cm="1">
        <f t="array" ref="D192">INDEX(GMW!$A$2:$LR$60,MATCH(1,(GMW!$LQ$2:$LQ$60=D$3)*(GMW!$LP$2:$LP$60=D$4)*(GMW!$LR$2:$LR$60=D$1),0),$B192-1966)</f>
        <v>5146.125</v>
      </c>
      <c r="E192" s="5" cm="1">
        <f t="array" ref="E192">INDEX(GMW!$A$2:$LR$60,MATCH(1,(GMW!$LQ$2:$LQ$60=E$3)*(GMW!$LP$2:$LP$60=E$4)*(GMW!$LR$2:$LR$60=E$1),0),$B192-1966)</f>
        <v>139137.70000000001</v>
      </c>
      <c r="F192" s="5" cm="1">
        <f t="array" ref="F192">INDEX(GMW!$A$2:$LR$60,MATCH(1,(GMW!$LQ$2:$LQ$60=F$3)*(GMW!$LP$2:$LP$60=F$4)*(GMW!$LR$2:$LR$60=F$1),0),$B192-1966)</f>
        <v>826.58180000000004</v>
      </c>
      <c r="G192" s="5" cm="1">
        <f t="array" ref="G192">INDEX(GMW!$A$2:$LR$60,MATCH(1,(GMW!$LQ$2:$LQ$60=G$3)*(GMW!$LP$2:$LP$60=G$4)*(GMW!$LR$2:$LR$60=G$1),0),$B192-1966)</f>
        <v>628.46699999999998</v>
      </c>
      <c r="H192" s="5" cm="1">
        <f t="array" ref="H192">INDEX(GMW!$A$2:$LR$60,MATCH(1,(GMW!$LQ$2:$LQ$60=H$3)*(GMW!$LP$2:$LP$60=H$4)*(GMW!$LR$2:$LR$60=H$1),0),$B192-1966)</f>
        <v>433.09800000000001</v>
      </c>
      <c r="I192" s="5" cm="1">
        <f t="array" ref="I192">INDEX(GMW!$A$2:$LR$60,MATCH(1,(GMW!$LQ$2:$LQ$60=I$3)*(GMW!$LP$2:$LP$60=I$4)*(GMW!$LR$2:$LR$60=I$1),0),$B192-1966)</f>
        <v>560665.5</v>
      </c>
    </row>
    <row r="193" spans="1:9" x14ac:dyDescent="0.25">
      <c r="A193" s="5">
        <f t="shared" si="6"/>
        <v>2019</v>
      </c>
      <c r="B193" s="5">
        <f t="shared" si="7"/>
        <v>2159</v>
      </c>
      <c r="C193" s="5" cm="1">
        <f t="array" ref="C193">INDEX(GMW!$A$2:$LR$60,MATCH(1,(GMW!$LQ$2:$LQ$60=C$3)*(GMW!$LP$2:$LP$60=C$4)*(GMW!$LR$2:$LR$60=C$1),0),$B193-1966)</f>
        <v>560987</v>
      </c>
      <c r="D193" s="5" cm="1">
        <f t="array" ref="D193">INDEX(GMW!$A$2:$LR$60,MATCH(1,(GMW!$LQ$2:$LQ$60=D$3)*(GMW!$LP$2:$LP$60=D$4)*(GMW!$LR$2:$LR$60=D$1),0),$B193-1966)</f>
        <v>5204.3999999999996</v>
      </c>
      <c r="E193" s="5" cm="1">
        <f t="array" ref="E193">INDEX(GMW!$A$2:$LR$60,MATCH(1,(GMW!$LQ$2:$LQ$60=E$3)*(GMW!$LP$2:$LP$60=E$4)*(GMW!$LR$2:$LR$60=E$1),0),$B193-1966)</f>
        <v>139389.70000000001</v>
      </c>
      <c r="F193" s="5" cm="1">
        <f t="array" ref="F193">INDEX(GMW!$A$2:$LR$60,MATCH(1,(GMW!$LQ$2:$LQ$60=F$3)*(GMW!$LP$2:$LP$60=F$4)*(GMW!$LR$2:$LR$60=F$1),0),$B193-1966)</f>
        <v>828.47749999999996</v>
      </c>
      <c r="G193" s="5" cm="1">
        <f t="array" ref="G193">INDEX(GMW!$A$2:$LR$60,MATCH(1,(GMW!$LQ$2:$LQ$60=G$3)*(GMW!$LP$2:$LP$60=G$4)*(GMW!$LR$2:$LR$60=G$1),0),$B193-1966)</f>
        <v>628.72299999999996</v>
      </c>
      <c r="H193" s="5" cm="1">
        <f t="array" ref="H193">INDEX(GMW!$A$2:$LR$60,MATCH(1,(GMW!$LQ$2:$LQ$60=H$3)*(GMW!$LP$2:$LP$60=H$4)*(GMW!$LR$2:$LR$60=H$1),0),$B193-1966)</f>
        <v>433.36599999999999</v>
      </c>
      <c r="I193" s="5" cm="1">
        <f t="array" ref="I193">INDEX(GMW!$A$2:$LR$60,MATCH(1,(GMW!$LQ$2:$LQ$60=I$3)*(GMW!$LP$2:$LP$60=I$4)*(GMW!$LR$2:$LR$60=I$1),0),$B193-1966)</f>
        <v>562233.30000000005</v>
      </c>
    </row>
    <row r="194" spans="1:9" x14ac:dyDescent="0.25">
      <c r="A194" s="5">
        <f t="shared" si="6"/>
        <v>2019</v>
      </c>
      <c r="B194" s="5">
        <f t="shared" si="7"/>
        <v>2160</v>
      </c>
      <c r="C194" s="5" cm="1">
        <f t="array" ref="C194">INDEX(GMW!$A$2:$LR$60,MATCH(1,(GMW!$LQ$2:$LQ$60=C$3)*(GMW!$LP$2:$LP$60=C$4)*(GMW!$LR$2:$LR$60=C$1),0),$B194-1966)</f>
        <v>560861</v>
      </c>
      <c r="D194" s="5" cm="1">
        <f t="array" ref="D194">INDEX(GMW!$A$2:$LR$60,MATCH(1,(GMW!$LQ$2:$LQ$60=D$3)*(GMW!$LP$2:$LP$60=D$4)*(GMW!$LR$2:$LR$60=D$1),0),$B194-1966)</f>
        <v>5237.7749999999996</v>
      </c>
      <c r="E194" s="5" cm="1">
        <f t="array" ref="E194">INDEX(GMW!$A$2:$LR$60,MATCH(1,(GMW!$LQ$2:$LQ$60=E$3)*(GMW!$LP$2:$LP$60=E$4)*(GMW!$LR$2:$LR$60=E$1),0),$B194-1966)</f>
        <v>135434.20000000001</v>
      </c>
      <c r="F194" s="5" cm="1">
        <f t="array" ref="F194">INDEX(GMW!$A$2:$LR$60,MATCH(1,(GMW!$LQ$2:$LQ$60=F$3)*(GMW!$LP$2:$LP$60=F$4)*(GMW!$LR$2:$LR$60=F$1),0),$B194-1966)</f>
        <v>828.47749999999996</v>
      </c>
      <c r="G194" s="5" cm="1">
        <f t="array" ref="G194">INDEX(GMW!$A$2:$LR$60,MATCH(1,(GMW!$LQ$2:$LQ$60=G$3)*(GMW!$LP$2:$LP$60=G$4)*(GMW!$LR$2:$LR$60=G$1),0),$B194-1966)</f>
        <v>625.51300000000003</v>
      </c>
      <c r="H194" s="5" cm="1">
        <f t="array" ref="H194">INDEX(GMW!$A$2:$LR$60,MATCH(1,(GMW!$LQ$2:$LQ$60=H$3)*(GMW!$LP$2:$LP$60=H$4)*(GMW!$LR$2:$LR$60=H$1),0),$B194-1966)</f>
        <v>430.53300000000002</v>
      </c>
      <c r="I194" s="5" cm="1">
        <f t="array" ref="I194">INDEX(GMW!$A$2:$LR$60,MATCH(1,(GMW!$LQ$2:$LQ$60=I$3)*(GMW!$LP$2:$LP$60=I$4)*(GMW!$LR$2:$LR$60=I$1),0),$B194-1966)</f>
        <v>563838.5</v>
      </c>
    </row>
    <row r="195" spans="1:9" x14ac:dyDescent="0.25">
      <c r="A195" s="5">
        <f t="shared" si="6"/>
        <v>2020</v>
      </c>
      <c r="B195" s="5">
        <f t="shared" si="7"/>
        <v>2161</v>
      </c>
      <c r="C195" s="5" cm="1">
        <f t="array" ref="C195">INDEX(GMW!$A$2:$LR$60,MATCH(1,(GMW!$LQ$2:$LQ$60=C$3)*(GMW!$LP$2:$LP$60=C$4)*(GMW!$LR$2:$LR$60=C$1),0),$B195-1966)</f>
        <v>545597</v>
      </c>
      <c r="D195" s="5" cm="1">
        <f t="array" ref="D195">INDEX(GMW!$A$2:$LR$60,MATCH(1,(GMW!$LQ$2:$LQ$60=D$3)*(GMW!$LP$2:$LP$60=D$4)*(GMW!$LR$2:$LR$60=D$1),0),$B195-1966)</f>
        <v>5166.3999999999996</v>
      </c>
      <c r="E195" s="5" cm="1">
        <f t="array" ref="E195">INDEX(GMW!$A$2:$LR$60,MATCH(1,(GMW!$LQ$2:$LQ$60=E$3)*(GMW!$LP$2:$LP$60=E$4)*(GMW!$LR$2:$LR$60=E$1),0),$B195-1966)</f>
        <v>136106.79999999999</v>
      </c>
      <c r="F195" s="5" cm="1">
        <f t="array" ref="F195">INDEX(GMW!$A$2:$LR$60,MATCH(1,(GMW!$LQ$2:$LQ$60=F$3)*(GMW!$LP$2:$LP$60=F$4)*(GMW!$LR$2:$LR$60=F$1),0),$B195-1966)</f>
        <v>809.94320000000005</v>
      </c>
      <c r="G195" s="5" cm="1">
        <f t="array" ref="G195">INDEX(GMW!$A$2:$LR$60,MATCH(1,(GMW!$LQ$2:$LQ$60=G$3)*(GMW!$LP$2:$LP$60=G$4)*(GMW!$LR$2:$LR$60=G$1),0),$B195-1966)</f>
        <v>593.37099999999998</v>
      </c>
      <c r="H195" s="5" cm="1">
        <f t="array" ref="H195">INDEX(GMW!$A$2:$LR$60,MATCH(1,(GMW!$LQ$2:$LQ$60=H$3)*(GMW!$LP$2:$LP$60=H$4)*(GMW!$LR$2:$LR$60=H$1),0),$B195-1966)</f>
        <v>404.54300000000001</v>
      </c>
      <c r="I195" s="5" cm="1">
        <f t="array" ref="I195">INDEX(GMW!$A$2:$LR$60,MATCH(1,(GMW!$LQ$2:$LQ$60=I$3)*(GMW!$LP$2:$LP$60=I$4)*(GMW!$LR$2:$LR$60=I$1),0),$B195-1966)</f>
        <v>552844</v>
      </c>
    </row>
    <row r="196" spans="1:9" x14ac:dyDescent="0.25">
      <c r="A196" s="5">
        <f t="shared" si="6"/>
        <v>2020</v>
      </c>
      <c r="B196" s="5">
        <f t="shared" si="7"/>
        <v>2162</v>
      </c>
      <c r="C196" s="5" cm="1">
        <f t="array" ref="C196">INDEX(GMW!$A$2:$LR$60,MATCH(1,(GMW!$LQ$2:$LQ$60=C$3)*(GMW!$LP$2:$LP$60=C$4)*(GMW!$LR$2:$LR$60=C$1),0),$B196-1966)</f>
        <v>434718</v>
      </c>
      <c r="D196" s="5" cm="1">
        <f t="array" ref="D196">INDEX(GMW!$A$2:$LR$60,MATCH(1,(GMW!$LQ$2:$LQ$60=D$3)*(GMW!$LP$2:$LP$60=D$4)*(GMW!$LR$2:$LR$60=D$1),0),$B196-1966)</f>
        <v>4758.7</v>
      </c>
      <c r="E196" s="5" cm="1">
        <f t="array" ref="E196">INDEX(GMW!$A$2:$LR$60,MATCH(1,(GMW!$LQ$2:$LQ$60=E$3)*(GMW!$LP$2:$LP$60=E$4)*(GMW!$LR$2:$LR$60=E$1),0),$B196-1966)</f>
        <v>125677.2</v>
      </c>
      <c r="F196" s="5" cm="1">
        <f t="array" ref="F196">INDEX(GMW!$A$2:$LR$60,MATCH(1,(GMW!$LQ$2:$LQ$60=F$3)*(GMW!$LP$2:$LP$60=F$4)*(GMW!$LR$2:$LR$60=F$1),0),$B196-1966)</f>
        <v>738.18939999999998</v>
      </c>
      <c r="G196" s="5" cm="1">
        <f t="array" ref="G196">INDEX(GMW!$A$2:$LR$60,MATCH(1,(GMW!$LQ$2:$LQ$60=G$3)*(GMW!$LP$2:$LP$60=G$4)*(GMW!$LR$2:$LR$60=G$1),0),$B196-1966)</f>
        <v>520.03700000000003</v>
      </c>
      <c r="H196" s="5" cm="1">
        <f t="array" ref="H196">INDEX(GMW!$A$2:$LR$60,MATCH(1,(GMW!$LQ$2:$LQ$60=H$3)*(GMW!$LP$2:$LP$60=H$4)*(GMW!$LR$2:$LR$60=H$1),0),$B196-1966)</f>
        <v>356.80200000000002</v>
      </c>
      <c r="I196" s="5" cm="1">
        <f t="array" ref="I196">INDEX(GMW!$A$2:$LR$60,MATCH(1,(GMW!$LQ$2:$LQ$60=I$3)*(GMW!$LP$2:$LP$60=I$4)*(GMW!$LR$2:$LR$60=I$1),0),$B196-1966)</f>
        <v>492031.5</v>
      </c>
    </row>
    <row r="197" spans="1:9" x14ac:dyDescent="0.25">
      <c r="A197" s="5">
        <f t="shared" si="6"/>
        <v>2020</v>
      </c>
      <c r="B197" s="5">
        <f t="shared" si="7"/>
        <v>2163</v>
      </c>
      <c r="C197" s="5" cm="1">
        <f t="array" ref="C197">INDEX(GMW!$A$2:$LR$60,MATCH(1,(GMW!$LQ$2:$LQ$60=C$3)*(GMW!$LP$2:$LP$60=C$4)*(GMW!$LR$2:$LR$60=C$1),0),$B197-1966)</f>
        <v>507643</v>
      </c>
      <c r="D197" s="5" cm="1">
        <f t="array" ref="D197">INDEX(GMW!$A$2:$LR$60,MATCH(1,(GMW!$LQ$2:$LQ$60=D$3)*(GMW!$LP$2:$LP$60=D$4)*(GMW!$LR$2:$LR$60=D$1),0),$B197-1966)</f>
        <v>5127.95</v>
      </c>
      <c r="E197" s="5" cm="1">
        <f t="array" ref="E197">INDEX(GMW!$A$2:$LR$60,MATCH(1,(GMW!$LQ$2:$LQ$60=E$3)*(GMW!$LP$2:$LP$60=E$4)*(GMW!$LR$2:$LR$60=E$1),0),$B197-1966)</f>
        <v>132544.20000000001</v>
      </c>
      <c r="F197" s="5" cm="1">
        <f t="array" ref="F197">INDEX(GMW!$A$2:$LR$60,MATCH(1,(GMW!$LQ$2:$LQ$60=F$3)*(GMW!$LP$2:$LP$60=F$4)*(GMW!$LR$2:$LR$60=F$1),0),$B197-1966)</f>
        <v>802.02890000000002</v>
      </c>
      <c r="G197" s="5" cm="1">
        <f t="array" ref="G197">INDEX(GMW!$A$2:$LR$60,MATCH(1,(GMW!$LQ$2:$LQ$60=G$3)*(GMW!$LP$2:$LP$60=G$4)*(GMW!$LR$2:$LR$60=G$1),0),$B197-1966)</f>
        <v>602.31200000000001</v>
      </c>
      <c r="H197" s="5" cm="1">
        <f t="array" ref="H197">INDEX(GMW!$A$2:$LR$60,MATCH(1,(GMW!$LQ$2:$LQ$60=H$3)*(GMW!$LP$2:$LP$60=H$4)*(GMW!$LR$2:$LR$60=H$1),0),$B197-1966)</f>
        <v>406.44499999999999</v>
      </c>
      <c r="I197" s="5" cm="1">
        <f t="array" ref="I197">INDEX(GMW!$A$2:$LR$60,MATCH(1,(GMW!$LQ$2:$LQ$60=I$3)*(GMW!$LP$2:$LP$60=I$4)*(GMW!$LR$2:$LR$60=I$1),0),$B197-1966)</f>
        <v>536725.30000000005</v>
      </c>
    </row>
    <row r="198" spans="1:9" x14ac:dyDescent="0.25">
      <c r="A198" s="5">
        <f t="shared" si="6"/>
        <v>2020</v>
      </c>
      <c r="B198" s="5">
        <f t="shared" si="7"/>
        <v>2164</v>
      </c>
      <c r="C198" s="5" cm="1">
        <f t="array" ref="C198">INDEX(GMW!$A$2:$LR$60,MATCH(1,(GMW!$LQ$2:$LQ$60=C$3)*(GMW!$LP$2:$LP$60=C$4)*(GMW!$LR$2:$LR$60=C$1),0),$B198-1966)</f>
        <v>514531</v>
      </c>
      <c r="D198" s="5" cm="1">
        <f t="array" ref="D198">INDEX(GMW!$A$2:$LR$60,MATCH(1,(GMW!$LQ$2:$LQ$60=D$3)*(GMW!$LP$2:$LP$60=D$4)*(GMW!$LR$2:$LR$60=D$1),0),$B198-1966)</f>
        <v>5181.0249999999996</v>
      </c>
      <c r="E198" s="5" cm="1">
        <f t="array" ref="E198">INDEX(GMW!$A$2:$LR$60,MATCH(1,(GMW!$LQ$2:$LQ$60=E$3)*(GMW!$LP$2:$LP$60=E$4)*(GMW!$LR$2:$LR$60=E$1),0),$B198-1966)</f>
        <v>134869</v>
      </c>
      <c r="F198" s="5" cm="1">
        <f t="array" ref="F198">INDEX(GMW!$A$2:$LR$60,MATCH(1,(GMW!$LQ$2:$LQ$60=F$3)*(GMW!$LP$2:$LP$60=F$4)*(GMW!$LR$2:$LR$60=F$1),0),$B198-1966)</f>
        <v>811.60889999999995</v>
      </c>
      <c r="G198" s="5" cm="1">
        <f t="array" ref="G198">INDEX(GMW!$A$2:$LR$60,MATCH(1,(GMW!$LQ$2:$LQ$60=G$3)*(GMW!$LP$2:$LP$60=G$4)*(GMW!$LR$2:$LR$60=G$1),0),$B198-1966)</f>
        <v>601.44299999999998</v>
      </c>
      <c r="H198" s="5" cm="1">
        <f t="array" ref="H198">INDEX(GMW!$A$2:$LR$60,MATCH(1,(GMW!$LQ$2:$LQ$60=H$3)*(GMW!$LP$2:$LP$60=H$4)*(GMW!$LR$2:$LR$60=H$1),0),$B198-1966)</f>
        <v>404.44</v>
      </c>
      <c r="I198" s="5" cm="1">
        <f t="array" ref="I198">INDEX(GMW!$A$2:$LR$60,MATCH(1,(GMW!$LQ$2:$LQ$60=I$3)*(GMW!$LP$2:$LP$60=I$4)*(GMW!$LR$2:$LR$60=I$1),0),$B198-1966)</f>
        <v>546807</v>
      </c>
    </row>
    <row r="199" spans="1:9" x14ac:dyDescent="0.25">
      <c r="A199" s="5">
        <f t="shared" si="6"/>
        <v>2021</v>
      </c>
      <c r="B199" s="5">
        <f t="shared" si="7"/>
        <v>2165</v>
      </c>
      <c r="C199" s="5" cm="1">
        <f t="array" ref="C199">INDEX(GMW!$A$2:$LR$60,MATCH(1,(GMW!$LQ$2:$LQ$60=C$3)*(GMW!$LP$2:$LP$60=C$4)*(GMW!$LR$2:$LR$60=C$1),0),$B199-1966)</f>
        <v>509261</v>
      </c>
      <c r="D199" s="5" cm="1">
        <f t="array" ref="D199">INDEX(GMW!$A$2:$LR$60,MATCH(1,(GMW!$LQ$2:$LQ$60=D$3)*(GMW!$LP$2:$LP$60=D$4)*(GMW!$LR$2:$LR$60=D$1),0),$B199-1966)</f>
        <v>5247.625</v>
      </c>
      <c r="E199" s="5" cm="1">
        <f t="array" ref="E199">INDEX(GMW!$A$2:$LR$60,MATCH(1,(GMW!$LQ$2:$LQ$60=E$3)*(GMW!$LP$2:$LP$60=E$4)*(GMW!$LR$2:$LR$60=E$1),0),$B199-1966)</f>
        <v>135270.29999999999</v>
      </c>
      <c r="F199" s="5" cm="1">
        <f t="array" ref="F199">INDEX(GMW!$A$2:$LR$60,MATCH(1,(GMW!$LQ$2:$LQ$60=F$3)*(GMW!$LP$2:$LP$60=F$4)*(GMW!$LR$2:$LR$60=F$1),0),$B199-1966)</f>
        <v>801.62400000000002</v>
      </c>
      <c r="G199" s="5" cm="1">
        <f t="array" ref="G199">INDEX(GMW!$A$2:$LR$60,MATCH(1,(GMW!$LQ$2:$LQ$60=G$3)*(GMW!$LP$2:$LP$60=G$4)*(GMW!$LR$2:$LR$60=G$1),0),$B199-1966)</f>
        <v>603.24599999999998</v>
      </c>
      <c r="H199" s="5" cm="1">
        <f t="array" ref="H199">INDEX(GMW!$A$2:$LR$60,MATCH(1,(GMW!$LQ$2:$LQ$60=H$3)*(GMW!$LP$2:$LP$60=H$4)*(GMW!$LR$2:$LR$60=H$1),0),$B199-1966)</f>
        <v>410.589</v>
      </c>
      <c r="I199" s="5" cm="1">
        <f t="array" ref="I199">INDEX(GMW!$A$2:$LR$60,MATCH(1,(GMW!$LQ$2:$LQ$60=I$3)*(GMW!$LP$2:$LP$60=I$4)*(GMW!$LR$2:$LR$60=I$1),0),$B199-1966)</f>
        <v>554680.30000000005</v>
      </c>
    </row>
    <row r="200" spans="1:9" x14ac:dyDescent="0.25">
      <c r="A200" s="5">
        <f t="shared" si="6"/>
        <v>2021</v>
      </c>
      <c r="B200" s="5">
        <f t="shared" si="7"/>
        <v>2166</v>
      </c>
      <c r="C200" s="5" cm="1">
        <f t="array" ref="C200">INDEX(GMW!$A$2:$LR$60,MATCH(1,(GMW!$LQ$2:$LQ$60=C$3)*(GMW!$LP$2:$LP$60=C$4)*(GMW!$LR$2:$LR$60=C$1),0),$B200-1966)</f>
        <v>546579</v>
      </c>
      <c r="D200" s="5" cm="1">
        <f t="array" ref="D200">INDEX(GMW!$A$2:$LR$60,MATCH(1,(GMW!$LQ$2:$LQ$60=D$3)*(GMW!$LP$2:$LP$60=D$4)*(GMW!$LR$2:$LR$60=D$1),0),$B200-1966)</f>
        <v>5327.375</v>
      </c>
      <c r="E200" s="5" cm="1">
        <f t="array" ref="E200">INDEX(GMW!$A$2:$LR$60,MATCH(1,(GMW!$LQ$2:$LQ$60=E$3)*(GMW!$LP$2:$LP$60=E$4)*(GMW!$LR$2:$LR$60=E$1),0),$B200-1966)</f>
        <v>135939.70000000001</v>
      </c>
      <c r="F200" s="5" cm="1">
        <f t="array" ref="F200">INDEX(GMW!$A$2:$LR$60,MATCH(1,(GMW!$LQ$2:$LQ$60=F$3)*(GMW!$LP$2:$LP$60=F$4)*(GMW!$LR$2:$LR$60=F$1),0),$B200-1966)</f>
        <v>821.66750000000002</v>
      </c>
      <c r="G200" s="5" cm="1">
        <f t="array" ref="G200">INDEX(GMW!$A$2:$LR$60,MATCH(1,(GMW!$LQ$2:$LQ$60=G$3)*(GMW!$LP$2:$LP$60=G$4)*(GMW!$LR$2:$LR$60=G$1),0),$B200-1966)</f>
        <v>611.16</v>
      </c>
      <c r="H200" s="5" cm="1">
        <f t="array" ref="H200">INDEX(GMW!$A$2:$LR$60,MATCH(1,(GMW!$LQ$2:$LQ$60=H$3)*(GMW!$LP$2:$LP$60=H$4)*(GMW!$LR$2:$LR$60=H$1),0),$B200-1966)</f>
        <v>421.44200000000001</v>
      </c>
      <c r="I200" s="5" cm="1">
        <f t="array" ref="I200">INDEX(GMW!$A$2:$LR$60,MATCH(1,(GMW!$LQ$2:$LQ$60=I$3)*(GMW!$LP$2:$LP$60=I$4)*(GMW!$LR$2:$LR$60=I$1),0),$B200-1966)</f>
        <v>552950.5</v>
      </c>
    </row>
    <row r="201" spans="1:9" x14ac:dyDescent="0.25">
      <c r="A201" s="5">
        <f t="shared" si="6"/>
        <v>2021</v>
      </c>
      <c r="B201" s="5">
        <f t="shared" si="7"/>
        <v>2167</v>
      </c>
      <c r="C201" s="5" cm="1">
        <f t="array" ref="C201">INDEX(GMW!$A$2:$LR$60,MATCH(1,(GMW!$LQ$2:$LQ$60=C$3)*(GMW!$LP$2:$LP$60=C$4)*(GMW!$LR$2:$LR$60=C$1),0),$B201-1966)</f>
        <v>555956</v>
      </c>
      <c r="D201" s="5" cm="1">
        <f t="array" ref="D201">INDEX(GMW!$A$2:$LR$60,MATCH(1,(GMW!$LQ$2:$LQ$60=D$3)*(GMW!$LP$2:$LP$60=D$4)*(GMW!$LR$2:$LR$60=D$1),0),$B201-1966)</f>
        <v>5370.7749999999996</v>
      </c>
      <c r="E201" s="5" cm="1">
        <f t="array" ref="E201">INDEX(GMW!$A$2:$LR$60,MATCH(1,(GMW!$LQ$2:$LQ$60=E$3)*(GMW!$LP$2:$LP$60=E$4)*(GMW!$LR$2:$LR$60=E$1),0),$B201-1966)</f>
        <v>135503.70000000001</v>
      </c>
      <c r="F201" s="5" cm="1">
        <f t="array" ref="F201">INDEX(GMW!$A$2:$LR$60,MATCH(1,(GMW!$LQ$2:$LQ$60=F$3)*(GMW!$LP$2:$LP$60=F$4)*(GMW!$LR$2:$LR$60=F$1),0),$B201-1966)</f>
        <v>822.77189999999996</v>
      </c>
      <c r="G201" s="5" cm="1">
        <f t="array" ref="G201">INDEX(GMW!$A$2:$LR$60,MATCH(1,(GMW!$LQ$2:$LQ$60=G$3)*(GMW!$LP$2:$LP$60=G$4)*(GMW!$LR$2:$LR$60=G$1),0),$B201-1966)</f>
        <v>628.61500000000001</v>
      </c>
      <c r="H201" s="5" cm="1">
        <f t="array" ref="H201">INDEX(GMW!$A$2:$LR$60,MATCH(1,(GMW!$LQ$2:$LQ$60=H$3)*(GMW!$LP$2:$LP$60=H$4)*(GMW!$LR$2:$LR$60=H$1),0),$B201-1966)</f>
        <v>433.39400000000001</v>
      </c>
      <c r="I201" s="5" cm="1">
        <f t="array" ref="I201">INDEX(GMW!$A$2:$LR$60,MATCH(1,(GMW!$LQ$2:$LQ$60=I$3)*(GMW!$LP$2:$LP$60=I$4)*(GMW!$LR$2:$LR$60=I$1),0),$B201-1966)</f>
        <v>562240.80000000005</v>
      </c>
    </row>
    <row r="202" spans="1:9" x14ac:dyDescent="0.25">
      <c r="A202" s="5">
        <f t="shared" si="6"/>
        <v>2021</v>
      </c>
      <c r="B202" s="5">
        <f t="shared" si="7"/>
        <v>2168</v>
      </c>
      <c r="C202" s="5" cm="1">
        <f t="array" ref="C202">INDEX(GMW!$A$2:$LR$60,MATCH(1,(GMW!$LQ$2:$LQ$60=C$3)*(GMW!$LP$2:$LP$60=C$4)*(GMW!$LR$2:$LR$60=C$1),0),$B202-1966)</f>
        <v>564407</v>
      </c>
      <c r="D202" s="5" cm="1">
        <f t="array" ref="D202">INDEX(GMW!$A$2:$LR$60,MATCH(1,(GMW!$LQ$2:$LQ$60=D$3)*(GMW!$LP$2:$LP$60=D$4)*(GMW!$LR$2:$LR$60=D$1),0),$B202-1966)</f>
        <v>5461.9</v>
      </c>
      <c r="E202" s="5" cm="1">
        <f t="array" ref="E202">INDEX(GMW!$A$2:$LR$60,MATCH(1,(GMW!$LQ$2:$LQ$60=E$3)*(GMW!$LP$2:$LP$60=E$4)*(GMW!$LR$2:$LR$60=E$1),0),$B202-1966)</f>
        <v>137154.79999999999</v>
      </c>
      <c r="F202" s="5" cm="1">
        <f t="array" ref="F202">INDEX(GMW!$A$2:$LR$60,MATCH(1,(GMW!$LQ$2:$LQ$60=F$3)*(GMW!$LP$2:$LP$60=F$4)*(GMW!$LR$2:$LR$60=F$1),0),$B202-1966)</f>
        <v>827.68619999999999</v>
      </c>
      <c r="G202" s="5" cm="1">
        <f t="array" ref="G202">INDEX(GMW!$A$2:$LR$60,MATCH(1,(GMW!$LQ$2:$LQ$60=G$3)*(GMW!$LP$2:$LP$60=G$4)*(GMW!$LR$2:$LR$60=G$1),0),$B202-1966)</f>
        <v>632.37900000000002</v>
      </c>
      <c r="H202" s="5" cm="1">
        <f t="array" ref="H202">INDEX(GMW!$A$2:$LR$60,MATCH(1,(GMW!$LQ$2:$LQ$60=H$3)*(GMW!$LP$2:$LP$60=H$4)*(GMW!$LR$2:$LR$60=H$1),0),$B202-1966)</f>
        <v>436.959</v>
      </c>
      <c r="I202" s="5" cm="1">
        <f t="array" ref="I202">INDEX(GMW!$A$2:$LR$60,MATCH(1,(GMW!$LQ$2:$LQ$60=I$3)*(GMW!$LP$2:$LP$60=I$4)*(GMW!$LR$2:$LR$60=I$1),0),$B202-1966)</f>
        <v>571064.30000000005</v>
      </c>
    </row>
    <row r="203" spans="1:9" x14ac:dyDescent="0.25">
      <c r="A203" s="5">
        <f t="shared" si="6"/>
        <v>2022</v>
      </c>
      <c r="B203" s="5">
        <f t="shared" si="7"/>
        <v>2169</v>
      </c>
      <c r="C203" s="5" cm="1">
        <f t="array" ref="C203">INDEX(GMW!$A$2:$LR$60,MATCH(1,(GMW!$LQ$2:$LQ$60=C$3)*(GMW!$LP$2:$LP$60=C$4)*(GMW!$LR$2:$LR$60=C$1),0),$B203-1966)</f>
        <v>567396</v>
      </c>
      <c r="D203" s="5" cm="1">
        <f t="array" ref="D203">INDEX(GMW!$A$2:$LR$60,MATCH(1,(GMW!$LQ$2:$LQ$60=D$3)*(GMW!$LP$2:$LP$60=D$4)*(GMW!$LR$2:$LR$60=D$1),0),$B203-1966)</f>
        <v>5434.7250000000004</v>
      </c>
      <c r="E203" s="5" cm="1">
        <f t="array" ref="E203">INDEX(GMW!$A$2:$LR$60,MATCH(1,(GMW!$LQ$2:$LQ$60=E$3)*(GMW!$LP$2:$LP$60=E$4)*(GMW!$LR$2:$LR$60=E$1),0),$B203-1966)</f>
        <v>136389.6</v>
      </c>
      <c r="F203" s="5" cm="1">
        <f t="array" ref="F203">INDEX(GMW!$A$2:$LR$60,MATCH(1,(GMW!$LQ$2:$LQ$60=F$3)*(GMW!$LP$2:$LP$60=F$4)*(GMW!$LR$2:$LR$60=F$1),0),$B203-1966)</f>
        <v>831.17399999999998</v>
      </c>
      <c r="G203" s="5" cm="1">
        <f t="array" ref="G203">INDEX(GMW!$A$2:$LR$60,MATCH(1,(GMW!$LQ$2:$LQ$60=G$3)*(GMW!$LP$2:$LP$60=G$4)*(GMW!$LR$2:$LR$60=G$1),0),$B203-1966)</f>
        <v>631.47900000000004</v>
      </c>
      <c r="H203" s="5" cm="1">
        <f t="array" ref="H203">INDEX(GMW!$A$2:$LR$60,MATCH(1,(GMW!$LQ$2:$LQ$60=H$3)*(GMW!$LP$2:$LP$60=H$4)*(GMW!$LR$2:$LR$60=H$1),0),$B203-1966)</f>
        <v>437.82799999999997</v>
      </c>
      <c r="I203" s="5" cm="1">
        <f t="array" ref="I203">INDEX(GMW!$A$2:$LR$60,MATCH(1,(GMW!$LQ$2:$LQ$60=I$3)*(GMW!$LP$2:$LP$60=I$4)*(GMW!$LR$2:$LR$60=I$1),0),$B203-1966)</f>
        <v>576553.80000000005</v>
      </c>
    </row>
    <row r="204" spans="1:9" x14ac:dyDescent="0.25">
      <c r="A204" s="5">
        <f t="shared" ref="A204:A267" si="8">+A200+1</f>
        <v>2022</v>
      </c>
      <c r="B204" s="5">
        <f t="shared" si="7"/>
        <v>2170</v>
      </c>
      <c r="C204" s="5" cm="1">
        <f t="array" ref="C204">INDEX(GMW!$A$2:$LR$60,MATCH(1,(GMW!$LQ$2:$LQ$60=C$3)*(GMW!$LP$2:$LP$60=C$4)*(GMW!$LR$2:$LR$60=C$1),0),$B204-1966)</f>
        <v>567889</v>
      </c>
      <c r="D204" s="5" cm="1">
        <f t="array" ref="D204">INDEX(GMW!$A$2:$LR$60,MATCH(1,(GMW!$LQ$2:$LQ$60=D$3)*(GMW!$LP$2:$LP$60=D$4)*(GMW!$LR$2:$LR$60=D$1),0),$B204-1966)</f>
        <v>5427.05</v>
      </c>
      <c r="E204" s="5" cm="1">
        <f t="array" ref="E204">INDEX(GMW!$A$2:$LR$60,MATCH(1,(GMW!$LQ$2:$LQ$60=E$3)*(GMW!$LP$2:$LP$60=E$4)*(GMW!$LR$2:$LR$60=E$1),0),$B204-1966)</f>
        <v>137987</v>
      </c>
      <c r="F204" s="5" cm="1">
        <f t="array" ref="F204">INDEX(GMW!$A$2:$LR$60,MATCH(1,(GMW!$LQ$2:$LQ$60=F$3)*(GMW!$LP$2:$LP$60=F$4)*(GMW!$LR$2:$LR$60=F$1),0),$B204-1966)</f>
        <v>831.09109999999998</v>
      </c>
      <c r="G204" s="5" cm="1">
        <f t="array" ref="G204">INDEX(GMW!$A$2:$LR$60,MATCH(1,(GMW!$LQ$2:$LQ$60=G$3)*(GMW!$LP$2:$LP$60=G$4)*(GMW!$LR$2:$LR$60=G$1),0),$B204-1966)</f>
        <v>633.86199999999997</v>
      </c>
      <c r="H204" s="5" cm="1">
        <f t="array" ref="H204">INDEX(GMW!$A$2:$LR$60,MATCH(1,(GMW!$LQ$2:$LQ$60=H$3)*(GMW!$LP$2:$LP$60=H$4)*(GMW!$LR$2:$LR$60=H$1),0),$B204-1966)</f>
        <v>443.952</v>
      </c>
      <c r="I204" s="5" cm="1">
        <f t="array" ref="I204">INDEX(GMW!$A$2:$LR$60,MATCH(1,(GMW!$LQ$2:$LQ$60=I$3)*(GMW!$LP$2:$LP$60=I$4)*(GMW!$LR$2:$LR$60=I$1),0),$B204-1966)</f>
        <v>581970.30000000005</v>
      </c>
    </row>
    <row r="205" spans="1:9" x14ac:dyDescent="0.25">
      <c r="A205" s="5">
        <f t="shared" si="8"/>
        <v>2022</v>
      </c>
      <c r="B205" s="5">
        <f t="shared" si="7"/>
        <v>2171</v>
      </c>
      <c r="C205" s="5" cm="1">
        <f t="array" ref="C205">INDEX(GMW!$A$2:$LR$60,MATCH(1,(GMW!$LQ$2:$LQ$60=C$3)*(GMW!$LP$2:$LP$60=C$4)*(GMW!$LR$2:$LR$60=C$1),0),$B205-1966)</f>
        <v>567445</v>
      </c>
      <c r="D205" s="5" cm="1">
        <f t="array" ref="D205">INDEX(GMW!$A$2:$LR$60,MATCH(1,(GMW!$LQ$2:$LQ$60=D$3)*(GMW!$LP$2:$LP$60=D$4)*(GMW!$LR$2:$LR$60=D$1),0),$B205-1966)</f>
        <v>5462.7749999999996</v>
      </c>
      <c r="E205" s="5" cm="1">
        <f t="array" ref="E205">INDEX(GMW!$A$2:$LR$60,MATCH(1,(GMW!$LQ$2:$LQ$60=E$3)*(GMW!$LP$2:$LP$60=E$4)*(GMW!$LR$2:$LR$60=E$1),0),$B205-1966)</f>
        <v>137723.29999999999</v>
      </c>
      <c r="F205" s="5" cm="1">
        <f t="array" ref="F205">INDEX(GMW!$A$2:$LR$60,MATCH(1,(GMW!$LQ$2:$LQ$60=F$3)*(GMW!$LP$2:$LP$60=F$4)*(GMW!$LR$2:$LR$60=F$1),0),$B205-1966)</f>
        <v>836.40110000000004</v>
      </c>
      <c r="G205" s="5" cm="1">
        <f t="array" ref="G205">INDEX(GMW!$A$2:$LR$60,MATCH(1,(GMW!$LQ$2:$LQ$60=G$3)*(GMW!$LP$2:$LP$60=G$4)*(GMW!$LR$2:$LR$60=G$1),0),$B205-1966)</f>
        <v>637.26499999999999</v>
      </c>
      <c r="H205" s="5" cm="1">
        <f t="array" ref="H205">INDEX(GMW!$A$2:$LR$60,MATCH(1,(GMW!$LQ$2:$LQ$60=H$3)*(GMW!$LP$2:$LP$60=H$4)*(GMW!$LR$2:$LR$60=H$1),0),$B205-1966)</f>
        <v>445.70800000000003</v>
      </c>
      <c r="I205" s="5" cm="1">
        <f t="array" ref="I205">INDEX(GMW!$A$2:$LR$60,MATCH(1,(GMW!$LQ$2:$LQ$60=I$3)*(GMW!$LP$2:$LP$60=I$4)*(GMW!$LR$2:$LR$60=I$1),0),$B205-1966)</f>
        <v>584635.80000000005</v>
      </c>
    </row>
    <row r="206" spans="1:9" x14ac:dyDescent="0.25">
      <c r="A206" s="5">
        <f t="shared" si="8"/>
        <v>2022</v>
      </c>
      <c r="B206" s="5">
        <f t="shared" si="7"/>
        <v>2172</v>
      </c>
      <c r="C206" s="5" cm="1">
        <f t="array" ref="C206">INDEX(GMW!$A$2:$LR$60,MATCH(1,(GMW!$LQ$2:$LQ$60=C$3)*(GMW!$LP$2:$LP$60=C$4)*(GMW!$LR$2:$LR$60=C$1),0),$B206-1966)</f>
        <v>568034</v>
      </c>
      <c r="D206" s="5" cm="1">
        <f t="array" ref="D206">INDEX(GMW!$A$2:$LR$60,MATCH(1,(GMW!$LQ$2:$LQ$60=D$3)*(GMW!$LP$2:$LP$60=D$4)*(GMW!$LR$2:$LR$60=D$1),0),$B206-1966)</f>
        <v>5497.5</v>
      </c>
      <c r="E206" s="5" cm="1">
        <f t="array" ref="E206">INDEX(GMW!$A$2:$LR$60,MATCH(1,(GMW!$LQ$2:$LQ$60=E$3)*(GMW!$LP$2:$LP$60=E$4)*(GMW!$LR$2:$LR$60=E$1),0),$B206-1966)</f>
        <v>138225.79999999999</v>
      </c>
      <c r="F206" s="5" cm="1">
        <f t="array" ref="F206">INDEX(GMW!$A$2:$LR$60,MATCH(1,(GMW!$LQ$2:$LQ$60=F$3)*(GMW!$LP$2:$LP$60=F$4)*(GMW!$LR$2:$LR$60=F$1),0),$B206-1966)</f>
        <v>831.96540000000005</v>
      </c>
      <c r="G206" s="5" cm="1">
        <f t="array" ref="G206">INDEX(GMW!$A$2:$LR$60,MATCH(1,(GMW!$LQ$2:$LQ$60=G$3)*(GMW!$LP$2:$LP$60=G$4)*(GMW!$LR$2:$LR$60=G$1),0),$B206-1966)</f>
        <v>637.61699999999996</v>
      </c>
      <c r="H206" s="5" cm="1">
        <f t="array" ref="H206">INDEX(GMW!$A$2:$LR$60,MATCH(1,(GMW!$LQ$2:$LQ$60=H$3)*(GMW!$LP$2:$LP$60=H$4)*(GMW!$LR$2:$LR$60=H$1),0),$B206-1966)</f>
        <v>445.464</v>
      </c>
      <c r="I206" s="5" cm="1">
        <f t="array" ref="I206">INDEX(GMW!$A$2:$LR$60,MATCH(1,(GMW!$LQ$2:$LQ$60=I$3)*(GMW!$LP$2:$LP$60=I$4)*(GMW!$LR$2:$LR$60=I$1),0),$B206-1966)</f>
        <v>583376.80000000005</v>
      </c>
    </row>
    <row r="207" spans="1:9" x14ac:dyDescent="0.25">
      <c r="A207" s="5">
        <f t="shared" si="8"/>
        <v>2023</v>
      </c>
      <c r="B207" s="5">
        <f t="shared" si="7"/>
        <v>2173</v>
      </c>
      <c r="C207" s="5" cm="1">
        <f t="array" ref="C207">INDEX(GMW!$A$2:$LR$60,MATCH(1,(GMW!$LQ$2:$LQ$60=C$3)*(GMW!$LP$2:$LP$60=C$4)*(GMW!$LR$2:$LR$60=C$1),0),$B207-1966)</f>
        <v>569027</v>
      </c>
      <c r="D207" s="5" cm="1">
        <f t="array" ref="D207">INDEX(GMW!$A$2:$LR$60,MATCH(1,(GMW!$LQ$2:$LQ$60=D$3)*(GMW!$LP$2:$LP$60=D$4)*(GMW!$LR$2:$LR$60=D$1),0),$B207-1966)</f>
        <v>5528.0749999999998</v>
      </c>
      <c r="E207" s="5" cm="1">
        <f t="array" ref="E207">INDEX(GMW!$A$2:$LR$60,MATCH(1,(GMW!$LQ$2:$LQ$60=E$3)*(GMW!$LP$2:$LP$60=E$4)*(GMW!$LR$2:$LR$60=E$1),0),$B207-1966)</f>
        <v>139817.70000000001</v>
      </c>
      <c r="F207" s="5" cm="1">
        <f t="array" ref="F207">INDEX(GMW!$A$2:$LR$60,MATCH(1,(GMW!$LQ$2:$LQ$60=F$3)*(GMW!$LP$2:$LP$60=F$4)*(GMW!$LR$2:$LR$60=F$1),0),$B207-1966)</f>
        <v>832.99609999999996</v>
      </c>
      <c r="G207" s="5" cm="1">
        <f t="array" ref="G207">INDEX(GMW!$A$2:$LR$60,MATCH(1,(GMW!$LQ$2:$LQ$60=G$3)*(GMW!$LP$2:$LP$60=G$4)*(GMW!$LR$2:$LR$60=G$1),0),$B207-1966)</f>
        <v>638.04499999999996</v>
      </c>
      <c r="H207" s="5" cm="1">
        <f t="array" ref="H207">INDEX(GMW!$A$2:$LR$60,MATCH(1,(GMW!$LQ$2:$LQ$60=H$3)*(GMW!$LP$2:$LP$60=H$4)*(GMW!$LR$2:$LR$60=H$1),0),$B207-1966)</f>
        <v>447.40300000000002</v>
      </c>
      <c r="I207" s="5" cm="1">
        <f t="array" ref="I207">INDEX(GMW!$A$2:$LR$60,MATCH(1,(GMW!$LQ$2:$LQ$60=I$3)*(GMW!$LP$2:$LP$60=I$4)*(GMW!$LR$2:$LR$60=I$1),0),$B207-1966)</f>
        <v>588322.80000000005</v>
      </c>
    </row>
    <row r="208" spans="1:9" x14ac:dyDescent="0.25">
      <c r="A208" s="5">
        <f t="shared" si="8"/>
        <v>2023</v>
      </c>
      <c r="B208" s="5">
        <f t="shared" si="7"/>
        <v>2174</v>
      </c>
      <c r="C208" s="5" cm="1">
        <f t="array" ref="C208">INDEX(GMW!$A$2:$LR$60,MATCH(1,(GMW!$LQ$2:$LQ$60=C$3)*(GMW!$LP$2:$LP$60=C$4)*(GMW!$LR$2:$LR$60=C$1),0),$B208-1966)</f>
        <v>569076</v>
      </c>
      <c r="D208" s="5" cm="1">
        <f t="array" ref="D208">INDEX(GMW!$A$2:$LR$60,MATCH(1,(GMW!$LQ$2:$LQ$60=D$3)*(GMW!$LP$2:$LP$60=D$4)*(GMW!$LR$2:$LR$60=D$1),0),$B208-1966)</f>
        <v>5556.35</v>
      </c>
      <c r="E208" s="5" cm="1">
        <f t="array" ref="E208">INDEX(GMW!$A$2:$LR$60,MATCH(1,(GMW!$LQ$2:$LQ$60=E$3)*(GMW!$LP$2:$LP$60=E$4)*(GMW!$LR$2:$LR$60=E$1),0),$B208-1966)</f>
        <v>141101.6</v>
      </c>
      <c r="F208" s="5" cm="1">
        <f t="array" ref="F208">INDEX(GMW!$A$2:$LR$60,MATCH(1,(GMW!$LQ$2:$LQ$60=F$3)*(GMW!$LP$2:$LP$60=F$4)*(GMW!$LR$2:$LR$60=F$1),0),$B208-1966)</f>
        <v>831.80899999999997</v>
      </c>
      <c r="G208" s="5" cm="1">
        <f t="array" ref="G208">INDEX(GMW!$A$2:$LR$60,MATCH(1,(GMW!$LQ$2:$LQ$60=G$3)*(GMW!$LP$2:$LP$60=G$4)*(GMW!$LR$2:$LR$60=G$1),0),$B208-1966)</f>
        <v>642.14300000000003</v>
      </c>
      <c r="H208" s="5" cm="1">
        <f t="array" ref="H208">INDEX(GMW!$A$2:$LR$60,MATCH(1,(GMW!$LQ$2:$LQ$60=H$3)*(GMW!$LP$2:$LP$60=H$4)*(GMW!$LR$2:$LR$60=H$1),0),$B208-1966)</f>
        <v>446.714</v>
      </c>
      <c r="I208" s="5" cm="1">
        <f t="array" ref="I208">INDEX(GMW!$A$2:$LR$60,MATCH(1,(GMW!$LQ$2:$LQ$60=I$3)*(GMW!$LP$2:$LP$60=I$4)*(GMW!$LR$2:$LR$60=I$1),0),$B208-1966)</f>
        <v>589342.5</v>
      </c>
    </row>
    <row r="209" spans="1:9" x14ac:dyDescent="0.25">
      <c r="A209" s="5">
        <f t="shared" si="8"/>
        <v>2023</v>
      </c>
      <c r="B209" s="5">
        <f t="shared" si="7"/>
        <v>2175</v>
      </c>
      <c r="C209" s="5" cm="1">
        <f t="array" ref="C209">INDEX(GMW!$A$2:$LR$60,MATCH(1,(GMW!$LQ$2:$LQ$60=C$3)*(GMW!$LP$2:$LP$60=C$4)*(GMW!$LR$2:$LR$60=C$1),0),$B209-1966)</f>
        <v>568397</v>
      </c>
      <c r="D209" s="5" cm="1">
        <f t="array" ref="D209">INDEX(GMW!$A$2:$LR$60,MATCH(1,(GMW!$LQ$2:$LQ$60=D$3)*(GMW!$LP$2:$LP$60=D$4)*(GMW!$LR$2:$LR$60=D$1),0),$B209-1966)</f>
        <v>5622.6750000000002</v>
      </c>
      <c r="E209" s="5" cm="1">
        <f t="array" ref="E209">INDEX(GMW!$A$2:$LR$60,MATCH(1,(GMW!$LQ$2:$LQ$60=E$3)*(GMW!$LP$2:$LP$60=E$4)*(GMW!$LR$2:$LR$60=E$1),0),$B209-1966)</f>
        <v>139669.1</v>
      </c>
      <c r="F209" s="5" cm="1">
        <f t="array" ref="F209">INDEX(GMW!$A$2:$LR$60,MATCH(1,(GMW!$LQ$2:$LQ$60=F$3)*(GMW!$LP$2:$LP$60=F$4)*(GMW!$LR$2:$LR$60=F$1),0),$B209-1966)</f>
        <v>833.54830000000004</v>
      </c>
      <c r="G209" s="5" cm="1">
        <f t="array" ref="G209">INDEX(GMW!$A$2:$LR$60,MATCH(1,(GMW!$LQ$2:$LQ$60=G$3)*(GMW!$LP$2:$LP$60=G$4)*(GMW!$LR$2:$LR$60=G$1),0),$B209-1966)</f>
        <v>642.85500000000002</v>
      </c>
      <c r="H209" s="5" cm="1">
        <f t="array" ref="H209">INDEX(GMW!$A$2:$LR$60,MATCH(1,(GMW!$LQ$2:$LQ$60=H$3)*(GMW!$LP$2:$LP$60=H$4)*(GMW!$LR$2:$LR$60=H$1),0),$B209-1966)</f>
        <v>448.20699999999999</v>
      </c>
      <c r="I209" s="5" cm="1">
        <f t="array" ref="I209">INDEX(GMW!$A$2:$LR$60,MATCH(1,(GMW!$LQ$2:$LQ$60=I$3)*(GMW!$LP$2:$LP$60=I$4)*(GMW!$LR$2:$LR$60=I$1),0),$B209-1966)</f>
        <v>588909.5</v>
      </c>
    </row>
    <row r="210" spans="1:9" x14ac:dyDescent="0.25">
      <c r="A210" s="5">
        <f t="shared" si="8"/>
        <v>2023</v>
      </c>
      <c r="B210" s="5">
        <f t="shared" si="7"/>
        <v>2176</v>
      </c>
      <c r="C210" s="5" cm="1">
        <f t="array" ref="C210">INDEX(GMW!$A$2:$LR$60,MATCH(1,(GMW!$LQ$2:$LQ$60=C$3)*(GMW!$LP$2:$LP$60=C$4)*(GMW!$LR$2:$LR$60=C$1),0),$B210-1966)</f>
        <v>566626</v>
      </c>
      <c r="D210" s="5" cm="1">
        <f t="array" ref="D210">INDEX(GMW!$A$2:$LR$60,MATCH(1,(GMW!$LQ$2:$LQ$60=D$3)*(GMW!$LP$2:$LP$60=D$4)*(GMW!$LR$2:$LR$60=D$1),0),$B210-1966)</f>
        <v>5669.8249999999998</v>
      </c>
      <c r="E210" s="5" cm="1">
        <f t="array" ref="E210">INDEX(GMW!$A$2:$LR$60,MATCH(1,(GMW!$LQ$2:$LQ$60=E$3)*(GMW!$LP$2:$LP$60=E$4)*(GMW!$LR$2:$LR$60=E$1),0),$B210-1966)</f>
        <v>139690.20000000001</v>
      </c>
      <c r="F210" s="5" cm="1">
        <f t="array" ref="F210">INDEX(GMW!$A$2:$LR$60,MATCH(1,(GMW!$LQ$2:$LQ$60=F$3)*(GMW!$LP$2:$LP$60=F$4)*(GMW!$LR$2:$LR$60=F$1),0),$B210-1966)</f>
        <v>830.29970000000003</v>
      </c>
      <c r="G210" s="5" cm="1">
        <f t="array" ref="G210">INDEX(GMW!$A$2:$LR$60,MATCH(1,(GMW!$LQ$2:$LQ$60=G$3)*(GMW!$LP$2:$LP$60=G$4)*(GMW!$LR$2:$LR$60=G$1),0),$B210-1966)</f>
        <v>645.63199999999995</v>
      </c>
      <c r="H210" s="5" cm="1">
        <f t="array" ref="H210">INDEX(GMW!$A$2:$LR$60,MATCH(1,(GMW!$LQ$2:$LQ$60=H$3)*(GMW!$LP$2:$LP$60=H$4)*(GMW!$LR$2:$LR$60=H$1),0),$B210-1966)</f>
        <v>448.66300000000001</v>
      </c>
      <c r="I210" s="5" cm="1">
        <f t="array" ref="I210">INDEX(GMW!$A$2:$LR$60,MATCH(1,(GMW!$LQ$2:$LQ$60=I$3)*(GMW!$LP$2:$LP$60=I$4)*(GMW!$LR$2:$LR$60=I$1),0),$B210-1966)</f>
        <v>589018.5</v>
      </c>
    </row>
    <row r="211" spans="1:9" x14ac:dyDescent="0.25">
      <c r="A211" s="5">
        <f t="shared" si="8"/>
        <v>2024</v>
      </c>
      <c r="B211" s="5">
        <f t="shared" si="7"/>
        <v>2177</v>
      </c>
      <c r="C211" s="5" cm="1">
        <f t="array" ref="C211">INDEX(GMW!$A$2:$LR$60,MATCH(1,(GMW!$LQ$2:$LQ$60=C$3)*(GMW!$LP$2:$LP$60=C$4)*(GMW!$LR$2:$LR$60=C$1),0),$B211-1966)</f>
        <v>570694</v>
      </c>
      <c r="D211" s="5" cm="1">
        <f t="array" ref="D211">INDEX(GMW!$A$2:$LR$60,MATCH(1,(GMW!$LQ$2:$LQ$60=D$3)*(GMW!$LP$2:$LP$60=D$4)*(GMW!$LR$2:$LR$60=D$1),0),$B211-1966)</f>
        <v>5689.7</v>
      </c>
      <c r="E211" s="5" cm="1">
        <f t="array" ref="E211">INDEX(GMW!$A$2:$LR$60,MATCH(1,(GMW!$LQ$2:$LQ$60=E$3)*(GMW!$LP$2:$LP$60=E$4)*(GMW!$LR$2:$LR$60=E$1),0),$B211-1966)</f>
        <v>138682</v>
      </c>
      <c r="F211" s="5" cm="1">
        <f t="array" ref="F211">INDEX(GMW!$A$2:$LR$60,MATCH(1,(GMW!$LQ$2:$LQ$60=F$3)*(GMW!$LP$2:$LP$60=F$4)*(GMW!$LR$2:$LR$60=F$1),0),$B211-1966)</f>
        <v>831.96540000000005</v>
      </c>
      <c r="G211" s="5" cm="1">
        <f t="array" ref="G211">INDEX(GMW!$A$2:$LR$60,MATCH(1,(GMW!$LQ$2:$LQ$60=G$3)*(GMW!$LP$2:$LP$60=G$4)*(GMW!$LR$2:$LR$60=G$1),0),$B211-1966)</f>
        <v>647.36900000000003</v>
      </c>
      <c r="H211" s="5" cm="1">
        <f t="array" ref="H211">INDEX(GMW!$A$2:$LR$60,MATCH(1,(GMW!$LQ$2:$LQ$60=H$3)*(GMW!$LP$2:$LP$60=H$4)*(GMW!$LR$2:$LR$60=H$1),0),$B211-1966)</f>
        <v>450.16500000000002</v>
      </c>
      <c r="I211" s="5" cm="1">
        <f t="array" ref="I211">INDEX(GMW!$A$2:$LR$60,MATCH(1,(GMW!$LQ$2:$LQ$60=I$3)*(GMW!$LP$2:$LP$60=I$4)*(GMW!$LR$2:$LR$60=I$1),0),$B211-1966)</f>
        <v>591452.80000000005</v>
      </c>
    </row>
    <row r="212" spans="1:9" x14ac:dyDescent="0.25">
      <c r="A212" s="5">
        <f t="shared" si="8"/>
        <v>2024</v>
      </c>
      <c r="B212" s="5">
        <f t="shared" si="7"/>
        <v>2178</v>
      </c>
      <c r="C212" s="5" cm="1">
        <f t="array" ref="C212">INDEX(GMW!$A$2:$LR$60,MATCH(1,(GMW!$LQ$2:$LQ$60=C$3)*(GMW!$LP$2:$LP$60=C$4)*(GMW!$LR$2:$LR$60=C$1),0),$B212-1966)</f>
        <v>573830.80000000005</v>
      </c>
      <c r="D212" s="5" cm="1">
        <f t="array" ref="D212">INDEX(GMW!$A$2:$LR$60,MATCH(1,(GMW!$LQ$2:$LQ$60=D$3)*(GMW!$LP$2:$LP$60=D$4)*(GMW!$LR$2:$LR$60=D$1),0),$B212-1966)</f>
        <v>5729.6750000000002</v>
      </c>
      <c r="E212" s="5" cm="1">
        <f t="array" ref="E212">INDEX(GMW!$A$2:$LR$60,MATCH(1,(GMW!$LQ$2:$LQ$60=E$3)*(GMW!$LP$2:$LP$60=E$4)*(GMW!$LR$2:$LR$60=E$1),0),$B212-1966)</f>
        <v>139695</v>
      </c>
      <c r="F212" s="5" cm="1">
        <f t="array" ref="F212">INDEX(GMW!$A$2:$LR$60,MATCH(1,(GMW!$LQ$2:$LQ$60=F$3)*(GMW!$LP$2:$LP$60=F$4)*(GMW!$LR$2:$LR$60=F$1),0),$B212-1966)</f>
        <v>831.33040000000005</v>
      </c>
      <c r="G212" s="5" cm="1">
        <f t="array" ref="G212">INDEX(GMW!$A$2:$LR$60,MATCH(1,(GMW!$LQ$2:$LQ$60=G$3)*(GMW!$LP$2:$LP$60=G$4)*(GMW!$LR$2:$LR$60=G$1),0),$B212-1966)</f>
        <v>649.18399999999997</v>
      </c>
      <c r="H212" s="5" cm="1">
        <f t="array" ref="H212">INDEX(GMW!$A$2:$LR$60,MATCH(1,(GMW!$LQ$2:$LQ$60=H$3)*(GMW!$LP$2:$LP$60=H$4)*(GMW!$LR$2:$LR$60=H$1),0),$B212-1966)</f>
        <v>450.90699999999998</v>
      </c>
      <c r="I212" s="5" cm="1">
        <f t="array" ref="I212">INDEX(GMW!$A$2:$LR$60,MATCH(1,(GMW!$LQ$2:$LQ$60=I$3)*(GMW!$LP$2:$LP$60=I$4)*(GMW!$LR$2:$LR$60=I$1),0),$B212-1966)</f>
        <v>592644.19999999995</v>
      </c>
    </row>
    <row r="213" spans="1:9" x14ac:dyDescent="0.25">
      <c r="A213" s="5">
        <f t="shared" si="8"/>
        <v>2024</v>
      </c>
      <c r="B213" s="5">
        <f t="shared" si="7"/>
        <v>2179</v>
      </c>
      <c r="C213" s="5" cm="1">
        <f t="array" ref="C213">INDEX(GMW!$A$2:$LR$60,MATCH(1,(GMW!$LQ$2:$LQ$60=C$3)*(GMW!$LP$2:$LP$60=C$4)*(GMW!$LR$2:$LR$60=C$1),0),$B213-1966)</f>
        <v>575345.5</v>
      </c>
      <c r="D213" s="5" cm="1">
        <f t="array" ref="D213">INDEX(GMW!$A$2:$LR$60,MATCH(1,(GMW!$LQ$2:$LQ$60=D$3)*(GMW!$LP$2:$LP$60=D$4)*(GMW!$LR$2:$LR$60=D$1),0),$B213-1966)</f>
        <v>5756.6989999999996</v>
      </c>
      <c r="E213" s="5" cm="1">
        <f t="array" ref="E213">INDEX(GMW!$A$2:$LR$60,MATCH(1,(GMW!$LQ$2:$LQ$60=E$3)*(GMW!$LP$2:$LP$60=E$4)*(GMW!$LR$2:$LR$60=E$1),0),$B213-1966)</f>
        <v>141092.70000000001</v>
      </c>
      <c r="F213" s="5" cm="1">
        <f t="array" ref="F213">INDEX(GMW!$A$2:$LR$60,MATCH(1,(GMW!$LQ$2:$LQ$60=F$3)*(GMW!$LP$2:$LP$60=F$4)*(GMW!$LR$2:$LR$60=F$1),0),$B213-1966)</f>
        <v>832.08529999999996</v>
      </c>
      <c r="G213" s="5" cm="1">
        <f t="array" ref="G213">INDEX(GMW!$A$2:$LR$60,MATCH(1,(GMW!$LQ$2:$LQ$60=G$3)*(GMW!$LP$2:$LP$60=G$4)*(GMW!$LR$2:$LR$60=G$1),0),$B213-1966)</f>
        <v>652.54</v>
      </c>
      <c r="H213" s="5" cm="1">
        <f t="array" ref="H213">INDEX(GMW!$A$2:$LR$60,MATCH(1,(GMW!$LQ$2:$LQ$60=H$3)*(GMW!$LP$2:$LP$60=H$4)*(GMW!$LR$2:$LR$60=H$1),0),$B213-1966)</f>
        <v>451.71859999999998</v>
      </c>
      <c r="I213" s="5" cm="1">
        <f t="array" ref="I213">INDEX(GMW!$A$2:$LR$60,MATCH(1,(GMW!$LQ$2:$LQ$60=I$3)*(GMW!$LP$2:$LP$60=I$4)*(GMW!$LR$2:$LR$60=I$1),0),$B213-1966)</f>
        <v>591280.30000000005</v>
      </c>
    </row>
    <row r="214" spans="1:9" x14ac:dyDescent="0.25">
      <c r="A214" s="5">
        <f t="shared" si="8"/>
        <v>2024</v>
      </c>
      <c r="B214" s="5">
        <f t="shared" si="7"/>
        <v>2180</v>
      </c>
      <c r="C214" s="5" cm="1">
        <f t="array" ref="C214">INDEX(GMW!$A$2:$LR$60,MATCH(1,(GMW!$LQ$2:$LQ$60=C$3)*(GMW!$LP$2:$LP$60=C$4)*(GMW!$LR$2:$LR$60=C$1),0),$B214-1966)</f>
        <v>577872.9</v>
      </c>
      <c r="D214" s="5" cm="1">
        <f t="array" ref="D214">INDEX(GMW!$A$2:$LR$60,MATCH(1,(GMW!$LQ$2:$LQ$60=D$3)*(GMW!$LP$2:$LP$60=D$4)*(GMW!$LR$2:$LR$60=D$1),0),$B214-1966)</f>
        <v>5781.0110000000004</v>
      </c>
      <c r="E214" s="5" cm="1">
        <f t="array" ref="E214">INDEX(GMW!$A$2:$LR$60,MATCH(1,(GMW!$LQ$2:$LQ$60=E$3)*(GMW!$LP$2:$LP$60=E$4)*(GMW!$LR$2:$LR$60=E$1),0),$B214-1966)</f>
        <v>141664</v>
      </c>
      <c r="F214" s="5" cm="1">
        <f t="array" ref="F214">INDEX(GMW!$A$2:$LR$60,MATCH(1,(GMW!$LQ$2:$LQ$60=F$3)*(GMW!$LP$2:$LP$60=F$4)*(GMW!$LR$2:$LR$60=F$1),0),$B214-1966)</f>
        <v>833.77250000000004</v>
      </c>
      <c r="G214" s="5" cm="1">
        <f t="array" ref="G214">INDEX(GMW!$A$2:$LR$60,MATCH(1,(GMW!$LQ$2:$LQ$60=G$3)*(GMW!$LP$2:$LP$60=G$4)*(GMW!$LR$2:$LR$60=G$1),0),$B214-1966)</f>
        <v>651.6</v>
      </c>
      <c r="H214" s="5" cm="1">
        <f t="array" ref="H214">INDEX(GMW!$A$2:$LR$60,MATCH(1,(GMW!$LQ$2:$LQ$60=H$3)*(GMW!$LP$2:$LP$60=H$4)*(GMW!$LR$2:$LR$60=H$1),0),$B214-1966)</f>
        <v>453.07380000000001</v>
      </c>
      <c r="I214" s="5" cm="1">
        <f t="array" ref="I214">INDEX(GMW!$A$2:$LR$60,MATCH(1,(GMW!$LQ$2:$LQ$60=I$3)*(GMW!$LP$2:$LP$60=I$4)*(GMW!$LR$2:$LR$60=I$1),0),$B214-1966)</f>
        <v>593129.9</v>
      </c>
    </row>
    <row r="215" spans="1:9" x14ac:dyDescent="0.25">
      <c r="A215" s="5">
        <f t="shared" si="8"/>
        <v>2025</v>
      </c>
      <c r="B215" s="5">
        <f t="shared" si="7"/>
        <v>2181</v>
      </c>
      <c r="C215" s="5" cm="1">
        <f t="array" ref="C215">INDEX(GMW!$A$2:$LR$60,MATCH(1,(GMW!$LQ$2:$LQ$60=C$3)*(GMW!$LP$2:$LP$60=C$4)*(GMW!$LR$2:$LR$60=C$1),0),$B215-1966)</f>
        <v>580628.80000000005</v>
      </c>
      <c r="D215" s="5" cm="1">
        <f t="array" ref="D215">INDEX(GMW!$A$2:$LR$60,MATCH(1,(GMW!$LQ$2:$LQ$60=D$3)*(GMW!$LP$2:$LP$60=D$4)*(GMW!$LR$2:$LR$60=D$1),0),$B215-1966)</f>
        <v>5806.8519999999999</v>
      </c>
      <c r="E215" s="5" cm="1">
        <f t="array" ref="E215">INDEX(GMW!$A$2:$LR$60,MATCH(1,(GMW!$LQ$2:$LQ$60=E$3)*(GMW!$LP$2:$LP$60=E$4)*(GMW!$LR$2:$LR$60=E$1),0),$B215-1966)</f>
        <v>141793.20000000001</v>
      </c>
      <c r="F215" s="5" cm="1">
        <f t="array" ref="F215">INDEX(GMW!$A$2:$LR$60,MATCH(1,(GMW!$LQ$2:$LQ$60=F$3)*(GMW!$LP$2:$LP$60=F$4)*(GMW!$LR$2:$LR$60=F$1),0),$B215-1966)</f>
        <v>835.83</v>
      </c>
      <c r="G215" s="5" cm="1">
        <f t="array" ref="G215">INDEX(GMW!$A$2:$LR$60,MATCH(1,(GMW!$LQ$2:$LQ$60=G$3)*(GMW!$LP$2:$LP$60=G$4)*(GMW!$LR$2:$LR$60=G$1),0),$B215-1966)</f>
        <v>653.69000000000005</v>
      </c>
      <c r="H215" s="5" cm="1">
        <f t="array" ref="H215">INDEX(GMW!$A$2:$LR$60,MATCH(1,(GMW!$LQ$2:$LQ$60=H$3)*(GMW!$LP$2:$LP$60=H$4)*(GMW!$LR$2:$LR$60=H$1),0),$B215-1966)</f>
        <v>454.57350000000002</v>
      </c>
      <c r="I215" s="5" cm="1">
        <f t="array" ref="I215">INDEX(GMW!$A$2:$LR$60,MATCH(1,(GMW!$LQ$2:$LQ$60=I$3)*(GMW!$LP$2:$LP$60=I$4)*(GMW!$LR$2:$LR$60=I$1),0),$B215-1966)</f>
        <v>595408.1</v>
      </c>
    </row>
    <row r="216" spans="1:9" x14ac:dyDescent="0.25">
      <c r="A216" s="5">
        <f t="shared" si="8"/>
        <v>2025</v>
      </c>
      <c r="B216" s="5">
        <f t="shared" si="7"/>
        <v>2182</v>
      </c>
      <c r="C216" s="5" cm="1">
        <f t="array" ref="C216">INDEX(GMW!$A$2:$LR$60,MATCH(1,(GMW!$LQ$2:$LQ$60=C$3)*(GMW!$LP$2:$LP$60=C$4)*(GMW!$LR$2:$LR$60=C$1),0),$B216-1966)</f>
        <v>583503.5</v>
      </c>
      <c r="D216" s="5" cm="1">
        <f t="array" ref="D216">INDEX(GMW!$A$2:$LR$60,MATCH(1,(GMW!$LQ$2:$LQ$60=D$3)*(GMW!$LP$2:$LP$60=D$4)*(GMW!$LR$2:$LR$60=D$1),0),$B216-1966)</f>
        <v>5834.9549999999999</v>
      </c>
      <c r="E216" s="5" cm="1">
        <f t="array" ref="E216">INDEX(GMW!$A$2:$LR$60,MATCH(1,(GMW!$LQ$2:$LQ$60=E$3)*(GMW!$LP$2:$LP$60=E$4)*(GMW!$LR$2:$LR$60=E$1),0),$B216-1966)</f>
        <v>141889.29999999999</v>
      </c>
      <c r="F216" s="5" cm="1">
        <f t="array" ref="F216">INDEX(GMW!$A$2:$LR$60,MATCH(1,(GMW!$LQ$2:$LQ$60=F$3)*(GMW!$LP$2:$LP$60=F$4)*(GMW!$LR$2:$LR$60=F$1),0),$B216-1966)</f>
        <v>838.43520000000001</v>
      </c>
      <c r="G216" s="5" cm="1">
        <f t="array" ref="G216">INDEX(GMW!$A$2:$LR$60,MATCH(1,(GMW!$LQ$2:$LQ$60=G$3)*(GMW!$LP$2:$LP$60=G$4)*(GMW!$LR$2:$LR$60=G$1),0),$B216-1966)</f>
        <v>656.15</v>
      </c>
      <c r="H216" s="5" cm="1">
        <f t="array" ref="H216">INDEX(GMW!$A$2:$LR$60,MATCH(1,(GMW!$LQ$2:$LQ$60=H$3)*(GMW!$LP$2:$LP$60=H$4)*(GMW!$LR$2:$LR$60=H$1),0),$B216-1966)</f>
        <v>455.87990000000002</v>
      </c>
      <c r="I216" s="5" cm="1">
        <f t="array" ref="I216">INDEX(GMW!$A$2:$LR$60,MATCH(1,(GMW!$LQ$2:$LQ$60=I$3)*(GMW!$LP$2:$LP$60=I$4)*(GMW!$LR$2:$LR$60=I$1),0),$B216-1966)</f>
        <v>598563.69999999995</v>
      </c>
    </row>
    <row r="217" spans="1:9" x14ac:dyDescent="0.25">
      <c r="A217" s="5">
        <f t="shared" si="8"/>
        <v>2025</v>
      </c>
      <c r="B217" s="5">
        <f t="shared" si="7"/>
        <v>2183</v>
      </c>
      <c r="C217" s="5" cm="1">
        <f t="array" ref="C217">INDEX(GMW!$A$2:$LR$60,MATCH(1,(GMW!$LQ$2:$LQ$60=C$3)*(GMW!$LP$2:$LP$60=C$4)*(GMW!$LR$2:$LR$60=C$1),0),$B217-1966)</f>
        <v>586275.30000000005</v>
      </c>
      <c r="D217" s="5" cm="1">
        <f t="array" ref="D217">INDEX(GMW!$A$2:$LR$60,MATCH(1,(GMW!$LQ$2:$LQ$60=D$3)*(GMW!$LP$2:$LP$60=D$4)*(GMW!$LR$2:$LR$60=D$1),0),$B217-1966)</f>
        <v>5863.9139999999998</v>
      </c>
      <c r="E217" s="5" cm="1">
        <f t="array" ref="E217">INDEX(GMW!$A$2:$LR$60,MATCH(1,(GMW!$LQ$2:$LQ$60=E$3)*(GMW!$LP$2:$LP$60=E$4)*(GMW!$LR$2:$LR$60=E$1),0),$B217-1966)</f>
        <v>142022.79999999999</v>
      </c>
      <c r="F217" s="5" cm="1">
        <f t="array" ref="F217">INDEX(GMW!$A$2:$LR$60,MATCH(1,(GMW!$LQ$2:$LQ$60=F$3)*(GMW!$LP$2:$LP$60=F$4)*(GMW!$LR$2:$LR$60=F$1),0),$B217-1966)</f>
        <v>841.33309999999994</v>
      </c>
      <c r="G217" s="5" cm="1">
        <f t="array" ref="G217">INDEX(GMW!$A$2:$LR$60,MATCH(1,(GMW!$LQ$2:$LQ$60=G$3)*(GMW!$LP$2:$LP$60=G$4)*(GMW!$LR$2:$LR$60=G$1),0),$B217-1966)</f>
        <v>658.82</v>
      </c>
      <c r="H217" s="5" cm="1">
        <f t="array" ref="H217">INDEX(GMW!$A$2:$LR$60,MATCH(1,(GMW!$LQ$2:$LQ$60=H$3)*(GMW!$LP$2:$LP$60=H$4)*(GMW!$LR$2:$LR$60=H$1),0),$B217-1966)</f>
        <v>457.0016</v>
      </c>
      <c r="I217" s="5" cm="1">
        <f t="array" ref="I217">INDEX(GMW!$A$2:$LR$60,MATCH(1,(GMW!$LQ$2:$LQ$60=I$3)*(GMW!$LP$2:$LP$60=I$4)*(GMW!$LR$2:$LR$60=I$1),0),$B217-1966)</f>
        <v>602239.9</v>
      </c>
    </row>
    <row r="218" spans="1:9" x14ac:dyDescent="0.25">
      <c r="A218" s="5">
        <f t="shared" si="8"/>
        <v>2025</v>
      </c>
      <c r="B218" s="5">
        <f t="shared" si="7"/>
        <v>2184</v>
      </c>
      <c r="C218" s="5" cm="1">
        <f t="array" ref="C218">INDEX(GMW!$A$2:$LR$60,MATCH(1,(GMW!$LQ$2:$LQ$60=C$3)*(GMW!$LP$2:$LP$60=C$4)*(GMW!$LR$2:$LR$60=C$1),0),$B218-1966)</f>
        <v>589088.9</v>
      </c>
      <c r="D218" s="5" cm="1">
        <f t="array" ref="D218">INDEX(GMW!$A$2:$LR$60,MATCH(1,(GMW!$LQ$2:$LQ$60=D$3)*(GMW!$LP$2:$LP$60=D$4)*(GMW!$LR$2:$LR$60=D$1),0),$B218-1966)</f>
        <v>5893.7380000000003</v>
      </c>
      <c r="E218" s="5" cm="1">
        <f t="array" ref="E218">INDEX(GMW!$A$2:$LR$60,MATCH(1,(GMW!$LQ$2:$LQ$60=E$3)*(GMW!$LP$2:$LP$60=E$4)*(GMW!$LR$2:$LR$60=E$1),0),$B218-1966)</f>
        <v>142171.9</v>
      </c>
      <c r="F218" s="5" cm="1">
        <f t="array" ref="F218">INDEX(GMW!$A$2:$LR$60,MATCH(1,(GMW!$LQ$2:$LQ$60=F$3)*(GMW!$LP$2:$LP$60=F$4)*(GMW!$LR$2:$LR$60=F$1),0),$B218-1966)</f>
        <v>844.44309999999996</v>
      </c>
      <c r="G218" s="5" cm="1">
        <f t="array" ref="G218">INDEX(GMW!$A$2:$LR$60,MATCH(1,(GMW!$LQ$2:$LQ$60=G$3)*(GMW!$LP$2:$LP$60=G$4)*(GMW!$LR$2:$LR$60=G$1),0),$B218-1966)</f>
        <v>661.17</v>
      </c>
      <c r="H218" s="5" cm="1">
        <f t="array" ref="H218">INDEX(GMW!$A$2:$LR$60,MATCH(1,(GMW!$LQ$2:$LQ$60=H$3)*(GMW!$LP$2:$LP$60=H$4)*(GMW!$LR$2:$LR$60=H$1),0),$B218-1966)</f>
        <v>458.1234</v>
      </c>
      <c r="I218" s="5" cm="1">
        <f t="array" ref="I218">INDEX(GMW!$A$2:$LR$60,MATCH(1,(GMW!$LQ$2:$LQ$60=I$3)*(GMW!$LP$2:$LP$60=I$4)*(GMW!$LR$2:$LR$60=I$1),0),$B218-1966)</f>
        <v>606228.5</v>
      </c>
    </row>
    <row r="219" spans="1:9" x14ac:dyDescent="0.25">
      <c r="A219" s="5">
        <f t="shared" si="8"/>
        <v>2026</v>
      </c>
      <c r="B219" s="5">
        <f t="shared" si="7"/>
        <v>2185</v>
      </c>
      <c r="C219" s="5" cm="1">
        <f t="array" ref="C219">INDEX(GMW!$A$2:$LR$60,MATCH(1,(GMW!$LQ$2:$LQ$60=C$3)*(GMW!$LP$2:$LP$60=C$4)*(GMW!$LR$2:$LR$60=C$1),0),$B219-1966)</f>
        <v>591916.69999999995</v>
      </c>
      <c r="D219" s="5" cm="1">
        <f t="array" ref="D219">INDEX(GMW!$A$2:$LR$60,MATCH(1,(GMW!$LQ$2:$LQ$60=D$3)*(GMW!$LP$2:$LP$60=D$4)*(GMW!$LR$2:$LR$60=D$1),0),$B219-1966)</f>
        <v>5923.7860000000001</v>
      </c>
      <c r="E219" s="5" cm="1">
        <f t="array" ref="E219">INDEX(GMW!$A$2:$LR$60,MATCH(1,(GMW!$LQ$2:$LQ$60=E$3)*(GMW!$LP$2:$LP$60=E$4)*(GMW!$LR$2:$LR$60=E$1),0),$B219-1966)</f>
        <v>142375.79999999999</v>
      </c>
      <c r="F219" s="5" cm="1">
        <f t="array" ref="F219">INDEX(GMW!$A$2:$LR$60,MATCH(1,(GMW!$LQ$2:$LQ$60=F$3)*(GMW!$LP$2:$LP$60=F$4)*(GMW!$LR$2:$LR$60=F$1),0),$B219-1966)</f>
        <v>847.80849999999998</v>
      </c>
      <c r="G219" s="5" cm="1">
        <f t="array" ref="G219">INDEX(GMW!$A$2:$LR$60,MATCH(1,(GMW!$LQ$2:$LQ$60=G$3)*(GMW!$LP$2:$LP$60=G$4)*(GMW!$LR$2:$LR$60=G$1),0),$B219-1966)</f>
        <v>663.58</v>
      </c>
      <c r="H219" s="5" cm="1">
        <f t="array" ref="H219">INDEX(GMW!$A$2:$LR$60,MATCH(1,(GMW!$LQ$2:$LQ$60=H$3)*(GMW!$LP$2:$LP$60=H$4)*(GMW!$LR$2:$LR$60=H$1),0),$B219-1966)</f>
        <v>459.13209999999998</v>
      </c>
      <c r="I219" s="5" cm="1">
        <f t="array" ref="I219">INDEX(GMW!$A$2:$LR$60,MATCH(1,(GMW!$LQ$2:$LQ$60=I$3)*(GMW!$LP$2:$LP$60=I$4)*(GMW!$LR$2:$LR$60=I$1),0),$B219-1966)</f>
        <v>610277.69999999995</v>
      </c>
    </row>
    <row r="220" spans="1:9" x14ac:dyDescent="0.25">
      <c r="A220" s="5">
        <f t="shared" si="8"/>
        <v>2026</v>
      </c>
      <c r="B220" s="5">
        <f t="shared" si="7"/>
        <v>2186</v>
      </c>
      <c r="C220" s="5" cm="1">
        <f t="array" ref="C220">INDEX(GMW!$A$2:$LR$60,MATCH(1,(GMW!$LQ$2:$LQ$60=C$3)*(GMW!$LP$2:$LP$60=C$4)*(GMW!$LR$2:$LR$60=C$1),0),$B220-1966)</f>
        <v>594522.1</v>
      </c>
      <c r="D220" s="5" cm="1">
        <f t="array" ref="D220">INDEX(GMW!$A$2:$LR$60,MATCH(1,(GMW!$LQ$2:$LQ$60=D$3)*(GMW!$LP$2:$LP$60=D$4)*(GMW!$LR$2:$LR$60=D$1),0),$B220-1966)</f>
        <v>5955.0820000000003</v>
      </c>
      <c r="E220" s="5" cm="1">
        <f t="array" ref="E220">INDEX(GMW!$A$2:$LR$60,MATCH(1,(GMW!$LQ$2:$LQ$60=E$3)*(GMW!$LP$2:$LP$60=E$4)*(GMW!$LR$2:$LR$60=E$1),0),$B220-1966)</f>
        <v>142563.6</v>
      </c>
      <c r="F220" s="5" cm="1">
        <f t="array" ref="F220">INDEX(GMW!$A$2:$LR$60,MATCH(1,(GMW!$LQ$2:$LQ$60=F$3)*(GMW!$LP$2:$LP$60=F$4)*(GMW!$LR$2:$LR$60=F$1),0),$B220-1966)</f>
        <v>851.27909999999997</v>
      </c>
      <c r="G220" s="5" cm="1">
        <f t="array" ref="G220">INDEX(GMW!$A$2:$LR$60,MATCH(1,(GMW!$LQ$2:$LQ$60=G$3)*(GMW!$LP$2:$LP$60=G$4)*(GMW!$LR$2:$LR$60=G$1),0),$B220-1966)</f>
        <v>666.13</v>
      </c>
      <c r="H220" s="5" cm="1">
        <f t="array" ref="H220">INDEX(GMW!$A$2:$LR$60,MATCH(1,(GMW!$LQ$2:$LQ$60=H$3)*(GMW!$LP$2:$LP$60=H$4)*(GMW!$LR$2:$LR$60=H$1),0),$B220-1966)</f>
        <v>459.89729999999997</v>
      </c>
      <c r="I220" s="5" cm="1">
        <f t="array" ref="I220">INDEX(GMW!$A$2:$LR$60,MATCH(1,(GMW!$LQ$2:$LQ$60=I$3)*(GMW!$LP$2:$LP$60=I$4)*(GMW!$LR$2:$LR$60=I$1),0),$B220-1966)</f>
        <v>614310.6</v>
      </c>
    </row>
    <row r="221" spans="1:9" x14ac:dyDescent="0.25">
      <c r="A221" s="5">
        <f t="shared" si="8"/>
        <v>2026</v>
      </c>
      <c r="B221" s="5">
        <f t="shared" si="7"/>
        <v>2187</v>
      </c>
      <c r="C221" s="5" cm="1">
        <f t="array" ref="C221">INDEX(GMW!$A$2:$LR$60,MATCH(1,(GMW!$LQ$2:$LQ$60=C$3)*(GMW!$LP$2:$LP$60=C$4)*(GMW!$LR$2:$LR$60=C$1),0),$B221-1966)</f>
        <v>596959.80000000005</v>
      </c>
      <c r="D221" s="5" cm="1">
        <f t="array" ref="D221">INDEX(GMW!$A$2:$LR$60,MATCH(1,(GMW!$LQ$2:$LQ$60=D$3)*(GMW!$LP$2:$LP$60=D$4)*(GMW!$LR$2:$LR$60=D$1),0),$B221-1966)</f>
        <v>5986.9809999999998</v>
      </c>
      <c r="E221" s="5" cm="1">
        <f t="array" ref="E221">INDEX(GMW!$A$2:$LR$60,MATCH(1,(GMW!$LQ$2:$LQ$60=E$3)*(GMW!$LP$2:$LP$60=E$4)*(GMW!$LR$2:$LR$60=E$1),0),$B221-1966)</f>
        <v>142731.5</v>
      </c>
      <c r="F221" s="5" cm="1">
        <f t="array" ref="F221">INDEX(GMW!$A$2:$LR$60,MATCH(1,(GMW!$LQ$2:$LQ$60=F$3)*(GMW!$LP$2:$LP$60=F$4)*(GMW!$LR$2:$LR$60=F$1),0),$B221-1966)</f>
        <v>854.80370000000005</v>
      </c>
      <c r="G221" s="5" cm="1">
        <f t="array" ref="G221">INDEX(GMW!$A$2:$LR$60,MATCH(1,(GMW!$LQ$2:$LQ$60=G$3)*(GMW!$LP$2:$LP$60=G$4)*(GMW!$LR$2:$LR$60=G$1),0),$B221-1966)</f>
        <v>668.64</v>
      </c>
      <c r="H221" s="5" cm="1">
        <f t="array" ref="H221">INDEX(GMW!$A$2:$LR$60,MATCH(1,(GMW!$LQ$2:$LQ$60=H$3)*(GMW!$LP$2:$LP$60=H$4)*(GMW!$LR$2:$LR$60=H$1),0),$B221-1966)</f>
        <v>460.45350000000002</v>
      </c>
      <c r="I221" s="5" cm="1">
        <f t="array" ref="I221">INDEX(GMW!$A$2:$LR$60,MATCH(1,(GMW!$LQ$2:$LQ$60=I$3)*(GMW!$LP$2:$LP$60=I$4)*(GMW!$LR$2:$LR$60=I$1),0),$B221-1966)</f>
        <v>618442.6</v>
      </c>
    </row>
    <row r="222" spans="1:9" x14ac:dyDescent="0.25">
      <c r="A222" s="5">
        <f t="shared" si="8"/>
        <v>2026</v>
      </c>
      <c r="B222" s="5">
        <f t="shared" si="7"/>
        <v>2188</v>
      </c>
      <c r="C222" s="5" cm="1">
        <f t="array" ref="C222">INDEX(GMW!$A$2:$LR$60,MATCH(1,(GMW!$LQ$2:$LQ$60=C$3)*(GMW!$LP$2:$LP$60=C$4)*(GMW!$LR$2:$LR$60=C$1),0),$B222-1966)</f>
        <v>599377.1</v>
      </c>
      <c r="D222" s="5" cm="1">
        <f t="array" ref="D222">INDEX(GMW!$A$2:$LR$60,MATCH(1,(GMW!$LQ$2:$LQ$60=D$3)*(GMW!$LP$2:$LP$60=D$4)*(GMW!$LR$2:$LR$60=D$1),0),$B222-1966)</f>
        <v>6019.6419999999998</v>
      </c>
      <c r="E222" s="5" cm="1">
        <f t="array" ref="E222">INDEX(GMW!$A$2:$LR$60,MATCH(1,(GMW!$LQ$2:$LQ$60=E$3)*(GMW!$LP$2:$LP$60=E$4)*(GMW!$LR$2:$LR$60=E$1),0),$B222-1966)</f>
        <v>142888.70000000001</v>
      </c>
      <c r="F222" s="5" cm="1">
        <f t="array" ref="F222">INDEX(GMW!$A$2:$LR$60,MATCH(1,(GMW!$LQ$2:$LQ$60=F$3)*(GMW!$LP$2:$LP$60=F$4)*(GMW!$LR$2:$LR$60=F$1),0),$B222-1966)</f>
        <v>858.46169999999995</v>
      </c>
      <c r="G222" s="5" cm="1">
        <f t="array" ref="G222">INDEX(GMW!$A$2:$LR$60,MATCH(1,(GMW!$LQ$2:$LQ$60=G$3)*(GMW!$LP$2:$LP$60=G$4)*(GMW!$LR$2:$LR$60=G$1),0),$B222-1966)</f>
        <v>671.12</v>
      </c>
      <c r="H222" s="5" cm="1">
        <f t="array" ref="H222">INDEX(GMW!$A$2:$LR$60,MATCH(1,(GMW!$LQ$2:$LQ$60=H$3)*(GMW!$LP$2:$LP$60=H$4)*(GMW!$LR$2:$LR$60=H$1),0),$B222-1966)</f>
        <v>461.0976</v>
      </c>
      <c r="I222" s="5" cm="1">
        <f t="array" ref="I222">INDEX(GMW!$A$2:$LR$60,MATCH(1,(GMW!$LQ$2:$LQ$60=I$3)*(GMW!$LP$2:$LP$60=I$4)*(GMW!$LR$2:$LR$60=I$1),0),$B222-1966)</f>
        <v>622555.4</v>
      </c>
    </row>
    <row r="223" spans="1:9" x14ac:dyDescent="0.25">
      <c r="A223" s="5">
        <f t="shared" si="8"/>
        <v>2027</v>
      </c>
      <c r="B223" s="5">
        <f t="shared" si="7"/>
        <v>2189</v>
      </c>
      <c r="C223" s="5" cm="1">
        <f t="array" ref="C223">INDEX(GMW!$A$2:$LR$60,MATCH(1,(GMW!$LQ$2:$LQ$60=C$3)*(GMW!$LP$2:$LP$60=C$4)*(GMW!$LR$2:$LR$60=C$1),0),$B223-1966)</f>
        <v>601834.6</v>
      </c>
      <c r="D223" s="5" cm="1">
        <f t="array" ref="D223">INDEX(GMW!$A$2:$LR$60,MATCH(1,(GMW!$LQ$2:$LQ$60=D$3)*(GMW!$LP$2:$LP$60=D$4)*(GMW!$LR$2:$LR$60=D$1),0),$B223-1966)</f>
        <v>6051.8140000000003</v>
      </c>
      <c r="E223" s="5" cm="1">
        <f t="array" ref="E223">INDEX(GMW!$A$2:$LR$60,MATCH(1,(GMW!$LQ$2:$LQ$60=E$3)*(GMW!$LP$2:$LP$60=E$4)*(GMW!$LR$2:$LR$60=E$1),0),$B223-1966)</f>
        <v>143050.29999999999</v>
      </c>
      <c r="F223" s="5" cm="1">
        <f t="array" ref="F223">INDEX(GMW!$A$2:$LR$60,MATCH(1,(GMW!$LQ$2:$LQ$60=F$3)*(GMW!$LP$2:$LP$60=F$4)*(GMW!$LR$2:$LR$60=F$1),0),$B223-1966)</f>
        <v>862.11410000000001</v>
      </c>
      <c r="G223" s="5" cm="1">
        <f t="array" ref="G223">INDEX(GMW!$A$2:$LR$60,MATCH(1,(GMW!$LQ$2:$LQ$60=G$3)*(GMW!$LP$2:$LP$60=G$4)*(GMW!$LR$2:$LR$60=G$1),0),$B223-1966)</f>
        <v>673.8</v>
      </c>
      <c r="H223" s="5" cm="1">
        <f t="array" ref="H223">INDEX(GMW!$A$2:$LR$60,MATCH(1,(GMW!$LQ$2:$LQ$60=H$3)*(GMW!$LP$2:$LP$60=H$4)*(GMW!$LR$2:$LR$60=H$1),0),$B223-1966)</f>
        <v>461.74160000000001</v>
      </c>
      <c r="I223" s="5" cm="1">
        <f t="array" ref="I223">INDEX(GMW!$A$2:$LR$60,MATCH(1,(GMW!$LQ$2:$LQ$60=I$3)*(GMW!$LP$2:$LP$60=I$4)*(GMW!$LR$2:$LR$60=I$1),0),$B223-1966)</f>
        <v>626551.9</v>
      </c>
    </row>
    <row r="224" spans="1:9" x14ac:dyDescent="0.25">
      <c r="A224" s="5">
        <f t="shared" si="8"/>
        <v>2027</v>
      </c>
      <c r="B224" s="5">
        <f t="shared" si="7"/>
        <v>2190</v>
      </c>
      <c r="C224" s="5" cm="1">
        <f t="array" ref="C224">INDEX(GMW!$A$2:$LR$60,MATCH(1,(GMW!$LQ$2:$LQ$60=C$3)*(GMW!$LP$2:$LP$60=C$4)*(GMW!$LR$2:$LR$60=C$1),0),$B224-1966)</f>
        <v>604302.1</v>
      </c>
      <c r="D224" s="5" cm="1">
        <f t="array" ref="D224">INDEX(GMW!$A$2:$LR$60,MATCH(1,(GMW!$LQ$2:$LQ$60=D$3)*(GMW!$LP$2:$LP$60=D$4)*(GMW!$LR$2:$LR$60=D$1),0),$B224-1966)</f>
        <v>6084.098</v>
      </c>
      <c r="E224" s="5" cm="1">
        <f t="array" ref="E224">INDEX(GMW!$A$2:$LR$60,MATCH(1,(GMW!$LQ$2:$LQ$60=E$3)*(GMW!$LP$2:$LP$60=E$4)*(GMW!$LR$2:$LR$60=E$1),0),$B224-1966)</f>
        <v>143199</v>
      </c>
      <c r="F224" s="5" cm="1">
        <f t="array" ref="F224">INDEX(GMW!$A$2:$LR$60,MATCH(1,(GMW!$LQ$2:$LQ$60=F$3)*(GMW!$LP$2:$LP$60=F$4)*(GMW!$LR$2:$LR$60=F$1),0),$B224-1966)</f>
        <v>865.80050000000006</v>
      </c>
      <c r="G224" s="5" cm="1">
        <f t="array" ref="G224">INDEX(GMW!$A$2:$LR$60,MATCH(1,(GMW!$LQ$2:$LQ$60=G$3)*(GMW!$LP$2:$LP$60=G$4)*(GMW!$LR$2:$LR$60=G$1),0),$B224-1966)</f>
        <v>676.49</v>
      </c>
      <c r="H224" s="5" cm="1">
        <f t="array" ref="H224">INDEX(GMW!$A$2:$LR$60,MATCH(1,(GMW!$LQ$2:$LQ$60=H$3)*(GMW!$LP$2:$LP$60=H$4)*(GMW!$LR$2:$LR$60=H$1),0),$B224-1966)</f>
        <v>462.38569999999999</v>
      </c>
      <c r="I224" s="5" cm="1">
        <f t="array" ref="I224">INDEX(GMW!$A$2:$LR$60,MATCH(1,(GMW!$LQ$2:$LQ$60=I$3)*(GMW!$LP$2:$LP$60=I$4)*(GMW!$LR$2:$LR$60=I$1),0),$B224-1966)</f>
        <v>630445.4</v>
      </c>
    </row>
    <row r="225" spans="1:9" x14ac:dyDescent="0.25">
      <c r="A225" s="5">
        <f t="shared" si="8"/>
        <v>2027</v>
      </c>
      <c r="B225" s="5">
        <f t="shared" si="7"/>
        <v>2191</v>
      </c>
      <c r="C225" s="5" cm="1">
        <f t="array" ref="C225">INDEX(GMW!$A$2:$LR$60,MATCH(1,(GMW!$LQ$2:$LQ$60=C$3)*(GMW!$LP$2:$LP$60=C$4)*(GMW!$LR$2:$LR$60=C$1),0),$B225-1966)</f>
        <v>606749.80000000005</v>
      </c>
      <c r="D225" s="5" cm="1">
        <f t="array" ref="D225">INDEX(GMW!$A$2:$LR$60,MATCH(1,(GMW!$LQ$2:$LQ$60=D$3)*(GMW!$LP$2:$LP$60=D$4)*(GMW!$LR$2:$LR$60=D$1),0),$B225-1966)</f>
        <v>6116.3149999999996</v>
      </c>
      <c r="E225" s="5" cm="1">
        <f t="array" ref="E225">INDEX(GMW!$A$2:$LR$60,MATCH(1,(GMW!$LQ$2:$LQ$60=E$3)*(GMW!$LP$2:$LP$60=E$4)*(GMW!$LR$2:$LR$60=E$1),0),$B225-1966)</f>
        <v>143338.1</v>
      </c>
      <c r="F225" s="5" cm="1">
        <f t="array" ref="F225">INDEX(GMW!$A$2:$LR$60,MATCH(1,(GMW!$LQ$2:$LQ$60=F$3)*(GMW!$LP$2:$LP$60=F$4)*(GMW!$LR$2:$LR$60=F$1),0),$B225-1966)</f>
        <v>869.41849999999999</v>
      </c>
      <c r="G225" s="5" cm="1">
        <f t="array" ref="G225">INDEX(GMW!$A$2:$LR$60,MATCH(1,(GMW!$LQ$2:$LQ$60=G$3)*(GMW!$LP$2:$LP$60=G$4)*(GMW!$LR$2:$LR$60=G$1),0),$B225-1966)</f>
        <v>679.16</v>
      </c>
      <c r="H225" s="5" cm="1">
        <f t="array" ref="H225">INDEX(GMW!$A$2:$LR$60,MATCH(1,(GMW!$LQ$2:$LQ$60=H$3)*(GMW!$LP$2:$LP$60=H$4)*(GMW!$LR$2:$LR$60=H$1),0),$B225-1966)</f>
        <v>463.10950000000003</v>
      </c>
      <c r="I225" s="5" cm="1">
        <f t="array" ref="I225">INDEX(GMW!$A$2:$LR$60,MATCH(1,(GMW!$LQ$2:$LQ$60=I$3)*(GMW!$LP$2:$LP$60=I$4)*(GMW!$LR$2:$LR$60=I$1),0),$B225-1966)</f>
        <v>634258.6</v>
      </c>
    </row>
    <row r="226" spans="1:9" x14ac:dyDescent="0.25">
      <c r="A226" s="5">
        <f t="shared" si="8"/>
        <v>2027</v>
      </c>
      <c r="B226" s="5">
        <f t="shared" si="7"/>
        <v>2192</v>
      </c>
      <c r="C226" s="5" cm="1">
        <f t="array" ref="C226">INDEX(GMW!$A$2:$LR$60,MATCH(1,(GMW!$LQ$2:$LQ$60=C$3)*(GMW!$LP$2:$LP$60=C$4)*(GMW!$LR$2:$LR$60=C$1),0),$B226-1966)</f>
        <v>609297.9</v>
      </c>
      <c r="D226" s="5" cm="1">
        <f t="array" ref="D226">INDEX(GMW!$A$2:$LR$60,MATCH(1,(GMW!$LQ$2:$LQ$60=D$3)*(GMW!$LP$2:$LP$60=D$4)*(GMW!$LR$2:$LR$60=D$1),0),$B226-1966)</f>
        <v>6148.19</v>
      </c>
      <c r="E226" s="5" cm="1">
        <f t="array" ref="E226">INDEX(GMW!$A$2:$LR$60,MATCH(1,(GMW!$LQ$2:$LQ$60=E$3)*(GMW!$LP$2:$LP$60=E$4)*(GMW!$LR$2:$LR$60=E$1),0),$B226-1966)</f>
        <v>143498.6</v>
      </c>
      <c r="F226" s="5" cm="1">
        <f t="array" ref="F226">INDEX(GMW!$A$2:$LR$60,MATCH(1,(GMW!$LQ$2:$LQ$60=F$3)*(GMW!$LP$2:$LP$60=F$4)*(GMW!$LR$2:$LR$60=F$1),0),$B226-1966)</f>
        <v>873.05610000000001</v>
      </c>
      <c r="G226" s="5" cm="1">
        <f t="array" ref="G226">INDEX(GMW!$A$2:$LR$60,MATCH(1,(GMW!$LQ$2:$LQ$60=G$3)*(GMW!$LP$2:$LP$60=G$4)*(GMW!$LR$2:$LR$60=G$1),0),$B226-1966)</f>
        <v>681.94</v>
      </c>
      <c r="H226" s="5" cm="1">
        <f t="array" ref="H226">INDEX(GMW!$A$2:$LR$60,MATCH(1,(GMW!$LQ$2:$LQ$60=H$3)*(GMW!$LP$2:$LP$60=H$4)*(GMW!$LR$2:$LR$60=H$1),0),$B226-1966)</f>
        <v>463.83330000000001</v>
      </c>
      <c r="I226" s="5" cm="1">
        <f t="array" ref="I226">INDEX(GMW!$A$2:$LR$60,MATCH(1,(GMW!$LQ$2:$LQ$60=I$3)*(GMW!$LP$2:$LP$60=I$4)*(GMW!$LR$2:$LR$60=I$1),0),$B226-1966)</f>
        <v>637970.4</v>
      </c>
    </row>
    <row r="227" spans="1:9" x14ac:dyDescent="0.25">
      <c r="A227" s="5">
        <f t="shared" si="8"/>
        <v>2028</v>
      </c>
      <c r="B227" s="5">
        <f t="shared" si="7"/>
        <v>2193</v>
      </c>
      <c r="C227" s="5" cm="1">
        <f t="array" ref="C227">INDEX(GMW!$A$2:$LR$60,MATCH(1,(GMW!$LQ$2:$LQ$60=C$3)*(GMW!$LP$2:$LP$60=C$4)*(GMW!$LR$2:$LR$60=C$1),0),$B227-1966)</f>
        <v>611857</v>
      </c>
      <c r="D227" s="5" cm="1">
        <f t="array" ref="D227">INDEX(GMW!$A$2:$LR$60,MATCH(1,(GMW!$LQ$2:$LQ$60=D$3)*(GMW!$LP$2:$LP$60=D$4)*(GMW!$LR$2:$LR$60=D$1),0),$B227-1966)</f>
        <v>6179.991</v>
      </c>
      <c r="E227" s="5" cm="1">
        <f t="array" ref="E227">INDEX(GMW!$A$2:$LR$60,MATCH(1,(GMW!$LQ$2:$LQ$60=E$3)*(GMW!$LP$2:$LP$60=E$4)*(GMW!$LR$2:$LR$60=E$1),0),$B227-1966)</f>
        <v>143611.1</v>
      </c>
      <c r="F227" s="5" cm="1">
        <f t="array" ref="F227">INDEX(GMW!$A$2:$LR$60,MATCH(1,(GMW!$LQ$2:$LQ$60=F$3)*(GMW!$LP$2:$LP$60=F$4)*(GMW!$LR$2:$LR$60=F$1),0),$B227-1966)</f>
        <v>876.51589999999999</v>
      </c>
      <c r="G227" s="5" cm="1">
        <f t="array" ref="G227">INDEX(GMW!$A$2:$LR$60,MATCH(1,(GMW!$LQ$2:$LQ$60=G$3)*(GMW!$LP$2:$LP$60=G$4)*(GMW!$LR$2:$LR$60=G$1),0),$B227-1966)</f>
        <v>684.54</v>
      </c>
      <c r="H227" s="5" cm="1">
        <f t="array" ref="H227">INDEX(GMW!$A$2:$LR$60,MATCH(1,(GMW!$LQ$2:$LQ$60=H$3)*(GMW!$LP$2:$LP$60=H$4)*(GMW!$LR$2:$LR$60=H$1),0),$B227-1966)</f>
        <v>464.55720000000002</v>
      </c>
      <c r="I227" s="5" cm="1">
        <f t="array" ref="I227">INDEX(GMW!$A$2:$LR$60,MATCH(1,(GMW!$LQ$2:$LQ$60=I$3)*(GMW!$LP$2:$LP$60=I$4)*(GMW!$LR$2:$LR$60=I$1),0),$B227-1966)</f>
        <v>641573.30000000005</v>
      </c>
    </row>
    <row r="228" spans="1:9" x14ac:dyDescent="0.25">
      <c r="A228" s="5">
        <f t="shared" si="8"/>
        <v>2028</v>
      </c>
      <c r="B228" s="5">
        <f t="shared" si="7"/>
        <v>2194</v>
      </c>
      <c r="C228" s="5" cm="1">
        <f t="array" ref="C228">INDEX(GMW!$A$2:$LR$60,MATCH(1,(GMW!$LQ$2:$LQ$60=C$3)*(GMW!$LP$2:$LP$60=C$4)*(GMW!$LR$2:$LR$60=C$1),0),$B228-1966)</f>
        <v>614426.80000000005</v>
      </c>
      <c r="D228" s="5" cm="1">
        <f t="array" ref="D228">INDEX(GMW!$A$2:$LR$60,MATCH(1,(GMW!$LQ$2:$LQ$60=D$3)*(GMW!$LP$2:$LP$60=D$4)*(GMW!$LR$2:$LR$60=D$1),0),$B228-1966)</f>
        <v>6211.6509999999998</v>
      </c>
      <c r="E228" s="5" cm="1">
        <f t="array" ref="E228">INDEX(GMW!$A$2:$LR$60,MATCH(1,(GMW!$LQ$2:$LQ$60=E$3)*(GMW!$LP$2:$LP$60=E$4)*(GMW!$LR$2:$LR$60=E$1),0),$B228-1966)</f>
        <v>143732.6</v>
      </c>
      <c r="F228" s="5" cm="1">
        <f t="array" ref="F228">INDEX(GMW!$A$2:$LR$60,MATCH(1,(GMW!$LQ$2:$LQ$60=F$3)*(GMW!$LP$2:$LP$60=F$4)*(GMW!$LR$2:$LR$60=F$1),0),$B228-1966)</f>
        <v>879.93589999999995</v>
      </c>
      <c r="G228" s="5" cm="1">
        <f t="array" ref="G228">INDEX(GMW!$A$2:$LR$60,MATCH(1,(GMW!$LQ$2:$LQ$60=G$3)*(GMW!$LP$2:$LP$60=G$4)*(GMW!$LR$2:$LR$60=G$1),0),$B228-1966)</f>
        <v>687.22</v>
      </c>
      <c r="H228" s="5" cm="1">
        <f t="array" ref="H228">INDEX(GMW!$A$2:$LR$60,MATCH(1,(GMW!$LQ$2:$LQ$60=H$3)*(GMW!$LP$2:$LP$60=H$4)*(GMW!$LR$2:$LR$60=H$1),0),$B228-1966)</f>
        <v>465.18329999999997</v>
      </c>
      <c r="I228" s="5" cm="1">
        <f t="array" ref="I228">INDEX(GMW!$A$2:$LR$60,MATCH(1,(GMW!$LQ$2:$LQ$60=I$3)*(GMW!$LP$2:$LP$60=I$4)*(GMW!$LR$2:$LR$60=I$1),0),$B228-1966)</f>
        <v>645102.30000000005</v>
      </c>
    </row>
    <row r="229" spans="1:9" x14ac:dyDescent="0.25">
      <c r="A229" s="5">
        <f t="shared" si="8"/>
        <v>2028</v>
      </c>
      <c r="B229" s="5">
        <f t="shared" si="7"/>
        <v>2195</v>
      </c>
      <c r="C229" s="5" cm="1">
        <f t="array" ref="C229">INDEX(GMW!$A$2:$LR$60,MATCH(1,(GMW!$LQ$2:$LQ$60=C$3)*(GMW!$LP$2:$LP$60=C$4)*(GMW!$LR$2:$LR$60=C$1),0),$B229-1966)</f>
        <v>616915.30000000005</v>
      </c>
      <c r="D229" s="5" cm="1">
        <f t="array" ref="D229">INDEX(GMW!$A$2:$LR$60,MATCH(1,(GMW!$LQ$2:$LQ$60=D$3)*(GMW!$LP$2:$LP$60=D$4)*(GMW!$LR$2:$LR$60=D$1),0),$B229-1966)</f>
        <v>6243.1670000000004</v>
      </c>
      <c r="E229" s="5" cm="1">
        <f t="array" ref="E229">INDEX(GMW!$A$2:$LR$60,MATCH(1,(GMW!$LQ$2:$LQ$60=E$3)*(GMW!$LP$2:$LP$60=E$4)*(GMW!$LR$2:$LR$60=E$1),0),$B229-1966)</f>
        <v>143838.1</v>
      </c>
      <c r="F229" s="5" cm="1">
        <f t="array" ref="F229">INDEX(GMW!$A$2:$LR$60,MATCH(1,(GMW!$LQ$2:$LQ$60=F$3)*(GMW!$LP$2:$LP$60=F$4)*(GMW!$LR$2:$LR$60=F$1),0),$B229-1966)</f>
        <v>883.3175</v>
      </c>
      <c r="G229" s="5" cm="1">
        <f t="array" ref="G229">INDEX(GMW!$A$2:$LR$60,MATCH(1,(GMW!$LQ$2:$LQ$60=G$3)*(GMW!$LP$2:$LP$60=G$4)*(GMW!$LR$2:$LR$60=G$1),0),$B229-1966)</f>
        <v>689.91</v>
      </c>
      <c r="H229" s="5" cm="1">
        <f t="array" ref="H229">INDEX(GMW!$A$2:$LR$60,MATCH(1,(GMW!$LQ$2:$LQ$60=H$3)*(GMW!$LP$2:$LP$60=H$4)*(GMW!$LR$2:$LR$60=H$1),0),$B229-1966)</f>
        <v>465.80939999999998</v>
      </c>
      <c r="I229" s="5" cm="1">
        <f t="array" ref="I229">INDEX(GMW!$A$2:$LR$60,MATCH(1,(GMW!$LQ$2:$LQ$60=I$3)*(GMW!$LP$2:$LP$60=I$4)*(GMW!$LR$2:$LR$60=I$1),0),$B229-1966)</f>
        <v>648618.1</v>
      </c>
    </row>
    <row r="230" spans="1:9" x14ac:dyDescent="0.25">
      <c r="A230" s="5">
        <f t="shared" si="8"/>
        <v>2028</v>
      </c>
      <c r="B230" s="5">
        <f t="shared" si="7"/>
        <v>2196</v>
      </c>
      <c r="C230" s="5" cm="1">
        <f t="array" ref="C230">INDEX(GMW!$A$2:$LR$60,MATCH(1,(GMW!$LQ$2:$LQ$60=C$3)*(GMW!$LP$2:$LP$60=C$4)*(GMW!$LR$2:$LR$60=C$1),0),$B230-1966)</f>
        <v>619413.80000000005</v>
      </c>
      <c r="D230" s="5" cm="1">
        <f t="array" ref="D230">INDEX(GMW!$A$2:$LR$60,MATCH(1,(GMW!$LQ$2:$LQ$60=D$3)*(GMW!$LP$2:$LP$60=D$4)*(GMW!$LR$2:$LR$60=D$1),0),$B230-1966)</f>
        <v>6274.4589999999998</v>
      </c>
      <c r="E230" s="5" cm="1">
        <f t="array" ref="E230">INDEX(GMW!$A$2:$LR$60,MATCH(1,(GMW!$LQ$2:$LQ$60=E$3)*(GMW!$LP$2:$LP$60=E$4)*(GMW!$LR$2:$LR$60=E$1),0),$B230-1966)</f>
        <v>143927.9</v>
      </c>
      <c r="F230" s="5" cm="1">
        <f t="array" ref="F230">INDEX(GMW!$A$2:$LR$60,MATCH(1,(GMW!$LQ$2:$LQ$60=F$3)*(GMW!$LP$2:$LP$60=F$4)*(GMW!$LR$2:$LR$60=F$1),0),$B230-1966)</f>
        <v>886.48389999999995</v>
      </c>
      <c r="G230" s="5" cm="1">
        <f t="array" ref="G230">INDEX(GMW!$A$2:$LR$60,MATCH(1,(GMW!$LQ$2:$LQ$60=G$3)*(GMW!$LP$2:$LP$60=G$4)*(GMW!$LR$2:$LR$60=G$1),0),$B230-1966)</f>
        <v>692.57</v>
      </c>
      <c r="H230" s="5" cm="1">
        <f t="array" ref="H230">INDEX(GMW!$A$2:$LR$60,MATCH(1,(GMW!$LQ$2:$LQ$60=H$3)*(GMW!$LP$2:$LP$60=H$4)*(GMW!$LR$2:$LR$60=H$1),0),$B230-1966)</f>
        <v>466.43549999999999</v>
      </c>
      <c r="I230" s="5" cm="1">
        <f t="array" ref="I230">INDEX(GMW!$A$2:$LR$60,MATCH(1,(GMW!$LQ$2:$LQ$60=I$3)*(GMW!$LP$2:$LP$60=I$4)*(GMW!$LR$2:$LR$60=I$1),0),$B230-1966)</f>
        <v>652245.4</v>
      </c>
    </row>
    <row r="231" spans="1:9" x14ac:dyDescent="0.25">
      <c r="A231" s="5">
        <f t="shared" si="8"/>
        <v>2029</v>
      </c>
      <c r="B231" s="5">
        <f t="shared" si="7"/>
        <v>2197</v>
      </c>
      <c r="C231" s="5" cm="1">
        <f t="array" ref="C231">INDEX(GMW!$A$2:$LR$60,MATCH(1,(GMW!$LQ$2:$LQ$60=C$3)*(GMW!$LP$2:$LP$60=C$4)*(GMW!$LR$2:$LR$60=C$1),0),$B231-1966)</f>
        <v>621860.4</v>
      </c>
      <c r="D231" s="5" cm="1">
        <f t="array" ref="D231">INDEX(GMW!$A$2:$LR$60,MATCH(1,(GMW!$LQ$2:$LQ$60=D$3)*(GMW!$LP$2:$LP$60=D$4)*(GMW!$LR$2:$LR$60=D$1),0),$B231-1966)</f>
        <v>6305.5990000000002</v>
      </c>
      <c r="E231" s="5" cm="1">
        <f t="array" ref="E231">INDEX(GMW!$A$2:$LR$60,MATCH(1,(GMW!$LQ$2:$LQ$60=E$3)*(GMW!$LP$2:$LP$60=E$4)*(GMW!$LR$2:$LR$60=E$1),0),$B231-1966)</f>
        <v>143996.70000000001</v>
      </c>
      <c r="F231" s="5" cm="1">
        <f t="array" ref="F231">INDEX(GMW!$A$2:$LR$60,MATCH(1,(GMW!$LQ$2:$LQ$60=F$3)*(GMW!$LP$2:$LP$60=F$4)*(GMW!$LR$2:$LR$60=F$1),0),$B231-1966)</f>
        <v>889.39030000000002</v>
      </c>
      <c r="G231" s="5" cm="1">
        <f t="array" ref="G231">INDEX(GMW!$A$2:$LR$60,MATCH(1,(GMW!$LQ$2:$LQ$60=G$3)*(GMW!$LP$2:$LP$60=G$4)*(GMW!$LR$2:$LR$60=G$1),0),$B231-1966)</f>
        <v>695.17</v>
      </c>
      <c r="H231" s="5" cm="1">
        <f t="array" ref="H231">INDEX(GMW!$A$2:$LR$60,MATCH(1,(GMW!$LQ$2:$LQ$60=H$3)*(GMW!$LP$2:$LP$60=H$4)*(GMW!$LR$2:$LR$60=H$1),0),$B231-1966)</f>
        <v>467.06169999999997</v>
      </c>
      <c r="I231" s="5" cm="1">
        <f t="array" ref="I231">INDEX(GMW!$A$2:$LR$60,MATCH(1,(GMW!$LQ$2:$LQ$60=I$3)*(GMW!$LP$2:$LP$60=I$4)*(GMW!$LR$2:$LR$60=I$1),0),$B231-1966)</f>
        <v>655801.9</v>
      </c>
    </row>
    <row r="232" spans="1:9" x14ac:dyDescent="0.25">
      <c r="A232" s="5">
        <f t="shared" si="8"/>
        <v>2029</v>
      </c>
      <c r="B232" s="5">
        <f t="shared" si="7"/>
        <v>2198</v>
      </c>
      <c r="C232" s="5" cm="1">
        <f t="array" ref="C232">INDEX(GMW!$A$2:$LR$60,MATCH(1,(GMW!$LQ$2:$LQ$60=C$3)*(GMW!$LP$2:$LP$60=C$4)*(GMW!$LR$2:$LR$60=C$1),0),$B232-1966)</f>
        <v>624285.69999999995</v>
      </c>
      <c r="D232" s="5" cm="1">
        <f t="array" ref="D232">INDEX(GMW!$A$2:$LR$60,MATCH(1,(GMW!$LQ$2:$LQ$60=D$3)*(GMW!$LP$2:$LP$60=D$4)*(GMW!$LR$2:$LR$60=D$1),0),$B232-1966)</f>
        <v>6337.058</v>
      </c>
      <c r="E232" s="5" cm="1">
        <f t="array" ref="E232">INDEX(GMW!$A$2:$LR$60,MATCH(1,(GMW!$LQ$2:$LQ$60=E$3)*(GMW!$LP$2:$LP$60=E$4)*(GMW!$LR$2:$LR$60=E$1),0),$B232-1966)</f>
        <v>144070.1</v>
      </c>
      <c r="F232" s="5" cm="1">
        <f t="array" ref="F232">INDEX(GMW!$A$2:$LR$60,MATCH(1,(GMW!$LQ$2:$LQ$60=F$3)*(GMW!$LP$2:$LP$60=F$4)*(GMW!$LR$2:$LR$60=F$1),0),$B232-1966)</f>
        <v>892.12249999999995</v>
      </c>
      <c r="G232" s="5" cm="1">
        <f t="array" ref="G232">INDEX(GMW!$A$2:$LR$60,MATCH(1,(GMW!$LQ$2:$LQ$60=G$3)*(GMW!$LP$2:$LP$60=G$4)*(GMW!$LR$2:$LR$60=G$1),0),$B232-1966)</f>
        <v>697.84</v>
      </c>
      <c r="H232" s="5" cm="1">
        <f t="array" ref="H232">INDEX(GMW!$A$2:$LR$60,MATCH(1,(GMW!$LQ$2:$LQ$60=H$3)*(GMW!$LP$2:$LP$60=H$4)*(GMW!$LR$2:$LR$60=H$1),0),$B232-1966)</f>
        <v>467.68779999999998</v>
      </c>
      <c r="I232" s="5" cm="1">
        <f t="array" ref="I232">INDEX(GMW!$A$2:$LR$60,MATCH(1,(GMW!$LQ$2:$LQ$60=I$3)*(GMW!$LP$2:$LP$60=I$4)*(GMW!$LR$2:$LR$60=I$1),0),$B232-1966)</f>
        <v>659308.30000000005</v>
      </c>
    </row>
    <row r="233" spans="1:9" x14ac:dyDescent="0.25">
      <c r="A233" s="5">
        <f t="shared" si="8"/>
        <v>2029</v>
      </c>
      <c r="B233" s="5">
        <f t="shared" si="7"/>
        <v>2199</v>
      </c>
      <c r="C233" s="5" cm="1">
        <f t="array" ref="C233">INDEX(GMW!$A$2:$LR$60,MATCH(1,(GMW!$LQ$2:$LQ$60=C$3)*(GMW!$LP$2:$LP$60=C$4)*(GMW!$LR$2:$LR$60=C$1),0),$B233-1966)</f>
        <v>626689.19999999995</v>
      </c>
      <c r="D233" s="5" cm="1">
        <f t="array" ref="D233">INDEX(GMW!$A$2:$LR$60,MATCH(1,(GMW!$LQ$2:$LQ$60=D$3)*(GMW!$LP$2:$LP$60=D$4)*(GMW!$LR$2:$LR$60=D$1),0),$B233-1966)</f>
        <v>6368.4809999999998</v>
      </c>
      <c r="E233" s="5" cm="1">
        <f t="array" ref="E233">INDEX(GMW!$A$2:$LR$60,MATCH(1,(GMW!$LQ$2:$LQ$60=E$3)*(GMW!$LP$2:$LP$60=E$4)*(GMW!$LR$2:$LR$60=E$1),0),$B233-1966)</f>
        <v>144136.9</v>
      </c>
      <c r="F233" s="5" cm="1">
        <f t="array" ref="F233">INDEX(GMW!$A$2:$LR$60,MATCH(1,(GMW!$LQ$2:$LQ$60=F$3)*(GMW!$LP$2:$LP$60=F$4)*(GMW!$LR$2:$LR$60=F$1),0),$B233-1966)</f>
        <v>894.55</v>
      </c>
      <c r="G233" s="5" cm="1">
        <f t="array" ref="G233">INDEX(GMW!$A$2:$LR$60,MATCH(1,(GMW!$LQ$2:$LQ$60=G$3)*(GMW!$LP$2:$LP$60=G$4)*(GMW!$LR$2:$LR$60=G$1),0),$B233-1966)</f>
        <v>700.49</v>
      </c>
      <c r="H233" s="5" cm="1">
        <f t="array" ref="H233">INDEX(GMW!$A$2:$LR$60,MATCH(1,(GMW!$LQ$2:$LQ$60=H$3)*(GMW!$LP$2:$LP$60=H$4)*(GMW!$LR$2:$LR$60=H$1),0),$B233-1966)</f>
        <v>468.31389999999999</v>
      </c>
      <c r="I233" s="5" cm="1">
        <f t="array" ref="I233">INDEX(GMW!$A$2:$LR$60,MATCH(1,(GMW!$LQ$2:$LQ$60=I$3)*(GMW!$LP$2:$LP$60=I$4)*(GMW!$LR$2:$LR$60=I$1),0),$B233-1966)</f>
        <v>662796.5</v>
      </c>
    </row>
    <row r="234" spans="1:9" x14ac:dyDescent="0.25">
      <c r="A234" s="5">
        <f t="shared" si="8"/>
        <v>2029</v>
      </c>
      <c r="B234" s="5">
        <f t="shared" si="7"/>
        <v>2200</v>
      </c>
      <c r="C234" s="5" cm="1">
        <f t="array" ref="C234">INDEX(GMW!$A$2:$LR$60,MATCH(1,(GMW!$LQ$2:$LQ$60=C$3)*(GMW!$LP$2:$LP$60=C$4)*(GMW!$LR$2:$LR$60=C$1),0),$B234-1966)</f>
        <v>629070.6</v>
      </c>
      <c r="D234" s="5" cm="1">
        <f t="array" ref="D234">INDEX(GMW!$A$2:$LR$60,MATCH(1,(GMW!$LQ$2:$LQ$60=D$3)*(GMW!$LP$2:$LP$60=D$4)*(GMW!$LR$2:$LR$60=D$1),0),$B234-1966)</f>
        <v>6399.9859999999999</v>
      </c>
      <c r="E234" s="5" cm="1">
        <f t="array" ref="E234">INDEX(GMW!$A$2:$LR$60,MATCH(1,(GMW!$LQ$2:$LQ$60=E$3)*(GMW!$LP$2:$LP$60=E$4)*(GMW!$LR$2:$LR$60=E$1),0),$B234-1966)</f>
        <v>144192</v>
      </c>
      <c r="F234" s="5" cm="1">
        <f t="array" ref="F234">INDEX(GMW!$A$2:$LR$60,MATCH(1,(GMW!$LQ$2:$LQ$60=F$3)*(GMW!$LP$2:$LP$60=F$4)*(GMW!$LR$2:$LR$60=F$1),0),$B234-1966)</f>
        <v>896.74580000000003</v>
      </c>
      <c r="G234" s="5" cm="1">
        <f t="array" ref="G234">INDEX(GMW!$A$2:$LR$60,MATCH(1,(GMW!$LQ$2:$LQ$60=G$3)*(GMW!$LP$2:$LP$60=G$4)*(GMW!$LR$2:$LR$60=G$1),0),$B234-1966)</f>
        <v>703.08</v>
      </c>
      <c r="H234" s="5" cm="1">
        <f t="array" ref="H234">INDEX(GMW!$A$2:$LR$60,MATCH(1,(GMW!$LQ$2:$LQ$60=H$3)*(GMW!$LP$2:$LP$60=H$4)*(GMW!$LR$2:$LR$60=H$1),0),$B234-1966)</f>
        <v>468.94009999999997</v>
      </c>
      <c r="I234" s="5" cm="1">
        <f t="array" ref="I234">INDEX(GMW!$A$2:$LR$60,MATCH(1,(GMW!$LQ$2:$LQ$60=I$3)*(GMW!$LP$2:$LP$60=I$4)*(GMW!$LR$2:$LR$60=I$1),0),$B234-1966)</f>
        <v>666378.80000000005</v>
      </c>
    </row>
    <row r="235" spans="1:9" x14ac:dyDescent="0.25">
      <c r="A235" s="5">
        <f t="shared" si="8"/>
        <v>2030</v>
      </c>
      <c r="B235" s="5">
        <f t="shared" si="7"/>
        <v>2201</v>
      </c>
      <c r="C235" s="5" cm="1">
        <f t="array" ref="C235">INDEX(GMW!$A$2:$LR$60,MATCH(1,(GMW!$LQ$2:$LQ$60=C$3)*(GMW!$LP$2:$LP$60=C$4)*(GMW!$LR$2:$LR$60=C$1),0),$B235-1966)</f>
        <v>631461.1</v>
      </c>
      <c r="D235" s="5" cm="1">
        <f t="array" ref="D235">INDEX(GMW!$A$2:$LR$60,MATCH(1,(GMW!$LQ$2:$LQ$60=D$3)*(GMW!$LP$2:$LP$60=D$4)*(GMW!$LR$2:$LR$60=D$1),0),$B235-1966)</f>
        <v>6431.4430000000002</v>
      </c>
      <c r="E235" s="5" cm="1">
        <f t="array" ref="E235">INDEX(GMW!$A$2:$LR$60,MATCH(1,(GMW!$LQ$2:$LQ$60=E$3)*(GMW!$LP$2:$LP$60=E$4)*(GMW!$LR$2:$LR$60=E$1),0),$B235-1966)</f>
        <v>144240</v>
      </c>
      <c r="F235" s="5" cm="1">
        <f t="array" ref="F235">INDEX(GMW!$A$2:$LR$60,MATCH(1,(GMW!$LQ$2:$LQ$60=F$3)*(GMW!$LP$2:$LP$60=F$4)*(GMW!$LR$2:$LR$60=F$1),0),$B235-1966)</f>
        <v>898.89400000000001</v>
      </c>
      <c r="G235" s="5" cm="1">
        <f t="array" ref="G235">INDEX(GMW!$A$2:$LR$60,MATCH(1,(GMW!$LQ$2:$LQ$60=G$3)*(GMW!$LP$2:$LP$60=G$4)*(GMW!$LR$2:$LR$60=G$1),0),$B235-1966)</f>
        <v>705.49</v>
      </c>
      <c r="H235" s="5" cm="1">
        <f t="array" ref="H235">INDEX(GMW!$A$2:$LR$60,MATCH(1,(GMW!$LQ$2:$LQ$60=H$3)*(GMW!$LP$2:$LP$60=H$4)*(GMW!$LR$2:$LR$60=H$1),0),$B235-1966)</f>
        <v>469.56619999999998</v>
      </c>
      <c r="I235" s="5" cm="1">
        <f t="array" ref="I235">INDEX(GMW!$A$2:$LR$60,MATCH(1,(GMW!$LQ$2:$LQ$60=I$3)*(GMW!$LP$2:$LP$60=I$4)*(GMW!$LR$2:$LR$60=I$1),0),$B235-1966)</f>
        <v>669948.9</v>
      </c>
    </row>
    <row r="236" spans="1:9" x14ac:dyDescent="0.25">
      <c r="A236" s="5">
        <f t="shared" si="8"/>
        <v>2030</v>
      </c>
      <c r="B236" s="5">
        <f t="shared" si="7"/>
        <v>2202</v>
      </c>
      <c r="C236" s="5" cm="1">
        <f t="array" ref="C236">INDEX(GMW!$A$2:$LR$60,MATCH(1,(GMW!$LQ$2:$LQ$60=C$3)*(GMW!$LP$2:$LP$60=C$4)*(GMW!$LR$2:$LR$60=C$1),0),$B236-1966)</f>
        <v>633829.1</v>
      </c>
      <c r="D236" s="5" cm="1">
        <f t="array" ref="D236">INDEX(GMW!$A$2:$LR$60,MATCH(1,(GMW!$LQ$2:$LQ$60=D$3)*(GMW!$LP$2:$LP$60=D$4)*(GMW!$LR$2:$LR$60=D$1),0),$B236-1966)</f>
        <v>6462.7420000000002</v>
      </c>
      <c r="E236" s="5" cm="1">
        <f t="array" ref="E236">INDEX(GMW!$A$2:$LR$60,MATCH(1,(GMW!$LQ$2:$LQ$60=E$3)*(GMW!$LP$2:$LP$60=E$4)*(GMW!$LR$2:$LR$60=E$1),0),$B236-1966)</f>
        <v>144293.20000000001</v>
      </c>
      <c r="F236" s="5" cm="1">
        <f t="array" ref="F236">INDEX(GMW!$A$2:$LR$60,MATCH(1,(GMW!$LQ$2:$LQ$60=F$3)*(GMW!$LP$2:$LP$60=F$4)*(GMW!$LR$2:$LR$60=F$1),0),$B236-1966)</f>
        <v>900.95500000000004</v>
      </c>
      <c r="G236" s="5" cm="1">
        <f t="array" ref="G236">INDEX(GMW!$A$2:$LR$60,MATCH(1,(GMW!$LQ$2:$LQ$60=G$3)*(GMW!$LP$2:$LP$60=G$4)*(GMW!$LR$2:$LR$60=G$1),0),$B236-1966)</f>
        <v>707.78</v>
      </c>
      <c r="H236" s="5" cm="1">
        <f t="array" ref="H236">INDEX(GMW!$A$2:$LR$60,MATCH(1,(GMW!$LQ$2:$LQ$60=H$3)*(GMW!$LP$2:$LP$60=H$4)*(GMW!$LR$2:$LR$60=H$1),0),$B236-1966)</f>
        <v>470.10070000000002</v>
      </c>
      <c r="I236" s="5" cm="1">
        <f t="array" ref="I236">INDEX(GMW!$A$2:$LR$60,MATCH(1,(GMW!$LQ$2:$LQ$60=I$3)*(GMW!$LP$2:$LP$60=I$4)*(GMW!$LR$2:$LR$60=I$1),0),$B236-1966)</f>
        <v>673489.7</v>
      </c>
    </row>
    <row r="237" spans="1:9" x14ac:dyDescent="0.25">
      <c r="A237" s="5">
        <f t="shared" si="8"/>
        <v>2030</v>
      </c>
      <c r="B237" s="5">
        <f t="shared" si="7"/>
        <v>2203</v>
      </c>
      <c r="C237" s="5" cm="1">
        <f t="array" ref="C237">INDEX(GMW!$A$2:$LR$60,MATCH(1,(GMW!$LQ$2:$LQ$60=C$3)*(GMW!$LP$2:$LP$60=C$4)*(GMW!$LR$2:$LR$60=C$1),0),$B237-1966)</f>
        <v>636205.9</v>
      </c>
      <c r="D237" s="5" cm="1">
        <f t="array" ref="D237">INDEX(GMW!$A$2:$LR$60,MATCH(1,(GMW!$LQ$2:$LQ$60=D$3)*(GMW!$LP$2:$LP$60=D$4)*(GMW!$LR$2:$LR$60=D$1),0),$B237-1966)</f>
        <v>6493.6769999999997</v>
      </c>
      <c r="E237" s="5" cm="1">
        <f t="array" ref="E237">INDEX(GMW!$A$2:$LR$60,MATCH(1,(GMW!$LQ$2:$LQ$60=E$3)*(GMW!$LP$2:$LP$60=E$4)*(GMW!$LR$2:$LR$60=E$1),0),$B237-1966)</f>
        <v>144328</v>
      </c>
      <c r="F237" s="5" cm="1">
        <f t="array" ref="F237">INDEX(GMW!$A$2:$LR$60,MATCH(1,(GMW!$LQ$2:$LQ$60=F$3)*(GMW!$LP$2:$LP$60=F$4)*(GMW!$LR$2:$LR$60=F$1),0),$B237-1966)</f>
        <v>902.94820000000004</v>
      </c>
      <c r="G237" s="5" cm="1">
        <f t="array" ref="G237">INDEX(GMW!$A$2:$LR$60,MATCH(1,(GMW!$LQ$2:$LQ$60=G$3)*(GMW!$LP$2:$LP$60=G$4)*(GMW!$LR$2:$LR$60=G$1),0),$B237-1966)</f>
        <v>709.97</v>
      </c>
      <c r="H237" s="5" cm="1">
        <f t="array" ref="H237">INDEX(GMW!$A$2:$LR$60,MATCH(1,(GMW!$LQ$2:$LQ$60=H$3)*(GMW!$LP$2:$LP$60=H$4)*(GMW!$LR$2:$LR$60=H$1),0),$B237-1966)</f>
        <v>470.63529999999997</v>
      </c>
      <c r="I237" s="5" cm="1">
        <f t="array" ref="I237">INDEX(GMW!$A$2:$LR$60,MATCH(1,(GMW!$LQ$2:$LQ$60=I$3)*(GMW!$LP$2:$LP$60=I$4)*(GMW!$LR$2:$LR$60=I$1),0),$B237-1966)</f>
        <v>676993.9</v>
      </c>
    </row>
    <row r="238" spans="1:9" x14ac:dyDescent="0.25">
      <c r="A238" s="5">
        <f t="shared" si="8"/>
        <v>2030</v>
      </c>
      <c r="B238" s="5">
        <f t="shared" si="7"/>
        <v>2204</v>
      </c>
      <c r="C238" s="5" cm="1">
        <f t="array" ref="C238">INDEX(GMW!$A$2:$LR$60,MATCH(1,(GMW!$LQ$2:$LQ$60=C$3)*(GMW!$LP$2:$LP$60=C$4)*(GMW!$LR$2:$LR$60=C$1),0),$B238-1966)</f>
        <v>638591.69999999995</v>
      </c>
      <c r="D238" s="5" cm="1">
        <f t="array" ref="D238">INDEX(GMW!$A$2:$LR$60,MATCH(1,(GMW!$LQ$2:$LQ$60=D$3)*(GMW!$LP$2:$LP$60=D$4)*(GMW!$LR$2:$LR$60=D$1),0),$B238-1966)</f>
        <v>6524.4740000000002</v>
      </c>
      <c r="E238" s="5" cm="1">
        <f t="array" ref="E238">INDEX(GMW!$A$2:$LR$60,MATCH(1,(GMW!$LQ$2:$LQ$60=E$3)*(GMW!$LP$2:$LP$60=E$4)*(GMW!$LR$2:$LR$60=E$1),0),$B238-1966)</f>
        <v>144347.6</v>
      </c>
      <c r="F238" s="5" cm="1">
        <f t="array" ref="F238">INDEX(GMW!$A$2:$LR$60,MATCH(1,(GMW!$LQ$2:$LQ$60=F$3)*(GMW!$LP$2:$LP$60=F$4)*(GMW!$LR$2:$LR$60=F$1),0),$B238-1966)</f>
        <v>904.8655</v>
      </c>
      <c r="G238" s="5" cm="1">
        <f t="array" ref="G238">INDEX(GMW!$A$2:$LR$60,MATCH(1,(GMW!$LQ$2:$LQ$60=G$3)*(GMW!$LP$2:$LP$60=G$4)*(GMW!$LR$2:$LR$60=G$1),0),$B238-1966)</f>
        <v>712.15</v>
      </c>
      <c r="H238" s="5" cm="1">
        <f t="array" ref="H238">INDEX(GMW!$A$2:$LR$60,MATCH(1,(GMW!$LQ$2:$LQ$60=H$3)*(GMW!$LP$2:$LP$60=H$4)*(GMW!$LR$2:$LR$60=H$1),0),$B238-1966)</f>
        <v>471.16980000000001</v>
      </c>
      <c r="I238" s="5" cm="1">
        <f t="array" ref="I238">INDEX(GMW!$A$2:$LR$60,MATCH(1,(GMW!$LQ$2:$LQ$60=I$3)*(GMW!$LP$2:$LP$60=I$4)*(GMW!$LR$2:$LR$60=I$1),0),$B238-1966)</f>
        <v>680477.8</v>
      </c>
    </row>
    <row r="239" spans="1:9" x14ac:dyDescent="0.25">
      <c r="A239" s="5">
        <f t="shared" si="8"/>
        <v>2031</v>
      </c>
      <c r="B239" s="5">
        <f t="shared" si="7"/>
        <v>2205</v>
      </c>
      <c r="C239" s="5" cm="1">
        <f t="array" ref="C239">INDEX(GMW!$A$2:$LR$60,MATCH(1,(GMW!$LQ$2:$LQ$60=C$3)*(GMW!$LP$2:$LP$60=C$4)*(GMW!$LR$2:$LR$60=C$1),0),$B239-1966)</f>
        <v>640986.4</v>
      </c>
      <c r="D239" s="5" cm="1">
        <f t="array" ref="D239">INDEX(GMW!$A$2:$LR$60,MATCH(1,(GMW!$LQ$2:$LQ$60=D$3)*(GMW!$LP$2:$LP$60=D$4)*(GMW!$LR$2:$LR$60=D$1),0),$B239-1966)</f>
        <v>6555.241</v>
      </c>
      <c r="E239" s="5" cm="1">
        <f t="array" ref="E239">INDEX(GMW!$A$2:$LR$60,MATCH(1,(GMW!$LQ$2:$LQ$60=E$3)*(GMW!$LP$2:$LP$60=E$4)*(GMW!$LR$2:$LR$60=E$1),0),$B239-1966)</f>
        <v>144351</v>
      </c>
      <c r="F239" s="5" cm="1">
        <f t="array" ref="F239">INDEX(GMW!$A$2:$LR$60,MATCH(1,(GMW!$LQ$2:$LQ$60=F$3)*(GMW!$LP$2:$LP$60=F$4)*(GMW!$LR$2:$LR$60=F$1),0),$B239-1966)</f>
        <v>906.74869999999999</v>
      </c>
      <c r="G239" s="5" cm="1">
        <f t="array" ref="G239">INDEX(GMW!$A$2:$LR$60,MATCH(1,(GMW!$LQ$2:$LQ$60=G$3)*(GMW!$LP$2:$LP$60=G$4)*(GMW!$LR$2:$LR$60=G$1),0),$B239-1966)</f>
        <v>714.33</v>
      </c>
      <c r="H239" s="5" cm="1">
        <f t="array" ref="H239">INDEX(GMW!$A$2:$LR$60,MATCH(1,(GMW!$LQ$2:$LQ$60=H$3)*(GMW!$LP$2:$LP$60=H$4)*(GMW!$LR$2:$LR$60=H$1),0),$B239-1966)</f>
        <v>471.70429999999999</v>
      </c>
      <c r="I239" s="5" cm="1">
        <f t="array" ref="I239">INDEX(GMW!$A$2:$LR$60,MATCH(1,(GMW!$LQ$2:$LQ$60=I$3)*(GMW!$LP$2:$LP$60=I$4)*(GMW!$LR$2:$LR$60=I$1),0),$B239-1966)</f>
        <v>683897.3</v>
      </c>
    </row>
    <row r="240" spans="1:9" x14ac:dyDescent="0.25">
      <c r="A240" s="5">
        <f t="shared" si="8"/>
        <v>2031</v>
      </c>
      <c r="B240" s="5">
        <f t="shared" si="7"/>
        <v>2206</v>
      </c>
      <c r="C240" s="5" cm="1">
        <f t="array" ref="C240">INDEX(GMW!$A$2:$LR$60,MATCH(1,(GMW!$LQ$2:$LQ$60=C$3)*(GMW!$LP$2:$LP$60=C$4)*(GMW!$LR$2:$LR$60=C$1),0),$B240-1966)</f>
        <v>643422.19999999995</v>
      </c>
      <c r="D240" s="5" cm="1">
        <f t="array" ref="D240">INDEX(GMW!$A$2:$LR$60,MATCH(1,(GMW!$LQ$2:$LQ$60=D$3)*(GMW!$LP$2:$LP$60=D$4)*(GMW!$LR$2:$LR$60=D$1),0),$B240-1966)</f>
        <v>6585.9210000000003</v>
      </c>
      <c r="E240" s="5" cm="1">
        <f t="array" ref="E240">INDEX(GMW!$A$2:$LR$60,MATCH(1,(GMW!$LQ$2:$LQ$60=E$3)*(GMW!$LP$2:$LP$60=E$4)*(GMW!$LR$2:$LR$60=E$1),0),$B240-1966)</f>
        <v>144361.5</v>
      </c>
      <c r="F240" s="5" cm="1">
        <f t="array" ref="F240">INDEX(GMW!$A$2:$LR$60,MATCH(1,(GMW!$LQ$2:$LQ$60=F$3)*(GMW!$LP$2:$LP$60=F$4)*(GMW!$LR$2:$LR$60=F$1),0),$B240-1966)</f>
        <v>908.61379999999997</v>
      </c>
      <c r="G240" s="5" cm="1">
        <f t="array" ref="G240">INDEX(GMW!$A$2:$LR$60,MATCH(1,(GMW!$LQ$2:$LQ$60=G$3)*(GMW!$LP$2:$LP$60=G$4)*(GMW!$LR$2:$LR$60=G$1),0),$B240-1966)</f>
        <v>716.51</v>
      </c>
      <c r="H240" s="5" cm="1">
        <f t="array" ref="H240">INDEX(GMW!$A$2:$LR$60,MATCH(1,(GMW!$LQ$2:$LQ$60=H$3)*(GMW!$LP$2:$LP$60=H$4)*(GMW!$LR$2:$LR$60=H$1),0),$B240-1966)</f>
        <v>472.23880000000003</v>
      </c>
      <c r="I240" s="5" cm="1">
        <f t="array" ref="I240">INDEX(GMW!$A$2:$LR$60,MATCH(1,(GMW!$LQ$2:$LQ$60=I$3)*(GMW!$LP$2:$LP$60=I$4)*(GMW!$LR$2:$LR$60=I$1),0),$B240-1966)</f>
        <v>687295.5</v>
      </c>
    </row>
    <row r="241" spans="1:9" x14ac:dyDescent="0.25">
      <c r="A241" s="5">
        <f t="shared" si="8"/>
        <v>2031</v>
      </c>
      <c r="B241" s="5">
        <f t="shared" ref="B241:B304" si="9">+B240+1</f>
        <v>2207</v>
      </c>
      <c r="C241" s="5" cm="1">
        <f t="array" ref="C241">INDEX(GMW!$A$2:$LR$60,MATCH(1,(GMW!$LQ$2:$LQ$60=C$3)*(GMW!$LP$2:$LP$60=C$4)*(GMW!$LR$2:$LR$60=C$1),0),$B241-1966)</f>
        <v>645867.19999999995</v>
      </c>
      <c r="D241" s="5" cm="1">
        <f t="array" ref="D241">INDEX(GMW!$A$2:$LR$60,MATCH(1,(GMW!$LQ$2:$LQ$60=D$3)*(GMW!$LP$2:$LP$60=D$4)*(GMW!$LR$2:$LR$60=D$1),0),$B241-1966)</f>
        <v>6616.62</v>
      </c>
      <c r="E241" s="5" cm="1">
        <f t="array" ref="E241">INDEX(GMW!$A$2:$LR$60,MATCH(1,(GMW!$LQ$2:$LQ$60=E$3)*(GMW!$LP$2:$LP$60=E$4)*(GMW!$LR$2:$LR$60=E$1),0),$B241-1966)</f>
        <v>144375.5</v>
      </c>
      <c r="F241" s="5" cm="1">
        <f t="array" ref="F241">INDEX(GMW!$A$2:$LR$60,MATCH(1,(GMW!$LQ$2:$LQ$60=F$3)*(GMW!$LP$2:$LP$60=F$4)*(GMW!$LR$2:$LR$60=F$1),0),$B241-1966)</f>
        <v>910.46019999999999</v>
      </c>
      <c r="G241" s="5" cm="1">
        <f t="array" ref="G241">INDEX(GMW!$A$2:$LR$60,MATCH(1,(GMW!$LQ$2:$LQ$60=G$3)*(GMW!$LP$2:$LP$60=G$4)*(GMW!$LR$2:$LR$60=G$1),0),$B241-1966)</f>
        <v>718.7</v>
      </c>
      <c r="H241" s="5" cm="1">
        <f t="array" ref="H241">INDEX(GMW!$A$2:$LR$60,MATCH(1,(GMW!$LQ$2:$LQ$60=H$3)*(GMW!$LP$2:$LP$60=H$4)*(GMW!$LR$2:$LR$60=H$1),0),$B241-1966)</f>
        <v>472.73469999999998</v>
      </c>
      <c r="I241" s="5" cm="1">
        <f t="array" ref="I241">INDEX(GMW!$A$2:$LR$60,MATCH(1,(GMW!$LQ$2:$LQ$60=I$3)*(GMW!$LP$2:$LP$60=I$4)*(GMW!$LR$2:$LR$60=I$1),0),$B241-1966)</f>
        <v>690724.6</v>
      </c>
    </row>
    <row r="242" spans="1:9" x14ac:dyDescent="0.25">
      <c r="A242" s="5">
        <f t="shared" si="8"/>
        <v>2031</v>
      </c>
      <c r="B242" s="5">
        <f t="shared" si="9"/>
        <v>2208</v>
      </c>
      <c r="C242" s="5" cm="1">
        <f t="array" ref="C242">INDEX(GMW!$A$2:$LR$60,MATCH(1,(GMW!$LQ$2:$LQ$60=C$3)*(GMW!$LP$2:$LP$60=C$4)*(GMW!$LR$2:$LR$60=C$1),0),$B242-1966)</f>
        <v>648289.19999999995</v>
      </c>
      <c r="D242" s="5" cm="1">
        <f t="array" ref="D242">INDEX(GMW!$A$2:$LR$60,MATCH(1,(GMW!$LQ$2:$LQ$60=D$3)*(GMW!$LP$2:$LP$60=D$4)*(GMW!$LR$2:$LR$60=D$1),0),$B242-1966)</f>
        <v>6647.2979999999998</v>
      </c>
      <c r="E242" s="5" cm="1">
        <f t="array" ref="E242">INDEX(GMW!$A$2:$LR$60,MATCH(1,(GMW!$LQ$2:$LQ$60=E$3)*(GMW!$LP$2:$LP$60=E$4)*(GMW!$LR$2:$LR$60=E$1),0),$B242-1966)</f>
        <v>144393.79999999999</v>
      </c>
      <c r="F242" s="5" cm="1">
        <f t="array" ref="F242">INDEX(GMW!$A$2:$LR$60,MATCH(1,(GMW!$LQ$2:$LQ$60=F$3)*(GMW!$LP$2:$LP$60=F$4)*(GMW!$LR$2:$LR$60=F$1),0),$B242-1966)</f>
        <v>912.28790000000004</v>
      </c>
      <c r="G242" s="5" cm="1">
        <f t="array" ref="G242">INDEX(GMW!$A$2:$LR$60,MATCH(1,(GMW!$LQ$2:$LQ$60=G$3)*(GMW!$LP$2:$LP$60=G$4)*(GMW!$LR$2:$LR$60=G$1),0),$B242-1966)</f>
        <v>720.84</v>
      </c>
      <c r="H242" s="5" cm="1">
        <f t="array" ref="H242">INDEX(GMW!$A$2:$LR$60,MATCH(1,(GMW!$LQ$2:$LQ$60=H$3)*(GMW!$LP$2:$LP$60=H$4)*(GMW!$LR$2:$LR$60=H$1),0),$B242-1966)</f>
        <v>473.23070000000001</v>
      </c>
      <c r="I242" s="5" cm="1">
        <f t="array" ref="I242">INDEX(GMW!$A$2:$LR$60,MATCH(1,(GMW!$LQ$2:$LQ$60=I$3)*(GMW!$LP$2:$LP$60=I$4)*(GMW!$LR$2:$LR$60=I$1),0),$B242-1966)</f>
        <v>694136.5</v>
      </c>
    </row>
    <row r="243" spans="1:9" x14ac:dyDescent="0.25">
      <c r="A243" s="5">
        <f t="shared" si="8"/>
        <v>2032</v>
      </c>
      <c r="B243" s="5">
        <f t="shared" si="9"/>
        <v>2209</v>
      </c>
      <c r="C243" s="5" cm="1">
        <f t="array" ref="C243">INDEX(GMW!$A$2:$LR$60,MATCH(1,(GMW!$LQ$2:$LQ$60=C$3)*(GMW!$LP$2:$LP$60=C$4)*(GMW!$LR$2:$LR$60=C$1),0),$B243-1966)</f>
        <v>650687.80000000005</v>
      </c>
      <c r="D243" s="5" cm="1">
        <f t="array" ref="D243">INDEX(GMW!$A$2:$LR$60,MATCH(1,(GMW!$LQ$2:$LQ$60=D$3)*(GMW!$LP$2:$LP$60=D$4)*(GMW!$LR$2:$LR$60=D$1),0),$B243-1966)</f>
        <v>6677.9229999999998</v>
      </c>
      <c r="E243" s="5" cm="1">
        <f t="array" ref="E243">INDEX(GMW!$A$2:$LR$60,MATCH(1,(GMW!$LQ$2:$LQ$60=E$3)*(GMW!$LP$2:$LP$60=E$4)*(GMW!$LR$2:$LR$60=E$1),0),$B243-1966)</f>
        <v>144401.4</v>
      </c>
      <c r="F243" s="5" cm="1">
        <f t="array" ref="F243">INDEX(GMW!$A$2:$LR$60,MATCH(1,(GMW!$LQ$2:$LQ$60=F$3)*(GMW!$LP$2:$LP$60=F$4)*(GMW!$LR$2:$LR$60=F$1),0),$B243-1966)</f>
        <v>914.20510000000002</v>
      </c>
      <c r="G243" s="5" cm="1">
        <f t="array" ref="G243">INDEX(GMW!$A$2:$LR$60,MATCH(1,(GMW!$LQ$2:$LQ$60=G$3)*(GMW!$LP$2:$LP$60=G$4)*(GMW!$LR$2:$LR$60=G$1),0),$B243-1966)</f>
        <v>722.99</v>
      </c>
      <c r="H243" s="5" cm="1">
        <f t="array" ref="H243">INDEX(GMW!$A$2:$LR$60,MATCH(1,(GMW!$LQ$2:$LQ$60=H$3)*(GMW!$LP$2:$LP$60=H$4)*(GMW!$LR$2:$LR$60=H$1),0),$B243-1966)</f>
        <v>473.72649999999999</v>
      </c>
      <c r="I243" s="5" cm="1">
        <f t="array" ref="I243">INDEX(GMW!$A$2:$LR$60,MATCH(1,(GMW!$LQ$2:$LQ$60=I$3)*(GMW!$LP$2:$LP$60=I$4)*(GMW!$LR$2:$LR$60=I$1),0),$B243-1966)</f>
        <v>697511.7</v>
      </c>
    </row>
    <row r="244" spans="1:9" x14ac:dyDescent="0.25">
      <c r="A244" s="5">
        <f t="shared" si="8"/>
        <v>2032</v>
      </c>
      <c r="B244" s="5">
        <f t="shared" si="9"/>
        <v>2210</v>
      </c>
      <c r="C244" s="5" cm="1">
        <f t="array" ref="C244">INDEX(GMW!$A$2:$LR$60,MATCH(1,(GMW!$LQ$2:$LQ$60=C$3)*(GMW!$LP$2:$LP$60=C$4)*(GMW!$LR$2:$LR$60=C$1),0),$B244-1966)</f>
        <v>653127.9</v>
      </c>
      <c r="D244" s="5" cm="1">
        <f t="array" ref="D244">INDEX(GMW!$A$2:$LR$60,MATCH(1,(GMW!$LQ$2:$LQ$60=D$3)*(GMW!$LP$2:$LP$60=D$4)*(GMW!$LR$2:$LR$60=D$1),0),$B244-1966)</f>
        <v>6708.6549999999997</v>
      </c>
      <c r="E244" s="5" cm="1">
        <f t="array" ref="E244">INDEX(GMW!$A$2:$LR$60,MATCH(1,(GMW!$LQ$2:$LQ$60=E$3)*(GMW!$LP$2:$LP$60=E$4)*(GMW!$LR$2:$LR$60=E$1),0),$B244-1966)</f>
        <v>144395.29999999999</v>
      </c>
      <c r="F244" s="5" cm="1">
        <f t="array" ref="F244">INDEX(GMW!$A$2:$LR$60,MATCH(1,(GMW!$LQ$2:$LQ$60=F$3)*(GMW!$LP$2:$LP$60=F$4)*(GMW!$LR$2:$LR$60=F$1),0),$B244-1966)</f>
        <v>916.10360000000003</v>
      </c>
      <c r="G244" s="5" cm="1">
        <f t="array" ref="G244">INDEX(GMW!$A$2:$LR$60,MATCH(1,(GMW!$LQ$2:$LQ$60=G$3)*(GMW!$LP$2:$LP$60=G$4)*(GMW!$LR$2:$LR$60=G$1),0),$B244-1966)</f>
        <v>725.13</v>
      </c>
      <c r="H244" s="5" cm="1">
        <f t="array" ref="H244">INDEX(GMW!$A$2:$LR$60,MATCH(1,(GMW!$LQ$2:$LQ$60=H$3)*(GMW!$LP$2:$LP$60=H$4)*(GMW!$LR$2:$LR$60=H$1),0),$B244-1966)</f>
        <v>474.22239999999999</v>
      </c>
      <c r="I244" s="5" cm="1">
        <f t="array" ref="I244">INDEX(GMW!$A$2:$LR$60,MATCH(1,(GMW!$LQ$2:$LQ$60=I$3)*(GMW!$LP$2:$LP$60=I$4)*(GMW!$LR$2:$LR$60=I$1),0),$B244-1966)</f>
        <v>700892.5</v>
      </c>
    </row>
    <row r="245" spans="1:9" x14ac:dyDescent="0.25">
      <c r="A245" s="5">
        <f t="shared" si="8"/>
        <v>2032</v>
      </c>
      <c r="B245" s="5">
        <f t="shared" si="9"/>
        <v>2211</v>
      </c>
      <c r="C245" s="5" cm="1">
        <f t="array" ref="C245">INDEX(GMW!$A$2:$LR$60,MATCH(1,(GMW!$LQ$2:$LQ$60=C$3)*(GMW!$LP$2:$LP$60=C$4)*(GMW!$LR$2:$LR$60=C$1),0),$B245-1966)</f>
        <v>655511.80000000005</v>
      </c>
      <c r="D245" s="5" cm="1">
        <f t="array" ref="D245">INDEX(GMW!$A$2:$LR$60,MATCH(1,(GMW!$LQ$2:$LQ$60=D$3)*(GMW!$LP$2:$LP$60=D$4)*(GMW!$LR$2:$LR$60=D$1),0),$B245-1966)</f>
        <v>6739.4650000000001</v>
      </c>
      <c r="E245" s="5" cm="1">
        <f t="array" ref="E245">INDEX(GMW!$A$2:$LR$60,MATCH(1,(GMW!$LQ$2:$LQ$60=E$3)*(GMW!$LP$2:$LP$60=E$4)*(GMW!$LR$2:$LR$60=E$1),0),$B245-1966)</f>
        <v>144390.70000000001</v>
      </c>
      <c r="F245" s="5" cm="1">
        <f t="array" ref="F245">INDEX(GMW!$A$2:$LR$60,MATCH(1,(GMW!$LQ$2:$LQ$60=F$3)*(GMW!$LP$2:$LP$60=F$4)*(GMW!$LR$2:$LR$60=F$1),0),$B245-1966)</f>
        <v>917.9162</v>
      </c>
      <c r="G245" s="5" cm="1">
        <f t="array" ref="G245">INDEX(GMW!$A$2:$LR$60,MATCH(1,(GMW!$LQ$2:$LQ$60=G$3)*(GMW!$LP$2:$LP$60=G$4)*(GMW!$LR$2:$LR$60=G$1),0),$B245-1966)</f>
        <v>727.28</v>
      </c>
      <c r="H245" s="5" cm="1">
        <f t="array" ref="H245">INDEX(GMW!$A$2:$LR$60,MATCH(1,(GMW!$LQ$2:$LQ$60=H$3)*(GMW!$LP$2:$LP$60=H$4)*(GMW!$LR$2:$LR$60=H$1),0),$B245-1966)</f>
        <v>474.7183</v>
      </c>
      <c r="I245" s="5" cm="1">
        <f t="array" ref="I245">INDEX(GMW!$A$2:$LR$60,MATCH(1,(GMW!$LQ$2:$LQ$60=I$3)*(GMW!$LP$2:$LP$60=I$4)*(GMW!$LR$2:$LR$60=I$1),0),$B245-1966)</f>
        <v>704272.1</v>
      </c>
    </row>
    <row r="246" spans="1:9" x14ac:dyDescent="0.25">
      <c r="A246" s="5">
        <f t="shared" si="8"/>
        <v>2032</v>
      </c>
      <c r="B246" s="5">
        <f t="shared" si="9"/>
        <v>2212</v>
      </c>
      <c r="C246" s="5" cm="1">
        <f t="array" ref="C246">INDEX(GMW!$A$2:$LR$60,MATCH(1,(GMW!$LQ$2:$LQ$60=C$3)*(GMW!$LP$2:$LP$60=C$4)*(GMW!$LR$2:$LR$60=C$1),0),$B246-1966)</f>
        <v>657904.4</v>
      </c>
      <c r="D246" s="5" cm="1">
        <f t="array" ref="D246">INDEX(GMW!$A$2:$LR$60,MATCH(1,(GMW!$LQ$2:$LQ$60=D$3)*(GMW!$LP$2:$LP$60=D$4)*(GMW!$LR$2:$LR$60=D$1),0),$B246-1966)</f>
        <v>6770.25</v>
      </c>
      <c r="E246" s="5" cm="1">
        <f t="array" ref="E246">INDEX(GMW!$A$2:$LR$60,MATCH(1,(GMW!$LQ$2:$LQ$60=E$3)*(GMW!$LP$2:$LP$60=E$4)*(GMW!$LR$2:$LR$60=E$1),0),$B246-1966)</f>
        <v>144387.5</v>
      </c>
      <c r="F246" s="5" cm="1">
        <f t="array" ref="F246">INDEX(GMW!$A$2:$LR$60,MATCH(1,(GMW!$LQ$2:$LQ$60=F$3)*(GMW!$LP$2:$LP$60=F$4)*(GMW!$LR$2:$LR$60=F$1),0),$B246-1966)</f>
        <v>919.70920000000001</v>
      </c>
      <c r="G246" s="5" cm="1">
        <f t="array" ref="G246">INDEX(GMW!$A$2:$LR$60,MATCH(1,(GMW!$LQ$2:$LQ$60=G$3)*(GMW!$LP$2:$LP$60=G$4)*(GMW!$LR$2:$LR$60=G$1),0),$B246-1966)</f>
        <v>729.3</v>
      </c>
      <c r="H246" s="5" cm="1">
        <f t="array" ref="H246">INDEX(GMW!$A$2:$LR$60,MATCH(1,(GMW!$LQ$2:$LQ$60=H$3)*(GMW!$LP$2:$LP$60=H$4)*(GMW!$LR$2:$LR$60=H$1),0),$B246-1966)</f>
        <v>475.21420000000001</v>
      </c>
      <c r="I246" s="5" cm="1">
        <f t="array" ref="I246">INDEX(GMW!$A$2:$LR$60,MATCH(1,(GMW!$LQ$2:$LQ$60=I$3)*(GMW!$LP$2:$LP$60=I$4)*(GMW!$LR$2:$LR$60=I$1),0),$B246-1966)</f>
        <v>707746.7</v>
      </c>
    </row>
    <row r="247" spans="1:9" x14ac:dyDescent="0.25">
      <c r="A247" s="5">
        <f t="shared" si="8"/>
        <v>2033</v>
      </c>
      <c r="B247" s="5">
        <f t="shared" si="9"/>
        <v>2213</v>
      </c>
      <c r="C247" s="5" cm="1">
        <f t="array" ref="C247">INDEX(GMW!$A$2:$LR$60,MATCH(1,(GMW!$LQ$2:$LQ$60=C$3)*(GMW!$LP$2:$LP$60=C$4)*(GMW!$LR$2:$LR$60=C$1),0),$B247-1966)</f>
        <v>660363.30000000005</v>
      </c>
      <c r="D247" s="5" cm="1">
        <f t="array" ref="D247">INDEX(GMW!$A$2:$LR$60,MATCH(1,(GMW!$LQ$2:$LQ$60=D$3)*(GMW!$LP$2:$LP$60=D$4)*(GMW!$LR$2:$LR$60=D$1),0),$B247-1966)</f>
        <v>6801.0079999999998</v>
      </c>
      <c r="E247" s="5" cm="1">
        <f t="array" ref="E247">INDEX(GMW!$A$2:$LR$60,MATCH(1,(GMW!$LQ$2:$LQ$60=E$3)*(GMW!$LP$2:$LP$60=E$4)*(GMW!$LR$2:$LR$60=E$1),0),$B247-1966)</f>
        <v>144383.29999999999</v>
      </c>
      <c r="F247" s="5" cm="1">
        <f t="array" ref="F247">INDEX(GMW!$A$2:$LR$60,MATCH(1,(GMW!$LQ$2:$LQ$60=F$3)*(GMW!$LP$2:$LP$60=F$4)*(GMW!$LR$2:$LR$60=F$1),0),$B247-1966)</f>
        <v>921.49459999999999</v>
      </c>
      <c r="G247" s="5" cm="1">
        <f t="array" ref="G247">INDEX(GMW!$A$2:$LR$60,MATCH(1,(GMW!$LQ$2:$LQ$60=G$3)*(GMW!$LP$2:$LP$60=G$4)*(GMW!$LR$2:$LR$60=G$1),0),$B247-1966)</f>
        <v>731.33</v>
      </c>
      <c r="H247" s="5" cm="1">
        <f t="array" ref="H247">INDEX(GMW!$A$2:$LR$60,MATCH(1,(GMW!$LQ$2:$LQ$60=H$3)*(GMW!$LP$2:$LP$60=H$4)*(GMW!$LR$2:$LR$60=H$1),0),$B247-1966)</f>
        <v>475.71010000000001</v>
      </c>
      <c r="I247" s="5" cm="1">
        <f t="array" ref="I247">INDEX(GMW!$A$2:$LR$60,MATCH(1,(GMW!$LQ$2:$LQ$60=I$3)*(GMW!$LP$2:$LP$60=I$4)*(GMW!$LR$2:$LR$60=I$1),0),$B247-1966)</f>
        <v>711280.5</v>
      </c>
    </row>
    <row r="248" spans="1:9" x14ac:dyDescent="0.25">
      <c r="A248" s="5">
        <f t="shared" si="8"/>
        <v>2033</v>
      </c>
      <c r="B248" s="5">
        <f t="shared" si="9"/>
        <v>2214</v>
      </c>
      <c r="C248" s="5" cm="1">
        <f t="array" ref="C248">INDEX(GMW!$A$2:$LR$60,MATCH(1,(GMW!$LQ$2:$LQ$60=C$3)*(GMW!$LP$2:$LP$60=C$4)*(GMW!$LR$2:$LR$60=C$1),0),$B248-1966)</f>
        <v>662726.19999999995</v>
      </c>
      <c r="D248" s="5" cm="1">
        <f t="array" ref="D248">INDEX(GMW!$A$2:$LR$60,MATCH(1,(GMW!$LQ$2:$LQ$60=D$3)*(GMW!$LP$2:$LP$60=D$4)*(GMW!$LR$2:$LR$60=D$1),0),$B248-1966)</f>
        <v>6831.8879999999999</v>
      </c>
      <c r="E248" s="5" cm="1">
        <f t="array" ref="E248">INDEX(GMW!$A$2:$LR$60,MATCH(1,(GMW!$LQ$2:$LQ$60=E$3)*(GMW!$LP$2:$LP$60=E$4)*(GMW!$LR$2:$LR$60=E$1),0),$B248-1966)</f>
        <v>144370.1</v>
      </c>
      <c r="F248" s="5" cm="1">
        <f t="array" ref="F248">INDEX(GMW!$A$2:$LR$60,MATCH(1,(GMW!$LQ$2:$LQ$60=F$3)*(GMW!$LP$2:$LP$60=F$4)*(GMW!$LR$2:$LR$60=F$1),0),$B248-1966)</f>
        <v>923.2595</v>
      </c>
      <c r="G248" s="5" cm="1">
        <f t="array" ref="G248">INDEX(GMW!$A$2:$LR$60,MATCH(1,(GMW!$LQ$2:$LQ$60=G$3)*(GMW!$LP$2:$LP$60=G$4)*(GMW!$LR$2:$LR$60=G$1),0),$B248-1966)</f>
        <v>733.4</v>
      </c>
      <c r="H248" s="5" cm="1">
        <f t="array" ref="H248">INDEX(GMW!$A$2:$LR$60,MATCH(1,(GMW!$LQ$2:$LQ$60=H$3)*(GMW!$LP$2:$LP$60=H$4)*(GMW!$LR$2:$LR$60=H$1),0),$B248-1966)</f>
        <v>476.14609999999999</v>
      </c>
      <c r="I248" s="5" cm="1">
        <f t="array" ref="I248">INDEX(GMW!$A$2:$LR$60,MATCH(1,(GMW!$LQ$2:$LQ$60=I$3)*(GMW!$LP$2:$LP$60=I$4)*(GMW!$LR$2:$LR$60=I$1),0),$B248-1966)</f>
        <v>714812.4</v>
      </c>
    </row>
    <row r="249" spans="1:9" x14ac:dyDescent="0.25">
      <c r="A249" s="5">
        <f t="shared" si="8"/>
        <v>2033</v>
      </c>
      <c r="B249" s="5">
        <f t="shared" si="9"/>
        <v>2215</v>
      </c>
      <c r="C249" s="5" cm="1">
        <f t="array" ref="C249">INDEX(GMW!$A$2:$LR$60,MATCH(1,(GMW!$LQ$2:$LQ$60=C$3)*(GMW!$LP$2:$LP$60=C$4)*(GMW!$LR$2:$LR$60=C$1),0),$B249-1966)</f>
        <v>665095.1</v>
      </c>
      <c r="D249" s="5" cm="1">
        <f t="array" ref="D249">INDEX(GMW!$A$2:$LR$60,MATCH(1,(GMW!$LQ$2:$LQ$60=D$3)*(GMW!$LP$2:$LP$60=D$4)*(GMW!$LR$2:$LR$60=D$1),0),$B249-1966)</f>
        <v>6862.8919999999998</v>
      </c>
      <c r="E249" s="5" cm="1">
        <f t="array" ref="E249">INDEX(GMW!$A$2:$LR$60,MATCH(1,(GMW!$LQ$2:$LQ$60=E$3)*(GMW!$LP$2:$LP$60=E$4)*(GMW!$LR$2:$LR$60=E$1),0),$B249-1966)</f>
        <v>144341.4</v>
      </c>
      <c r="F249" s="5" cm="1">
        <f t="array" ref="F249">INDEX(GMW!$A$2:$LR$60,MATCH(1,(GMW!$LQ$2:$LQ$60=F$3)*(GMW!$LP$2:$LP$60=F$4)*(GMW!$LR$2:$LR$60=F$1),0),$B249-1966)</f>
        <v>925.00369999999998</v>
      </c>
      <c r="G249" s="5" cm="1">
        <f t="array" ref="G249">INDEX(GMW!$A$2:$LR$60,MATCH(1,(GMW!$LQ$2:$LQ$60=G$3)*(GMW!$LP$2:$LP$60=G$4)*(GMW!$LR$2:$LR$60=G$1),0),$B249-1966)</f>
        <v>735.48</v>
      </c>
      <c r="H249" s="5" cm="1">
        <f t="array" ref="H249">INDEX(GMW!$A$2:$LR$60,MATCH(1,(GMW!$LQ$2:$LQ$60=H$3)*(GMW!$LP$2:$LP$60=H$4)*(GMW!$LR$2:$LR$60=H$1),0),$B249-1966)</f>
        <v>476.58210000000003</v>
      </c>
      <c r="I249" s="5" cm="1">
        <f t="array" ref="I249">INDEX(GMW!$A$2:$LR$60,MATCH(1,(GMW!$LQ$2:$LQ$60=I$3)*(GMW!$LP$2:$LP$60=I$4)*(GMW!$LR$2:$LR$60=I$1),0),$B249-1966)</f>
        <v>718354</v>
      </c>
    </row>
    <row r="250" spans="1:9" x14ac:dyDescent="0.25">
      <c r="A250" s="5">
        <f t="shared" si="8"/>
        <v>2033</v>
      </c>
      <c r="B250" s="5">
        <f t="shared" si="9"/>
        <v>2216</v>
      </c>
      <c r="C250" s="5" cm="1">
        <f t="array" ref="C250">INDEX(GMW!$A$2:$LR$60,MATCH(1,(GMW!$LQ$2:$LQ$60=C$3)*(GMW!$LP$2:$LP$60=C$4)*(GMW!$LR$2:$LR$60=C$1),0),$B250-1966)</f>
        <v>667467.1</v>
      </c>
      <c r="D250" s="5" cm="1">
        <f t="array" ref="D250">INDEX(GMW!$A$2:$LR$60,MATCH(1,(GMW!$LQ$2:$LQ$60=D$3)*(GMW!$LP$2:$LP$60=D$4)*(GMW!$LR$2:$LR$60=D$1),0),$B250-1966)</f>
        <v>6894.0110000000004</v>
      </c>
      <c r="E250" s="5" cm="1">
        <f t="array" ref="E250">INDEX(GMW!$A$2:$LR$60,MATCH(1,(GMW!$LQ$2:$LQ$60=E$3)*(GMW!$LP$2:$LP$60=E$4)*(GMW!$LR$2:$LR$60=E$1),0),$B250-1966)</f>
        <v>144298.9</v>
      </c>
      <c r="F250" s="5" cm="1">
        <f t="array" ref="F250">INDEX(GMW!$A$2:$LR$60,MATCH(1,(GMW!$LQ$2:$LQ$60=F$3)*(GMW!$LP$2:$LP$60=F$4)*(GMW!$LR$2:$LR$60=F$1),0),$B250-1966)</f>
        <v>926.72709999999995</v>
      </c>
      <c r="G250" s="5" cm="1">
        <f t="array" ref="G250">INDEX(GMW!$A$2:$LR$60,MATCH(1,(GMW!$LQ$2:$LQ$60=G$3)*(GMW!$LP$2:$LP$60=G$4)*(GMW!$LR$2:$LR$60=G$1),0),$B250-1966)</f>
        <v>737.48</v>
      </c>
      <c r="H250" s="5" cm="1">
        <f t="array" ref="H250">INDEX(GMW!$A$2:$LR$60,MATCH(1,(GMW!$LQ$2:$LQ$60=H$3)*(GMW!$LP$2:$LP$60=H$4)*(GMW!$LR$2:$LR$60=H$1),0),$B250-1966)</f>
        <v>476.93779999999998</v>
      </c>
      <c r="I250" s="5" cm="1">
        <f t="array" ref="I250">INDEX(GMW!$A$2:$LR$60,MATCH(1,(GMW!$LQ$2:$LQ$60=I$3)*(GMW!$LP$2:$LP$60=I$4)*(GMW!$LR$2:$LR$60=I$1),0),$B250-1966)</f>
        <v>721914.7</v>
      </c>
    </row>
    <row r="251" spans="1:9" x14ac:dyDescent="0.25">
      <c r="A251" s="5">
        <f t="shared" si="8"/>
        <v>2034</v>
      </c>
      <c r="B251" s="5">
        <f t="shared" si="9"/>
        <v>2217</v>
      </c>
      <c r="C251" s="5" cm="1">
        <f t="array" ref="C251">INDEX(GMW!$A$2:$LR$60,MATCH(1,(GMW!$LQ$2:$LQ$60=C$3)*(GMW!$LP$2:$LP$60=C$4)*(GMW!$LR$2:$LR$60=C$1),0),$B251-1966)</f>
        <v>669898.4</v>
      </c>
      <c r="D251" s="5" cm="1">
        <f t="array" ref="D251">INDEX(GMW!$A$2:$LR$60,MATCH(1,(GMW!$LQ$2:$LQ$60=D$3)*(GMW!$LP$2:$LP$60=D$4)*(GMW!$LR$2:$LR$60=D$1),0),$B251-1966)</f>
        <v>6925.2460000000001</v>
      </c>
      <c r="E251" s="5" cm="1">
        <f t="array" ref="E251">INDEX(GMW!$A$2:$LR$60,MATCH(1,(GMW!$LQ$2:$LQ$60=E$3)*(GMW!$LP$2:$LP$60=E$4)*(GMW!$LR$2:$LR$60=E$1),0),$B251-1966)</f>
        <v>144261.9</v>
      </c>
      <c r="F251" s="5" cm="1">
        <f t="array" ref="F251">INDEX(GMW!$A$2:$LR$60,MATCH(1,(GMW!$LQ$2:$LQ$60=F$3)*(GMW!$LP$2:$LP$60=F$4)*(GMW!$LR$2:$LR$60=F$1),0),$B251-1966)</f>
        <v>928.49620000000004</v>
      </c>
      <c r="G251" s="5" cm="1">
        <f t="array" ref="G251">INDEX(GMW!$A$2:$LR$60,MATCH(1,(GMW!$LQ$2:$LQ$60=G$3)*(GMW!$LP$2:$LP$60=G$4)*(GMW!$LR$2:$LR$60=G$1),0),$B251-1966)</f>
        <v>739.48</v>
      </c>
      <c r="H251" s="5" cm="1">
        <f t="array" ref="H251">INDEX(GMW!$A$2:$LR$60,MATCH(1,(GMW!$LQ$2:$LQ$60=H$3)*(GMW!$LP$2:$LP$60=H$4)*(GMW!$LR$2:$LR$60=H$1),0),$B251-1966)</f>
        <v>477.29349999999999</v>
      </c>
      <c r="I251" s="5" cm="1">
        <f t="array" ref="I251">INDEX(GMW!$A$2:$LR$60,MATCH(1,(GMW!$LQ$2:$LQ$60=I$3)*(GMW!$LP$2:$LP$60=I$4)*(GMW!$LR$2:$LR$60=I$1),0),$B251-1966)</f>
        <v>725485.4</v>
      </c>
    </row>
    <row r="252" spans="1:9" x14ac:dyDescent="0.25">
      <c r="A252" s="5">
        <f t="shared" si="8"/>
        <v>2034</v>
      </c>
      <c r="B252" s="5">
        <f t="shared" si="9"/>
        <v>2218</v>
      </c>
      <c r="C252" s="5" cm="1">
        <f t="array" ref="C252">INDEX(GMW!$A$2:$LR$60,MATCH(1,(GMW!$LQ$2:$LQ$60=C$3)*(GMW!$LP$2:$LP$60=C$4)*(GMW!$LR$2:$LR$60=C$1),0),$B252-1966)</f>
        <v>672340.5</v>
      </c>
      <c r="D252" s="5" cm="1">
        <f t="array" ref="D252">INDEX(GMW!$A$2:$LR$60,MATCH(1,(GMW!$LQ$2:$LQ$60=D$3)*(GMW!$LP$2:$LP$60=D$4)*(GMW!$LR$2:$LR$60=D$1),0),$B252-1966)</f>
        <v>6956.5870000000004</v>
      </c>
      <c r="E252" s="5" cm="1">
        <f t="array" ref="E252">INDEX(GMW!$A$2:$LR$60,MATCH(1,(GMW!$LQ$2:$LQ$60=E$3)*(GMW!$LP$2:$LP$60=E$4)*(GMW!$LR$2:$LR$60=E$1),0),$B252-1966)</f>
        <v>144227.79999999999</v>
      </c>
      <c r="F252" s="5" cm="1">
        <f t="array" ref="F252">INDEX(GMW!$A$2:$LR$60,MATCH(1,(GMW!$LQ$2:$LQ$60=F$3)*(GMW!$LP$2:$LP$60=F$4)*(GMW!$LR$2:$LR$60=F$1),0),$B252-1966)</f>
        <v>930.24469999999997</v>
      </c>
      <c r="G252" s="5" cm="1">
        <f t="array" ref="G252">INDEX(GMW!$A$2:$LR$60,MATCH(1,(GMW!$LQ$2:$LQ$60=G$3)*(GMW!$LP$2:$LP$60=G$4)*(GMW!$LR$2:$LR$60=G$1),0),$B252-1966)</f>
        <v>741.5</v>
      </c>
      <c r="H252" s="5" cm="1">
        <f t="array" ref="H252">INDEX(GMW!$A$2:$LR$60,MATCH(1,(GMW!$LQ$2:$LQ$60=H$3)*(GMW!$LP$2:$LP$60=H$4)*(GMW!$LR$2:$LR$60=H$1),0),$B252-1966)</f>
        <v>477.64929999999998</v>
      </c>
      <c r="I252" s="5" cm="1">
        <f t="array" ref="I252">INDEX(GMW!$A$2:$LR$60,MATCH(1,(GMW!$LQ$2:$LQ$60=I$3)*(GMW!$LP$2:$LP$60=I$4)*(GMW!$LR$2:$LR$60=I$1),0),$B252-1966)</f>
        <v>729081.6</v>
      </c>
    </row>
    <row r="253" spans="1:9" x14ac:dyDescent="0.25">
      <c r="A253" s="5">
        <f t="shared" si="8"/>
        <v>2034</v>
      </c>
      <c r="B253" s="5">
        <f t="shared" si="9"/>
        <v>2219</v>
      </c>
      <c r="C253" s="5" cm="1">
        <f t="array" ref="C253">INDEX(GMW!$A$2:$LR$60,MATCH(1,(GMW!$LQ$2:$LQ$60=C$3)*(GMW!$LP$2:$LP$60=C$4)*(GMW!$LR$2:$LR$60=C$1),0),$B253-1966)</f>
        <v>674779.1</v>
      </c>
      <c r="D253" s="5" cm="1">
        <f t="array" ref="D253">INDEX(GMW!$A$2:$LR$60,MATCH(1,(GMW!$LQ$2:$LQ$60=D$3)*(GMW!$LP$2:$LP$60=D$4)*(GMW!$LR$2:$LR$60=D$1),0),$B253-1966)</f>
        <v>6988.0370000000003</v>
      </c>
      <c r="E253" s="5" cm="1">
        <f t="array" ref="E253">INDEX(GMW!$A$2:$LR$60,MATCH(1,(GMW!$LQ$2:$LQ$60=E$3)*(GMW!$LP$2:$LP$60=E$4)*(GMW!$LR$2:$LR$60=E$1),0),$B253-1966)</f>
        <v>144176.9</v>
      </c>
      <c r="F253" s="5" cm="1">
        <f t="array" ref="F253">INDEX(GMW!$A$2:$LR$60,MATCH(1,(GMW!$LQ$2:$LQ$60=F$3)*(GMW!$LP$2:$LP$60=F$4)*(GMW!$LR$2:$LR$60=F$1),0),$B253-1966)</f>
        <v>931.97239999999999</v>
      </c>
      <c r="G253" s="5" cm="1">
        <f t="array" ref="G253">INDEX(GMW!$A$2:$LR$60,MATCH(1,(GMW!$LQ$2:$LQ$60=G$3)*(GMW!$LP$2:$LP$60=G$4)*(GMW!$LR$2:$LR$60=G$1),0),$B253-1966)</f>
        <v>743.52</v>
      </c>
      <c r="H253" s="5" cm="1">
        <f t="array" ref="H253">INDEX(GMW!$A$2:$LR$60,MATCH(1,(GMW!$LQ$2:$LQ$60=H$3)*(GMW!$LP$2:$LP$60=H$4)*(GMW!$LR$2:$LR$60=H$1),0),$B253-1966)</f>
        <v>477.96480000000003</v>
      </c>
      <c r="I253" s="5" cm="1">
        <f t="array" ref="I253">INDEX(GMW!$A$2:$LR$60,MATCH(1,(GMW!$LQ$2:$LQ$60=I$3)*(GMW!$LP$2:$LP$60=I$4)*(GMW!$LR$2:$LR$60=I$1),0),$B253-1966)</f>
        <v>732699.8</v>
      </c>
    </row>
    <row r="254" spans="1:9" x14ac:dyDescent="0.25">
      <c r="A254" s="5">
        <f t="shared" si="8"/>
        <v>2034</v>
      </c>
      <c r="B254" s="5">
        <f t="shared" si="9"/>
        <v>2220</v>
      </c>
      <c r="C254" s="5" cm="1">
        <f t="array" ref="C254">INDEX(GMW!$A$2:$LR$60,MATCH(1,(GMW!$LQ$2:$LQ$60=C$3)*(GMW!$LP$2:$LP$60=C$4)*(GMW!$LR$2:$LR$60=C$1),0),$B254-1966)</f>
        <v>677201.1</v>
      </c>
      <c r="D254" s="5" cm="1">
        <f t="array" ref="D254">INDEX(GMW!$A$2:$LR$60,MATCH(1,(GMW!$LQ$2:$LQ$60=D$3)*(GMW!$LP$2:$LP$60=D$4)*(GMW!$LR$2:$LR$60=D$1),0),$B254-1966)</f>
        <v>7019.5940000000001</v>
      </c>
      <c r="E254" s="5" cm="1">
        <f t="array" ref="E254">INDEX(GMW!$A$2:$LR$60,MATCH(1,(GMW!$LQ$2:$LQ$60=E$3)*(GMW!$LP$2:$LP$60=E$4)*(GMW!$LR$2:$LR$60=E$1),0),$B254-1966)</f>
        <v>144109.5</v>
      </c>
      <c r="F254" s="5" cm="1">
        <f t="array" ref="F254">INDEX(GMW!$A$2:$LR$60,MATCH(1,(GMW!$LQ$2:$LQ$60=F$3)*(GMW!$LP$2:$LP$60=F$4)*(GMW!$LR$2:$LR$60=F$1),0),$B254-1966)</f>
        <v>933.67899999999997</v>
      </c>
      <c r="G254" s="5" cm="1">
        <f t="array" ref="G254">INDEX(GMW!$A$2:$LR$60,MATCH(1,(GMW!$LQ$2:$LQ$60=G$3)*(GMW!$LP$2:$LP$60=G$4)*(GMW!$LR$2:$LR$60=G$1),0),$B254-1966)</f>
        <v>745.41</v>
      </c>
      <c r="H254" s="5" cm="1">
        <f t="array" ref="H254">INDEX(GMW!$A$2:$LR$60,MATCH(1,(GMW!$LQ$2:$LQ$60=H$3)*(GMW!$LP$2:$LP$60=H$4)*(GMW!$LR$2:$LR$60=H$1),0),$B254-1966)</f>
        <v>478.28050000000002</v>
      </c>
      <c r="I254" s="5" cm="1">
        <f t="array" ref="I254">INDEX(GMW!$A$2:$LR$60,MATCH(1,(GMW!$LQ$2:$LQ$60=I$3)*(GMW!$LP$2:$LP$60=I$4)*(GMW!$LR$2:$LR$60=I$1),0),$B254-1966)</f>
        <v>736331.8</v>
      </c>
    </row>
    <row r="255" spans="1:9" x14ac:dyDescent="0.25">
      <c r="A255" s="5">
        <f t="shared" si="8"/>
        <v>2035</v>
      </c>
      <c r="B255" s="5">
        <f t="shared" si="9"/>
        <v>2221</v>
      </c>
      <c r="C255" s="5" cm="1">
        <f t="array" ref="C255">INDEX(GMW!$A$2:$LR$60,MATCH(1,(GMW!$LQ$2:$LQ$60=C$3)*(GMW!$LP$2:$LP$60=C$4)*(GMW!$LR$2:$LR$60=C$1),0),$B255-1966)</f>
        <v>679755.9</v>
      </c>
      <c r="D255" s="5" cm="1">
        <f t="array" ref="D255">INDEX(GMW!$A$2:$LR$60,MATCH(1,(GMW!$LQ$2:$LQ$60=D$3)*(GMW!$LP$2:$LP$60=D$4)*(GMW!$LR$2:$LR$60=D$1),0),$B255-1966)</f>
        <v>7051.259</v>
      </c>
      <c r="E255" s="5" cm="1">
        <f t="array" ref="E255">INDEX(GMW!$A$2:$LR$60,MATCH(1,(GMW!$LQ$2:$LQ$60=E$3)*(GMW!$LP$2:$LP$60=E$4)*(GMW!$LR$2:$LR$60=E$1),0),$B255-1966)</f>
        <v>144046.1</v>
      </c>
      <c r="F255" s="5" cm="1">
        <f t="array" ref="F255">INDEX(GMW!$A$2:$LR$60,MATCH(1,(GMW!$LQ$2:$LQ$60=F$3)*(GMW!$LP$2:$LP$60=F$4)*(GMW!$LR$2:$LR$60=F$1),0),$B255-1966)</f>
        <v>935.4529</v>
      </c>
      <c r="G255" s="5" cm="1">
        <f t="array" ref="G255">INDEX(GMW!$A$2:$LR$60,MATCH(1,(GMW!$LQ$2:$LQ$60=G$3)*(GMW!$LP$2:$LP$60=G$4)*(GMW!$LR$2:$LR$60=G$1),0),$B255-1966)</f>
        <v>747.3</v>
      </c>
      <c r="H255" s="5" cm="1">
        <f t="array" ref="H255">INDEX(GMW!$A$2:$LR$60,MATCH(1,(GMW!$LQ$2:$LQ$60=H$3)*(GMW!$LP$2:$LP$60=H$4)*(GMW!$LR$2:$LR$60=H$1),0),$B255-1966)</f>
        <v>478.59609999999998</v>
      </c>
      <c r="I255" s="5" cm="1">
        <f t="array" ref="I255">INDEX(GMW!$A$2:$LR$60,MATCH(1,(GMW!$LQ$2:$LQ$60=I$3)*(GMW!$LP$2:$LP$60=I$4)*(GMW!$LR$2:$LR$60=I$1),0),$B255-1966)</f>
        <v>739908.7</v>
      </c>
    </row>
    <row r="256" spans="1:9" x14ac:dyDescent="0.25">
      <c r="A256" s="5">
        <f t="shared" si="8"/>
        <v>2035</v>
      </c>
      <c r="B256" s="5">
        <f t="shared" si="9"/>
        <v>2222</v>
      </c>
      <c r="C256" s="5" cm="1">
        <f t="array" ref="C256">INDEX(GMW!$A$2:$LR$60,MATCH(1,(GMW!$LQ$2:$LQ$60=C$3)*(GMW!$LP$2:$LP$60=C$4)*(GMW!$LR$2:$LR$60=C$1),0),$B256-1966)</f>
        <v>682320.4</v>
      </c>
      <c r="D256" s="5" cm="1">
        <f t="array" ref="D256">INDEX(GMW!$A$2:$LR$60,MATCH(1,(GMW!$LQ$2:$LQ$60=D$3)*(GMW!$LP$2:$LP$60=D$4)*(GMW!$LR$2:$LR$60=D$1),0),$B256-1966)</f>
        <v>7083.05</v>
      </c>
      <c r="E256" s="5" cm="1">
        <f t="array" ref="E256">INDEX(GMW!$A$2:$LR$60,MATCH(1,(GMW!$LQ$2:$LQ$60=E$3)*(GMW!$LP$2:$LP$60=E$4)*(GMW!$LR$2:$LR$60=E$1),0),$B256-1966)</f>
        <v>143987.4</v>
      </c>
      <c r="F256" s="5" cm="1">
        <f t="array" ref="F256">INDEX(GMW!$A$2:$LR$60,MATCH(1,(GMW!$LQ$2:$LQ$60=F$3)*(GMW!$LP$2:$LP$60=F$4)*(GMW!$LR$2:$LR$60=F$1),0),$B256-1966)</f>
        <v>937.20680000000004</v>
      </c>
      <c r="G256" s="5" cm="1">
        <f t="array" ref="G256">INDEX(GMW!$A$2:$LR$60,MATCH(1,(GMW!$LQ$2:$LQ$60=G$3)*(GMW!$LP$2:$LP$60=G$4)*(GMW!$LR$2:$LR$60=G$1),0),$B256-1966)</f>
        <v>749.18</v>
      </c>
      <c r="H256" s="5" cm="1">
        <f t="array" ref="H256">INDEX(GMW!$A$2:$LR$60,MATCH(1,(GMW!$LQ$2:$LQ$60=H$3)*(GMW!$LP$2:$LP$60=H$4)*(GMW!$LR$2:$LR$60=H$1),0),$B256-1966)</f>
        <v>478.9117</v>
      </c>
      <c r="I256" s="5" cm="1">
        <f t="array" ref="I256">INDEX(GMW!$A$2:$LR$60,MATCH(1,(GMW!$LQ$2:$LQ$60=I$3)*(GMW!$LP$2:$LP$60=I$4)*(GMW!$LR$2:$LR$60=I$1),0),$B256-1966)</f>
        <v>743565.9</v>
      </c>
    </row>
    <row r="257" spans="1:9" x14ac:dyDescent="0.25">
      <c r="A257" s="5">
        <f t="shared" si="8"/>
        <v>2035</v>
      </c>
      <c r="B257" s="5">
        <f t="shared" si="9"/>
        <v>2223</v>
      </c>
      <c r="C257" s="5" cm="1">
        <f t="array" ref="C257">INDEX(GMW!$A$2:$LR$60,MATCH(1,(GMW!$LQ$2:$LQ$60=C$3)*(GMW!$LP$2:$LP$60=C$4)*(GMW!$LR$2:$LR$60=C$1),0),$B257-1966)</f>
        <v>684894.4</v>
      </c>
      <c r="D257" s="5" cm="1">
        <f t="array" ref="D257">INDEX(GMW!$A$2:$LR$60,MATCH(1,(GMW!$LQ$2:$LQ$60=D$3)*(GMW!$LP$2:$LP$60=D$4)*(GMW!$LR$2:$LR$60=D$1),0),$B257-1966)</f>
        <v>7114.9660000000003</v>
      </c>
      <c r="E257" s="5" cm="1">
        <f t="array" ref="E257">INDEX(GMW!$A$2:$LR$60,MATCH(1,(GMW!$LQ$2:$LQ$60=E$3)*(GMW!$LP$2:$LP$60=E$4)*(GMW!$LR$2:$LR$60=E$1),0),$B257-1966)</f>
        <v>143916</v>
      </c>
      <c r="F257" s="5" cm="1">
        <f t="array" ref="F257">INDEX(GMW!$A$2:$LR$60,MATCH(1,(GMW!$LQ$2:$LQ$60=F$3)*(GMW!$LP$2:$LP$60=F$4)*(GMW!$LR$2:$LR$60=F$1),0),$B257-1966)</f>
        <v>938.94060000000002</v>
      </c>
      <c r="G257" s="5" cm="1">
        <f t="array" ref="G257">INDEX(GMW!$A$2:$LR$60,MATCH(1,(GMW!$LQ$2:$LQ$60=G$3)*(GMW!$LP$2:$LP$60=G$4)*(GMW!$LR$2:$LR$60=G$1),0),$B257-1966)</f>
        <v>751.07</v>
      </c>
      <c r="H257" s="5" cm="1">
        <f t="array" ref="H257">INDEX(GMW!$A$2:$LR$60,MATCH(1,(GMW!$LQ$2:$LQ$60=H$3)*(GMW!$LP$2:$LP$60=H$4)*(GMW!$LR$2:$LR$60=H$1),0),$B257-1966)</f>
        <v>479.22730000000001</v>
      </c>
      <c r="I257" s="5" cm="1">
        <f t="array" ref="I257">INDEX(GMW!$A$2:$LR$60,MATCH(1,(GMW!$LQ$2:$LQ$60=I$3)*(GMW!$LP$2:$LP$60=I$4)*(GMW!$LR$2:$LR$60=I$1),0),$B257-1966)</f>
        <v>747248.6</v>
      </c>
    </row>
    <row r="258" spans="1:9" x14ac:dyDescent="0.25">
      <c r="A258" s="5">
        <f t="shared" si="8"/>
        <v>2035</v>
      </c>
      <c r="B258" s="5">
        <f t="shared" si="9"/>
        <v>2224</v>
      </c>
      <c r="C258" s="5" cm="1">
        <f t="array" ref="C258">INDEX(GMW!$A$2:$LR$60,MATCH(1,(GMW!$LQ$2:$LQ$60=C$3)*(GMW!$LP$2:$LP$60=C$4)*(GMW!$LR$2:$LR$60=C$1),0),$B258-1966)</f>
        <v>687477.6</v>
      </c>
      <c r="D258" s="5" cm="1">
        <f t="array" ref="D258">INDEX(GMW!$A$2:$LR$60,MATCH(1,(GMW!$LQ$2:$LQ$60=D$3)*(GMW!$LP$2:$LP$60=D$4)*(GMW!$LR$2:$LR$60=D$1),0),$B258-1966)</f>
        <v>7147.009</v>
      </c>
      <c r="E258" s="5" cm="1">
        <f t="array" ref="E258">INDEX(GMW!$A$2:$LR$60,MATCH(1,(GMW!$LQ$2:$LQ$60=E$3)*(GMW!$LP$2:$LP$60=E$4)*(GMW!$LR$2:$LR$60=E$1),0),$B258-1966)</f>
        <v>143831.1</v>
      </c>
      <c r="F258" s="5" cm="1">
        <f t="array" ref="F258">INDEX(GMW!$A$2:$LR$60,MATCH(1,(GMW!$LQ$2:$LQ$60=F$3)*(GMW!$LP$2:$LP$60=F$4)*(GMW!$LR$2:$LR$60=F$1),0),$B258-1966)</f>
        <v>940.58500000000004</v>
      </c>
      <c r="G258" s="5" cm="1">
        <f t="array" ref="G258">INDEX(GMW!$A$2:$LR$60,MATCH(1,(GMW!$LQ$2:$LQ$60=G$3)*(GMW!$LP$2:$LP$60=G$4)*(GMW!$LR$2:$LR$60=G$1),0),$B258-1966)</f>
        <v>752.95</v>
      </c>
      <c r="H258" s="5" cm="1">
        <f t="array" ref="H258">INDEX(GMW!$A$2:$LR$60,MATCH(1,(GMW!$LQ$2:$LQ$60=H$3)*(GMW!$LP$2:$LP$60=H$4)*(GMW!$LR$2:$LR$60=H$1),0),$B258-1966)</f>
        <v>479.54289999999997</v>
      </c>
      <c r="I258" s="5" cm="1">
        <f t="array" ref="I258">INDEX(GMW!$A$2:$LR$60,MATCH(1,(GMW!$LQ$2:$LQ$60=I$3)*(GMW!$LP$2:$LP$60=I$4)*(GMW!$LR$2:$LR$60=I$1),0),$B258-1966)</f>
        <v>750953.3</v>
      </c>
    </row>
    <row r="259" spans="1:9" x14ac:dyDescent="0.25">
      <c r="A259" s="5">
        <f t="shared" si="8"/>
        <v>2036</v>
      </c>
      <c r="B259" s="5">
        <f t="shared" si="9"/>
        <v>2225</v>
      </c>
      <c r="C259" s="5" cm="1">
        <f t="array" ref="C259">INDEX(GMW!$A$2:$LR$60,MATCH(1,(GMW!$LQ$2:$LQ$60=C$3)*(GMW!$LP$2:$LP$60=C$4)*(GMW!$LR$2:$LR$60=C$1),0),$B259-1966)</f>
        <v>690132.4</v>
      </c>
      <c r="D259" s="5" cm="1">
        <f t="array" ref="D259">INDEX(GMW!$A$2:$LR$60,MATCH(1,(GMW!$LQ$2:$LQ$60=D$3)*(GMW!$LP$2:$LP$60=D$4)*(GMW!$LR$2:$LR$60=D$1),0),$B259-1966)</f>
        <v>7179.1139999999996</v>
      </c>
      <c r="E259" s="5" cm="1">
        <f t="array" ref="E259">INDEX(GMW!$A$2:$LR$60,MATCH(1,(GMW!$LQ$2:$LQ$60=E$3)*(GMW!$LP$2:$LP$60=E$4)*(GMW!$LR$2:$LR$60=E$1),0),$B259-1966)</f>
        <v>143746</v>
      </c>
      <c r="F259" s="5" cm="1">
        <f t="array" ref="F259">INDEX(GMW!$A$2:$LR$60,MATCH(1,(GMW!$LQ$2:$LQ$60=F$3)*(GMW!$LP$2:$LP$60=F$4)*(GMW!$LR$2:$LR$60=F$1),0),$B259-1966)</f>
        <v>942.45590000000004</v>
      </c>
      <c r="G259" s="5" cm="1">
        <f t="array" ref="G259">INDEX(GMW!$A$2:$LR$60,MATCH(1,(GMW!$LQ$2:$LQ$60=G$3)*(GMW!$LP$2:$LP$60=G$4)*(GMW!$LR$2:$LR$60=G$1),0),$B259-1966)</f>
        <v>754.82</v>
      </c>
      <c r="H259" s="5" cm="1">
        <f t="array" ref="H259">INDEX(GMW!$A$2:$LR$60,MATCH(1,(GMW!$LQ$2:$LQ$60=H$3)*(GMW!$LP$2:$LP$60=H$4)*(GMW!$LR$2:$LR$60=H$1),0),$B259-1966)</f>
        <v>479.85849999999999</v>
      </c>
      <c r="I259" s="5" cm="1">
        <f t="array" ref="I259">INDEX(GMW!$A$2:$LR$60,MATCH(1,(GMW!$LQ$2:$LQ$60=I$3)*(GMW!$LP$2:$LP$60=I$4)*(GMW!$LR$2:$LR$60=I$1),0),$B259-1966)</f>
        <v>754659.1</v>
      </c>
    </row>
    <row r="260" spans="1:9" x14ac:dyDescent="0.25">
      <c r="A260" s="5">
        <f t="shared" si="8"/>
        <v>2036</v>
      </c>
      <c r="B260" s="5">
        <f t="shared" si="9"/>
        <v>2226</v>
      </c>
      <c r="C260" s="5" cm="1">
        <f t="array" ref="C260">INDEX(GMW!$A$2:$LR$60,MATCH(1,(GMW!$LQ$2:$LQ$60=C$3)*(GMW!$LP$2:$LP$60=C$4)*(GMW!$LR$2:$LR$60=C$1),0),$B260-1966)</f>
        <v>692799.7</v>
      </c>
      <c r="D260" s="5" cm="1">
        <f t="array" ref="D260">INDEX(GMW!$A$2:$LR$60,MATCH(1,(GMW!$LQ$2:$LQ$60=D$3)*(GMW!$LP$2:$LP$60=D$4)*(GMW!$LR$2:$LR$60=D$1),0),$B260-1966)</f>
        <v>7211.3440000000001</v>
      </c>
      <c r="E260" s="5" cm="1">
        <f t="array" ref="E260">INDEX(GMW!$A$2:$LR$60,MATCH(1,(GMW!$LQ$2:$LQ$60=E$3)*(GMW!$LP$2:$LP$60=E$4)*(GMW!$LR$2:$LR$60=E$1),0),$B260-1966)</f>
        <v>143664.6</v>
      </c>
      <c r="F260" s="5" cm="1">
        <f t="array" ref="F260">INDEX(GMW!$A$2:$LR$60,MATCH(1,(GMW!$LQ$2:$LQ$60=F$3)*(GMW!$LP$2:$LP$60=F$4)*(GMW!$LR$2:$LR$60=F$1),0),$B260-1966)</f>
        <v>944.32770000000005</v>
      </c>
      <c r="G260" s="5" cm="1">
        <f t="array" ref="G260">INDEX(GMW!$A$2:$LR$60,MATCH(1,(GMW!$LQ$2:$LQ$60=G$3)*(GMW!$LP$2:$LP$60=G$4)*(GMW!$LR$2:$LR$60=G$1),0),$B260-1966)</f>
        <v>756.7</v>
      </c>
      <c r="H260" s="5" cm="1">
        <f t="array" ref="H260">INDEX(GMW!$A$2:$LR$60,MATCH(1,(GMW!$LQ$2:$LQ$60=H$3)*(GMW!$LP$2:$LP$60=H$4)*(GMW!$LR$2:$LR$60=H$1),0),$B260-1966)</f>
        <v>480.07429999999999</v>
      </c>
      <c r="I260" s="5" cm="1">
        <f t="array" ref="I260">INDEX(GMW!$A$2:$LR$60,MATCH(1,(GMW!$LQ$2:$LQ$60=I$3)*(GMW!$LP$2:$LP$60=I$4)*(GMW!$LR$2:$LR$60=I$1),0),$B260-1966)</f>
        <v>758373.3</v>
      </c>
    </row>
    <row r="261" spans="1:9" x14ac:dyDescent="0.25">
      <c r="A261" s="5">
        <f t="shared" si="8"/>
        <v>2036</v>
      </c>
      <c r="B261" s="5">
        <f t="shared" si="9"/>
        <v>2227</v>
      </c>
      <c r="C261" s="5" cm="1">
        <f t="array" ref="C261">INDEX(GMW!$A$2:$LR$60,MATCH(1,(GMW!$LQ$2:$LQ$60=C$3)*(GMW!$LP$2:$LP$60=C$4)*(GMW!$LR$2:$LR$60=C$1),0),$B261-1966)</f>
        <v>695479.6</v>
      </c>
      <c r="D261" s="5" cm="1">
        <f t="array" ref="D261">INDEX(GMW!$A$2:$LR$60,MATCH(1,(GMW!$LQ$2:$LQ$60=D$3)*(GMW!$LP$2:$LP$60=D$4)*(GMW!$LR$2:$LR$60=D$1),0),$B261-1966)</f>
        <v>7243.6239999999998</v>
      </c>
      <c r="E261" s="5" cm="1">
        <f t="array" ref="E261">INDEX(GMW!$A$2:$LR$60,MATCH(1,(GMW!$LQ$2:$LQ$60=E$3)*(GMW!$LP$2:$LP$60=E$4)*(GMW!$LR$2:$LR$60=E$1),0),$B261-1966)</f>
        <v>143580</v>
      </c>
      <c r="F261" s="5" cm="1">
        <f t="array" ref="F261">INDEX(GMW!$A$2:$LR$60,MATCH(1,(GMW!$LQ$2:$LQ$60=F$3)*(GMW!$LP$2:$LP$60=F$4)*(GMW!$LR$2:$LR$60=F$1),0),$B261-1966)</f>
        <v>946.20029999999997</v>
      </c>
      <c r="G261" s="5" cm="1">
        <f t="array" ref="G261">INDEX(GMW!$A$2:$LR$60,MATCH(1,(GMW!$LQ$2:$LQ$60=G$3)*(GMW!$LP$2:$LP$60=G$4)*(GMW!$LR$2:$LR$60=G$1),0),$B261-1966)</f>
        <v>758.58</v>
      </c>
      <c r="H261" s="5" cm="1">
        <f t="array" ref="H261">INDEX(GMW!$A$2:$LR$60,MATCH(1,(GMW!$LQ$2:$LQ$60=H$3)*(GMW!$LP$2:$LP$60=H$4)*(GMW!$LR$2:$LR$60=H$1),0),$B261-1966)</f>
        <v>480.32060000000001</v>
      </c>
      <c r="I261" s="5" cm="1">
        <f t="array" ref="I261">INDEX(GMW!$A$2:$LR$60,MATCH(1,(GMW!$LQ$2:$LQ$60=I$3)*(GMW!$LP$2:$LP$60=I$4)*(GMW!$LR$2:$LR$60=I$1),0),$B261-1966)</f>
        <v>762110.4</v>
      </c>
    </row>
    <row r="262" spans="1:9" x14ac:dyDescent="0.25">
      <c r="A262" s="5">
        <f t="shared" si="8"/>
        <v>2036</v>
      </c>
      <c r="B262" s="5">
        <f t="shared" si="9"/>
        <v>2228</v>
      </c>
      <c r="C262" s="5" cm="1">
        <f t="array" ref="C262">INDEX(GMW!$A$2:$LR$60,MATCH(1,(GMW!$LQ$2:$LQ$60=C$3)*(GMW!$LP$2:$LP$60=C$4)*(GMW!$LR$2:$LR$60=C$1),0),$B262-1966)</f>
        <v>698171.9</v>
      </c>
      <c r="D262" s="5" cm="1">
        <f t="array" ref="D262">INDEX(GMW!$A$2:$LR$60,MATCH(1,(GMW!$LQ$2:$LQ$60=D$3)*(GMW!$LP$2:$LP$60=D$4)*(GMW!$LR$2:$LR$60=D$1),0),$B262-1966)</f>
        <v>7275.9740000000002</v>
      </c>
      <c r="E262" s="5" cm="1">
        <f t="array" ref="E262">INDEX(GMW!$A$2:$LR$60,MATCH(1,(GMW!$LQ$2:$LQ$60=E$3)*(GMW!$LP$2:$LP$60=E$4)*(GMW!$LR$2:$LR$60=E$1),0),$B262-1966)</f>
        <v>143492.9</v>
      </c>
      <c r="F262" s="5" cm="1">
        <f t="array" ref="F262">INDEX(GMW!$A$2:$LR$60,MATCH(1,(GMW!$LQ$2:$LQ$60=F$3)*(GMW!$LP$2:$LP$60=F$4)*(GMW!$LR$2:$LR$60=F$1),0),$B262-1966)</f>
        <v>948.07360000000006</v>
      </c>
      <c r="G262" s="5" cm="1">
        <f t="array" ref="G262">INDEX(GMW!$A$2:$LR$60,MATCH(1,(GMW!$LQ$2:$LQ$60=G$3)*(GMW!$LP$2:$LP$60=G$4)*(GMW!$LR$2:$LR$60=G$1),0),$B262-1966)</f>
        <v>760.29</v>
      </c>
      <c r="H262" s="5" cm="1">
        <f t="array" ref="H262">INDEX(GMW!$A$2:$LR$60,MATCH(1,(GMW!$LQ$2:$LQ$60=H$3)*(GMW!$LP$2:$LP$60=H$4)*(GMW!$LR$2:$LR$60=H$1),0),$B262-1966)</f>
        <v>480.56459999999998</v>
      </c>
      <c r="I262" s="5" cm="1">
        <f t="array" ref="I262">INDEX(GMW!$A$2:$LR$60,MATCH(1,(GMW!$LQ$2:$LQ$60=I$3)*(GMW!$LP$2:$LP$60=I$4)*(GMW!$LR$2:$LR$60=I$1),0),$B262-1966)</f>
        <v>765879.7</v>
      </c>
    </row>
    <row r="263" spans="1:9" x14ac:dyDescent="0.25">
      <c r="A263" s="5">
        <f t="shared" si="8"/>
        <v>2037</v>
      </c>
      <c r="B263" s="5">
        <f t="shared" si="9"/>
        <v>2229</v>
      </c>
      <c r="C263" s="5" cm="1">
        <f t="array" ref="C263">INDEX(GMW!$A$2:$LR$60,MATCH(1,(GMW!$LQ$2:$LQ$60=C$3)*(GMW!$LP$2:$LP$60=C$4)*(GMW!$LR$2:$LR$60=C$1),0),$B263-1966)</f>
        <v>700876.9</v>
      </c>
      <c r="D263" s="5" cm="1">
        <f t="array" ref="D263">INDEX(GMW!$A$2:$LR$60,MATCH(1,(GMW!$LQ$2:$LQ$60=D$3)*(GMW!$LP$2:$LP$60=D$4)*(GMW!$LR$2:$LR$60=D$1),0),$B263-1966)</f>
        <v>7308.4030000000002</v>
      </c>
      <c r="E263" s="5" cm="1">
        <f t="array" ref="E263">INDEX(GMW!$A$2:$LR$60,MATCH(1,(GMW!$LQ$2:$LQ$60=E$3)*(GMW!$LP$2:$LP$60=E$4)*(GMW!$LR$2:$LR$60=E$1),0),$B263-1966)</f>
        <v>143405.6</v>
      </c>
      <c r="F263" s="5" cm="1">
        <f t="array" ref="F263">INDEX(GMW!$A$2:$LR$60,MATCH(1,(GMW!$LQ$2:$LQ$60=F$3)*(GMW!$LP$2:$LP$60=F$4)*(GMW!$LR$2:$LR$60=F$1),0),$B263-1966)</f>
        <v>949.96699999999998</v>
      </c>
      <c r="G263" s="5" cm="1">
        <f t="array" ref="G263">INDEX(GMW!$A$2:$LR$60,MATCH(1,(GMW!$LQ$2:$LQ$60=G$3)*(GMW!$LP$2:$LP$60=G$4)*(GMW!$LR$2:$LR$60=G$1),0),$B263-1966)</f>
        <v>762.01</v>
      </c>
      <c r="H263" s="5" cm="1">
        <f t="array" ref="H263">INDEX(GMW!$A$2:$LR$60,MATCH(1,(GMW!$LQ$2:$LQ$60=H$3)*(GMW!$LP$2:$LP$60=H$4)*(GMW!$LR$2:$LR$60=H$1),0),$B263-1966)</f>
        <v>480.78660000000002</v>
      </c>
      <c r="I263" s="5" cm="1">
        <f t="array" ref="I263">INDEX(GMW!$A$2:$LR$60,MATCH(1,(GMW!$LQ$2:$LQ$60=I$3)*(GMW!$LP$2:$LP$60=I$4)*(GMW!$LR$2:$LR$60=I$1),0),$B263-1966)</f>
        <v>769671.4</v>
      </c>
    </row>
    <row r="264" spans="1:9" x14ac:dyDescent="0.25">
      <c r="A264" s="5">
        <f t="shared" si="8"/>
        <v>2037</v>
      </c>
      <c r="B264" s="5">
        <f t="shared" si="9"/>
        <v>2230</v>
      </c>
      <c r="C264" s="5" cm="1">
        <f t="array" ref="C264">INDEX(GMW!$A$2:$LR$60,MATCH(1,(GMW!$LQ$2:$LQ$60=C$3)*(GMW!$LP$2:$LP$60=C$4)*(GMW!$LR$2:$LR$60=C$1),0),$B264-1966)</f>
        <v>703594.3</v>
      </c>
      <c r="D264" s="5" cm="1">
        <f t="array" ref="D264">INDEX(GMW!$A$2:$LR$60,MATCH(1,(GMW!$LQ$2:$LQ$60=D$3)*(GMW!$LP$2:$LP$60=D$4)*(GMW!$LR$2:$LR$60=D$1),0),$B264-1966)</f>
        <v>7340.875</v>
      </c>
      <c r="E264" s="5" cm="1">
        <f t="array" ref="E264">INDEX(GMW!$A$2:$LR$60,MATCH(1,(GMW!$LQ$2:$LQ$60=E$3)*(GMW!$LP$2:$LP$60=E$4)*(GMW!$LR$2:$LR$60=E$1),0),$B264-1966)</f>
        <v>143317.5</v>
      </c>
      <c r="F264" s="5" cm="1">
        <f t="array" ref="F264">INDEX(GMW!$A$2:$LR$60,MATCH(1,(GMW!$LQ$2:$LQ$60=F$3)*(GMW!$LP$2:$LP$60=F$4)*(GMW!$LR$2:$LR$60=F$1),0),$B264-1966)</f>
        <v>951.8623</v>
      </c>
      <c r="G264" s="5" cm="1">
        <f t="array" ref="G264">INDEX(GMW!$A$2:$LR$60,MATCH(1,(GMW!$LQ$2:$LQ$60=G$3)*(GMW!$LP$2:$LP$60=G$4)*(GMW!$LR$2:$LR$60=G$1),0),$B264-1966)</f>
        <v>763.72</v>
      </c>
      <c r="H264" s="5" cm="1">
        <f t="array" ref="H264">INDEX(GMW!$A$2:$LR$60,MATCH(1,(GMW!$LQ$2:$LQ$60=H$3)*(GMW!$LP$2:$LP$60=H$4)*(GMW!$LR$2:$LR$60=H$1),0),$B264-1966)</f>
        <v>481.00599999999997</v>
      </c>
      <c r="I264" s="5" cm="1">
        <f t="array" ref="I264">INDEX(GMW!$A$2:$LR$60,MATCH(1,(GMW!$LQ$2:$LQ$60=I$3)*(GMW!$LP$2:$LP$60=I$4)*(GMW!$LR$2:$LR$60=I$1),0),$B264-1966)</f>
        <v>773473.9</v>
      </c>
    </row>
    <row r="265" spans="1:9" x14ac:dyDescent="0.25">
      <c r="A265" s="5">
        <f t="shared" si="8"/>
        <v>2037</v>
      </c>
      <c r="B265" s="5">
        <f t="shared" si="9"/>
        <v>2231</v>
      </c>
      <c r="C265" s="5" cm="1">
        <f t="array" ref="C265">INDEX(GMW!$A$2:$LR$60,MATCH(1,(GMW!$LQ$2:$LQ$60=C$3)*(GMW!$LP$2:$LP$60=C$4)*(GMW!$LR$2:$LR$60=C$1),0),$B265-1966)</f>
        <v>706324.3</v>
      </c>
      <c r="D265" s="5" cm="1">
        <f t="array" ref="D265">INDEX(GMW!$A$2:$LR$60,MATCH(1,(GMW!$LQ$2:$LQ$60=D$3)*(GMW!$LP$2:$LP$60=D$4)*(GMW!$LR$2:$LR$60=D$1),0),$B265-1966)</f>
        <v>7373.5230000000001</v>
      </c>
      <c r="E265" s="5" cm="1">
        <f t="array" ref="E265">INDEX(GMW!$A$2:$LR$60,MATCH(1,(GMW!$LQ$2:$LQ$60=E$3)*(GMW!$LP$2:$LP$60=E$4)*(GMW!$LR$2:$LR$60=E$1),0),$B265-1966)</f>
        <v>143227</v>
      </c>
      <c r="F265" s="5" cm="1">
        <f t="array" ref="F265">INDEX(GMW!$A$2:$LR$60,MATCH(1,(GMW!$LQ$2:$LQ$60=F$3)*(GMW!$LP$2:$LP$60=F$4)*(GMW!$LR$2:$LR$60=F$1),0),$B265-1966)</f>
        <v>953.75959999999998</v>
      </c>
      <c r="G265" s="5" cm="1">
        <f t="array" ref="G265">INDEX(GMW!$A$2:$LR$60,MATCH(1,(GMW!$LQ$2:$LQ$60=G$3)*(GMW!$LP$2:$LP$60=G$4)*(GMW!$LR$2:$LR$60=G$1),0),$B265-1966)</f>
        <v>765.44</v>
      </c>
      <c r="H265" s="5" cm="1">
        <f t="array" ref="H265">INDEX(GMW!$A$2:$LR$60,MATCH(1,(GMW!$LQ$2:$LQ$60=H$3)*(GMW!$LP$2:$LP$60=H$4)*(GMW!$LR$2:$LR$60=H$1),0),$B265-1966)</f>
        <v>481.2226</v>
      </c>
      <c r="I265" s="5" cm="1">
        <f t="array" ref="I265">INDEX(GMW!$A$2:$LR$60,MATCH(1,(GMW!$LQ$2:$LQ$60=I$3)*(GMW!$LP$2:$LP$60=I$4)*(GMW!$LR$2:$LR$60=I$1),0),$B265-1966)</f>
        <v>777276.9</v>
      </c>
    </row>
    <row r="266" spans="1:9" x14ac:dyDescent="0.25">
      <c r="A266" s="5">
        <f t="shared" si="8"/>
        <v>2037</v>
      </c>
      <c r="B266" s="5">
        <f t="shared" si="9"/>
        <v>2232</v>
      </c>
      <c r="C266" s="5" cm="1">
        <f t="array" ref="C266">INDEX(GMW!$A$2:$LR$60,MATCH(1,(GMW!$LQ$2:$LQ$60=C$3)*(GMW!$LP$2:$LP$60=C$4)*(GMW!$LR$2:$LR$60=C$1),0),$B266-1966)</f>
        <v>709067.1</v>
      </c>
      <c r="D266" s="5" cm="1">
        <f t="array" ref="D266">INDEX(GMW!$A$2:$LR$60,MATCH(1,(GMW!$LQ$2:$LQ$60=D$3)*(GMW!$LP$2:$LP$60=D$4)*(GMW!$LR$2:$LR$60=D$1),0),$B266-1966)</f>
        <v>7406.1869999999999</v>
      </c>
      <c r="E266" s="5" cm="1">
        <f t="array" ref="E266">INDEX(GMW!$A$2:$LR$60,MATCH(1,(GMW!$LQ$2:$LQ$60=E$3)*(GMW!$LP$2:$LP$60=E$4)*(GMW!$LR$2:$LR$60=E$1),0),$B266-1966)</f>
        <v>143133.5</v>
      </c>
      <c r="F266" s="5" cm="1">
        <f t="array" ref="F266">INDEX(GMW!$A$2:$LR$60,MATCH(1,(GMW!$LQ$2:$LQ$60=F$3)*(GMW!$LP$2:$LP$60=F$4)*(GMW!$LR$2:$LR$60=F$1),0),$B266-1966)</f>
        <v>955.65890000000002</v>
      </c>
      <c r="G266" s="5" cm="1">
        <f t="array" ref="G266">INDEX(GMW!$A$2:$LR$60,MATCH(1,(GMW!$LQ$2:$LQ$60=G$3)*(GMW!$LP$2:$LP$60=G$4)*(GMW!$LR$2:$LR$60=G$1),0),$B266-1966)</f>
        <v>767.15</v>
      </c>
      <c r="H266" s="5" cm="1">
        <f t="array" ref="H266">INDEX(GMW!$A$2:$LR$60,MATCH(1,(GMW!$LQ$2:$LQ$60=H$3)*(GMW!$LP$2:$LP$60=H$4)*(GMW!$LR$2:$LR$60=H$1),0),$B266-1966)</f>
        <v>481.4366</v>
      </c>
      <c r="I266" s="5" cm="1">
        <f t="array" ref="I266">INDEX(GMW!$A$2:$LR$60,MATCH(1,(GMW!$LQ$2:$LQ$60=I$3)*(GMW!$LP$2:$LP$60=I$4)*(GMW!$LR$2:$LR$60=I$1),0),$B266-1966)</f>
        <v>781080.5</v>
      </c>
    </row>
    <row r="267" spans="1:9" x14ac:dyDescent="0.25">
      <c r="A267" s="5">
        <f t="shared" si="8"/>
        <v>2038</v>
      </c>
      <c r="B267" s="5">
        <f t="shared" si="9"/>
        <v>2233</v>
      </c>
      <c r="C267" s="5" cm="1">
        <f t="array" ref="C267">INDEX(GMW!$A$2:$LR$60,MATCH(1,(GMW!$LQ$2:$LQ$60=C$3)*(GMW!$LP$2:$LP$60=C$4)*(GMW!$LR$2:$LR$60=C$1),0),$B267-1966)</f>
        <v>711884.1</v>
      </c>
      <c r="D267" s="5" cm="1">
        <f t="array" ref="D267">INDEX(GMW!$A$2:$LR$60,MATCH(1,(GMW!$LQ$2:$LQ$60=D$3)*(GMW!$LP$2:$LP$60=D$4)*(GMW!$LR$2:$LR$60=D$1),0),$B267-1966)</f>
        <v>7438.97</v>
      </c>
      <c r="E267" s="5" cm="1">
        <f t="array" ref="E267">INDEX(GMW!$A$2:$LR$60,MATCH(1,(GMW!$LQ$2:$LQ$60=E$3)*(GMW!$LP$2:$LP$60=E$4)*(GMW!$LR$2:$LR$60=E$1),0),$B267-1966)</f>
        <v>143040.4</v>
      </c>
      <c r="F267" s="5" cm="1">
        <f t="array" ref="F267">INDEX(GMW!$A$2:$LR$60,MATCH(1,(GMW!$LQ$2:$LQ$60=F$3)*(GMW!$LP$2:$LP$60=F$4)*(GMW!$LR$2:$LR$60=F$1),0),$B267-1966)</f>
        <v>957.54459999999995</v>
      </c>
      <c r="G267" s="5" cm="1">
        <f t="array" ref="G267">INDEX(GMW!$A$2:$LR$60,MATCH(1,(GMW!$LQ$2:$LQ$60=G$3)*(GMW!$LP$2:$LP$60=G$4)*(GMW!$LR$2:$LR$60=G$1),0),$B267-1966)</f>
        <v>768.87</v>
      </c>
      <c r="H267" s="5" cm="1">
        <f t="array" ref="H267">INDEX(GMW!$A$2:$LR$60,MATCH(1,(GMW!$LQ$2:$LQ$60=H$3)*(GMW!$LP$2:$LP$60=H$4)*(GMW!$LR$2:$LR$60=H$1),0),$B267-1966)</f>
        <v>481.59960000000001</v>
      </c>
      <c r="I267" s="5" cm="1">
        <f t="array" ref="I267">INDEX(GMW!$A$2:$LR$60,MATCH(1,(GMW!$LQ$2:$LQ$60=I$3)*(GMW!$LP$2:$LP$60=I$4)*(GMW!$LR$2:$LR$60=I$1),0),$B267-1966)</f>
        <v>784873.7</v>
      </c>
    </row>
    <row r="268" spans="1:9" x14ac:dyDescent="0.25">
      <c r="A268" s="5">
        <f t="shared" ref="A268:A318" si="10">+A264+1</f>
        <v>2038</v>
      </c>
      <c r="B268" s="5">
        <f t="shared" si="9"/>
        <v>2234</v>
      </c>
      <c r="C268" s="5" cm="1">
        <f t="array" ref="C268">INDEX(GMW!$A$2:$LR$60,MATCH(1,(GMW!$LQ$2:$LQ$60=C$3)*(GMW!$LP$2:$LP$60=C$4)*(GMW!$LR$2:$LR$60=C$1),0),$B268-1966)</f>
        <v>714714.9</v>
      </c>
      <c r="D268" s="5" cm="1">
        <f t="array" ref="D268">INDEX(GMW!$A$2:$LR$60,MATCH(1,(GMW!$LQ$2:$LQ$60=D$3)*(GMW!$LP$2:$LP$60=D$4)*(GMW!$LR$2:$LR$60=D$1),0),$B268-1966)</f>
        <v>7471.777</v>
      </c>
      <c r="E268" s="5" cm="1">
        <f t="array" ref="E268">INDEX(GMW!$A$2:$LR$60,MATCH(1,(GMW!$LQ$2:$LQ$60=E$3)*(GMW!$LP$2:$LP$60=E$4)*(GMW!$LR$2:$LR$60=E$1),0),$B268-1966)</f>
        <v>142946.20000000001</v>
      </c>
      <c r="F268" s="5" cm="1">
        <f t="array" ref="F268">INDEX(GMW!$A$2:$LR$60,MATCH(1,(GMW!$LQ$2:$LQ$60=F$3)*(GMW!$LP$2:$LP$60=F$4)*(GMW!$LR$2:$LR$60=F$1),0),$B268-1966)</f>
        <v>959.43280000000004</v>
      </c>
      <c r="G268" s="5" cm="1">
        <f t="array" ref="G268">INDEX(GMW!$A$2:$LR$60,MATCH(1,(GMW!$LQ$2:$LQ$60=G$3)*(GMW!$LP$2:$LP$60=G$4)*(GMW!$LR$2:$LR$60=G$1),0),$B268-1966)</f>
        <v>770.58</v>
      </c>
      <c r="H268" s="5" cm="1">
        <f t="array" ref="H268">INDEX(GMW!$A$2:$LR$60,MATCH(1,(GMW!$LQ$2:$LQ$60=H$3)*(GMW!$LP$2:$LP$60=H$4)*(GMW!$LR$2:$LR$60=H$1),0),$B268-1966)</f>
        <v>481.75959999999998</v>
      </c>
      <c r="I268" s="5" cm="1">
        <f t="array" ref="I268">INDEX(GMW!$A$2:$LR$60,MATCH(1,(GMW!$LQ$2:$LQ$60=I$3)*(GMW!$LP$2:$LP$60=I$4)*(GMW!$LR$2:$LR$60=I$1),0),$B268-1966)</f>
        <v>788689.1</v>
      </c>
    </row>
    <row r="269" spans="1:9" x14ac:dyDescent="0.25">
      <c r="A269" s="5">
        <f t="shared" si="10"/>
        <v>2038</v>
      </c>
      <c r="B269" s="5">
        <f t="shared" si="9"/>
        <v>2235</v>
      </c>
      <c r="C269" s="5" cm="1">
        <f t="array" ref="C269">INDEX(GMW!$A$2:$LR$60,MATCH(1,(GMW!$LQ$2:$LQ$60=C$3)*(GMW!$LP$2:$LP$60=C$4)*(GMW!$LR$2:$LR$60=C$1),0),$B269-1966)</f>
        <v>717559.9</v>
      </c>
      <c r="D269" s="5" cm="1">
        <f t="array" ref="D269">INDEX(GMW!$A$2:$LR$60,MATCH(1,(GMW!$LQ$2:$LQ$60=D$3)*(GMW!$LP$2:$LP$60=D$4)*(GMW!$LR$2:$LR$60=D$1),0),$B269-1966)</f>
        <v>7504.7150000000001</v>
      </c>
      <c r="E269" s="5" cm="1">
        <f t="array" ref="E269">INDEX(GMW!$A$2:$LR$60,MATCH(1,(GMW!$LQ$2:$LQ$60=E$3)*(GMW!$LP$2:$LP$60=E$4)*(GMW!$LR$2:$LR$60=E$1),0),$B269-1966)</f>
        <v>142848.4</v>
      </c>
      <c r="F269" s="5" cm="1">
        <f t="array" ref="F269">INDEX(GMW!$A$2:$LR$60,MATCH(1,(GMW!$LQ$2:$LQ$60=F$3)*(GMW!$LP$2:$LP$60=F$4)*(GMW!$LR$2:$LR$60=F$1),0),$B269-1966)</f>
        <v>961.32380000000001</v>
      </c>
      <c r="G269" s="5" cm="1">
        <f t="array" ref="G269">INDEX(GMW!$A$2:$LR$60,MATCH(1,(GMW!$LQ$2:$LQ$60=G$3)*(GMW!$LP$2:$LP$60=G$4)*(GMW!$LR$2:$LR$60=G$1),0),$B269-1966)</f>
        <v>772.17</v>
      </c>
      <c r="H269" s="5" cm="1">
        <f t="array" ref="H269">INDEX(GMW!$A$2:$LR$60,MATCH(1,(GMW!$LQ$2:$LQ$60=H$3)*(GMW!$LP$2:$LP$60=H$4)*(GMW!$LR$2:$LR$60=H$1),0),$B269-1966)</f>
        <v>481.9162</v>
      </c>
      <c r="I269" s="5" cm="1">
        <f t="array" ref="I269">INDEX(GMW!$A$2:$LR$60,MATCH(1,(GMW!$LQ$2:$LQ$60=I$3)*(GMW!$LP$2:$LP$60=I$4)*(GMW!$LR$2:$LR$60=I$1),0),$B269-1966)</f>
        <v>792547.1</v>
      </c>
    </row>
    <row r="270" spans="1:9" x14ac:dyDescent="0.25">
      <c r="A270" s="5">
        <f t="shared" si="10"/>
        <v>2038</v>
      </c>
      <c r="B270" s="5">
        <f t="shared" si="9"/>
        <v>2236</v>
      </c>
      <c r="C270" s="5" cm="1">
        <f t="array" ref="C270">INDEX(GMW!$A$2:$LR$60,MATCH(1,(GMW!$LQ$2:$LQ$60=C$3)*(GMW!$LP$2:$LP$60=C$4)*(GMW!$LR$2:$LR$60=C$1),0),$B270-1966)</f>
        <v>720419.2</v>
      </c>
      <c r="D270" s="5" cm="1">
        <f t="array" ref="D270">INDEX(GMW!$A$2:$LR$60,MATCH(1,(GMW!$LQ$2:$LQ$60=D$3)*(GMW!$LP$2:$LP$60=D$4)*(GMW!$LR$2:$LR$60=D$1),0),$B270-1966)</f>
        <v>7537.8590000000004</v>
      </c>
      <c r="E270" s="5" cm="1">
        <f t="array" ref="E270">INDEX(GMW!$A$2:$LR$60,MATCH(1,(GMW!$LQ$2:$LQ$60=E$3)*(GMW!$LP$2:$LP$60=E$4)*(GMW!$LR$2:$LR$60=E$1),0),$B270-1966)</f>
        <v>142746.5</v>
      </c>
      <c r="F270" s="5" cm="1">
        <f t="array" ref="F270">INDEX(GMW!$A$2:$LR$60,MATCH(1,(GMW!$LQ$2:$LQ$60=F$3)*(GMW!$LP$2:$LP$60=F$4)*(GMW!$LR$2:$LR$60=F$1),0),$B270-1966)</f>
        <v>963.21749999999997</v>
      </c>
      <c r="G270" s="5" cm="1">
        <f t="array" ref="G270">INDEX(GMW!$A$2:$LR$60,MATCH(1,(GMW!$LQ$2:$LQ$60=G$3)*(GMW!$LP$2:$LP$60=G$4)*(GMW!$LR$2:$LR$60=G$1),0),$B270-1966)</f>
        <v>773.76</v>
      </c>
      <c r="H270" s="5" cm="1">
        <f t="array" ref="H270">INDEX(GMW!$A$2:$LR$60,MATCH(1,(GMW!$LQ$2:$LQ$60=H$3)*(GMW!$LP$2:$LP$60=H$4)*(GMW!$LR$2:$LR$60=H$1),0),$B270-1966)</f>
        <v>482.0693</v>
      </c>
      <c r="I270" s="5" cm="1">
        <f t="array" ref="I270">INDEX(GMW!$A$2:$LR$60,MATCH(1,(GMW!$LQ$2:$LQ$60=I$3)*(GMW!$LP$2:$LP$60=I$4)*(GMW!$LR$2:$LR$60=I$1),0),$B270-1966)</f>
        <v>796445.4</v>
      </c>
    </row>
    <row r="271" spans="1:9" x14ac:dyDescent="0.25">
      <c r="A271" s="5">
        <f t="shared" si="10"/>
        <v>2039</v>
      </c>
      <c r="B271" s="5">
        <f t="shared" si="9"/>
        <v>2237</v>
      </c>
      <c r="C271" s="5" cm="1">
        <f t="array" ref="C271">INDEX(GMW!$A$2:$LR$60,MATCH(1,(GMW!$LQ$2:$LQ$60=C$3)*(GMW!$LP$2:$LP$60=C$4)*(GMW!$LR$2:$LR$60=C$1),0),$B271-1966)</f>
        <v>723292.7</v>
      </c>
      <c r="D271" s="5" cm="1">
        <f t="array" ref="D271">INDEX(GMW!$A$2:$LR$60,MATCH(1,(GMW!$LQ$2:$LQ$60=D$3)*(GMW!$LP$2:$LP$60=D$4)*(GMW!$LR$2:$LR$60=D$1),0),$B271-1966)</f>
        <v>7570.9859999999999</v>
      </c>
      <c r="E271" s="5" cm="1">
        <f t="array" ref="E271">INDEX(GMW!$A$2:$LR$60,MATCH(1,(GMW!$LQ$2:$LQ$60=E$3)*(GMW!$LP$2:$LP$60=E$4)*(GMW!$LR$2:$LR$60=E$1),0),$B271-1966)</f>
        <v>142642.20000000001</v>
      </c>
      <c r="F271" s="5" cm="1">
        <f t="array" ref="F271">INDEX(GMW!$A$2:$LR$60,MATCH(1,(GMW!$LQ$2:$LQ$60=F$3)*(GMW!$LP$2:$LP$60=F$4)*(GMW!$LR$2:$LR$60=F$1),0),$B271-1966)</f>
        <v>965.38369999999998</v>
      </c>
      <c r="G271" s="5" cm="1">
        <f t="array" ref="G271">INDEX(GMW!$A$2:$LR$60,MATCH(1,(GMW!$LQ$2:$LQ$60=G$3)*(GMW!$LP$2:$LP$60=G$4)*(GMW!$LR$2:$LR$60=G$1),0),$B271-1966)</f>
        <v>775.34</v>
      </c>
      <c r="H271" s="5" cm="1">
        <f t="array" ref="H271">INDEX(GMW!$A$2:$LR$60,MATCH(1,(GMW!$LQ$2:$LQ$60=H$3)*(GMW!$LP$2:$LP$60=H$4)*(GMW!$LR$2:$LR$60=H$1),0),$B271-1966)</f>
        <v>482.20609999999999</v>
      </c>
      <c r="I271" s="5" cm="1">
        <f t="array" ref="I271">INDEX(GMW!$A$2:$LR$60,MATCH(1,(GMW!$LQ$2:$LQ$60=I$3)*(GMW!$LP$2:$LP$60=I$4)*(GMW!$LR$2:$LR$60=I$1),0),$B271-1966)</f>
        <v>800350.3</v>
      </c>
    </row>
    <row r="272" spans="1:9" x14ac:dyDescent="0.25">
      <c r="A272" s="5">
        <f t="shared" si="10"/>
        <v>2039</v>
      </c>
      <c r="B272" s="5">
        <f t="shared" si="9"/>
        <v>2238</v>
      </c>
      <c r="C272" s="5" cm="1">
        <f t="array" ref="C272">INDEX(GMW!$A$2:$LR$60,MATCH(1,(GMW!$LQ$2:$LQ$60=C$3)*(GMW!$LP$2:$LP$60=C$4)*(GMW!$LR$2:$LR$60=C$1),0),$B272-1966)</f>
        <v>726180.6</v>
      </c>
      <c r="D272" s="5" cm="1">
        <f t="array" ref="D272">INDEX(GMW!$A$2:$LR$60,MATCH(1,(GMW!$LQ$2:$LQ$60=D$3)*(GMW!$LP$2:$LP$60=D$4)*(GMW!$LR$2:$LR$60=D$1),0),$B272-1966)</f>
        <v>7604.1260000000002</v>
      </c>
      <c r="E272" s="5" cm="1">
        <f t="array" ref="E272">INDEX(GMW!$A$2:$LR$60,MATCH(1,(GMW!$LQ$2:$LQ$60=E$3)*(GMW!$LP$2:$LP$60=E$4)*(GMW!$LR$2:$LR$60=E$1),0),$B272-1966)</f>
        <v>142537.4</v>
      </c>
      <c r="F272" s="5" cm="1">
        <f t="array" ref="F272">INDEX(GMW!$A$2:$LR$60,MATCH(1,(GMW!$LQ$2:$LQ$60=F$3)*(GMW!$LP$2:$LP$60=F$4)*(GMW!$LR$2:$LR$60=F$1),0),$B272-1966)</f>
        <v>967.55579999999998</v>
      </c>
      <c r="G272" s="5" cm="1">
        <f t="array" ref="G272">INDEX(GMW!$A$2:$LR$60,MATCH(1,(GMW!$LQ$2:$LQ$60=G$3)*(GMW!$LP$2:$LP$60=G$4)*(GMW!$LR$2:$LR$60=G$1),0),$B272-1966)</f>
        <v>776.93</v>
      </c>
      <c r="H272" s="5" cm="1">
        <f t="array" ref="H272">INDEX(GMW!$A$2:$LR$60,MATCH(1,(GMW!$LQ$2:$LQ$60=H$3)*(GMW!$LP$2:$LP$60=H$4)*(GMW!$LR$2:$LR$60=H$1),0),$B272-1966)</f>
        <v>482.33879999999999</v>
      </c>
      <c r="I272" s="5" cm="1">
        <f t="array" ref="I272">INDEX(GMW!$A$2:$LR$60,MATCH(1,(GMW!$LQ$2:$LQ$60=I$3)*(GMW!$LP$2:$LP$60=I$4)*(GMW!$LR$2:$LR$60=I$1),0),$B272-1966)</f>
        <v>804273.2</v>
      </c>
    </row>
    <row r="273" spans="1:9" x14ac:dyDescent="0.25">
      <c r="A273" s="5">
        <f t="shared" si="10"/>
        <v>2039</v>
      </c>
      <c r="B273" s="5">
        <f t="shared" si="9"/>
        <v>2239</v>
      </c>
      <c r="C273" s="5" cm="1">
        <f t="array" ref="C273">INDEX(GMW!$A$2:$LR$60,MATCH(1,(GMW!$LQ$2:$LQ$60=C$3)*(GMW!$LP$2:$LP$60=C$4)*(GMW!$LR$2:$LR$60=C$1),0),$B273-1966)</f>
        <v>729083</v>
      </c>
      <c r="D273" s="5" cm="1">
        <f t="array" ref="D273">INDEX(GMW!$A$2:$LR$60,MATCH(1,(GMW!$LQ$2:$LQ$60=D$3)*(GMW!$LP$2:$LP$60=D$4)*(GMW!$LR$2:$LR$60=D$1),0),$B273-1966)</f>
        <v>7637.3590000000004</v>
      </c>
      <c r="E273" s="5" cm="1">
        <f t="array" ref="E273">INDEX(GMW!$A$2:$LR$60,MATCH(1,(GMW!$LQ$2:$LQ$60=E$3)*(GMW!$LP$2:$LP$60=E$4)*(GMW!$LR$2:$LR$60=E$1),0),$B273-1966)</f>
        <v>142436.5</v>
      </c>
      <c r="F273" s="5" cm="1">
        <f t="array" ref="F273">INDEX(GMW!$A$2:$LR$60,MATCH(1,(GMW!$LQ$2:$LQ$60=F$3)*(GMW!$LP$2:$LP$60=F$4)*(GMW!$LR$2:$LR$60=F$1),0),$B273-1966)</f>
        <v>969.73329999999999</v>
      </c>
      <c r="G273" s="5" cm="1">
        <f t="array" ref="G273">INDEX(GMW!$A$2:$LR$60,MATCH(1,(GMW!$LQ$2:$LQ$60=G$3)*(GMW!$LP$2:$LP$60=G$4)*(GMW!$LR$2:$LR$60=G$1),0),$B273-1966)</f>
        <v>778.51</v>
      </c>
      <c r="H273" s="5" cm="1">
        <f t="array" ref="H273">INDEX(GMW!$A$2:$LR$60,MATCH(1,(GMW!$LQ$2:$LQ$60=H$3)*(GMW!$LP$2:$LP$60=H$4)*(GMW!$LR$2:$LR$60=H$1),0),$B273-1966)</f>
        <v>482.46730000000002</v>
      </c>
      <c r="I273" s="5" cm="1">
        <f t="array" ref="I273">INDEX(GMW!$A$2:$LR$60,MATCH(1,(GMW!$LQ$2:$LQ$60=I$3)*(GMW!$LP$2:$LP$60=I$4)*(GMW!$LR$2:$LR$60=I$1),0),$B273-1966)</f>
        <v>808232.1</v>
      </c>
    </row>
    <row r="274" spans="1:9" x14ac:dyDescent="0.25">
      <c r="A274" s="5">
        <f t="shared" si="10"/>
        <v>2039</v>
      </c>
      <c r="B274" s="5">
        <f t="shared" si="9"/>
        <v>2240</v>
      </c>
      <c r="C274" s="5" cm="1">
        <f t="array" ref="C274">INDEX(GMW!$A$2:$LR$60,MATCH(1,(GMW!$LQ$2:$LQ$60=C$3)*(GMW!$LP$2:$LP$60=C$4)*(GMW!$LR$2:$LR$60=C$1),0),$B274-1966)</f>
        <v>731999.9</v>
      </c>
      <c r="D274" s="5" cm="1">
        <f t="array" ref="D274">INDEX(GMW!$A$2:$LR$60,MATCH(1,(GMW!$LQ$2:$LQ$60=D$3)*(GMW!$LP$2:$LP$60=D$4)*(GMW!$LR$2:$LR$60=D$1),0),$B274-1966)</f>
        <v>7670.741</v>
      </c>
      <c r="E274" s="5" cm="1">
        <f t="array" ref="E274">INDEX(GMW!$A$2:$LR$60,MATCH(1,(GMW!$LQ$2:$LQ$60=E$3)*(GMW!$LP$2:$LP$60=E$4)*(GMW!$LR$2:$LR$60=E$1),0),$B274-1966)</f>
        <v>142340</v>
      </c>
      <c r="F274" s="5" cm="1">
        <f t="array" ref="F274">INDEX(GMW!$A$2:$LR$60,MATCH(1,(GMW!$LQ$2:$LQ$60=F$3)*(GMW!$LP$2:$LP$60=F$4)*(GMW!$LR$2:$LR$60=F$1),0),$B274-1966)</f>
        <v>971.91669999999999</v>
      </c>
      <c r="G274" s="5" cm="1">
        <f t="array" ref="G274">INDEX(GMW!$A$2:$LR$60,MATCH(1,(GMW!$LQ$2:$LQ$60=G$3)*(GMW!$LP$2:$LP$60=G$4)*(GMW!$LR$2:$LR$60=G$1),0),$B274-1966)</f>
        <v>780.1</v>
      </c>
      <c r="H274" s="5" cm="1">
        <f t="array" ref="H274">INDEX(GMW!$A$2:$LR$60,MATCH(1,(GMW!$LQ$2:$LQ$60=H$3)*(GMW!$LP$2:$LP$60=H$4)*(GMW!$LR$2:$LR$60=H$1),0),$B274-1966)</f>
        <v>482.59190000000001</v>
      </c>
      <c r="I274" s="5" cm="1">
        <f t="array" ref="I274">INDEX(GMW!$A$2:$LR$60,MATCH(1,(GMW!$LQ$2:$LQ$60=I$3)*(GMW!$LP$2:$LP$60=I$4)*(GMW!$LR$2:$LR$60=I$1),0),$B274-1966)</f>
        <v>812222.9</v>
      </c>
    </row>
    <row r="275" spans="1:9" x14ac:dyDescent="0.25">
      <c r="A275" s="5">
        <f t="shared" si="10"/>
        <v>2040</v>
      </c>
      <c r="B275" s="5">
        <f t="shared" si="9"/>
        <v>2241</v>
      </c>
      <c r="C275" s="5" cm="1">
        <f t="array" ref="C275">INDEX(GMW!$A$2:$LR$60,MATCH(1,(GMW!$LQ$2:$LQ$60=C$3)*(GMW!$LP$2:$LP$60=C$4)*(GMW!$LR$2:$LR$60=C$1),0),$B275-1966)</f>
        <v>734931.4</v>
      </c>
      <c r="D275" s="5" cm="1">
        <f t="array" ref="D275">INDEX(GMW!$A$2:$LR$60,MATCH(1,(GMW!$LQ$2:$LQ$60=D$3)*(GMW!$LP$2:$LP$60=D$4)*(GMW!$LR$2:$LR$60=D$1),0),$B275-1966)</f>
        <v>7704.0249999999996</v>
      </c>
      <c r="E275" s="5" cm="1">
        <f t="array" ref="E275">INDEX(GMW!$A$2:$LR$60,MATCH(1,(GMW!$LQ$2:$LQ$60=E$3)*(GMW!$LP$2:$LP$60=E$4)*(GMW!$LR$2:$LR$60=E$1),0),$B275-1966)</f>
        <v>142244.79999999999</v>
      </c>
      <c r="F275" s="5" cm="1">
        <f t="array" ref="F275">INDEX(GMW!$A$2:$LR$60,MATCH(1,(GMW!$LQ$2:$LQ$60=F$3)*(GMW!$LP$2:$LP$60=F$4)*(GMW!$LR$2:$LR$60=F$1),0),$B275-1966)</f>
        <v>974.36410000000001</v>
      </c>
      <c r="G275" s="5" cm="1">
        <f t="array" ref="G275">INDEX(GMW!$A$2:$LR$60,MATCH(1,(GMW!$LQ$2:$LQ$60=G$3)*(GMW!$LP$2:$LP$60=G$4)*(GMW!$LR$2:$LR$60=G$1),0),$B275-1966)</f>
        <v>781.68</v>
      </c>
      <c r="H275" s="5" cm="1">
        <f t="array" ref="H275">INDEX(GMW!$A$2:$LR$60,MATCH(1,(GMW!$LQ$2:$LQ$60=H$3)*(GMW!$LP$2:$LP$60=H$4)*(GMW!$LR$2:$LR$60=H$1),0),$B275-1966)</f>
        <v>482.73880000000003</v>
      </c>
      <c r="I275" s="5" cm="1">
        <f t="array" ref="I275">INDEX(GMW!$A$2:$LR$60,MATCH(1,(GMW!$LQ$2:$LQ$60=I$3)*(GMW!$LP$2:$LP$60=I$4)*(GMW!$LR$2:$LR$60=I$1),0),$B275-1966)</f>
        <v>816194.1</v>
      </c>
    </row>
    <row r="276" spans="1:9" x14ac:dyDescent="0.25">
      <c r="A276" s="5">
        <f t="shared" si="10"/>
        <v>2040</v>
      </c>
      <c r="B276" s="5">
        <f t="shared" si="9"/>
        <v>2242</v>
      </c>
      <c r="C276" s="5" cm="1">
        <f t="array" ref="C276">INDEX(GMW!$A$2:$LR$60,MATCH(1,(GMW!$LQ$2:$LQ$60=C$3)*(GMW!$LP$2:$LP$60=C$4)*(GMW!$LR$2:$LR$60=C$1),0),$B276-1966)</f>
        <v>737871.6</v>
      </c>
      <c r="D276" s="5" cm="1">
        <f t="array" ref="D276">INDEX(GMW!$A$2:$LR$60,MATCH(1,(GMW!$LQ$2:$LQ$60=D$3)*(GMW!$LP$2:$LP$60=D$4)*(GMW!$LR$2:$LR$60=D$1),0),$B276-1966)</f>
        <v>7737.5</v>
      </c>
      <c r="E276" s="5" cm="1">
        <f t="array" ref="E276">INDEX(GMW!$A$2:$LR$60,MATCH(1,(GMW!$LQ$2:$LQ$60=E$3)*(GMW!$LP$2:$LP$60=E$4)*(GMW!$LR$2:$LR$60=E$1),0),$B276-1966)</f>
        <v>142148.79999999999</v>
      </c>
      <c r="F276" s="5" cm="1">
        <f t="array" ref="F276">INDEX(GMW!$A$2:$LR$60,MATCH(1,(GMW!$LQ$2:$LQ$60=F$3)*(GMW!$LP$2:$LP$60=F$4)*(GMW!$LR$2:$LR$60=F$1),0),$B276-1966)</f>
        <v>976.82050000000004</v>
      </c>
      <c r="G276" s="5" cm="1">
        <f t="array" ref="G276">INDEX(GMW!$A$2:$LR$60,MATCH(1,(GMW!$LQ$2:$LQ$60=G$3)*(GMW!$LP$2:$LP$60=G$4)*(GMW!$LR$2:$LR$60=G$1),0),$B276-1966)</f>
        <v>783.2</v>
      </c>
      <c r="H276" s="5" cm="1">
        <f t="array" ref="H276">INDEX(GMW!$A$2:$LR$60,MATCH(1,(GMW!$LQ$2:$LQ$60=H$3)*(GMW!$LP$2:$LP$60=H$4)*(GMW!$LR$2:$LR$60=H$1),0),$B276-1966)</f>
        <v>482.88150000000002</v>
      </c>
      <c r="I276" s="5" cm="1">
        <f t="array" ref="I276">INDEX(GMW!$A$2:$LR$60,MATCH(1,(GMW!$LQ$2:$LQ$60=I$3)*(GMW!$LP$2:$LP$60=I$4)*(GMW!$LR$2:$LR$60=I$1),0),$B276-1966)</f>
        <v>820185.7</v>
      </c>
    </row>
    <row r="277" spans="1:9" x14ac:dyDescent="0.25">
      <c r="A277" s="5">
        <f t="shared" si="10"/>
        <v>2040</v>
      </c>
      <c r="B277" s="5">
        <f t="shared" si="9"/>
        <v>2243</v>
      </c>
      <c r="C277" s="5" cm="1">
        <f t="array" ref="C277">INDEX(GMW!$A$2:$LR$60,MATCH(1,(GMW!$LQ$2:$LQ$60=C$3)*(GMW!$LP$2:$LP$60=C$4)*(GMW!$LR$2:$LR$60=C$1),0),$B277-1966)</f>
        <v>740820.8</v>
      </c>
      <c r="D277" s="5" cm="1">
        <f t="array" ref="D277">INDEX(GMW!$A$2:$LR$60,MATCH(1,(GMW!$LQ$2:$LQ$60=D$3)*(GMW!$LP$2:$LP$60=D$4)*(GMW!$LR$2:$LR$60=D$1),0),$B277-1966)</f>
        <v>7771.08</v>
      </c>
      <c r="E277" s="5" cm="1">
        <f t="array" ref="E277">INDEX(GMW!$A$2:$LR$60,MATCH(1,(GMW!$LQ$2:$LQ$60=E$3)*(GMW!$LP$2:$LP$60=E$4)*(GMW!$LR$2:$LR$60=E$1),0),$B277-1966)</f>
        <v>142057.4</v>
      </c>
      <c r="F277" s="5" cm="1">
        <f t="array" ref="F277">INDEX(GMW!$A$2:$LR$60,MATCH(1,(GMW!$LQ$2:$LQ$60=F$3)*(GMW!$LP$2:$LP$60=F$4)*(GMW!$LR$2:$LR$60=F$1),0),$B277-1966)</f>
        <v>979.28579999999999</v>
      </c>
      <c r="G277" s="5" cm="1">
        <f t="array" ref="G277">INDEX(GMW!$A$2:$LR$60,MATCH(1,(GMW!$LQ$2:$LQ$60=G$3)*(GMW!$LP$2:$LP$60=G$4)*(GMW!$LR$2:$LR$60=G$1),0),$B277-1966)</f>
        <v>784.72</v>
      </c>
      <c r="H277" s="5" cm="1">
        <f t="array" ref="H277">INDEX(GMW!$A$2:$LR$60,MATCH(1,(GMW!$LQ$2:$LQ$60=H$3)*(GMW!$LP$2:$LP$60=H$4)*(GMW!$LR$2:$LR$60=H$1),0),$B277-1966)</f>
        <v>483.0204</v>
      </c>
      <c r="I277" s="5" cm="1">
        <f t="array" ref="I277">INDEX(GMW!$A$2:$LR$60,MATCH(1,(GMW!$LQ$2:$LQ$60=I$3)*(GMW!$LP$2:$LP$60=I$4)*(GMW!$LR$2:$LR$60=I$1),0),$B277-1966)</f>
        <v>824229.3</v>
      </c>
    </row>
    <row r="278" spans="1:9" x14ac:dyDescent="0.25">
      <c r="A278" s="5">
        <f t="shared" si="10"/>
        <v>2040</v>
      </c>
      <c r="B278" s="5">
        <f t="shared" si="9"/>
        <v>2244</v>
      </c>
      <c r="C278" s="5" cm="1">
        <f t="array" ref="C278">INDEX(GMW!$A$2:$LR$60,MATCH(1,(GMW!$LQ$2:$LQ$60=C$3)*(GMW!$LP$2:$LP$60=C$4)*(GMW!$LR$2:$LR$60=C$1),0),$B278-1966)</f>
        <v>743778.7</v>
      </c>
      <c r="D278" s="5" cm="1">
        <f t="array" ref="D278">INDEX(GMW!$A$2:$LR$60,MATCH(1,(GMW!$LQ$2:$LQ$60=D$3)*(GMW!$LP$2:$LP$60=D$4)*(GMW!$LR$2:$LR$60=D$1),0),$B278-1966)</f>
        <v>7804.6210000000001</v>
      </c>
      <c r="E278" s="5" cm="1">
        <f t="array" ref="E278">INDEX(GMW!$A$2:$LR$60,MATCH(1,(GMW!$LQ$2:$LQ$60=E$3)*(GMW!$LP$2:$LP$60=E$4)*(GMW!$LR$2:$LR$60=E$1),0),$B278-1966)</f>
        <v>141970.5</v>
      </c>
      <c r="F278" s="5" cm="1">
        <f t="array" ref="F278">INDEX(GMW!$A$2:$LR$60,MATCH(1,(GMW!$LQ$2:$LQ$60=F$3)*(GMW!$LP$2:$LP$60=F$4)*(GMW!$LR$2:$LR$60=F$1),0),$B278-1966)</f>
        <v>981.76020000000005</v>
      </c>
      <c r="G278" s="5" cm="1">
        <f t="array" ref="G278">INDEX(GMW!$A$2:$LR$60,MATCH(1,(GMW!$LQ$2:$LQ$60=G$3)*(GMW!$LP$2:$LP$60=G$4)*(GMW!$LR$2:$LR$60=G$1),0),$B278-1966)</f>
        <v>786.23</v>
      </c>
      <c r="H278" s="5" cm="1">
        <f t="array" ref="H278">INDEX(GMW!$A$2:$LR$60,MATCH(1,(GMW!$LQ$2:$LQ$60=H$3)*(GMW!$LP$2:$LP$60=H$4)*(GMW!$LR$2:$LR$60=H$1),0),$B278-1966)</f>
        <v>483.1549</v>
      </c>
      <c r="I278" s="5" cm="1">
        <f t="array" ref="I278">INDEX(GMW!$A$2:$LR$60,MATCH(1,(GMW!$LQ$2:$LQ$60=I$3)*(GMW!$LP$2:$LP$60=I$4)*(GMW!$LR$2:$LR$60=I$1),0),$B278-1966)</f>
        <v>828325.7</v>
      </c>
    </row>
    <row r="279" spans="1:9" x14ac:dyDescent="0.25">
      <c r="A279" s="5">
        <f t="shared" si="10"/>
        <v>2041</v>
      </c>
      <c r="B279" s="5">
        <f t="shared" si="9"/>
        <v>2245</v>
      </c>
      <c r="C279" s="5" cm="1">
        <f t="array" ref="C279">INDEX(GMW!$A$2:$LR$60,MATCH(1,(GMW!$LQ$2:$LQ$60=C$3)*(GMW!$LP$2:$LP$60=C$4)*(GMW!$LR$2:$LR$60=C$1),0),$B279-1966)</f>
        <v>746675.4</v>
      </c>
      <c r="D279" s="5" cm="1">
        <f t="array" ref="D279">INDEX(GMW!$A$2:$LR$60,MATCH(1,(GMW!$LQ$2:$LQ$60=D$3)*(GMW!$LP$2:$LP$60=D$4)*(GMW!$LR$2:$LR$60=D$1),0),$B279-1966)</f>
        <v>7838.2870000000003</v>
      </c>
      <c r="E279" s="5" cm="1">
        <f t="array" ref="E279">INDEX(GMW!$A$2:$LR$60,MATCH(1,(GMW!$LQ$2:$LQ$60=E$3)*(GMW!$LP$2:$LP$60=E$4)*(GMW!$LR$2:$LR$60=E$1),0),$B279-1966)</f>
        <v>141885.4</v>
      </c>
      <c r="F279" s="5" cm="1">
        <f t="array" ref="F279">INDEX(GMW!$A$2:$LR$60,MATCH(1,(GMW!$LQ$2:$LQ$60=F$3)*(GMW!$LP$2:$LP$60=F$4)*(GMW!$LR$2:$LR$60=F$1),0),$B279-1966)</f>
        <v>984.29610000000002</v>
      </c>
      <c r="G279" s="5" cm="1">
        <f t="array" ref="G279">INDEX(GMW!$A$2:$LR$60,MATCH(1,(GMW!$LQ$2:$LQ$60=G$3)*(GMW!$LP$2:$LP$60=G$4)*(GMW!$LR$2:$LR$60=G$1),0),$B279-1966)</f>
        <v>787.78</v>
      </c>
      <c r="H279" s="5" cm="1">
        <f t="array" ref="H279">INDEX(GMW!$A$2:$LR$60,MATCH(1,(GMW!$LQ$2:$LQ$60=H$3)*(GMW!$LP$2:$LP$60=H$4)*(GMW!$LR$2:$LR$60=H$1),0),$B279-1966)</f>
        <v>483.28</v>
      </c>
      <c r="I279" s="5" cm="1">
        <f t="array" ref="I279">INDEX(GMW!$A$2:$LR$60,MATCH(1,(GMW!$LQ$2:$LQ$60=I$3)*(GMW!$LP$2:$LP$60=I$4)*(GMW!$LR$2:$LR$60=I$1),0),$B279-1966)</f>
        <v>832426.3</v>
      </c>
    </row>
    <row r="280" spans="1:9" x14ac:dyDescent="0.25">
      <c r="A280" s="5">
        <f t="shared" si="10"/>
        <v>2041</v>
      </c>
      <c r="B280" s="5">
        <f t="shared" si="9"/>
        <v>2246</v>
      </c>
      <c r="C280" s="5" cm="1">
        <f t="array" ref="C280">INDEX(GMW!$A$2:$LR$60,MATCH(1,(GMW!$LQ$2:$LQ$60=C$3)*(GMW!$LP$2:$LP$60=C$4)*(GMW!$LR$2:$LR$60=C$1),0),$B280-1966)</f>
        <v>749579.9</v>
      </c>
      <c r="D280" s="5" cm="1">
        <f t="array" ref="D280">INDEX(GMW!$A$2:$LR$60,MATCH(1,(GMW!$LQ$2:$LQ$60=D$3)*(GMW!$LP$2:$LP$60=D$4)*(GMW!$LR$2:$LR$60=D$1),0),$B280-1966)</f>
        <v>7872.0389999999998</v>
      </c>
      <c r="E280" s="5" cm="1">
        <f t="array" ref="E280">INDEX(GMW!$A$2:$LR$60,MATCH(1,(GMW!$LQ$2:$LQ$60=E$3)*(GMW!$LP$2:$LP$60=E$4)*(GMW!$LR$2:$LR$60=E$1),0),$B280-1966)</f>
        <v>141800.1</v>
      </c>
      <c r="F280" s="5" cm="1">
        <f t="array" ref="F280">INDEX(GMW!$A$2:$LR$60,MATCH(1,(GMW!$LQ$2:$LQ$60=F$3)*(GMW!$LP$2:$LP$60=F$4)*(GMW!$LR$2:$LR$60=F$1),0),$B280-1966)</f>
        <v>986.84169999999995</v>
      </c>
      <c r="G280" s="5" cm="1">
        <f t="array" ref="G280">INDEX(GMW!$A$2:$LR$60,MATCH(1,(GMW!$LQ$2:$LQ$60=G$3)*(GMW!$LP$2:$LP$60=G$4)*(GMW!$LR$2:$LR$60=G$1),0),$B280-1966)</f>
        <v>789.32</v>
      </c>
      <c r="H280" s="5" cm="1">
        <f t="array" ref="H280">INDEX(GMW!$A$2:$LR$60,MATCH(1,(GMW!$LQ$2:$LQ$60=H$3)*(GMW!$LP$2:$LP$60=H$4)*(GMW!$LR$2:$LR$60=H$1),0),$B280-1966)</f>
        <v>483.4008</v>
      </c>
      <c r="I280" s="5" cm="1">
        <f t="array" ref="I280">INDEX(GMW!$A$2:$LR$60,MATCH(1,(GMW!$LQ$2:$LQ$60=I$3)*(GMW!$LP$2:$LP$60=I$4)*(GMW!$LR$2:$LR$60=I$1),0),$B280-1966)</f>
        <v>836538.9</v>
      </c>
    </row>
    <row r="281" spans="1:9" x14ac:dyDescent="0.25">
      <c r="A281" s="5">
        <f t="shared" si="10"/>
        <v>2041</v>
      </c>
      <c r="B281" s="5">
        <f t="shared" si="9"/>
        <v>2247</v>
      </c>
      <c r="C281" s="5" cm="1">
        <f t="array" ref="C281">INDEX(GMW!$A$2:$LR$60,MATCH(1,(GMW!$LQ$2:$LQ$60=C$3)*(GMW!$LP$2:$LP$60=C$4)*(GMW!$LR$2:$LR$60=C$1),0),$B281-1966)</f>
        <v>752492.2</v>
      </c>
      <c r="D281" s="5" cm="1">
        <f t="array" ref="D281">INDEX(GMW!$A$2:$LR$60,MATCH(1,(GMW!$LQ$2:$LQ$60=D$3)*(GMW!$LP$2:$LP$60=D$4)*(GMW!$LR$2:$LR$60=D$1),0),$B281-1966)</f>
        <v>7905.7659999999996</v>
      </c>
      <c r="E281" s="5" cm="1">
        <f t="array" ref="E281">INDEX(GMW!$A$2:$LR$60,MATCH(1,(GMW!$LQ$2:$LQ$60=E$3)*(GMW!$LP$2:$LP$60=E$4)*(GMW!$LR$2:$LR$60=E$1),0),$B281-1966)</f>
        <v>141718.70000000001</v>
      </c>
      <c r="F281" s="5" cm="1">
        <f t="array" ref="F281">INDEX(GMW!$A$2:$LR$60,MATCH(1,(GMW!$LQ$2:$LQ$60=F$3)*(GMW!$LP$2:$LP$60=F$4)*(GMW!$LR$2:$LR$60=F$1),0),$B281-1966)</f>
        <v>989.39649999999995</v>
      </c>
      <c r="G281" s="5" cm="1">
        <f t="array" ref="G281">INDEX(GMW!$A$2:$LR$60,MATCH(1,(GMW!$LQ$2:$LQ$60=G$3)*(GMW!$LP$2:$LP$60=G$4)*(GMW!$LR$2:$LR$60=G$1),0),$B281-1966)</f>
        <v>790.87</v>
      </c>
      <c r="H281" s="5" cm="1">
        <f t="array" ref="H281">INDEX(GMW!$A$2:$LR$60,MATCH(1,(GMW!$LQ$2:$LQ$60=H$3)*(GMW!$LP$2:$LP$60=H$4)*(GMW!$LR$2:$LR$60=H$1),0),$B281-1966)</f>
        <v>483.51729999999998</v>
      </c>
      <c r="I281" s="5" cm="1">
        <f t="array" ref="I281">INDEX(GMW!$A$2:$LR$60,MATCH(1,(GMW!$LQ$2:$LQ$60=I$3)*(GMW!$LP$2:$LP$60=I$4)*(GMW!$LR$2:$LR$60=I$1),0),$B281-1966)</f>
        <v>840677.9</v>
      </c>
    </row>
    <row r="282" spans="1:9" x14ac:dyDescent="0.25">
      <c r="A282" s="5">
        <f t="shared" si="10"/>
        <v>2041</v>
      </c>
      <c r="B282" s="5">
        <f t="shared" si="9"/>
        <v>2248</v>
      </c>
      <c r="C282" s="5" cm="1">
        <f t="array" ref="C282">INDEX(GMW!$A$2:$LR$60,MATCH(1,(GMW!$LQ$2:$LQ$60=C$3)*(GMW!$LP$2:$LP$60=C$4)*(GMW!$LR$2:$LR$60=C$1),0),$B282-1966)</f>
        <v>755412.4</v>
      </c>
      <c r="D282" s="5" cm="1">
        <f t="array" ref="D282">INDEX(GMW!$A$2:$LR$60,MATCH(1,(GMW!$LQ$2:$LQ$60=D$3)*(GMW!$LP$2:$LP$60=D$4)*(GMW!$LR$2:$LR$60=D$1),0),$B282-1966)</f>
        <v>7939.5219999999999</v>
      </c>
      <c r="E282" s="5" cm="1">
        <f t="array" ref="E282">INDEX(GMW!$A$2:$LR$60,MATCH(1,(GMW!$LQ$2:$LQ$60=E$3)*(GMW!$LP$2:$LP$60=E$4)*(GMW!$LR$2:$LR$60=E$1),0),$B282-1966)</f>
        <v>141641</v>
      </c>
      <c r="F282" s="5" cm="1">
        <f t="array" ref="F282">INDEX(GMW!$A$2:$LR$60,MATCH(1,(GMW!$LQ$2:$LQ$60=F$3)*(GMW!$LP$2:$LP$60=F$4)*(GMW!$LR$2:$LR$60=F$1),0),$B282-1966)</f>
        <v>991.9606</v>
      </c>
      <c r="G282" s="5" cm="1">
        <f t="array" ref="G282">INDEX(GMW!$A$2:$LR$60,MATCH(1,(GMW!$LQ$2:$LQ$60=G$3)*(GMW!$LP$2:$LP$60=G$4)*(GMW!$LR$2:$LR$60=G$1),0),$B282-1966)</f>
        <v>792.47</v>
      </c>
      <c r="H282" s="5" cm="1">
        <f t="array" ref="H282">INDEX(GMW!$A$2:$LR$60,MATCH(1,(GMW!$LQ$2:$LQ$60=H$3)*(GMW!$LP$2:$LP$60=H$4)*(GMW!$LR$2:$LR$60=H$1),0),$B282-1966)</f>
        <v>483.62970000000001</v>
      </c>
      <c r="I282" s="5" cm="1">
        <f t="array" ref="I282">INDEX(GMW!$A$2:$LR$60,MATCH(1,(GMW!$LQ$2:$LQ$60=I$3)*(GMW!$LP$2:$LP$60=I$4)*(GMW!$LR$2:$LR$60=I$1),0),$B282-1966)</f>
        <v>844843.6</v>
      </c>
    </row>
    <row r="283" spans="1:9" x14ac:dyDescent="0.25">
      <c r="A283" s="5">
        <f t="shared" si="10"/>
        <v>2042</v>
      </c>
      <c r="B283" s="5">
        <f t="shared" si="9"/>
        <v>2249</v>
      </c>
      <c r="C283" s="5" cm="1">
        <f t="array" ref="C283">INDEX(GMW!$A$2:$LR$60,MATCH(1,(GMW!$LQ$2:$LQ$60=C$3)*(GMW!$LP$2:$LP$60=C$4)*(GMW!$LR$2:$LR$60=C$1),0),$B283-1966)</f>
        <v>758340.4</v>
      </c>
      <c r="D283" s="5" cm="1">
        <f t="array" ref="D283">INDEX(GMW!$A$2:$LR$60,MATCH(1,(GMW!$LQ$2:$LQ$60=D$3)*(GMW!$LP$2:$LP$60=D$4)*(GMW!$LR$2:$LR$60=D$1),0),$B283-1966)</f>
        <v>7973.3779999999997</v>
      </c>
      <c r="E283" s="5" cm="1">
        <f t="array" ref="E283">INDEX(GMW!$A$2:$LR$60,MATCH(1,(GMW!$LQ$2:$LQ$60=E$3)*(GMW!$LP$2:$LP$60=E$4)*(GMW!$LR$2:$LR$60=E$1),0),$B283-1966)</f>
        <v>141565.79999999999</v>
      </c>
      <c r="F283" s="5" cm="1">
        <f t="array" ref="F283">INDEX(GMW!$A$2:$LR$60,MATCH(1,(GMW!$LQ$2:$LQ$60=F$3)*(GMW!$LP$2:$LP$60=F$4)*(GMW!$LR$2:$LR$60=F$1),0),$B283-1966)</f>
        <v>994.58389999999997</v>
      </c>
      <c r="G283" s="5" cm="1">
        <f t="array" ref="G283">INDEX(GMW!$A$2:$LR$60,MATCH(1,(GMW!$LQ$2:$LQ$60=G$3)*(GMW!$LP$2:$LP$60=G$4)*(GMW!$LR$2:$LR$60=G$1),0),$B283-1966)</f>
        <v>794.08</v>
      </c>
      <c r="H283" s="5" cm="1">
        <f t="array" ref="H283">INDEX(GMW!$A$2:$LR$60,MATCH(1,(GMW!$LQ$2:$LQ$60=H$3)*(GMW!$LP$2:$LP$60=H$4)*(GMW!$LR$2:$LR$60=H$1),0),$B283-1966)</f>
        <v>483.74689999999998</v>
      </c>
      <c r="I283" s="5" cm="1">
        <f t="array" ref="I283">INDEX(GMW!$A$2:$LR$60,MATCH(1,(GMW!$LQ$2:$LQ$60=I$3)*(GMW!$LP$2:$LP$60=I$4)*(GMW!$LR$2:$LR$60=I$1),0),$B283-1966)</f>
        <v>849044.6</v>
      </c>
    </row>
    <row r="284" spans="1:9" x14ac:dyDescent="0.25">
      <c r="A284" s="5">
        <f t="shared" si="10"/>
        <v>2042</v>
      </c>
      <c r="B284" s="5">
        <f t="shared" si="9"/>
        <v>2250</v>
      </c>
      <c r="C284" s="5" cm="1">
        <f t="array" ref="C284">INDEX(GMW!$A$2:$LR$60,MATCH(1,(GMW!$LQ$2:$LQ$60=C$3)*(GMW!$LP$2:$LP$60=C$4)*(GMW!$LR$2:$LR$60=C$1),0),$B284-1966)</f>
        <v>761276.3</v>
      </c>
      <c r="D284" s="5" cm="1">
        <f t="array" ref="D284">INDEX(GMW!$A$2:$LR$60,MATCH(1,(GMW!$LQ$2:$LQ$60=D$3)*(GMW!$LP$2:$LP$60=D$4)*(GMW!$LR$2:$LR$60=D$1),0),$B284-1966)</f>
        <v>8007.3209999999999</v>
      </c>
      <c r="E284" s="5" cm="1">
        <f t="array" ref="E284">INDEX(GMW!$A$2:$LR$60,MATCH(1,(GMW!$LQ$2:$LQ$60=E$3)*(GMW!$LP$2:$LP$60=E$4)*(GMW!$LR$2:$LR$60=E$1),0),$B284-1966)</f>
        <v>141491.4</v>
      </c>
      <c r="F284" s="5" cm="1">
        <f t="array" ref="F284">INDEX(GMW!$A$2:$LR$60,MATCH(1,(GMW!$LQ$2:$LQ$60=F$3)*(GMW!$LP$2:$LP$60=F$4)*(GMW!$LR$2:$LR$60=F$1),0),$B284-1966)</f>
        <v>997.21699999999998</v>
      </c>
      <c r="G284" s="5" cm="1">
        <f t="array" ref="G284">INDEX(GMW!$A$2:$LR$60,MATCH(1,(GMW!$LQ$2:$LQ$60=G$3)*(GMW!$LP$2:$LP$60=G$4)*(GMW!$LR$2:$LR$60=G$1),0),$B284-1966)</f>
        <v>795.68</v>
      </c>
      <c r="H284" s="5" cm="1">
        <f t="array" ref="H284">INDEX(GMW!$A$2:$LR$60,MATCH(1,(GMW!$LQ$2:$LQ$60=H$3)*(GMW!$LP$2:$LP$60=H$4)*(GMW!$LR$2:$LR$60=H$1),0),$B284-1966)</f>
        <v>483.86020000000002</v>
      </c>
      <c r="I284" s="5" cm="1">
        <f t="array" ref="I284">INDEX(GMW!$A$2:$LR$60,MATCH(1,(GMW!$LQ$2:$LQ$60=I$3)*(GMW!$LP$2:$LP$60=I$4)*(GMW!$LR$2:$LR$60=I$1),0),$B284-1966)</f>
        <v>853239.1</v>
      </c>
    </row>
    <row r="285" spans="1:9" x14ac:dyDescent="0.25">
      <c r="A285" s="5">
        <f t="shared" si="10"/>
        <v>2042</v>
      </c>
      <c r="B285" s="5">
        <f t="shared" si="9"/>
        <v>2251</v>
      </c>
      <c r="C285" s="5" cm="1">
        <f t="array" ref="C285">INDEX(GMW!$A$2:$LR$60,MATCH(1,(GMW!$LQ$2:$LQ$60=C$3)*(GMW!$LP$2:$LP$60=C$4)*(GMW!$LR$2:$LR$60=C$1),0),$B285-1966)</f>
        <v>764219.9</v>
      </c>
      <c r="D285" s="5" cm="1">
        <f t="array" ref="D285">INDEX(GMW!$A$2:$LR$60,MATCH(1,(GMW!$LQ$2:$LQ$60=D$3)*(GMW!$LP$2:$LP$60=D$4)*(GMW!$LR$2:$LR$60=D$1),0),$B285-1966)</f>
        <v>8041.2830000000004</v>
      </c>
      <c r="E285" s="5" cm="1">
        <f t="array" ref="E285">INDEX(GMW!$A$2:$LR$60,MATCH(1,(GMW!$LQ$2:$LQ$60=E$3)*(GMW!$LP$2:$LP$60=E$4)*(GMW!$LR$2:$LR$60=E$1),0),$B285-1966)</f>
        <v>141421.70000000001</v>
      </c>
      <c r="F285" s="5" cm="1">
        <f t="array" ref="F285">INDEX(GMW!$A$2:$LR$60,MATCH(1,(GMW!$LQ$2:$LQ$60=F$3)*(GMW!$LP$2:$LP$60=F$4)*(GMW!$LR$2:$LR$60=F$1),0),$B285-1966)</f>
        <v>999.86</v>
      </c>
      <c r="G285" s="5" cm="1">
        <f t="array" ref="G285">INDEX(GMW!$A$2:$LR$60,MATCH(1,(GMW!$LQ$2:$LQ$60=G$3)*(GMW!$LP$2:$LP$60=G$4)*(GMW!$LR$2:$LR$60=G$1),0),$B285-1966)</f>
        <v>797.31</v>
      </c>
      <c r="H285" s="5" cm="1">
        <f t="array" ref="H285">INDEX(GMW!$A$2:$LR$60,MATCH(1,(GMW!$LQ$2:$LQ$60=H$3)*(GMW!$LP$2:$LP$60=H$4)*(GMW!$LR$2:$LR$60=H$1),0),$B285-1966)</f>
        <v>483.96960000000001</v>
      </c>
      <c r="I285" s="5" cm="1">
        <f t="array" ref="I285">INDEX(GMW!$A$2:$LR$60,MATCH(1,(GMW!$LQ$2:$LQ$60=I$3)*(GMW!$LP$2:$LP$60=I$4)*(GMW!$LR$2:$LR$60=I$1),0),$B285-1966)</f>
        <v>857449.9</v>
      </c>
    </row>
    <row r="286" spans="1:9" x14ac:dyDescent="0.25">
      <c r="A286" s="5">
        <f t="shared" si="10"/>
        <v>2042</v>
      </c>
      <c r="B286" s="5">
        <f t="shared" si="9"/>
        <v>2252</v>
      </c>
      <c r="C286" s="5" cm="1">
        <f t="array" ref="C286">INDEX(GMW!$A$2:$LR$60,MATCH(1,(GMW!$LQ$2:$LQ$60=C$3)*(GMW!$LP$2:$LP$60=C$4)*(GMW!$LR$2:$LR$60=C$1),0),$B286-1966)</f>
        <v>767171.6</v>
      </c>
      <c r="D286" s="5" cm="1">
        <f t="array" ref="D286">INDEX(GMW!$A$2:$LR$60,MATCH(1,(GMW!$LQ$2:$LQ$60=D$3)*(GMW!$LP$2:$LP$60=D$4)*(GMW!$LR$2:$LR$60=D$1),0),$B286-1966)</f>
        <v>8075.3069999999998</v>
      </c>
      <c r="E286" s="5" cm="1">
        <f t="array" ref="E286">INDEX(GMW!$A$2:$LR$60,MATCH(1,(GMW!$LQ$2:$LQ$60=E$3)*(GMW!$LP$2:$LP$60=E$4)*(GMW!$LR$2:$LR$60=E$1),0),$B286-1966)</f>
        <v>141356</v>
      </c>
      <c r="F286" s="5" cm="1">
        <f t="array" ref="F286">INDEX(GMW!$A$2:$LR$60,MATCH(1,(GMW!$LQ$2:$LQ$60=F$3)*(GMW!$LP$2:$LP$60=F$4)*(GMW!$LR$2:$LR$60=F$1),0),$B286-1966)</f>
        <v>1002.513</v>
      </c>
      <c r="G286" s="5" cm="1">
        <f t="array" ref="G286">INDEX(GMW!$A$2:$LR$60,MATCH(1,(GMW!$LQ$2:$LQ$60=G$3)*(GMW!$LP$2:$LP$60=G$4)*(GMW!$LR$2:$LR$60=G$1),0),$B286-1966)</f>
        <v>798.94</v>
      </c>
      <c r="H286" s="5" cm="1">
        <f t="array" ref="H286">INDEX(GMW!$A$2:$LR$60,MATCH(1,(GMW!$LQ$2:$LQ$60=H$3)*(GMW!$LP$2:$LP$60=H$4)*(GMW!$LR$2:$LR$60=H$1),0),$B286-1966)</f>
        <v>484.0752</v>
      </c>
      <c r="I286" s="5" cm="1">
        <f t="array" ref="I286">INDEX(GMW!$A$2:$LR$60,MATCH(1,(GMW!$LQ$2:$LQ$60=I$3)*(GMW!$LP$2:$LP$60=I$4)*(GMW!$LR$2:$LR$60=I$1),0),$B286-1966)</f>
        <v>861682.4</v>
      </c>
    </row>
    <row r="287" spans="1:9" x14ac:dyDescent="0.25">
      <c r="A287" s="5">
        <f t="shared" si="10"/>
        <v>2043</v>
      </c>
      <c r="B287" s="5">
        <f t="shared" si="9"/>
        <v>2253</v>
      </c>
      <c r="C287" s="5" cm="1">
        <f t="array" ref="C287">INDEX(GMW!$A$2:$LR$60,MATCH(1,(GMW!$LQ$2:$LQ$60=C$3)*(GMW!$LP$2:$LP$60=C$4)*(GMW!$LR$2:$LR$60=C$1),0),$B287-1966)</f>
        <v>770130.9</v>
      </c>
      <c r="D287" s="5" cm="1">
        <f t="array" ref="D287">INDEX(GMW!$A$2:$LR$60,MATCH(1,(GMW!$LQ$2:$LQ$60=D$3)*(GMW!$LP$2:$LP$60=D$4)*(GMW!$LR$2:$LR$60=D$1),0),$B287-1966)</f>
        <v>8109.4160000000002</v>
      </c>
      <c r="E287" s="5" cm="1">
        <f t="array" ref="E287">INDEX(GMW!$A$2:$LR$60,MATCH(1,(GMW!$LQ$2:$LQ$60=E$3)*(GMW!$LP$2:$LP$60=E$4)*(GMW!$LR$2:$LR$60=E$1),0),$B287-1966)</f>
        <v>141293</v>
      </c>
      <c r="F287" s="5" cm="1">
        <f t="array" ref="F287">INDEX(GMW!$A$2:$LR$60,MATCH(1,(GMW!$LQ$2:$LQ$60=F$3)*(GMW!$LP$2:$LP$60=F$4)*(GMW!$LR$2:$LR$60=F$1),0),$B287-1966)</f>
        <v>1005.116</v>
      </c>
      <c r="G287" s="5" cm="1">
        <f t="array" ref="G287">INDEX(GMW!$A$2:$LR$60,MATCH(1,(GMW!$LQ$2:$LQ$60=G$3)*(GMW!$LP$2:$LP$60=G$4)*(GMW!$LR$2:$LR$60=G$1),0),$B287-1966)</f>
        <v>800.57</v>
      </c>
      <c r="H287" s="5" cm="1">
        <f t="array" ref="H287">INDEX(GMW!$A$2:$LR$60,MATCH(1,(GMW!$LQ$2:$LQ$60=H$3)*(GMW!$LP$2:$LP$60=H$4)*(GMW!$LR$2:$LR$60=H$1),0),$B287-1966)</f>
        <v>484.18869999999998</v>
      </c>
      <c r="I287" s="5" cm="1">
        <f t="array" ref="I287">INDEX(GMW!$A$2:$LR$60,MATCH(1,(GMW!$LQ$2:$LQ$60=I$3)*(GMW!$LP$2:$LP$60=I$4)*(GMW!$LR$2:$LR$60=I$1),0),$B287-1966)</f>
        <v>865942.3</v>
      </c>
    </row>
    <row r="288" spans="1:9" x14ac:dyDescent="0.25">
      <c r="A288" s="5">
        <f t="shared" si="10"/>
        <v>2043</v>
      </c>
      <c r="B288" s="5">
        <f t="shared" si="9"/>
        <v>2254</v>
      </c>
      <c r="C288" s="5" cm="1">
        <f t="array" ref="C288">INDEX(GMW!$A$2:$LR$60,MATCH(1,(GMW!$LQ$2:$LQ$60=C$3)*(GMW!$LP$2:$LP$60=C$4)*(GMW!$LR$2:$LR$60=C$1),0),$B288-1966)</f>
        <v>773097.9</v>
      </c>
      <c r="D288" s="5" cm="1">
        <f t="array" ref="D288">INDEX(GMW!$A$2:$LR$60,MATCH(1,(GMW!$LQ$2:$LQ$60=D$3)*(GMW!$LP$2:$LP$60=D$4)*(GMW!$LR$2:$LR$60=D$1),0),$B288-1966)</f>
        <v>8143.5649999999996</v>
      </c>
      <c r="E288" s="5" cm="1">
        <f t="array" ref="E288">INDEX(GMW!$A$2:$LR$60,MATCH(1,(GMW!$LQ$2:$LQ$60=E$3)*(GMW!$LP$2:$LP$60=E$4)*(GMW!$LR$2:$LR$60=E$1),0),$B288-1966)</f>
        <v>141231.29999999999</v>
      </c>
      <c r="F288" s="5" cm="1">
        <f t="array" ref="F288">INDEX(GMW!$A$2:$LR$60,MATCH(1,(GMW!$LQ$2:$LQ$60=F$3)*(GMW!$LP$2:$LP$60=F$4)*(GMW!$LR$2:$LR$60=F$1),0),$B288-1966)</f>
        <v>1007.728</v>
      </c>
      <c r="G288" s="5" cm="1">
        <f t="array" ref="G288">INDEX(GMW!$A$2:$LR$60,MATCH(1,(GMW!$LQ$2:$LQ$60=G$3)*(GMW!$LP$2:$LP$60=G$4)*(GMW!$LR$2:$LR$60=G$1),0),$B288-1966)</f>
        <v>802.2</v>
      </c>
      <c r="H288" s="5" cm="1">
        <f t="array" ref="H288">INDEX(GMW!$A$2:$LR$60,MATCH(1,(GMW!$LQ$2:$LQ$60=H$3)*(GMW!$LP$2:$LP$60=H$4)*(GMW!$LR$2:$LR$60=H$1),0),$B288-1966)</f>
        <v>484.29840000000002</v>
      </c>
      <c r="I288" s="5" cm="1">
        <f t="array" ref="I288">INDEX(GMW!$A$2:$LR$60,MATCH(1,(GMW!$LQ$2:$LQ$60=I$3)*(GMW!$LP$2:$LP$60=I$4)*(GMW!$LR$2:$LR$60=I$1),0),$B288-1966)</f>
        <v>870196</v>
      </c>
    </row>
    <row r="289" spans="1:9" x14ac:dyDescent="0.25">
      <c r="A289" s="5">
        <f t="shared" si="10"/>
        <v>2043</v>
      </c>
      <c r="B289" s="5">
        <f t="shared" si="9"/>
        <v>2255</v>
      </c>
      <c r="C289" s="5" cm="1">
        <f t="array" ref="C289">INDEX(GMW!$A$2:$LR$60,MATCH(1,(GMW!$LQ$2:$LQ$60=C$3)*(GMW!$LP$2:$LP$60=C$4)*(GMW!$LR$2:$LR$60=C$1),0),$B289-1966)</f>
        <v>776072</v>
      </c>
      <c r="D289" s="5" cm="1">
        <f t="array" ref="D289">INDEX(GMW!$A$2:$LR$60,MATCH(1,(GMW!$LQ$2:$LQ$60=D$3)*(GMW!$LP$2:$LP$60=D$4)*(GMW!$LR$2:$LR$60=D$1),0),$B289-1966)</f>
        <v>8177.8270000000002</v>
      </c>
      <c r="E289" s="5" cm="1">
        <f t="array" ref="E289">INDEX(GMW!$A$2:$LR$60,MATCH(1,(GMW!$LQ$2:$LQ$60=E$3)*(GMW!$LP$2:$LP$60=E$4)*(GMW!$LR$2:$LR$60=E$1),0),$B289-1966)</f>
        <v>141172.79999999999</v>
      </c>
      <c r="F289" s="5" cm="1">
        <f t="array" ref="F289">INDEX(GMW!$A$2:$LR$60,MATCH(1,(GMW!$LQ$2:$LQ$60=F$3)*(GMW!$LP$2:$LP$60=F$4)*(GMW!$LR$2:$LR$60=F$1),0),$B289-1966)</f>
        <v>1010.349</v>
      </c>
      <c r="G289" s="5" cm="1">
        <f t="array" ref="G289">INDEX(GMW!$A$2:$LR$60,MATCH(1,(GMW!$LQ$2:$LQ$60=G$3)*(GMW!$LP$2:$LP$60=G$4)*(GMW!$LR$2:$LR$60=G$1),0),$B289-1966)</f>
        <v>803.83</v>
      </c>
      <c r="H289" s="5" cm="1">
        <f t="array" ref="H289">INDEX(GMW!$A$2:$LR$60,MATCH(1,(GMW!$LQ$2:$LQ$60=H$3)*(GMW!$LP$2:$LP$60=H$4)*(GMW!$LR$2:$LR$60=H$1),0),$B289-1966)</f>
        <v>484.40469999999999</v>
      </c>
      <c r="I289" s="5" cm="1">
        <f t="array" ref="I289">INDEX(GMW!$A$2:$LR$60,MATCH(1,(GMW!$LQ$2:$LQ$60=I$3)*(GMW!$LP$2:$LP$60=I$4)*(GMW!$LR$2:$LR$60=I$1),0),$B289-1966)</f>
        <v>874450.2</v>
      </c>
    </row>
    <row r="290" spans="1:9" x14ac:dyDescent="0.25">
      <c r="A290" s="5">
        <f t="shared" si="10"/>
        <v>2043</v>
      </c>
      <c r="B290" s="5">
        <f t="shared" si="9"/>
        <v>2256</v>
      </c>
      <c r="C290" s="5" cm="1">
        <f t="array" ref="C290">INDEX(GMW!$A$2:$LR$60,MATCH(1,(GMW!$LQ$2:$LQ$60=C$3)*(GMW!$LP$2:$LP$60=C$4)*(GMW!$LR$2:$LR$60=C$1),0),$B290-1966)</f>
        <v>779053.4</v>
      </c>
      <c r="D290" s="5" cm="1">
        <f t="array" ref="D290">INDEX(GMW!$A$2:$LR$60,MATCH(1,(GMW!$LQ$2:$LQ$60=D$3)*(GMW!$LP$2:$LP$60=D$4)*(GMW!$LR$2:$LR$60=D$1),0),$B290-1966)</f>
        <v>8212.1509999999998</v>
      </c>
      <c r="E290" s="5" cm="1">
        <f t="array" ref="E290">INDEX(GMW!$A$2:$LR$60,MATCH(1,(GMW!$LQ$2:$LQ$60=E$3)*(GMW!$LP$2:$LP$60=E$4)*(GMW!$LR$2:$LR$60=E$1),0),$B290-1966)</f>
        <v>141117.5</v>
      </c>
      <c r="F290" s="5" cm="1">
        <f t="array" ref="F290">INDEX(GMW!$A$2:$LR$60,MATCH(1,(GMW!$LQ$2:$LQ$60=F$3)*(GMW!$LP$2:$LP$60=F$4)*(GMW!$LR$2:$LR$60=F$1),0),$B290-1966)</f>
        <v>1012.98</v>
      </c>
      <c r="G290" s="5" cm="1">
        <f t="array" ref="G290">INDEX(GMW!$A$2:$LR$60,MATCH(1,(GMW!$LQ$2:$LQ$60=G$3)*(GMW!$LP$2:$LP$60=G$4)*(GMW!$LR$2:$LR$60=G$1),0),$B290-1966)</f>
        <v>805.46</v>
      </c>
      <c r="H290" s="5" cm="1">
        <f t="array" ref="H290">INDEX(GMW!$A$2:$LR$60,MATCH(1,(GMW!$LQ$2:$LQ$60=H$3)*(GMW!$LP$2:$LP$60=H$4)*(GMW!$LR$2:$LR$60=H$1),0),$B290-1966)</f>
        <v>484.50670000000002</v>
      </c>
      <c r="I290" s="5" cm="1">
        <f t="array" ref="I290">INDEX(GMW!$A$2:$LR$60,MATCH(1,(GMW!$LQ$2:$LQ$60=I$3)*(GMW!$LP$2:$LP$60=I$4)*(GMW!$LR$2:$LR$60=I$1),0),$B290-1966)</f>
        <v>878690.8</v>
      </c>
    </row>
    <row r="291" spans="1:9" x14ac:dyDescent="0.25">
      <c r="A291" s="5">
        <f t="shared" si="10"/>
        <v>2044</v>
      </c>
      <c r="B291" s="5">
        <f t="shared" si="9"/>
        <v>2257</v>
      </c>
      <c r="C291" s="5" cm="1">
        <f t="array" ref="C291">INDEX(GMW!$A$2:$LR$60,MATCH(1,(GMW!$LQ$2:$LQ$60=C$3)*(GMW!$LP$2:$LP$60=C$4)*(GMW!$LR$2:$LR$60=C$1),0),$B291-1966)</f>
        <v>782041.8</v>
      </c>
      <c r="D291" s="5" cm="1">
        <f t="array" ref="D291">INDEX(GMW!$A$2:$LR$60,MATCH(1,(GMW!$LQ$2:$LQ$60=D$3)*(GMW!$LP$2:$LP$60=D$4)*(GMW!$LR$2:$LR$60=D$1),0),$B291-1966)</f>
        <v>8246.5239999999994</v>
      </c>
      <c r="E291" s="5" cm="1">
        <f t="array" ref="E291">INDEX(GMW!$A$2:$LR$60,MATCH(1,(GMW!$LQ$2:$LQ$60=E$3)*(GMW!$LP$2:$LP$60=E$4)*(GMW!$LR$2:$LR$60=E$1),0),$B291-1966)</f>
        <v>141066.29999999999</v>
      </c>
      <c r="F291" s="5" cm="1">
        <f t="array" ref="F291">INDEX(GMW!$A$2:$LR$60,MATCH(1,(GMW!$LQ$2:$LQ$60=F$3)*(GMW!$LP$2:$LP$60=F$4)*(GMW!$LR$2:$LR$60=F$1),0),$B291-1966)</f>
        <v>1015.561</v>
      </c>
      <c r="G291" s="5" cm="1">
        <f t="array" ref="G291">INDEX(GMW!$A$2:$LR$60,MATCH(1,(GMW!$LQ$2:$LQ$60=G$3)*(GMW!$LP$2:$LP$60=G$4)*(GMW!$LR$2:$LR$60=G$1),0),$B291-1966)</f>
        <v>807.09</v>
      </c>
      <c r="H291" s="5" cm="1">
        <f t="array" ref="H291">INDEX(GMW!$A$2:$LR$60,MATCH(1,(GMW!$LQ$2:$LQ$60=H$3)*(GMW!$LP$2:$LP$60=H$4)*(GMW!$LR$2:$LR$60=H$1),0),$B291-1966)</f>
        <v>484.58339999999998</v>
      </c>
      <c r="I291" s="5" cm="1">
        <f t="array" ref="I291">INDEX(GMW!$A$2:$LR$60,MATCH(1,(GMW!$LQ$2:$LQ$60=I$3)*(GMW!$LP$2:$LP$60=I$4)*(GMW!$LR$2:$LR$60=I$1),0),$B291-1966)</f>
        <v>882977.9</v>
      </c>
    </row>
    <row r="292" spans="1:9" x14ac:dyDescent="0.25">
      <c r="A292" s="5">
        <f t="shared" si="10"/>
        <v>2044</v>
      </c>
      <c r="B292" s="5">
        <f t="shared" si="9"/>
        <v>2258</v>
      </c>
      <c r="C292" s="5" cm="1">
        <f t="array" ref="C292">INDEX(GMW!$A$2:$LR$60,MATCH(1,(GMW!$LQ$2:$LQ$60=C$3)*(GMW!$LP$2:$LP$60=C$4)*(GMW!$LR$2:$LR$60=C$1),0),$B292-1966)</f>
        <v>785037.5</v>
      </c>
      <c r="D292" s="5" cm="1">
        <f t="array" ref="D292">INDEX(GMW!$A$2:$LR$60,MATCH(1,(GMW!$LQ$2:$LQ$60=D$3)*(GMW!$LP$2:$LP$60=D$4)*(GMW!$LR$2:$LR$60=D$1),0),$B292-1966)</f>
        <v>8281.0249999999996</v>
      </c>
      <c r="E292" s="5" cm="1">
        <f t="array" ref="E292">INDEX(GMW!$A$2:$LR$60,MATCH(1,(GMW!$LQ$2:$LQ$60=E$3)*(GMW!$LP$2:$LP$60=E$4)*(GMW!$LR$2:$LR$60=E$1),0),$B292-1966)</f>
        <v>141019.9</v>
      </c>
      <c r="F292" s="5" cm="1">
        <f t="array" ref="F292">INDEX(GMW!$A$2:$LR$60,MATCH(1,(GMW!$LQ$2:$LQ$60=F$3)*(GMW!$LP$2:$LP$60=F$4)*(GMW!$LR$2:$LR$60=F$1),0),$B292-1966)</f>
        <v>1018.13</v>
      </c>
      <c r="G292" s="5" cm="1">
        <f t="array" ref="G292">INDEX(GMW!$A$2:$LR$60,MATCH(1,(GMW!$LQ$2:$LQ$60=G$3)*(GMW!$LP$2:$LP$60=G$4)*(GMW!$LR$2:$LR$60=G$1),0),$B292-1966)</f>
        <v>808.61</v>
      </c>
      <c r="H292" s="5" cm="1">
        <f t="array" ref="H292">INDEX(GMW!$A$2:$LR$60,MATCH(1,(GMW!$LQ$2:$LQ$60=H$3)*(GMW!$LP$2:$LP$60=H$4)*(GMW!$LR$2:$LR$60=H$1),0),$B292-1966)</f>
        <v>484.65640000000002</v>
      </c>
      <c r="I292" s="5" cm="1">
        <f t="array" ref="I292">INDEX(GMW!$A$2:$LR$60,MATCH(1,(GMW!$LQ$2:$LQ$60=I$3)*(GMW!$LP$2:$LP$60=I$4)*(GMW!$LR$2:$LR$60=I$1),0),$B292-1966)</f>
        <v>887242.2</v>
      </c>
    </row>
    <row r="293" spans="1:9" x14ac:dyDescent="0.25">
      <c r="A293" s="5">
        <f t="shared" si="10"/>
        <v>2044</v>
      </c>
      <c r="B293" s="5">
        <f t="shared" si="9"/>
        <v>2259</v>
      </c>
      <c r="C293" s="5" cm="1">
        <f t="array" ref="C293">INDEX(GMW!$A$2:$LR$60,MATCH(1,(GMW!$LQ$2:$LQ$60=C$3)*(GMW!$LP$2:$LP$60=C$4)*(GMW!$LR$2:$LR$60=C$1),0),$B293-1966)</f>
        <v>788040.4</v>
      </c>
      <c r="D293" s="5" cm="1">
        <f t="array" ref="D293">INDEX(GMW!$A$2:$LR$60,MATCH(1,(GMW!$LQ$2:$LQ$60=D$3)*(GMW!$LP$2:$LP$60=D$4)*(GMW!$LR$2:$LR$60=D$1),0),$B293-1966)</f>
        <v>8315.5550000000003</v>
      </c>
      <c r="E293" s="5" cm="1">
        <f t="array" ref="E293">INDEX(GMW!$A$2:$LR$60,MATCH(1,(GMW!$LQ$2:$LQ$60=E$3)*(GMW!$LP$2:$LP$60=E$4)*(GMW!$LR$2:$LR$60=E$1),0),$B293-1966)</f>
        <v>140980.79999999999</v>
      </c>
      <c r="F293" s="5" cm="1">
        <f t="array" ref="F293">INDEX(GMW!$A$2:$LR$60,MATCH(1,(GMW!$LQ$2:$LQ$60=F$3)*(GMW!$LP$2:$LP$60=F$4)*(GMW!$LR$2:$LR$60=F$1),0),$B293-1966)</f>
        <v>1020.688</v>
      </c>
      <c r="G293" s="5" cm="1">
        <f t="array" ref="G293">INDEX(GMW!$A$2:$LR$60,MATCH(1,(GMW!$LQ$2:$LQ$60=G$3)*(GMW!$LP$2:$LP$60=G$4)*(GMW!$LR$2:$LR$60=G$1),0),$B293-1966)</f>
        <v>810.13</v>
      </c>
      <c r="H293" s="5" cm="1">
        <f t="array" ref="H293">INDEX(GMW!$A$2:$LR$60,MATCH(1,(GMW!$LQ$2:$LQ$60=H$3)*(GMW!$LP$2:$LP$60=H$4)*(GMW!$LR$2:$LR$60=H$1),0),$B293-1966)</f>
        <v>484.72609999999997</v>
      </c>
      <c r="I293" s="5" cm="1">
        <f t="array" ref="I293">INDEX(GMW!$A$2:$LR$60,MATCH(1,(GMW!$LQ$2:$LQ$60=I$3)*(GMW!$LP$2:$LP$60=I$4)*(GMW!$LR$2:$LR$60=I$1),0),$B293-1966)</f>
        <v>891505.5</v>
      </c>
    </row>
    <row r="294" spans="1:9" x14ac:dyDescent="0.25">
      <c r="A294" s="5">
        <f t="shared" si="10"/>
        <v>2044</v>
      </c>
      <c r="B294" s="5">
        <f t="shared" si="9"/>
        <v>2260</v>
      </c>
      <c r="C294" s="5" cm="1">
        <f t="array" ref="C294">INDEX(GMW!$A$2:$LR$60,MATCH(1,(GMW!$LQ$2:$LQ$60=C$3)*(GMW!$LP$2:$LP$60=C$4)*(GMW!$LR$2:$LR$60=C$1),0),$B294-1966)</f>
        <v>791050.6</v>
      </c>
      <c r="D294" s="5" cm="1">
        <f t="array" ref="D294">INDEX(GMW!$A$2:$LR$60,MATCH(1,(GMW!$LQ$2:$LQ$60=D$3)*(GMW!$LP$2:$LP$60=D$4)*(GMW!$LR$2:$LR$60=D$1),0),$B294-1966)</f>
        <v>8350.1890000000003</v>
      </c>
      <c r="E294" s="5" cm="1">
        <f t="array" ref="E294">INDEX(GMW!$A$2:$LR$60,MATCH(1,(GMW!$LQ$2:$LQ$60=E$3)*(GMW!$LP$2:$LP$60=E$4)*(GMW!$LR$2:$LR$60=E$1),0),$B294-1966)</f>
        <v>140948.70000000001</v>
      </c>
      <c r="F294" s="5" cm="1">
        <f t="array" ref="F294">INDEX(GMW!$A$2:$LR$60,MATCH(1,(GMW!$LQ$2:$LQ$60=F$3)*(GMW!$LP$2:$LP$60=F$4)*(GMW!$LR$2:$LR$60=F$1),0),$B294-1966)</f>
        <v>1023.2329999999999</v>
      </c>
      <c r="G294" s="5" cm="1">
        <f t="array" ref="G294">INDEX(GMW!$A$2:$LR$60,MATCH(1,(GMW!$LQ$2:$LQ$60=G$3)*(GMW!$LP$2:$LP$60=G$4)*(GMW!$LR$2:$LR$60=G$1),0),$B294-1966)</f>
        <v>811.65</v>
      </c>
      <c r="H294" s="5" cm="1">
        <f t="array" ref="H294">INDEX(GMW!$A$2:$LR$60,MATCH(1,(GMW!$LQ$2:$LQ$60=H$3)*(GMW!$LP$2:$LP$60=H$4)*(GMW!$LR$2:$LR$60=H$1),0),$B294-1966)</f>
        <v>484.79199999999997</v>
      </c>
      <c r="I294" s="5" cm="1">
        <f t="array" ref="I294">INDEX(GMW!$A$2:$LR$60,MATCH(1,(GMW!$LQ$2:$LQ$60=I$3)*(GMW!$LP$2:$LP$60=I$4)*(GMW!$LR$2:$LR$60=I$1),0),$B294-1966)</f>
        <v>895765.6</v>
      </c>
    </row>
    <row r="295" spans="1:9" x14ac:dyDescent="0.25">
      <c r="A295" s="5">
        <f t="shared" si="10"/>
        <v>2045</v>
      </c>
      <c r="B295" s="5">
        <f t="shared" si="9"/>
        <v>2261</v>
      </c>
      <c r="C295" s="5" cm="1">
        <f t="array" ref="C295">INDEX(GMW!$A$2:$LR$60,MATCH(1,(GMW!$LQ$2:$LQ$60=C$3)*(GMW!$LP$2:$LP$60=C$4)*(GMW!$LR$2:$LR$60=C$1),0),$B295-1966)</f>
        <v>794067.9</v>
      </c>
      <c r="D295" s="5" cm="1">
        <f t="array" ref="D295">INDEX(GMW!$A$2:$LR$60,MATCH(1,(GMW!$LQ$2:$LQ$60=D$3)*(GMW!$LP$2:$LP$60=D$4)*(GMW!$LR$2:$LR$60=D$1),0),$B295-1966)</f>
        <v>8384.9</v>
      </c>
      <c r="E295" s="5" cm="1">
        <f t="array" ref="E295">INDEX(GMW!$A$2:$LR$60,MATCH(1,(GMW!$LQ$2:$LQ$60=E$3)*(GMW!$LP$2:$LP$60=E$4)*(GMW!$LR$2:$LR$60=E$1),0),$B295-1966)</f>
        <v>140922.1</v>
      </c>
      <c r="F295" s="5" cm="1">
        <f t="array" ref="F295">INDEX(GMW!$A$2:$LR$60,MATCH(1,(GMW!$LQ$2:$LQ$60=F$3)*(GMW!$LP$2:$LP$60=F$4)*(GMW!$LR$2:$LR$60=F$1),0),$B295-1966)</f>
        <v>1025.7170000000001</v>
      </c>
      <c r="G295" s="5" cm="1">
        <f t="array" ref="G295">INDEX(GMW!$A$2:$LR$60,MATCH(1,(GMW!$LQ$2:$LQ$60=G$3)*(GMW!$LP$2:$LP$60=G$4)*(GMW!$LR$2:$LR$60=G$1),0),$B295-1966)</f>
        <v>813.17</v>
      </c>
      <c r="H295" s="5" cm="1">
        <f t="array" ref="H295">INDEX(GMW!$A$2:$LR$60,MATCH(1,(GMW!$LQ$2:$LQ$60=H$3)*(GMW!$LP$2:$LP$60=H$4)*(GMW!$LR$2:$LR$60=H$1),0),$B295-1966)</f>
        <v>484.91590000000002</v>
      </c>
      <c r="I295" s="5" cm="1">
        <f t="array" ref="I295">INDEX(GMW!$A$2:$LR$60,MATCH(1,(GMW!$LQ$2:$LQ$60=I$3)*(GMW!$LP$2:$LP$60=I$4)*(GMW!$LR$2:$LR$60=I$1),0),$B295-1966)</f>
        <v>899979.7</v>
      </c>
    </row>
    <row r="296" spans="1:9" x14ac:dyDescent="0.25">
      <c r="A296" s="5">
        <f t="shared" si="10"/>
        <v>2045</v>
      </c>
      <c r="B296" s="5">
        <f t="shared" si="9"/>
        <v>2262</v>
      </c>
      <c r="C296" s="5" cm="1">
        <f t="array" ref="C296">INDEX(GMW!$A$2:$LR$60,MATCH(1,(GMW!$LQ$2:$LQ$60=C$3)*(GMW!$LP$2:$LP$60=C$4)*(GMW!$LR$2:$LR$60=C$1),0),$B296-1966)</f>
        <v>797092.6</v>
      </c>
      <c r="D296" s="5" cm="1">
        <f t="array" ref="D296">INDEX(GMW!$A$2:$LR$60,MATCH(1,(GMW!$LQ$2:$LQ$60=D$3)*(GMW!$LP$2:$LP$60=D$4)*(GMW!$LR$2:$LR$60=D$1),0),$B296-1966)</f>
        <v>8419.7180000000008</v>
      </c>
      <c r="E296" s="5" cm="1">
        <f t="array" ref="E296">INDEX(GMW!$A$2:$LR$60,MATCH(1,(GMW!$LQ$2:$LQ$60=E$3)*(GMW!$LP$2:$LP$60=E$4)*(GMW!$LR$2:$LR$60=E$1),0),$B296-1966)</f>
        <v>140899.6</v>
      </c>
      <c r="F296" s="5" cm="1">
        <f t="array" ref="F296">INDEX(GMW!$A$2:$LR$60,MATCH(1,(GMW!$LQ$2:$LQ$60=F$3)*(GMW!$LP$2:$LP$60=F$4)*(GMW!$LR$2:$LR$60=F$1),0),$B296-1966)</f>
        <v>1028.1869999999999</v>
      </c>
      <c r="G296" s="5" cm="1">
        <f t="array" ref="G296">INDEX(GMW!$A$2:$LR$60,MATCH(1,(GMW!$LQ$2:$LQ$60=G$3)*(GMW!$LP$2:$LP$60=G$4)*(GMW!$LR$2:$LR$60=G$1),0),$B296-1966)</f>
        <v>814.69</v>
      </c>
      <c r="H296" s="5" cm="1">
        <f t="array" ref="H296">INDEX(GMW!$A$2:$LR$60,MATCH(1,(GMW!$LQ$2:$LQ$60=H$3)*(GMW!$LP$2:$LP$60=H$4)*(GMW!$LR$2:$LR$60=H$1),0),$B296-1966)</f>
        <v>485.03649999999999</v>
      </c>
      <c r="I296" s="5" cm="1">
        <f t="array" ref="I296">INDEX(GMW!$A$2:$LR$60,MATCH(1,(GMW!$LQ$2:$LQ$60=I$3)*(GMW!$LP$2:$LP$60=I$4)*(GMW!$LR$2:$LR$60=I$1),0),$B296-1966)</f>
        <v>904237.6</v>
      </c>
    </row>
    <row r="297" spans="1:9" x14ac:dyDescent="0.25">
      <c r="A297" s="5">
        <f t="shared" si="10"/>
        <v>2045</v>
      </c>
      <c r="B297" s="5">
        <f t="shared" si="9"/>
        <v>2263</v>
      </c>
      <c r="C297" s="5" cm="1">
        <f t="array" ref="C297">INDEX(GMW!$A$2:$LR$60,MATCH(1,(GMW!$LQ$2:$LQ$60=C$3)*(GMW!$LP$2:$LP$60=C$4)*(GMW!$LR$2:$LR$60=C$1),0),$B297-1966)</f>
        <v>800124.4</v>
      </c>
      <c r="D297" s="5" cm="1">
        <f t="array" ref="D297">INDEX(GMW!$A$2:$LR$60,MATCH(1,(GMW!$LQ$2:$LQ$60=D$3)*(GMW!$LP$2:$LP$60=D$4)*(GMW!$LR$2:$LR$60=D$1),0),$B297-1966)</f>
        <v>8454.5840000000007</v>
      </c>
      <c r="E297" s="5" cm="1">
        <f t="array" ref="E297">INDEX(GMW!$A$2:$LR$60,MATCH(1,(GMW!$LQ$2:$LQ$60=E$3)*(GMW!$LP$2:$LP$60=E$4)*(GMW!$LR$2:$LR$60=E$1),0),$B297-1966)</f>
        <v>140883</v>
      </c>
      <c r="F297" s="5" cm="1">
        <f t="array" ref="F297">INDEX(GMW!$A$2:$LR$60,MATCH(1,(GMW!$LQ$2:$LQ$60=F$3)*(GMW!$LP$2:$LP$60=F$4)*(GMW!$LR$2:$LR$60=F$1),0),$B297-1966)</f>
        <v>1030.665</v>
      </c>
      <c r="G297" s="5" cm="1">
        <f t="array" ref="G297">INDEX(GMW!$A$2:$LR$60,MATCH(1,(GMW!$LQ$2:$LQ$60=G$3)*(GMW!$LP$2:$LP$60=G$4)*(GMW!$LR$2:$LR$60=G$1),0),$B297-1966)</f>
        <v>816.13</v>
      </c>
      <c r="H297" s="5" cm="1">
        <f t="array" ref="H297">INDEX(GMW!$A$2:$LR$60,MATCH(1,(GMW!$LQ$2:$LQ$60=H$3)*(GMW!$LP$2:$LP$60=H$4)*(GMW!$LR$2:$LR$60=H$1),0),$B297-1966)</f>
        <v>485.1542</v>
      </c>
      <c r="I297" s="5" cm="1">
        <f t="array" ref="I297">INDEX(GMW!$A$2:$LR$60,MATCH(1,(GMW!$LQ$2:$LQ$60=I$3)*(GMW!$LP$2:$LP$60=I$4)*(GMW!$LR$2:$LR$60=I$1),0),$B297-1966)</f>
        <v>908518.3</v>
      </c>
    </row>
    <row r="298" spans="1:9" x14ac:dyDescent="0.25">
      <c r="A298" s="5">
        <f t="shared" si="10"/>
        <v>2045</v>
      </c>
      <c r="B298" s="5">
        <f t="shared" si="9"/>
        <v>2264</v>
      </c>
      <c r="C298" s="5" cm="1">
        <f t="array" ref="C298">INDEX(GMW!$A$2:$LR$60,MATCH(1,(GMW!$LQ$2:$LQ$60=C$3)*(GMW!$LP$2:$LP$60=C$4)*(GMW!$LR$2:$LR$60=C$1),0),$B298-1966)</f>
        <v>803163.7</v>
      </c>
      <c r="D298" s="5" cm="1">
        <f t="array" ref="D298">INDEX(GMW!$A$2:$LR$60,MATCH(1,(GMW!$LQ$2:$LQ$60=D$3)*(GMW!$LP$2:$LP$60=D$4)*(GMW!$LR$2:$LR$60=D$1),0),$B298-1966)</f>
        <v>8489.51</v>
      </c>
      <c r="E298" s="5" cm="1">
        <f t="array" ref="E298">INDEX(GMW!$A$2:$LR$60,MATCH(1,(GMW!$LQ$2:$LQ$60=E$3)*(GMW!$LP$2:$LP$60=E$4)*(GMW!$LR$2:$LR$60=E$1),0),$B298-1966)</f>
        <v>140872.20000000001</v>
      </c>
      <c r="F298" s="5" cm="1">
        <f t="array" ref="F298">INDEX(GMW!$A$2:$LR$60,MATCH(1,(GMW!$LQ$2:$LQ$60=F$3)*(GMW!$LP$2:$LP$60=F$4)*(GMW!$LR$2:$LR$60=F$1),0),$B298-1966)</f>
        <v>1033.1489999999999</v>
      </c>
      <c r="G298" s="5" cm="1">
        <f t="array" ref="G298">INDEX(GMW!$A$2:$LR$60,MATCH(1,(GMW!$LQ$2:$LQ$60=G$3)*(GMW!$LP$2:$LP$60=G$4)*(GMW!$LR$2:$LR$60=G$1),0),$B298-1966)</f>
        <v>817.58</v>
      </c>
      <c r="H298" s="5" cm="1">
        <f t="array" ref="H298">INDEX(GMW!$A$2:$LR$60,MATCH(1,(GMW!$LQ$2:$LQ$60=H$3)*(GMW!$LP$2:$LP$60=H$4)*(GMW!$LR$2:$LR$60=H$1),0),$B298-1966)</f>
        <v>485.26870000000002</v>
      </c>
      <c r="I298" s="5" cm="1">
        <f t="array" ref="I298">INDEX(GMW!$A$2:$LR$60,MATCH(1,(GMW!$LQ$2:$LQ$60=I$3)*(GMW!$LP$2:$LP$60=I$4)*(GMW!$LR$2:$LR$60=I$1),0),$B298-1966)</f>
        <v>912818.9</v>
      </c>
    </row>
    <row r="299" spans="1:9" x14ac:dyDescent="0.25">
      <c r="A299" s="5">
        <f t="shared" si="10"/>
        <v>2046</v>
      </c>
      <c r="B299" s="5">
        <f t="shared" si="9"/>
        <v>2265</v>
      </c>
      <c r="C299" s="5" cm="1">
        <f t="array" ref="C299">INDEX(GMW!$A$2:$LR$60,MATCH(1,(GMW!$LQ$2:$LQ$60=C$3)*(GMW!$LP$2:$LP$60=C$4)*(GMW!$LR$2:$LR$60=C$1),0),$B299-1966)</f>
        <v>806210.3</v>
      </c>
      <c r="D299" s="5" cm="1">
        <f t="array" ref="D299">INDEX(GMW!$A$2:$LR$60,MATCH(1,(GMW!$LQ$2:$LQ$60=D$3)*(GMW!$LP$2:$LP$60=D$4)*(GMW!$LR$2:$LR$60=D$1),0),$B299-1966)</f>
        <v>8524.6080000000002</v>
      </c>
      <c r="E299" s="5" cm="1">
        <f t="array" ref="E299">INDEX(GMW!$A$2:$LR$60,MATCH(1,(GMW!$LQ$2:$LQ$60=E$3)*(GMW!$LP$2:$LP$60=E$4)*(GMW!$LR$2:$LR$60=E$1),0),$B299-1966)</f>
        <v>140866.20000000001</v>
      </c>
      <c r="F299" s="5" cm="1">
        <f t="array" ref="F299">INDEX(GMW!$A$2:$LR$60,MATCH(1,(GMW!$LQ$2:$LQ$60=F$3)*(GMW!$LP$2:$LP$60=F$4)*(GMW!$LR$2:$LR$60=F$1),0),$B299-1966)</f>
        <v>1035.578</v>
      </c>
      <c r="G299" s="5" cm="1">
        <f t="array" ref="G299">INDEX(GMW!$A$2:$LR$60,MATCH(1,(GMW!$LQ$2:$LQ$60=G$3)*(GMW!$LP$2:$LP$60=G$4)*(GMW!$LR$2:$LR$60=G$1),0),$B299-1966)</f>
        <v>819.03</v>
      </c>
      <c r="H299" s="5" cm="1">
        <f t="array" ref="H299">INDEX(GMW!$A$2:$LR$60,MATCH(1,(GMW!$LQ$2:$LQ$60=H$3)*(GMW!$LP$2:$LP$60=H$4)*(GMW!$LR$2:$LR$60=H$1),0),$B299-1966)</f>
        <v>485.42680000000001</v>
      </c>
      <c r="I299" s="5" cm="1">
        <f t="array" ref="I299">INDEX(GMW!$A$2:$LR$60,MATCH(1,(GMW!$LQ$2:$LQ$60=I$3)*(GMW!$LP$2:$LP$60=I$4)*(GMW!$LR$2:$LR$60=I$1),0),$B299-1966)</f>
        <v>917120.3</v>
      </c>
    </row>
    <row r="300" spans="1:9" x14ac:dyDescent="0.25">
      <c r="A300" s="5">
        <f t="shared" si="10"/>
        <v>2046</v>
      </c>
      <c r="B300" s="5">
        <f t="shared" si="9"/>
        <v>2266</v>
      </c>
      <c r="C300" s="5" cm="1">
        <f t="array" ref="C300">INDEX(GMW!$A$2:$LR$60,MATCH(1,(GMW!$LQ$2:$LQ$60=C$3)*(GMW!$LP$2:$LP$60=C$4)*(GMW!$LR$2:$LR$60=C$1),0),$B300-1966)</f>
        <v>809264.3</v>
      </c>
      <c r="D300" s="5" cm="1">
        <f t="array" ref="D300">INDEX(GMW!$A$2:$LR$60,MATCH(1,(GMW!$LQ$2:$LQ$60=D$3)*(GMW!$LP$2:$LP$60=D$4)*(GMW!$LR$2:$LR$60=D$1),0),$B300-1966)</f>
        <v>8559.7459999999992</v>
      </c>
      <c r="E300" s="5" cm="1">
        <f t="array" ref="E300">INDEX(GMW!$A$2:$LR$60,MATCH(1,(GMW!$LQ$2:$LQ$60=E$3)*(GMW!$LP$2:$LP$60=E$4)*(GMW!$LR$2:$LR$60=E$1),0),$B300-1966)</f>
        <v>140864.20000000001</v>
      </c>
      <c r="F300" s="5" cm="1">
        <f t="array" ref="F300">INDEX(GMW!$A$2:$LR$60,MATCH(1,(GMW!$LQ$2:$LQ$60=F$3)*(GMW!$LP$2:$LP$60=F$4)*(GMW!$LR$2:$LR$60=F$1),0),$B300-1966)</f>
        <v>1038.0129999999999</v>
      </c>
      <c r="G300" s="5" cm="1">
        <f t="array" ref="G300">INDEX(GMW!$A$2:$LR$60,MATCH(1,(GMW!$LQ$2:$LQ$60=G$3)*(GMW!$LP$2:$LP$60=G$4)*(GMW!$LR$2:$LR$60=G$1),0),$B300-1966)</f>
        <v>820.47</v>
      </c>
      <c r="H300" s="5" cm="1">
        <f t="array" ref="H300">INDEX(GMW!$A$2:$LR$60,MATCH(1,(GMW!$LQ$2:$LQ$60=H$3)*(GMW!$LP$2:$LP$60=H$4)*(GMW!$LR$2:$LR$60=H$1),0),$B300-1966)</f>
        <v>485.58229999999998</v>
      </c>
      <c r="I300" s="5" cm="1">
        <f t="array" ref="I300">INDEX(GMW!$A$2:$LR$60,MATCH(1,(GMW!$LQ$2:$LQ$60=I$3)*(GMW!$LP$2:$LP$60=I$4)*(GMW!$LR$2:$LR$60=I$1),0),$B300-1966)</f>
        <v>921445.6</v>
      </c>
    </row>
    <row r="301" spans="1:9" x14ac:dyDescent="0.25">
      <c r="A301" s="5">
        <f t="shared" si="10"/>
        <v>2046</v>
      </c>
      <c r="B301" s="5">
        <f t="shared" si="9"/>
        <v>2267</v>
      </c>
      <c r="C301" s="5" cm="1">
        <f t="array" ref="C301">INDEX(GMW!$A$2:$LR$60,MATCH(1,(GMW!$LQ$2:$LQ$60=C$3)*(GMW!$LP$2:$LP$60=C$4)*(GMW!$LR$2:$LR$60=C$1),0),$B301-1966)</f>
        <v>812325.7</v>
      </c>
      <c r="D301" s="5" cm="1">
        <f t="array" ref="D301">INDEX(GMW!$A$2:$LR$60,MATCH(1,(GMW!$LQ$2:$LQ$60=D$3)*(GMW!$LP$2:$LP$60=D$4)*(GMW!$LR$2:$LR$60=D$1),0),$B301-1966)</f>
        <v>8594.9359999999997</v>
      </c>
      <c r="E301" s="5" cm="1">
        <f t="array" ref="E301">INDEX(GMW!$A$2:$LR$60,MATCH(1,(GMW!$LQ$2:$LQ$60=E$3)*(GMW!$LP$2:$LP$60=E$4)*(GMW!$LR$2:$LR$60=E$1),0),$B301-1966)</f>
        <v>140867.20000000001</v>
      </c>
      <c r="F301" s="5" cm="1">
        <f t="array" ref="F301">INDEX(GMW!$A$2:$LR$60,MATCH(1,(GMW!$LQ$2:$LQ$60=F$3)*(GMW!$LP$2:$LP$60=F$4)*(GMW!$LR$2:$LR$60=F$1),0),$B301-1966)</f>
        <v>1040.4549999999999</v>
      </c>
      <c r="G301" s="5" cm="1">
        <f t="array" ref="G301">INDEX(GMW!$A$2:$LR$60,MATCH(1,(GMW!$LQ$2:$LQ$60=G$3)*(GMW!$LP$2:$LP$60=G$4)*(GMW!$LR$2:$LR$60=G$1),0),$B301-1966)</f>
        <v>821.85</v>
      </c>
      <c r="H301" s="5" cm="1">
        <f t="array" ref="H301">INDEX(GMW!$A$2:$LR$60,MATCH(1,(GMW!$LQ$2:$LQ$60=H$3)*(GMW!$LP$2:$LP$60=H$4)*(GMW!$LR$2:$LR$60=H$1),0),$B301-1966)</f>
        <v>485.73509999999999</v>
      </c>
      <c r="I301" s="5" cm="1">
        <f t="array" ref="I301">INDEX(GMW!$A$2:$LR$60,MATCH(1,(GMW!$LQ$2:$LQ$60=I$3)*(GMW!$LP$2:$LP$60=I$4)*(GMW!$LR$2:$LR$60=I$1),0),$B301-1966)</f>
        <v>925785.3</v>
      </c>
    </row>
    <row r="302" spans="1:9" x14ac:dyDescent="0.25">
      <c r="A302" s="5">
        <f t="shared" si="10"/>
        <v>2046</v>
      </c>
      <c r="B302" s="5">
        <f t="shared" si="9"/>
        <v>2268</v>
      </c>
      <c r="C302" s="5" cm="1">
        <f t="array" ref="C302">INDEX(GMW!$A$2:$LR$60,MATCH(1,(GMW!$LQ$2:$LQ$60=C$3)*(GMW!$LP$2:$LP$60=C$4)*(GMW!$LR$2:$LR$60=C$1),0),$B302-1966)</f>
        <v>815394.7</v>
      </c>
      <c r="D302" s="5" cm="1">
        <f t="array" ref="D302">INDEX(GMW!$A$2:$LR$60,MATCH(1,(GMW!$LQ$2:$LQ$60=D$3)*(GMW!$LP$2:$LP$60=D$4)*(GMW!$LR$2:$LR$60=D$1),0),$B302-1966)</f>
        <v>8630.2219999999998</v>
      </c>
      <c r="E302" s="5" cm="1">
        <f t="array" ref="E302">INDEX(GMW!$A$2:$LR$60,MATCH(1,(GMW!$LQ$2:$LQ$60=E$3)*(GMW!$LP$2:$LP$60=E$4)*(GMW!$LR$2:$LR$60=E$1),0),$B302-1966)</f>
        <v>140874.4</v>
      </c>
      <c r="F302" s="5" cm="1">
        <f t="array" ref="F302">INDEX(GMW!$A$2:$LR$60,MATCH(1,(GMW!$LQ$2:$LQ$60=F$3)*(GMW!$LP$2:$LP$60=F$4)*(GMW!$LR$2:$LR$60=F$1),0),$B302-1966)</f>
        <v>1042.905</v>
      </c>
      <c r="G302" s="5" cm="1">
        <f t="array" ref="G302">INDEX(GMW!$A$2:$LR$60,MATCH(1,(GMW!$LQ$2:$LQ$60=G$3)*(GMW!$LP$2:$LP$60=G$4)*(GMW!$LR$2:$LR$60=G$1),0),$B302-1966)</f>
        <v>823.15</v>
      </c>
      <c r="H302" s="5" cm="1">
        <f t="array" ref="H302">INDEX(GMW!$A$2:$LR$60,MATCH(1,(GMW!$LQ$2:$LQ$60=H$3)*(GMW!$LP$2:$LP$60=H$4)*(GMW!$LR$2:$LR$60=H$1),0),$B302-1966)</f>
        <v>485.88510000000002</v>
      </c>
      <c r="I302" s="5" cm="1">
        <f t="array" ref="I302">INDEX(GMW!$A$2:$LR$60,MATCH(1,(GMW!$LQ$2:$LQ$60=I$3)*(GMW!$LP$2:$LP$60=I$4)*(GMW!$LR$2:$LR$60=I$1),0),$B302-1966)</f>
        <v>930132.1</v>
      </c>
    </row>
    <row r="303" spans="1:9" x14ac:dyDescent="0.25">
      <c r="A303" s="5">
        <f t="shared" si="10"/>
        <v>2047</v>
      </c>
      <c r="B303" s="5">
        <f t="shared" si="9"/>
        <v>2269</v>
      </c>
      <c r="C303" s="5" cm="1">
        <f t="array" ref="C303">INDEX(GMW!$A$2:$LR$60,MATCH(1,(GMW!$LQ$2:$LQ$60=C$3)*(GMW!$LP$2:$LP$60=C$4)*(GMW!$LR$2:$LR$60=C$1),0),$B303-1966)</f>
        <v>818471.3</v>
      </c>
      <c r="D303" s="5" cm="1">
        <f t="array" ref="D303">INDEX(GMW!$A$2:$LR$60,MATCH(1,(GMW!$LQ$2:$LQ$60=D$3)*(GMW!$LP$2:$LP$60=D$4)*(GMW!$LR$2:$LR$60=D$1),0),$B303-1966)</f>
        <v>8665.5959999999995</v>
      </c>
      <c r="E303" s="5" cm="1">
        <f t="array" ref="E303">INDEX(GMW!$A$2:$LR$60,MATCH(1,(GMW!$LQ$2:$LQ$60=E$3)*(GMW!$LP$2:$LP$60=E$4)*(GMW!$LR$2:$LR$60=E$1),0),$B303-1966)</f>
        <v>140882.6</v>
      </c>
      <c r="F303" s="5" cm="1">
        <f t="array" ref="F303">INDEX(GMW!$A$2:$LR$60,MATCH(1,(GMW!$LQ$2:$LQ$60=F$3)*(GMW!$LP$2:$LP$60=F$4)*(GMW!$LR$2:$LR$60=F$1),0),$B303-1966)</f>
        <v>1045.1780000000001</v>
      </c>
      <c r="G303" s="5" cm="1">
        <f t="array" ref="G303">INDEX(GMW!$A$2:$LR$60,MATCH(1,(GMW!$LQ$2:$LQ$60=G$3)*(GMW!$LP$2:$LP$60=G$4)*(GMW!$LR$2:$LR$60=G$1),0),$B303-1966)</f>
        <v>824.45</v>
      </c>
      <c r="H303" s="5" cm="1">
        <f t="array" ref="H303">INDEX(GMW!$A$2:$LR$60,MATCH(1,(GMW!$LQ$2:$LQ$60=H$3)*(GMW!$LP$2:$LP$60=H$4)*(GMW!$LR$2:$LR$60=H$1),0),$B303-1966)</f>
        <v>486.09160000000003</v>
      </c>
      <c r="I303" s="5" cm="1">
        <f t="array" ref="I303">INDEX(GMW!$A$2:$LR$60,MATCH(1,(GMW!$LQ$2:$LQ$60=I$3)*(GMW!$LP$2:$LP$60=I$4)*(GMW!$LR$2:$LR$60=I$1),0),$B303-1966)</f>
        <v>934514.4</v>
      </c>
    </row>
    <row r="304" spans="1:9" x14ac:dyDescent="0.25">
      <c r="A304" s="5">
        <f t="shared" si="10"/>
        <v>2047</v>
      </c>
      <c r="B304" s="5">
        <f t="shared" si="9"/>
        <v>2270</v>
      </c>
      <c r="C304" s="5" cm="1">
        <f t="array" ref="C304">INDEX(GMW!$A$2:$LR$60,MATCH(1,(GMW!$LQ$2:$LQ$60=C$3)*(GMW!$LP$2:$LP$60=C$4)*(GMW!$LR$2:$LR$60=C$1),0),$B304-1966)</f>
        <v>821555.3</v>
      </c>
      <c r="D304" s="5" cm="1">
        <f t="array" ref="D304">INDEX(GMW!$A$2:$LR$60,MATCH(1,(GMW!$LQ$2:$LQ$60=D$3)*(GMW!$LP$2:$LP$60=D$4)*(GMW!$LR$2:$LR$60=D$1),0),$B304-1966)</f>
        <v>8701.0660000000007</v>
      </c>
      <c r="E304" s="5" cm="1">
        <f t="array" ref="E304">INDEX(GMW!$A$2:$LR$60,MATCH(1,(GMW!$LQ$2:$LQ$60=E$3)*(GMW!$LP$2:$LP$60=E$4)*(GMW!$LR$2:$LR$60=E$1),0),$B304-1966)</f>
        <v>140891.6</v>
      </c>
      <c r="F304" s="5" cm="1">
        <f t="array" ref="F304">INDEX(GMW!$A$2:$LR$60,MATCH(1,(GMW!$LQ$2:$LQ$60=F$3)*(GMW!$LP$2:$LP$60=F$4)*(GMW!$LR$2:$LR$60=F$1),0),$B304-1966)</f>
        <v>1047.4559999999999</v>
      </c>
      <c r="G304" s="5" cm="1">
        <f t="array" ref="G304">INDEX(GMW!$A$2:$LR$60,MATCH(1,(GMW!$LQ$2:$LQ$60=G$3)*(GMW!$LP$2:$LP$60=G$4)*(GMW!$LR$2:$LR$60=G$1),0),$B304-1966)</f>
        <v>825.68</v>
      </c>
      <c r="H304" s="5" cm="1">
        <f t="array" ref="H304">INDEX(GMW!$A$2:$LR$60,MATCH(1,(GMW!$LQ$2:$LQ$60=H$3)*(GMW!$LP$2:$LP$60=H$4)*(GMW!$LR$2:$LR$60=H$1),0),$B304-1966)</f>
        <v>486.29520000000002</v>
      </c>
      <c r="I304" s="5" cm="1">
        <f t="array" ref="I304">INDEX(GMW!$A$2:$LR$60,MATCH(1,(GMW!$LQ$2:$LQ$60=I$3)*(GMW!$LP$2:$LP$60=I$4)*(GMW!$LR$2:$LR$60=I$1),0),$B304-1966)</f>
        <v>938886.4</v>
      </c>
    </row>
    <row r="305" spans="1:9" x14ac:dyDescent="0.25">
      <c r="A305" s="5">
        <f t="shared" si="10"/>
        <v>2047</v>
      </c>
      <c r="B305" s="5">
        <f t="shared" ref="B305:B318" si="11">+B304+1</f>
        <v>2271</v>
      </c>
      <c r="C305" s="5" cm="1">
        <f t="array" ref="C305">INDEX(GMW!$A$2:$LR$60,MATCH(1,(GMW!$LQ$2:$LQ$60=C$3)*(GMW!$LP$2:$LP$60=C$4)*(GMW!$LR$2:$LR$60=C$1),0),$B305-1966)</f>
        <v>824647</v>
      </c>
      <c r="D305" s="5" cm="1">
        <f t="array" ref="D305">INDEX(GMW!$A$2:$LR$60,MATCH(1,(GMW!$LQ$2:$LQ$60=D$3)*(GMW!$LP$2:$LP$60=D$4)*(GMW!$LR$2:$LR$60=D$1),0),$B305-1966)</f>
        <v>8736.6309999999994</v>
      </c>
      <c r="E305" s="5" cm="1">
        <f t="array" ref="E305">INDEX(GMW!$A$2:$LR$60,MATCH(1,(GMW!$LQ$2:$LQ$60=E$3)*(GMW!$LP$2:$LP$60=E$4)*(GMW!$LR$2:$LR$60=E$1),0),$B305-1966)</f>
        <v>140905.70000000001</v>
      </c>
      <c r="F305" s="5" cm="1">
        <f t="array" ref="F305">INDEX(GMW!$A$2:$LR$60,MATCH(1,(GMW!$LQ$2:$LQ$60=F$3)*(GMW!$LP$2:$LP$60=F$4)*(GMW!$LR$2:$LR$60=F$1),0),$B305-1966)</f>
        <v>1049.741</v>
      </c>
      <c r="G305" s="5" cm="1">
        <f t="array" ref="G305">INDEX(GMW!$A$2:$LR$60,MATCH(1,(GMW!$LQ$2:$LQ$60=G$3)*(GMW!$LP$2:$LP$60=G$4)*(GMW!$LR$2:$LR$60=G$1),0),$B305-1966)</f>
        <v>826.88</v>
      </c>
      <c r="H305" s="5" cm="1">
        <f t="array" ref="H305">INDEX(GMW!$A$2:$LR$60,MATCH(1,(GMW!$LQ$2:$LQ$60=H$3)*(GMW!$LP$2:$LP$60=H$4)*(GMW!$LR$2:$LR$60=H$1),0),$B305-1966)</f>
        <v>486.49709999999999</v>
      </c>
      <c r="I305" s="5" cm="1">
        <f t="array" ref="I305">INDEX(GMW!$A$2:$LR$60,MATCH(1,(GMW!$LQ$2:$LQ$60=I$3)*(GMW!$LP$2:$LP$60=I$4)*(GMW!$LR$2:$LR$60=I$1),0),$B305-1966)</f>
        <v>943264.4</v>
      </c>
    </row>
    <row r="306" spans="1:9" x14ac:dyDescent="0.25">
      <c r="A306" s="5">
        <f t="shared" si="10"/>
        <v>2047</v>
      </c>
      <c r="B306" s="5">
        <f t="shared" si="11"/>
        <v>2272</v>
      </c>
      <c r="C306" s="5" cm="1">
        <f t="array" ref="C306">INDEX(GMW!$A$2:$LR$60,MATCH(1,(GMW!$LQ$2:$LQ$60=C$3)*(GMW!$LP$2:$LP$60=C$4)*(GMW!$LR$2:$LR$60=C$1),0),$B306-1966)</f>
        <v>827746.8</v>
      </c>
      <c r="D306" s="5" cm="1">
        <f t="array" ref="D306">INDEX(GMW!$A$2:$LR$60,MATCH(1,(GMW!$LQ$2:$LQ$60=D$3)*(GMW!$LP$2:$LP$60=D$4)*(GMW!$LR$2:$LR$60=D$1),0),$B306-1966)</f>
        <v>8772.3130000000001</v>
      </c>
      <c r="E306" s="5" cm="1">
        <f t="array" ref="E306">INDEX(GMW!$A$2:$LR$60,MATCH(1,(GMW!$LQ$2:$LQ$60=E$3)*(GMW!$LP$2:$LP$60=E$4)*(GMW!$LR$2:$LR$60=E$1),0),$B306-1966)</f>
        <v>140924.29999999999</v>
      </c>
      <c r="F306" s="5" cm="1">
        <f t="array" ref="F306">INDEX(GMW!$A$2:$LR$60,MATCH(1,(GMW!$LQ$2:$LQ$60=F$3)*(GMW!$LP$2:$LP$60=F$4)*(GMW!$LR$2:$LR$60=F$1),0),$B306-1966)</f>
        <v>1052.0309999999999</v>
      </c>
      <c r="G306" s="5" cm="1">
        <f t="array" ref="G306">INDEX(GMW!$A$2:$LR$60,MATCH(1,(GMW!$LQ$2:$LQ$60=G$3)*(GMW!$LP$2:$LP$60=G$4)*(GMW!$LR$2:$LR$60=G$1),0),$B306-1966)</f>
        <v>828.06</v>
      </c>
      <c r="H306" s="5" cm="1">
        <f t="array" ref="H306">INDEX(GMW!$A$2:$LR$60,MATCH(1,(GMW!$LQ$2:$LQ$60=H$3)*(GMW!$LP$2:$LP$60=H$4)*(GMW!$LR$2:$LR$60=H$1),0),$B306-1966)</f>
        <v>486.69659999999999</v>
      </c>
      <c r="I306" s="5" cm="1">
        <f t="array" ref="I306">INDEX(GMW!$A$2:$LR$60,MATCH(1,(GMW!$LQ$2:$LQ$60=I$3)*(GMW!$LP$2:$LP$60=I$4)*(GMW!$LR$2:$LR$60=I$1),0),$B306-1966)</f>
        <v>947639.4</v>
      </c>
    </row>
    <row r="307" spans="1:9" x14ac:dyDescent="0.25">
      <c r="A307" s="5">
        <f t="shared" si="10"/>
        <v>2048</v>
      </c>
      <c r="B307" s="5">
        <f t="shared" si="11"/>
        <v>2273</v>
      </c>
      <c r="C307" s="5" cm="1">
        <f t="array" ref="C307">INDEX(GMW!$A$2:$LR$60,MATCH(1,(GMW!$LQ$2:$LQ$60=C$3)*(GMW!$LP$2:$LP$60=C$4)*(GMW!$LR$2:$LR$60=C$1),0),$B307-1966)</f>
        <v>830854.1</v>
      </c>
      <c r="D307" s="5" cm="1">
        <f t="array" ref="D307">INDEX(GMW!$A$2:$LR$60,MATCH(1,(GMW!$LQ$2:$LQ$60=D$3)*(GMW!$LP$2:$LP$60=D$4)*(GMW!$LR$2:$LR$60=D$1),0),$B307-1966)</f>
        <v>8808.0619999999999</v>
      </c>
      <c r="E307" s="5" cm="1">
        <f t="array" ref="E307">INDEX(GMW!$A$2:$LR$60,MATCH(1,(GMW!$LQ$2:$LQ$60=E$3)*(GMW!$LP$2:$LP$60=E$4)*(GMW!$LR$2:$LR$60=E$1),0),$B307-1966)</f>
        <v>140942</v>
      </c>
      <c r="F307" s="5" cm="1">
        <f t="array" ref="F307">INDEX(GMW!$A$2:$LR$60,MATCH(1,(GMW!$LQ$2:$LQ$60=F$3)*(GMW!$LP$2:$LP$60=F$4)*(GMW!$LR$2:$LR$60=F$1),0),$B307-1966)</f>
        <v>1054.317</v>
      </c>
      <c r="G307" s="5" cm="1">
        <f t="array" ref="G307">INDEX(GMW!$A$2:$LR$60,MATCH(1,(GMW!$LQ$2:$LQ$60=G$3)*(GMW!$LP$2:$LP$60=G$4)*(GMW!$LR$2:$LR$60=G$1),0),$B307-1966)</f>
        <v>829.25</v>
      </c>
      <c r="H307" s="5" cm="1">
        <f t="array" ref="H307">INDEX(GMW!$A$2:$LR$60,MATCH(1,(GMW!$LQ$2:$LQ$60=H$3)*(GMW!$LP$2:$LP$60=H$4)*(GMW!$LR$2:$LR$60=H$1),0),$B307-1966)</f>
        <v>486.91050000000001</v>
      </c>
      <c r="I307" s="5" cm="1">
        <f t="array" ref="I307">INDEX(GMW!$A$2:$LR$60,MATCH(1,(GMW!$LQ$2:$LQ$60=I$3)*(GMW!$LP$2:$LP$60=I$4)*(GMW!$LR$2:$LR$60=I$1),0),$B307-1966)</f>
        <v>952022.7</v>
      </c>
    </row>
    <row r="308" spans="1:9" x14ac:dyDescent="0.25">
      <c r="A308" s="5">
        <f t="shared" si="10"/>
        <v>2048</v>
      </c>
      <c r="B308" s="5">
        <f t="shared" si="11"/>
        <v>2274</v>
      </c>
      <c r="C308" s="5" cm="1">
        <f t="array" ref="C308">INDEX(GMW!$A$2:$LR$60,MATCH(1,(GMW!$LQ$2:$LQ$60=C$3)*(GMW!$LP$2:$LP$60=C$4)*(GMW!$LR$2:$LR$60=C$1),0),$B308-1966)</f>
        <v>833969.3</v>
      </c>
      <c r="D308" s="5" cm="1">
        <f t="array" ref="D308">INDEX(GMW!$A$2:$LR$60,MATCH(1,(GMW!$LQ$2:$LQ$60=D$3)*(GMW!$LP$2:$LP$60=D$4)*(GMW!$LR$2:$LR$60=D$1),0),$B308-1966)</f>
        <v>8843.9230000000007</v>
      </c>
      <c r="E308" s="5" cm="1">
        <f t="array" ref="E308">INDEX(GMW!$A$2:$LR$60,MATCH(1,(GMW!$LQ$2:$LQ$60=E$3)*(GMW!$LP$2:$LP$60=E$4)*(GMW!$LR$2:$LR$60=E$1),0),$B308-1966)</f>
        <v>140958.5</v>
      </c>
      <c r="F308" s="5" cm="1">
        <f t="array" ref="F308">INDEX(GMW!$A$2:$LR$60,MATCH(1,(GMW!$LQ$2:$LQ$60=F$3)*(GMW!$LP$2:$LP$60=F$4)*(GMW!$LR$2:$LR$60=F$1),0),$B308-1966)</f>
        <v>1056.6089999999999</v>
      </c>
      <c r="G308" s="5" cm="1">
        <f t="array" ref="G308">INDEX(GMW!$A$2:$LR$60,MATCH(1,(GMW!$LQ$2:$LQ$60=G$3)*(GMW!$LP$2:$LP$60=G$4)*(GMW!$LR$2:$LR$60=G$1),0),$B308-1966)</f>
        <v>830.49</v>
      </c>
      <c r="H308" s="5" cm="1">
        <f t="array" ref="H308">INDEX(GMW!$A$2:$LR$60,MATCH(1,(GMW!$LQ$2:$LQ$60=H$3)*(GMW!$LP$2:$LP$60=H$4)*(GMW!$LR$2:$LR$60=H$1),0),$B308-1966)</f>
        <v>487.12290000000002</v>
      </c>
      <c r="I308" s="5" cm="1">
        <f t="array" ref="I308">INDEX(GMW!$A$2:$LR$60,MATCH(1,(GMW!$LQ$2:$LQ$60=I$3)*(GMW!$LP$2:$LP$60=I$4)*(GMW!$LR$2:$LR$60=I$1),0),$B308-1966)</f>
        <v>956418.9</v>
      </c>
    </row>
    <row r="309" spans="1:9" x14ac:dyDescent="0.25">
      <c r="A309" s="5">
        <f t="shared" si="10"/>
        <v>2048</v>
      </c>
      <c r="B309" s="5">
        <f t="shared" si="11"/>
        <v>2275</v>
      </c>
      <c r="C309" s="5" cm="1">
        <f t="array" ref="C309">INDEX(GMW!$A$2:$LR$60,MATCH(1,(GMW!$LQ$2:$LQ$60=C$3)*(GMW!$LP$2:$LP$60=C$4)*(GMW!$LR$2:$LR$60=C$1),0),$B309-1966)</f>
        <v>837092.1</v>
      </c>
      <c r="D309" s="5" cm="1">
        <f t="array" ref="D309">INDEX(GMW!$A$2:$LR$60,MATCH(1,(GMW!$LQ$2:$LQ$60=D$3)*(GMW!$LP$2:$LP$60=D$4)*(GMW!$LR$2:$LR$60=D$1),0),$B309-1966)</f>
        <v>8879.884</v>
      </c>
      <c r="E309" s="5" cm="1">
        <f t="array" ref="E309">INDEX(GMW!$A$2:$LR$60,MATCH(1,(GMW!$LQ$2:$LQ$60=E$3)*(GMW!$LP$2:$LP$60=E$4)*(GMW!$LR$2:$LR$60=E$1),0),$B309-1966)</f>
        <v>140977.9</v>
      </c>
      <c r="F309" s="5" cm="1">
        <f t="array" ref="F309">INDEX(GMW!$A$2:$LR$60,MATCH(1,(GMW!$LQ$2:$LQ$60=F$3)*(GMW!$LP$2:$LP$60=F$4)*(GMW!$LR$2:$LR$60=F$1),0),$B309-1966)</f>
        <v>1058.9079999999999</v>
      </c>
      <c r="G309" s="5" cm="1">
        <f t="array" ref="G309">INDEX(GMW!$A$2:$LR$60,MATCH(1,(GMW!$LQ$2:$LQ$60=G$3)*(GMW!$LP$2:$LP$60=G$4)*(GMW!$LR$2:$LR$60=G$1),0),$B309-1966)</f>
        <v>831.7</v>
      </c>
      <c r="H309" s="5" cm="1">
        <f t="array" ref="H309">INDEX(GMW!$A$2:$LR$60,MATCH(1,(GMW!$LQ$2:$LQ$60=H$3)*(GMW!$LP$2:$LP$60=H$4)*(GMW!$LR$2:$LR$60=H$1),0),$B309-1966)</f>
        <v>487.33370000000002</v>
      </c>
      <c r="I309" s="5" cm="1">
        <f t="array" ref="I309">INDEX(GMW!$A$2:$LR$60,MATCH(1,(GMW!$LQ$2:$LQ$60=I$3)*(GMW!$LP$2:$LP$60=I$4)*(GMW!$LR$2:$LR$60=I$1),0),$B309-1966)</f>
        <v>960811.7</v>
      </c>
    </row>
    <row r="310" spans="1:9" x14ac:dyDescent="0.25">
      <c r="A310" s="5">
        <f t="shared" si="10"/>
        <v>2048</v>
      </c>
      <c r="B310" s="5">
        <f t="shared" si="11"/>
        <v>2276</v>
      </c>
      <c r="C310" s="5" cm="1">
        <f t="array" ref="C310">INDEX(GMW!$A$2:$LR$60,MATCH(1,(GMW!$LQ$2:$LQ$60=C$3)*(GMW!$LP$2:$LP$60=C$4)*(GMW!$LR$2:$LR$60=C$1),0),$B310-1966)</f>
        <v>840222.9</v>
      </c>
      <c r="D310" s="5" cm="1">
        <f t="array" ref="D310">INDEX(GMW!$A$2:$LR$60,MATCH(1,(GMW!$LQ$2:$LQ$60=D$3)*(GMW!$LP$2:$LP$60=D$4)*(GMW!$LR$2:$LR$60=D$1),0),$B310-1966)</f>
        <v>8915.9069999999992</v>
      </c>
      <c r="E310" s="5" cm="1">
        <f t="array" ref="E310">INDEX(GMW!$A$2:$LR$60,MATCH(1,(GMW!$LQ$2:$LQ$60=E$3)*(GMW!$LP$2:$LP$60=E$4)*(GMW!$LR$2:$LR$60=E$1),0),$B310-1966)</f>
        <v>141000.70000000001</v>
      </c>
      <c r="F310" s="5" cm="1">
        <f t="array" ref="F310">INDEX(GMW!$A$2:$LR$60,MATCH(1,(GMW!$LQ$2:$LQ$60=F$3)*(GMW!$LP$2:$LP$60=F$4)*(GMW!$LR$2:$LR$60=F$1),0),$B310-1966)</f>
        <v>1061.2139999999999</v>
      </c>
      <c r="G310" s="5" cm="1">
        <f t="array" ref="G310">INDEX(GMW!$A$2:$LR$60,MATCH(1,(GMW!$LQ$2:$LQ$60=G$3)*(GMW!$LP$2:$LP$60=G$4)*(GMW!$LR$2:$LR$60=G$1),0),$B310-1966)</f>
        <v>832.88</v>
      </c>
      <c r="H310" s="5" cm="1">
        <f t="array" ref="H310">INDEX(GMW!$A$2:$LR$60,MATCH(1,(GMW!$LQ$2:$LQ$60=H$3)*(GMW!$LP$2:$LP$60=H$4)*(GMW!$LR$2:$LR$60=H$1),0),$B310-1966)</f>
        <v>487.54259999999999</v>
      </c>
      <c r="I310" s="5" cm="1">
        <f t="array" ref="I310">INDEX(GMW!$A$2:$LR$60,MATCH(1,(GMW!$LQ$2:$LQ$60=I$3)*(GMW!$LP$2:$LP$60=I$4)*(GMW!$LR$2:$LR$60=I$1),0),$B310-1966)</f>
        <v>965205.6</v>
      </c>
    </row>
    <row r="311" spans="1:9" x14ac:dyDescent="0.25">
      <c r="A311" s="5">
        <f t="shared" si="10"/>
        <v>2049</v>
      </c>
      <c r="B311" s="5">
        <f t="shared" si="11"/>
        <v>2277</v>
      </c>
      <c r="C311" s="5" cm="1">
        <f t="array" ref="C311">INDEX(GMW!$A$2:$LR$60,MATCH(1,(GMW!$LQ$2:$LQ$60=C$3)*(GMW!$LP$2:$LP$60=C$4)*(GMW!$LR$2:$LR$60=C$1),0),$B311-1966)</f>
        <v>843361.3</v>
      </c>
      <c r="D311" s="5" cm="1">
        <f t="array" ref="D311">INDEX(GMW!$A$2:$LR$60,MATCH(1,(GMW!$LQ$2:$LQ$60=D$3)*(GMW!$LP$2:$LP$60=D$4)*(GMW!$LR$2:$LR$60=D$1),0),$B311-1966)</f>
        <v>8952.1280000000006</v>
      </c>
      <c r="E311" s="5" cm="1">
        <f t="array" ref="E311">INDEX(GMW!$A$2:$LR$60,MATCH(1,(GMW!$LQ$2:$LQ$60=E$3)*(GMW!$LP$2:$LP$60=E$4)*(GMW!$LR$2:$LR$60=E$1),0),$B311-1966)</f>
        <v>141020.20000000001</v>
      </c>
      <c r="F311" s="5" cm="1">
        <f t="array" ref="F311">INDEX(GMW!$A$2:$LR$60,MATCH(1,(GMW!$LQ$2:$LQ$60=F$3)*(GMW!$LP$2:$LP$60=F$4)*(GMW!$LR$2:$LR$60=F$1),0),$B311-1966)</f>
        <v>1063.472</v>
      </c>
      <c r="G311" s="5" cm="1">
        <f t="array" ref="G311">INDEX(GMW!$A$2:$LR$60,MATCH(1,(GMW!$LQ$2:$LQ$60=G$3)*(GMW!$LP$2:$LP$60=G$4)*(GMW!$LR$2:$LR$60=G$1),0),$B311-1966)</f>
        <v>834.07</v>
      </c>
      <c r="H311" s="5" cm="1">
        <f t="array" ref="H311">INDEX(GMW!$A$2:$LR$60,MATCH(1,(GMW!$LQ$2:$LQ$60=H$3)*(GMW!$LP$2:$LP$60=H$4)*(GMW!$LR$2:$LR$60=H$1),0),$B311-1966)</f>
        <v>487.82709999999997</v>
      </c>
      <c r="I311" s="5" cm="1">
        <f t="array" ref="I311">INDEX(GMW!$A$2:$LR$60,MATCH(1,(GMW!$LQ$2:$LQ$60=I$3)*(GMW!$LP$2:$LP$60=I$4)*(GMW!$LR$2:$LR$60=I$1),0),$B311-1966)</f>
        <v>969667.8</v>
      </c>
    </row>
    <row r="312" spans="1:9" x14ac:dyDescent="0.25">
      <c r="A312" s="5">
        <f t="shared" si="10"/>
        <v>2049</v>
      </c>
      <c r="B312" s="5">
        <f t="shared" si="11"/>
        <v>2278</v>
      </c>
      <c r="C312" s="5" cm="1">
        <f t="array" ref="C312">INDEX(GMW!$A$2:$LR$60,MATCH(1,(GMW!$LQ$2:$LQ$60=C$3)*(GMW!$LP$2:$LP$60=C$4)*(GMW!$LR$2:$LR$60=C$1),0),$B312-1966)</f>
        <v>846507.7</v>
      </c>
      <c r="D312" s="5" cm="1">
        <f t="array" ref="D312">INDEX(GMW!$A$2:$LR$60,MATCH(1,(GMW!$LQ$2:$LQ$60=D$3)*(GMW!$LP$2:$LP$60=D$4)*(GMW!$LR$2:$LR$60=D$1),0),$B312-1966)</f>
        <v>8988.3439999999991</v>
      </c>
      <c r="E312" s="5" cm="1">
        <f t="array" ref="E312">INDEX(GMW!$A$2:$LR$60,MATCH(1,(GMW!$LQ$2:$LQ$60=E$3)*(GMW!$LP$2:$LP$60=E$4)*(GMW!$LR$2:$LR$60=E$1),0),$B312-1966)</f>
        <v>141039.20000000001</v>
      </c>
      <c r="F312" s="5" cm="1">
        <f t="array" ref="F312">INDEX(GMW!$A$2:$LR$60,MATCH(1,(GMW!$LQ$2:$LQ$60=F$3)*(GMW!$LP$2:$LP$60=F$4)*(GMW!$LR$2:$LR$60=F$1),0),$B312-1966)</f>
        <v>1065.7360000000001</v>
      </c>
      <c r="G312" s="5" cm="1">
        <f t="array" ref="G312">INDEX(GMW!$A$2:$LR$60,MATCH(1,(GMW!$LQ$2:$LQ$60=G$3)*(GMW!$LP$2:$LP$60=G$4)*(GMW!$LR$2:$LR$60=G$1),0),$B312-1966)</f>
        <v>835.31</v>
      </c>
      <c r="H312" s="5" cm="1">
        <f t="array" ref="H312">INDEX(GMW!$A$2:$LR$60,MATCH(1,(GMW!$LQ$2:$LQ$60=H$3)*(GMW!$LP$2:$LP$60=H$4)*(GMW!$LR$2:$LR$60=H$1),0),$B312-1966)</f>
        <v>488.11040000000003</v>
      </c>
      <c r="I312" s="5" cm="1">
        <f t="array" ref="I312">INDEX(GMW!$A$2:$LR$60,MATCH(1,(GMW!$LQ$2:$LQ$60=I$3)*(GMW!$LP$2:$LP$60=I$4)*(GMW!$LR$2:$LR$60=I$1),0),$B312-1966)</f>
        <v>974113.9</v>
      </c>
    </row>
    <row r="313" spans="1:9" x14ac:dyDescent="0.25">
      <c r="A313" s="5">
        <f t="shared" si="10"/>
        <v>2049</v>
      </c>
      <c r="B313" s="5">
        <f t="shared" si="11"/>
        <v>2279</v>
      </c>
      <c r="C313" s="5" cm="1">
        <f t="array" ref="C313">INDEX(GMW!$A$2:$LR$60,MATCH(1,(GMW!$LQ$2:$LQ$60=C$3)*(GMW!$LP$2:$LP$60=C$4)*(GMW!$LR$2:$LR$60=C$1),0),$B313-1966)</f>
        <v>849661.6</v>
      </c>
      <c r="D313" s="5" cm="1">
        <f t="array" ref="D313">INDEX(GMW!$A$2:$LR$60,MATCH(1,(GMW!$LQ$2:$LQ$60=D$3)*(GMW!$LP$2:$LP$60=D$4)*(GMW!$LR$2:$LR$60=D$1),0),$B313-1966)</f>
        <v>9024.7019999999993</v>
      </c>
      <c r="E313" s="5" cm="1">
        <f t="array" ref="E313">INDEX(GMW!$A$2:$LR$60,MATCH(1,(GMW!$LQ$2:$LQ$60=E$3)*(GMW!$LP$2:$LP$60=E$4)*(GMW!$LR$2:$LR$60=E$1),0),$B313-1966)</f>
        <v>141066.70000000001</v>
      </c>
      <c r="F313" s="5" cm="1">
        <f t="array" ref="F313">INDEX(GMW!$A$2:$LR$60,MATCH(1,(GMW!$LQ$2:$LQ$60=F$3)*(GMW!$LP$2:$LP$60=F$4)*(GMW!$LR$2:$LR$60=F$1),0),$B313-1966)</f>
        <v>1067.9949999999999</v>
      </c>
      <c r="G313" s="5" cm="1">
        <f t="array" ref="G313">INDEX(GMW!$A$2:$LR$60,MATCH(1,(GMW!$LQ$2:$LQ$60=G$3)*(GMW!$LP$2:$LP$60=G$4)*(GMW!$LR$2:$LR$60=G$1),0),$B313-1966)</f>
        <v>836.52</v>
      </c>
      <c r="H313" s="5" cm="1">
        <f t="array" ref="H313">INDEX(GMW!$A$2:$LR$60,MATCH(1,(GMW!$LQ$2:$LQ$60=H$3)*(GMW!$LP$2:$LP$60=H$4)*(GMW!$LR$2:$LR$60=H$1),0),$B313-1966)</f>
        <v>488.3922</v>
      </c>
      <c r="I313" s="5" cm="1">
        <f t="array" ref="I313">INDEX(GMW!$A$2:$LR$60,MATCH(1,(GMW!$LQ$2:$LQ$60=I$3)*(GMW!$LP$2:$LP$60=I$4)*(GMW!$LR$2:$LR$60=I$1),0),$B313-1966)</f>
        <v>978551.4</v>
      </c>
    </row>
    <row r="314" spans="1:9" x14ac:dyDescent="0.25">
      <c r="A314" s="5">
        <f t="shared" si="10"/>
        <v>2049</v>
      </c>
      <c r="B314" s="5">
        <f t="shared" si="11"/>
        <v>2280</v>
      </c>
      <c r="C314" s="5" cm="1">
        <f t="array" ref="C314">INDEX(GMW!$A$2:$LR$60,MATCH(1,(GMW!$LQ$2:$LQ$60=C$3)*(GMW!$LP$2:$LP$60=C$4)*(GMW!$LR$2:$LR$60=C$1),0),$B314-1966)</f>
        <v>852823.4</v>
      </c>
      <c r="D314" s="5" cm="1">
        <f t="array" ref="D314">INDEX(GMW!$A$2:$LR$60,MATCH(1,(GMW!$LQ$2:$LQ$60=D$3)*(GMW!$LP$2:$LP$60=D$4)*(GMW!$LR$2:$LR$60=D$1),0),$B314-1966)</f>
        <v>9061.1139999999996</v>
      </c>
      <c r="E314" s="5" cm="1">
        <f t="array" ref="E314">INDEX(GMW!$A$2:$LR$60,MATCH(1,(GMW!$LQ$2:$LQ$60=E$3)*(GMW!$LP$2:$LP$60=E$4)*(GMW!$LR$2:$LR$60=E$1),0),$B314-1966)</f>
        <v>141103.79999999999</v>
      </c>
      <c r="F314" s="5" cm="1">
        <f t="array" ref="F314">INDEX(GMW!$A$2:$LR$60,MATCH(1,(GMW!$LQ$2:$LQ$60=F$3)*(GMW!$LP$2:$LP$60=F$4)*(GMW!$LR$2:$LR$60=F$1),0),$B314-1966)</f>
        <v>1070.249</v>
      </c>
      <c r="G314" s="5" cm="1">
        <f t="array" ref="G314">INDEX(GMW!$A$2:$LR$60,MATCH(1,(GMW!$LQ$2:$LQ$60=G$3)*(GMW!$LP$2:$LP$60=G$4)*(GMW!$LR$2:$LR$60=G$1),0),$B314-1966)</f>
        <v>837.71</v>
      </c>
      <c r="H314" s="5" cm="1">
        <f t="array" ref="H314">INDEX(GMW!$A$2:$LR$60,MATCH(1,(GMW!$LQ$2:$LQ$60=H$3)*(GMW!$LP$2:$LP$60=H$4)*(GMW!$LR$2:$LR$60=H$1),0),$B314-1966)</f>
        <v>488.67290000000003</v>
      </c>
      <c r="I314" s="5" cm="1">
        <f t="array" ref="I314">INDEX(GMW!$A$2:$LR$60,MATCH(1,(GMW!$LQ$2:$LQ$60=I$3)*(GMW!$LP$2:$LP$60=I$4)*(GMW!$LR$2:$LR$60=I$1),0),$B314-1966)</f>
        <v>982972.5</v>
      </c>
    </row>
    <row r="315" spans="1:9" x14ac:dyDescent="0.25">
      <c r="A315" s="5">
        <f t="shared" si="10"/>
        <v>2050</v>
      </c>
      <c r="B315" s="5">
        <f t="shared" si="11"/>
        <v>2281</v>
      </c>
      <c r="C315" s="5" cm="1">
        <f t="array" ref="C315">INDEX(GMW!$A$2:$LR$60,MATCH(1,(GMW!$LQ$2:$LQ$60=C$3)*(GMW!$LP$2:$LP$60=C$4)*(GMW!$LR$2:$LR$60=C$1),0),$B315-1966)</f>
        <v>855992.7</v>
      </c>
      <c r="D315" s="5" cm="1">
        <f t="array" ref="D315">INDEX(GMW!$A$2:$LR$60,MATCH(1,(GMW!$LQ$2:$LQ$60=D$3)*(GMW!$LP$2:$LP$60=D$4)*(GMW!$LR$2:$LR$60=D$1),0),$B315-1966)</f>
        <v>9097.6910000000007</v>
      </c>
      <c r="E315" s="5" cm="1">
        <f t="array" ref="E315">INDEX(GMW!$A$2:$LR$60,MATCH(1,(GMW!$LQ$2:$LQ$60=E$3)*(GMW!$LP$2:$LP$60=E$4)*(GMW!$LR$2:$LR$60=E$1),0),$B315-1966)</f>
        <v>141141.29999999999</v>
      </c>
      <c r="F315" s="5" cm="1">
        <f t="array" ref="F315">INDEX(GMW!$A$2:$LR$60,MATCH(1,(GMW!$LQ$2:$LQ$60=F$3)*(GMW!$LP$2:$LP$60=F$4)*(GMW!$LR$2:$LR$60=F$1),0),$B315-1966)</f>
        <v>1072.5350000000001</v>
      </c>
      <c r="G315" s="5" cm="1">
        <f t="array" ref="G315">INDEX(GMW!$A$2:$LR$60,MATCH(1,(GMW!$LQ$2:$LQ$60=G$3)*(GMW!$LP$2:$LP$60=G$4)*(GMW!$LR$2:$LR$60=G$1),0),$B315-1966)</f>
        <v>839.03</v>
      </c>
      <c r="H315" s="5" cm="1">
        <f t="array" ref="H315">INDEX(GMW!$A$2:$LR$60,MATCH(1,(GMW!$LQ$2:$LQ$60=H$3)*(GMW!$LP$2:$LP$60=H$4)*(GMW!$LR$2:$LR$60=H$1),0),$B315-1966)</f>
        <v>488.99189999999999</v>
      </c>
      <c r="I315" s="5" cm="1">
        <f t="array" ref="I315">INDEX(GMW!$A$2:$LR$60,MATCH(1,(GMW!$LQ$2:$LQ$60=I$3)*(GMW!$LP$2:$LP$60=I$4)*(GMW!$LR$2:$LR$60=I$1),0),$B315-1966)</f>
        <v>987347</v>
      </c>
    </row>
    <row r="316" spans="1:9" x14ac:dyDescent="0.25">
      <c r="A316" s="5">
        <f t="shared" si="10"/>
        <v>2050</v>
      </c>
      <c r="B316" s="5">
        <f t="shared" si="11"/>
        <v>2282</v>
      </c>
      <c r="C316" s="5" cm="1">
        <f t="array" ref="C316">INDEX(GMW!$A$2:$LR$60,MATCH(1,(GMW!$LQ$2:$LQ$60=C$3)*(GMW!$LP$2:$LP$60=C$4)*(GMW!$LR$2:$LR$60=C$1),0),$B316-1966)</f>
        <v>859169.9</v>
      </c>
      <c r="D316" s="5" cm="1">
        <f t="array" ref="D316">INDEX(GMW!$A$2:$LR$60,MATCH(1,(GMW!$LQ$2:$LQ$60=D$3)*(GMW!$LP$2:$LP$60=D$4)*(GMW!$LR$2:$LR$60=D$1),0),$B316-1966)</f>
        <v>9134.3539999999994</v>
      </c>
      <c r="E316" s="5" cm="1">
        <f t="array" ref="E316">INDEX(GMW!$A$2:$LR$60,MATCH(1,(GMW!$LQ$2:$LQ$60=E$3)*(GMW!$LP$2:$LP$60=E$4)*(GMW!$LR$2:$LR$60=E$1),0),$B316-1966)</f>
        <v>141177.9</v>
      </c>
      <c r="F316" s="5" cm="1">
        <f t="array" ref="F316">INDEX(GMW!$A$2:$LR$60,MATCH(1,(GMW!$LQ$2:$LQ$60=F$3)*(GMW!$LP$2:$LP$60=F$4)*(GMW!$LR$2:$LR$60=F$1),0),$B316-1966)</f>
        <v>1074.817</v>
      </c>
      <c r="G316" s="5" cm="1">
        <f t="array" ref="G316">INDEX(GMW!$A$2:$LR$60,MATCH(1,(GMW!$LQ$2:$LQ$60=G$3)*(GMW!$LP$2:$LP$60=G$4)*(GMW!$LR$2:$LR$60=G$1),0),$B316-1966)</f>
        <v>840.39</v>
      </c>
      <c r="H316" s="5" cm="1">
        <f t="array" ref="H316">INDEX(GMW!$A$2:$LR$60,MATCH(1,(GMW!$LQ$2:$LQ$60=H$3)*(GMW!$LP$2:$LP$60=H$4)*(GMW!$LR$2:$LR$60=H$1),0),$B316-1966)</f>
        <v>489.31009999999998</v>
      </c>
      <c r="I316" s="5" cm="1">
        <f t="array" ref="I316">INDEX(GMW!$A$2:$LR$60,MATCH(1,(GMW!$LQ$2:$LQ$60=I$3)*(GMW!$LP$2:$LP$60=I$4)*(GMW!$LR$2:$LR$60=I$1),0),$B316-1966)</f>
        <v>991782.1</v>
      </c>
    </row>
    <row r="317" spans="1:9" x14ac:dyDescent="0.25">
      <c r="A317" s="5">
        <f t="shared" si="10"/>
        <v>2050</v>
      </c>
      <c r="B317" s="5">
        <f t="shared" si="11"/>
        <v>2283</v>
      </c>
      <c r="C317" s="5" cm="1">
        <f t="array" ref="C317">INDEX(GMW!$A$2:$LR$60,MATCH(1,(GMW!$LQ$2:$LQ$60=C$3)*(GMW!$LP$2:$LP$60=C$4)*(GMW!$LR$2:$LR$60=C$1),0),$B317-1966)</f>
        <v>862354.7</v>
      </c>
      <c r="D317" s="5" cm="1">
        <f t="array" ref="D317">INDEX(GMW!$A$2:$LR$60,MATCH(1,(GMW!$LQ$2:$LQ$60=D$3)*(GMW!$LP$2:$LP$60=D$4)*(GMW!$LR$2:$LR$60=D$1),0),$B317-1966)</f>
        <v>9171.1239999999998</v>
      </c>
      <c r="E317" s="5" cm="1">
        <f t="array" ref="E317">INDEX(GMW!$A$2:$LR$60,MATCH(1,(GMW!$LQ$2:$LQ$60=E$3)*(GMW!$LP$2:$LP$60=E$4)*(GMW!$LR$2:$LR$60=E$1),0),$B317-1966)</f>
        <v>141224.1</v>
      </c>
      <c r="F317" s="5" cm="1">
        <f t="array" ref="F317">INDEX(GMW!$A$2:$LR$60,MATCH(1,(GMW!$LQ$2:$LQ$60=F$3)*(GMW!$LP$2:$LP$60=F$4)*(GMW!$LR$2:$LR$60=F$1),0),$B317-1966)</f>
        <v>1077.0940000000001</v>
      </c>
      <c r="G317" s="5" cm="1">
        <f t="array" ref="G317">INDEX(GMW!$A$2:$LR$60,MATCH(1,(GMW!$LQ$2:$LQ$60=G$3)*(GMW!$LP$2:$LP$60=G$4)*(GMW!$LR$2:$LR$60=G$1),0),$B317-1966)</f>
        <v>841.72</v>
      </c>
      <c r="H317" s="5" cm="1">
        <f t="array" ref="H317">INDEX(GMW!$A$2:$LR$60,MATCH(1,(GMW!$LQ$2:$LQ$60=H$3)*(GMW!$LP$2:$LP$60=H$4)*(GMW!$LR$2:$LR$60=H$1),0),$B317-1966)</f>
        <v>489.62740000000002</v>
      </c>
      <c r="I317" s="5" cm="1">
        <f t="array" ref="I317">INDEX(GMW!$A$2:$LR$60,MATCH(1,(GMW!$LQ$2:$LQ$60=I$3)*(GMW!$LP$2:$LP$60=I$4)*(GMW!$LR$2:$LR$60=I$1),0),$B317-1966)</f>
        <v>996218.6</v>
      </c>
    </row>
    <row r="318" spans="1:9" x14ac:dyDescent="0.25">
      <c r="A318" s="5">
        <f t="shared" si="10"/>
        <v>2050</v>
      </c>
      <c r="B318" s="5">
        <f t="shared" si="11"/>
        <v>2284</v>
      </c>
      <c r="C318" s="5" cm="1">
        <f t="array" ref="C318">INDEX(GMW!$A$2:$LR$60,MATCH(1,(GMW!$LQ$2:$LQ$60=C$3)*(GMW!$LP$2:$LP$60=C$4)*(GMW!$LR$2:$LR$60=C$1),0),$B318-1966)</f>
        <v>865547.4</v>
      </c>
      <c r="D318" s="5" cm="1">
        <f t="array" ref="D318">INDEX(GMW!$A$2:$LR$60,MATCH(1,(GMW!$LQ$2:$LQ$60=D$3)*(GMW!$LP$2:$LP$60=D$4)*(GMW!$LR$2:$LR$60=D$1),0),$B318-1966)</f>
        <v>9207.9930000000004</v>
      </c>
      <c r="E318" s="5" cm="1">
        <f t="array" ref="E318">INDEX(GMW!$A$2:$LR$60,MATCH(1,(GMW!$LQ$2:$LQ$60=E$3)*(GMW!$LP$2:$LP$60=E$4)*(GMW!$LR$2:$LR$60=E$1),0),$B318-1966)</f>
        <v>141280</v>
      </c>
      <c r="F318" s="5" cm="1">
        <f t="array" ref="F318">INDEX(GMW!$A$2:$LR$60,MATCH(1,(GMW!$LQ$2:$LQ$60=F$3)*(GMW!$LP$2:$LP$60=F$4)*(GMW!$LR$2:$LR$60=F$1),0),$B318-1966)</f>
        <v>1079.367</v>
      </c>
      <c r="G318" s="5" cm="1">
        <f t="array" ref="G318">INDEX(GMW!$A$2:$LR$60,MATCH(1,(GMW!$LQ$2:$LQ$60=G$3)*(GMW!$LP$2:$LP$60=G$4)*(GMW!$LR$2:$LR$60=G$1),0),$B318-1966)</f>
        <v>843.04</v>
      </c>
      <c r="H318" s="5" cm="1">
        <f t="array" ref="H318">INDEX(GMW!$A$2:$LR$60,MATCH(1,(GMW!$LQ$2:$LQ$60=H$3)*(GMW!$LP$2:$LP$60=H$4)*(GMW!$LR$2:$LR$60=H$1),0),$B318-1966)</f>
        <v>489.94389999999999</v>
      </c>
      <c r="I318" s="5" cm="1">
        <f t="array" ref="I318">INDEX(GMW!$A$2:$LR$60,MATCH(1,(GMW!$LQ$2:$LQ$60=I$3)*(GMW!$LP$2:$LP$60=I$4)*(GMW!$LR$2:$LR$60=I$1),0),$B318-1966)</f>
        <v>1000668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66E1-3D6F-4A23-96C7-EB281E8EE2BE}">
  <dimension ref="A1:I109"/>
  <sheetViews>
    <sheetView topLeftCell="A83" workbookViewId="0">
      <selection activeCell="D96" sqref="D96"/>
    </sheetView>
  </sheetViews>
  <sheetFormatPr defaultRowHeight="15" x14ac:dyDescent="0.25"/>
  <cols>
    <col min="1" max="6" width="17.5703125" customWidth="1"/>
  </cols>
  <sheetData>
    <row r="1" spans="1:9" ht="19.5" x14ac:dyDescent="0.3">
      <c r="A1" s="10" t="s">
        <v>386</v>
      </c>
      <c r="B1" s="11"/>
    </row>
    <row r="2" spans="1:9" ht="15.75" x14ac:dyDescent="0.25">
      <c r="A2" s="12" t="s">
        <v>387</v>
      </c>
      <c r="B2" s="11"/>
    </row>
    <row r="3" spans="1:9" ht="15.75" x14ac:dyDescent="0.25">
      <c r="A3" s="12" t="s">
        <v>388</v>
      </c>
      <c r="B3" s="11"/>
      <c r="I3" t="s">
        <v>396</v>
      </c>
    </row>
    <row r="4" spans="1:9" ht="15.75" x14ac:dyDescent="0.25">
      <c r="A4" s="13" t="s">
        <v>389</v>
      </c>
      <c r="B4" s="13"/>
    </row>
    <row r="5" spans="1:9" ht="120" customHeight="1" x14ac:dyDescent="0.25">
      <c r="A5" s="14" t="s">
        <v>390</v>
      </c>
      <c r="B5" s="14" t="s">
        <v>391</v>
      </c>
      <c r="C5" s="14" t="s">
        <v>392</v>
      </c>
      <c r="D5" s="14" t="s">
        <v>393</v>
      </c>
      <c r="E5" s="14" t="s">
        <v>394</v>
      </c>
      <c r="F5" s="14" t="s">
        <v>395</v>
      </c>
    </row>
    <row r="6" spans="1:9" ht="15.75" x14ac:dyDescent="0.25">
      <c r="A6" s="13" t="s">
        <v>102</v>
      </c>
      <c r="B6" s="13">
        <v>358611</v>
      </c>
      <c r="C6" s="13">
        <v>397303</v>
      </c>
      <c r="D6" s="13"/>
      <c r="E6" s="13"/>
      <c r="F6" s="13"/>
    </row>
    <row r="7" spans="1:9" ht="15.75" x14ac:dyDescent="0.25">
      <c r="A7" s="13" t="s">
        <v>103</v>
      </c>
      <c r="B7" s="13">
        <v>362573</v>
      </c>
      <c r="C7" s="13">
        <v>401790</v>
      </c>
      <c r="D7" s="15">
        <v>1.1000000000000001</v>
      </c>
      <c r="E7" s="15">
        <v>1.1000000000000001</v>
      </c>
      <c r="F7" s="15">
        <v>0</v>
      </c>
    </row>
    <row r="8" spans="1:9" ht="15.75" x14ac:dyDescent="0.25">
      <c r="A8" s="13" t="s">
        <v>104</v>
      </c>
      <c r="B8" s="13">
        <v>365942</v>
      </c>
      <c r="C8" s="13">
        <v>405233</v>
      </c>
      <c r="D8" s="15">
        <v>0.9</v>
      </c>
      <c r="E8" s="15">
        <v>0.9</v>
      </c>
      <c r="F8" s="15">
        <v>0</v>
      </c>
    </row>
    <row r="9" spans="1:9" ht="15.75" x14ac:dyDescent="0.25">
      <c r="A9" s="13" t="s">
        <v>105</v>
      </c>
      <c r="B9" s="13">
        <v>371341</v>
      </c>
      <c r="C9" s="13">
        <v>411352</v>
      </c>
      <c r="D9" s="15">
        <v>1.5</v>
      </c>
      <c r="E9" s="15">
        <v>1.5</v>
      </c>
      <c r="F9" s="15">
        <v>0</v>
      </c>
    </row>
    <row r="10" spans="1:9" ht="15.75" x14ac:dyDescent="0.25">
      <c r="A10" s="13" t="s">
        <v>106</v>
      </c>
      <c r="B10" s="13">
        <v>374037</v>
      </c>
      <c r="C10" s="13">
        <v>414377</v>
      </c>
      <c r="D10" s="15">
        <v>0.7</v>
      </c>
      <c r="E10" s="15">
        <v>0.7</v>
      </c>
      <c r="F10" s="15">
        <v>0</v>
      </c>
    </row>
    <row r="11" spans="1:9" ht="15.75" x14ac:dyDescent="0.25">
      <c r="A11" s="13" t="s">
        <v>107</v>
      </c>
      <c r="B11" s="13">
        <v>376421</v>
      </c>
      <c r="C11" s="13">
        <v>416909</v>
      </c>
      <c r="D11" s="15">
        <v>0.6</v>
      </c>
      <c r="E11" s="15">
        <v>0.6</v>
      </c>
      <c r="F11" s="15">
        <v>0</v>
      </c>
    </row>
    <row r="12" spans="1:9" ht="15.75" x14ac:dyDescent="0.25">
      <c r="A12" s="13" t="s">
        <v>108</v>
      </c>
      <c r="B12" s="13">
        <v>377650</v>
      </c>
      <c r="C12" s="13">
        <v>418294</v>
      </c>
      <c r="D12" s="15">
        <v>0.3</v>
      </c>
      <c r="E12" s="15">
        <v>0.3</v>
      </c>
      <c r="F12" s="15">
        <v>0</v>
      </c>
    </row>
    <row r="13" spans="1:9" ht="15.75" x14ac:dyDescent="0.25">
      <c r="A13" s="13" t="s">
        <v>109</v>
      </c>
      <c r="B13" s="13">
        <v>380155</v>
      </c>
      <c r="C13" s="13">
        <v>421074</v>
      </c>
      <c r="D13" s="15">
        <v>0.7</v>
      </c>
      <c r="E13" s="15">
        <v>0.7</v>
      </c>
      <c r="F13" s="15">
        <v>0</v>
      </c>
    </row>
    <row r="14" spans="1:9" ht="15.75" x14ac:dyDescent="0.25">
      <c r="A14" s="13" t="s">
        <v>110</v>
      </c>
      <c r="B14" s="13">
        <v>382789</v>
      </c>
      <c r="C14" s="13">
        <v>423875</v>
      </c>
      <c r="D14" s="15">
        <v>0.7</v>
      </c>
      <c r="E14" s="15">
        <v>0.7</v>
      </c>
      <c r="F14" s="15">
        <v>0</v>
      </c>
    </row>
    <row r="15" spans="1:9" ht="15.75" x14ac:dyDescent="0.25">
      <c r="A15" s="13" t="s">
        <v>111</v>
      </c>
      <c r="B15" s="13">
        <v>384605</v>
      </c>
      <c r="C15" s="13">
        <v>425920</v>
      </c>
      <c r="D15" s="15">
        <v>0.5</v>
      </c>
      <c r="E15" s="15">
        <v>0.5</v>
      </c>
      <c r="F15" s="15">
        <v>0</v>
      </c>
    </row>
    <row r="16" spans="1:9" ht="15.75" x14ac:dyDescent="0.25">
      <c r="A16" s="13" t="s">
        <v>112</v>
      </c>
      <c r="B16" s="13">
        <v>390758</v>
      </c>
      <c r="C16" s="13">
        <v>432860</v>
      </c>
      <c r="D16" s="15">
        <v>1.6</v>
      </c>
      <c r="E16" s="15">
        <v>1.6</v>
      </c>
      <c r="F16" s="15">
        <v>0</v>
      </c>
    </row>
    <row r="17" spans="1:6" ht="15.75" x14ac:dyDescent="0.25">
      <c r="A17" s="13" t="s">
        <v>113</v>
      </c>
      <c r="B17" s="13">
        <v>396357</v>
      </c>
      <c r="C17" s="13">
        <v>439093</v>
      </c>
      <c r="D17" s="15">
        <v>1.4</v>
      </c>
      <c r="E17" s="15">
        <v>1.4</v>
      </c>
      <c r="F17" s="15">
        <v>0</v>
      </c>
    </row>
    <row r="18" spans="1:6" ht="15.75" x14ac:dyDescent="0.25">
      <c r="A18" s="13" t="s">
        <v>114</v>
      </c>
      <c r="B18" s="13">
        <v>401242</v>
      </c>
      <c r="C18" s="13">
        <v>444540</v>
      </c>
      <c r="D18" s="15">
        <v>1.2</v>
      </c>
      <c r="E18" s="15">
        <v>1.2</v>
      </c>
      <c r="F18" s="15">
        <v>0</v>
      </c>
    </row>
    <row r="19" spans="1:6" ht="15.75" x14ac:dyDescent="0.25">
      <c r="A19" s="13" t="s">
        <v>115</v>
      </c>
      <c r="B19" s="13">
        <v>404196</v>
      </c>
      <c r="C19" s="13">
        <v>447825</v>
      </c>
      <c r="D19" s="15">
        <v>0.7</v>
      </c>
      <c r="E19" s="15">
        <v>0.7</v>
      </c>
      <c r="F19" s="15">
        <v>0</v>
      </c>
    </row>
    <row r="20" spans="1:6" ht="15.75" x14ac:dyDescent="0.25">
      <c r="A20" s="13" t="s">
        <v>116</v>
      </c>
      <c r="B20" s="13">
        <v>406795</v>
      </c>
      <c r="C20" s="13">
        <v>450688</v>
      </c>
      <c r="D20" s="15">
        <v>0.6</v>
      </c>
      <c r="E20" s="15">
        <v>0.6</v>
      </c>
      <c r="F20" s="15">
        <v>0</v>
      </c>
    </row>
    <row r="21" spans="1:6" ht="15.75" x14ac:dyDescent="0.25">
      <c r="A21" s="13" t="s">
        <v>117</v>
      </c>
      <c r="B21" s="13">
        <v>409411</v>
      </c>
      <c r="C21" s="13">
        <v>453447</v>
      </c>
      <c r="D21" s="15">
        <v>0.6</v>
      </c>
      <c r="E21" s="15">
        <v>0.6</v>
      </c>
      <c r="F21" s="15">
        <v>0</v>
      </c>
    </row>
    <row r="22" spans="1:6" ht="15.75" x14ac:dyDescent="0.25">
      <c r="A22" s="13" t="s">
        <v>118</v>
      </c>
      <c r="B22" s="13">
        <v>413054</v>
      </c>
      <c r="C22" s="13">
        <v>457680</v>
      </c>
      <c r="D22" s="15">
        <v>0.9</v>
      </c>
      <c r="E22" s="15">
        <v>0.9</v>
      </c>
      <c r="F22" s="15">
        <v>0</v>
      </c>
    </row>
    <row r="23" spans="1:6" ht="15.75" x14ac:dyDescent="0.25">
      <c r="A23" s="13" t="s">
        <v>119</v>
      </c>
      <c r="B23" s="13">
        <v>414878</v>
      </c>
      <c r="C23" s="13">
        <v>459620</v>
      </c>
      <c r="D23" s="15">
        <v>0.4</v>
      </c>
      <c r="E23" s="15">
        <v>0.4</v>
      </c>
      <c r="F23" s="15">
        <v>0</v>
      </c>
    </row>
    <row r="24" spans="1:6" ht="15.75" x14ac:dyDescent="0.25">
      <c r="A24" s="13" t="s">
        <v>120</v>
      </c>
      <c r="B24" s="13">
        <v>417085</v>
      </c>
      <c r="C24" s="13">
        <v>462016</v>
      </c>
      <c r="D24" s="15">
        <v>0.5</v>
      </c>
      <c r="E24" s="15">
        <v>0.5</v>
      </c>
      <c r="F24" s="15">
        <v>0</v>
      </c>
    </row>
    <row r="25" spans="1:6" ht="15.75" x14ac:dyDescent="0.25">
      <c r="A25" s="13" t="s">
        <v>121</v>
      </c>
      <c r="B25" s="13">
        <v>418445</v>
      </c>
      <c r="C25" s="13">
        <v>463404</v>
      </c>
      <c r="D25" s="15">
        <v>0.3</v>
      </c>
      <c r="E25" s="15">
        <v>0.3</v>
      </c>
      <c r="F25" s="15">
        <v>0</v>
      </c>
    </row>
    <row r="26" spans="1:6" ht="15.75" x14ac:dyDescent="0.25">
      <c r="A26" s="13" t="s">
        <v>122</v>
      </c>
      <c r="B26" s="13">
        <v>419534</v>
      </c>
      <c r="C26" s="13">
        <v>464698</v>
      </c>
      <c r="D26" s="15">
        <v>0.3</v>
      </c>
      <c r="E26" s="15">
        <v>0.3</v>
      </c>
      <c r="F26" s="15">
        <v>0</v>
      </c>
    </row>
    <row r="27" spans="1:6" ht="15.75" x14ac:dyDescent="0.25">
      <c r="A27" s="13" t="s">
        <v>123</v>
      </c>
      <c r="B27" s="13">
        <v>421587</v>
      </c>
      <c r="C27" s="13">
        <v>466935</v>
      </c>
      <c r="D27" s="15">
        <v>0.5</v>
      </c>
      <c r="E27" s="15">
        <v>0.5</v>
      </c>
      <c r="F27" s="15">
        <v>0</v>
      </c>
    </row>
    <row r="28" spans="1:6" ht="15.75" x14ac:dyDescent="0.25">
      <c r="A28" s="13" t="s">
        <v>124</v>
      </c>
      <c r="B28" s="13">
        <v>424425</v>
      </c>
      <c r="C28" s="13">
        <v>470277</v>
      </c>
      <c r="D28" s="15">
        <v>0.7</v>
      </c>
      <c r="E28" s="15">
        <v>0.7</v>
      </c>
      <c r="F28" s="15">
        <v>0</v>
      </c>
    </row>
    <row r="29" spans="1:6" ht="15.75" x14ac:dyDescent="0.25">
      <c r="A29" s="13" t="s">
        <v>125</v>
      </c>
      <c r="B29" s="13">
        <v>427725</v>
      </c>
      <c r="C29" s="13">
        <v>473899</v>
      </c>
      <c r="D29" s="15">
        <v>0.8</v>
      </c>
      <c r="E29" s="15">
        <v>0.8</v>
      </c>
      <c r="F29" s="15">
        <v>0</v>
      </c>
    </row>
    <row r="30" spans="1:6" ht="15.75" x14ac:dyDescent="0.25">
      <c r="A30" s="13" t="s">
        <v>126</v>
      </c>
      <c r="B30" s="13">
        <v>430832</v>
      </c>
      <c r="C30" s="13">
        <v>477357</v>
      </c>
      <c r="D30" s="15">
        <v>0.7</v>
      </c>
      <c r="E30" s="15">
        <v>0.7</v>
      </c>
      <c r="F30" s="15">
        <v>0</v>
      </c>
    </row>
    <row r="31" spans="1:6" ht="15.75" x14ac:dyDescent="0.25">
      <c r="A31" s="13" t="s">
        <v>127</v>
      </c>
      <c r="B31" s="13">
        <v>434837</v>
      </c>
      <c r="C31" s="13">
        <v>481552</v>
      </c>
      <c r="D31" s="15">
        <v>0.9</v>
      </c>
      <c r="E31" s="15">
        <v>0.9</v>
      </c>
      <c r="F31" s="15">
        <v>0</v>
      </c>
    </row>
    <row r="32" spans="1:6" ht="15.75" x14ac:dyDescent="0.25">
      <c r="A32" s="13" t="s">
        <v>128</v>
      </c>
      <c r="B32" s="13">
        <v>438710</v>
      </c>
      <c r="C32" s="13">
        <v>485973</v>
      </c>
      <c r="D32" s="15">
        <v>0.9</v>
      </c>
      <c r="E32" s="15">
        <v>0.9</v>
      </c>
      <c r="F32" s="15">
        <v>0</v>
      </c>
    </row>
    <row r="33" spans="1:6" ht="15.75" x14ac:dyDescent="0.25">
      <c r="A33" s="13" t="s">
        <v>129</v>
      </c>
      <c r="B33" s="13">
        <v>442172</v>
      </c>
      <c r="C33" s="13">
        <v>490059</v>
      </c>
      <c r="D33" s="15">
        <v>0.8</v>
      </c>
      <c r="E33" s="15">
        <v>0.8</v>
      </c>
      <c r="F33" s="15">
        <v>0</v>
      </c>
    </row>
    <row r="34" spans="1:6" ht="15.75" x14ac:dyDescent="0.25">
      <c r="A34" s="13" t="s">
        <v>130</v>
      </c>
      <c r="B34" s="13">
        <v>443853</v>
      </c>
      <c r="C34" s="13">
        <v>492014</v>
      </c>
      <c r="D34" s="15">
        <v>0.4</v>
      </c>
      <c r="E34" s="15">
        <v>0.4</v>
      </c>
      <c r="F34" s="15">
        <v>0</v>
      </c>
    </row>
    <row r="35" spans="1:6" ht="15.75" x14ac:dyDescent="0.25">
      <c r="A35" s="13" t="s">
        <v>131</v>
      </c>
      <c r="B35" s="13">
        <v>446443</v>
      </c>
      <c r="C35" s="13">
        <v>494824</v>
      </c>
      <c r="D35" s="15">
        <v>0.6</v>
      </c>
      <c r="E35" s="15">
        <v>0.6</v>
      </c>
      <c r="F35" s="15">
        <v>0</v>
      </c>
    </row>
    <row r="36" spans="1:6" ht="15.75" x14ac:dyDescent="0.25">
      <c r="A36" s="13" t="s">
        <v>132</v>
      </c>
      <c r="B36" s="13">
        <v>448171</v>
      </c>
      <c r="C36" s="13">
        <v>496642</v>
      </c>
      <c r="D36" s="15">
        <v>0.4</v>
      </c>
      <c r="E36" s="15">
        <v>0.4</v>
      </c>
      <c r="F36" s="15">
        <v>0</v>
      </c>
    </row>
    <row r="37" spans="1:6" ht="15.75" x14ac:dyDescent="0.25">
      <c r="A37" s="13" t="s">
        <v>133</v>
      </c>
      <c r="B37" s="13">
        <v>450464</v>
      </c>
      <c r="C37" s="13">
        <v>499020</v>
      </c>
      <c r="D37" s="15">
        <v>0.5</v>
      </c>
      <c r="E37" s="15">
        <v>0.5</v>
      </c>
      <c r="F37" s="15">
        <v>0</v>
      </c>
    </row>
    <row r="38" spans="1:6" ht="15.75" x14ac:dyDescent="0.25">
      <c r="A38" s="13" t="s">
        <v>134</v>
      </c>
      <c r="B38" s="13">
        <v>453784</v>
      </c>
      <c r="C38" s="13">
        <v>502702</v>
      </c>
      <c r="D38" s="15">
        <v>0.7</v>
      </c>
      <c r="E38" s="15">
        <v>0.7</v>
      </c>
      <c r="F38" s="15">
        <v>0</v>
      </c>
    </row>
    <row r="39" spans="1:6" ht="15.75" x14ac:dyDescent="0.25">
      <c r="A39" s="13" t="s">
        <v>135</v>
      </c>
      <c r="B39" s="13">
        <v>457557</v>
      </c>
      <c r="C39" s="13">
        <v>506906</v>
      </c>
      <c r="D39" s="15">
        <v>0.8</v>
      </c>
      <c r="E39" s="15">
        <v>0.8</v>
      </c>
      <c r="F39" s="15">
        <v>0</v>
      </c>
    </row>
    <row r="40" spans="1:6" ht="15.75" x14ac:dyDescent="0.25">
      <c r="A40" s="13" t="s">
        <v>136</v>
      </c>
      <c r="B40" s="13">
        <v>461135</v>
      </c>
      <c r="C40" s="13">
        <v>511132</v>
      </c>
      <c r="D40" s="15">
        <v>0.8</v>
      </c>
      <c r="E40" s="15">
        <v>0.8</v>
      </c>
      <c r="F40" s="15">
        <v>0</v>
      </c>
    </row>
    <row r="41" spans="1:6" ht="15.75" x14ac:dyDescent="0.25">
      <c r="A41" s="13" t="s">
        <v>137</v>
      </c>
      <c r="B41" s="13">
        <v>465451</v>
      </c>
      <c r="C41" s="13">
        <v>515935</v>
      </c>
      <c r="D41" s="15">
        <v>0.9</v>
      </c>
      <c r="E41" s="15">
        <v>0.9</v>
      </c>
      <c r="F41" s="15">
        <v>0</v>
      </c>
    </row>
    <row r="42" spans="1:6" ht="15.75" x14ac:dyDescent="0.25">
      <c r="A42" s="13" t="s">
        <v>138</v>
      </c>
      <c r="B42" s="13">
        <v>467840</v>
      </c>
      <c r="C42" s="13">
        <v>518495</v>
      </c>
      <c r="D42" s="15">
        <v>0.5</v>
      </c>
      <c r="E42" s="15">
        <v>0.5</v>
      </c>
      <c r="F42" s="15">
        <v>0</v>
      </c>
    </row>
    <row r="43" spans="1:6" ht="15.75" x14ac:dyDescent="0.25">
      <c r="A43" s="13" t="s">
        <v>139</v>
      </c>
      <c r="B43" s="13">
        <v>469655</v>
      </c>
      <c r="C43" s="13">
        <v>520318</v>
      </c>
      <c r="D43" s="15">
        <v>0.4</v>
      </c>
      <c r="E43" s="15">
        <v>0.4</v>
      </c>
      <c r="F43" s="15">
        <v>0</v>
      </c>
    </row>
    <row r="44" spans="1:6" ht="15.75" x14ac:dyDescent="0.25">
      <c r="A44" s="13" t="s">
        <v>140</v>
      </c>
      <c r="B44" s="13">
        <v>470918</v>
      </c>
      <c r="C44" s="13">
        <v>521780</v>
      </c>
      <c r="D44" s="15">
        <v>0.3</v>
      </c>
      <c r="E44" s="15">
        <v>0.3</v>
      </c>
      <c r="F44" s="15">
        <v>0</v>
      </c>
    </row>
    <row r="45" spans="1:6" ht="15.75" x14ac:dyDescent="0.25">
      <c r="A45" s="13" t="s">
        <v>141</v>
      </c>
      <c r="B45" s="13">
        <v>473372</v>
      </c>
      <c r="C45" s="13">
        <v>524569</v>
      </c>
      <c r="D45" s="15">
        <v>0.5</v>
      </c>
      <c r="E45" s="15">
        <v>0.5</v>
      </c>
      <c r="F45" s="15">
        <v>0</v>
      </c>
    </row>
    <row r="46" spans="1:6" ht="15.75" x14ac:dyDescent="0.25">
      <c r="A46" s="13" t="s">
        <v>142</v>
      </c>
      <c r="B46" s="13">
        <v>477823</v>
      </c>
      <c r="C46" s="13">
        <v>529398</v>
      </c>
      <c r="D46" s="15">
        <v>0.9</v>
      </c>
      <c r="E46" s="15">
        <v>0.9</v>
      </c>
      <c r="F46" s="15">
        <v>0</v>
      </c>
    </row>
    <row r="47" spans="1:6" ht="15.75" x14ac:dyDescent="0.25">
      <c r="A47" s="13" t="s">
        <v>143</v>
      </c>
      <c r="B47" s="13">
        <v>481314</v>
      </c>
      <c r="C47" s="13">
        <v>533187</v>
      </c>
      <c r="D47" s="15">
        <v>0.7</v>
      </c>
      <c r="E47" s="15">
        <v>0.7</v>
      </c>
      <c r="F47" s="15">
        <v>0</v>
      </c>
    </row>
    <row r="48" spans="1:6" ht="15.75" x14ac:dyDescent="0.25">
      <c r="A48" s="13" t="s">
        <v>144</v>
      </c>
      <c r="B48" s="13">
        <v>484544</v>
      </c>
      <c r="C48" s="13">
        <v>537052</v>
      </c>
      <c r="D48" s="15">
        <v>0.7</v>
      </c>
      <c r="E48" s="15">
        <v>0.7</v>
      </c>
      <c r="F48" s="15">
        <v>0</v>
      </c>
    </row>
    <row r="49" spans="1:6" ht="15.75" x14ac:dyDescent="0.25">
      <c r="A49" s="13" t="s">
        <v>145</v>
      </c>
      <c r="B49" s="13">
        <v>487413</v>
      </c>
      <c r="C49" s="13">
        <v>540258</v>
      </c>
      <c r="D49" s="15">
        <v>0.6</v>
      </c>
      <c r="E49" s="15">
        <v>0.6</v>
      </c>
      <c r="F49" s="15">
        <v>0</v>
      </c>
    </row>
    <row r="50" spans="1:6" ht="15.75" x14ac:dyDescent="0.25">
      <c r="A50" s="13" t="s">
        <v>146</v>
      </c>
      <c r="B50" s="13">
        <v>489783</v>
      </c>
      <c r="C50" s="13">
        <v>542804</v>
      </c>
      <c r="D50" s="15">
        <v>0.5</v>
      </c>
      <c r="E50" s="15">
        <v>0.5</v>
      </c>
      <c r="F50" s="15">
        <v>0</v>
      </c>
    </row>
    <row r="51" spans="1:6" ht="15.75" x14ac:dyDescent="0.25">
      <c r="A51" s="13" t="s">
        <v>147</v>
      </c>
      <c r="B51" s="13">
        <v>487386</v>
      </c>
      <c r="C51" s="13">
        <v>539918</v>
      </c>
      <c r="D51" s="15">
        <v>-0.5</v>
      </c>
      <c r="E51" s="15">
        <v>-0.5</v>
      </c>
      <c r="F51" s="15">
        <v>0</v>
      </c>
    </row>
    <row r="52" spans="1:6" ht="15.75" x14ac:dyDescent="0.25">
      <c r="A52" s="13" t="s">
        <v>148</v>
      </c>
      <c r="B52" s="13">
        <v>479872</v>
      </c>
      <c r="C52" s="13">
        <v>531619</v>
      </c>
      <c r="D52" s="15">
        <v>-1.5</v>
      </c>
      <c r="E52" s="15">
        <v>-1.5</v>
      </c>
      <c r="F52" s="15">
        <v>0</v>
      </c>
    </row>
    <row r="53" spans="1:6" ht="15.75" x14ac:dyDescent="0.25">
      <c r="A53" s="13" t="s">
        <v>149</v>
      </c>
      <c r="B53" s="13">
        <v>469694</v>
      </c>
      <c r="C53" s="13">
        <v>520230</v>
      </c>
      <c r="D53" s="15">
        <v>-2.1</v>
      </c>
      <c r="E53" s="15">
        <v>-2.1</v>
      </c>
      <c r="F53" s="15">
        <v>0</v>
      </c>
    </row>
    <row r="54" spans="1:6" ht="15.75" x14ac:dyDescent="0.25">
      <c r="A54" s="13" t="s">
        <v>150</v>
      </c>
      <c r="B54" s="13">
        <v>460105</v>
      </c>
      <c r="C54" s="13">
        <v>509646</v>
      </c>
      <c r="D54" s="15">
        <v>-2</v>
      </c>
      <c r="E54" s="15">
        <v>-2</v>
      </c>
      <c r="F54" s="15">
        <v>0</v>
      </c>
    </row>
    <row r="55" spans="1:6" ht="15.75" x14ac:dyDescent="0.25">
      <c r="A55" s="13" t="s">
        <v>151</v>
      </c>
      <c r="B55" s="13">
        <v>458599</v>
      </c>
      <c r="C55" s="13">
        <v>508009</v>
      </c>
      <c r="D55" s="15">
        <v>-0.3</v>
      </c>
      <c r="E55" s="15">
        <v>-0.3</v>
      </c>
      <c r="F55" s="15">
        <v>0</v>
      </c>
    </row>
    <row r="56" spans="1:6" ht="15.75" x14ac:dyDescent="0.25">
      <c r="A56" s="13" t="s">
        <v>152</v>
      </c>
      <c r="B56" s="13">
        <v>458875</v>
      </c>
      <c r="C56" s="13">
        <v>508398</v>
      </c>
      <c r="D56" s="15">
        <v>0.1</v>
      </c>
      <c r="E56" s="15">
        <v>0.1</v>
      </c>
      <c r="F56" s="15">
        <v>0</v>
      </c>
    </row>
    <row r="57" spans="1:6" ht="15.75" x14ac:dyDescent="0.25">
      <c r="A57" s="13" t="s">
        <v>153</v>
      </c>
      <c r="B57" s="13">
        <v>460238</v>
      </c>
      <c r="C57" s="13">
        <v>509889</v>
      </c>
      <c r="D57" s="15">
        <v>0.3</v>
      </c>
      <c r="E57" s="15">
        <v>0.3</v>
      </c>
      <c r="F57" s="15">
        <v>0</v>
      </c>
    </row>
    <row r="58" spans="1:6" ht="15.75" x14ac:dyDescent="0.25">
      <c r="A58" s="13" t="s">
        <v>154</v>
      </c>
      <c r="B58" s="13">
        <v>464543</v>
      </c>
      <c r="C58" s="13">
        <v>514595</v>
      </c>
      <c r="D58" s="15">
        <v>0.9</v>
      </c>
      <c r="E58" s="15">
        <v>0.9</v>
      </c>
      <c r="F58" s="15">
        <v>0</v>
      </c>
    </row>
    <row r="59" spans="1:6" ht="15.75" x14ac:dyDescent="0.25">
      <c r="A59" s="13" t="s">
        <v>155</v>
      </c>
      <c r="B59" s="13">
        <v>469606</v>
      </c>
      <c r="C59" s="13">
        <v>520128</v>
      </c>
      <c r="D59" s="15">
        <v>1.1000000000000001</v>
      </c>
      <c r="E59" s="15">
        <v>1.1000000000000001</v>
      </c>
      <c r="F59" s="15">
        <v>0</v>
      </c>
    </row>
    <row r="60" spans="1:6" ht="15.75" x14ac:dyDescent="0.25">
      <c r="A60" s="13" t="s">
        <v>156</v>
      </c>
      <c r="B60" s="13">
        <v>472199</v>
      </c>
      <c r="C60" s="13">
        <v>523173</v>
      </c>
      <c r="D60" s="15">
        <v>0.6</v>
      </c>
      <c r="E60" s="15">
        <v>0.6</v>
      </c>
      <c r="F60" s="15">
        <v>0</v>
      </c>
    </row>
    <row r="61" spans="1:6" ht="15.75" x14ac:dyDescent="0.25">
      <c r="A61" s="13" t="s">
        <v>157</v>
      </c>
      <c r="B61" s="13">
        <v>472612</v>
      </c>
      <c r="C61" s="13">
        <v>523515</v>
      </c>
      <c r="D61" s="15">
        <v>0.1</v>
      </c>
      <c r="E61" s="15">
        <v>0.1</v>
      </c>
      <c r="F61" s="15">
        <v>0</v>
      </c>
    </row>
    <row r="62" spans="1:6" ht="15.75" x14ac:dyDescent="0.25">
      <c r="A62" s="13" t="s">
        <v>158</v>
      </c>
      <c r="B62" s="13">
        <v>473819</v>
      </c>
      <c r="C62" s="13">
        <v>524955</v>
      </c>
      <c r="D62" s="15">
        <v>0.3</v>
      </c>
      <c r="E62" s="15">
        <v>0.3</v>
      </c>
      <c r="F62" s="15">
        <v>0</v>
      </c>
    </row>
    <row r="63" spans="1:6" ht="15.75" x14ac:dyDescent="0.25">
      <c r="A63" s="13" t="s">
        <v>159</v>
      </c>
      <c r="B63" s="13">
        <v>474365</v>
      </c>
      <c r="C63" s="13">
        <v>525418</v>
      </c>
      <c r="D63" s="15">
        <v>0.1</v>
      </c>
      <c r="E63" s="15">
        <v>0.1</v>
      </c>
      <c r="F63" s="15">
        <v>0</v>
      </c>
    </row>
    <row r="64" spans="1:6" ht="15.75" x14ac:dyDescent="0.25">
      <c r="A64" s="13" t="s">
        <v>160</v>
      </c>
      <c r="B64" s="13">
        <v>475813</v>
      </c>
      <c r="C64" s="13">
        <v>527034</v>
      </c>
      <c r="D64" s="15">
        <v>0.3</v>
      </c>
      <c r="E64" s="15">
        <v>0.3</v>
      </c>
      <c r="F64" s="15">
        <v>0</v>
      </c>
    </row>
    <row r="65" spans="1:6" ht="15.75" x14ac:dyDescent="0.25">
      <c r="A65" s="13" t="s">
        <v>161</v>
      </c>
      <c r="B65" s="13">
        <v>476479</v>
      </c>
      <c r="C65" s="13">
        <v>527698</v>
      </c>
      <c r="D65" s="15">
        <v>0.1</v>
      </c>
      <c r="E65" s="15">
        <v>0.1</v>
      </c>
      <c r="F65" s="15">
        <v>0</v>
      </c>
    </row>
    <row r="66" spans="1:6" ht="15.75" x14ac:dyDescent="0.25">
      <c r="A66" s="13" t="s">
        <v>162</v>
      </c>
      <c r="B66" s="13">
        <v>480632</v>
      </c>
      <c r="C66" s="13">
        <v>532300</v>
      </c>
      <c r="D66" s="15">
        <v>0.9</v>
      </c>
      <c r="E66" s="15">
        <v>0.9</v>
      </c>
      <c r="F66" s="15">
        <v>0</v>
      </c>
    </row>
    <row r="67" spans="1:6" ht="15.75" x14ac:dyDescent="0.25">
      <c r="A67" s="13" t="s">
        <v>163</v>
      </c>
      <c r="B67" s="13">
        <v>479979</v>
      </c>
      <c r="C67" s="13">
        <v>531663</v>
      </c>
      <c r="D67" s="15">
        <v>-0.1</v>
      </c>
      <c r="E67" s="15">
        <v>-0.1</v>
      </c>
      <c r="F67" s="15">
        <v>0</v>
      </c>
    </row>
    <row r="68" spans="1:6" ht="15.75" x14ac:dyDescent="0.25">
      <c r="A68" s="13" t="s">
        <v>164</v>
      </c>
      <c r="B68" s="13">
        <v>484579</v>
      </c>
      <c r="C68" s="13">
        <v>536720</v>
      </c>
      <c r="D68" s="15">
        <v>1</v>
      </c>
      <c r="E68" s="15">
        <v>1</v>
      </c>
      <c r="F68" s="15">
        <v>0</v>
      </c>
    </row>
    <row r="69" spans="1:6" ht="15.75" x14ac:dyDescent="0.25">
      <c r="A69" s="13" t="s">
        <v>165</v>
      </c>
      <c r="B69" s="13">
        <v>484039</v>
      </c>
      <c r="C69" s="13">
        <v>536188</v>
      </c>
      <c r="D69" s="15">
        <v>-0.1</v>
      </c>
      <c r="E69" s="15">
        <v>-0.1</v>
      </c>
      <c r="F69" s="15">
        <v>0</v>
      </c>
    </row>
    <row r="70" spans="1:6" ht="15.75" x14ac:dyDescent="0.25">
      <c r="A70" s="13" t="s">
        <v>166</v>
      </c>
      <c r="B70" s="13">
        <v>485409</v>
      </c>
      <c r="C70" s="13">
        <v>537974</v>
      </c>
      <c r="D70" s="15">
        <v>0.3</v>
      </c>
      <c r="E70" s="15">
        <v>0.3</v>
      </c>
      <c r="F70" s="15">
        <v>0</v>
      </c>
    </row>
    <row r="71" spans="1:6" ht="15.75" x14ac:dyDescent="0.25">
      <c r="A71" s="13" t="s">
        <v>167</v>
      </c>
      <c r="B71" s="13">
        <v>488930</v>
      </c>
      <c r="C71" s="13">
        <v>541586</v>
      </c>
      <c r="D71" s="15">
        <v>0.7</v>
      </c>
      <c r="E71" s="15">
        <v>0.7</v>
      </c>
      <c r="F71" s="15">
        <v>0</v>
      </c>
    </row>
    <row r="72" spans="1:6" ht="15.75" x14ac:dyDescent="0.25">
      <c r="A72" s="13" t="s">
        <v>168</v>
      </c>
      <c r="B72" s="13">
        <v>493002</v>
      </c>
      <c r="C72" s="13">
        <v>546064</v>
      </c>
      <c r="D72" s="15">
        <v>0.8</v>
      </c>
      <c r="E72" s="15">
        <v>0.8</v>
      </c>
      <c r="F72" s="15">
        <v>0</v>
      </c>
    </row>
    <row r="73" spans="1:6" ht="15.75" x14ac:dyDescent="0.25">
      <c r="A73" s="13" t="s">
        <v>169</v>
      </c>
      <c r="B73" s="13">
        <v>496466</v>
      </c>
      <c r="C73" s="13">
        <v>549709</v>
      </c>
      <c r="D73" s="15">
        <v>0.7</v>
      </c>
      <c r="E73" s="15">
        <v>0.7</v>
      </c>
      <c r="F73" s="15">
        <v>0</v>
      </c>
    </row>
    <row r="74" spans="1:6" ht="15.75" x14ac:dyDescent="0.25">
      <c r="A74" s="13" t="s">
        <v>170</v>
      </c>
      <c r="B74" s="13">
        <v>500552</v>
      </c>
      <c r="C74" s="13">
        <v>554183</v>
      </c>
      <c r="D74" s="15">
        <v>0.8</v>
      </c>
      <c r="E74" s="15">
        <v>0.8</v>
      </c>
      <c r="F74" s="15">
        <v>0</v>
      </c>
    </row>
    <row r="75" spans="1:6" ht="15.75" x14ac:dyDescent="0.25">
      <c r="A75" s="13" t="s">
        <v>171</v>
      </c>
      <c r="B75" s="13">
        <v>504939</v>
      </c>
      <c r="C75" s="13">
        <v>559331</v>
      </c>
      <c r="D75" s="15">
        <v>0.9</v>
      </c>
      <c r="E75" s="15">
        <v>0.9</v>
      </c>
      <c r="F75" s="15">
        <v>0</v>
      </c>
    </row>
    <row r="76" spans="1:6" ht="15.75" x14ac:dyDescent="0.25">
      <c r="A76" s="13" t="s">
        <v>172</v>
      </c>
      <c r="B76" s="13">
        <v>508741</v>
      </c>
      <c r="C76" s="13">
        <v>563694</v>
      </c>
      <c r="D76" s="15">
        <v>0.8</v>
      </c>
      <c r="E76" s="15">
        <v>0.8</v>
      </c>
      <c r="F76" s="15">
        <v>0</v>
      </c>
    </row>
    <row r="77" spans="1:6" ht="15.75" x14ac:dyDescent="0.25">
      <c r="A77" s="13" t="s">
        <v>173</v>
      </c>
      <c r="B77" s="13">
        <v>512334</v>
      </c>
      <c r="C77" s="13">
        <v>567619</v>
      </c>
      <c r="D77" s="15">
        <v>0.7</v>
      </c>
      <c r="E77" s="15">
        <v>0.7</v>
      </c>
      <c r="F77" s="15">
        <v>0</v>
      </c>
    </row>
    <row r="78" spans="1:6" ht="15.75" x14ac:dyDescent="0.25">
      <c r="A78" s="13" t="s">
        <v>174</v>
      </c>
      <c r="B78" s="13">
        <v>513850</v>
      </c>
      <c r="C78" s="13">
        <v>569150</v>
      </c>
      <c r="D78" s="15">
        <v>0.3</v>
      </c>
      <c r="E78" s="15">
        <v>0.3</v>
      </c>
      <c r="F78" s="15">
        <v>0</v>
      </c>
    </row>
    <row r="79" spans="1:6" ht="15.75" x14ac:dyDescent="0.25">
      <c r="A79" s="13" t="s">
        <v>175</v>
      </c>
      <c r="B79" s="13">
        <v>516876</v>
      </c>
      <c r="C79" s="13">
        <v>572673</v>
      </c>
      <c r="D79" s="15">
        <v>0.6</v>
      </c>
      <c r="E79" s="15">
        <v>0.6</v>
      </c>
      <c r="F79" s="15">
        <v>0</v>
      </c>
    </row>
    <row r="80" spans="1:6" ht="15.75" x14ac:dyDescent="0.25">
      <c r="A80" s="13" t="s">
        <v>176</v>
      </c>
      <c r="B80" s="13">
        <v>518915</v>
      </c>
      <c r="C80" s="13">
        <v>574836</v>
      </c>
      <c r="D80" s="15">
        <v>0.4</v>
      </c>
      <c r="E80" s="15">
        <v>0.4</v>
      </c>
      <c r="F80" s="15">
        <v>0</v>
      </c>
    </row>
    <row r="81" spans="1:6" ht="15.75" x14ac:dyDescent="0.25">
      <c r="A81" s="13" t="s">
        <v>177</v>
      </c>
      <c r="B81" s="13">
        <v>521920</v>
      </c>
      <c r="C81" s="13">
        <v>578068</v>
      </c>
      <c r="D81" s="15">
        <v>0.6</v>
      </c>
      <c r="E81" s="15">
        <v>0.6</v>
      </c>
      <c r="F81" s="15">
        <v>0</v>
      </c>
    </row>
    <row r="82" spans="1:6" ht="15.75" x14ac:dyDescent="0.25">
      <c r="A82" s="13" t="s">
        <v>178</v>
      </c>
      <c r="B82" s="13">
        <v>523813</v>
      </c>
      <c r="C82" s="13">
        <v>580110</v>
      </c>
      <c r="D82" s="15">
        <v>0.4</v>
      </c>
      <c r="E82" s="15">
        <v>0.4</v>
      </c>
      <c r="F82" s="15">
        <v>0</v>
      </c>
    </row>
    <row r="83" spans="1:6" ht="15.75" x14ac:dyDescent="0.25">
      <c r="A83" s="13" t="s">
        <v>179</v>
      </c>
      <c r="B83" s="13">
        <v>526750</v>
      </c>
      <c r="C83" s="13">
        <v>583383</v>
      </c>
      <c r="D83" s="15">
        <v>0.6</v>
      </c>
      <c r="E83" s="15">
        <v>0.6</v>
      </c>
      <c r="F83" s="15">
        <v>0</v>
      </c>
    </row>
    <row r="84" spans="1:6" ht="15.75" x14ac:dyDescent="0.25">
      <c r="A84" s="13" t="s">
        <v>180</v>
      </c>
      <c r="B84" s="13">
        <v>528712</v>
      </c>
      <c r="C84" s="13">
        <v>585856</v>
      </c>
      <c r="D84" s="15">
        <v>0.4</v>
      </c>
      <c r="E84" s="15">
        <v>0.4</v>
      </c>
      <c r="F84" s="15">
        <v>0</v>
      </c>
    </row>
    <row r="85" spans="1:6" ht="15.75" x14ac:dyDescent="0.25">
      <c r="A85" s="13" t="s">
        <v>181</v>
      </c>
      <c r="B85" s="13">
        <v>532082</v>
      </c>
      <c r="C85" s="13">
        <v>589476</v>
      </c>
      <c r="D85" s="15">
        <v>0.6</v>
      </c>
      <c r="E85" s="15">
        <v>0.6</v>
      </c>
      <c r="F85" s="15">
        <v>0</v>
      </c>
    </row>
    <row r="86" spans="1:6" ht="15.75" x14ac:dyDescent="0.25">
      <c r="A86" s="13" t="s">
        <v>182</v>
      </c>
      <c r="B86" s="13">
        <v>536566</v>
      </c>
      <c r="C86" s="13">
        <v>594423</v>
      </c>
      <c r="D86" s="15">
        <v>0.8</v>
      </c>
      <c r="E86" s="15">
        <v>0.8</v>
      </c>
      <c r="F86" s="15">
        <v>0</v>
      </c>
    </row>
    <row r="87" spans="1:6" ht="15.75" x14ac:dyDescent="0.25">
      <c r="A87" s="13" t="s">
        <v>183</v>
      </c>
      <c r="B87" s="13">
        <v>540020</v>
      </c>
      <c r="C87" s="13">
        <v>598176</v>
      </c>
      <c r="D87" s="15">
        <v>0.6</v>
      </c>
      <c r="E87" s="15">
        <v>0.6</v>
      </c>
      <c r="F87" s="15">
        <v>0</v>
      </c>
    </row>
    <row r="88" spans="1:6" ht="15.75" x14ac:dyDescent="0.25">
      <c r="A88" s="13" t="s">
        <v>184</v>
      </c>
      <c r="B88" s="13">
        <v>543452</v>
      </c>
      <c r="C88" s="13">
        <v>601961</v>
      </c>
      <c r="D88" s="15">
        <v>0.6</v>
      </c>
      <c r="E88" s="15">
        <v>0.6</v>
      </c>
      <c r="F88" s="15">
        <v>0</v>
      </c>
    </row>
    <row r="89" spans="1:6" ht="15.75" x14ac:dyDescent="0.25">
      <c r="A89" s="13" t="s">
        <v>185</v>
      </c>
      <c r="B89" s="13">
        <v>547377</v>
      </c>
      <c r="C89" s="13">
        <v>606396</v>
      </c>
      <c r="D89" s="15">
        <v>0.7</v>
      </c>
      <c r="E89" s="15">
        <v>0.7</v>
      </c>
      <c r="F89" s="15">
        <v>0</v>
      </c>
    </row>
    <row r="90" spans="1:6" ht="15.75" x14ac:dyDescent="0.25">
      <c r="A90" s="13" t="s">
        <v>186</v>
      </c>
      <c r="B90" s="13">
        <v>547688</v>
      </c>
      <c r="C90" s="13">
        <v>606785</v>
      </c>
      <c r="D90" s="15">
        <v>0.1</v>
      </c>
      <c r="E90" s="15">
        <v>0.1</v>
      </c>
      <c r="F90" s="15">
        <v>0</v>
      </c>
    </row>
    <row r="91" spans="1:6" ht="15.75" x14ac:dyDescent="0.25">
      <c r="A91" s="13" t="s">
        <v>187</v>
      </c>
      <c r="B91" s="13">
        <v>548600</v>
      </c>
      <c r="C91" s="13">
        <v>607775</v>
      </c>
      <c r="D91" s="15">
        <v>0.2</v>
      </c>
      <c r="E91" s="15">
        <v>0.2</v>
      </c>
      <c r="F91" s="15">
        <v>0</v>
      </c>
    </row>
    <row r="92" spans="1:6" ht="15.75" x14ac:dyDescent="0.25">
      <c r="A92" s="13" t="s">
        <v>188</v>
      </c>
      <c r="B92" s="13">
        <v>550425</v>
      </c>
      <c r="C92" s="13">
        <v>609653</v>
      </c>
      <c r="D92" s="15">
        <v>0.3</v>
      </c>
      <c r="E92" s="15">
        <v>0.3</v>
      </c>
      <c r="F92" s="15">
        <v>0</v>
      </c>
    </row>
    <row r="93" spans="1:6" ht="15.75" x14ac:dyDescent="0.25">
      <c r="A93" s="13" t="s">
        <v>189</v>
      </c>
      <c r="B93" s="13">
        <v>551128</v>
      </c>
      <c r="C93" s="13">
        <v>610481</v>
      </c>
      <c r="D93" s="15">
        <v>0.1</v>
      </c>
      <c r="E93" s="15">
        <v>0.1</v>
      </c>
      <c r="F93" s="15">
        <v>0</v>
      </c>
    </row>
    <row r="94" spans="1:6" ht="15.75" x14ac:dyDescent="0.25">
      <c r="A94" s="13" t="s">
        <v>190</v>
      </c>
      <c r="B94" s="13">
        <v>555141</v>
      </c>
      <c r="C94" s="13">
        <v>614936</v>
      </c>
      <c r="D94" s="15">
        <v>0.7</v>
      </c>
      <c r="E94" s="15">
        <v>0.7</v>
      </c>
      <c r="F94" s="15">
        <v>0</v>
      </c>
    </row>
    <row r="95" spans="1:6" ht="15.75" x14ac:dyDescent="0.25">
      <c r="A95" s="13" t="s">
        <v>191</v>
      </c>
      <c r="B95" s="13">
        <v>556932</v>
      </c>
      <c r="C95" s="13">
        <v>616853</v>
      </c>
      <c r="D95" s="15">
        <v>0.3</v>
      </c>
      <c r="E95" s="15">
        <v>0.3</v>
      </c>
      <c r="F95" s="15">
        <v>0</v>
      </c>
    </row>
    <row r="96" spans="1:6" ht="15.75" x14ac:dyDescent="0.25">
      <c r="A96" s="13" t="s">
        <v>192</v>
      </c>
      <c r="B96" s="13">
        <v>560987</v>
      </c>
      <c r="C96" s="13">
        <v>621227</v>
      </c>
      <c r="D96" s="15">
        <v>0.7</v>
      </c>
      <c r="E96" s="15">
        <v>0.7</v>
      </c>
      <c r="F96" s="15">
        <v>0</v>
      </c>
    </row>
    <row r="97" spans="1:6" ht="15.75" x14ac:dyDescent="0.25">
      <c r="A97" s="13" t="s">
        <v>193</v>
      </c>
      <c r="B97" s="13">
        <v>560861</v>
      </c>
      <c r="C97" s="13">
        <v>621229</v>
      </c>
      <c r="D97" s="15">
        <v>0</v>
      </c>
      <c r="E97" s="15">
        <v>0</v>
      </c>
      <c r="F97" s="15">
        <v>0</v>
      </c>
    </row>
    <row r="98" spans="1:6" ht="15.75" x14ac:dyDescent="0.25">
      <c r="A98" s="13" t="s">
        <v>194</v>
      </c>
      <c r="B98" s="13">
        <v>545597</v>
      </c>
      <c r="C98" s="13">
        <v>604719</v>
      </c>
      <c r="D98" s="15">
        <v>-2.7</v>
      </c>
      <c r="E98" s="15">
        <v>-2.7</v>
      </c>
      <c r="F98" s="15">
        <v>0</v>
      </c>
    </row>
    <row r="99" spans="1:6" ht="15.75" x14ac:dyDescent="0.25">
      <c r="A99" s="13" t="s">
        <v>195</v>
      </c>
      <c r="B99" s="13">
        <v>434718</v>
      </c>
      <c r="C99" s="13">
        <v>481769</v>
      </c>
      <c r="D99" s="15">
        <v>-20.3</v>
      </c>
      <c r="E99" s="15">
        <v>-20.3</v>
      </c>
      <c r="F99" s="15">
        <v>0</v>
      </c>
    </row>
    <row r="100" spans="1:6" ht="15.75" x14ac:dyDescent="0.25">
      <c r="A100" s="13" t="s">
        <v>196</v>
      </c>
      <c r="B100" s="13">
        <v>507643</v>
      </c>
      <c r="C100" s="13">
        <v>562648</v>
      </c>
      <c r="D100" s="15">
        <v>16.8</v>
      </c>
      <c r="E100" s="15">
        <v>16.8</v>
      </c>
      <c r="F100" s="15">
        <v>0</v>
      </c>
    </row>
    <row r="101" spans="1:6" ht="15.75" x14ac:dyDescent="0.25">
      <c r="A101" s="13" t="s">
        <v>197</v>
      </c>
      <c r="B101" s="13">
        <v>514531</v>
      </c>
      <c r="C101" s="13">
        <v>570338</v>
      </c>
      <c r="D101" s="15">
        <v>1.4</v>
      </c>
      <c r="E101" s="15">
        <v>1.4</v>
      </c>
      <c r="F101" s="15">
        <v>0</v>
      </c>
    </row>
    <row r="102" spans="1:6" ht="15.75" x14ac:dyDescent="0.25">
      <c r="A102" s="13" t="s">
        <v>198</v>
      </c>
      <c r="B102" s="13">
        <v>509261</v>
      </c>
      <c r="C102" s="13">
        <v>564411</v>
      </c>
      <c r="D102" s="15">
        <v>-1</v>
      </c>
      <c r="E102" s="15">
        <v>-1</v>
      </c>
      <c r="F102" s="15">
        <v>0</v>
      </c>
    </row>
    <row r="103" spans="1:6" ht="15.75" x14ac:dyDescent="0.25">
      <c r="A103" s="13" t="s">
        <v>199</v>
      </c>
      <c r="B103" s="13">
        <v>546579</v>
      </c>
      <c r="C103" s="13">
        <v>605353</v>
      </c>
      <c r="D103" s="15">
        <v>7.3</v>
      </c>
      <c r="E103" s="15">
        <v>7.3</v>
      </c>
      <c r="F103" s="15">
        <v>0</v>
      </c>
    </row>
    <row r="104" spans="1:6" ht="15.75" x14ac:dyDescent="0.25">
      <c r="A104" s="13" t="s">
        <v>200</v>
      </c>
      <c r="B104" s="13">
        <v>555956</v>
      </c>
      <c r="C104" s="13">
        <v>615459</v>
      </c>
      <c r="D104" s="15">
        <v>1.7</v>
      </c>
      <c r="E104" s="15">
        <v>1.7</v>
      </c>
      <c r="F104" s="15">
        <v>0</v>
      </c>
    </row>
    <row r="105" spans="1:6" ht="15.75" x14ac:dyDescent="0.25">
      <c r="A105" s="13" t="s">
        <v>201</v>
      </c>
      <c r="B105" s="13">
        <v>564407</v>
      </c>
      <c r="C105" s="13">
        <v>624592</v>
      </c>
      <c r="D105" s="15">
        <v>1.5</v>
      </c>
      <c r="E105" s="15">
        <v>1.5</v>
      </c>
      <c r="F105" s="15">
        <v>0</v>
      </c>
    </row>
    <row r="106" spans="1:6" ht="15.75" x14ac:dyDescent="0.25">
      <c r="A106" s="13" t="s">
        <v>202</v>
      </c>
      <c r="B106" s="13">
        <v>567396</v>
      </c>
      <c r="C106" s="13">
        <v>629149</v>
      </c>
      <c r="D106" s="15">
        <v>0.5</v>
      </c>
      <c r="E106" s="15">
        <v>0.7</v>
      </c>
      <c r="F106" s="15">
        <v>0.2</v>
      </c>
    </row>
    <row r="107" spans="1:6" ht="15.75" x14ac:dyDescent="0.25">
      <c r="A107" s="13" t="s">
        <v>203</v>
      </c>
      <c r="B107" s="13">
        <v>567889</v>
      </c>
      <c r="C107" s="13">
        <v>631258</v>
      </c>
      <c r="D107" s="15">
        <v>0.1</v>
      </c>
      <c r="E107" s="15">
        <v>0.3</v>
      </c>
      <c r="F107" s="15">
        <v>0.2</v>
      </c>
    </row>
    <row r="108" spans="1:6" ht="15.75" x14ac:dyDescent="0.25">
      <c r="A108" s="13" t="s">
        <v>204</v>
      </c>
      <c r="B108" s="13">
        <v>567445</v>
      </c>
      <c r="C108" s="13">
        <v>631977</v>
      </c>
      <c r="D108" s="15">
        <v>-0.1</v>
      </c>
      <c r="E108" s="15">
        <v>0.1</v>
      </c>
      <c r="F108" s="15">
        <v>0.2</v>
      </c>
    </row>
    <row r="109" spans="1:6" ht="15.75" x14ac:dyDescent="0.25">
      <c r="A109" s="13" t="s">
        <v>205</v>
      </c>
      <c r="B109" s="13">
        <v>568034</v>
      </c>
      <c r="C109" s="13">
        <v>634044</v>
      </c>
      <c r="D109" s="15">
        <v>0.1</v>
      </c>
      <c r="E109" s="15">
        <v>0.3</v>
      </c>
      <c r="F109" s="15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093C-0A91-4E0E-83B2-74AEE2E353E7}">
  <dimension ref="A1:HS317"/>
  <sheetViews>
    <sheetView workbookViewId="0">
      <pane xSplit="1" ySplit="5" topLeftCell="Y311" activePane="bottomRight" state="frozen"/>
      <selection pane="topRight" activeCell="B1" sqref="B1"/>
      <selection pane="bottomLeft" activeCell="A6" sqref="A6"/>
      <selection pane="bottomRight" activeCell="AB318" sqref="AB318"/>
    </sheetView>
  </sheetViews>
  <sheetFormatPr defaultColWidth="9.140625" defaultRowHeight="15" x14ac:dyDescent="0.2"/>
  <cols>
    <col min="1" max="1" width="39.28515625" style="23" customWidth="1"/>
    <col min="2" max="168" width="15.7109375" style="23" customWidth="1"/>
    <col min="169" max="16384" width="9.140625" style="23"/>
  </cols>
  <sheetData>
    <row r="1" spans="1:227" ht="19.5" x14ac:dyDescent="0.2">
      <c r="A1" s="22" t="s">
        <v>815</v>
      </c>
    </row>
    <row r="2" spans="1:227" x14ac:dyDescent="0.2">
      <c r="A2" s="24" t="s">
        <v>816</v>
      </c>
    </row>
    <row r="3" spans="1:227" x14ac:dyDescent="0.2">
      <c r="A3" s="24" t="s">
        <v>817</v>
      </c>
    </row>
    <row r="4" spans="1:227" s="26" customFormat="1" x14ac:dyDescent="0.2">
      <c r="A4" s="25" t="s">
        <v>818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</row>
    <row r="5" spans="1:227" s="30" customFormat="1" ht="157.5" customHeight="1" x14ac:dyDescent="0.25">
      <c r="A5" s="27" t="s">
        <v>390</v>
      </c>
      <c r="B5" s="28" t="s">
        <v>819</v>
      </c>
      <c r="C5" s="28" t="s">
        <v>820</v>
      </c>
      <c r="D5" s="28" t="s">
        <v>821</v>
      </c>
      <c r="E5" s="28" t="s">
        <v>822</v>
      </c>
      <c r="F5" s="28" t="s">
        <v>823</v>
      </c>
      <c r="G5" s="28" t="s">
        <v>824</v>
      </c>
      <c r="H5" s="28" t="s">
        <v>825</v>
      </c>
      <c r="I5" s="28" t="s">
        <v>826</v>
      </c>
      <c r="J5" s="28" t="s">
        <v>827</v>
      </c>
      <c r="K5" s="28" t="s">
        <v>828</v>
      </c>
      <c r="L5" s="28" t="s">
        <v>829</v>
      </c>
      <c r="M5" s="28" t="s">
        <v>830</v>
      </c>
      <c r="N5" s="28" t="s">
        <v>831</v>
      </c>
      <c r="O5" s="28" t="s">
        <v>832</v>
      </c>
      <c r="P5" s="28" t="s">
        <v>833</v>
      </c>
      <c r="Q5" s="28" t="s">
        <v>834</v>
      </c>
      <c r="R5" s="28" t="s">
        <v>835</v>
      </c>
      <c r="S5" s="28" t="s">
        <v>836</v>
      </c>
      <c r="T5" s="28" t="s">
        <v>837</v>
      </c>
      <c r="U5" s="28" t="s">
        <v>838</v>
      </c>
      <c r="V5" s="28" t="s">
        <v>839</v>
      </c>
      <c r="W5" s="28" t="s">
        <v>840</v>
      </c>
      <c r="X5" s="28" t="s">
        <v>841</v>
      </c>
      <c r="Y5" s="28" t="s">
        <v>842</v>
      </c>
      <c r="Z5" s="28" t="s">
        <v>843</v>
      </c>
      <c r="AA5" s="28" t="s">
        <v>844</v>
      </c>
      <c r="AB5" s="28" t="s">
        <v>845</v>
      </c>
      <c r="AC5" s="28" t="s">
        <v>846</v>
      </c>
      <c r="AD5" s="28" t="s">
        <v>847</v>
      </c>
      <c r="AE5" s="28" t="s">
        <v>848</v>
      </c>
      <c r="AF5" s="28" t="s">
        <v>849</v>
      </c>
      <c r="AG5" s="28" t="s">
        <v>850</v>
      </c>
      <c r="AH5" s="28" t="s">
        <v>851</v>
      </c>
      <c r="AI5" s="28" t="s">
        <v>852</v>
      </c>
      <c r="AJ5" s="28" t="s">
        <v>853</v>
      </c>
      <c r="AK5" s="28" t="s">
        <v>854</v>
      </c>
      <c r="AL5" s="28" t="s">
        <v>855</v>
      </c>
      <c r="AM5" s="28" t="s">
        <v>856</v>
      </c>
      <c r="AN5" s="28" t="s">
        <v>857</v>
      </c>
      <c r="AO5" s="28" t="s">
        <v>858</v>
      </c>
      <c r="AP5" s="28" t="s">
        <v>859</v>
      </c>
      <c r="AQ5" s="28" t="s">
        <v>860</v>
      </c>
      <c r="AR5" s="28" t="s">
        <v>861</v>
      </c>
      <c r="AS5" s="28" t="s">
        <v>862</v>
      </c>
      <c r="AT5" s="28" t="s">
        <v>863</v>
      </c>
      <c r="AU5" s="28" t="s">
        <v>864</v>
      </c>
      <c r="AV5" s="28" t="s">
        <v>865</v>
      </c>
      <c r="AW5" s="28" t="s">
        <v>866</v>
      </c>
      <c r="AX5" s="28" t="s">
        <v>867</v>
      </c>
      <c r="AY5" s="28" t="s">
        <v>868</v>
      </c>
      <c r="AZ5" s="28" t="s">
        <v>869</v>
      </c>
      <c r="BA5" s="28" t="s">
        <v>870</v>
      </c>
      <c r="BB5" s="28" t="s">
        <v>871</v>
      </c>
      <c r="BC5" s="28" t="s">
        <v>872</v>
      </c>
      <c r="BD5" s="28" t="s">
        <v>873</v>
      </c>
      <c r="BE5" s="28" t="s">
        <v>874</v>
      </c>
      <c r="BF5" s="28" t="s">
        <v>875</v>
      </c>
      <c r="BG5" s="28" t="s">
        <v>876</v>
      </c>
      <c r="BH5" s="28" t="s">
        <v>877</v>
      </c>
      <c r="BI5" s="28" t="s">
        <v>878</v>
      </c>
      <c r="BJ5" s="28" t="s">
        <v>879</v>
      </c>
      <c r="BK5" s="28" t="s">
        <v>880</v>
      </c>
      <c r="BL5" s="28" t="s">
        <v>881</v>
      </c>
      <c r="BM5" s="28" t="s">
        <v>882</v>
      </c>
      <c r="BN5" s="28" t="s">
        <v>883</v>
      </c>
      <c r="BO5" s="28" t="s">
        <v>884</v>
      </c>
      <c r="BP5" s="28" t="s">
        <v>885</v>
      </c>
      <c r="BQ5" s="28" t="s">
        <v>886</v>
      </c>
      <c r="BR5" s="28" t="s">
        <v>887</v>
      </c>
      <c r="BS5" s="28" t="s">
        <v>888</v>
      </c>
      <c r="BT5" s="28" t="s">
        <v>889</v>
      </c>
      <c r="BU5" s="28" t="s">
        <v>890</v>
      </c>
      <c r="BV5" s="28" t="s">
        <v>891</v>
      </c>
      <c r="BW5" s="28" t="s">
        <v>892</v>
      </c>
      <c r="BX5" s="28" t="s">
        <v>893</v>
      </c>
      <c r="BY5" s="28" t="s">
        <v>894</v>
      </c>
      <c r="BZ5" s="28" t="s">
        <v>895</v>
      </c>
      <c r="CA5" s="28" t="s">
        <v>896</v>
      </c>
      <c r="CB5" s="28" t="s">
        <v>897</v>
      </c>
      <c r="CC5" s="28" t="s">
        <v>898</v>
      </c>
      <c r="CD5" s="28" t="s">
        <v>899</v>
      </c>
      <c r="CE5" s="28" t="s">
        <v>900</v>
      </c>
      <c r="CF5" s="28" t="s">
        <v>901</v>
      </c>
      <c r="CG5" s="28" t="s">
        <v>902</v>
      </c>
      <c r="CH5" s="28" t="s">
        <v>903</v>
      </c>
      <c r="CI5" s="28" t="s">
        <v>904</v>
      </c>
      <c r="CJ5" s="28" t="s">
        <v>905</v>
      </c>
      <c r="CK5" s="28" t="s">
        <v>906</v>
      </c>
      <c r="CL5" s="28" t="s">
        <v>907</v>
      </c>
      <c r="CM5" s="28" t="s">
        <v>908</v>
      </c>
      <c r="CN5" s="28" t="s">
        <v>909</v>
      </c>
      <c r="CO5" s="28" t="s">
        <v>910</v>
      </c>
      <c r="CP5" s="28" t="s">
        <v>911</v>
      </c>
      <c r="CQ5" s="28" t="s">
        <v>912</v>
      </c>
      <c r="CR5" s="28" t="s">
        <v>913</v>
      </c>
      <c r="CS5" s="28" t="s">
        <v>914</v>
      </c>
      <c r="CT5" s="28" t="s">
        <v>915</v>
      </c>
      <c r="CU5" s="28" t="s">
        <v>916</v>
      </c>
      <c r="CV5" s="28" t="s">
        <v>917</v>
      </c>
      <c r="CW5" s="28" t="s">
        <v>918</v>
      </c>
      <c r="CX5" s="28" t="s">
        <v>919</v>
      </c>
      <c r="CY5" s="28" t="s">
        <v>920</v>
      </c>
      <c r="CZ5" s="28" t="s">
        <v>921</v>
      </c>
      <c r="DA5" s="28" t="s">
        <v>922</v>
      </c>
      <c r="DB5" s="28" t="s">
        <v>923</v>
      </c>
      <c r="DC5" s="28" t="s">
        <v>924</v>
      </c>
      <c r="DD5" s="28" t="s">
        <v>925</v>
      </c>
      <c r="DE5" s="28" t="s">
        <v>926</v>
      </c>
      <c r="DF5" s="28" t="s">
        <v>927</v>
      </c>
      <c r="DG5" s="28" t="s">
        <v>928</v>
      </c>
      <c r="DH5" s="28" t="s">
        <v>929</v>
      </c>
      <c r="DI5" s="28" t="s">
        <v>930</v>
      </c>
      <c r="DJ5" s="28" t="s">
        <v>931</v>
      </c>
      <c r="DK5" s="28" t="s">
        <v>932</v>
      </c>
      <c r="DL5" s="28" t="s">
        <v>933</v>
      </c>
      <c r="DM5" s="28" t="s">
        <v>934</v>
      </c>
      <c r="DN5" s="28" t="s">
        <v>935</v>
      </c>
      <c r="DO5" s="28" t="s">
        <v>936</v>
      </c>
      <c r="DP5" s="28" t="s">
        <v>937</v>
      </c>
      <c r="DQ5" s="28" t="s">
        <v>938</v>
      </c>
      <c r="DR5" s="28" t="s">
        <v>939</v>
      </c>
      <c r="DS5" s="28" t="s">
        <v>940</v>
      </c>
      <c r="DT5" s="28" t="s">
        <v>941</v>
      </c>
      <c r="DU5" s="28" t="s">
        <v>942</v>
      </c>
      <c r="DV5" s="28" t="s">
        <v>943</v>
      </c>
      <c r="DW5" s="28" t="s">
        <v>944</v>
      </c>
      <c r="DX5" s="28" t="s">
        <v>945</v>
      </c>
      <c r="DY5" s="28" t="s">
        <v>946</v>
      </c>
      <c r="DZ5" s="28" t="s">
        <v>947</v>
      </c>
      <c r="EA5" s="28" t="s">
        <v>948</v>
      </c>
      <c r="EB5" s="28" t="s">
        <v>949</v>
      </c>
      <c r="EC5" s="28" t="s">
        <v>950</v>
      </c>
      <c r="ED5" s="28" t="s">
        <v>951</v>
      </c>
      <c r="EE5" s="28" t="s">
        <v>952</v>
      </c>
      <c r="EF5" s="28" t="s">
        <v>953</v>
      </c>
      <c r="EG5" s="28" t="s">
        <v>954</v>
      </c>
      <c r="EH5" s="28" t="s">
        <v>955</v>
      </c>
      <c r="EI5" s="28" t="s">
        <v>956</v>
      </c>
      <c r="EJ5" s="28" t="s">
        <v>957</v>
      </c>
      <c r="EK5" s="28" t="s">
        <v>958</v>
      </c>
      <c r="EL5" s="28" t="s">
        <v>959</v>
      </c>
      <c r="EM5" s="28" t="s">
        <v>960</v>
      </c>
      <c r="EN5" s="28" t="s">
        <v>961</v>
      </c>
      <c r="EO5" s="28" t="s">
        <v>962</v>
      </c>
      <c r="EP5" s="28" t="s">
        <v>963</v>
      </c>
      <c r="EQ5" s="28" t="s">
        <v>964</v>
      </c>
      <c r="ER5" s="28" t="s">
        <v>965</v>
      </c>
      <c r="ES5" s="28" t="s">
        <v>966</v>
      </c>
      <c r="ET5" s="28" t="s">
        <v>967</v>
      </c>
      <c r="EU5" s="28" t="s">
        <v>968</v>
      </c>
      <c r="EV5" s="28" t="s">
        <v>969</v>
      </c>
      <c r="EW5" s="28" t="s">
        <v>970</v>
      </c>
      <c r="EX5" s="28" t="s">
        <v>971</v>
      </c>
      <c r="EY5" s="28" t="s">
        <v>972</v>
      </c>
      <c r="EZ5" s="28" t="s">
        <v>973</v>
      </c>
      <c r="FA5" s="28" t="s">
        <v>974</v>
      </c>
      <c r="FB5" s="28" t="s">
        <v>975</v>
      </c>
      <c r="FC5" s="28" t="s">
        <v>976</v>
      </c>
      <c r="FD5" s="28" t="s">
        <v>977</v>
      </c>
      <c r="FE5" s="28" t="s">
        <v>978</v>
      </c>
      <c r="FF5" s="28" t="s">
        <v>979</v>
      </c>
      <c r="FG5" s="28" t="s">
        <v>980</v>
      </c>
      <c r="FH5" s="28" t="s">
        <v>981</v>
      </c>
      <c r="FI5" s="28" t="s">
        <v>982</v>
      </c>
      <c r="FJ5" s="28" t="s">
        <v>983</v>
      </c>
      <c r="FK5" s="28" t="s">
        <v>984</v>
      </c>
      <c r="FL5" s="28" t="s">
        <v>985</v>
      </c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</row>
    <row r="6" spans="1:227" x14ac:dyDescent="0.2">
      <c r="A6" s="31" t="s">
        <v>986</v>
      </c>
      <c r="B6" s="32">
        <v>63.3</v>
      </c>
      <c r="C6" s="32">
        <v>51.9</v>
      </c>
      <c r="D6" s="32">
        <v>83.7</v>
      </c>
      <c r="E6" s="32">
        <v>81.8</v>
      </c>
      <c r="F6" s="32">
        <v>405.1</v>
      </c>
      <c r="G6" s="32">
        <v>11373.3</v>
      </c>
      <c r="H6" s="32">
        <v>476</v>
      </c>
      <c r="I6" s="32">
        <v>96.2</v>
      </c>
      <c r="J6" s="32">
        <v>64.2</v>
      </c>
      <c r="K6" s="32">
        <v>86.2</v>
      </c>
      <c r="L6" s="32">
        <v>82.7</v>
      </c>
      <c r="M6" s="32">
        <v>86.4</v>
      </c>
      <c r="N6" s="32">
        <v>68.400000000000006</v>
      </c>
      <c r="O6" s="32">
        <v>163.1</v>
      </c>
      <c r="P6" s="32">
        <v>453.5</v>
      </c>
      <c r="Q6" s="32">
        <v>150.9</v>
      </c>
      <c r="R6" s="32">
        <v>63.2</v>
      </c>
      <c r="S6" s="32">
        <v>93.6</v>
      </c>
      <c r="T6" s="32">
        <v>82.2</v>
      </c>
      <c r="U6" s="32">
        <v>19.8</v>
      </c>
      <c r="V6" s="32">
        <v>159.69999999999999</v>
      </c>
      <c r="W6" s="32">
        <v>43.3</v>
      </c>
      <c r="X6" s="32">
        <v>25.3</v>
      </c>
      <c r="Y6" s="32">
        <v>61.6</v>
      </c>
      <c r="Z6" s="32">
        <v>147.6</v>
      </c>
      <c r="AA6" s="32">
        <v>51.7</v>
      </c>
      <c r="AB6" s="32">
        <v>55.4</v>
      </c>
      <c r="AC6" s="32">
        <v>45.9</v>
      </c>
      <c r="AD6" s="32">
        <v>58.3</v>
      </c>
      <c r="AE6" s="32">
        <v>150</v>
      </c>
      <c r="AF6" s="32">
        <v>150</v>
      </c>
      <c r="AG6" s="32">
        <v>47</v>
      </c>
      <c r="AH6" s="32">
        <v>47</v>
      </c>
      <c r="AI6" s="32">
        <v>203.5</v>
      </c>
      <c r="AJ6" s="32">
        <v>32.799999999999997</v>
      </c>
      <c r="AK6" s="32">
        <v>693.8</v>
      </c>
      <c r="AL6" s="32">
        <v>114.9</v>
      </c>
      <c r="AM6" s="32">
        <v>18.7</v>
      </c>
      <c r="AN6" s="32">
        <v>72.599999999999994</v>
      </c>
      <c r="AO6" s="32">
        <v>82.6</v>
      </c>
      <c r="AP6" s="32">
        <v>82.6</v>
      </c>
      <c r="AQ6" s="32">
        <v>86.6</v>
      </c>
      <c r="AR6" s="32">
        <v>81.400000000000006</v>
      </c>
      <c r="AS6" s="32">
        <v>96</v>
      </c>
      <c r="AT6" s="32">
        <v>117</v>
      </c>
      <c r="AU6" s="32">
        <v>73.599999999999994</v>
      </c>
      <c r="AV6" s="32">
        <v>102.2</v>
      </c>
      <c r="AW6" s="32">
        <v>160.4</v>
      </c>
      <c r="AX6" s="32">
        <v>126.1</v>
      </c>
      <c r="AY6" s="32">
        <v>354.7</v>
      </c>
      <c r="AZ6" s="32">
        <v>92.2</v>
      </c>
      <c r="BA6" s="32">
        <v>13.6</v>
      </c>
      <c r="BB6" s="32">
        <v>13.6</v>
      </c>
      <c r="BC6" s="32">
        <v>78.3</v>
      </c>
      <c r="BD6" s="32">
        <v>78.3</v>
      </c>
      <c r="BE6" s="32">
        <v>76.5</v>
      </c>
      <c r="BF6" s="32">
        <v>76.5</v>
      </c>
      <c r="BG6" s="32">
        <v>62.8</v>
      </c>
      <c r="BH6" s="32">
        <v>59.9</v>
      </c>
      <c r="BI6" s="32">
        <v>61.3</v>
      </c>
      <c r="BJ6" s="32">
        <v>33.6</v>
      </c>
      <c r="BK6" s="32">
        <v>85</v>
      </c>
      <c r="BL6" s="32">
        <v>8.5</v>
      </c>
      <c r="BM6" s="32">
        <v>74.7</v>
      </c>
      <c r="BN6" s="32">
        <v>70.2</v>
      </c>
      <c r="BO6" s="32">
        <v>86.9</v>
      </c>
      <c r="BP6" s="32">
        <v>58</v>
      </c>
      <c r="BQ6" s="32">
        <v>82.2</v>
      </c>
      <c r="BR6" s="32">
        <v>53.1</v>
      </c>
      <c r="BS6" s="32">
        <v>238.4</v>
      </c>
      <c r="BT6" s="32">
        <v>57.4</v>
      </c>
      <c r="BU6" s="32">
        <v>85.1</v>
      </c>
      <c r="BV6" s="32">
        <v>85.1</v>
      </c>
      <c r="BW6" s="32">
        <v>124</v>
      </c>
      <c r="BX6" s="32">
        <v>53.1</v>
      </c>
      <c r="BY6" s="32">
        <v>116.4</v>
      </c>
      <c r="BZ6" s="32">
        <v>116</v>
      </c>
      <c r="CA6" s="32">
        <v>117.2</v>
      </c>
      <c r="CB6" s="32">
        <v>81.900000000000006</v>
      </c>
      <c r="CC6" s="32">
        <v>184.8</v>
      </c>
      <c r="CD6" s="32">
        <v>52.3</v>
      </c>
      <c r="CE6" s="32">
        <v>88.7</v>
      </c>
      <c r="CF6" s="32">
        <v>59</v>
      </c>
      <c r="CG6" s="32">
        <v>75.900000000000006</v>
      </c>
      <c r="CH6" s="32">
        <v>76.599999999999994</v>
      </c>
      <c r="CI6" s="32">
        <v>98.7</v>
      </c>
      <c r="CJ6" s="32">
        <v>63.7</v>
      </c>
      <c r="CK6" s="32">
        <v>82</v>
      </c>
      <c r="CL6" s="32">
        <v>72.2</v>
      </c>
      <c r="CM6" s="32">
        <v>78.900000000000006</v>
      </c>
      <c r="CN6" s="32">
        <v>23</v>
      </c>
      <c r="CO6" s="32">
        <v>96.9</v>
      </c>
      <c r="CP6" s="32">
        <v>86.5</v>
      </c>
      <c r="CQ6" s="32">
        <v>19</v>
      </c>
      <c r="CR6" s="32">
        <v>75.8</v>
      </c>
      <c r="CS6" s="32">
        <v>100.8</v>
      </c>
      <c r="CT6" s="32">
        <v>80.900000000000006</v>
      </c>
      <c r="CU6" s="32">
        <v>59.7</v>
      </c>
      <c r="CV6" s="32">
        <v>90.6</v>
      </c>
      <c r="CW6" s="32">
        <v>8.4</v>
      </c>
      <c r="CX6" s="32">
        <v>49.2</v>
      </c>
      <c r="CY6" s="32">
        <v>47.8</v>
      </c>
      <c r="CZ6" s="32">
        <v>54.7</v>
      </c>
      <c r="DA6" s="32">
        <v>47.3</v>
      </c>
      <c r="DB6" s="32">
        <v>68</v>
      </c>
      <c r="DC6" s="32">
        <v>0.5</v>
      </c>
      <c r="DD6" s="32">
        <v>0.5</v>
      </c>
      <c r="DE6" s="32">
        <v>26.3</v>
      </c>
      <c r="DF6" s="32">
        <v>21.1</v>
      </c>
      <c r="DG6" s="32">
        <v>66.400000000000006</v>
      </c>
      <c r="DH6" s="32">
        <v>68.3</v>
      </c>
      <c r="DI6" s="32">
        <v>77.099999999999994</v>
      </c>
      <c r="DJ6" s="32">
        <v>119.2</v>
      </c>
      <c r="DK6" s="32">
        <v>119.2</v>
      </c>
      <c r="DL6" s="32">
        <v>33.200000000000003</v>
      </c>
      <c r="DM6" s="32">
        <v>65.8</v>
      </c>
      <c r="DN6" s="32">
        <v>49.8</v>
      </c>
      <c r="DO6" s="32">
        <v>73.400000000000006</v>
      </c>
      <c r="DP6" s="32">
        <v>50.1</v>
      </c>
      <c r="DQ6" s="32">
        <v>52.4</v>
      </c>
      <c r="DR6" s="32">
        <v>52.3</v>
      </c>
      <c r="DS6" s="32">
        <v>47.8</v>
      </c>
      <c r="DT6" s="32">
        <v>45.2</v>
      </c>
      <c r="DU6" s="32">
        <v>48.6</v>
      </c>
      <c r="DV6" s="32">
        <v>51.8</v>
      </c>
      <c r="DW6" s="32">
        <v>44.7</v>
      </c>
      <c r="DX6" s="32">
        <v>37.9</v>
      </c>
      <c r="DY6" s="32">
        <v>55.9</v>
      </c>
      <c r="DZ6" s="32">
        <v>125</v>
      </c>
      <c r="EA6" s="32">
        <v>125</v>
      </c>
      <c r="EB6" s="32">
        <v>46.4</v>
      </c>
      <c r="EC6" s="32">
        <v>49</v>
      </c>
      <c r="ED6" s="32">
        <v>43.3</v>
      </c>
      <c r="EE6" s="32">
        <v>46</v>
      </c>
      <c r="EF6" s="32">
        <v>36.4</v>
      </c>
      <c r="EG6" s="32">
        <v>52.1</v>
      </c>
      <c r="EH6" s="32">
        <v>57.5</v>
      </c>
      <c r="EI6" s="32">
        <v>39.5</v>
      </c>
      <c r="EJ6" s="32">
        <v>167.5</v>
      </c>
      <c r="EK6" s="32">
        <v>47.3</v>
      </c>
      <c r="EL6" s="32">
        <v>59.8</v>
      </c>
      <c r="EM6" s="32">
        <v>45.8</v>
      </c>
      <c r="EN6" s="32">
        <v>46.1</v>
      </c>
      <c r="EO6" s="32">
        <v>80</v>
      </c>
      <c r="EP6" s="32">
        <v>87.1</v>
      </c>
      <c r="EQ6" s="32">
        <v>87.1</v>
      </c>
      <c r="ER6" s="32">
        <v>92.8</v>
      </c>
      <c r="ES6" s="32">
        <v>92.8</v>
      </c>
      <c r="ET6" s="32">
        <v>65.8</v>
      </c>
      <c r="EU6" s="32">
        <v>62.7</v>
      </c>
      <c r="EV6" s="32">
        <v>62.7</v>
      </c>
      <c r="EW6" s="32">
        <v>74.2</v>
      </c>
      <c r="EX6" s="32">
        <v>86.5</v>
      </c>
      <c r="EY6" s="32">
        <v>64.599999999999994</v>
      </c>
      <c r="EZ6" s="32">
        <v>89.3</v>
      </c>
      <c r="FA6" s="32">
        <v>85.6</v>
      </c>
      <c r="FB6" s="32">
        <v>101.4</v>
      </c>
      <c r="FC6" s="32">
        <v>72</v>
      </c>
      <c r="FD6" s="32">
        <v>73</v>
      </c>
      <c r="FE6" s="32">
        <v>179.2</v>
      </c>
      <c r="FF6" s="32">
        <v>66.3</v>
      </c>
      <c r="FG6" s="32">
        <v>93.2</v>
      </c>
      <c r="FH6" s="32">
        <v>91.6</v>
      </c>
      <c r="FI6" s="32">
        <v>96.4</v>
      </c>
      <c r="FJ6" s="32">
        <v>93.3</v>
      </c>
      <c r="FK6" s="32">
        <v>84.1</v>
      </c>
      <c r="FL6" s="32">
        <v>84.1</v>
      </c>
    </row>
    <row r="7" spans="1:227" x14ac:dyDescent="0.2">
      <c r="A7" s="31" t="s">
        <v>987</v>
      </c>
      <c r="B7" s="32">
        <v>64</v>
      </c>
      <c r="C7" s="32">
        <v>52.6</v>
      </c>
      <c r="D7" s="32">
        <v>84.1</v>
      </c>
      <c r="E7" s="32">
        <v>82.1</v>
      </c>
      <c r="F7" s="32">
        <v>388.8</v>
      </c>
      <c r="G7" s="32">
        <v>11313.2</v>
      </c>
      <c r="H7" s="32">
        <v>454.9</v>
      </c>
      <c r="I7" s="32">
        <v>93.5</v>
      </c>
      <c r="J7" s="32">
        <v>64.900000000000006</v>
      </c>
      <c r="K7" s="32">
        <v>89.1</v>
      </c>
      <c r="L7" s="32">
        <v>85.3</v>
      </c>
      <c r="M7" s="32">
        <v>87.2</v>
      </c>
      <c r="N7" s="32">
        <v>64.5</v>
      </c>
      <c r="O7" s="32">
        <v>183.1</v>
      </c>
      <c r="P7" s="32">
        <v>464.1</v>
      </c>
      <c r="Q7" s="32">
        <v>160.30000000000001</v>
      </c>
      <c r="R7" s="32">
        <v>67.8</v>
      </c>
      <c r="S7" s="32">
        <v>98.3</v>
      </c>
      <c r="T7" s="32">
        <v>83.3</v>
      </c>
      <c r="U7" s="32">
        <v>19.899999999999999</v>
      </c>
      <c r="V7" s="32">
        <v>168</v>
      </c>
      <c r="W7" s="32">
        <v>44.4</v>
      </c>
      <c r="X7" s="32">
        <v>25.7</v>
      </c>
      <c r="Y7" s="32">
        <v>63.6</v>
      </c>
      <c r="Z7" s="32">
        <v>153.69999999999999</v>
      </c>
      <c r="AA7" s="32">
        <v>51.8</v>
      </c>
      <c r="AB7" s="32">
        <v>55.8</v>
      </c>
      <c r="AC7" s="32">
        <v>46</v>
      </c>
      <c r="AD7" s="32">
        <v>58.2</v>
      </c>
      <c r="AE7" s="32">
        <v>152.30000000000001</v>
      </c>
      <c r="AF7" s="32">
        <v>152.30000000000001</v>
      </c>
      <c r="AG7" s="32">
        <v>46.8</v>
      </c>
      <c r="AH7" s="32">
        <v>46.8</v>
      </c>
      <c r="AI7" s="32">
        <v>200.6</v>
      </c>
      <c r="AJ7" s="32">
        <v>32.200000000000003</v>
      </c>
      <c r="AK7" s="32">
        <v>626.20000000000005</v>
      </c>
      <c r="AL7" s="32">
        <v>115.1</v>
      </c>
      <c r="AM7" s="32">
        <v>19.7</v>
      </c>
      <c r="AN7" s="32">
        <v>75.099999999999994</v>
      </c>
      <c r="AO7" s="32">
        <v>83.7</v>
      </c>
      <c r="AP7" s="32">
        <v>83.7</v>
      </c>
      <c r="AQ7" s="32">
        <v>86.9</v>
      </c>
      <c r="AR7" s="32">
        <v>81.3</v>
      </c>
      <c r="AS7" s="32">
        <v>97.1</v>
      </c>
      <c r="AT7" s="32">
        <v>118.6</v>
      </c>
      <c r="AU7" s="32">
        <v>74</v>
      </c>
      <c r="AV7" s="32">
        <v>102.9</v>
      </c>
      <c r="AW7" s="32">
        <v>161</v>
      </c>
      <c r="AX7" s="32">
        <v>124.6</v>
      </c>
      <c r="AY7" s="32">
        <v>360.9</v>
      </c>
      <c r="AZ7" s="32">
        <v>92.8</v>
      </c>
      <c r="BA7" s="32">
        <v>14</v>
      </c>
      <c r="BB7" s="32">
        <v>14</v>
      </c>
      <c r="BC7" s="32">
        <v>78.900000000000006</v>
      </c>
      <c r="BD7" s="32">
        <v>78.900000000000006</v>
      </c>
      <c r="BE7" s="32">
        <v>77.5</v>
      </c>
      <c r="BF7" s="32">
        <v>77.5</v>
      </c>
      <c r="BG7" s="32">
        <v>62.6</v>
      </c>
      <c r="BH7" s="32">
        <v>59.2</v>
      </c>
      <c r="BI7" s="32">
        <v>61.8</v>
      </c>
      <c r="BJ7" s="32">
        <v>34.6</v>
      </c>
      <c r="BK7" s="32">
        <v>85</v>
      </c>
      <c r="BL7" s="32">
        <v>9</v>
      </c>
      <c r="BM7" s="32">
        <v>74.599999999999994</v>
      </c>
      <c r="BN7" s="32">
        <v>71</v>
      </c>
      <c r="BO7" s="32">
        <v>85.9</v>
      </c>
      <c r="BP7" s="32">
        <v>60</v>
      </c>
      <c r="BQ7" s="32">
        <v>81</v>
      </c>
      <c r="BR7" s="32">
        <v>54.1</v>
      </c>
      <c r="BS7" s="32">
        <v>228.3</v>
      </c>
      <c r="BT7" s="32">
        <v>57</v>
      </c>
      <c r="BU7" s="32">
        <v>82.8</v>
      </c>
      <c r="BV7" s="32">
        <v>82.8</v>
      </c>
      <c r="BW7" s="32">
        <v>120</v>
      </c>
      <c r="BX7" s="32">
        <v>52.3</v>
      </c>
      <c r="BY7" s="32">
        <v>117</v>
      </c>
      <c r="BZ7" s="32">
        <v>116.1</v>
      </c>
      <c r="CA7" s="32">
        <v>118.1</v>
      </c>
      <c r="CB7" s="32">
        <v>82.3</v>
      </c>
      <c r="CC7" s="32">
        <v>186.9</v>
      </c>
      <c r="CD7" s="32">
        <v>52.9</v>
      </c>
      <c r="CE7" s="32">
        <v>89.4</v>
      </c>
      <c r="CF7" s="32">
        <v>59.7</v>
      </c>
      <c r="CG7" s="32">
        <v>76.599999999999994</v>
      </c>
      <c r="CH7" s="32">
        <v>77.7</v>
      </c>
      <c r="CI7" s="32">
        <v>100.1</v>
      </c>
      <c r="CJ7" s="32">
        <v>65.2</v>
      </c>
      <c r="CK7" s="32">
        <v>82.5</v>
      </c>
      <c r="CL7" s="32">
        <v>72.7</v>
      </c>
      <c r="CM7" s="32">
        <v>79.099999999999994</v>
      </c>
      <c r="CN7" s="32">
        <v>24.1</v>
      </c>
      <c r="CO7" s="32">
        <v>96.6</v>
      </c>
      <c r="CP7" s="32">
        <v>86.2</v>
      </c>
      <c r="CQ7" s="32">
        <v>19.100000000000001</v>
      </c>
      <c r="CR7" s="32">
        <v>77.900000000000006</v>
      </c>
      <c r="CS7" s="32">
        <v>100.2</v>
      </c>
      <c r="CT7" s="32">
        <v>80.599999999999994</v>
      </c>
      <c r="CU7" s="32">
        <v>57.8</v>
      </c>
      <c r="CV7" s="32">
        <v>90.9</v>
      </c>
      <c r="CW7" s="32">
        <v>8.6999999999999993</v>
      </c>
      <c r="CX7" s="32">
        <v>50.8</v>
      </c>
      <c r="CY7" s="32">
        <v>49.3</v>
      </c>
      <c r="CZ7" s="32">
        <v>56.7</v>
      </c>
      <c r="DA7" s="32">
        <v>49.9</v>
      </c>
      <c r="DB7" s="32">
        <v>68.400000000000006</v>
      </c>
      <c r="DC7" s="32">
        <v>0.6</v>
      </c>
      <c r="DD7" s="32">
        <v>0.6</v>
      </c>
      <c r="DE7" s="32">
        <v>28</v>
      </c>
      <c r="DF7" s="32">
        <v>22.3</v>
      </c>
      <c r="DG7" s="32">
        <v>71.8</v>
      </c>
      <c r="DH7" s="32">
        <v>68.8</v>
      </c>
      <c r="DI7" s="32">
        <v>79.2</v>
      </c>
      <c r="DJ7" s="32">
        <v>117.8</v>
      </c>
      <c r="DK7" s="32">
        <v>117.8</v>
      </c>
      <c r="DL7" s="32">
        <v>31.8</v>
      </c>
      <c r="DM7" s="32">
        <v>67.400000000000006</v>
      </c>
      <c r="DN7" s="32">
        <v>50.6</v>
      </c>
      <c r="DO7" s="32">
        <v>75.3</v>
      </c>
      <c r="DP7" s="32">
        <v>50.1</v>
      </c>
      <c r="DQ7" s="32">
        <v>52.3</v>
      </c>
      <c r="DR7" s="32">
        <v>51.9</v>
      </c>
      <c r="DS7" s="32">
        <v>46.2</v>
      </c>
      <c r="DT7" s="32">
        <v>43.3</v>
      </c>
      <c r="DU7" s="32">
        <v>46.4</v>
      </c>
      <c r="DV7" s="32">
        <v>50.4</v>
      </c>
      <c r="DW7" s="32">
        <v>41.8</v>
      </c>
      <c r="DX7" s="32">
        <v>36.4</v>
      </c>
      <c r="DY7" s="32">
        <v>55.5</v>
      </c>
      <c r="DZ7" s="32">
        <v>130.69999999999999</v>
      </c>
      <c r="EA7" s="32">
        <v>130.69999999999999</v>
      </c>
      <c r="EB7" s="32">
        <v>48.5</v>
      </c>
      <c r="EC7" s="32">
        <v>53.2</v>
      </c>
      <c r="ED7" s="32">
        <v>42.8</v>
      </c>
      <c r="EE7" s="32">
        <v>45.2</v>
      </c>
      <c r="EF7" s="32">
        <v>36.700000000000003</v>
      </c>
      <c r="EG7" s="32">
        <v>52.4</v>
      </c>
      <c r="EH7" s="32">
        <v>58.3</v>
      </c>
      <c r="EI7" s="32">
        <v>41.3</v>
      </c>
      <c r="EJ7" s="32">
        <v>163.6</v>
      </c>
      <c r="EK7" s="32">
        <v>46.3</v>
      </c>
      <c r="EL7" s="32">
        <v>61</v>
      </c>
      <c r="EM7" s="32">
        <v>44.4</v>
      </c>
      <c r="EN7" s="32">
        <v>44.9</v>
      </c>
      <c r="EO7" s="32">
        <v>80.5</v>
      </c>
      <c r="EP7" s="32">
        <v>87.2</v>
      </c>
      <c r="EQ7" s="32">
        <v>87.2</v>
      </c>
      <c r="ER7" s="32">
        <v>93.8</v>
      </c>
      <c r="ES7" s="32">
        <v>93.8</v>
      </c>
      <c r="ET7" s="32">
        <v>66.400000000000006</v>
      </c>
      <c r="EU7" s="32">
        <v>63.4</v>
      </c>
      <c r="EV7" s="32">
        <v>63.4</v>
      </c>
      <c r="EW7" s="32">
        <v>74.5</v>
      </c>
      <c r="EX7" s="32">
        <v>87.1</v>
      </c>
      <c r="EY7" s="32">
        <v>64.7</v>
      </c>
      <c r="EZ7" s="32">
        <v>89.8</v>
      </c>
      <c r="FA7" s="32">
        <v>85.5</v>
      </c>
      <c r="FB7" s="32">
        <v>100.6</v>
      </c>
      <c r="FC7" s="32">
        <v>69.8</v>
      </c>
      <c r="FD7" s="32">
        <v>74.599999999999994</v>
      </c>
      <c r="FE7" s="32">
        <v>180.5</v>
      </c>
      <c r="FF7" s="32">
        <v>66.900000000000006</v>
      </c>
      <c r="FG7" s="32">
        <v>95.5</v>
      </c>
      <c r="FH7" s="32">
        <v>94</v>
      </c>
      <c r="FI7" s="32">
        <v>99.5</v>
      </c>
      <c r="FJ7" s="32">
        <v>95.4</v>
      </c>
      <c r="FK7" s="32">
        <v>75.900000000000006</v>
      </c>
      <c r="FL7" s="32">
        <v>75.900000000000006</v>
      </c>
    </row>
    <row r="8" spans="1:227" x14ac:dyDescent="0.2">
      <c r="A8" s="31" t="s">
        <v>988</v>
      </c>
      <c r="B8" s="32">
        <v>64</v>
      </c>
      <c r="C8" s="32">
        <v>53.3</v>
      </c>
      <c r="D8" s="32">
        <v>83.2</v>
      </c>
      <c r="E8" s="32">
        <v>80.900000000000006</v>
      </c>
      <c r="F8" s="32">
        <v>377.6</v>
      </c>
      <c r="G8" s="32">
        <v>10466</v>
      </c>
      <c r="H8" s="32">
        <v>439.3</v>
      </c>
      <c r="I8" s="32">
        <v>94.2</v>
      </c>
      <c r="J8" s="32">
        <v>64.2</v>
      </c>
      <c r="K8" s="32">
        <v>86.2</v>
      </c>
      <c r="L8" s="32">
        <v>83.4</v>
      </c>
      <c r="M8" s="32">
        <v>88.8</v>
      </c>
      <c r="N8" s="32">
        <v>65.2</v>
      </c>
      <c r="O8" s="32">
        <v>175.5</v>
      </c>
      <c r="P8" s="32">
        <v>472.3</v>
      </c>
      <c r="Q8" s="32">
        <v>164.4</v>
      </c>
      <c r="R8" s="32">
        <v>68.3</v>
      </c>
      <c r="S8" s="32">
        <v>89.5</v>
      </c>
      <c r="T8" s="32">
        <v>91.6</v>
      </c>
      <c r="U8" s="32">
        <v>20.8</v>
      </c>
      <c r="V8" s="32">
        <v>150.5</v>
      </c>
      <c r="W8" s="32">
        <v>43.8</v>
      </c>
      <c r="X8" s="32">
        <v>25.5</v>
      </c>
      <c r="Y8" s="32">
        <v>62.7</v>
      </c>
      <c r="Z8" s="32">
        <v>147.30000000000001</v>
      </c>
      <c r="AA8" s="32">
        <v>51.6</v>
      </c>
      <c r="AB8" s="32">
        <v>57.5</v>
      </c>
      <c r="AC8" s="32">
        <v>46.4</v>
      </c>
      <c r="AD8" s="32">
        <v>56.6</v>
      </c>
      <c r="AE8" s="32">
        <v>149</v>
      </c>
      <c r="AF8" s="32">
        <v>149</v>
      </c>
      <c r="AG8" s="32">
        <v>45.6</v>
      </c>
      <c r="AH8" s="32">
        <v>45.6</v>
      </c>
      <c r="AI8" s="32">
        <v>194.2</v>
      </c>
      <c r="AJ8" s="32">
        <v>31.5</v>
      </c>
      <c r="AK8" s="32">
        <v>613.1</v>
      </c>
      <c r="AL8" s="32">
        <v>110.7</v>
      </c>
      <c r="AM8" s="32">
        <v>19</v>
      </c>
      <c r="AN8" s="32">
        <v>73.2</v>
      </c>
      <c r="AO8" s="32">
        <v>78.599999999999994</v>
      </c>
      <c r="AP8" s="32">
        <v>78.599999999999994</v>
      </c>
      <c r="AQ8" s="32">
        <v>86.3</v>
      </c>
      <c r="AR8" s="32">
        <v>80.599999999999994</v>
      </c>
      <c r="AS8" s="32">
        <v>96.6</v>
      </c>
      <c r="AT8" s="32">
        <v>114.6</v>
      </c>
      <c r="AU8" s="32">
        <v>77.7</v>
      </c>
      <c r="AV8" s="32">
        <v>100.4</v>
      </c>
      <c r="AW8" s="32">
        <v>156.1</v>
      </c>
      <c r="AX8" s="32">
        <v>116.1</v>
      </c>
      <c r="AY8" s="32">
        <v>361.3</v>
      </c>
      <c r="AZ8" s="32">
        <v>90.8</v>
      </c>
      <c r="BA8" s="32">
        <v>14.4</v>
      </c>
      <c r="BB8" s="32">
        <v>14.4</v>
      </c>
      <c r="BC8" s="32">
        <v>79.8</v>
      </c>
      <c r="BD8" s="32">
        <v>79.8</v>
      </c>
      <c r="BE8" s="32">
        <v>76.3</v>
      </c>
      <c r="BF8" s="32">
        <v>76.3</v>
      </c>
      <c r="BG8" s="32">
        <v>63.1</v>
      </c>
      <c r="BH8" s="32">
        <v>59.9</v>
      </c>
      <c r="BI8" s="32">
        <v>62.1</v>
      </c>
      <c r="BJ8" s="32">
        <v>34.9</v>
      </c>
      <c r="BK8" s="32">
        <v>85.8</v>
      </c>
      <c r="BL8" s="32">
        <v>8.3000000000000007</v>
      </c>
      <c r="BM8" s="32">
        <v>75</v>
      </c>
      <c r="BN8" s="32">
        <v>70.599999999999994</v>
      </c>
      <c r="BO8" s="32">
        <v>81.8</v>
      </c>
      <c r="BP8" s="32">
        <v>62.4</v>
      </c>
      <c r="BQ8" s="32">
        <v>82.4</v>
      </c>
      <c r="BR8" s="32">
        <v>47.9</v>
      </c>
      <c r="BS8" s="32">
        <v>249.3</v>
      </c>
      <c r="BT8" s="32">
        <v>57.3</v>
      </c>
      <c r="BU8" s="32">
        <v>78.5</v>
      </c>
      <c r="BV8" s="32">
        <v>78.5</v>
      </c>
      <c r="BW8" s="32">
        <v>116.4</v>
      </c>
      <c r="BX8" s="32">
        <v>45.9</v>
      </c>
      <c r="BY8" s="32">
        <v>117.8</v>
      </c>
      <c r="BZ8" s="32">
        <v>116.3</v>
      </c>
      <c r="CA8" s="32">
        <v>119.3</v>
      </c>
      <c r="CB8" s="32">
        <v>81.5</v>
      </c>
      <c r="CC8" s="32">
        <v>192.7</v>
      </c>
      <c r="CD8" s="32">
        <v>53.2</v>
      </c>
      <c r="CE8" s="32">
        <v>90.3</v>
      </c>
      <c r="CF8" s="32">
        <v>60</v>
      </c>
      <c r="CG8" s="32">
        <v>77.599999999999994</v>
      </c>
      <c r="CH8" s="32">
        <v>79.7</v>
      </c>
      <c r="CI8" s="32">
        <v>99.2</v>
      </c>
      <c r="CJ8" s="32">
        <v>69.400000000000006</v>
      </c>
      <c r="CK8" s="32">
        <v>83.2</v>
      </c>
      <c r="CL8" s="32">
        <v>72.099999999999994</v>
      </c>
      <c r="CM8" s="32">
        <v>78</v>
      </c>
      <c r="CN8" s="32">
        <v>25.3</v>
      </c>
      <c r="CO8" s="32">
        <v>94.5</v>
      </c>
      <c r="CP8" s="32">
        <v>85.4</v>
      </c>
      <c r="CQ8" s="32">
        <v>17.7</v>
      </c>
      <c r="CR8" s="32">
        <v>79.2</v>
      </c>
      <c r="CS8" s="32">
        <v>101.4</v>
      </c>
      <c r="CT8" s="32">
        <v>80.3</v>
      </c>
      <c r="CU8" s="32">
        <v>55.6</v>
      </c>
      <c r="CV8" s="32">
        <v>91.4</v>
      </c>
      <c r="CW8" s="32">
        <v>8.8000000000000007</v>
      </c>
      <c r="CX8" s="32">
        <v>52.3</v>
      </c>
      <c r="CY8" s="32">
        <v>49.9</v>
      </c>
      <c r="CZ8" s="32">
        <v>59.6</v>
      </c>
      <c r="DA8" s="32">
        <v>52.8</v>
      </c>
      <c r="DB8" s="32">
        <v>71</v>
      </c>
      <c r="DC8" s="32">
        <v>0.6</v>
      </c>
      <c r="DD8" s="32">
        <v>0.6</v>
      </c>
      <c r="DE8" s="32">
        <v>26.9</v>
      </c>
      <c r="DF8" s="32">
        <v>21.3</v>
      </c>
      <c r="DG8" s="32">
        <v>70.7</v>
      </c>
      <c r="DH8" s="32">
        <v>68.3</v>
      </c>
      <c r="DI8" s="32">
        <v>79.099999999999994</v>
      </c>
      <c r="DJ8" s="32">
        <v>117.1</v>
      </c>
      <c r="DK8" s="32">
        <v>117.1</v>
      </c>
      <c r="DL8" s="32">
        <v>30.5</v>
      </c>
      <c r="DM8" s="32">
        <v>67.400000000000006</v>
      </c>
      <c r="DN8" s="32">
        <v>50.5</v>
      </c>
      <c r="DO8" s="32">
        <v>75.3</v>
      </c>
      <c r="DP8" s="32">
        <v>50</v>
      </c>
      <c r="DQ8" s="32">
        <v>52.8</v>
      </c>
      <c r="DR8" s="32">
        <v>52.7</v>
      </c>
      <c r="DS8" s="32">
        <v>47.8</v>
      </c>
      <c r="DT8" s="32">
        <v>44.5</v>
      </c>
      <c r="DU8" s="32">
        <v>48.6</v>
      </c>
      <c r="DV8" s="32">
        <v>50.7</v>
      </c>
      <c r="DW8" s="32">
        <v>45.8</v>
      </c>
      <c r="DX8" s="32">
        <v>35.799999999999997</v>
      </c>
      <c r="DY8" s="32">
        <v>58.5</v>
      </c>
      <c r="DZ8" s="32">
        <v>135.80000000000001</v>
      </c>
      <c r="EA8" s="32">
        <v>135.80000000000001</v>
      </c>
      <c r="EB8" s="32">
        <v>45.7</v>
      </c>
      <c r="EC8" s="32">
        <v>48.3</v>
      </c>
      <c r="ED8" s="32">
        <v>42.7</v>
      </c>
      <c r="EE8" s="32">
        <v>44.8</v>
      </c>
      <c r="EF8" s="32">
        <v>37.1</v>
      </c>
      <c r="EG8" s="32">
        <v>52.4</v>
      </c>
      <c r="EH8" s="32">
        <v>58.8</v>
      </c>
      <c r="EI8" s="32">
        <v>42.5</v>
      </c>
      <c r="EJ8" s="32">
        <v>156.19999999999999</v>
      </c>
      <c r="EK8" s="32">
        <v>45.5</v>
      </c>
      <c r="EL8" s="32">
        <v>62</v>
      </c>
      <c r="EM8" s="32">
        <v>42.9</v>
      </c>
      <c r="EN8" s="32">
        <v>44.3</v>
      </c>
      <c r="EO8" s="32">
        <v>80.3</v>
      </c>
      <c r="EP8" s="32">
        <v>87.2</v>
      </c>
      <c r="EQ8" s="32">
        <v>87.2</v>
      </c>
      <c r="ER8" s="32">
        <v>93</v>
      </c>
      <c r="ES8" s="32">
        <v>93</v>
      </c>
      <c r="ET8" s="32">
        <v>66.5</v>
      </c>
      <c r="EU8" s="32">
        <v>63.5</v>
      </c>
      <c r="EV8" s="32">
        <v>63.5</v>
      </c>
      <c r="EW8" s="32">
        <v>74.599999999999994</v>
      </c>
      <c r="EX8" s="32">
        <v>87.3</v>
      </c>
      <c r="EY8" s="32">
        <v>64.7</v>
      </c>
      <c r="EZ8" s="32">
        <v>90.8</v>
      </c>
      <c r="FA8" s="32">
        <v>86.9</v>
      </c>
      <c r="FB8" s="32">
        <v>103.8</v>
      </c>
      <c r="FC8" s="32">
        <v>75.7</v>
      </c>
      <c r="FD8" s="32">
        <v>74.099999999999994</v>
      </c>
      <c r="FE8" s="32">
        <v>179.7</v>
      </c>
      <c r="FF8" s="32">
        <v>66.099999999999994</v>
      </c>
      <c r="FG8" s="32">
        <v>96.5</v>
      </c>
      <c r="FH8" s="32">
        <v>96.7</v>
      </c>
      <c r="FI8" s="32">
        <v>95.3</v>
      </c>
      <c r="FJ8" s="32">
        <v>96.4</v>
      </c>
      <c r="FK8" s="32">
        <v>74.099999999999994</v>
      </c>
      <c r="FL8" s="32">
        <v>74.099999999999994</v>
      </c>
    </row>
    <row r="9" spans="1:227" x14ac:dyDescent="0.2">
      <c r="A9" s="31" t="s">
        <v>989</v>
      </c>
      <c r="B9" s="32">
        <v>64.599999999999994</v>
      </c>
      <c r="C9" s="32">
        <v>54.6</v>
      </c>
      <c r="D9" s="32">
        <v>85.3</v>
      </c>
      <c r="E9" s="32">
        <v>82.9</v>
      </c>
      <c r="F9" s="32">
        <v>377.1</v>
      </c>
      <c r="G9" s="32">
        <v>10856.1</v>
      </c>
      <c r="H9" s="32">
        <v>439</v>
      </c>
      <c r="I9" s="32">
        <v>93.4</v>
      </c>
      <c r="J9" s="32">
        <v>65.8</v>
      </c>
      <c r="K9" s="32">
        <v>86.3</v>
      </c>
      <c r="L9" s="32">
        <v>82.8</v>
      </c>
      <c r="M9" s="32">
        <v>87.4</v>
      </c>
      <c r="N9" s="32">
        <v>62.8</v>
      </c>
      <c r="O9" s="32">
        <v>197.7</v>
      </c>
      <c r="P9" s="32">
        <v>476.2</v>
      </c>
      <c r="Q9" s="32">
        <v>170.7</v>
      </c>
      <c r="R9" s="32">
        <v>67.5</v>
      </c>
      <c r="S9" s="32">
        <v>90</v>
      </c>
      <c r="T9" s="32">
        <v>84.6</v>
      </c>
      <c r="U9" s="32">
        <v>22.3</v>
      </c>
      <c r="V9" s="32">
        <v>155.6</v>
      </c>
      <c r="W9" s="32">
        <v>44.3</v>
      </c>
      <c r="X9" s="32">
        <v>25.8</v>
      </c>
      <c r="Y9" s="32">
        <v>63.4</v>
      </c>
      <c r="Z9" s="32">
        <v>150.19999999999999</v>
      </c>
      <c r="AA9" s="32">
        <v>53.3</v>
      </c>
      <c r="AB9" s="32">
        <v>57.1</v>
      </c>
      <c r="AC9" s="32">
        <v>47.6</v>
      </c>
      <c r="AD9" s="32">
        <v>59.9</v>
      </c>
      <c r="AE9" s="32">
        <v>163.69999999999999</v>
      </c>
      <c r="AF9" s="32">
        <v>163.69999999999999</v>
      </c>
      <c r="AG9" s="32">
        <v>49.2</v>
      </c>
      <c r="AH9" s="32">
        <v>49.2</v>
      </c>
      <c r="AI9" s="32">
        <v>208.6</v>
      </c>
      <c r="AJ9" s="32">
        <v>36.5</v>
      </c>
      <c r="AK9" s="32">
        <v>704.7</v>
      </c>
      <c r="AL9" s="32">
        <v>121.2</v>
      </c>
      <c r="AM9" s="32">
        <v>17.5</v>
      </c>
      <c r="AN9" s="32">
        <v>73.5</v>
      </c>
      <c r="AO9" s="32">
        <v>79.5</v>
      </c>
      <c r="AP9" s="32">
        <v>79.5</v>
      </c>
      <c r="AQ9" s="32">
        <v>88.3</v>
      </c>
      <c r="AR9" s="32">
        <v>82.3</v>
      </c>
      <c r="AS9" s="32">
        <v>99.1</v>
      </c>
      <c r="AT9" s="32">
        <v>114.8</v>
      </c>
      <c r="AU9" s="32">
        <v>82.9</v>
      </c>
      <c r="AV9" s="32">
        <v>102.9</v>
      </c>
      <c r="AW9" s="32">
        <v>170</v>
      </c>
      <c r="AX9" s="32">
        <v>130.9</v>
      </c>
      <c r="AY9" s="32">
        <v>382.5</v>
      </c>
      <c r="AZ9" s="32">
        <v>90.6</v>
      </c>
      <c r="BA9" s="32">
        <v>14.6</v>
      </c>
      <c r="BB9" s="32">
        <v>14.6</v>
      </c>
      <c r="BC9" s="32">
        <v>81.2</v>
      </c>
      <c r="BD9" s="32">
        <v>81.2</v>
      </c>
      <c r="BE9" s="32">
        <v>78.3</v>
      </c>
      <c r="BF9" s="32">
        <v>78.3</v>
      </c>
      <c r="BG9" s="32">
        <v>65</v>
      </c>
      <c r="BH9" s="32">
        <v>61.6</v>
      </c>
      <c r="BI9" s="32">
        <v>64</v>
      </c>
      <c r="BJ9" s="32">
        <v>35.6</v>
      </c>
      <c r="BK9" s="32">
        <v>87.9</v>
      </c>
      <c r="BL9" s="32">
        <v>9.8000000000000007</v>
      </c>
      <c r="BM9" s="32">
        <v>77.2</v>
      </c>
      <c r="BN9" s="32">
        <v>72.400000000000006</v>
      </c>
      <c r="BO9" s="32">
        <v>86.8</v>
      </c>
      <c r="BP9" s="32">
        <v>61.8</v>
      </c>
      <c r="BQ9" s="32">
        <v>85.2</v>
      </c>
      <c r="BR9" s="32">
        <v>63.6</v>
      </c>
      <c r="BS9" s="32">
        <v>237.1</v>
      </c>
      <c r="BT9" s="32">
        <v>59.5</v>
      </c>
      <c r="BU9" s="32">
        <v>83.7</v>
      </c>
      <c r="BV9" s="32">
        <v>83.7</v>
      </c>
      <c r="BW9" s="32">
        <v>121.3</v>
      </c>
      <c r="BX9" s="32">
        <v>52.8</v>
      </c>
      <c r="BY9" s="32">
        <v>120.2</v>
      </c>
      <c r="BZ9" s="32">
        <v>122.9</v>
      </c>
      <c r="CA9" s="32">
        <v>119.2</v>
      </c>
      <c r="CB9" s="32">
        <v>80.900000000000006</v>
      </c>
      <c r="CC9" s="32">
        <v>194.2</v>
      </c>
      <c r="CD9" s="32">
        <v>50.5</v>
      </c>
      <c r="CE9" s="32">
        <v>92.7</v>
      </c>
      <c r="CF9" s="32">
        <v>60.2</v>
      </c>
      <c r="CG9" s="32">
        <v>79.7</v>
      </c>
      <c r="CH9" s="32">
        <v>82.3</v>
      </c>
      <c r="CI9" s="32">
        <v>97.5</v>
      </c>
      <c r="CJ9" s="32">
        <v>74.599999999999994</v>
      </c>
      <c r="CK9" s="32">
        <v>84.2</v>
      </c>
      <c r="CL9" s="32">
        <v>73.3</v>
      </c>
      <c r="CM9" s="32">
        <v>79.7</v>
      </c>
      <c r="CN9" s="32">
        <v>26.1</v>
      </c>
      <c r="CO9" s="32">
        <v>96.5</v>
      </c>
      <c r="CP9" s="32">
        <v>85.2</v>
      </c>
      <c r="CQ9" s="32">
        <v>18.899999999999999</v>
      </c>
      <c r="CR9" s="32">
        <v>81.5</v>
      </c>
      <c r="CS9" s="32">
        <v>97.5</v>
      </c>
      <c r="CT9" s="32">
        <v>81.7</v>
      </c>
      <c r="CU9" s="32">
        <v>57.2</v>
      </c>
      <c r="CV9" s="32">
        <v>92.8</v>
      </c>
      <c r="CW9" s="32">
        <v>8.8000000000000007</v>
      </c>
      <c r="CX9" s="32">
        <v>50.5</v>
      </c>
      <c r="CY9" s="32">
        <v>48.8</v>
      </c>
      <c r="CZ9" s="32">
        <v>56.8</v>
      </c>
      <c r="DA9" s="32">
        <v>46.9</v>
      </c>
      <c r="DB9" s="32">
        <v>76.400000000000006</v>
      </c>
      <c r="DC9" s="32">
        <v>0.6</v>
      </c>
      <c r="DD9" s="32">
        <v>0.6</v>
      </c>
      <c r="DE9" s="32">
        <v>27</v>
      </c>
      <c r="DF9" s="32">
        <v>21.8</v>
      </c>
      <c r="DG9" s="32">
        <v>67.099999999999994</v>
      </c>
      <c r="DH9" s="32">
        <v>68.900000000000006</v>
      </c>
      <c r="DI9" s="32">
        <v>78.599999999999994</v>
      </c>
      <c r="DJ9" s="32">
        <v>118.1</v>
      </c>
      <c r="DK9" s="32">
        <v>118.1</v>
      </c>
      <c r="DL9" s="32">
        <v>33.200000000000003</v>
      </c>
      <c r="DM9" s="32">
        <v>66.599999999999994</v>
      </c>
      <c r="DN9" s="32">
        <v>49.8</v>
      </c>
      <c r="DO9" s="32">
        <v>74.5</v>
      </c>
      <c r="DP9" s="32">
        <v>51.4</v>
      </c>
      <c r="DQ9" s="32">
        <v>51.7</v>
      </c>
      <c r="DR9" s="32">
        <v>51.8</v>
      </c>
      <c r="DS9" s="32">
        <v>47</v>
      </c>
      <c r="DT9" s="32">
        <v>43.9</v>
      </c>
      <c r="DU9" s="32">
        <v>46.9</v>
      </c>
      <c r="DV9" s="32">
        <v>52.1</v>
      </c>
      <c r="DW9" s="32">
        <v>41.1</v>
      </c>
      <c r="DX9" s="32">
        <v>37.4</v>
      </c>
      <c r="DY9" s="32">
        <v>56.7</v>
      </c>
      <c r="DZ9" s="32">
        <v>126.4</v>
      </c>
      <c r="EA9" s="32">
        <v>126.4</v>
      </c>
      <c r="EB9" s="32">
        <v>46.7</v>
      </c>
      <c r="EC9" s="32">
        <v>48.7</v>
      </c>
      <c r="ED9" s="32">
        <v>44.5</v>
      </c>
      <c r="EE9" s="32">
        <v>47.1</v>
      </c>
      <c r="EF9" s="32">
        <v>37.6</v>
      </c>
      <c r="EG9" s="32">
        <v>51</v>
      </c>
      <c r="EH9" s="32">
        <v>55.3</v>
      </c>
      <c r="EI9" s="32">
        <v>39.9</v>
      </c>
      <c r="EJ9" s="32">
        <v>166.9</v>
      </c>
      <c r="EK9" s="32">
        <v>45.6</v>
      </c>
      <c r="EL9" s="32">
        <v>63.2</v>
      </c>
      <c r="EM9" s="32">
        <v>42.3</v>
      </c>
      <c r="EN9" s="32">
        <v>44.7</v>
      </c>
      <c r="EO9" s="32">
        <v>80.599999999999994</v>
      </c>
      <c r="EP9" s="32">
        <v>88.1</v>
      </c>
      <c r="EQ9" s="32">
        <v>88.1</v>
      </c>
      <c r="ER9" s="32">
        <v>92.3</v>
      </c>
      <c r="ES9" s="32">
        <v>92.3</v>
      </c>
      <c r="ET9" s="32">
        <v>66.900000000000006</v>
      </c>
      <c r="EU9" s="32">
        <v>63.8</v>
      </c>
      <c r="EV9" s="32">
        <v>63.8</v>
      </c>
      <c r="EW9" s="32">
        <v>75.099999999999994</v>
      </c>
      <c r="EX9" s="32">
        <v>87.9</v>
      </c>
      <c r="EY9" s="32">
        <v>65.099999999999994</v>
      </c>
      <c r="EZ9" s="32">
        <v>92.2</v>
      </c>
      <c r="FA9" s="32">
        <v>89.7</v>
      </c>
      <c r="FB9" s="32">
        <v>108.4</v>
      </c>
      <c r="FC9" s="32">
        <v>83.8</v>
      </c>
      <c r="FD9" s="32">
        <v>73.400000000000006</v>
      </c>
      <c r="FE9" s="32">
        <v>178.9</v>
      </c>
      <c r="FF9" s="32">
        <v>66.599999999999994</v>
      </c>
      <c r="FG9" s="32">
        <v>96.3</v>
      </c>
      <c r="FH9" s="32">
        <v>106.6</v>
      </c>
      <c r="FI9" s="32">
        <v>99.8</v>
      </c>
      <c r="FJ9" s="32">
        <v>91.2</v>
      </c>
      <c r="FK9" s="32">
        <v>79.3</v>
      </c>
      <c r="FL9" s="32">
        <v>79.3</v>
      </c>
    </row>
    <row r="10" spans="1:227" x14ac:dyDescent="0.2">
      <c r="A10" s="31" t="s">
        <v>990</v>
      </c>
      <c r="B10" s="32">
        <v>64.099999999999994</v>
      </c>
      <c r="C10" s="32">
        <v>55.3</v>
      </c>
      <c r="D10" s="32">
        <v>85.1</v>
      </c>
      <c r="E10" s="32">
        <v>82.6</v>
      </c>
      <c r="F10" s="32">
        <v>371.7</v>
      </c>
      <c r="G10" s="32">
        <v>10044.200000000001</v>
      </c>
      <c r="H10" s="32">
        <v>437.7</v>
      </c>
      <c r="I10" s="32">
        <v>88.6</v>
      </c>
      <c r="J10" s="32">
        <v>65.400000000000006</v>
      </c>
      <c r="K10" s="32">
        <v>87.2</v>
      </c>
      <c r="L10" s="32">
        <v>84.7</v>
      </c>
      <c r="M10" s="32">
        <v>92.4</v>
      </c>
      <c r="N10" s="32">
        <v>61.6</v>
      </c>
      <c r="O10" s="32">
        <v>190.1</v>
      </c>
      <c r="P10" s="32">
        <v>461.5</v>
      </c>
      <c r="Q10" s="32">
        <v>171.2</v>
      </c>
      <c r="R10" s="32">
        <v>68.5</v>
      </c>
      <c r="S10" s="32">
        <v>93.1</v>
      </c>
      <c r="T10" s="32">
        <v>89.4</v>
      </c>
      <c r="U10" s="32">
        <v>21.7</v>
      </c>
      <c r="V10" s="32">
        <v>149.19999999999999</v>
      </c>
      <c r="W10" s="32">
        <v>44</v>
      </c>
      <c r="X10" s="32">
        <v>25</v>
      </c>
      <c r="Y10" s="32">
        <v>64.400000000000006</v>
      </c>
      <c r="Z10" s="32">
        <v>147.9</v>
      </c>
      <c r="AA10" s="32">
        <v>53.4</v>
      </c>
      <c r="AB10" s="32">
        <v>55.1</v>
      </c>
      <c r="AC10" s="32">
        <v>48.2</v>
      </c>
      <c r="AD10" s="32">
        <v>60.4</v>
      </c>
      <c r="AE10" s="32">
        <v>161.69999999999999</v>
      </c>
      <c r="AF10" s="32">
        <v>161.69999999999999</v>
      </c>
      <c r="AG10" s="32">
        <v>47.5</v>
      </c>
      <c r="AH10" s="32">
        <v>47.5</v>
      </c>
      <c r="AI10" s="32">
        <v>202.4</v>
      </c>
      <c r="AJ10" s="32">
        <v>35.299999999999997</v>
      </c>
      <c r="AK10" s="32">
        <v>645.20000000000005</v>
      </c>
      <c r="AL10" s="32">
        <v>112.6</v>
      </c>
      <c r="AM10" s="32">
        <v>16.899999999999999</v>
      </c>
      <c r="AN10" s="32">
        <v>74.3</v>
      </c>
      <c r="AO10" s="32">
        <v>82.2</v>
      </c>
      <c r="AP10" s="32">
        <v>82.2</v>
      </c>
      <c r="AQ10" s="32">
        <v>87.1</v>
      </c>
      <c r="AR10" s="32">
        <v>81.400000000000006</v>
      </c>
      <c r="AS10" s="32">
        <v>97.3</v>
      </c>
      <c r="AT10" s="32">
        <v>112.8</v>
      </c>
      <c r="AU10" s="32">
        <v>81.3</v>
      </c>
      <c r="AV10" s="32">
        <v>101.9</v>
      </c>
      <c r="AW10" s="32">
        <v>157.4</v>
      </c>
      <c r="AX10" s="32">
        <v>117.1</v>
      </c>
      <c r="AY10" s="32">
        <v>364</v>
      </c>
      <c r="AZ10" s="32">
        <v>92.5</v>
      </c>
      <c r="BA10" s="32">
        <v>14.4</v>
      </c>
      <c r="BB10" s="32">
        <v>14.4</v>
      </c>
      <c r="BC10" s="32">
        <v>81.7</v>
      </c>
      <c r="BD10" s="32">
        <v>81.7</v>
      </c>
      <c r="BE10" s="32">
        <v>78.8</v>
      </c>
      <c r="BF10" s="32">
        <v>78.8</v>
      </c>
      <c r="BG10" s="32">
        <v>64.5</v>
      </c>
      <c r="BH10" s="32">
        <v>60.9</v>
      </c>
      <c r="BI10" s="32">
        <v>63.8</v>
      </c>
      <c r="BJ10" s="32">
        <v>35.700000000000003</v>
      </c>
      <c r="BK10" s="32">
        <v>88</v>
      </c>
      <c r="BL10" s="32">
        <v>9</v>
      </c>
      <c r="BM10" s="32">
        <v>75.5</v>
      </c>
      <c r="BN10" s="32">
        <v>71.5</v>
      </c>
      <c r="BO10" s="32">
        <v>84.6</v>
      </c>
      <c r="BP10" s="32">
        <v>61.9</v>
      </c>
      <c r="BQ10" s="32">
        <v>82.4</v>
      </c>
      <c r="BR10" s="32">
        <v>63.3</v>
      </c>
      <c r="BS10" s="32">
        <v>236.9</v>
      </c>
      <c r="BT10" s="32">
        <v>56.5</v>
      </c>
      <c r="BU10" s="32">
        <v>86.2</v>
      </c>
      <c r="BV10" s="32">
        <v>86.2</v>
      </c>
      <c r="BW10" s="32">
        <v>124.5</v>
      </c>
      <c r="BX10" s="32">
        <v>54.8</v>
      </c>
      <c r="BY10" s="32">
        <v>118.9</v>
      </c>
      <c r="BZ10" s="32">
        <v>120.3</v>
      </c>
      <c r="CA10" s="32">
        <v>118.7</v>
      </c>
      <c r="CB10" s="32">
        <v>81.7</v>
      </c>
      <c r="CC10" s="32">
        <v>190.9</v>
      </c>
      <c r="CD10" s="32">
        <v>51.1</v>
      </c>
      <c r="CE10" s="32">
        <v>93.1</v>
      </c>
      <c r="CF10" s="32">
        <v>59.6</v>
      </c>
      <c r="CG10" s="32">
        <v>77.099999999999994</v>
      </c>
      <c r="CH10" s="32">
        <v>77.8</v>
      </c>
      <c r="CI10" s="32">
        <v>100.9</v>
      </c>
      <c r="CJ10" s="32">
        <v>63.6</v>
      </c>
      <c r="CK10" s="32">
        <v>84</v>
      </c>
      <c r="CL10" s="32">
        <v>74.3</v>
      </c>
      <c r="CM10" s="32">
        <v>79.7</v>
      </c>
      <c r="CN10" s="32">
        <v>27.3</v>
      </c>
      <c r="CO10" s="32">
        <v>95.8</v>
      </c>
      <c r="CP10" s="32">
        <v>83.7</v>
      </c>
      <c r="CQ10" s="32">
        <v>18.5</v>
      </c>
      <c r="CR10" s="32">
        <v>81.900000000000006</v>
      </c>
      <c r="CS10" s="32">
        <v>107.1</v>
      </c>
      <c r="CT10" s="32">
        <v>81.2</v>
      </c>
      <c r="CU10" s="32">
        <v>56.3</v>
      </c>
      <c r="CV10" s="32">
        <v>92.4</v>
      </c>
      <c r="CW10" s="32">
        <v>9</v>
      </c>
      <c r="CX10" s="32">
        <v>52.9</v>
      </c>
      <c r="CY10" s="32">
        <v>51.3</v>
      </c>
      <c r="CZ10" s="32">
        <v>59.5</v>
      </c>
      <c r="DA10" s="32">
        <v>49.7</v>
      </c>
      <c r="DB10" s="32">
        <v>78.599999999999994</v>
      </c>
      <c r="DC10" s="32">
        <v>0.6</v>
      </c>
      <c r="DD10" s="32">
        <v>0.6</v>
      </c>
      <c r="DE10" s="32">
        <v>27.6</v>
      </c>
      <c r="DF10" s="32">
        <v>22.3</v>
      </c>
      <c r="DG10" s="32">
        <v>68</v>
      </c>
      <c r="DH10" s="32">
        <v>68</v>
      </c>
      <c r="DI10" s="32">
        <v>77.7</v>
      </c>
      <c r="DJ10" s="32">
        <v>118.2</v>
      </c>
      <c r="DK10" s="32">
        <v>118.2</v>
      </c>
      <c r="DL10" s="32">
        <v>31.1</v>
      </c>
      <c r="DM10" s="32">
        <v>65.7</v>
      </c>
      <c r="DN10" s="32">
        <v>48.8</v>
      </c>
      <c r="DO10" s="32">
        <v>73.7</v>
      </c>
      <c r="DP10" s="32">
        <v>49.6</v>
      </c>
      <c r="DQ10" s="32">
        <v>52.3</v>
      </c>
      <c r="DR10" s="32">
        <v>52.5</v>
      </c>
      <c r="DS10" s="32">
        <v>47.8</v>
      </c>
      <c r="DT10" s="32">
        <v>44</v>
      </c>
      <c r="DU10" s="32">
        <v>46.4</v>
      </c>
      <c r="DV10" s="32">
        <v>50.6</v>
      </c>
      <c r="DW10" s="32">
        <v>41.5</v>
      </c>
      <c r="DX10" s="32">
        <v>38.799999999999997</v>
      </c>
      <c r="DY10" s="32">
        <v>60</v>
      </c>
      <c r="DZ10" s="32">
        <v>120.2</v>
      </c>
      <c r="EA10" s="32">
        <v>120.2</v>
      </c>
      <c r="EB10" s="32">
        <v>48.2</v>
      </c>
      <c r="EC10" s="32">
        <v>49.8</v>
      </c>
      <c r="ED10" s="32">
        <v>46.2</v>
      </c>
      <c r="EE10" s="32">
        <v>49.3</v>
      </c>
      <c r="EF10" s="32">
        <v>38</v>
      </c>
      <c r="EG10" s="32">
        <v>51.7</v>
      </c>
      <c r="EH10" s="32">
        <v>55.8</v>
      </c>
      <c r="EI10" s="32">
        <v>40.1</v>
      </c>
      <c r="EJ10" s="32">
        <v>162.1</v>
      </c>
      <c r="EK10" s="32">
        <v>47.3</v>
      </c>
      <c r="EL10" s="32">
        <v>64.099999999999994</v>
      </c>
      <c r="EM10" s="32">
        <v>42.9</v>
      </c>
      <c r="EN10" s="32">
        <v>47.1</v>
      </c>
      <c r="EO10" s="32">
        <v>80.3</v>
      </c>
      <c r="EP10" s="32">
        <v>88.1</v>
      </c>
      <c r="EQ10" s="32">
        <v>88.1</v>
      </c>
      <c r="ER10" s="32">
        <v>91.3</v>
      </c>
      <c r="ES10" s="32">
        <v>91.3</v>
      </c>
      <c r="ET10" s="32">
        <v>66.8</v>
      </c>
      <c r="EU10" s="32">
        <v>63.7</v>
      </c>
      <c r="EV10" s="32">
        <v>63.7</v>
      </c>
      <c r="EW10" s="32">
        <v>74.900000000000006</v>
      </c>
      <c r="EX10" s="32">
        <v>87.7</v>
      </c>
      <c r="EY10" s="32">
        <v>64.900000000000006</v>
      </c>
      <c r="EZ10" s="32">
        <v>90.7</v>
      </c>
      <c r="FA10" s="32">
        <v>89.8</v>
      </c>
      <c r="FB10" s="32">
        <v>109.9</v>
      </c>
      <c r="FC10" s="32">
        <v>88.3</v>
      </c>
      <c r="FD10" s="32">
        <v>72.3</v>
      </c>
      <c r="FE10" s="32">
        <v>175.1</v>
      </c>
      <c r="FF10" s="32">
        <v>65.2</v>
      </c>
      <c r="FG10" s="32">
        <v>92.4</v>
      </c>
      <c r="FH10" s="32">
        <v>101.6</v>
      </c>
      <c r="FI10" s="32">
        <v>93</v>
      </c>
      <c r="FJ10" s="32">
        <v>88.2</v>
      </c>
      <c r="FK10" s="32">
        <v>85.5</v>
      </c>
      <c r="FL10" s="32">
        <v>85.5</v>
      </c>
    </row>
    <row r="11" spans="1:227" x14ac:dyDescent="0.2">
      <c r="A11" s="31" t="s">
        <v>991</v>
      </c>
      <c r="B11" s="32">
        <v>64.5</v>
      </c>
      <c r="C11" s="32">
        <v>55.9</v>
      </c>
      <c r="D11" s="32">
        <v>85.3</v>
      </c>
      <c r="E11" s="32">
        <v>82.8</v>
      </c>
      <c r="F11" s="32">
        <v>372.2</v>
      </c>
      <c r="G11" s="32">
        <v>9524.4</v>
      </c>
      <c r="H11" s="32">
        <v>438.5</v>
      </c>
      <c r="I11" s="32">
        <v>89.5</v>
      </c>
      <c r="J11" s="32">
        <v>65.599999999999994</v>
      </c>
      <c r="K11" s="32">
        <v>87.7</v>
      </c>
      <c r="L11" s="32">
        <v>84.7</v>
      </c>
      <c r="M11" s="32">
        <v>94.3</v>
      </c>
      <c r="N11" s="32">
        <v>58</v>
      </c>
      <c r="O11" s="32">
        <v>201.4</v>
      </c>
      <c r="P11" s="32">
        <v>473.9</v>
      </c>
      <c r="Q11" s="32">
        <v>169.6</v>
      </c>
      <c r="R11" s="32">
        <v>67.599999999999994</v>
      </c>
      <c r="S11" s="32">
        <v>93.6</v>
      </c>
      <c r="T11" s="32">
        <v>87.6</v>
      </c>
      <c r="U11" s="32">
        <v>22.8</v>
      </c>
      <c r="V11" s="32">
        <v>152.4</v>
      </c>
      <c r="W11" s="32">
        <v>43.6</v>
      </c>
      <c r="X11" s="32">
        <v>26.1</v>
      </c>
      <c r="Y11" s="32">
        <v>60.8</v>
      </c>
      <c r="Z11" s="32">
        <v>145.5</v>
      </c>
      <c r="AA11" s="32">
        <v>54.8</v>
      </c>
      <c r="AB11" s="32">
        <v>56.2</v>
      </c>
      <c r="AC11" s="32">
        <v>48.1</v>
      </c>
      <c r="AD11" s="32">
        <v>63.4</v>
      </c>
      <c r="AE11" s="32">
        <v>165.2</v>
      </c>
      <c r="AF11" s="32">
        <v>165.2</v>
      </c>
      <c r="AG11" s="32">
        <v>47.4</v>
      </c>
      <c r="AH11" s="32">
        <v>47.4</v>
      </c>
      <c r="AI11" s="32">
        <v>197.4</v>
      </c>
      <c r="AJ11" s="32">
        <v>34.5</v>
      </c>
      <c r="AK11" s="32">
        <v>665.7</v>
      </c>
      <c r="AL11" s="32">
        <v>115.3</v>
      </c>
      <c r="AM11" s="32">
        <v>17.100000000000001</v>
      </c>
      <c r="AN11" s="32">
        <v>74.3</v>
      </c>
      <c r="AO11" s="32">
        <v>76.7</v>
      </c>
      <c r="AP11" s="32">
        <v>76.7</v>
      </c>
      <c r="AQ11" s="32">
        <v>86.4</v>
      </c>
      <c r="AR11" s="32">
        <v>81.2</v>
      </c>
      <c r="AS11" s="32">
        <v>95.9</v>
      </c>
      <c r="AT11" s="32">
        <v>113</v>
      </c>
      <c r="AU11" s="32">
        <v>78</v>
      </c>
      <c r="AV11" s="32">
        <v>102.3</v>
      </c>
      <c r="AW11" s="32">
        <v>158.69999999999999</v>
      </c>
      <c r="AX11" s="32">
        <v>120.5</v>
      </c>
      <c r="AY11" s="32">
        <v>361</v>
      </c>
      <c r="AZ11" s="32">
        <v>92.7</v>
      </c>
      <c r="BA11" s="32">
        <v>15.8</v>
      </c>
      <c r="BB11" s="32">
        <v>15.8</v>
      </c>
      <c r="BC11" s="32">
        <v>81.7</v>
      </c>
      <c r="BD11" s="32">
        <v>81.7</v>
      </c>
      <c r="BE11" s="32">
        <v>77.599999999999994</v>
      </c>
      <c r="BF11" s="32">
        <v>77.599999999999994</v>
      </c>
      <c r="BG11" s="32">
        <v>63.4</v>
      </c>
      <c r="BH11" s="32">
        <v>59.3</v>
      </c>
      <c r="BI11" s="32">
        <v>63.5</v>
      </c>
      <c r="BJ11" s="32">
        <v>35.5</v>
      </c>
      <c r="BK11" s="32">
        <v>87.8</v>
      </c>
      <c r="BL11" s="32">
        <v>8.8000000000000007</v>
      </c>
      <c r="BM11" s="32">
        <v>75</v>
      </c>
      <c r="BN11" s="32">
        <v>69.900000000000006</v>
      </c>
      <c r="BO11" s="32">
        <v>83.2</v>
      </c>
      <c r="BP11" s="32">
        <v>60.1</v>
      </c>
      <c r="BQ11" s="32">
        <v>83.5</v>
      </c>
      <c r="BR11" s="32">
        <v>79.099999999999994</v>
      </c>
      <c r="BS11" s="32">
        <v>243</v>
      </c>
      <c r="BT11" s="32">
        <v>55.1</v>
      </c>
      <c r="BU11" s="32">
        <v>86.2</v>
      </c>
      <c r="BV11" s="32">
        <v>86.2</v>
      </c>
      <c r="BW11" s="32">
        <v>123.8</v>
      </c>
      <c r="BX11" s="32">
        <v>55.8</v>
      </c>
      <c r="BY11" s="32">
        <v>119</v>
      </c>
      <c r="BZ11" s="32">
        <v>117.3</v>
      </c>
      <c r="CA11" s="32">
        <v>120.6</v>
      </c>
      <c r="CB11" s="32">
        <v>84</v>
      </c>
      <c r="CC11" s="32">
        <v>191.6</v>
      </c>
      <c r="CD11" s="32">
        <v>52.3</v>
      </c>
      <c r="CE11" s="32">
        <v>92.8</v>
      </c>
      <c r="CF11" s="32">
        <v>60</v>
      </c>
      <c r="CG11" s="32">
        <v>78.8</v>
      </c>
      <c r="CH11" s="32">
        <v>80.5</v>
      </c>
      <c r="CI11" s="32">
        <v>102</v>
      </c>
      <c r="CJ11" s="32">
        <v>68.900000000000006</v>
      </c>
      <c r="CK11" s="32">
        <v>84.7</v>
      </c>
      <c r="CL11" s="32">
        <v>74.5</v>
      </c>
      <c r="CM11" s="32">
        <v>80</v>
      </c>
      <c r="CN11" s="32">
        <v>28.5</v>
      </c>
      <c r="CO11" s="32">
        <v>95.5</v>
      </c>
      <c r="CP11" s="32">
        <v>82.3</v>
      </c>
      <c r="CQ11" s="32">
        <v>18.7</v>
      </c>
      <c r="CR11" s="32">
        <v>83.3</v>
      </c>
      <c r="CS11" s="32">
        <v>105.7</v>
      </c>
      <c r="CT11" s="32">
        <v>81</v>
      </c>
      <c r="CU11" s="32">
        <v>58.8</v>
      </c>
      <c r="CV11" s="32">
        <v>91.1</v>
      </c>
      <c r="CW11" s="32">
        <v>9.1</v>
      </c>
      <c r="CX11" s="32">
        <v>51.7</v>
      </c>
      <c r="CY11" s="32">
        <v>50.3</v>
      </c>
      <c r="CZ11" s="32">
        <v>57.8</v>
      </c>
      <c r="DA11" s="32">
        <v>48</v>
      </c>
      <c r="DB11" s="32">
        <v>77.099999999999994</v>
      </c>
      <c r="DC11" s="32">
        <v>0.6</v>
      </c>
      <c r="DD11" s="32">
        <v>0.6</v>
      </c>
      <c r="DE11" s="32">
        <v>28.4</v>
      </c>
      <c r="DF11" s="32">
        <v>23.3</v>
      </c>
      <c r="DG11" s="32">
        <v>66.099999999999994</v>
      </c>
      <c r="DH11" s="32">
        <v>68.8</v>
      </c>
      <c r="DI11" s="32">
        <v>79.400000000000006</v>
      </c>
      <c r="DJ11" s="32">
        <v>117.6</v>
      </c>
      <c r="DK11" s="32">
        <v>117.6</v>
      </c>
      <c r="DL11" s="32">
        <v>31.4</v>
      </c>
      <c r="DM11" s="32">
        <v>65.2</v>
      </c>
      <c r="DN11" s="32">
        <v>47.9</v>
      </c>
      <c r="DO11" s="32">
        <v>73.3</v>
      </c>
      <c r="DP11" s="32">
        <v>48.1</v>
      </c>
      <c r="DQ11" s="32">
        <v>52.7</v>
      </c>
      <c r="DR11" s="32">
        <v>52.7</v>
      </c>
      <c r="DS11" s="32">
        <v>47.7</v>
      </c>
      <c r="DT11" s="32">
        <v>44.7</v>
      </c>
      <c r="DU11" s="32">
        <v>46.4</v>
      </c>
      <c r="DV11" s="32">
        <v>50.1</v>
      </c>
      <c r="DW11" s="32">
        <v>42.1</v>
      </c>
      <c r="DX11" s="32">
        <v>40.9</v>
      </c>
      <c r="DY11" s="32">
        <v>57.4</v>
      </c>
      <c r="DZ11" s="32">
        <v>116.8</v>
      </c>
      <c r="EA11" s="32">
        <v>116.8</v>
      </c>
      <c r="EB11" s="32">
        <v>50.3</v>
      </c>
      <c r="EC11" s="32">
        <v>53.1</v>
      </c>
      <c r="ED11" s="32">
        <v>46.9</v>
      </c>
      <c r="EE11" s="32">
        <v>50.1</v>
      </c>
      <c r="EF11" s="32">
        <v>38.4</v>
      </c>
      <c r="EG11" s="32">
        <v>52.1</v>
      </c>
      <c r="EH11" s="32">
        <v>57.2</v>
      </c>
      <c r="EI11" s="32">
        <v>39</v>
      </c>
      <c r="EJ11" s="32">
        <v>165.6</v>
      </c>
      <c r="EK11" s="32">
        <v>48.1</v>
      </c>
      <c r="EL11" s="32">
        <v>65.099999999999994</v>
      </c>
      <c r="EM11" s="32">
        <v>43.7</v>
      </c>
      <c r="EN11" s="32">
        <v>47.9</v>
      </c>
      <c r="EO11" s="32">
        <v>80.2</v>
      </c>
      <c r="EP11" s="32">
        <v>88.1</v>
      </c>
      <c r="EQ11" s="32">
        <v>88.1</v>
      </c>
      <c r="ER11" s="32">
        <v>91.1</v>
      </c>
      <c r="ES11" s="32">
        <v>91.1</v>
      </c>
      <c r="ET11" s="32">
        <v>66.900000000000006</v>
      </c>
      <c r="EU11" s="32">
        <v>63.9</v>
      </c>
      <c r="EV11" s="32">
        <v>63.9</v>
      </c>
      <c r="EW11" s="32">
        <v>74.7</v>
      </c>
      <c r="EX11" s="32">
        <v>87.7</v>
      </c>
      <c r="EY11" s="32">
        <v>64.5</v>
      </c>
      <c r="EZ11" s="32">
        <v>89.3</v>
      </c>
      <c r="FA11" s="32">
        <v>87.4</v>
      </c>
      <c r="FB11" s="32">
        <v>105.6</v>
      </c>
      <c r="FC11" s="32">
        <v>83.1</v>
      </c>
      <c r="FD11" s="32">
        <v>72.2</v>
      </c>
      <c r="FE11" s="32">
        <v>170.5</v>
      </c>
      <c r="FF11" s="32">
        <v>64.900000000000006</v>
      </c>
      <c r="FG11" s="32">
        <v>91</v>
      </c>
      <c r="FH11" s="32">
        <v>93.4</v>
      </c>
      <c r="FI11" s="32">
        <v>91.4</v>
      </c>
      <c r="FJ11" s="32">
        <v>89.8</v>
      </c>
      <c r="FK11" s="32">
        <v>90.8</v>
      </c>
      <c r="FL11" s="32">
        <v>90.8</v>
      </c>
    </row>
    <row r="12" spans="1:227" x14ac:dyDescent="0.2">
      <c r="A12" s="31" t="s">
        <v>992</v>
      </c>
      <c r="B12" s="32">
        <v>64.8</v>
      </c>
      <c r="C12" s="32">
        <v>56.6</v>
      </c>
      <c r="D12" s="32">
        <v>86.6</v>
      </c>
      <c r="E12" s="32">
        <v>84.5</v>
      </c>
      <c r="F12" s="32">
        <v>387</v>
      </c>
      <c r="G12" s="32">
        <v>10065.200000000001</v>
      </c>
      <c r="H12" s="32">
        <v>462</v>
      </c>
      <c r="I12" s="32">
        <v>87.2</v>
      </c>
      <c r="J12" s="32">
        <v>66.900000000000006</v>
      </c>
      <c r="K12" s="32">
        <v>87.8</v>
      </c>
      <c r="L12" s="32">
        <v>85.3</v>
      </c>
      <c r="M12" s="32">
        <v>90.5</v>
      </c>
      <c r="N12" s="32">
        <v>62.2</v>
      </c>
      <c r="O12" s="32">
        <v>180.2</v>
      </c>
      <c r="P12" s="32">
        <v>464.6</v>
      </c>
      <c r="Q12" s="32">
        <v>174.6</v>
      </c>
      <c r="R12" s="32">
        <v>69.3</v>
      </c>
      <c r="S12" s="32">
        <v>94.9</v>
      </c>
      <c r="T12" s="32">
        <v>90.9</v>
      </c>
      <c r="U12" s="32">
        <v>22.9</v>
      </c>
      <c r="V12" s="32">
        <v>147.9</v>
      </c>
      <c r="W12" s="32">
        <v>44.6</v>
      </c>
      <c r="X12" s="32">
        <v>25.9</v>
      </c>
      <c r="Y12" s="32">
        <v>65</v>
      </c>
      <c r="Z12" s="32">
        <v>140.6</v>
      </c>
      <c r="AA12" s="32">
        <v>56.4</v>
      </c>
      <c r="AB12" s="32">
        <v>58.2</v>
      </c>
      <c r="AC12" s="32">
        <v>48.1</v>
      </c>
      <c r="AD12" s="32">
        <v>66.3</v>
      </c>
      <c r="AE12" s="32">
        <v>178.4</v>
      </c>
      <c r="AF12" s="32">
        <v>178.4</v>
      </c>
      <c r="AG12" s="32">
        <v>48.3</v>
      </c>
      <c r="AH12" s="32">
        <v>48.3</v>
      </c>
      <c r="AI12" s="32">
        <v>191.8</v>
      </c>
      <c r="AJ12" s="32">
        <v>35.700000000000003</v>
      </c>
      <c r="AK12" s="32">
        <v>685.1</v>
      </c>
      <c r="AL12" s="32">
        <v>114.6</v>
      </c>
      <c r="AM12" s="32">
        <v>17</v>
      </c>
      <c r="AN12" s="32">
        <v>77.5</v>
      </c>
      <c r="AO12" s="32">
        <v>78.900000000000006</v>
      </c>
      <c r="AP12" s="32">
        <v>78.900000000000006</v>
      </c>
      <c r="AQ12" s="32">
        <v>87.3</v>
      </c>
      <c r="AR12" s="32">
        <v>83.2</v>
      </c>
      <c r="AS12" s="32">
        <v>94.9</v>
      </c>
      <c r="AT12" s="32">
        <v>111.4</v>
      </c>
      <c r="AU12" s="32">
        <v>77.599999999999994</v>
      </c>
      <c r="AV12" s="32">
        <v>105.9</v>
      </c>
      <c r="AW12" s="32">
        <v>167.4</v>
      </c>
      <c r="AX12" s="32">
        <v>132.1</v>
      </c>
      <c r="AY12" s="32">
        <v>368.3</v>
      </c>
      <c r="AZ12" s="32">
        <v>95.1</v>
      </c>
      <c r="BA12" s="32">
        <v>15.7</v>
      </c>
      <c r="BB12" s="32">
        <v>15.7</v>
      </c>
      <c r="BC12" s="32">
        <v>85.7</v>
      </c>
      <c r="BD12" s="32">
        <v>85.7</v>
      </c>
      <c r="BE12" s="32">
        <v>80.3</v>
      </c>
      <c r="BF12" s="32">
        <v>80.3</v>
      </c>
      <c r="BG12" s="32">
        <v>64.900000000000006</v>
      </c>
      <c r="BH12" s="32">
        <v>62</v>
      </c>
      <c r="BI12" s="32">
        <v>63.3</v>
      </c>
      <c r="BJ12" s="32">
        <v>35.1</v>
      </c>
      <c r="BK12" s="32">
        <v>87.7</v>
      </c>
      <c r="BL12" s="32">
        <v>8.9</v>
      </c>
      <c r="BM12" s="32">
        <v>76.099999999999994</v>
      </c>
      <c r="BN12" s="32">
        <v>69.900000000000006</v>
      </c>
      <c r="BO12" s="32">
        <v>84.1</v>
      </c>
      <c r="BP12" s="32">
        <v>59.4</v>
      </c>
      <c r="BQ12" s="32">
        <v>86.3</v>
      </c>
      <c r="BR12" s="32">
        <v>54.1</v>
      </c>
      <c r="BS12" s="32">
        <v>232.6</v>
      </c>
      <c r="BT12" s="32">
        <v>62.4</v>
      </c>
      <c r="BU12" s="32">
        <v>88.2</v>
      </c>
      <c r="BV12" s="32">
        <v>88.2</v>
      </c>
      <c r="BW12" s="32">
        <v>128.5</v>
      </c>
      <c r="BX12" s="32">
        <v>54.5</v>
      </c>
      <c r="BY12" s="32">
        <v>119.6</v>
      </c>
      <c r="BZ12" s="32">
        <v>117</v>
      </c>
      <c r="CA12" s="32">
        <v>121.7</v>
      </c>
      <c r="CB12" s="32">
        <v>86.5</v>
      </c>
      <c r="CC12" s="32">
        <v>189.7</v>
      </c>
      <c r="CD12" s="32">
        <v>52.5</v>
      </c>
      <c r="CE12" s="32">
        <v>92.6</v>
      </c>
      <c r="CF12" s="32">
        <v>60</v>
      </c>
      <c r="CG12" s="32">
        <v>78.599999999999994</v>
      </c>
      <c r="CH12" s="32">
        <v>80</v>
      </c>
      <c r="CI12" s="32">
        <v>100.8</v>
      </c>
      <c r="CJ12" s="32">
        <v>67.8</v>
      </c>
      <c r="CK12" s="32">
        <v>84.8</v>
      </c>
      <c r="CL12" s="32">
        <v>75.5</v>
      </c>
      <c r="CM12" s="32">
        <v>81.7</v>
      </c>
      <c r="CN12" s="32">
        <v>29.8</v>
      </c>
      <c r="CO12" s="32">
        <v>97.3</v>
      </c>
      <c r="CP12" s="32">
        <v>81.5</v>
      </c>
      <c r="CQ12" s="32">
        <v>19</v>
      </c>
      <c r="CR12" s="32">
        <v>82.6</v>
      </c>
      <c r="CS12" s="32">
        <v>109.3</v>
      </c>
      <c r="CT12" s="32">
        <v>80.2</v>
      </c>
      <c r="CU12" s="32">
        <v>59.5</v>
      </c>
      <c r="CV12" s="32">
        <v>89.7</v>
      </c>
      <c r="CW12" s="32">
        <v>9.1</v>
      </c>
      <c r="CX12" s="32">
        <v>51.7</v>
      </c>
      <c r="CY12" s="32">
        <v>52.9</v>
      </c>
      <c r="CZ12" s="32">
        <v>54.3</v>
      </c>
      <c r="DA12" s="32">
        <v>44.9</v>
      </c>
      <c r="DB12" s="32">
        <v>73</v>
      </c>
      <c r="DC12" s="32">
        <v>0.6</v>
      </c>
      <c r="DD12" s="32">
        <v>0.6</v>
      </c>
      <c r="DE12" s="32">
        <v>26.7</v>
      </c>
      <c r="DF12" s="32">
        <v>21.8</v>
      </c>
      <c r="DG12" s="32">
        <v>62.8</v>
      </c>
      <c r="DH12" s="32">
        <v>69.5</v>
      </c>
      <c r="DI12" s="32">
        <v>82</v>
      </c>
      <c r="DJ12" s="32">
        <v>115.9</v>
      </c>
      <c r="DK12" s="32">
        <v>115.9</v>
      </c>
      <c r="DL12" s="32">
        <v>30</v>
      </c>
      <c r="DM12" s="32">
        <v>64.900000000000006</v>
      </c>
      <c r="DN12" s="32">
        <v>47.7</v>
      </c>
      <c r="DO12" s="32">
        <v>73</v>
      </c>
      <c r="DP12" s="32">
        <v>45.5</v>
      </c>
      <c r="DQ12" s="32">
        <v>53.4</v>
      </c>
      <c r="DR12" s="32">
        <v>53.7</v>
      </c>
      <c r="DS12" s="32">
        <v>49.8</v>
      </c>
      <c r="DT12" s="32">
        <v>45.3</v>
      </c>
      <c r="DU12" s="32">
        <v>46.5</v>
      </c>
      <c r="DV12" s="32">
        <v>51.6</v>
      </c>
      <c r="DW12" s="32">
        <v>40.700000000000003</v>
      </c>
      <c r="DX12" s="32">
        <v>42.7</v>
      </c>
      <c r="DY12" s="32">
        <v>64.400000000000006</v>
      </c>
      <c r="DZ12" s="32">
        <v>110.5</v>
      </c>
      <c r="EA12" s="32">
        <v>110.5</v>
      </c>
      <c r="EB12" s="32">
        <v>48.9</v>
      </c>
      <c r="EC12" s="32">
        <v>49.3</v>
      </c>
      <c r="ED12" s="32">
        <v>48.5</v>
      </c>
      <c r="EE12" s="32">
        <v>52.2</v>
      </c>
      <c r="EF12" s="32">
        <v>39</v>
      </c>
      <c r="EG12" s="32">
        <v>52.6</v>
      </c>
      <c r="EH12" s="32">
        <v>58.1</v>
      </c>
      <c r="EI12" s="32">
        <v>38.700000000000003</v>
      </c>
      <c r="EJ12" s="32">
        <v>167.7</v>
      </c>
      <c r="EK12" s="32">
        <v>48.8</v>
      </c>
      <c r="EL12" s="32">
        <v>66.099999999999994</v>
      </c>
      <c r="EM12" s="32">
        <v>44.2</v>
      </c>
      <c r="EN12" s="32">
        <v>48.6</v>
      </c>
      <c r="EO12" s="32">
        <v>80.8</v>
      </c>
      <c r="EP12" s="32">
        <v>88.3</v>
      </c>
      <c r="EQ12" s="32">
        <v>88.3</v>
      </c>
      <c r="ER12" s="32">
        <v>92.8</v>
      </c>
      <c r="ES12" s="32">
        <v>92.8</v>
      </c>
      <c r="ET12" s="32">
        <v>67</v>
      </c>
      <c r="EU12" s="32">
        <v>64.099999999999994</v>
      </c>
      <c r="EV12" s="32">
        <v>64.099999999999994</v>
      </c>
      <c r="EW12" s="32">
        <v>74.7</v>
      </c>
      <c r="EX12" s="32">
        <v>87.9</v>
      </c>
      <c r="EY12" s="32">
        <v>64.3</v>
      </c>
      <c r="EZ12" s="32">
        <v>85.6</v>
      </c>
      <c r="FA12" s="32">
        <v>82.9</v>
      </c>
      <c r="FB12" s="32">
        <v>96.9</v>
      </c>
      <c r="FC12" s="32">
        <v>70</v>
      </c>
      <c r="FD12" s="32">
        <v>74.099999999999994</v>
      </c>
      <c r="FE12" s="32">
        <v>165.7</v>
      </c>
      <c r="FF12" s="32">
        <v>65.599999999999994</v>
      </c>
      <c r="FG12" s="32">
        <v>88.1</v>
      </c>
      <c r="FH12" s="32">
        <v>85.1</v>
      </c>
      <c r="FI12" s="32">
        <v>95.5</v>
      </c>
      <c r="FJ12" s="32">
        <v>88.3</v>
      </c>
      <c r="FK12" s="32">
        <v>86.2</v>
      </c>
      <c r="FL12" s="32">
        <v>86.2</v>
      </c>
    </row>
    <row r="13" spans="1:227" x14ac:dyDescent="0.2">
      <c r="A13" s="33" t="s">
        <v>993</v>
      </c>
      <c r="B13" s="32">
        <v>64.900000000000006</v>
      </c>
      <c r="C13" s="32">
        <v>57.1</v>
      </c>
      <c r="D13" s="32">
        <v>85.7</v>
      </c>
      <c r="E13" s="32">
        <v>83.5</v>
      </c>
      <c r="F13" s="32">
        <v>380.8</v>
      </c>
      <c r="G13" s="32">
        <v>9319.7999999999993</v>
      </c>
      <c r="H13" s="32">
        <v>458.3</v>
      </c>
      <c r="I13" s="32">
        <v>83.4</v>
      </c>
      <c r="J13" s="32">
        <v>66</v>
      </c>
      <c r="K13" s="32">
        <v>87.9</v>
      </c>
      <c r="L13" s="32">
        <v>84.7</v>
      </c>
      <c r="M13" s="32">
        <v>95.4</v>
      </c>
      <c r="N13" s="32">
        <v>62.1</v>
      </c>
      <c r="O13" s="32">
        <v>176.9</v>
      </c>
      <c r="P13" s="32">
        <v>479.4</v>
      </c>
      <c r="Q13" s="32">
        <v>174.2</v>
      </c>
      <c r="R13" s="32">
        <v>69.400000000000006</v>
      </c>
      <c r="S13" s="32">
        <v>90.2</v>
      </c>
      <c r="T13" s="32">
        <v>88.7</v>
      </c>
      <c r="U13" s="32">
        <v>25.8</v>
      </c>
      <c r="V13" s="32">
        <v>148.4</v>
      </c>
      <c r="W13" s="32">
        <v>43.2</v>
      </c>
      <c r="X13" s="32">
        <v>25.5</v>
      </c>
      <c r="Y13" s="32">
        <v>61.4</v>
      </c>
      <c r="Z13" s="32">
        <v>140.9</v>
      </c>
      <c r="AA13" s="32">
        <v>54.9</v>
      </c>
      <c r="AB13" s="32">
        <v>56.9</v>
      </c>
      <c r="AC13" s="32">
        <v>46.8</v>
      </c>
      <c r="AD13" s="32">
        <v>64.599999999999994</v>
      </c>
      <c r="AE13" s="32">
        <v>181</v>
      </c>
      <c r="AF13" s="32">
        <v>181</v>
      </c>
      <c r="AG13" s="32">
        <v>49</v>
      </c>
      <c r="AH13" s="32">
        <v>49</v>
      </c>
      <c r="AI13" s="32">
        <v>198.4</v>
      </c>
      <c r="AJ13" s="32">
        <v>36.9</v>
      </c>
      <c r="AK13" s="32">
        <v>718.3</v>
      </c>
      <c r="AL13" s="32">
        <v>114.5</v>
      </c>
      <c r="AM13" s="32">
        <v>16.5</v>
      </c>
      <c r="AN13" s="32">
        <v>75.3</v>
      </c>
      <c r="AO13" s="32">
        <v>79.8</v>
      </c>
      <c r="AP13" s="32">
        <v>79.8</v>
      </c>
      <c r="AQ13" s="32">
        <v>85.1</v>
      </c>
      <c r="AR13" s="32">
        <v>79.8</v>
      </c>
      <c r="AS13" s="32">
        <v>94.6</v>
      </c>
      <c r="AT13" s="32">
        <v>109</v>
      </c>
      <c r="AU13" s="32">
        <v>79.8</v>
      </c>
      <c r="AV13" s="32">
        <v>101.9</v>
      </c>
      <c r="AW13" s="32">
        <v>157.69999999999999</v>
      </c>
      <c r="AX13" s="32">
        <v>119.9</v>
      </c>
      <c r="AY13" s="32">
        <v>358.4</v>
      </c>
      <c r="AZ13" s="32">
        <v>92.4</v>
      </c>
      <c r="BA13" s="32">
        <v>15.8</v>
      </c>
      <c r="BB13" s="32">
        <v>15.8</v>
      </c>
      <c r="BC13" s="32">
        <v>79</v>
      </c>
      <c r="BD13" s="32">
        <v>79</v>
      </c>
      <c r="BE13" s="32">
        <v>79.900000000000006</v>
      </c>
      <c r="BF13" s="32">
        <v>79.900000000000006</v>
      </c>
      <c r="BG13" s="32">
        <v>64.099999999999994</v>
      </c>
      <c r="BH13" s="32">
        <v>61.2</v>
      </c>
      <c r="BI13" s="32">
        <v>62.6</v>
      </c>
      <c r="BJ13" s="32">
        <v>36.1</v>
      </c>
      <c r="BK13" s="32">
        <v>86.1</v>
      </c>
      <c r="BL13" s="32">
        <v>8.4</v>
      </c>
      <c r="BM13" s="32">
        <v>74.7</v>
      </c>
      <c r="BN13" s="32">
        <v>69.099999999999994</v>
      </c>
      <c r="BO13" s="32">
        <v>79.099999999999994</v>
      </c>
      <c r="BP13" s="32">
        <v>61.6</v>
      </c>
      <c r="BQ13" s="32">
        <v>84</v>
      </c>
      <c r="BR13" s="32">
        <v>63</v>
      </c>
      <c r="BS13" s="32">
        <v>225.6</v>
      </c>
      <c r="BT13" s="32">
        <v>59.5</v>
      </c>
      <c r="BU13" s="32">
        <v>87</v>
      </c>
      <c r="BV13" s="32">
        <v>87</v>
      </c>
      <c r="BW13" s="32">
        <v>127.3</v>
      </c>
      <c r="BX13" s="32">
        <v>53.4</v>
      </c>
      <c r="BY13" s="32">
        <v>121.6</v>
      </c>
      <c r="BZ13" s="32">
        <v>118.2</v>
      </c>
      <c r="CA13" s="32">
        <v>124.1</v>
      </c>
      <c r="CB13" s="32">
        <v>90.1</v>
      </c>
      <c r="CC13" s="32">
        <v>189.3</v>
      </c>
      <c r="CD13" s="32">
        <v>54.6</v>
      </c>
      <c r="CE13" s="32">
        <v>92.2</v>
      </c>
      <c r="CF13" s="32">
        <v>60.3</v>
      </c>
      <c r="CG13" s="32">
        <v>79.3</v>
      </c>
      <c r="CH13" s="32">
        <v>80.599999999999994</v>
      </c>
      <c r="CI13" s="32">
        <v>103.3</v>
      </c>
      <c r="CJ13" s="32">
        <v>69.599999999999994</v>
      </c>
      <c r="CK13" s="32">
        <v>84.1</v>
      </c>
      <c r="CL13" s="32">
        <v>76.599999999999994</v>
      </c>
      <c r="CM13" s="32">
        <v>83.4</v>
      </c>
      <c r="CN13" s="32">
        <v>31</v>
      </c>
      <c r="CO13" s="32">
        <v>99</v>
      </c>
      <c r="CP13" s="32">
        <v>80.400000000000006</v>
      </c>
      <c r="CQ13" s="32">
        <v>19.5</v>
      </c>
      <c r="CR13" s="32">
        <v>84.4</v>
      </c>
      <c r="CS13" s="32">
        <v>107.9</v>
      </c>
      <c r="CT13" s="32">
        <v>80.5</v>
      </c>
      <c r="CU13" s="32">
        <v>61.6</v>
      </c>
      <c r="CV13" s="32">
        <v>89.2</v>
      </c>
      <c r="CW13" s="32">
        <v>9.3000000000000007</v>
      </c>
      <c r="CX13" s="32">
        <v>49.7</v>
      </c>
      <c r="CY13" s="32">
        <v>52.4</v>
      </c>
      <c r="CZ13" s="32">
        <v>50.1</v>
      </c>
      <c r="DA13" s="32">
        <v>40.700000000000003</v>
      </c>
      <c r="DB13" s="32">
        <v>69.3</v>
      </c>
      <c r="DC13" s="32">
        <v>0.7</v>
      </c>
      <c r="DD13" s="32">
        <v>0.7</v>
      </c>
      <c r="DE13" s="32">
        <v>28.1</v>
      </c>
      <c r="DF13" s="32">
        <v>22.7</v>
      </c>
      <c r="DG13" s="32">
        <v>69.099999999999994</v>
      </c>
      <c r="DH13" s="32">
        <v>69.099999999999994</v>
      </c>
      <c r="DI13" s="32">
        <v>81.3</v>
      </c>
      <c r="DJ13" s="32">
        <v>114.6</v>
      </c>
      <c r="DK13" s="32">
        <v>114.6</v>
      </c>
      <c r="DL13" s="32">
        <v>30.9</v>
      </c>
      <c r="DM13" s="32">
        <v>64.7</v>
      </c>
      <c r="DN13" s="32">
        <v>47.8</v>
      </c>
      <c r="DO13" s="32">
        <v>72.7</v>
      </c>
      <c r="DP13" s="32">
        <v>43.9</v>
      </c>
      <c r="DQ13" s="32">
        <v>54.3</v>
      </c>
      <c r="DR13" s="32">
        <v>54.2</v>
      </c>
      <c r="DS13" s="32">
        <v>50.9</v>
      </c>
      <c r="DT13" s="32">
        <v>46.5</v>
      </c>
      <c r="DU13" s="32">
        <v>47.6</v>
      </c>
      <c r="DV13" s="32">
        <v>51.1</v>
      </c>
      <c r="DW13" s="32">
        <v>43.5</v>
      </c>
      <c r="DX13" s="32">
        <v>44.1</v>
      </c>
      <c r="DY13" s="32">
        <v>65</v>
      </c>
      <c r="DZ13" s="32">
        <v>111.4</v>
      </c>
      <c r="EA13" s="32">
        <v>111.4</v>
      </c>
      <c r="EB13" s="32">
        <v>47.5</v>
      </c>
      <c r="EC13" s="32">
        <v>44.8</v>
      </c>
      <c r="ED13" s="32">
        <v>51</v>
      </c>
      <c r="EE13" s="32">
        <v>55.5</v>
      </c>
      <c r="EF13" s="32">
        <v>39.200000000000003</v>
      </c>
      <c r="EG13" s="32">
        <v>54</v>
      </c>
      <c r="EH13" s="32">
        <v>60.3</v>
      </c>
      <c r="EI13" s="32">
        <v>39</v>
      </c>
      <c r="EJ13" s="32">
        <v>167.6</v>
      </c>
      <c r="EK13" s="32">
        <v>50.7</v>
      </c>
      <c r="EL13" s="32">
        <v>65.8</v>
      </c>
      <c r="EM13" s="32">
        <v>44.5</v>
      </c>
      <c r="EN13" s="32">
        <v>51.9</v>
      </c>
      <c r="EO13" s="32">
        <v>81.099999999999994</v>
      </c>
      <c r="EP13" s="32">
        <v>88</v>
      </c>
      <c r="EQ13" s="32">
        <v>88</v>
      </c>
      <c r="ER13" s="32">
        <v>94.1</v>
      </c>
      <c r="ES13" s="32">
        <v>94.1</v>
      </c>
      <c r="ET13" s="32">
        <v>67</v>
      </c>
      <c r="EU13" s="32">
        <v>64.099999999999994</v>
      </c>
      <c r="EV13" s="32">
        <v>64.099999999999994</v>
      </c>
      <c r="EW13" s="32">
        <v>74.599999999999994</v>
      </c>
      <c r="EX13" s="32">
        <v>88</v>
      </c>
      <c r="EY13" s="32">
        <v>64.099999999999994</v>
      </c>
      <c r="EZ13" s="32">
        <v>84.9</v>
      </c>
      <c r="FA13" s="32">
        <v>78.900000000000006</v>
      </c>
      <c r="FB13" s="32">
        <v>90</v>
      </c>
      <c r="FC13" s="32">
        <v>60.7</v>
      </c>
      <c r="FD13" s="32">
        <v>75.099999999999994</v>
      </c>
      <c r="FE13" s="32">
        <v>159.6</v>
      </c>
      <c r="FF13" s="32">
        <v>65.3</v>
      </c>
      <c r="FG13" s="32">
        <v>89.7</v>
      </c>
      <c r="FH13" s="32">
        <v>87.1</v>
      </c>
      <c r="FI13" s="32">
        <v>91.5</v>
      </c>
      <c r="FJ13" s="32">
        <v>90.6</v>
      </c>
      <c r="FK13" s="32">
        <v>88</v>
      </c>
      <c r="FL13" s="32">
        <v>88</v>
      </c>
    </row>
    <row r="14" spans="1:227" x14ac:dyDescent="0.2">
      <c r="A14" s="33" t="s">
        <v>994</v>
      </c>
      <c r="B14" s="32">
        <v>65</v>
      </c>
      <c r="C14" s="32">
        <v>57.7</v>
      </c>
      <c r="D14" s="32">
        <v>86.2</v>
      </c>
      <c r="E14" s="32">
        <v>84</v>
      </c>
      <c r="F14" s="32">
        <v>377.4</v>
      </c>
      <c r="G14" s="32">
        <v>8923.4</v>
      </c>
      <c r="H14" s="32">
        <v>457.1</v>
      </c>
      <c r="I14" s="32">
        <v>80.7</v>
      </c>
      <c r="J14" s="32">
        <v>66.599999999999994</v>
      </c>
      <c r="K14" s="32">
        <v>88.6</v>
      </c>
      <c r="L14" s="32">
        <v>86.1</v>
      </c>
      <c r="M14" s="32">
        <v>95.5</v>
      </c>
      <c r="N14" s="32">
        <v>60.3</v>
      </c>
      <c r="O14" s="32">
        <v>174.3</v>
      </c>
      <c r="P14" s="32">
        <v>459.6</v>
      </c>
      <c r="Q14" s="32">
        <v>178.9</v>
      </c>
      <c r="R14" s="32">
        <v>69.8</v>
      </c>
      <c r="S14" s="32">
        <v>95.3</v>
      </c>
      <c r="T14" s="32">
        <v>89.4</v>
      </c>
      <c r="U14" s="32">
        <v>25.8</v>
      </c>
      <c r="V14" s="32">
        <v>143.5</v>
      </c>
      <c r="W14" s="32">
        <v>43.8</v>
      </c>
      <c r="X14" s="32">
        <v>26.5</v>
      </c>
      <c r="Y14" s="32">
        <v>61.5</v>
      </c>
      <c r="Z14" s="32">
        <v>135.19999999999999</v>
      </c>
      <c r="AA14" s="32">
        <v>54.6</v>
      </c>
      <c r="AB14" s="32">
        <v>58.9</v>
      </c>
      <c r="AC14" s="32">
        <v>46.9</v>
      </c>
      <c r="AD14" s="32">
        <v>62.7</v>
      </c>
      <c r="AE14" s="32">
        <v>187.8</v>
      </c>
      <c r="AF14" s="32">
        <v>187.8</v>
      </c>
      <c r="AG14" s="32">
        <v>49.2</v>
      </c>
      <c r="AH14" s="32">
        <v>49.2</v>
      </c>
      <c r="AI14" s="32">
        <v>193.5</v>
      </c>
      <c r="AJ14" s="32">
        <v>36.700000000000003</v>
      </c>
      <c r="AK14" s="32">
        <v>677</v>
      </c>
      <c r="AL14" s="32">
        <v>116.9</v>
      </c>
      <c r="AM14" s="32">
        <v>17.100000000000001</v>
      </c>
      <c r="AN14" s="32">
        <v>77.7</v>
      </c>
      <c r="AO14" s="32">
        <v>79.7</v>
      </c>
      <c r="AP14" s="32">
        <v>79.7</v>
      </c>
      <c r="AQ14" s="32">
        <v>86.7</v>
      </c>
      <c r="AR14" s="32">
        <v>82.5</v>
      </c>
      <c r="AS14" s="32">
        <v>94.2</v>
      </c>
      <c r="AT14" s="32">
        <v>108.6</v>
      </c>
      <c r="AU14" s="32">
        <v>79.5</v>
      </c>
      <c r="AV14" s="32">
        <v>101</v>
      </c>
      <c r="AW14" s="32">
        <v>159</v>
      </c>
      <c r="AX14" s="32">
        <v>119.7</v>
      </c>
      <c r="AY14" s="32">
        <v>364.3</v>
      </c>
      <c r="AZ14" s="32">
        <v>91</v>
      </c>
      <c r="BA14" s="32">
        <v>16.3</v>
      </c>
      <c r="BB14" s="32">
        <v>16.3</v>
      </c>
      <c r="BC14" s="32">
        <v>83.6</v>
      </c>
      <c r="BD14" s="32">
        <v>83.6</v>
      </c>
      <c r="BE14" s="32">
        <v>81.3</v>
      </c>
      <c r="BF14" s="32">
        <v>81.3</v>
      </c>
      <c r="BG14" s="32">
        <v>63.7</v>
      </c>
      <c r="BH14" s="32">
        <v>60.8</v>
      </c>
      <c r="BI14" s="32">
        <v>62.3</v>
      </c>
      <c r="BJ14" s="32">
        <v>36.799999999999997</v>
      </c>
      <c r="BK14" s="32">
        <v>85.4</v>
      </c>
      <c r="BL14" s="32">
        <v>8.1</v>
      </c>
      <c r="BM14" s="32">
        <v>76</v>
      </c>
      <c r="BN14" s="32">
        <v>70.599999999999994</v>
      </c>
      <c r="BO14" s="32">
        <v>82.9</v>
      </c>
      <c r="BP14" s="32">
        <v>61.4</v>
      </c>
      <c r="BQ14" s="32">
        <v>84.9</v>
      </c>
      <c r="BR14" s="32">
        <v>70.8</v>
      </c>
      <c r="BS14" s="32">
        <v>227.2</v>
      </c>
      <c r="BT14" s="32">
        <v>59.3</v>
      </c>
      <c r="BU14" s="32">
        <v>86.6</v>
      </c>
      <c r="BV14" s="32">
        <v>86.6</v>
      </c>
      <c r="BW14" s="32">
        <v>126.5</v>
      </c>
      <c r="BX14" s="32">
        <v>53.7</v>
      </c>
      <c r="BY14" s="32">
        <v>120.5</v>
      </c>
      <c r="BZ14" s="32">
        <v>124.5</v>
      </c>
      <c r="CA14" s="32">
        <v>118.9</v>
      </c>
      <c r="CB14" s="32">
        <v>87</v>
      </c>
      <c r="CC14" s="32">
        <v>179.7</v>
      </c>
      <c r="CD14" s="32">
        <v>51.9</v>
      </c>
      <c r="CE14" s="32">
        <v>92.7</v>
      </c>
      <c r="CF14" s="32">
        <v>60.4</v>
      </c>
      <c r="CG14" s="32">
        <v>79.8</v>
      </c>
      <c r="CH14" s="32">
        <v>81.2</v>
      </c>
      <c r="CI14" s="32">
        <v>101.3</v>
      </c>
      <c r="CJ14" s="32">
        <v>71.7</v>
      </c>
      <c r="CK14" s="32">
        <v>84</v>
      </c>
      <c r="CL14" s="32">
        <v>76.7</v>
      </c>
      <c r="CM14" s="32">
        <v>84.9</v>
      </c>
      <c r="CN14" s="32">
        <v>32.299999999999997</v>
      </c>
      <c r="CO14" s="32">
        <v>100.4</v>
      </c>
      <c r="CP14" s="32">
        <v>79.400000000000006</v>
      </c>
      <c r="CQ14" s="32">
        <v>19.600000000000001</v>
      </c>
      <c r="CR14" s="32">
        <v>84.3</v>
      </c>
      <c r="CS14" s="32">
        <v>104.6</v>
      </c>
      <c r="CT14" s="32">
        <v>81.3</v>
      </c>
      <c r="CU14" s="32">
        <v>61.7</v>
      </c>
      <c r="CV14" s="32">
        <v>90.3</v>
      </c>
      <c r="CW14" s="32">
        <v>9.6999999999999993</v>
      </c>
      <c r="CX14" s="32">
        <v>50.6</v>
      </c>
      <c r="CY14" s="32">
        <v>53.2</v>
      </c>
      <c r="CZ14" s="32">
        <v>51.3</v>
      </c>
      <c r="DA14" s="32">
        <v>42.6</v>
      </c>
      <c r="DB14" s="32">
        <v>68.8</v>
      </c>
      <c r="DC14" s="32">
        <v>0.7</v>
      </c>
      <c r="DD14" s="32">
        <v>0.7</v>
      </c>
      <c r="DE14" s="32">
        <v>29.8</v>
      </c>
      <c r="DF14" s="32">
        <v>24</v>
      </c>
      <c r="DG14" s="32">
        <v>75</v>
      </c>
      <c r="DH14" s="32">
        <v>66.099999999999994</v>
      </c>
      <c r="DI14" s="32">
        <v>76.900000000000006</v>
      </c>
      <c r="DJ14" s="32">
        <v>113.7</v>
      </c>
      <c r="DK14" s="32">
        <v>113.7</v>
      </c>
      <c r="DL14" s="32">
        <v>28.2</v>
      </c>
      <c r="DM14" s="32">
        <v>64.2</v>
      </c>
      <c r="DN14" s="32">
        <v>47.5</v>
      </c>
      <c r="DO14" s="32">
        <v>72.2</v>
      </c>
      <c r="DP14" s="32">
        <v>43.3</v>
      </c>
      <c r="DQ14" s="32">
        <v>54.3</v>
      </c>
      <c r="DR14" s="32">
        <v>54.6</v>
      </c>
      <c r="DS14" s="32">
        <v>50.8</v>
      </c>
      <c r="DT14" s="32">
        <v>47.1</v>
      </c>
      <c r="DU14" s="32">
        <v>48.3</v>
      </c>
      <c r="DV14" s="32">
        <v>53.9</v>
      </c>
      <c r="DW14" s="32">
        <v>42.1</v>
      </c>
      <c r="DX14" s="32">
        <v>44.6</v>
      </c>
      <c r="DY14" s="32">
        <v>62.6</v>
      </c>
      <c r="DZ14" s="32">
        <v>110</v>
      </c>
      <c r="EA14" s="32">
        <v>110</v>
      </c>
      <c r="EB14" s="32">
        <v>50.1</v>
      </c>
      <c r="EC14" s="32">
        <v>48.9</v>
      </c>
      <c r="ED14" s="32">
        <v>51.8</v>
      </c>
      <c r="EE14" s="32">
        <v>56.4</v>
      </c>
      <c r="EF14" s="32">
        <v>39.5</v>
      </c>
      <c r="EG14" s="32">
        <v>53.5</v>
      </c>
      <c r="EH14" s="32">
        <v>59.5</v>
      </c>
      <c r="EI14" s="32">
        <v>39.200000000000003</v>
      </c>
      <c r="EJ14" s="32">
        <v>161</v>
      </c>
      <c r="EK14" s="32">
        <v>50.1</v>
      </c>
      <c r="EL14" s="32">
        <v>62.7</v>
      </c>
      <c r="EM14" s="32">
        <v>43.2</v>
      </c>
      <c r="EN14" s="32">
        <v>52.3</v>
      </c>
      <c r="EO14" s="32">
        <v>81.2</v>
      </c>
      <c r="EP14" s="32">
        <v>87.4</v>
      </c>
      <c r="EQ14" s="32">
        <v>87.4</v>
      </c>
      <c r="ER14" s="32">
        <v>95</v>
      </c>
      <c r="ES14" s="32">
        <v>95</v>
      </c>
      <c r="ET14" s="32">
        <v>67.099999999999994</v>
      </c>
      <c r="EU14" s="32">
        <v>64.2</v>
      </c>
      <c r="EV14" s="32">
        <v>64.2</v>
      </c>
      <c r="EW14" s="32">
        <v>74.7</v>
      </c>
      <c r="EX14" s="32">
        <v>88.2</v>
      </c>
      <c r="EY14" s="32">
        <v>64.2</v>
      </c>
      <c r="EZ14" s="32">
        <v>86.8</v>
      </c>
      <c r="FA14" s="32">
        <v>78.599999999999994</v>
      </c>
      <c r="FB14" s="32">
        <v>89.4</v>
      </c>
      <c r="FC14" s="32">
        <v>62.2</v>
      </c>
      <c r="FD14" s="32">
        <v>75.7</v>
      </c>
      <c r="FE14" s="32">
        <v>152.69999999999999</v>
      </c>
      <c r="FF14" s="32">
        <v>65.3</v>
      </c>
      <c r="FG14" s="32">
        <v>93.7</v>
      </c>
      <c r="FH14" s="32">
        <v>100.9</v>
      </c>
      <c r="FI14" s="32">
        <v>93.8</v>
      </c>
      <c r="FJ14" s="32">
        <v>90.6</v>
      </c>
      <c r="FK14" s="32">
        <v>88.9</v>
      </c>
      <c r="FL14" s="32">
        <v>88.9</v>
      </c>
    </row>
    <row r="15" spans="1:227" x14ac:dyDescent="0.2">
      <c r="A15" s="33" t="s">
        <v>995</v>
      </c>
      <c r="B15" s="32">
        <v>65.400000000000006</v>
      </c>
      <c r="C15" s="32">
        <v>58.5</v>
      </c>
      <c r="D15" s="32">
        <v>87.3</v>
      </c>
      <c r="E15" s="32">
        <v>85</v>
      </c>
      <c r="F15" s="32">
        <v>388.2</v>
      </c>
      <c r="G15" s="32">
        <v>8472.9</v>
      </c>
      <c r="H15" s="32">
        <v>476.6</v>
      </c>
      <c r="I15" s="32">
        <v>78.099999999999994</v>
      </c>
      <c r="J15" s="32">
        <v>67.5</v>
      </c>
      <c r="K15" s="32">
        <v>89</v>
      </c>
      <c r="L15" s="32">
        <v>86.3</v>
      </c>
      <c r="M15" s="32">
        <v>94.1</v>
      </c>
      <c r="N15" s="32">
        <v>58.4</v>
      </c>
      <c r="O15" s="32">
        <v>181.7</v>
      </c>
      <c r="P15" s="32">
        <v>477</v>
      </c>
      <c r="Q15" s="32">
        <v>180.9</v>
      </c>
      <c r="R15" s="32">
        <v>69.2</v>
      </c>
      <c r="S15" s="32">
        <v>96.4</v>
      </c>
      <c r="T15" s="32">
        <v>89.7</v>
      </c>
      <c r="U15" s="32">
        <v>26.7</v>
      </c>
      <c r="V15" s="32">
        <v>143.30000000000001</v>
      </c>
      <c r="W15" s="32">
        <v>43.9</v>
      </c>
      <c r="X15" s="32">
        <v>26.4</v>
      </c>
      <c r="Y15" s="32">
        <v>61.3</v>
      </c>
      <c r="Z15" s="32">
        <v>139.69999999999999</v>
      </c>
      <c r="AA15" s="32">
        <v>55.5</v>
      </c>
      <c r="AB15" s="32">
        <v>59</v>
      </c>
      <c r="AC15" s="32">
        <v>48.2</v>
      </c>
      <c r="AD15" s="32">
        <v>63.6</v>
      </c>
      <c r="AE15" s="32">
        <v>186.2</v>
      </c>
      <c r="AF15" s="32">
        <v>186.2</v>
      </c>
      <c r="AG15" s="32">
        <v>49.5</v>
      </c>
      <c r="AH15" s="32">
        <v>49.5</v>
      </c>
      <c r="AI15" s="32">
        <v>187.2</v>
      </c>
      <c r="AJ15" s="32">
        <v>36.9</v>
      </c>
      <c r="AK15" s="32">
        <v>736.9</v>
      </c>
      <c r="AL15" s="32">
        <v>115.1</v>
      </c>
      <c r="AM15" s="32">
        <v>16.899999999999999</v>
      </c>
      <c r="AN15" s="32">
        <v>78.099999999999994</v>
      </c>
      <c r="AO15" s="32">
        <v>77.2</v>
      </c>
      <c r="AP15" s="32">
        <v>77.2</v>
      </c>
      <c r="AQ15" s="32">
        <v>87.1</v>
      </c>
      <c r="AR15" s="32">
        <v>82.5</v>
      </c>
      <c r="AS15" s="32">
        <v>95.2</v>
      </c>
      <c r="AT15" s="32">
        <v>108.7</v>
      </c>
      <c r="AU15" s="32">
        <v>81.599999999999994</v>
      </c>
      <c r="AV15" s="32">
        <v>103.5</v>
      </c>
      <c r="AW15" s="32">
        <v>160.9</v>
      </c>
      <c r="AX15" s="32">
        <v>124.4</v>
      </c>
      <c r="AY15" s="32">
        <v>360.3</v>
      </c>
      <c r="AZ15" s="32">
        <v>93.6</v>
      </c>
      <c r="BA15" s="32">
        <v>17.2</v>
      </c>
      <c r="BB15" s="32">
        <v>17.2</v>
      </c>
      <c r="BC15" s="32">
        <v>84.8</v>
      </c>
      <c r="BD15" s="32">
        <v>84.8</v>
      </c>
      <c r="BE15" s="32">
        <v>82</v>
      </c>
      <c r="BF15" s="32">
        <v>82</v>
      </c>
      <c r="BG15" s="32">
        <v>64.3</v>
      </c>
      <c r="BH15" s="32">
        <v>61.8</v>
      </c>
      <c r="BI15" s="32">
        <v>62.2</v>
      </c>
      <c r="BJ15" s="32">
        <v>37.299999999999997</v>
      </c>
      <c r="BK15" s="32">
        <v>85.1</v>
      </c>
      <c r="BL15" s="32">
        <v>7.8</v>
      </c>
      <c r="BM15" s="32">
        <v>77.599999999999994</v>
      </c>
      <c r="BN15" s="32">
        <v>72.599999999999994</v>
      </c>
      <c r="BO15" s="32">
        <v>83.4</v>
      </c>
      <c r="BP15" s="32">
        <v>64.5</v>
      </c>
      <c r="BQ15" s="32">
        <v>86</v>
      </c>
      <c r="BR15" s="32">
        <v>60.8</v>
      </c>
      <c r="BS15" s="32">
        <v>218.9</v>
      </c>
      <c r="BT15" s="32">
        <v>62.8</v>
      </c>
      <c r="BU15" s="32">
        <v>87.5</v>
      </c>
      <c r="BV15" s="32">
        <v>87.5</v>
      </c>
      <c r="BW15" s="32">
        <v>127.6</v>
      </c>
      <c r="BX15" s="32">
        <v>55</v>
      </c>
      <c r="BY15" s="32">
        <v>117.7</v>
      </c>
      <c r="BZ15" s="32">
        <v>121.8</v>
      </c>
      <c r="CA15" s="32">
        <v>116</v>
      </c>
      <c r="CB15" s="32">
        <v>84.3</v>
      </c>
      <c r="CC15" s="32">
        <v>175.9</v>
      </c>
      <c r="CD15" s="32">
        <v>49.3</v>
      </c>
      <c r="CE15" s="32">
        <v>94.2</v>
      </c>
      <c r="CF15" s="32">
        <v>60.6</v>
      </c>
      <c r="CG15" s="32">
        <v>80.5</v>
      </c>
      <c r="CH15" s="32">
        <v>80.7</v>
      </c>
      <c r="CI15" s="32">
        <v>100.4</v>
      </c>
      <c r="CJ15" s="32">
        <v>68.7</v>
      </c>
      <c r="CK15" s="32">
        <v>85.6</v>
      </c>
      <c r="CL15" s="32">
        <v>79.400000000000006</v>
      </c>
      <c r="CM15" s="32">
        <v>87.9</v>
      </c>
      <c r="CN15" s="32">
        <v>35.200000000000003</v>
      </c>
      <c r="CO15" s="32">
        <v>102.9</v>
      </c>
      <c r="CP15" s="32">
        <v>78.599999999999994</v>
      </c>
      <c r="CQ15" s="32">
        <v>19.2</v>
      </c>
      <c r="CR15" s="32">
        <v>86.5</v>
      </c>
      <c r="CS15" s="32">
        <v>114.1</v>
      </c>
      <c r="CT15" s="32">
        <v>83.2</v>
      </c>
      <c r="CU15" s="32">
        <v>61.2</v>
      </c>
      <c r="CV15" s="32">
        <v>93.2</v>
      </c>
      <c r="CW15" s="32">
        <v>10.1</v>
      </c>
      <c r="CX15" s="32">
        <v>52.9</v>
      </c>
      <c r="CY15" s="32">
        <v>55.8</v>
      </c>
      <c r="CZ15" s="32">
        <v>53.7</v>
      </c>
      <c r="DA15" s="32">
        <v>44.5</v>
      </c>
      <c r="DB15" s="32">
        <v>72.099999999999994</v>
      </c>
      <c r="DC15" s="32">
        <v>0.7</v>
      </c>
      <c r="DD15" s="32">
        <v>0.7</v>
      </c>
      <c r="DE15" s="32">
        <v>30.1</v>
      </c>
      <c r="DF15" s="32">
        <v>24.3</v>
      </c>
      <c r="DG15" s="32">
        <v>74</v>
      </c>
      <c r="DH15" s="32">
        <v>63.8</v>
      </c>
      <c r="DI15" s="32">
        <v>72.8</v>
      </c>
      <c r="DJ15" s="32">
        <v>111.3</v>
      </c>
      <c r="DK15" s="32">
        <v>111.3</v>
      </c>
      <c r="DL15" s="32">
        <v>29.1</v>
      </c>
      <c r="DM15" s="32">
        <v>64.099999999999994</v>
      </c>
      <c r="DN15" s="32">
        <v>46.8</v>
      </c>
      <c r="DO15" s="32">
        <v>72.2</v>
      </c>
      <c r="DP15" s="32">
        <v>42.3</v>
      </c>
      <c r="DQ15" s="32">
        <v>55</v>
      </c>
      <c r="DR15" s="32">
        <v>55.9</v>
      </c>
      <c r="DS15" s="32">
        <v>52.2</v>
      </c>
      <c r="DT15" s="32">
        <v>46.8</v>
      </c>
      <c r="DU15" s="32">
        <v>48.3</v>
      </c>
      <c r="DV15" s="32">
        <v>53</v>
      </c>
      <c r="DW15" s="32">
        <v>43</v>
      </c>
      <c r="DX15" s="32">
        <v>43.5</v>
      </c>
      <c r="DY15" s="32">
        <v>69.8</v>
      </c>
      <c r="DZ15" s="32">
        <v>109.1</v>
      </c>
      <c r="EA15" s="32">
        <v>109.1</v>
      </c>
      <c r="EB15" s="32">
        <v>51.1</v>
      </c>
      <c r="EC15" s="32">
        <v>49</v>
      </c>
      <c r="ED15" s="32">
        <v>53.7</v>
      </c>
      <c r="EE15" s="32">
        <v>58.9</v>
      </c>
      <c r="EF15" s="32">
        <v>39.799999999999997</v>
      </c>
      <c r="EG15" s="32">
        <v>53.2</v>
      </c>
      <c r="EH15" s="32">
        <v>58.4</v>
      </c>
      <c r="EI15" s="32">
        <v>39.299999999999997</v>
      </c>
      <c r="EJ15" s="32">
        <v>154.19999999999999</v>
      </c>
      <c r="EK15" s="32">
        <v>50.4</v>
      </c>
      <c r="EL15" s="32">
        <v>58.4</v>
      </c>
      <c r="EM15" s="32">
        <v>41.6</v>
      </c>
      <c r="EN15" s="32">
        <v>54.6</v>
      </c>
      <c r="EO15" s="32">
        <v>81.3</v>
      </c>
      <c r="EP15" s="32">
        <v>86.9</v>
      </c>
      <c r="EQ15" s="32">
        <v>86.9</v>
      </c>
      <c r="ER15" s="32">
        <v>95.7</v>
      </c>
      <c r="ES15" s="32">
        <v>95.7</v>
      </c>
      <c r="ET15" s="32">
        <v>67.400000000000006</v>
      </c>
      <c r="EU15" s="32">
        <v>64.400000000000006</v>
      </c>
      <c r="EV15" s="32">
        <v>64.400000000000006</v>
      </c>
      <c r="EW15" s="32">
        <v>75</v>
      </c>
      <c r="EX15" s="32">
        <v>88.5</v>
      </c>
      <c r="EY15" s="32">
        <v>64.5</v>
      </c>
      <c r="EZ15" s="32">
        <v>87.1</v>
      </c>
      <c r="FA15" s="32">
        <v>81.7</v>
      </c>
      <c r="FB15" s="32">
        <v>93.9</v>
      </c>
      <c r="FC15" s="32">
        <v>72.099999999999994</v>
      </c>
      <c r="FD15" s="32">
        <v>76</v>
      </c>
      <c r="FE15" s="32">
        <v>144.6</v>
      </c>
      <c r="FF15" s="32">
        <v>66.900000000000006</v>
      </c>
      <c r="FG15" s="32">
        <v>91.8</v>
      </c>
      <c r="FH15" s="32">
        <v>88.8</v>
      </c>
      <c r="FI15" s="32">
        <v>116.1</v>
      </c>
      <c r="FJ15" s="32">
        <v>89.7</v>
      </c>
      <c r="FK15" s="32">
        <v>87.9</v>
      </c>
      <c r="FL15" s="32">
        <v>87.9</v>
      </c>
    </row>
    <row r="16" spans="1:227" x14ac:dyDescent="0.2">
      <c r="A16" s="33" t="s">
        <v>996</v>
      </c>
      <c r="B16" s="32">
        <v>65.7</v>
      </c>
      <c r="C16" s="32">
        <v>59.4</v>
      </c>
      <c r="D16" s="32">
        <v>87.7</v>
      </c>
      <c r="E16" s="32">
        <v>85.1</v>
      </c>
      <c r="F16" s="32">
        <v>377.4</v>
      </c>
      <c r="G16" s="32">
        <v>8467.2999999999993</v>
      </c>
      <c r="H16" s="32">
        <v>462.6</v>
      </c>
      <c r="I16" s="32">
        <v>76.400000000000006</v>
      </c>
      <c r="J16" s="32">
        <v>68</v>
      </c>
      <c r="K16" s="32">
        <v>90.2</v>
      </c>
      <c r="L16" s="32">
        <v>88.8</v>
      </c>
      <c r="M16" s="32">
        <v>103.8</v>
      </c>
      <c r="N16" s="32">
        <v>59.2</v>
      </c>
      <c r="O16" s="32">
        <v>185.6</v>
      </c>
      <c r="P16" s="32">
        <v>486.4</v>
      </c>
      <c r="Q16" s="32">
        <v>185.4</v>
      </c>
      <c r="R16" s="32">
        <v>72.7</v>
      </c>
      <c r="S16" s="32">
        <v>95.6</v>
      </c>
      <c r="T16" s="32">
        <v>92.4</v>
      </c>
      <c r="U16" s="32">
        <v>25</v>
      </c>
      <c r="V16" s="32">
        <v>138.80000000000001</v>
      </c>
      <c r="W16" s="32">
        <v>43</v>
      </c>
      <c r="X16" s="32">
        <v>26.9</v>
      </c>
      <c r="Y16" s="32">
        <v>57.9</v>
      </c>
      <c r="Z16" s="32">
        <v>140.1</v>
      </c>
      <c r="AA16" s="32">
        <v>56.7</v>
      </c>
      <c r="AB16" s="32">
        <v>59.9</v>
      </c>
      <c r="AC16" s="32">
        <v>47.7</v>
      </c>
      <c r="AD16" s="32">
        <v>66.7</v>
      </c>
      <c r="AE16" s="32">
        <v>195.4</v>
      </c>
      <c r="AF16" s="32">
        <v>195.4</v>
      </c>
      <c r="AG16" s="32">
        <v>50.4</v>
      </c>
      <c r="AH16" s="32">
        <v>50.4</v>
      </c>
      <c r="AI16" s="32">
        <v>191.3</v>
      </c>
      <c r="AJ16" s="32">
        <v>38.5</v>
      </c>
      <c r="AK16" s="32">
        <v>732.6</v>
      </c>
      <c r="AL16" s="32">
        <v>115.6</v>
      </c>
      <c r="AM16" s="32">
        <v>16.8</v>
      </c>
      <c r="AN16" s="32">
        <v>76.8</v>
      </c>
      <c r="AO16" s="32">
        <v>77.5</v>
      </c>
      <c r="AP16" s="32">
        <v>77.5</v>
      </c>
      <c r="AQ16" s="32">
        <v>87.3</v>
      </c>
      <c r="AR16" s="32">
        <v>84</v>
      </c>
      <c r="AS16" s="32">
        <v>93.4</v>
      </c>
      <c r="AT16" s="32">
        <v>107.7</v>
      </c>
      <c r="AU16" s="32">
        <v>78.900000000000006</v>
      </c>
      <c r="AV16" s="32">
        <v>104.3</v>
      </c>
      <c r="AW16" s="32">
        <v>161.6</v>
      </c>
      <c r="AX16" s="32">
        <v>123.9</v>
      </c>
      <c r="AY16" s="32">
        <v>364.3</v>
      </c>
      <c r="AZ16" s="32">
        <v>94.4</v>
      </c>
      <c r="BA16" s="32">
        <v>17.399999999999999</v>
      </c>
      <c r="BB16" s="32">
        <v>17.399999999999999</v>
      </c>
      <c r="BC16" s="32">
        <v>82</v>
      </c>
      <c r="BD16" s="32">
        <v>82</v>
      </c>
      <c r="BE16" s="32">
        <v>83.4</v>
      </c>
      <c r="BF16" s="32">
        <v>83.4</v>
      </c>
      <c r="BG16" s="32">
        <v>64.8</v>
      </c>
      <c r="BH16" s="32">
        <v>62.8</v>
      </c>
      <c r="BI16" s="32">
        <v>62</v>
      </c>
      <c r="BJ16" s="32">
        <v>37.9</v>
      </c>
      <c r="BK16" s="32">
        <v>85</v>
      </c>
      <c r="BL16" s="32">
        <v>7.2</v>
      </c>
      <c r="BM16" s="32">
        <v>77.2</v>
      </c>
      <c r="BN16" s="32">
        <v>72.599999999999994</v>
      </c>
      <c r="BO16" s="32">
        <v>84.8</v>
      </c>
      <c r="BP16" s="32">
        <v>63.6</v>
      </c>
      <c r="BQ16" s="32">
        <v>84.9</v>
      </c>
      <c r="BR16" s="32">
        <v>57.9</v>
      </c>
      <c r="BS16" s="32">
        <v>224</v>
      </c>
      <c r="BT16" s="32">
        <v>61.3</v>
      </c>
      <c r="BU16" s="32">
        <v>86.2</v>
      </c>
      <c r="BV16" s="32">
        <v>86.2</v>
      </c>
      <c r="BW16" s="32">
        <v>128.80000000000001</v>
      </c>
      <c r="BX16" s="32">
        <v>50.3</v>
      </c>
      <c r="BY16" s="32">
        <v>116.5</v>
      </c>
      <c r="BZ16" s="32">
        <v>120.8</v>
      </c>
      <c r="CA16" s="32">
        <v>114.7</v>
      </c>
      <c r="CB16" s="32">
        <v>86.3</v>
      </c>
      <c r="CC16" s="32">
        <v>168.7</v>
      </c>
      <c r="CD16" s="32">
        <v>50.8</v>
      </c>
      <c r="CE16" s="32">
        <v>95.7</v>
      </c>
      <c r="CF16" s="32">
        <v>60.9</v>
      </c>
      <c r="CG16" s="32">
        <v>80.099999999999994</v>
      </c>
      <c r="CH16" s="32">
        <v>79.099999999999994</v>
      </c>
      <c r="CI16" s="32">
        <v>103.2</v>
      </c>
      <c r="CJ16" s="32">
        <v>64.5</v>
      </c>
      <c r="CK16" s="32">
        <v>85.5</v>
      </c>
      <c r="CL16" s="32">
        <v>81.5</v>
      </c>
      <c r="CM16" s="32">
        <v>89.9</v>
      </c>
      <c r="CN16" s="32">
        <v>37.6</v>
      </c>
      <c r="CO16" s="32">
        <v>104.8</v>
      </c>
      <c r="CP16" s="32">
        <v>76.900000000000006</v>
      </c>
      <c r="CQ16" s="32">
        <v>19.3</v>
      </c>
      <c r="CR16" s="32">
        <v>92.6</v>
      </c>
      <c r="CS16" s="32">
        <v>114.6</v>
      </c>
      <c r="CT16" s="32">
        <v>84.6</v>
      </c>
      <c r="CU16" s="32">
        <v>61.1</v>
      </c>
      <c r="CV16" s="32">
        <v>95.2</v>
      </c>
      <c r="CW16" s="32">
        <v>10.6</v>
      </c>
      <c r="CX16" s="32">
        <v>54.2</v>
      </c>
      <c r="CY16" s="32">
        <v>56.2</v>
      </c>
      <c r="CZ16" s="32">
        <v>55.9</v>
      </c>
      <c r="DA16" s="32">
        <v>46.4</v>
      </c>
      <c r="DB16" s="32">
        <v>74.900000000000006</v>
      </c>
      <c r="DC16" s="32">
        <v>0.8</v>
      </c>
      <c r="DD16" s="32">
        <v>0.8</v>
      </c>
      <c r="DE16" s="32">
        <v>31.5</v>
      </c>
      <c r="DF16" s="32">
        <v>25.5</v>
      </c>
      <c r="DG16" s="32">
        <v>76.7</v>
      </c>
      <c r="DH16" s="32">
        <v>63.9</v>
      </c>
      <c r="DI16" s="32">
        <v>74.3</v>
      </c>
      <c r="DJ16" s="32">
        <v>110.9</v>
      </c>
      <c r="DK16" s="32">
        <v>110.9</v>
      </c>
      <c r="DL16" s="32">
        <v>26.8</v>
      </c>
      <c r="DM16" s="32">
        <v>63.9</v>
      </c>
      <c r="DN16" s="32">
        <v>46.6</v>
      </c>
      <c r="DO16" s="32">
        <v>72</v>
      </c>
      <c r="DP16" s="32">
        <v>42.3</v>
      </c>
      <c r="DQ16" s="32">
        <v>55</v>
      </c>
      <c r="DR16" s="32">
        <v>55.2</v>
      </c>
      <c r="DS16" s="32">
        <v>50.9</v>
      </c>
      <c r="DT16" s="32">
        <v>45.9</v>
      </c>
      <c r="DU16" s="32">
        <v>47.4</v>
      </c>
      <c r="DV16" s="32">
        <v>52.3</v>
      </c>
      <c r="DW16" s="32">
        <v>41.9</v>
      </c>
      <c r="DX16" s="32">
        <v>42.5</v>
      </c>
      <c r="DY16" s="32">
        <v>67.3</v>
      </c>
      <c r="DZ16" s="32">
        <v>114.8</v>
      </c>
      <c r="EA16" s="32">
        <v>114.8</v>
      </c>
      <c r="EB16" s="32">
        <v>51</v>
      </c>
      <c r="EC16" s="32">
        <v>47.7</v>
      </c>
      <c r="ED16" s="32">
        <v>55.3</v>
      </c>
      <c r="EE16" s="32">
        <v>61</v>
      </c>
      <c r="EF16" s="32">
        <v>40.299999999999997</v>
      </c>
      <c r="EG16" s="32">
        <v>54.3</v>
      </c>
      <c r="EH16" s="32">
        <v>58.3</v>
      </c>
      <c r="EI16" s="32">
        <v>42.9</v>
      </c>
      <c r="EJ16" s="32">
        <v>150.69999999999999</v>
      </c>
      <c r="EK16" s="32">
        <v>50.7</v>
      </c>
      <c r="EL16" s="32">
        <v>55.5</v>
      </c>
      <c r="EM16" s="32">
        <v>40.9</v>
      </c>
      <c r="EN16" s="32">
        <v>56.1</v>
      </c>
      <c r="EO16" s="32">
        <v>81.599999999999994</v>
      </c>
      <c r="EP16" s="32">
        <v>87.5</v>
      </c>
      <c r="EQ16" s="32">
        <v>87.5</v>
      </c>
      <c r="ER16" s="32">
        <v>95.6</v>
      </c>
      <c r="ES16" s="32">
        <v>95.6</v>
      </c>
      <c r="ET16" s="32">
        <v>67.599999999999994</v>
      </c>
      <c r="EU16" s="32">
        <v>64.7</v>
      </c>
      <c r="EV16" s="32">
        <v>64.7</v>
      </c>
      <c r="EW16" s="32">
        <v>75.3</v>
      </c>
      <c r="EX16" s="32">
        <v>88.9</v>
      </c>
      <c r="EY16" s="32">
        <v>64.599999999999994</v>
      </c>
      <c r="EZ16" s="32">
        <v>90.6</v>
      </c>
      <c r="FA16" s="32">
        <v>84.6</v>
      </c>
      <c r="FB16" s="32">
        <v>99</v>
      </c>
      <c r="FC16" s="32">
        <v>82</v>
      </c>
      <c r="FD16" s="32">
        <v>76.7</v>
      </c>
      <c r="FE16" s="32">
        <v>141.30000000000001</v>
      </c>
      <c r="FF16" s="32">
        <v>67.099999999999994</v>
      </c>
      <c r="FG16" s="32">
        <v>96.3</v>
      </c>
      <c r="FH16" s="32">
        <v>102.5</v>
      </c>
      <c r="FI16" s="32">
        <v>109.5</v>
      </c>
      <c r="FJ16" s="32">
        <v>91.6</v>
      </c>
      <c r="FK16" s="32">
        <v>87.3</v>
      </c>
      <c r="FL16" s="32">
        <v>87.3</v>
      </c>
    </row>
    <row r="17" spans="1:168" x14ac:dyDescent="0.2">
      <c r="A17" s="33" t="s">
        <v>997</v>
      </c>
      <c r="B17" s="32">
        <v>66.2</v>
      </c>
      <c r="C17" s="32">
        <v>60.5</v>
      </c>
      <c r="D17" s="32">
        <v>88.1</v>
      </c>
      <c r="E17" s="32">
        <v>85.3</v>
      </c>
      <c r="F17" s="32">
        <v>376.3</v>
      </c>
      <c r="G17" s="32">
        <v>8011.3</v>
      </c>
      <c r="H17" s="32">
        <v>465.4</v>
      </c>
      <c r="I17" s="32">
        <v>74.400000000000006</v>
      </c>
      <c r="J17" s="32">
        <v>68.2</v>
      </c>
      <c r="K17" s="32">
        <v>90.7</v>
      </c>
      <c r="L17" s="32">
        <v>88.8</v>
      </c>
      <c r="M17" s="32">
        <v>101.8</v>
      </c>
      <c r="N17" s="32">
        <v>57.3</v>
      </c>
      <c r="O17" s="32">
        <v>185.4</v>
      </c>
      <c r="P17" s="32">
        <v>485.1</v>
      </c>
      <c r="Q17" s="32">
        <v>190.2</v>
      </c>
      <c r="R17" s="32">
        <v>72.7</v>
      </c>
      <c r="S17" s="32">
        <v>97.7</v>
      </c>
      <c r="T17" s="32">
        <v>89.4</v>
      </c>
      <c r="U17" s="32">
        <v>28.4</v>
      </c>
      <c r="V17" s="32">
        <v>138.69999999999999</v>
      </c>
      <c r="W17" s="32">
        <v>43.4</v>
      </c>
      <c r="X17" s="32">
        <v>27</v>
      </c>
      <c r="Y17" s="32">
        <v>59.6</v>
      </c>
      <c r="Z17" s="32">
        <v>132.5</v>
      </c>
      <c r="AA17" s="32">
        <v>58.2</v>
      </c>
      <c r="AB17" s="32">
        <v>60.2</v>
      </c>
      <c r="AC17" s="32">
        <v>45.4</v>
      </c>
      <c r="AD17" s="32">
        <v>72.7</v>
      </c>
      <c r="AE17" s="32">
        <v>199.8</v>
      </c>
      <c r="AF17" s="32">
        <v>199.8</v>
      </c>
      <c r="AG17" s="32">
        <v>49.5</v>
      </c>
      <c r="AH17" s="32">
        <v>49.5</v>
      </c>
      <c r="AI17" s="32">
        <v>187.8</v>
      </c>
      <c r="AJ17" s="32">
        <v>39.1</v>
      </c>
      <c r="AK17" s="32">
        <v>760.6</v>
      </c>
      <c r="AL17" s="32">
        <v>109.6</v>
      </c>
      <c r="AM17" s="32">
        <v>16.100000000000001</v>
      </c>
      <c r="AN17" s="32">
        <v>70.2</v>
      </c>
      <c r="AO17" s="32">
        <v>83.5</v>
      </c>
      <c r="AP17" s="32">
        <v>83.5</v>
      </c>
      <c r="AQ17" s="32">
        <v>86.6</v>
      </c>
      <c r="AR17" s="32">
        <v>82.5</v>
      </c>
      <c r="AS17" s="32">
        <v>94.2</v>
      </c>
      <c r="AT17" s="32">
        <v>108.1</v>
      </c>
      <c r="AU17" s="32">
        <v>80.099999999999994</v>
      </c>
      <c r="AV17" s="32">
        <v>102.8</v>
      </c>
      <c r="AW17" s="32">
        <v>166</v>
      </c>
      <c r="AX17" s="32">
        <v>132.9</v>
      </c>
      <c r="AY17" s="32">
        <v>359.8</v>
      </c>
      <c r="AZ17" s="32">
        <v>91.5</v>
      </c>
      <c r="BA17" s="32">
        <v>17.5</v>
      </c>
      <c r="BB17" s="32">
        <v>17.5</v>
      </c>
      <c r="BC17" s="32">
        <v>83.3</v>
      </c>
      <c r="BD17" s="32">
        <v>83.3</v>
      </c>
      <c r="BE17" s="32">
        <v>84.4</v>
      </c>
      <c r="BF17" s="32">
        <v>84.4</v>
      </c>
      <c r="BG17" s="32">
        <v>64.2</v>
      </c>
      <c r="BH17" s="32">
        <v>61.5</v>
      </c>
      <c r="BI17" s="32">
        <v>62.2</v>
      </c>
      <c r="BJ17" s="32">
        <v>38.700000000000003</v>
      </c>
      <c r="BK17" s="32">
        <v>85.2</v>
      </c>
      <c r="BL17" s="32">
        <v>6.9</v>
      </c>
      <c r="BM17" s="32">
        <v>76</v>
      </c>
      <c r="BN17" s="32">
        <v>71.7</v>
      </c>
      <c r="BO17" s="32">
        <v>82.8</v>
      </c>
      <c r="BP17" s="32">
        <v>63.3</v>
      </c>
      <c r="BQ17" s="32">
        <v>83.5</v>
      </c>
      <c r="BR17" s="32">
        <v>65.8</v>
      </c>
      <c r="BS17" s="32">
        <v>228.9</v>
      </c>
      <c r="BT17" s="32">
        <v>58.2</v>
      </c>
      <c r="BU17" s="32">
        <v>86.3</v>
      </c>
      <c r="BV17" s="32">
        <v>86.3</v>
      </c>
      <c r="BW17" s="32">
        <v>129.6</v>
      </c>
      <c r="BX17" s="32">
        <v>49.8</v>
      </c>
      <c r="BY17" s="32">
        <v>117.6</v>
      </c>
      <c r="BZ17" s="32">
        <v>121.3</v>
      </c>
      <c r="CA17" s="32">
        <v>116</v>
      </c>
      <c r="CB17" s="32">
        <v>88</v>
      </c>
      <c r="CC17" s="32">
        <v>169.5</v>
      </c>
      <c r="CD17" s="32">
        <v>53</v>
      </c>
      <c r="CE17" s="32">
        <v>97.1</v>
      </c>
      <c r="CF17" s="32">
        <v>61.4</v>
      </c>
      <c r="CG17" s="32">
        <v>80.5</v>
      </c>
      <c r="CH17" s="32">
        <v>79.7</v>
      </c>
      <c r="CI17" s="32">
        <v>99.4</v>
      </c>
      <c r="CJ17" s="32">
        <v>66.099999999999994</v>
      </c>
      <c r="CK17" s="32">
        <v>86.1</v>
      </c>
      <c r="CL17" s="32">
        <v>81.7</v>
      </c>
      <c r="CM17" s="32">
        <v>93.2</v>
      </c>
      <c r="CN17" s="32">
        <v>40.200000000000003</v>
      </c>
      <c r="CO17" s="32">
        <v>108.2</v>
      </c>
      <c r="CP17" s="32">
        <v>74.7</v>
      </c>
      <c r="CQ17" s="32">
        <v>19.399999999999999</v>
      </c>
      <c r="CR17" s="32">
        <v>90.9</v>
      </c>
      <c r="CS17" s="32">
        <v>111.1</v>
      </c>
      <c r="CT17" s="32">
        <v>84.6</v>
      </c>
      <c r="CU17" s="32">
        <v>60</v>
      </c>
      <c r="CV17" s="32">
        <v>95.8</v>
      </c>
      <c r="CW17" s="32">
        <v>10.9</v>
      </c>
      <c r="CX17" s="32">
        <v>55.8</v>
      </c>
      <c r="CY17" s="32">
        <v>58.1</v>
      </c>
      <c r="CZ17" s="32">
        <v>57.6</v>
      </c>
      <c r="DA17" s="32">
        <v>47.8</v>
      </c>
      <c r="DB17" s="32">
        <v>77</v>
      </c>
      <c r="DC17" s="32">
        <v>0.8</v>
      </c>
      <c r="DD17" s="32">
        <v>0.8</v>
      </c>
      <c r="DE17" s="32">
        <v>33.6</v>
      </c>
      <c r="DF17" s="32">
        <v>27.6</v>
      </c>
      <c r="DG17" s="32">
        <v>77.8</v>
      </c>
      <c r="DH17" s="32">
        <v>68.599999999999994</v>
      </c>
      <c r="DI17" s="32">
        <v>83.4</v>
      </c>
      <c r="DJ17" s="32">
        <v>111.6</v>
      </c>
      <c r="DK17" s="32">
        <v>111.6</v>
      </c>
      <c r="DL17" s="32">
        <v>27.2</v>
      </c>
      <c r="DM17" s="32">
        <v>63.8</v>
      </c>
      <c r="DN17" s="32">
        <v>45.7</v>
      </c>
      <c r="DO17" s="32">
        <v>72.3</v>
      </c>
      <c r="DP17" s="32">
        <v>42.1</v>
      </c>
      <c r="DQ17" s="32">
        <v>54.2</v>
      </c>
      <c r="DR17" s="32">
        <v>55.5</v>
      </c>
      <c r="DS17" s="32">
        <v>52</v>
      </c>
      <c r="DT17" s="32">
        <v>46.6</v>
      </c>
      <c r="DU17" s="32">
        <v>48.9</v>
      </c>
      <c r="DV17" s="32">
        <v>53.3</v>
      </c>
      <c r="DW17" s="32">
        <v>43.8</v>
      </c>
      <c r="DX17" s="32">
        <v>41.6</v>
      </c>
      <c r="DY17" s="32">
        <v>69.400000000000006</v>
      </c>
      <c r="DZ17" s="32">
        <v>111</v>
      </c>
      <c r="EA17" s="32">
        <v>111</v>
      </c>
      <c r="EB17" s="32">
        <v>49.9</v>
      </c>
      <c r="EC17" s="32">
        <v>47</v>
      </c>
      <c r="ED17" s="32">
        <v>53.9</v>
      </c>
      <c r="EE17" s="32">
        <v>58.8</v>
      </c>
      <c r="EF17" s="32">
        <v>40.9</v>
      </c>
      <c r="EG17" s="32">
        <v>51.9</v>
      </c>
      <c r="EH17" s="32">
        <v>56.3</v>
      </c>
      <c r="EI17" s="32">
        <v>41.2</v>
      </c>
      <c r="EJ17" s="32">
        <v>138.80000000000001</v>
      </c>
      <c r="EK17" s="32">
        <v>48.5</v>
      </c>
      <c r="EL17" s="32">
        <v>56.5</v>
      </c>
      <c r="EM17" s="32">
        <v>39.9</v>
      </c>
      <c r="EN17" s="32">
        <v>52.5</v>
      </c>
      <c r="EO17" s="32">
        <v>82</v>
      </c>
      <c r="EP17" s="32">
        <v>89.4</v>
      </c>
      <c r="EQ17" s="32">
        <v>89.4</v>
      </c>
      <c r="ER17" s="32">
        <v>95</v>
      </c>
      <c r="ES17" s="32">
        <v>95</v>
      </c>
      <c r="ET17" s="32">
        <v>67.7</v>
      </c>
      <c r="EU17" s="32">
        <v>64.7</v>
      </c>
      <c r="EV17" s="32">
        <v>64.7</v>
      </c>
      <c r="EW17" s="32">
        <v>75.400000000000006</v>
      </c>
      <c r="EX17" s="32">
        <v>89.4</v>
      </c>
      <c r="EY17" s="32">
        <v>64.5</v>
      </c>
      <c r="EZ17" s="32">
        <v>90.3</v>
      </c>
      <c r="FA17" s="32">
        <v>86.1</v>
      </c>
      <c r="FB17" s="32">
        <v>101.6</v>
      </c>
      <c r="FC17" s="32">
        <v>86.6</v>
      </c>
      <c r="FD17" s="32">
        <v>78.5</v>
      </c>
      <c r="FE17" s="32">
        <v>140</v>
      </c>
      <c r="FF17" s="32">
        <v>67.099999999999994</v>
      </c>
      <c r="FG17" s="32">
        <v>94.5</v>
      </c>
      <c r="FH17" s="32">
        <v>103.8</v>
      </c>
      <c r="FI17" s="32">
        <v>110</v>
      </c>
      <c r="FJ17" s="32">
        <v>88.3</v>
      </c>
      <c r="FK17" s="32">
        <v>86.4</v>
      </c>
      <c r="FL17" s="32">
        <v>86.4</v>
      </c>
    </row>
    <row r="18" spans="1:168" x14ac:dyDescent="0.2">
      <c r="A18" s="33" t="s">
        <v>998</v>
      </c>
      <c r="B18" s="32">
        <v>66</v>
      </c>
      <c r="C18" s="32">
        <v>61.5</v>
      </c>
      <c r="D18" s="32">
        <v>88.2</v>
      </c>
      <c r="E18" s="32">
        <v>85.3</v>
      </c>
      <c r="F18" s="32">
        <v>383.2</v>
      </c>
      <c r="G18" s="32">
        <v>7955.1</v>
      </c>
      <c r="H18" s="32">
        <v>475.4</v>
      </c>
      <c r="I18" s="32">
        <v>75.5</v>
      </c>
      <c r="J18" s="32">
        <v>68.099999999999994</v>
      </c>
      <c r="K18" s="32">
        <v>90.3</v>
      </c>
      <c r="L18" s="32">
        <v>88.8</v>
      </c>
      <c r="M18" s="32">
        <v>102</v>
      </c>
      <c r="N18" s="32">
        <v>54.4</v>
      </c>
      <c r="O18" s="32">
        <v>180.2</v>
      </c>
      <c r="P18" s="32">
        <v>485.3</v>
      </c>
      <c r="Q18" s="32">
        <v>190.3</v>
      </c>
      <c r="R18" s="32">
        <v>72.5</v>
      </c>
      <c r="S18" s="32">
        <v>98.3</v>
      </c>
      <c r="T18" s="32">
        <v>96.6</v>
      </c>
      <c r="U18" s="32">
        <v>29.6</v>
      </c>
      <c r="V18" s="32">
        <v>133.80000000000001</v>
      </c>
      <c r="W18" s="32">
        <v>42.8</v>
      </c>
      <c r="X18" s="32">
        <v>26.2</v>
      </c>
      <c r="Y18" s="32">
        <v>59.2</v>
      </c>
      <c r="Z18" s="32">
        <v>136.9</v>
      </c>
      <c r="AA18" s="32">
        <v>58.8</v>
      </c>
      <c r="AB18" s="32">
        <v>64.400000000000006</v>
      </c>
      <c r="AC18" s="32">
        <v>48.3</v>
      </c>
      <c r="AD18" s="32">
        <v>69.3</v>
      </c>
      <c r="AE18" s="32">
        <v>195.1</v>
      </c>
      <c r="AF18" s="32">
        <v>195.1</v>
      </c>
      <c r="AG18" s="32">
        <v>51.4</v>
      </c>
      <c r="AH18" s="32">
        <v>51.4</v>
      </c>
      <c r="AI18" s="32">
        <v>186.5</v>
      </c>
      <c r="AJ18" s="32">
        <v>40.6</v>
      </c>
      <c r="AK18" s="32">
        <v>747.1</v>
      </c>
      <c r="AL18" s="32">
        <v>119.7</v>
      </c>
      <c r="AM18" s="32">
        <v>17.5</v>
      </c>
      <c r="AN18" s="32">
        <v>71.8</v>
      </c>
      <c r="AO18" s="32">
        <v>75.599999999999994</v>
      </c>
      <c r="AP18" s="32">
        <v>75.599999999999994</v>
      </c>
      <c r="AQ18" s="32">
        <v>84.6</v>
      </c>
      <c r="AR18" s="32">
        <v>80.2</v>
      </c>
      <c r="AS18" s="32">
        <v>92.5</v>
      </c>
      <c r="AT18" s="32">
        <v>105.4</v>
      </c>
      <c r="AU18" s="32">
        <v>79.7</v>
      </c>
      <c r="AV18" s="32">
        <v>108.4</v>
      </c>
      <c r="AW18" s="32">
        <v>171.2</v>
      </c>
      <c r="AX18" s="32">
        <v>138.30000000000001</v>
      </c>
      <c r="AY18" s="32">
        <v>368.1</v>
      </c>
      <c r="AZ18" s="32">
        <v>97.4</v>
      </c>
      <c r="BA18" s="32">
        <v>17.3</v>
      </c>
      <c r="BB18" s="32">
        <v>17.3</v>
      </c>
      <c r="BC18" s="32">
        <v>82.9</v>
      </c>
      <c r="BD18" s="32">
        <v>82.9</v>
      </c>
      <c r="BE18" s="32">
        <v>84.7</v>
      </c>
      <c r="BF18" s="32">
        <v>84.7</v>
      </c>
      <c r="BG18" s="32">
        <v>63.3</v>
      </c>
      <c r="BH18" s="32">
        <v>61.8</v>
      </c>
      <c r="BI18" s="32">
        <v>60</v>
      </c>
      <c r="BJ18" s="32">
        <v>39.4</v>
      </c>
      <c r="BK18" s="32">
        <v>81.400000000000006</v>
      </c>
      <c r="BL18" s="32">
        <v>6.5</v>
      </c>
      <c r="BM18" s="32">
        <v>75</v>
      </c>
      <c r="BN18" s="32">
        <v>68.3</v>
      </c>
      <c r="BO18" s="32">
        <v>78.900000000000006</v>
      </c>
      <c r="BP18" s="32">
        <v>60.4</v>
      </c>
      <c r="BQ18" s="32">
        <v>85.9</v>
      </c>
      <c r="BR18" s="32">
        <v>60.5</v>
      </c>
      <c r="BS18" s="32">
        <v>208.8</v>
      </c>
      <c r="BT18" s="32">
        <v>64</v>
      </c>
      <c r="BU18" s="32">
        <v>82.9</v>
      </c>
      <c r="BV18" s="32">
        <v>82.9</v>
      </c>
      <c r="BW18" s="32">
        <v>123.7</v>
      </c>
      <c r="BX18" s="32">
        <v>49.1</v>
      </c>
      <c r="BY18" s="32">
        <v>121.8</v>
      </c>
      <c r="BZ18" s="32">
        <v>121</v>
      </c>
      <c r="CA18" s="32">
        <v>122.8</v>
      </c>
      <c r="CB18" s="32">
        <v>88.5</v>
      </c>
      <c r="CC18" s="32">
        <v>188.3</v>
      </c>
      <c r="CD18" s="32">
        <v>52</v>
      </c>
      <c r="CE18" s="32">
        <v>97.9</v>
      </c>
      <c r="CF18" s="32">
        <v>61.1</v>
      </c>
      <c r="CG18" s="32">
        <v>78.5</v>
      </c>
      <c r="CH18" s="32">
        <v>77.599999999999994</v>
      </c>
      <c r="CI18" s="32">
        <v>95.3</v>
      </c>
      <c r="CJ18" s="32">
        <v>62.3</v>
      </c>
      <c r="CK18" s="32">
        <v>86.2</v>
      </c>
      <c r="CL18" s="32">
        <v>79.900000000000006</v>
      </c>
      <c r="CM18" s="32">
        <v>89</v>
      </c>
      <c r="CN18" s="32">
        <v>40.4</v>
      </c>
      <c r="CO18" s="32">
        <v>102.7</v>
      </c>
      <c r="CP18" s="32">
        <v>71</v>
      </c>
      <c r="CQ18" s="32">
        <v>19.100000000000001</v>
      </c>
      <c r="CR18" s="32">
        <v>92.1</v>
      </c>
      <c r="CS18" s="32">
        <v>109.8</v>
      </c>
      <c r="CT18" s="32">
        <v>82.6</v>
      </c>
      <c r="CU18" s="32">
        <v>59.6</v>
      </c>
      <c r="CV18" s="32">
        <v>93.1</v>
      </c>
      <c r="CW18" s="32">
        <v>10.7</v>
      </c>
      <c r="CX18" s="32">
        <v>54</v>
      </c>
      <c r="CY18" s="32">
        <v>56.2</v>
      </c>
      <c r="CZ18" s="32">
        <v>55.7</v>
      </c>
      <c r="DA18" s="32">
        <v>45.9</v>
      </c>
      <c r="DB18" s="32">
        <v>75.7</v>
      </c>
      <c r="DC18" s="32">
        <v>0.8</v>
      </c>
      <c r="DD18" s="32">
        <v>0.8</v>
      </c>
      <c r="DE18" s="32">
        <v>32.799999999999997</v>
      </c>
      <c r="DF18" s="32">
        <v>26.7</v>
      </c>
      <c r="DG18" s="32">
        <v>78.5</v>
      </c>
      <c r="DH18" s="32">
        <v>75.900000000000006</v>
      </c>
      <c r="DI18" s="32">
        <v>95.9</v>
      </c>
      <c r="DJ18" s="32">
        <v>113.4</v>
      </c>
      <c r="DK18" s="32">
        <v>113.4</v>
      </c>
      <c r="DL18" s="32">
        <v>30.8</v>
      </c>
      <c r="DM18" s="32">
        <v>63.8</v>
      </c>
      <c r="DN18" s="32">
        <v>45.5</v>
      </c>
      <c r="DO18" s="32">
        <v>72.3</v>
      </c>
      <c r="DP18" s="32">
        <v>42.5</v>
      </c>
      <c r="DQ18" s="32">
        <v>52.7</v>
      </c>
      <c r="DR18" s="32">
        <v>53.7</v>
      </c>
      <c r="DS18" s="32">
        <v>49.9</v>
      </c>
      <c r="DT18" s="32">
        <v>45.3</v>
      </c>
      <c r="DU18" s="32">
        <v>46.9</v>
      </c>
      <c r="DV18" s="32">
        <v>52.4</v>
      </c>
      <c r="DW18" s="32">
        <v>40.6</v>
      </c>
      <c r="DX18" s="32">
        <v>41.7</v>
      </c>
      <c r="DY18" s="32">
        <v>64.900000000000006</v>
      </c>
      <c r="DZ18" s="32">
        <v>107.9</v>
      </c>
      <c r="EA18" s="32">
        <v>107.9</v>
      </c>
      <c r="EB18" s="32">
        <v>49.3</v>
      </c>
      <c r="EC18" s="32">
        <v>46.8</v>
      </c>
      <c r="ED18" s="32">
        <v>53</v>
      </c>
      <c r="EE18" s="32">
        <v>57.6</v>
      </c>
      <c r="EF18" s="32">
        <v>40.799999999999997</v>
      </c>
      <c r="EG18" s="32">
        <v>50.9</v>
      </c>
      <c r="EH18" s="32">
        <v>57.1</v>
      </c>
      <c r="EI18" s="32">
        <v>38.4</v>
      </c>
      <c r="EJ18" s="32">
        <v>141.30000000000001</v>
      </c>
      <c r="EK18" s="32">
        <v>47.3</v>
      </c>
      <c r="EL18" s="32">
        <v>59.3</v>
      </c>
      <c r="EM18" s="32">
        <v>39.4</v>
      </c>
      <c r="EN18" s="32">
        <v>50.4</v>
      </c>
      <c r="EO18" s="32">
        <v>81.099999999999994</v>
      </c>
      <c r="EP18" s="32">
        <v>86.8</v>
      </c>
      <c r="EQ18" s="32">
        <v>86.8</v>
      </c>
      <c r="ER18" s="32">
        <v>93.9</v>
      </c>
      <c r="ES18" s="32">
        <v>93.9</v>
      </c>
      <c r="ET18" s="32">
        <v>68.099999999999994</v>
      </c>
      <c r="EU18" s="32">
        <v>65.2</v>
      </c>
      <c r="EV18" s="32">
        <v>65.2</v>
      </c>
      <c r="EW18" s="32">
        <v>75.5</v>
      </c>
      <c r="EX18" s="32">
        <v>89.8</v>
      </c>
      <c r="EY18" s="32">
        <v>64.3</v>
      </c>
      <c r="EZ18" s="32">
        <v>87</v>
      </c>
      <c r="FA18" s="32">
        <v>80.5</v>
      </c>
      <c r="FB18" s="32">
        <v>98.3</v>
      </c>
      <c r="FC18" s="32">
        <v>81</v>
      </c>
      <c r="FD18" s="32">
        <v>80.5</v>
      </c>
      <c r="FE18" s="32">
        <v>139.4</v>
      </c>
      <c r="FF18" s="32">
        <v>58.5</v>
      </c>
      <c r="FG18" s="32">
        <v>93.1</v>
      </c>
      <c r="FH18" s="32">
        <v>103.5</v>
      </c>
      <c r="FI18" s="32">
        <v>104.5</v>
      </c>
      <c r="FJ18" s="32">
        <v>87</v>
      </c>
      <c r="FK18" s="32">
        <v>84.6</v>
      </c>
      <c r="FL18" s="32">
        <v>84.6</v>
      </c>
    </row>
    <row r="19" spans="1:168" x14ac:dyDescent="0.2">
      <c r="A19" s="33" t="s">
        <v>999</v>
      </c>
      <c r="B19" s="32">
        <v>66.599999999999994</v>
      </c>
      <c r="C19" s="32">
        <v>62.5</v>
      </c>
      <c r="D19" s="32">
        <v>88.9</v>
      </c>
      <c r="E19" s="32">
        <v>86.1</v>
      </c>
      <c r="F19" s="32">
        <v>371.5</v>
      </c>
      <c r="G19" s="32">
        <v>7693</v>
      </c>
      <c r="H19" s="32">
        <v>460.3</v>
      </c>
      <c r="I19" s="32">
        <v>74.099999999999994</v>
      </c>
      <c r="J19" s="32">
        <v>68.8</v>
      </c>
      <c r="K19" s="32">
        <v>90.1</v>
      </c>
      <c r="L19" s="32">
        <v>89.1</v>
      </c>
      <c r="M19" s="32">
        <v>101.7</v>
      </c>
      <c r="N19" s="32">
        <v>53</v>
      </c>
      <c r="O19" s="32">
        <v>177.8</v>
      </c>
      <c r="P19" s="32">
        <v>484</v>
      </c>
      <c r="Q19" s="32">
        <v>187</v>
      </c>
      <c r="R19" s="32">
        <v>71.7</v>
      </c>
      <c r="S19" s="32">
        <v>101</v>
      </c>
      <c r="T19" s="32">
        <v>97.1</v>
      </c>
      <c r="U19" s="32">
        <v>29.5</v>
      </c>
      <c r="V19" s="32">
        <v>130.1</v>
      </c>
      <c r="W19" s="32">
        <v>43.2</v>
      </c>
      <c r="X19" s="32">
        <v>27.5</v>
      </c>
      <c r="Y19" s="32">
        <v>58.2</v>
      </c>
      <c r="Z19" s="32">
        <v>134.1</v>
      </c>
      <c r="AA19" s="32">
        <v>59.6</v>
      </c>
      <c r="AB19" s="32">
        <v>66.599999999999994</v>
      </c>
      <c r="AC19" s="32">
        <v>48.9</v>
      </c>
      <c r="AD19" s="32">
        <v>69.5</v>
      </c>
      <c r="AE19" s="32">
        <v>191.9</v>
      </c>
      <c r="AF19" s="32">
        <v>191.9</v>
      </c>
      <c r="AG19" s="32">
        <v>52.1</v>
      </c>
      <c r="AH19" s="32">
        <v>52.1</v>
      </c>
      <c r="AI19" s="32">
        <v>198.4</v>
      </c>
      <c r="AJ19" s="32">
        <v>40.6</v>
      </c>
      <c r="AK19" s="32">
        <v>819.4</v>
      </c>
      <c r="AL19" s="32">
        <v>127</v>
      </c>
      <c r="AM19" s="32">
        <v>16.899999999999999</v>
      </c>
      <c r="AN19" s="32">
        <v>71</v>
      </c>
      <c r="AO19" s="32">
        <v>75.8</v>
      </c>
      <c r="AP19" s="32">
        <v>75.8</v>
      </c>
      <c r="AQ19" s="32">
        <v>88.5</v>
      </c>
      <c r="AR19" s="32">
        <v>83.7</v>
      </c>
      <c r="AS19" s="32">
        <v>97.3</v>
      </c>
      <c r="AT19" s="32">
        <v>108.6</v>
      </c>
      <c r="AU19" s="32">
        <v>87</v>
      </c>
      <c r="AV19" s="32">
        <v>102.1</v>
      </c>
      <c r="AW19" s="32">
        <v>157.4</v>
      </c>
      <c r="AX19" s="32">
        <v>116.9</v>
      </c>
      <c r="AY19" s="32">
        <v>365.5</v>
      </c>
      <c r="AZ19" s="32">
        <v>92.6</v>
      </c>
      <c r="BA19" s="32">
        <v>19.100000000000001</v>
      </c>
      <c r="BB19" s="32">
        <v>19.100000000000001</v>
      </c>
      <c r="BC19" s="32">
        <v>85.3</v>
      </c>
      <c r="BD19" s="32">
        <v>85.3</v>
      </c>
      <c r="BE19" s="32">
        <v>85.8</v>
      </c>
      <c r="BF19" s="32">
        <v>85.8</v>
      </c>
      <c r="BG19" s="32">
        <v>63.1</v>
      </c>
      <c r="BH19" s="32">
        <v>60.3</v>
      </c>
      <c r="BI19" s="32">
        <v>61.4</v>
      </c>
      <c r="BJ19" s="32">
        <v>40.299999999999997</v>
      </c>
      <c r="BK19" s="32">
        <v>83.8</v>
      </c>
      <c r="BL19" s="32">
        <v>5.9</v>
      </c>
      <c r="BM19" s="32">
        <v>76.7</v>
      </c>
      <c r="BN19" s="32">
        <v>69.599999999999994</v>
      </c>
      <c r="BO19" s="32">
        <v>82.1</v>
      </c>
      <c r="BP19" s="32">
        <v>60.4</v>
      </c>
      <c r="BQ19" s="32">
        <v>88.3</v>
      </c>
      <c r="BR19" s="32">
        <v>74.599999999999994</v>
      </c>
      <c r="BS19" s="32">
        <v>218.6</v>
      </c>
      <c r="BT19" s="32">
        <v>63.9</v>
      </c>
      <c r="BU19" s="32">
        <v>85.7</v>
      </c>
      <c r="BV19" s="32">
        <v>85.7</v>
      </c>
      <c r="BW19" s="32">
        <v>130.5</v>
      </c>
      <c r="BX19" s="32">
        <v>47.2</v>
      </c>
      <c r="BY19" s="32">
        <v>124.9</v>
      </c>
      <c r="BZ19" s="32">
        <v>123.3</v>
      </c>
      <c r="CA19" s="32">
        <v>126.3</v>
      </c>
      <c r="CB19" s="32">
        <v>94.1</v>
      </c>
      <c r="CC19" s="32">
        <v>188.2</v>
      </c>
      <c r="CD19" s="32">
        <v>55</v>
      </c>
      <c r="CE19" s="32">
        <v>98.2</v>
      </c>
      <c r="CF19" s="32">
        <v>61.6</v>
      </c>
      <c r="CG19" s="32">
        <v>79.599999999999994</v>
      </c>
      <c r="CH19" s="32">
        <v>79</v>
      </c>
      <c r="CI19" s="32">
        <v>95</v>
      </c>
      <c r="CJ19" s="32">
        <v>65.7</v>
      </c>
      <c r="CK19" s="32">
        <v>86.2</v>
      </c>
      <c r="CL19" s="32">
        <v>81.3</v>
      </c>
      <c r="CM19" s="32">
        <v>90.3</v>
      </c>
      <c r="CN19" s="32">
        <v>42.6</v>
      </c>
      <c r="CO19" s="32">
        <v>103.6</v>
      </c>
      <c r="CP19" s="32">
        <v>69.3</v>
      </c>
      <c r="CQ19" s="32">
        <v>19.7</v>
      </c>
      <c r="CR19" s="32">
        <v>92.6</v>
      </c>
      <c r="CS19" s="32">
        <v>115.1</v>
      </c>
      <c r="CT19" s="32">
        <v>81.599999999999994</v>
      </c>
      <c r="CU19" s="32">
        <v>58.6</v>
      </c>
      <c r="CV19" s="32">
        <v>92</v>
      </c>
      <c r="CW19" s="32">
        <v>10.5</v>
      </c>
      <c r="CX19" s="32">
        <v>54</v>
      </c>
      <c r="CY19" s="32">
        <v>57.7</v>
      </c>
      <c r="CZ19" s="32">
        <v>54.2</v>
      </c>
      <c r="DA19" s="32">
        <v>44.2</v>
      </c>
      <c r="DB19" s="32">
        <v>74.7</v>
      </c>
      <c r="DC19" s="32">
        <v>0.8</v>
      </c>
      <c r="DD19" s="32">
        <v>0.8</v>
      </c>
      <c r="DE19" s="32">
        <v>29.8</v>
      </c>
      <c r="DF19" s="32">
        <v>24.6</v>
      </c>
      <c r="DG19" s="32">
        <v>67.900000000000006</v>
      </c>
      <c r="DH19" s="32">
        <v>77.400000000000006</v>
      </c>
      <c r="DI19" s="32">
        <v>99.7</v>
      </c>
      <c r="DJ19" s="32">
        <v>113.8</v>
      </c>
      <c r="DK19" s="32">
        <v>113.8</v>
      </c>
      <c r="DL19" s="32">
        <v>29.5</v>
      </c>
      <c r="DM19" s="32">
        <v>64.400000000000006</v>
      </c>
      <c r="DN19" s="32">
        <v>45.2</v>
      </c>
      <c r="DO19" s="32">
        <v>73.2</v>
      </c>
      <c r="DP19" s="32">
        <v>41.9</v>
      </c>
      <c r="DQ19" s="32">
        <v>53.6</v>
      </c>
      <c r="DR19" s="32">
        <v>55.3</v>
      </c>
      <c r="DS19" s="32">
        <v>52.3</v>
      </c>
      <c r="DT19" s="32">
        <v>48.2</v>
      </c>
      <c r="DU19" s="32">
        <v>50.7</v>
      </c>
      <c r="DV19" s="32">
        <v>52</v>
      </c>
      <c r="DW19" s="32">
        <v>49.1</v>
      </c>
      <c r="DX19" s="32">
        <v>42.8</v>
      </c>
      <c r="DY19" s="32">
        <v>65.599999999999994</v>
      </c>
      <c r="DZ19" s="32">
        <v>107.7</v>
      </c>
      <c r="EA19" s="32">
        <v>107.7</v>
      </c>
      <c r="EB19" s="32">
        <v>48.8</v>
      </c>
      <c r="EC19" s="32">
        <v>47.6</v>
      </c>
      <c r="ED19" s="32">
        <v>50.5</v>
      </c>
      <c r="EE19" s="32">
        <v>54</v>
      </c>
      <c r="EF19" s="32">
        <v>41.1</v>
      </c>
      <c r="EG19" s="32">
        <v>50.8</v>
      </c>
      <c r="EH19" s="32">
        <v>58.2</v>
      </c>
      <c r="EI19" s="32">
        <v>39.299999999999997</v>
      </c>
      <c r="EJ19" s="32">
        <v>145.1</v>
      </c>
      <c r="EK19" s="32">
        <v>45.4</v>
      </c>
      <c r="EL19" s="32">
        <v>62.3</v>
      </c>
      <c r="EM19" s="32">
        <v>39.5</v>
      </c>
      <c r="EN19" s="32">
        <v>46.1</v>
      </c>
      <c r="EO19" s="32">
        <v>81.7</v>
      </c>
      <c r="EP19" s="32">
        <v>88.5</v>
      </c>
      <c r="EQ19" s="32">
        <v>88.5</v>
      </c>
      <c r="ER19" s="32">
        <v>94</v>
      </c>
      <c r="ES19" s="32">
        <v>94</v>
      </c>
      <c r="ET19" s="32">
        <v>68.099999999999994</v>
      </c>
      <c r="EU19" s="32">
        <v>65.2</v>
      </c>
      <c r="EV19" s="32">
        <v>65.2</v>
      </c>
      <c r="EW19" s="32">
        <v>75.8</v>
      </c>
      <c r="EX19" s="32">
        <v>90.4</v>
      </c>
      <c r="EY19" s="32">
        <v>64.400000000000006</v>
      </c>
      <c r="EZ19" s="32">
        <v>84.6</v>
      </c>
      <c r="FA19" s="32">
        <v>77.599999999999994</v>
      </c>
      <c r="FB19" s="32">
        <v>92.5</v>
      </c>
      <c r="FC19" s="32">
        <v>71.2</v>
      </c>
      <c r="FD19" s="32">
        <v>82.6</v>
      </c>
      <c r="FE19" s="32">
        <v>138.4</v>
      </c>
      <c r="FF19" s="32">
        <v>59.2</v>
      </c>
      <c r="FG19" s="32">
        <v>91</v>
      </c>
      <c r="FH19" s="32">
        <v>97.3</v>
      </c>
      <c r="FI19" s="32">
        <v>110.8</v>
      </c>
      <c r="FJ19" s="32">
        <v>85.7</v>
      </c>
      <c r="FK19" s="32">
        <v>83.3</v>
      </c>
      <c r="FL19" s="32">
        <v>83.3</v>
      </c>
    </row>
    <row r="20" spans="1:168" x14ac:dyDescent="0.2">
      <c r="A20" s="33" t="s">
        <v>1000</v>
      </c>
      <c r="B20" s="32">
        <v>66.400000000000006</v>
      </c>
      <c r="C20" s="32">
        <v>63.2</v>
      </c>
      <c r="D20" s="32">
        <v>89.3</v>
      </c>
      <c r="E20" s="32">
        <v>86.7</v>
      </c>
      <c r="F20" s="32">
        <v>373.3</v>
      </c>
      <c r="G20" s="32">
        <v>7741.3</v>
      </c>
      <c r="H20" s="32">
        <v>465.6</v>
      </c>
      <c r="I20" s="32">
        <v>72.599999999999994</v>
      </c>
      <c r="J20" s="32">
        <v>69.3</v>
      </c>
      <c r="K20" s="32">
        <v>89</v>
      </c>
      <c r="L20" s="32">
        <v>88.2</v>
      </c>
      <c r="M20" s="32">
        <v>105.8</v>
      </c>
      <c r="N20" s="32">
        <v>53.9</v>
      </c>
      <c r="O20" s="32">
        <v>180.9</v>
      </c>
      <c r="P20" s="32">
        <v>480.2</v>
      </c>
      <c r="Q20" s="32">
        <v>186.8</v>
      </c>
      <c r="R20" s="32">
        <v>70</v>
      </c>
      <c r="S20" s="32">
        <v>97.3</v>
      </c>
      <c r="T20" s="32">
        <v>95.7</v>
      </c>
      <c r="U20" s="32">
        <v>29.7</v>
      </c>
      <c r="V20" s="32">
        <v>126.6</v>
      </c>
      <c r="W20" s="32">
        <v>43.3</v>
      </c>
      <c r="X20" s="32">
        <v>28.5</v>
      </c>
      <c r="Y20" s="32">
        <v>56.5</v>
      </c>
      <c r="Z20" s="32">
        <v>132</v>
      </c>
      <c r="AA20" s="32">
        <v>59.1</v>
      </c>
      <c r="AB20" s="32">
        <v>62</v>
      </c>
      <c r="AC20" s="32">
        <v>47.6</v>
      </c>
      <c r="AD20" s="32">
        <v>72.099999999999994</v>
      </c>
      <c r="AE20" s="32">
        <v>210.2</v>
      </c>
      <c r="AF20" s="32">
        <v>210.2</v>
      </c>
      <c r="AG20" s="32">
        <v>51.7</v>
      </c>
      <c r="AH20" s="32">
        <v>51.7</v>
      </c>
      <c r="AI20" s="32">
        <v>194.7</v>
      </c>
      <c r="AJ20" s="32">
        <v>41.2</v>
      </c>
      <c r="AK20" s="32">
        <v>756.8</v>
      </c>
      <c r="AL20" s="32">
        <v>120.9</v>
      </c>
      <c r="AM20" s="32">
        <v>17.100000000000001</v>
      </c>
      <c r="AN20" s="32">
        <v>71.099999999999994</v>
      </c>
      <c r="AO20" s="32">
        <v>77.900000000000006</v>
      </c>
      <c r="AP20" s="32">
        <v>77.900000000000006</v>
      </c>
      <c r="AQ20" s="32">
        <v>87.2</v>
      </c>
      <c r="AR20" s="32">
        <v>84</v>
      </c>
      <c r="AS20" s="32">
        <v>93.4</v>
      </c>
      <c r="AT20" s="32">
        <v>105.8</v>
      </c>
      <c r="AU20" s="32">
        <v>81.599999999999994</v>
      </c>
      <c r="AV20" s="32">
        <v>104.5</v>
      </c>
      <c r="AW20" s="32">
        <v>159.30000000000001</v>
      </c>
      <c r="AX20" s="32">
        <v>115.4</v>
      </c>
      <c r="AY20" s="32">
        <v>377.5</v>
      </c>
      <c r="AZ20" s="32">
        <v>95.3</v>
      </c>
      <c r="BA20" s="32">
        <v>19.7</v>
      </c>
      <c r="BB20" s="32">
        <v>19.7</v>
      </c>
      <c r="BC20" s="32">
        <v>86.1</v>
      </c>
      <c r="BD20" s="32">
        <v>86.1</v>
      </c>
      <c r="BE20" s="32">
        <v>87.6</v>
      </c>
      <c r="BF20" s="32">
        <v>87.6</v>
      </c>
      <c r="BG20" s="32">
        <v>65.2</v>
      </c>
      <c r="BH20" s="32">
        <v>63.3</v>
      </c>
      <c r="BI20" s="32">
        <v>62.2</v>
      </c>
      <c r="BJ20" s="32">
        <v>41</v>
      </c>
      <c r="BK20" s="32">
        <v>85</v>
      </c>
      <c r="BL20" s="32">
        <v>5.8</v>
      </c>
      <c r="BM20" s="32">
        <v>75.400000000000006</v>
      </c>
      <c r="BN20" s="32">
        <v>68.099999999999994</v>
      </c>
      <c r="BO20" s="32">
        <v>80.8</v>
      </c>
      <c r="BP20" s="32">
        <v>58.7</v>
      </c>
      <c r="BQ20" s="32">
        <v>87.4</v>
      </c>
      <c r="BR20" s="32">
        <v>39.6</v>
      </c>
      <c r="BS20" s="32">
        <v>233.2</v>
      </c>
      <c r="BT20" s="32">
        <v>65.099999999999994</v>
      </c>
      <c r="BU20" s="32">
        <v>87</v>
      </c>
      <c r="BV20" s="32">
        <v>87</v>
      </c>
      <c r="BW20" s="32">
        <v>133.30000000000001</v>
      </c>
      <c r="BX20" s="32">
        <v>46.9</v>
      </c>
      <c r="BY20" s="32">
        <v>124.7</v>
      </c>
      <c r="BZ20" s="32">
        <v>126.5</v>
      </c>
      <c r="CA20" s="32">
        <v>124.3</v>
      </c>
      <c r="CB20" s="32">
        <v>95.3</v>
      </c>
      <c r="CC20" s="32">
        <v>180.2</v>
      </c>
      <c r="CD20" s="32">
        <v>55.3</v>
      </c>
      <c r="CE20" s="32">
        <v>97.6</v>
      </c>
      <c r="CF20" s="32">
        <v>61.3</v>
      </c>
      <c r="CG20" s="32">
        <v>78.099999999999994</v>
      </c>
      <c r="CH20" s="32">
        <v>76.8</v>
      </c>
      <c r="CI20" s="32">
        <v>88.6</v>
      </c>
      <c r="CJ20" s="32">
        <v>62.5</v>
      </c>
      <c r="CK20" s="32">
        <v>85.9</v>
      </c>
      <c r="CL20" s="32">
        <v>81.3</v>
      </c>
      <c r="CM20" s="32">
        <v>92.1</v>
      </c>
      <c r="CN20" s="32">
        <v>44.3</v>
      </c>
      <c r="CO20" s="32">
        <v>105.5</v>
      </c>
      <c r="CP20" s="32">
        <v>68.7</v>
      </c>
      <c r="CQ20" s="32">
        <v>19</v>
      </c>
      <c r="CR20" s="32">
        <v>91.6</v>
      </c>
      <c r="CS20" s="32">
        <v>114.5</v>
      </c>
      <c r="CT20" s="32">
        <v>80.8</v>
      </c>
      <c r="CU20" s="32">
        <v>56.9</v>
      </c>
      <c r="CV20" s="32">
        <v>91.7</v>
      </c>
      <c r="CW20" s="32">
        <v>10.7</v>
      </c>
      <c r="CX20" s="32">
        <v>54.2</v>
      </c>
      <c r="CY20" s="32">
        <v>58.9</v>
      </c>
      <c r="CZ20" s="32">
        <v>53.4</v>
      </c>
      <c r="DA20" s="32">
        <v>43.4</v>
      </c>
      <c r="DB20" s="32">
        <v>74.099999999999994</v>
      </c>
      <c r="DC20" s="32">
        <v>0.8</v>
      </c>
      <c r="DD20" s="32">
        <v>0.8</v>
      </c>
      <c r="DE20" s="32">
        <v>30</v>
      </c>
      <c r="DF20" s="32">
        <v>24.5</v>
      </c>
      <c r="DG20" s="32">
        <v>71.400000000000006</v>
      </c>
      <c r="DH20" s="32">
        <v>75.8</v>
      </c>
      <c r="DI20" s="32">
        <v>96.3</v>
      </c>
      <c r="DJ20" s="32">
        <v>113.3</v>
      </c>
      <c r="DK20" s="32">
        <v>113.3</v>
      </c>
      <c r="DL20" s="32">
        <v>29.9</v>
      </c>
      <c r="DM20" s="32">
        <v>64.8</v>
      </c>
      <c r="DN20" s="32">
        <v>45.3</v>
      </c>
      <c r="DO20" s="32">
        <v>73.7</v>
      </c>
      <c r="DP20" s="32">
        <v>41.1</v>
      </c>
      <c r="DQ20" s="32">
        <v>53.3</v>
      </c>
      <c r="DR20" s="32">
        <v>54.8</v>
      </c>
      <c r="DS20" s="32">
        <v>51</v>
      </c>
      <c r="DT20" s="32">
        <v>46.1</v>
      </c>
      <c r="DU20" s="32">
        <v>46.4</v>
      </c>
      <c r="DV20" s="32">
        <v>52.4</v>
      </c>
      <c r="DW20" s="32">
        <v>39.6</v>
      </c>
      <c r="DX20" s="32">
        <v>45.5</v>
      </c>
      <c r="DY20" s="32">
        <v>66.8</v>
      </c>
      <c r="DZ20" s="32">
        <v>108.1</v>
      </c>
      <c r="EA20" s="32">
        <v>108.1</v>
      </c>
      <c r="EB20" s="32">
        <v>50.7</v>
      </c>
      <c r="EC20" s="32">
        <v>50.9</v>
      </c>
      <c r="ED20" s="32">
        <v>50.5</v>
      </c>
      <c r="EE20" s="32">
        <v>53.9</v>
      </c>
      <c r="EF20" s="32">
        <v>41.6</v>
      </c>
      <c r="EG20" s="32">
        <v>50.8</v>
      </c>
      <c r="EH20" s="32">
        <v>58.8</v>
      </c>
      <c r="EI20" s="32">
        <v>39.700000000000003</v>
      </c>
      <c r="EJ20" s="32">
        <v>143.9</v>
      </c>
      <c r="EK20" s="32">
        <v>45</v>
      </c>
      <c r="EL20" s="32">
        <v>64.2</v>
      </c>
      <c r="EM20" s="32">
        <v>39.1</v>
      </c>
      <c r="EN20" s="32">
        <v>45.4</v>
      </c>
      <c r="EO20" s="32">
        <v>81.8</v>
      </c>
      <c r="EP20" s="32">
        <v>89</v>
      </c>
      <c r="EQ20" s="32">
        <v>89</v>
      </c>
      <c r="ER20" s="32">
        <v>93.9</v>
      </c>
      <c r="ES20" s="32">
        <v>93.9</v>
      </c>
      <c r="ET20" s="32">
        <v>68.2</v>
      </c>
      <c r="EU20" s="32">
        <v>65.099999999999994</v>
      </c>
      <c r="EV20" s="32">
        <v>65.099999999999994</v>
      </c>
      <c r="EW20" s="32">
        <v>76.3</v>
      </c>
      <c r="EX20" s="32">
        <v>91.1</v>
      </c>
      <c r="EY20" s="32">
        <v>64.7</v>
      </c>
      <c r="EZ20" s="32">
        <v>83.5</v>
      </c>
      <c r="FA20" s="32">
        <v>74.8</v>
      </c>
      <c r="FB20" s="32">
        <v>87</v>
      </c>
      <c r="FC20" s="32">
        <v>62.5</v>
      </c>
      <c r="FD20" s="32">
        <v>84.1</v>
      </c>
      <c r="FE20" s="32">
        <v>136</v>
      </c>
      <c r="FF20" s="32">
        <v>59.9</v>
      </c>
      <c r="FG20" s="32">
        <v>91.5</v>
      </c>
      <c r="FH20" s="32">
        <v>97.2</v>
      </c>
      <c r="FI20" s="32">
        <v>106.9</v>
      </c>
      <c r="FJ20" s="32">
        <v>87</v>
      </c>
      <c r="FK20" s="32">
        <v>81.8</v>
      </c>
      <c r="FL20" s="32">
        <v>81.8</v>
      </c>
    </row>
    <row r="21" spans="1:168" x14ac:dyDescent="0.2">
      <c r="A21" s="33" t="s">
        <v>1001</v>
      </c>
      <c r="B21" s="32">
        <v>66.900000000000006</v>
      </c>
      <c r="C21" s="32">
        <v>63.6</v>
      </c>
      <c r="D21" s="32">
        <v>89.4</v>
      </c>
      <c r="E21" s="32">
        <v>87.1</v>
      </c>
      <c r="F21" s="32">
        <v>375.3</v>
      </c>
      <c r="G21" s="32">
        <v>7520.6</v>
      </c>
      <c r="H21" s="32">
        <v>472.5</v>
      </c>
      <c r="I21" s="32">
        <v>70.5</v>
      </c>
      <c r="J21" s="32">
        <v>69.400000000000006</v>
      </c>
      <c r="K21" s="32">
        <v>90.1</v>
      </c>
      <c r="L21" s="32">
        <v>89.8</v>
      </c>
      <c r="M21" s="32">
        <v>105.1</v>
      </c>
      <c r="N21" s="32">
        <v>55.2</v>
      </c>
      <c r="O21" s="32">
        <v>171.4</v>
      </c>
      <c r="P21" s="32">
        <v>462.6</v>
      </c>
      <c r="Q21" s="32">
        <v>185.7</v>
      </c>
      <c r="R21" s="32">
        <v>69.7</v>
      </c>
      <c r="S21" s="32">
        <v>103.2</v>
      </c>
      <c r="T21" s="32">
        <v>98.2</v>
      </c>
      <c r="U21" s="32">
        <v>30.2</v>
      </c>
      <c r="V21" s="32">
        <v>124.3</v>
      </c>
      <c r="W21" s="32">
        <v>43.6</v>
      </c>
      <c r="X21" s="32">
        <v>28.9</v>
      </c>
      <c r="Y21" s="32">
        <v>56.8</v>
      </c>
      <c r="Z21" s="32">
        <v>129.19999999999999</v>
      </c>
      <c r="AA21" s="32">
        <v>60.1</v>
      </c>
      <c r="AB21" s="32">
        <v>62.1</v>
      </c>
      <c r="AC21" s="32">
        <v>47.8</v>
      </c>
      <c r="AD21" s="32">
        <v>74.3</v>
      </c>
      <c r="AE21" s="32">
        <v>213.8</v>
      </c>
      <c r="AF21" s="32">
        <v>213.8</v>
      </c>
      <c r="AG21" s="32">
        <v>52.1</v>
      </c>
      <c r="AH21" s="32">
        <v>52.1</v>
      </c>
      <c r="AI21" s="32">
        <v>185.3</v>
      </c>
      <c r="AJ21" s="32">
        <v>41.8</v>
      </c>
      <c r="AK21" s="32">
        <v>806.7</v>
      </c>
      <c r="AL21" s="32">
        <v>114.5</v>
      </c>
      <c r="AM21" s="32">
        <v>17.5</v>
      </c>
      <c r="AN21" s="32">
        <v>73.3</v>
      </c>
      <c r="AO21" s="32">
        <v>77</v>
      </c>
      <c r="AP21" s="32">
        <v>77</v>
      </c>
      <c r="AQ21" s="32">
        <v>88.2</v>
      </c>
      <c r="AR21" s="32">
        <v>86.6</v>
      </c>
      <c r="AS21" s="32">
        <v>91.6</v>
      </c>
      <c r="AT21" s="32">
        <v>105.1</v>
      </c>
      <c r="AU21" s="32">
        <v>78</v>
      </c>
      <c r="AV21" s="32">
        <v>104.8</v>
      </c>
      <c r="AW21" s="32">
        <v>164.5</v>
      </c>
      <c r="AX21" s="32">
        <v>123.9</v>
      </c>
      <c r="AY21" s="32">
        <v>377.4</v>
      </c>
      <c r="AZ21" s="32">
        <v>94.4</v>
      </c>
      <c r="BA21" s="32">
        <v>19.8</v>
      </c>
      <c r="BB21" s="32">
        <v>19.8</v>
      </c>
      <c r="BC21" s="32">
        <v>85.7</v>
      </c>
      <c r="BD21" s="32">
        <v>85.7</v>
      </c>
      <c r="BE21" s="32">
        <v>85.7</v>
      </c>
      <c r="BF21" s="32">
        <v>85.7</v>
      </c>
      <c r="BG21" s="32">
        <v>63.2</v>
      </c>
      <c r="BH21" s="32">
        <v>59.7</v>
      </c>
      <c r="BI21" s="32">
        <v>62.6</v>
      </c>
      <c r="BJ21" s="32">
        <v>41.4</v>
      </c>
      <c r="BK21" s="32">
        <v>85.6</v>
      </c>
      <c r="BL21" s="32">
        <v>5.6</v>
      </c>
      <c r="BM21" s="32">
        <v>77.5</v>
      </c>
      <c r="BN21" s="32">
        <v>68.099999999999994</v>
      </c>
      <c r="BO21" s="32">
        <v>82.3</v>
      </c>
      <c r="BP21" s="32">
        <v>57.8</v>
      </c>
      <c r="BQ21" s="32">
        <v>92.7</v>
      </c>
      <c r="BR21" s="32">
        <v>97.5</v>
      </c>
      <c r="BS21" s="32">
        <v>231.1</v>
      </c>
      <c r="BT21" s="32">
        <v>64.8</v>
      </c>
      <c r="BU21" s="32">
        <v>90.8</v>
      </c>
      <c r="BV21" s="32">
        <v>90.8</v>
      </c>
      <c r="BW21" s="32">
        <v>136.1</v>
      </c>
      <c r="BX21" s="32">
        <v>53</v>
      </c>
      <c r="BY21" s="32">
        <v>123</v>
      </c>
      <c r="BZ21" s="32">
        <v>121.8</v>
      </c>
      <c r="CA21" s="32">
        <v>124.3</v>
      </c>
      <c r="CB21" s="32">
        <v>95</v>
      </c>
      <c r="CC21" s="32">
        <v>181.1</v>
      </c>
      <c r="CD21" s="32">
        <v>55.5</v>
      </c>
      <c r="CE21" s="32">
        <v>96.3</v>
      </c>
      <c r="CF21" s="32">
        <v>61.9</v>
      </c>
      <c r="CG21" s="32">
        <v>79.8</v>
      </c>
      <c r="CH21" s="32">
        <v>79.3</v>
      </c>
      <c r="CI21" s="32">
        <v>92.7</v>
      </c>
      <c r="CJ21" s="32">
        <v>67.400000000000006</v>
      </c>
      <c r="CK21" s="32">
        <v>85.7</v>
      </c>
      <c r="CL21" s="32">
        <v>81.8</v>
      </c>
      <c r="CM21" s="32">
        <v>93.7</v>
      </c>
      <c r="CN21" s="32">
        <v>46.1</v>
      </c>
      <c r="CO21" s="32">
        <v>107</v>
      </c>
      <c r="CP21" s="32">
        <v>69.099999999999994</v>
      </c>
      <c r="CQ21" s="32">
        <v>19.7</v>
      </c>
      <c r="CR21" s="32">
        <v>93.4</v>
      </c>
      <c r="CS21" s="32">
        <v>109</v>
      </c>
      <c r="CT21" s="32">
        <v>80.8</v>
      </c>
      <c r="CU21" s="32">
        <v>56.1</v>
      </c>
      <c r="CV21" s="32">
        <v>92.1</v>
      </c>
      <c r="CW21" s="32">
        <v>11.2</v>
      </c>
      <c r="CX21" s="32">
        <v>55.9</v>
      </c>
      <c r="CY21" s="32">
        <v>62.3</v>
      </c>
      <c r="CZ21" s="32">
        <v>53.4</v>
      </c>
      <c r="DA21" s="32">
        <v>43.2</v>
      </c>
      <c r="DB21" s="32">
        <v>74.599999999999994</v>
      </c>
      <c r="DC21" s="32">
        <v>0.9</v>
      </c>
      <c r="DD21" s="32">
        <v>0.9</v>
      </c>
      <c r="DE21" s="32">
        <v>32.200000000000003</v>
      </c>
      <c r="DF21" s="32">
        <v>26.2</v>
      </c>
      <c r="DG21" s="32">
        <v>77.7</v>
      </c>
      <c r="DH21" s="32">
        <v>73.900000000000006</v>
      </c>
      <c r="DI21" s="32">
        <v>92.7</v>
      </c>
      <c r="DJ21" s="32">
        <v>112.3</v>
      </c>
      <c r="DK21" s="32">
        <v>112.3</v>
      </c>
      <c r="DL21" s="32">
        <v>30</v>
      </c>
      <c r="DM21" s="32">
        <v>65</v>
      </c>
      <c r="DN21" s="32">
        <v>45.2</v>
      </c>
      <c r="DO21" s="32">
        <v>74.099999999999994</v>
      </c>
      <c r="DP21" s="32">
        <v>40.5</v>
      </c>
      <c r="DQ21" s="32">
        <v>54.8</v>
      </c>
      <c r="DR21" s="32">
        <v>56</v>
      </c>
      <c r="DS21" s="32">
        <v>52.7</v>
      </c>
      <c r="DT21" s="32">
        <v>48.9</v>
      </c>
      <c r="DU21" s="32">
        <v>49.3</v>
      </c>
      <c r="DV21" s="32">
        <v>49.3</v>
      </c>
      <c r="DW21" s="32">
        <v>49.2</v>
      </c>
      <c r="DX21" s="32">
        <v>48.1</v>
      </c>
      <c r="DY21" s="32">
        <v>64.900000000000006</v>
      </c>
      <c r="DZ21" s="32">
        <v>104.9</v>
      </c>
      <c r="EA21" s="32">
        <v>104.9</v>
      </c>
      <c r="EB21" s="32">
        <v>51.5</v>
      </c>
      <c r="EC21" s="32">
        <v>48.7</v>
      </c>
      <c r="ED21" s="32">
        <v>55.8</v>
      </c>
      <c r="EE21" s="32">
        <v>60.9</v>
      </c>
      <c r="EF21" s="32">
        <v>42.2</v>
      </c>
      <c r="EG21" s="32">
        <v>52.6</v>
      </c>
      <c r="EH21" s="32">
        <v>59</v>
      </c>
      <c r="EI21" s="32">
        <v>41.2</v>
      </c>
      <c r="EJ21" s="32">
        <v>139.1</v>
      </c>
      <c r="EK21" s="32">
        <v>48.4</v>
      </c>
      <c r="EL21" s="32">
        <v>64.099999999999994</v>
      </c>
      <c r="EM21" s="32">
        <v>38.799999999999997</v>
      </c>
      <c r="EN21" s="32">
        <v>52.2</v>
      </c>
      <c r="EO21" s="32">
        <v>81.900000000000006</v>
      </c>
      <c r="EP21" s="32">
        <v>88.5</v>
      </c>
      <c r="EQ21" s="32">
        <v>88.5</v>
      </c>
      <c r="ER21" s="32">
        <v>95.1</v>
      </c>
      <c r="ES21" s="32">
        <v>95.1</v>
      </c>
      <c r="ET21" s="32">
        <v>67.900000000000006</v>
      </c>
      <c r="EU21" s="32">
        <v>64.7</v>
      </c>
      <c r="EV21" s="32">
        <v>64.7</v>
      </c>
      <c r="EW21" s="32">
        <v>76.7</v>
      </c>
      <c r="EX21" s="32">
        <v>91.5</v>
      </c>
      <c r="EY21" s="32">
        <v>65</v>
      </c>
      <c r="EZ21" s="32">
        <v>82.5</v>
      </c>
      <c r="FA21" s="32">
        <v>72.3</v>
      </c>
      <c r="FB21" s="32">
        <v>81.2</v>
      </c>
      <c r="FC21" s="32">
        <v>54.1</v>
      </c>
      <c r="FD21" s="32">
        <v>85</v>
      </c>
      <c r="FE21" s="32">
        <v>132.69999999999999</v>
      </c>
      <c r="FF21" s="32">
        <v>61.7</v>
      </c>
      <c r="FG21" s="32">
        <v>91.4</v>
      </c>
      <c r="FH21" s="32">
        <v>104.2</v>
      </c>
      <c r="FI21" s="32">
        <v>104.8</v>
      </c>
      <c r="FJ21" s="32">
        <v>84</v>
      </c>
      <c r="FK21" s="32">
        <v>84.2</v>
      </c>
      <c r="FL21" s="32">
        <v>84.2</v>
      </c>
    </row>
    <row r="22" spans="1:168" x14ac:dyDescent="0.2">
      <c r="A22" s="33" t="s">
        <v>1002</v>
      </c>
      <c r="B22" s="32">
        <v>66.7</v>
      </c>
      <c r="C22" s="32">
        <v>64.3</v>
      </c>
      <c r="D22" s="32">
        <v>88.7</v>
      </c>
      <c r="E22" s="32">
        <v>86.4</v>
      </c>
      <c r="F22" s="32">
        <v>374</v>
      </c>
      <c r="G22" s="32">
        <v>7255.8</v>
      </c>
      <c r="H22" s="32">
        <v>470.5</v>
      </c>
      <c r="I22" s="32">
        <v>71.099999999999994</v>
      </c>
      <c r="J22" s="32">
        <v>69.099999999999994</v>
      </c>
      <c r="K22" s="32">
        <v>90.9</v>
      </c>
      <c r="L22" s="32">
        <v>89.9</v>
      </c>
      <c r="M22" s="32">
        <v>109.9</v>
      </c>
      <c r="N22" s="32">
        <v>55.7</v>
      </c>
      <c r="O22" s="32">
        <v>163.9</v>
      </c>
      <c r="P22" s="32">
        <v>502</v>
      </c>
      <c r="Q22" s="32">
        <v>182.3</v>
      </c>
      <c r="R22" s="32">
        <v>68.7</v>
      </c>
      <c r="S22" s="32">
        <v>100.2</v>
      </c>
      <c r="T22" s="32">
        <v>94</v>
      </c>
      <c r="U22" s="32">
        <v>34.799999999999997</v>
      </c>
      <c r="V22" s="32">
        <v>125.2</v>
      </c>
      <c r="W22" s="32">
        <v>42.7</v>
      </c>
      <c r="X22" s="32">
        <v>28.7</v>
      </c>
      <c r="Y22" s="32">
        <v>56</v>
      </c>
      <c r="Z22" s="32">
        <v>114</v>
      </c>
      <c r="AA22" s="32">
        <v>58.6</v>
      </c>
      <c r="AB22" s="32">
        <v>58.3</v>
      </c>
      <c r="AC22" s="32">
        <v>45</v>
      </c>
      <c r="AD22" s="32">
        <v>75.5</v>
      </c>
      <c r="AE22" s="32">
        <v>213.7</v>
      </c>
      <c r="AF22" s="32">
        <v>213.7</v>
      </c>
      <c r="AG22" s="32">
        <v>51.4</v>
      </c>
      <c r="AH22" s="32">
        <v>51.4</v>
      </c>
      <c r="AI22" s="32">
        <v>187.7</v>
      </c>
      <c r="AJ22" s="32">
        <v>39.9</v>
      </c>
      <c r="AK22" s="32">
        <v>819.7</v>
      </c>
      <c r="AL22" s="32">
        <v>112.8</v>
      </c>
      <c r="AM22" s="32">
        <v>17.899999999999999</v>
      </c>
      <c r="AN22" s="32">
        <v>75.900000000000006</v>
      </c>
      <c r="AO22" s="32">
        <v>76.099999999999994</v>
      </c>
      <c r="AP22" s="32">
        <v>76.099999999999994</v>
      </c>
      <c r="AQ22" s="32">
        <v>85.8</v>
      </c>
      <c r="AR22" s="32">
        <v>84</v>
      </c>
      <c r="AS22" s="32">
        <v>89.5</v>
      </c>
      <c r="AT22" s="32">
        <v>101</v>
      </c>
      <c r="AU22" s="32">
        <v>78.5</v>
      </c>
      <c r="AV22" s="32">
        <v>105.6</v>
      </c>
      <c r="AW22" s="32">
        <v>163</v>
      </c>
      <c r="AX22" s="32">
        <v>120.3</v>
      </c>
      <c r="AY22" s="32">
        <v>380.3</v>
      </c>
      <c r="AZ22" s="32">
        <v>95.8</v>
      </c>
      <c r="BA22" s="32">
        <v>20.3</v>
      </c>
      <c r="BB22" s="32">
        <v>20.3</v>
      </c>
      <c r="BC22" s="32">
        <v>84</v>
      </c>
      <c r="BD22" s="32">
        <v>84</v>
      </c>
      <c r="BE22" s="32">
        <v>85.1</v>
      </c>
      <c r="BF22" s="32">
        <v>85.1</v>
      </c>
      <c r="BG22" s="32">
        <v>63.8</v>
      </c>
      <c r="BH22" s="32">
        <v>60.4</v>
      </c>
      <c r="BI22" s="32">
        <v>62.9</v>
      </c>
      <c r="BJ22" s="32">
        <v>42</v>
      </c>
      <c r="BK22" s="32">
        <v>86</v>
      </c>
      <c r="BL22" s="32">
        <v>5.5</v>
      </c>
      <c r="BM22" s="32">
        <v>75.599999999999994</v>
      </c>
      <c r="BN22" s="32">
        <v>67.8</v>
      </c>
      <c r="BO22" s="32">
        <v>82.2</v>
      </c>
      <c r="BP22" s="32">
        <v>57.3</v>
      </c>
      <c r="BQ22" s="32">
        <v>88.3</v>
      </c>
      <c r="BR22" s="32">
        <v>82.5</v>
      </c>
      <c r="BS22" s="32">
        <v>195</v>
      </c>
      <c r="BT22" s="32">
        <v>65.900000000000006</v>
      </c>
      <c r="BU22" s="32">
        <v>86</v>
      </c>
      <c r="BV22" s="32">
        <v>86</v>
      </c>
      <c r="BW22" s="32">
        <v>130.19999999999999</v>
      </c>
      <c r="BX22" s="32">
        <v>48</v>
      </c>
      <c r="BY22" s="32">
        <v>122.2</v>
      </c>
      <c r="BZ22" s="32">
        <v>128.30000000000001</v>
      </c>
      <c r="CA22" s="32">
        <v>119.5</v>
      </c>
      <c r="CB22" s="32">
        <v>93.5</v>
      </c>
      <c r="CC22" s="32">
        <v>170.1</v>
      </c>
      <c r="CD22" s="32">
        <v>54.5</v>
      </c>
      <c r="CE22" s="32">
        <v>95.5</v>
      </c>
      <c r="CF22" s="32">
        <v>61.8</v>
      </c>
      <c r="CG22" s="32">
        <v>78.099999999999994</v>
      </c>
      <c r="CH22" s="32">
        <v>76.099999999999994</v>
      </c>
      <c r="CI22" s="32">
        <v>93.1</v>
      </c>
      <c r="CJ22" s="32">
        <v>59</v>
      </c>
      <c r="CK22" s="32">
        <v>86.5</v>
      </c>
      <c r="CL22" s="32">
        <v>83.3</v>
      </c>
      <c r="CM22" s="32">
        <v>95.1</v>
      </c>
      <c r="CN22" s="32">
        <v>47.7</v>
      </c>
      <c r="CO22" s="32">
        <v>108.4</v>
      </c>
      <c r="CP22" s="32">
        <v>69.599999999999994</v>
      </c>
      <c r="CQ22" s="32">
        <v>20.5</v>
      </c>
      <c r="CR22" s="32">
        <v>94.9</v>
      </c>
      <c r="CS22" s="32">
        <v>111</v>
      </c>
      <c r="CT22" s="32">
        <v>81.099999999999994</v>
      </c>
      <c r="CU22" s="32">
        <v>55.4</v>
      </c>
      <c r="CV22" s="32">
        <v>92.7</v>
      </c>
      <c r="CW22" s="32">
        <v>11.6</v>
      </c>
      <c r="CX22" s="32">
        <v>56.3</v>
      </c>
      <c r="CY22" s="32">
        <v>62.6</v>
      </c>
      <c r="CZ22" s="32">
        <v>53.9</v>
      </c>
      <c r="DA22" s="32">
        <v>43.6</v>
      </c>
      <c r="DB22" s="32">
        <v>75.5</v>
      </c>
      <c r="DC22" s="32">
        <v>0.9</v>
      </c>
      <c r="DD22" s="32">
        <v>0.9</v>
      </c>
      <c r="DE22" s="32">
        <v>33.6</v>
      </c>
      <c r="DF22" s="32">
        <v>27.7</v>
      </c>
      <c r="DG22" s="32">
        <v>76.900000000000006</v>
      </c>
      <c r="DH22" s="32">
        <v>71.400000000000006</v>
      </c>
      <c r="DI22" s="32">
        <v>87.6</v>
      </c>
      <c r="DJ22" s="32">
        <v>111</v>
      </c>
      <c r="DK22" s="32">
        <v>111</v>
      </c>
      <c r="DL22" s="32">
        <v>31.2</v>
      </c>
      <c r="DM22" s="32">
        <v>64.8</v>
      </c>
      <c r="DN22" s="32">
        <v>45.2</v>
      </c>
      <c r="DO22" s="32">
        <v>73.900000000000006</v>
      </c>
      <c r="DP22" s="32">
        <v>39.9</v>
      </c>
      <c r="DQ22" s="32">
        <v>56.6</v>
      </c>
      <c r="DR22" s="32">
        <v>58.2</v>
      </c>
      <c r="DS22" s="32">
        <v>54.3</v>
      </c>
      <c r="DT22" s="32">
        <v>50.2</v>
      </c>
      <c r="DU22" s="32">
        <v>50.4</v>
      </c>
      <c r="DV22" s="32">
        <v>52.8</v>
      </c>
      <c r="DW22" s="32">
        <v>47.5</v>
      </c>
      <c r="DX22" s="32">
        <v>49.9</v>
      </c>
      <c r="DY22" s="32">
        <v>67.5</v>
      </c>
      <c r="DZ22" s="32">
        <v>107.3</v>
      </c>
      <c r="EA22" s="32">
        <v>107.3</v>
      </c>
      <c r="EB22" s="32">
        <v>55.1</v>
      </c>
      <c r="EC22" s="32">
        <v>51.8</v>
      </c>
      <c r="ED22" s="32">
        <v>60</v>
      </c>
      <c r="EE22" s="32">
        <v>66.599999999999994</v>
      </c>
      <c r="EF22" s="32">
        <v>42.5</v>
      </c>
      <c r="EG22" s="32">
        <v>54</v>
      </c>
      <c r="EH22" s="32">
        <v>59.3</v>
      </c>
      <c r="EI22" s="32">
        <v>42.1</v>
      </c>
      <c r="EJ22" s="32">
        <v>133.30000000000001</v>
      </c>
      <c r="EK22" s="32">
        <v>51.4</v>
      </c>
      <c r="EL22" s="32">
        <v>64</v>
      </c>
      <c r="EM22" s="32">
        <v>38.9</v>
      </c>
      <c r="EN22" s="32">
        <v>57.8</v>
      </c>
      <c r="EO22" s="32">
        <v>82</v>
      </c>
      <c r="EP22" s="32">
        <v>87.9</v>
      </c>
      <c r="EQ22" s="32">
        <v>87.9</v>
      </c>
      <c r="ER22" s="32">
        <v>96</v>
      </c>
      <c r="ES22" s="32">
        <v>96</v>
      </c>
      <c r="ET22" s="32">
        <v>67.900000000000006</v>
      </c>
      <c r="EU22" s="32">
        <v>64.599999999999994</v>
      </c>
      <c r="EV22" s="32">
        <v>64.599999999999994</v>
      </c>
      <c r="EW22" s="32">
        <v>76.900000000000006</v>
      </c>
      <c r="EX22" s="32">
        <v>91.7</v>
      </c>
      <c r="EY22" s="32">
        <v>65.3</v>
      </c>
      <c r="EZ22" s="32">
        <v>83.2</v>
      </c>
      <c r="FA22" s="32">
        <v>73.2</v>
      </c>
      <c r="FB22" s="32">
        <v>82</v>
      </c>
      <c r="FC22" s="32">
        <v>56.4</v>
      </c>
      <c r="FD22" s="32">
        <v>85.3</v>
      </c>
      <c r="FE22" s="32">
        <v>130.4</v>
      </c>
      <c r="FF22" s="32">
        <v>62.6</v>
      </c>
      <c r="FG22" s="32">
        <v>92.2</v>
      </c>
      <c r="FH22" s="32">
        <v>100.8</v>
      </c>
      <c r="FI22" s="32">
        <v>99</v>
      </c>
      <c r="FJ22" s="32">
        <v>87.5</v>
      </c>
      <c r="FK22" s="32">
        <v>82.5</v>
      </c>
      <c r="FL22" s="32">
        <v>82.5</v>
      </c>
    </row>
    <row r="23" spans="1:168" x14ac:dyDescent="0.2">
      <c r="A23" s="33" t="s">
        <v>1003</v>
      </c>
      <c r="B23" s="32">
        <v>66.8</v>
      </c>
      <c r="C23" s="32">
        <v>65.2</v>
      </c>
      <c r="D23" s="32">
        <v>88.9</v>
      </c>
      <c r="E23" s="32">
        <v>86.7</v>
      </c>
      <c r="F23" s="32">
        <v>372.1</v>
      </c>
      <c r="G23" s="32">
        <v>7090</v>
      </c>
      <c r="H23" s="32">
        <v>473.2</v>
      </c>
      <c r="I23" s="32">
        <v>67.400000000000006</v>
      </c>
      <c r="J23" s="32">
        <v>69.5</v>
      </c>
      <c r="K23" s="32">
        <v>89.1</v>
      </c>
      <c r="L23" s="32">
        <v>88.4</v>
      </c>
      <c r="M23" s="32">
        <v>107.8</v>
      </c>
      <c r="N23" s="32">
        <v>56.1</v>
      </c>
      <c r="O23" s="32">
        <v>163.4</v>
      </c>
      <c r="P23" s="32">
        <v>453.3</v>
      </c>
      <c r="Q23" s="32">
        <v>185.3</v>
      </c>
      <c r="R23" s="32">
        <v>69.400000000000006</v>
      </c>
      <c r="S23" s="32">
        <v>99.1</v>
      </c>
      <c r="T23" s="32">
        <v>90.8</v>
      </c>
      <c r="U23" s="32">
        <v>31.7</v>
      </c>
      <c r="V23" s="32">
        <v>124</v>
      </c>
      <c r="W23" s="32">
        <v>42.7</v>
      </c>
      <c r="X23" s="32">
        <v>28.8</v>
      </c>
      <c r="Y23" s="32">
        <v>55</v>
      </c>
      <c r="Z23" s="32">
        <v>123.5</v>
      </c>
      <c r="AA23" s="32">
        <v>58.6</v>
      </c>
      <c r="AB23" s="32">
        <v>62</v>
      </c>
      <c r="AC23" s="32">
        <v>46</v>
      </c>
      <c r="AD23" s="32">
        <v>72.400000000000006</v>
      </c>
      <c r="AE23" s="32">
        <v>219.4</v>
      </c>
      <c r="AF23" s="32">
        <v>219.4</v>
      </c>
      <c r="AG23" s="32">
        <v>51.5</v>
      </c>
      <c r="AH23" s="32">
        <v>51.5</v>
      </c>
      <c r="AI23" s="32">
        <v>190.4</v>
      </c>
      <c r="AJ23" s="32">
        <v>39.9</v>
      </c>
      <c r="AK23" s="32">
        <v>813.6</v>
      </c>
      <c r="AL23" s="32">
        <v>110.2</v>
      </c>
      <c r="AM23" s="32">
        <v>17.899999999999999</v>
      </c>
      <c r="AN23" s="32">
        <v>77.3</v>
      </c>
      <c r="AO23" s="32">
        <v>81.8</v>
      </c>
      <c r="AP23" s="32">
        <v>81.8</v>
      </c>
      <c r="AQ23" s="32">
        <v>87.4</v>
      </c>
      <c r="AR23" s="32">
        <v>85.5</v>
      </c>
      <c r="AS23" s="32">
        <v>91.2</v>
      </c>
      <c r="AT23" s="32">
        <v>104</v>
      </c>
      <c r="AU23" s="32">
        <v>78.7</v>
      </c>
      <c r="AV23" s="32">
        <v>105.7</v>
      </c>
      <c r="AW23" s="32">
        <v>165.9</v>
      </c>
      <c r="AX23" s="32">
        <v>121.3</v>
      </c>
      <c r="AY23" s="32">
        <v>389.7</v>
      </c>
      <c r="AZ23" s="32">
        <v>95.2</v>
      </c>
      <c r="BA23" s="32">
        <v>19.3</v>
      </c>
      <c r="BB23" s="32">
        <v>19.3</v>
      </c>
      <c r="BC23" s="32">
        <v>85.4</v>
      </c>
      <c r="BD23" s="32">
        <v>85.4</v>
      </c>
      <c r="BE23" s="32">
        <v>87.2</v>
      </c>
      <c r="BF23" s="32">
        <v>87.2</v>
      </c>
      <c r="BG23" s="32">
        <v>65.3</v>
      </c>
      <c r="BH23" s="32">
        <v>62.2</v>
      </c>
      <c r="BI23" s="32">
        <v>64</v>
      </c>
      <c r="BJ23" s="32">
        <v>42.7</v>
      </c>
      <c r="BK23" s="32">
        <v>87.3</v>
      </c>
      <c r="BL23" s="32">
        <v>5.9</v>
      </c>
      <c r="BM23" s="32">
        <v>78.8</v>
      </c>
      <c r="BN23" s="32">
        <v>70.8</v>
      </c>
      <c r="BO23" s="32">
        <v>88</v>
      </c>
      <c r="BP23" s="32">
        <v>58.3</v>
      </c>
      <c r="BQ23" s="32">
        <v>91.9</v>
      </c>
      <c r="BR23" s="32">
        <v>75.099999999999994</v>
      </c>
      <c r="BS23" s="32">
        <v>218</v>
      </c>
      <c r="BT23" s="32">
        <v>68</v>
      </c>
      <c r="BU23" s="32">
        <v>89.8</v>
      </c>
      <c r="BV23" s="32">
        <v>89.8</v>
      </c>
      <c r="BW23" s="32">
        <v>134.6</v>
      </c>
      <c r="BX23" s="32">
        <v>51.6</v>
      </c>
      <c r="BY23" s="32">
        <v>116</v>
      </c>
      <c r="BZ23" s="32">
        <v>121.8</v>
      </c>
      <c r="CA23" s="32">
        <v>113.4</v>
      </c>
      <c r="CB23" s="32">
        <v>90.8</v>
      </c>
      <c r="CC23" s="32">
        <v>157.69999999999999</v>
      </c>
      <c r="CD23" s="32">
        <v>52.6</v>
      </c>
      <c r="CE23" s="32">
        <v>95.5</v>
      </c>
      <c r="CF23" s="32">
        <v>61.8</v>
      </c>
      <c r="CG23" s="32">
        <v>78.900000000000006</v>
      </c>
      <c r="CH23" s="32">
        <v>77.900000000000006</v>
      </c>
      <c r="CI23" s="32">
        <v>91.5</v>
      </c>
      <c r="CJ23" s="32">
        <v>65.099999999999994</v>
      </c>
      <c r="CK23" s="32">
        <v>85.2</v>
      </c>
      <c r="CL23" s="32">
        <v>81.7</v>
      </c>
      <c r="CM23" s="32">
        <v>96.1</v>
      </c>
      <c r="CN23" s="32">
        <v>49.5</v>
      </c>
      <c r="CO23" s="32">
        <v>109.2</v>
      </c>
      <c r="CP23" s="32">
        <v>70</v>
      </c>
      <c r="CQ23" s="32">
        <v>20.5</v>
      </c>
      <c r="CR23" s="32">
        <v>93.2</v>
      </c>
      <c r="CS23" s="32">
        <v>98.8</v>
      </c>
      <c r="CT23" s="32">
        <v>81.099999999999994</v>
      </c>
      <c r="CU23" s="32">
        <v>54.6</v>
      </c>
      <c r="CV23" s="32">
        <v>93.1</v>
      </c>
      <c r="CW23" s="32">
        <v>11.8</v>
      </c>
      <c r="CX23" s="32">
        <v>56.7</v>
      </c>
      <c r="CY23" s="32">
        <v>64.599999999999994</v>
      </c>
      <c r="CZ23" s="32">
        <v>52.6</v>
      </c>
      <c r="DA23" s="32">
        <v>41.8</v>
      </c>
      <c r="DB23" s="32">
        <v>75.7</v>
      </c>
      <c r="DC23" s="32">
        <v>1</v>
      </c>
      <c r="DD23" s="32">
        <v>1</v>
      </c>
      <c r="DE23" s="32">
        <v>33.4</v>
      </c>
      <c r="DF23" s="32">
        <v>27.4</v>
      </c>
      <c r="DG23" s="32">
        <v>78.099999999999994</v>
      </c>
      <c r="DH23" s="32">
        <v>69.900000000000006</v>
      </c>
      <c r="DI23" s="32">
        <v>85.6</v>
      </c>
      <c r="DJ23" s="32">
        <v>108.8</v>
      </c>
      <c r="DK23" s="32">
        <v>108.8</v>
      </c>
      <c r="DL23" s="32">
        <v>30.5</v>
      </c>
      <c r="DM23" s="32">
        <v>64.8</v>
      </c>
      <c r="DN23" s="32">
        <v>45.1</v>
      </c>
      <c r="DO23" s="32">
        <v>73.900000000000006</v>
      </c>
      <c r="DP23" s="32">
        <v>39.9</v>
      </c>
      <c r="DQ23" s="32">
        <v>55.9</v>
      </c>
      <c r="DR23" s="32">
        <v>57.5</v>
      </c>
      <c r="DS23" s="32">
        <v>54.2</v>
      </c>
      <c r="DT23" s="32">
        <v>51.1</v>
      </c>
      <c r="DU23" s="32">
        <v>52</v>
      </c>
      <c r="DV23" s="32">
        <v>53.3</v>
      </c>
      <c r="DW23" s="32">
        <v>50.2</v>
      </c>
      <c r="DX23" s="32">
        <v>49.4</v>
      </c>
      <c r="DY23" s="32">
        <v>64.2</v>
      </c>
      <c r="DZ23" s="32">
        <v>107.5</v>
      </c>
      <c r="EA23" s="32">
        <v>107.5</v>
      </c>
      <c r="EB23" s="32">
        <v>52.5</v>
      </c>
      <c r="EC23" s="32">
        <v>48.3</v>
      </c>
      <c r="ED23" s="32">
        <v>58.7</v>
      </c>
      <c r="EE23" s="32">
        <v>64.8</v>
      </c>
      <c r="EF23" s="32">
        <v>42.7</v>
      </c>
      <c r="EG23" s="32">
        <v>53.4</v>
      </c>
      <c r="EH23" s="32">
        <v>58.7</v>
      </c>
      <c r="EI23" s="32">
        <v>42.6</v>
      </c>
      <c r="EJ23" s="32">
        <v>131.69999999999999</v>
      </c>
      <c r="EK23" s="32">
        <v>50.2</v>
      </c>
      <c r="EL23" s="32">
        <v>64.400000000000006</v>
      </c>
      <c r="EM23" s="32">
        <v>37.799999999999997</v>
      </c>
      <c r="EN23" s="32">
        <v>56.1</v>
      </c>
      <c r="EO23" s="32">
        <v>81.900000000000006</v>
      </c>
      <c r="EP23" s="32">
        <v>87.7</v>
      </c>
      <c r="EQ23" s="32">
        <v>87.7</v>
      </c>
      <c r="ER23" s="32">
        <v>96.2</v>
      </c>
      <c r="ES23" s="32">
        <v>96.2</v>
      </c>
      <c r="ET23" s="32">
        <v>67.8</v>
      </c>
      <c r="EU23" s="32">
        <v>64.400000000000006</v>
      </c>
      <c r="EV23" s="32">
        <v>64.400000000000006</v>
      </c>
      <c r="EW23" s="32">
        <v>76.7</v>
      </c>
      <c r="EX23" s="32">
        <v>91.5</v>
      </c>
      <c r="EY23" s="32">
        <v>65.099999999999994</v>
      </c>
      <c r="EZ23" s="32">
        <v>83.3</v>
      </c>
      <c r="FA23" s="32">
        <v>75.8</v>
      </c>
      <c r="FB23" s="32">
        <v>86.9</v>
      </c>
      <c r="FC23" s="32">
        <v>64.7</v>
      </c>
      <c r="FD23" s="32">
        <v>85.9</v>
      </c>
      <c r="FE23" s="32">
        <v>129.69999999999999</v>
      </c>
      <c r="FF23" s="32">
        <v>62.5</v>
      </c>
      <c r="FG23" s="32">
        <v>90.3</v>
      </c>
      <c r="FH23" s="32">
        <v>90</v>
      </c>
      <c r="FI23" s="32">
        <v>108.6</v>
      </c>
      <c r="FJ23" s="32">
        <v>88</v>
      </c>
      <c r="FK23" s="32">
        <v>80.7</v>
      </c>
      <c r="FL23" s="32">
        <v>80.7</v>
      </c>
    </row>
    <row r="24" spans="1:168" x14ac:dyDescent="0.2">
      <c r="A24" s="33" t="s">
        <v>1004</v>
      </c>
      <c r="B24" s="32">
        <v>66.900000000000006</v>
      </c>
      <c r="C24" s="32">
        <v>65.900000000000006</v>
      </c>
      <c r="D24" s="32">
        <v>88.8</v>
      </c>
      <c r="E24" s="32">
        <v>86.4</v>
      </c>
      <c r="F24" s="32">
        <v>358.6</v>
      </c>
      <c r="G24" s="32">
        <v>7436.3</v>
      </c>
      <c r="H24" s="32">
        <v>453.9</v>
      </c>
      <c r="I24" s="32">
        <v>65.7</v>
      </c>
      <c r="J24" s="32">
        <v>69.599999999999994</v>
      </c>
      <c r="K24" s="32">
        <v>88.5</v>
      </c>
      <c r="L24" s="32">
        <v>89.3</v>
      </c>
      <c r="M24" s="32">
        <v>106.3</v>
      </c>
      <c r="N24" s="32">
        <v>55.6</v>
      </c>
      <c r="O24" s="32">
        <v>157.5</v>
      </c>
      <c r="P24" s="32">
        <v>454.2</v>
      </c>
      <c r="Q24" s="32">
        <v>182.3</v>
      </c>
      <c r="R24" s="32">
        <v>69.2</v>
      </c>
      <c r="S24" s="32">
        <v>102.3</v>
      </c>
      <c r="T24" s="32">
        <v>95.8</v>
      </c>
      <c r="U24" s="32">
        <v>30.3</v>
      </c>
      <c r="V24" s="32">
        <v>113.4</v>
      </c>
      <c r="W24" s="32">
        <v>42.1</v>
      </c>
      <c r="X24" s="32">
        <v>28.6</v>
      </c>
      <c r="Y24" s="32">
        <v>54.1</v>
      </c>
      <c r="Z24" s="32">
        <v>121.3</v>
      </c>
      <c r="AA24" s="32">
        <v>59.3</v>
      </c>
      <c r="AB24" s="32">
        <v>61.1</v>
      </c>
      <c r="AC24" s="32">
        <v>47.1</v>
      </c>
      <c r="AD24" s="32">
        <v>73.5</v>
      </c>
      <c r="AE24" s="32">
        <v>202.7</v>
      </c>
      <c r="AF24" s="32">
        <v>202.7</v>
      </c>
      <c r="AG24" s="32">
        <v>52.3</v>
      </c>
      <c r="AH24" s="32">
        <v>52.3</v>
      </c>
      <c r="AI24" s="32">
        <v>194.7</v>
      </c>
      <c r="AJ24" s="32">
        <v>41</v>
      </c>
      <c r="AK24" s="32">
        <v>868.1</v>
      </c>
      <c r="AL24" s="32">
        <v>109.2</v>
      </c>
      <c r="AM24" s="32">
        <v>18</v>
      </c>
      <c r="AN24" s="32">
        <v>76.8</v>
      </c>
      <c r="AO24" s="32">
        <v>79.3</v>
      </c>
      <c r="AP24" s="32">
        <v>79.3</v>
      </c>
      <c r="AQ24" s="32">
        <v>87.2</v>
      </c>
      <c r="AR24" s="32">
        <v>84.6</v>
      </c>
      <c r="AS24" s="32">
        <v>92.5</v>
      </c>
      <c r="AT24" s="32">
        <v>103.5</v>
      </c>
      <c r="AU24" s="32">
        <v>82.5</v>
      </c>
      <c r="AV24" s="32">
        <v>103.1</v>
      </c>
      <c r="AW24" s="32">
        <v>171.4</v>
      </c>
      <c r="AX24" s="32">
        <v>128.6</v>
      </c>
      <c r="AY24" s="32">
        <v>393.4</v>
      </c>
      <c r="AZ24" s="32">
        <v>90.7</v>
      </c>
      <c r="BA24" s="32">
        <v>20.6</v>
      </c>
      <c r="BB24" s="32">
        <v>20.6</v>
      </c>
      <c r="BC24" s="32">
        <v>82.8</v>
      </c>
      <c r="BD24" s="32">
        <v>82.8</v>
      </c>
      <c r="BE24" s="32">
        <v>85.5</v>
      </c>
      <c r="BF24" s="32">
        <v>85.5</v>
      </c>
      <c r="BG24" s="32">
        <v>65.400000000000006</v>
      </c>
      <c r="BH24" s="32">
        <v>61.5</v>
      </c>
      <c r="BI24" s="32">
        <v>64.900000000000006</v>
      </c>
      <c r="BJ24" s="32">
        <v>43.3</v>
      </c>
      <c r="BK24" s="32">
        <v>88.4</v>
      </c>
      <c r="BL24" s="32">
        <v>6.1</v>
      </c>
      <c r="BM24" s="32">
        <v>80.5</v>
      </c>
      <c r="BN24" s="32">
        <v>71.7</v>
      </c>
      <c r="BO24" s="32">
        <v>89.5</v>
      </c>
      <c r="BP24" s="32">
        <v>58.7</v>
      </c>
      <c r="BQ24" s="32">
        <v>94.8</v>
      </c>
      <c r="BR24" s="32">
        <v>95.9</v>
      </c>
      <c r="BS24" s="32">
        <v>230.3</v>
      </c>
      <c r="BT24" s="32">
        <v>67.400000000000006</v>
      </c>
      <c r="BU24" s="32">
        <v>90.6</v>
      </c>
      <c r="BV24" s="32">
        <v>90.6</v>
      </c>
      <c r="BW24" s="32">
        <v>132.80000000000001</v>
      </c>
      <c r="BX24" s="32">
        <v>55.7</v>
      </c>
      <c r="BY24" s="32">
        <v>114.3</v>
      </c>
      <c r="BZ24" s="32">
        <v>120.2</v>
      </c>
      <c r="CA24" s="32">
        <v>111.7</v>
      </c>
      <c r="CB24" s="32">
        <v>90.5</v>
      </c>
      <c r="CC24" s="32">
        <v>153.4</v>
      </c>
      <c r="CD24" s="32">
        <v>52.4</v>
      </c>
      <c r="CE24" s="32">
        <v>95.6</v>
      </c>
      <c r="CF24" s="32">
        <v>62.1</v>
      </c>
      <c r="CG24" s="32">
        <v>79.900000000000006</v>
      </c>
      <c r="CH24" s="32">
        <v>79.099999999999994</v>
      </c>
      <c r="CI24" s="32">
        <v>93.7</v>
      </c>
      <c r="CJ24" s="32">
        <v>66.599999999999994</v>
      </c>
      <c r="CK24" s="32">
        <v>85.7</v>
      </c>
      <c r="CL24" s="32">
        <v>83</v>
      </c>
      <c r="CM24" s="32">
        <v>98</v>
      </c>
      <c r="CN24" s="32">
        <v>53</v>
      </c>
      <c r="CO24" s="32">
        <v>110.4</v>
      </c>
      <c r="CP24" s="32">
        <v>70.3</v>
      </c>
      <c r="CQ24" s="32">
        <v>20.9</v>
      </c>
      <c r="CR24" s="32">
        <v>92.9</v>
      </c>
      <c r="CS24" s="32">
        <v>102.1</v>
      </c>
      <c r="CT24" s="32">
        <v>80.8</v>
      </c>
      <c r="CU24" s="32">
        <v>53.6</v>
      </c>
      <c r="CV24" s="32">
        <v>93.1</v>
      </c>
      <c r="CW24" s="32">
        <v>12</v>
      </c>
      <c r="CX24" s="32">
        <v>55.9</v>
      </c>
      <c r="CY24" s="32">
        <v>64.7</v>
      </c>
      <c r="CZ24" s="32">
        <v>50.8</v>
      </c>
      <c r="DA24" s="32">
        <v>39.799999999999997</v>
      </c>
      <c r="DB24" s="32">
        <v>74.8</v>
      </c>
      <c r="DC24" s="32">
        <v>1</v>
      </c>
      <c r="DD24" s="32">
        <v>1</v>
      </c>
      <c r="DE24" s="32">
        <v>34.5</v>
      </c>
      <c r="DF24" s="32">
        <v>28.7</v>
      </c>
      <c r="DG24" s="32">
        <v>76.7</v>
      </c>
      <c r="DH24" s="32">
        <v>69.599999999999994</v>
      </c>
      <c r="DI24" s="32">
        <v>84.8</v>
      </c>
      <c r="DJ24" s="32">
        <v>108</v>
      </c>
      <c r="DK24" s="32">
        <v>108</v>
      </c>
      <c r="DL24" s="32">
        <v>31.5</v>
      </c>
      <c r="DM24" s="32">
        <v>65.099999999999994</v>
      </c>
      <c r="DN24" s="32">
        <v>45.5</v>
      </c>
      <c r="DO24" s="32">
        <v>74.2</v>
      </c>
      <c r="DP24" s="32">
        <v>39.5</v>
      </c>
      <c r="DQ24" s="32">
        <v>55.2</v>
      </c>
      <c r="DR24" s="32">
        <v>56.9</v>
      </c>
      <c r="DS24" s="32">
        <v>53.4</v>
      </c>
      <c r="DT24" s="32">
        <v>50.1</v>
      </c>
      <c r="DU24" s="32">
        <v>51.2</v>
      </c>
      <c r="DV24" s="32">
        <v>53.6</v>
      </c>
      <c r="DW24" s="32">
        <v>48.4</v>
      </c>
      <c r="DX24" s="32">
        <v>47.9</v>
      </c>
      <c r="DY24" s="32">
        <v>63.8</v>
      </c>
      <c r="DZ24" s="32">
        <v>110.7</v>
      </c>
      <c r="EA24" s="32">
        <v>110.7</v>
      </c>
      <c r="EB24" s="32">
        <v>51.7</v>
      </c>
      <c r="EC24" s="32">
        <v>48.5</v>
      </c>
      <c r="ED24" s="32">
        <v>56.5</v>
      </c>
      <c r="EE24" s="32">
        <v>61.7</v>
      </c>
      <c r="EF24" s="32">
        <v>42.9</v>
      </c>
      <c r="EG24" s="32">
        <v>52.5</v>
      </c>
      <c r="EH24" s="32">
        <v>57.8</v>
      </c>
      <c r="EI24" s="32">
        <v>43.7</v>
      </c>
      <c r="EJ24" s="32">
        <v>132.4</v>
      </c>
      <c r="EK24" s="32">
        <v>47.7</v>
      </c>
      <c r="EL24" s="32">
        <v>66.2</v>
      </c>
      <c r="EM24" s="32">
        <v>36.9</v>
      </c>
      <c r="EN24" s="32">
        <v>51.8</v>
      </c>
      <c r="EO24" s="32">
        <v>81.900000000000006</v>
      </c>
      <c r="EP24" s="32">
        <v>88.3</v>
      </c>
      <c r="EQ24" s="32">
        <v>88.3</v>
      </c>
      <c r="ER24" s="32">
        <v>95.7</v>
      </c>
      <c r="ES24" s="32">
        <v>95.7</v>
      </c>
      <c r="ET24" s="32">
        <v>67.7</v>
      </c>
      <c r="EU24" s="32">
        <v>64.5</v>
      </c>
      <c r="EV24" s="32">
        <v>64.5</v>
      </c>
      <c r="EW24" s="32">
        <v>76.099999999999994</v>
      </c>
      <c r="EX24" s="32">
        <v>90.8</v>
      </c>
      <c r="EY24" s="32">
        <v>64.599999999999994</v>
      </c>
      <c r="EZ24" s="32">
        <v>84.8</v>
      </c>
      <c r="FA24" s="32">
        <v>79.5</v>
      </c>
      <c r="FB24" s="32">
        <v>93</v>
      </c>
      <c r="FC24" s="32">
        <v>74.900000000000006</v>
      </c>
      <c r="FD24" s="32">
        <v>86.5</v>
      </c>
      <c r="FE24" s="32">
        <v>129.69999999999999</v>
      </c>
      <c r="FF24" s="32">
        <v>62.9</v>
      </c>
      <c r="FG24" s="32">
        <v>90</v>
      </c>
      <c r="FH24" s="32">
        <v>87.5</v>
      </c>
      <c r="FI24" s="32">
        <v>114.5</v>
      </c>
      <c r="FJ24" s="32">
        <v>87.9</v>
      </c>
      <c r="FK24" s="32">
        <v>81.7</v>
      </c>
      <c r="FL24" s="32">
        <v>81.7</v>
      </c>
    </row>
    <row r="25" spans="1:168" x14ac:dyDescent="0.2">
      <c r="A25" s="33" t="s">
        <v>1005</v>
      </c>
      <c r="B25" s="32">
        <v>67.099999999999994</v>
      </c>
      <c r="C25" s="32">
        <v>66.3</v>
      </c>
      <c r="D25" s="32">
        <v>89.3</v>
      </c>
      <c r="E25" s="32">
        <v>86.9</v>
      </c>
      <c r="F25" s="32">
        <v>364.3</v>
      </c>
      <c r="G25" s="32">
        <v>6868.1</v>
      </c>
      <c r="H25" s="32">
        <v>467.2</v>
      </c>
      <c r="I25" s="32">
        <v>63.6</v>
      </c>
      <c r="J25" s="32">
        <v>69.7</v>
      </c>
      <c r="K25" s="32">
        <v>90</v>
      </c>
      <c r="L25" s="32">
        <v>90.5</v>
      </c>
      <c r="M25" s="32">
        <v>112.2</v>
      </c>
      <c r="N25" s="32">
        <v>55.8</v>
      </c>
      <c r="O25" s="32">
        <v>168.8</v>
      </c>
      <c r="P25" s="32">
        <v>459.1</v>
      </c>
      <c r="Q25" s="32">
        <v>179.3</v>
      </c>
      <c r="R25" s="32">
        <v>68.3</v>
      </c>
      <c r="S25" s="32">
        <v>103.2</v>
      </c>
      <c r="T25" s="32">
        <v>97.5</v>
      </c>
      <c r="U25" s="32">
        <v>33</v>
      </c>
      <c r="V25" s="32">
        <v>115.7</v>
      </c>
      <c r="W25" s="32">
        <v>43.1</v>
      </c>
      <c r="X25" s="32">
        <v>29</v>
      </c>
      <c r="Y25" s="32">
        <v>56.5</v>
      </c>
      <c r="Z25" s="32">
        <v>117.2</v>
      </c>
      <c r="AA25" s="32">
        <v>58.1</v>
      </c>
      <c r="AB25" s="32">
        <v>60.5</v>
      </c>
      <c r="AC25" s="32">
        <v>47</v>
      </c>
      <c r="AD25" s="32">
        <v>70.7</v>
      </c>
      <c r="AE25" s="32">
        <v>181.7</v>
      </c>
      <c r="AF25" s="32">
        <v>181.7</v>
      </c>
      <c r="AG25" s="32">
        <v>50.9</v>
      </c>
      <c r="AH25" s="32">
        <v>50.9</v>
      </c>
      <c r="AI25" s="32">
        <v>185.2</v>
      </c>
      <c r="AJ25" s="32">
        <v>38.700000000000003</v>
      </c>
      <c r="AK25" s="32">
        <v>778.9</v>
      </c>
      <c r="AL25" s="32">
        <v>112.1</v>
      </c>
      <c r="AM25" s="32">
        <v>17.8</v>
      </c>
      <c r="AN25" s="32">
        <v>82.4</v>
      </c>
      <c r="AO25" s="32">
        <v>80.8</v>
      </c>
      <c r="AP25" s="32">
        <v>80.8</v>
      </c>
      <c r="AQ25" s="32">
        <v>88.8</v>
      </c>
      <c r="AR25" s="32">
        <v>86.2</v>
      </c>
      <c r="AS25" s="32">
        <v>93.9</v>
      </c>
      <c r="AT25" s="32">
        <v>102.7</v>
      </c>
      <c r="AU25" s="32">
        <v>86.8</v>
      </c>
      <c r="AV25" s="32">
        <v>104.4</v>
      </c>
      <c r="AW25" s="32">
        <v>176.4</v>
      </c>
      <c r="AX25" s="32">
        <v>135.30000000000001</v>
      </c>
      <c r="AY25" s="32">
        <v>397.1</v>
      </c>
      <c r="AZ25" s="32">
        <v>91.2</v>
      </c>
      <c r="BA25" s="32">
        <v>20.9</v>
      </c>
      <c r="BB25" s="32">
        <v>20.9</v>
      </c>
      <c r="BC25" s="32">
        <v>82.3</v>
      </c>
      <c r="BD25" s="32">
        <v>82.3</v>
      </c>
      <c r="BE25" s="32">
        <v>86.1</v>
      </c>
      <c r="BF25" s="32">
        <v>86.1</v>
      </c>
      <c r="BG25" s="32">
        <v>63.9</v>
      </c>
      <c r="BH25" s="32">
        <v>57.4</v>
      </c>
      <c r="BI25" s="32">
        <v>67.3</v>
      </c>
      <c r="BJ25" s="32">
        <v>44.8</v>
      </c>
      <c r="BK25" s="32">
        <v>91.3</v>
      </c>
      <c r="BL25" s="32">
        <v>7</v>
      </c>
      <c r="BM25" s="32">
        <v>80.5</v>
      </c>
      <c r="BN25" s="32">
        <v>73.2</v>
      </c>
      <c r="BO25" s="32">
        <v>89.6</v>
      </c>
      <c r="BP25" s="32">
        <v>61.2</v>
      </c>
      <c r="BQ25" s="32">
        <v>92.4</v>
      </c>
      <c r="BR25" s="32">
        <v>109.8</v>
      </c>
      <c r="BS25" s="32">
        <v>212.7</v>
      </c>
      <c r="BT25" s="32">
        <v>65.400000000000006</v>
      </c>
      <c r="BU25" s="32">
        <v>92.6</v>
      </c>
      <c r="BV25" s="32">
        <v>92.6</v>
      </c>
      <c r="BW25" s="32">
        <v>133.69999999999999</v>
      </c>
      <c r="BX25" s="32">
        <v>58.9</v>
      </c>
      <c r="BY25" s="32">
        <v>115.6</v>
      </c>
      <c r="BZ25" s="32">
        <v>123.8</v>
      </c>
      <c r="CA25" s="32">
        <v>111.7</v>
      </c>
      <c r="CB25" s="32">
        <v>93</v>
      </c>
      <c r="CC25" s="32">
        <v>148.80000000000001</v>
      </c>
      <c r="CD25" s="32">
        <v>54.1</v>
      </c>
      <c r="CE25" s="32">
        <v>96.4</v>
      </c>
      <c r="CF25" s="32">
        <v>62.2</v>
      </c>
      <c r="CG25" s="32">
        <v>79</v>
      </c>
      <c r="CH25" s="32">
        <v>77.599999999999994</v>
      </c>
      <c r="CI25" s="32">
        <v>96.3</v>
      </c>
      <c r="CJ25" s="32">
        <v>62.2</v>
      </c>
      <c r="CK25" s="32">
        <v>86</v>
      </c>
      <c r="CL25" s="32">
        <v>83.4</v>
      </c>
      <c r="CM25" s="32">
        <v>98.4</v>
      </c>
      <c r="CN25" s="32">
        <v>54.7</v>
      </c>
      <c r="CO25" s="32">
        <v>110.4</v>
      </c>
      <c r="CP25" s="32">
        <v>71.099999999999994</v>
      </c>
      <c r="CQ25" s="32">
        <v>21</v>
      </c>
      <c r="CR25" s="32">
        <v>94.1</v>
      </c>
      <c r="CS25" s="32">
        <v>101.3</v>
      </c>
      <c r="CT25" s="32">
        <v>80.7</v>
      </c>
      <c r="CU25" s="32">
        <v>53.9</v>
      </c>
      <c r="CV25" s="32">
        <v>92.8</v>
      </c>
      <c r="CW25" s="32">
        <v>12.5</v>
      </c>
      <c r="CX25" s="32">
        <v>56.1</v>
      </c>
      <c r="CY25" s="32">
        <v>66.599999999999994</v>
      </c>
      <c r="CZ25" s="32">
        <v>49.3</v>
      </c>
      <c r="DA25" s="32">
        <v>38.200000000000003</v>
      </c>
      <c r="DB25" s="32">
        <v>73.599999999999994</v>
      </c>
      <c r="DC25" s="32">
        <v>1</v>
      </c>
      <c r="DD25" s="32">
        <v>1</v>
      </c>
      <c r="DE25" s="32">
        <v>36.6</v>
      </c>
      <c r="DF25" s="32">
        <v>30.9</v>
      </c>
      <c r="DG25" s="32">
        <v>76.2</v>
      </c>
      <c r="DH25" s="32">
        <v>68.5</v>
      </c>
      <c r="DI25" s="32">
        <v>82.6</v>
      </c>
      <c r="DJ25" s="32">
        <v>107.7</v>
      </c>
      <c r="DK25" s="32">
        <v>107.7</v>
      </c>
      <c r="DL25" s="32">
        <v>31.7</v>
      </c>
      <c r="DM25" s="32">
        <v>65.2</v>
      </c>
      <c r="DN25" s="32">
        <v>45.4</v>
      </c>
      <c r="DO25" s="32">
        <v>74.400000000000006</v>
      </c>
      <c r="DP25" s="32">
        <v>39.1</v>
      </c>
      <c r="DQ25" s="32">
        <v>56.2</v>
      </c>
      <c r="DR25" s="32">
        <v>57.8</v>
      </c>
      <c r="DS25" s="32">
        <v>54.2</v>
      </c>
      <c r="DT25" s="32">
        <v>51</v>
      </c>
      <c r="DU25" s="32">
        <v>53.2</v>
      </c>
      <c r="DV25" s="32">
        <v>55</v>
      </c>
      <c r="DW25" s="32">
        <v>51</v>
      </c>
      <c r="DX25" s="32">
        <v>46.2</v>
      </c>
      <c r="DY25" s="32">
        <v>64.7</v>
      </c>
      <c r="DZ25" s="32">
        <v>115.5</v>
      </c>
      <c r="EA25" s="32">
        <v>115.5</v>
      </c>
      <c r="EB25" s="32">
        <v>52</v>
      </c>
      <c r="EC25" s="32">
        <v>49.4</v>
      </c>
      <c r="ED25" s="32">
        <v>56.1</v>
      </c>
      <c r="EE25" s="32">
        <v>61.1</v>
      </c>
      <c r="EF25" s="32">
        <v>43.1</v>
      </c>
      <c r="EG25" s="32">
        <v>53.5</v>
      </c>
      <c r="EH25" s="32">
        <v>57.9</v>
      </c>
      <c r="EI25" s="32">
        <v>46.9</v>
      </c>
      <c r="EJ25" s="32">
        <v>136.6</v>
      </c>
      <c r="EK25" s="32">
        <v>47.2</v>
      </c>
      <c r="EL25" s="32">
        <v>68.5</v>
      </c>
      <c r="EM25" s="32">
        <v>36.6</v>
      </c>
      <c r="EN25" s="32">
        <v>50.6</v>
      </c>
      <c r="EO25" s="32">
        <v>81.900000000000006</v>
      </c>
      <c r="EP25" s="32">
        <v>88.7</v>
      </c>
      <c r="EQ25" s="32">
        <v>88.7</v>
      </c>
      <c r="ER25" s="32">
        <v>95</v>
      </c>
      <c r="ES25" s="32">
        <v>95</v>
      </c>
      <c r="ET25" s="32">
        <v>67.900000000000006</v>
      </c>
      <c r="EU25" s="32">
        <v>65</v>
      </c>
      <c r="EV25" s="32">
        <v>65</v>
      </c>
      <c r="EW25" s="32">
        <v>75.7</v>
      </c>
      <c r="EX25" s="32">
        <v>90.4</v>
      </c>
      <c r="EY25" s="32">
        <v>64.3</v>
      </c>
      <c r="EZ25" s="32">
        <v>86.1</v>
      </c>
      <c r="FA25" s="32">
        <v>82.1</v>
      </c>
      <c r="FB25" s="32">
        <v>97</v>
      </c>
      <c r="FC25" s="32">
        <v>81.2</v>
      </c>
      <c r="FD25" s="32">
        <v>86.6</v>
      </c>
      <c r="FE25" s="32">
        <v>130.4</v>
      </c>
      <c r="FF25" s="32">
        <v>63.8</v>
      </c>
      <c r="FG25" s="32">
        <v>90.3</v>
      </c>
      <c r="FH25" s="32">
        <v>85.1</v>
      </c>
      <c r="FI25" s="32">
        <v>113.6</v>
      </c>
      <c r="FJ25" s="32">
        <v>89.5</v>
      </c>
      <c r="FK25" s="32">
        <v>81.400000000000006</v>
      </c>
      <c r="FL25" s="32">
        <v>81.400000000000006</v>
      </c>
    </row>
    <row r="26" spans="1:168" x14ac:dyDescent="0.2">
      <c r="A26" s="33" t="s">
        <v>1006</v>
      </c>
      <c r="B26" s="32">
        <v>67.099999999999994</v>
      </c>
      <c r="C26" s="32">
        <v>66.3</v>
      </c>
      <c r="D26" s="32">
        <v>89.7</v>
      </c>
      <c r="E26" s="32">
        <v>87.2</v>
      </c>
      <c r="F26" s="32">
        <v>366.8</v>
      </c>
      <c r="G26" s="32">
        <v>7272.3</v>
      </c>
      <c r="H26" s="32">
        <v>470.7</v>
      </c>
      <c r="I26" s="32">
        <v>63.3</v>
      </c>
      <c r="J26" s="32">
        <v>69.900000000000006</v>
      </c>
      <c r="K26" s="32">
        <v>89.6</v>
      </c>
      <c r="L26" s="32">
        <v>90.1</v>
      </c>
      <c r="M26" s="32">
        <v>107.5</v>
      </c>
      <c r="N26" s="32">
        <v>56.8</v>
      </c>
      <c r="O26" s="32">
        <v>163.30000000000001</v>
      </c>
      <c r="P26" s="32">
        <v>461.3</v>
      </c>
      <c r="Q26" s="32">
        <v>172</v>
      </c>
      <c r="R26" s="32">
        <v>69.2</v>
      </c>
      <c r="S26" s="32">
        <v>103.3</v>
      </c>
      <c r="T26" s="32">
        <v>100.8</v>
      </c>
      <c r="U26" s="32">
        <v>30.8</v>
      </c>
      <c r="V26" s="32">
        <v>116.7</v>
      </c>
      <c r="W26" s="32">
        <v>41.5</v>
      </c>
      <c r="X26" s="32">
        <v>28.2</v>
      </c>
      <c r="Y26" s="32">
        <v>54.3</v>
      </c>
      <c r="Z26" s="32">
        <v>107</v>
      </c>
      <c r="AA26" s="32">
        <v>60.3</v>
      </c>
      <c r="AB26" s="32">
        <v>62.3</v>
      </c>
      <c r="AC26" s="32">
        <v>47.8</v>
      </c>
      <c r="AD26" s="32">
        <v>74.8</v>
      </c>
      <c r="AE26" s="32">
        <v>179.3</v>
      </c>
      <c r="AF26" s="32">
        <v>179.3</v>
      </c>
      <c r="AG26" s="32">
        <v>52.2</v>
      </c>
      <c r="AH26" s="32">
        <v>52.2</v>
      </c>
      <c r="AI26" s="32">
        <v>199.3</v>
      </c>
      <c r="AJ26" s="32">
        <v>40.6</v>
      </c>
      <c r="AK26" s="32">
        <v>803.5</v>
      </c>
      <c r="AL26" s="32">
        <v>108.2</v>
      </c>
      <c r="AM26" s="32">
        <v>17.8</v>
      </c>
      <c r="AN26" s="32">
        <v>82</v>
      </c>
      <c r="AO26" s="32">
        <v>83.2</v>
      </c>
      <c r="AP26" s="32">
        <v>83.2</v>
      </c>
      <c r="AQ26" s="32">
        <v>88.8</v>
      </c>
      <c r="AR26" s="32">
        <v>87.3</v>
      </c>
      <c r="AS26" s="32">
        <v>92.3</v>
      </c>
      <c r="AT26" s="32">
        <v>100.2</v>
      </c>
      <c r="AU26" s="32">
        <v>86.3</v>
      </c>
      <c r="AV26" s="32">
        <v>105.7</v>
      </c>
      <c r="AW26" s="32">
        <v>176.5</v>
      </c>
      <c r="AX26" s="32">
        <v>135.6</v>
      </c>
      <c r="AY26" s="32">
        <v>396.8</v>
      </c>
      <c r="AZ26" s="32">
        <v>92.8</v>
      </c>
      <c r="BA26" s="32">
        <v>20.8</v>
      </c>
      <c r="BB26" s="32">
        <v>20.8</v>
      </c>
      <c r="BC26" s="32">
        <v>80.5</v>
      </c>
      <c r="BD26" s="32">
        <v>80.5</v>
      </c>
      <c r="BE26" s="32">
        <v>86.8</v>
      </c>
      <c r="BF26" s="32">
        <v>86.8</v>
      </c>
      <c r="BG26" s="32">
        <v>63.7</v>
      </c>
      <c r="BH26" s="32">
        <v>56.9</v>
      </c>
      <c r="BI26" s="32">
        <v>67.5</v>
      </c>
      <c r="BJ26" s="32">
        <v>45.6</v>
      </c>
      <c r="BK26" s="32">
        <v>90.6</v>
      </c>
      <c r="BL26" s="32">
        <v>7.6</v>
      </c>
      <c r="BM26" s="32">
        <v>80.3</v>
      </c>
      <c r="BN26" s="32">
        <v>72.099999999999994</v>
      </c>
      <c r="BO26" s="32">
        <v>87.8</v>
      </c>
      <c r="BP26" s="32">
        <v>60.6</v>
      </c>
      <c r="BQ26" s="32">
        <v>93.6</v>
      </c>
      <c r="BR26" s="32">
        <v>104.5</v>
      </c>
      <c r="BS26" s="32">
        <v>232.8</v>
      </c>
      <c r="BT26" s="32">
        <v>64.900000000000006</v>
      </c>
      <c r="BU26" s="32">
        <v>94.4</v>
      </c>
      <c r="BV26" s="32">
        <v>94.4</v>
      </c>
      <c r="BW26" s="32">
        <v>136.1</v>
      </c>
      <c r="BX26" s="32">
        <v>59.6</v>
      </c>
      <c r="BY26" s="32">
        <v>112.9</v>
      </c>
      <c r="BZ26" s="32">
        <v>120.3</v>
      </c>
      <c r="CA26" s="32">
        <v>109.4</v>
      </c>
      <c r="CB26" s="32">
        <v>92.4</v>
      </c>
      <c r="CC26" s="32">
        <v>143.30000000000001</v>
      </c>
      <c r="CD26" s="32">
        <v>53.8</v>
      </c>
      <c r="CE26" s="32">
        <v>97.3</v>
      </c>
      <c r="CF26" s="32">
        <v>62.1</v>
      </c>
      <c r="CG26" s="32">
        <v>79.2</v>
      </c>
      <c r="CH26" s="32">
        <v>77.900000000000006</v>
      </c>
      <c r="CI26" s="32">
        <v>94.7</v>
      </c>
      <c r="CJ26" s="32">
        <v>63.7</v>
      </c>
      <c r="CK26" s="32">
        <v>85.6</v>
      </c>
      <c r="CL26" s="32">
        <v>83.1</v>
      </c>
      <c r="CM26" s="32">
        <v>97</v>
      </c>
      <c r="CN26" s="32">
        <v>55.8</v>
      </c>
      <c r="CO26" s="32">
        <v>108.1</v>
      </c>
      <c r="CP26" s="32">
        <v>72.599999999999994</v>
      </c>
      <c r="CQ26" s="32">
        <v>21.2</v>
      </c>
      <c r="CR26" s="32">
        <v>92.9</v>
      </c>
      <c r="CS26" s="32">
        <v>103.6</v>
      </c>
      <c r="CT26" s="32">
        <v>80.900000000000006</v>
      </c>
      <c r="CU26" s="32">
        <v>54.4</v>
      </c>
      <c r="CV26" s="32">
        <v>92.9</v>
      </c>
      <c r="CW26" s="32">
        <v>12.5</v>
      </c>
      <c r="CX26" s="32">
        <v>57.6</v>
      </c>
      <c r="CY26" s="32">
        <v>68.3</v>
      </c>
      <c r="CZ26" s="32">
        <v>50.5</v>
      </c>
      <c r="DA26" s="32">
        <v>40.1</v>
      </c>
      <c r="DB26" s="32">
        <v>73</v>
      </c>
      <c r="DC26" s="32">
        <v>1.1000000000000001</v>
      </c>
      <c r="DD26" s="32">
        <v>1.1000000000000001</v>
      </c>
      <c r="DE26" s="32">
        <v>34.4</v>
      </c>
      <c r="DF26" s="32">
        <v>29.2</v>
      </c>
      <c r="DG26" s="32">
        <v>71</v>
      </c>
      <c r="DH26" s="32">
        <v>66.8</v>
      </c>
      <c r="DI26" s="32">
        <v>79.599999999999994</v>
      </c>
      <c r="DJ26" s="32">
        <v>107.2</v>
      </c>
      <c r="DK26" s="32">
        <v>107.2</v>
      </c>
      <c r="DL26" s="32">
        <v>31.1</v>
      </c>
      <c r="DM26" s="32">
        <v>65.7</v>
      </c>
      <c r="DN26" s="32">
        <v>45.2</v>
      </c>
      <c r="DO26" s="32">
        <v>75.099999999999994</v>
      </c>
      <c r="DP26" s="32">
        <v>38.4</v>
      </c>
      <c r="DQ26" s="32">
        <v>55.8</v>
      </c>
      <c r="DR26" s="32">
        <v>58</v>
      </c>
      <c r="DS26" s="32">
        <v>54.3</v>
      </c>
      <c r="DT26" s="32">
        <v>51.6</v>
      </c>
      <c r="DU26" s="32">
        <v>54.4</v>
      </c>
      <c r="DV26" s="32">
        <v>55.7</v>
      </c>
      <c r="DW26" s="32">
        <v>52.8</v>
      </c>
      <c r="DX26" s="32">
        <v>45.6</v>
      </c>
      <c r="DY26" s="32">
        <v>62.9</v>
      </c>
      <c r="DZ26" s="32">
        <v>116</v>
      </c>
      <c r="EA26" s="32">
        <v>116</v>
      </c>
      <c r="EB26" s="32">
        <v>52.3</v>
      </c>
      <c r="EC26" s="32">
        <v>50.9</v>
      </c>
      <c r="ED26" s="32">
        <v>54.6</v>
      </c>
      <c r="EE26" s="32">
        <v>58.8</v>
      </c>
      <c r="EF26" s="32">
        <v>43.6</v>
      </c>
      <c r="EG26" s="32">
        <v>52.5</v>
      </c>
      <c r="EH26" s="32">
        <v>56.6</v>
      </c>
      <c r="EI26" s="32">
        <v>46.9</v>
      </c>
      <c r="EJ26" s="32">
        <v>135.5</v>
      </c>
      <c r="EK26" s="32">
        <v>45.7</v>
      </c>
      <c r="EL26" s="32">
        <v>70.3</v>
      </c>
      <c r="EM26" s="32">
        <v>36.299999999999997</v>
      </c>
      <c r="EN26" s="32">
        <v>47.8</v>
      </c>
      <c r="EO26" s="32">
        <v>81.900000000000006</v>
      </c>
      <c r="EP26" s="32">
        <v>89.1</v>
      </c>
      <c r="EQ26" s="32">
        <v>89.1</v>
      </c>
      <c r="ER26" s="32">
        <v>94.1</v>
      </c>
      <c r="ES26" s="32">
        <v>94.1</v>
      </c>
      <c r="ET26" s="32">
        <v>68.099999999999994</v>
      </c>
      <c r="EU26" s="32">
        <v>65.2</v>
      </c>
      <c r="EV26" s="32">
        <v>65.2</v>
      </c>
      <c r="EW26" s="32">
        <v>75.7</v>
      </c>
      <c r="EX26" s="32">
        <v>90.2</v>
      </c>
      <c r="EY26" s="32">
        <v>64.3</v>
      </c>
      <c r="EZ26" s="32">
        <v>87.3</v>
      </c>
      <c r="FA26" s="32">
        <v>82</v>
      </c>
      <c r="FB26" s="32">
        <v>96.4</v>
      </c>
      <c r="FC26" s="32">
        <v>80</v>
      </c>
      <c r="FD26" s="32">
        <v>86.6</v>
      </c>
      <c r="FE26" s="32">
        <v>130.9</v>
      </c>
      <c r="FF26" s="32">
        <v>64.400000000000006</v>
      </c>
      <c r="FG26" s="32">
        <v>92.6</v>
      </c>
      <c r="FH26" s="32">
        <v>96.3</v>
      </c>
      <c r="FI26" s="32">
        <v>118.7</v>
      </c>
      <c r="FJ26" s="32">
        <v>87.7</v>
      </c>
      <c r="FK26" s="32">
        <v>82.1</v>
      </c>
      <c r="FL26" s="32">
        <v>82.1</v>
      </c>
    </row>
    <row r="27" spans="1:168" x14ac:dyDescent="0.2">
      <c r="A27" s="33" t="s">
        <v>1007</v>
      </c>
      <c r="B27" s="32">
        <v>67.3</v>
      </c>
      <c r="C27" s="32">
        <v>66.2</v>
      </c>
      <c r="D27" s="32">
        <v>89.8</v>
      </c>
      <c r="E27" s="32">
        <v>87.2</v>
      </c>
      <c r="F27" s="32">
        <v>362.2</v>
      </c>
      <c r="G27" s="32">
        <v>7326.5</v>
      </c>
      <c r="H27" s="32">
        <v>468.5</v>
      </c>
      <c r="I27" s="32">
        <v>60.1</v>
      </c>
      <c r="J27" s="32">
        <v>69.8</v>
      </c>
      <c r="K27" s="32">
        <v>90.6</v>
      </c>
      <c r="L27" s="32">
        <v>91.1</v>
      </c>
      <c r="M27" s="32">
        <v>110.4</v>
      </c>
      <c r="N27" s="32">
        <v>55.8</v>
      </c>
      <c r="O27" s="32">
        <v>161.80000000000001</v>
      </c>
      <c r="P27" s="32">
        <v>443.8</v>
      </c>
      <c r="Q27" s="32">
        <v>172.6</v>
      </c>
      <c r="R27" s="32">
        <v>70.900000000000006</v>
      </c>
      <c r="S27" s="32">
        <v>105.1</v>
      </c>
      <c r="T27" s="32">
        <v>101.3</v>
      </c>
      <c r="U27" s="32">
        <v>32.200000000000003</v>
      </c>
      <c r="V27" s="32">
        <v>118.1</v>
      </c>
      <c r="W27" s="32">
        <v>42.3</v>
      </c>
      <c r="X27" s="32">
        <v>29.2</v>
      </c>
      <c r="Y27" s="32">
        <v>54.2</v>
      </c>
      <c r="Z27" s="32">
        <v>113.6</v>
      </c>
      <c r="AA27" s="32">
        <v>60</v>
      </c>
      <c r="AB27" s="32">
        <v>60.1</v>
      </c>
      <c r="AC27" s="32">
        <v>48</v>
      </c>
      <c r="AD27" s="32">
        <v>75.099999999999994</v>
      </c>
      <c r="AE27" s="32">
        <v>187.3</v>
      </c>
      <c r="AF27" s="32">
        <v>187.3</v>
      </c>
      <c r="AG27" s="32">
        <v>50.3</v>
      </c>
      <c r="AH27" s="32">
        <v>50.3</v>
      </c>
      <c r="AI27" s="32">
        <v>195.4</v>
      </c>
      <c r="AJ27" s="32">
        <v>39</v>
      </c>
      <c r="AK27" s="32">
        <v>781.6</v>
      </c>
      <c r="AL27" s="32">
        <v>100.8</v>
      </c>
      <c r="AM27" s="32">
        <v>17.600000000000001</v>
      </c>
      <c r="AN27" s="32">
        <v>79.2</v>
      </c>
      <c r="AO27" s="32">
        <v>77.8</v>
      </c>
      <c r="AP27" s="32">
        <v>77.8</v>
      </c>
      <c r="AQ27" s="32">
        <v>88.9</v>
      </c>
      <c r="AR27" s="32">
        <v>87.8</v>
      </c>
      <c r="AS27" s="32">
        <v>91.6</v>
      </c>
      <c r="AT27" s="32">
        <v>99.6</v>
      </c>
      <c r="AU27" s="32">
        <v>85.5</v>
      </c>
      <c r="AV27" s="32">
        <v>104.1</v>
      </c>
      <c r="AW27" s="32">
        <v>172.7</v>
      </c>
      <c r="AX27" s="32">
        <v>130.1</v>
      </c>
      <c r="AY27" s="32">
        <v>395.5</v>
      </c>
      <c r="AZ27" s="32">
        <v>91.7</v>
      </c>
      <c r="BA27" s="32">
        <v>20.9</v>
      </c>
      <c r="BB27" s="32">
        <v>20.9</v>
      </c>
      <c r="BC27" s="32">
        <v>79.900000000000006</v>
      </c>
      <c r="BD27" s="32">
        <v>79.900000000000006</v>
      </c>
      <c r="BE27" s="32">
        <v>88.1</v>
      </c>
      <c r="BF27" s="32">
        <v>88.1</v>
      </c>
      <c r="BG27" s="32">
        <v>65.2</v>
      </c>
      <c r="BH27" s="32">
        <v>58.4</v>
      </c>
      <c r="BI27" s="32">
        <v>68.599999999999994</v>
      </c>
      <c r="BJ27" s="32">
        <v>46.6</v>
      </c>
      <c r="BK27" s="32">
        <v>91.4</v>
      </c>
      <c r="BL27" s="32">
        <v>8.3000000000000007</v>
      </c>
      <c r="BM27" s="32">
        <v>79.599999999999994</v>
      </c>
      <c r="BN27" s="32">
        <v>71.599999999999994</v>
      </c>
      <c r="BO27" s="32">
        <v>89.3</v>
      </c>
      <c r="BP27" s="32">
        <v>58.7</v>
      </c>
      <c r="BQ27" s="32">
        <v>92.8</v>
      </c>
      <c r="BR27" s="32">
        <v>89.9</v>
      </c>
      <c r="BS27" s="32">
        <v>226.6</v>
      </c>
      <c r="BT27" s="32">
        <v>66.3</v>
      </c>
      <c r="BU27" s="32">
        <v>97.2</v>
      </c>
      <c r="BV27" s="32">
        <v>97.2</v>
      </c>
      <c r="BW27" s="32">
        <v>138.4</v>
      </c>
      <c r="BX27" s="32">
        <v>63.5</v>
      </c>
      <c r="BY27" s="32">
        <v>113.6</v>
      </c>
      <c r="BZ27" s="32">
        <v>120.4</v>
      </c>
      <c r="CA27" s="32">
        <v>110.4</v>
      </c>
      <c r="CB27" s="32">
        <v>94.8</v>
      </c>
      <c r="CC27" s="32">
        <v>141.6</v>
      </c>
      <c r="CD27" s="32">
        <v>56</v>
      </c>
      <c r="CE27" s="32">
        <v>98</v>
      </c>
      <c r="CF27" s="32">
        <v>62.3</v>
      </c>
      <c r="CG27" s="32">
        <v>78.599999999999994</v>
      </c>
      <c r="CH27" s="32">
        <v>76.900000000000006</v>
      </c>
      <c r="CI27" s="32">
        <v>93</v>
      </c>
      <c r="CJ27" s="32">
        <v>63</v>
      </c>
      <c r="CK27" s="32">
        <v>84.7</v>
      </c>
      <c r="CL27" s="32">
        <v>83</v>
      </c>
      <c r="CM27" s="32">
        <v>98.7</v>
      </c>
      <c r="CN27" s="32">
        <v>57</v>
      </c>
      <c r="CO27" s="32">
        <v>110</v>
      </c>
      <c r="CP27" s="32">
        <v>74</v>
      </c>
      <c r="CQ27" s="32">
        <v>20.6</v>
      </c>
      <c r="CR27" s="32">
        <v>93.3</v>
      </c>
      <c r="CS27" s="32">
        <v>99.2</v>
      </c>
      <c r="CT27" s="32">
        <v>81.3</v>
      </c>
      <c r="CU27" s="32">
        <v>55.8</v>
      </c>
      <c r="CV27" s="32">
        <v>92.9</v>
      </c>
      <c r="CW27" s="32">
        <v>13</v>
      </c>
      <c r="CX27" s="32">
        <v>59.1</v>
      </c>
      <c r="CY27" s="32">
        <v>68.900000000000006</v>
      </c>
      <c r="CZ27" s="32">
        <v>53.5</v>
      </c>
      <c r="DA27" s="32">
        <v>43.9</v>
      </c>
      <c r="DB27" s="32">
        <v>73.2</v>
      </c>
      <c r="DC27" s="32">
        <v>1.1000000000000001</v>
      </c>
      <c r="DD27" s="32">
        <v>1.1000000000000001</v>
      </c>
      <c r="DE27" s="32">
        <v>37</v>
      </c>
      <c r="DF27" s="32">
        <v>31.3</v>
      </c>
      <c r="DG27" s="32">
        <v>77.2</v>
      </c>
      <c r="DH27" s="32">
        <v>64.900000000000006</v>
      </c>
      <c r="DI27" s="32">
        <v>78.2</v>
      </c>
      <c r="DJ27" s="32">
        <v>104.7</v>
      </c>
      <c r="DK27" s="32">
        <v>104.7</v>
      </c>
      <c r="DL27" s="32">
        <v>28.2</v>
      </c>
      <c r="DM27" s="32">
        <v>66.099999999999994</v>
      </c>
      <c r="DN27" s="32">
        <v>45.3</v>
      </c>
      <c r="DO27" s="32">
        <v>75.7</v>
      </c>
      <c r="DP27" s="32">
        <v>36.299999999999997</v>
      </c>
      <c r="DQ27" s="32">
        <v>57.5</v>
      </c>
      <c r="DR27" s="32">
        <v>59.5</v>
      </c>
      <c r="DS27" s="32">
        <v>56.1</v>
      </c>
      <c r="DT27" s="32">
        <v>50.5</v>
      </c>
      <c r="DU27" s="32">
        <v>53</v>
      </c>
      <c r="DV27" s="32">
        <v>55.7</v>
      </c>
      <c r="DW27" s="32">
        <v>49.7</v>
      </c>
      <c r="DX27" s="32">
        <v>45</v>
      </c>
      <c r="DY27" s="32">
        <v>74</v>
      </c>
      <c r="DZ27" s="32">
        <v>117</v>
      </c>
      <c r="EA27" s="32">
        <v>117</v>
      </c>
      <c r="EB27" s="32">
        <v>53.3</v>
      </c>
      <c r="EC27" s="32">
        <v>50.6</v>
      </c>
      <c r="ED27" s="32">
        <v>57.4</v>
      </c>
      <c r="EE27" s="32">
        <v>62.3</v>
      </c>
      <c r="EF27" s="32">
        <v>44.6</v>
      </c>
      <c r="EG27" s="32">
        <v>54.2</v>
      </c>
      <c r="EH27" s="32">
        <v>56.4</v>
      </c>
      <c r="EI27" s="32">
        <v>49.4</v>
      </c>
      <c r="EJ27" s="32">
        <v>138.69999999999999</v>
      </c>
      <c r="EK27" s="32">
        <v>47.7</v>
      </c>
      <c r="EL27" s="32">
        <v>71.599999999999994</v>
      </c>
      <c r="EM27" s="32">
        <v>36.5</v>
      </c>
      <c r="EN27" s="32">
        <v>51.2</v>
      </c>
      <c r="EO27" s="32">
        <v>81.8</v>
      </c>
      <c r="EP27" s="32">
        <v>88.9</v>
      </c>
      <c r="EQ27" s="32">
        <v>88.9</v>
      </c>
      <c r="ER27" s="32">
        <v>93.8</v>
      </c>
      <c r="ES27" s="32">
        <v>93.8</v>
      </c>
      <c r="ET27" s="32">
        <v>68.2</v>
      </c>
      <c r="EU27" s="32">
        <v>65.3</v>
      </c>
      <c r="EV27" s="32">
        <v>65.3</v>
      </c>
      <c r="EW27" s="32">
        <v>75.7</v>
      </c>
      <c r="EX27" s="32">
        <v>90</v>
      </c>
      <c r="EY27" s="32">
        <v>64.5</v>
      </c>
      <c r="EZ27" s="32">
        <v>84.9</v>
      </c>
      <c r="FA27" s="32">
        <v>80.3</v>
      </c>
      <c r="FB27" s="32">
        <v>93.3</v>
      </c>
      <c r="FC27" s="32">
        <v>74.900000000000006</v>
      </c>
      <c r="FD27" s="32">
        <v>86.4</v>
      </c>
      <c r="FE27" s="32">
        <v>131.1</v>
      </c>
      <c r="FF27" s="32">
        <v>64.599999999999994</v>
      </c>
      <c r="FG27" s="32">
        <v>89.4</v>
      </c>
      <c r="FH27" s="32">
        <v>83.6</v>
      </c>
      <c r="FI27" s="32">
        <v>115.9</v>
      </c>
      <c r="FJ27" s="32">
        <v>88.4</v>
      </c>
      <c r="FK27" s="32">
        <v>82.2</v>
      </c>
      <c r="FL27" s="32">
        <v>82.2</v>
      </c>
    </row>
    <row r="28" spans="1:168" x14ac:dyDescent="0.2">
      <c r="A28" s="33" t="s">
        <v>1008</v>
      </c>
      <c r="B28" s="32">
        <v>67.7</v>
      </c>
      <c r="C28" s="32">
        <v>66.900000000000006</v>
      </c>
      <c r="D28" s="32">
        <v>90.1</v>
      </c>
      <c r="E28" s="32">
        <v>87.4</v>
      </c>
      <c r="F28" s="32">
        <v>361.2</v>
      </c>
      <c r="G28" s="32">
        <v>8053.7</v>
      </c>
      <c r="H28" s="32">
        <v>462.8</v>
      </c>
      <c r="I28" s="32">
        <v>61.3</v>
      </c>
      <c r="J28" s="32">
        <v>69.8</v>
      </c>
      <c r="K28" s="32">
        <v>88.3</v>
      </c>
      <c r="L28" s="32">
        <v>88.3</v>
      </c>
      <c r="M28" s="32">
        <v>108.8</v>
      </c>
      <c r="N28" s="32">
        <v>57.2</v>
      </c>
      <c r="O28" s="32">
        <v>158</v>
      </c>
      <c r="P28" s="32">
        <v>424.5</v>
      </c>
      <c r="Q28" s="32">
        <v>166</v>
      </c>
      <c r="R28" s="32">
        <v>68.099999999999994</v>
      </c>
      <c r="S28" s="32">
        <v>101.6</v>
      </c>
      <c r="T28" s="32">
        <v>90</v>
      </c>
      <c r="U28" s="32">
        <v>33.6</v>
      </c>
      <c r="V28" s="32">
        <v>115.1</v>
      </c>
      <c r="W28" s="32">
        <v>43.5</v>
      </c>
      <c r="X28" s="32">
        <v>29.2</v>
      </c>
      <c r="Y28" s="32">
        <v>57.3</v>
      </c>
      <c r="Z28" s="32">
        <v>114.2</v>
      </c>
      <c r="AA28" s="32">
        <v>60.9</v>
      </c>
      <c r="AB28" s="32">
        <v>62.5</v>
      </c>
      <c r="AC28" s="32">
        <v>49.3</v>
      </c>
      <c r="AD28" s="32">
        <v>74.8</v>
      </c>
      <c r="AE28" s="32">
        <v>178.2</v>
      </c>
      <c r="AF28" s="32">
        <v>178.2</v>
      </c>
      <c r="AG28" s="32">
        <v>50.4</v>
      </c>
      <c r="AH28" s="32">
        <v>50.4</v>
      </c>
      <c r="AI28" s="32">
        <v>178.2</v>
      </c>
      <c r="AJ28" s="32">
        <v>39.4</v>
      </c>
      <c r="AK28" s="32">
        <v>792</v>
      </c>
      <c r="AL28" s="32">
        <v>103.5</v>
      </c>
      <c r="AM28" s="32">
        <v>18</v>
      </c>
      <c r="AN28" s="32">
        <v>78.400000000000006</v>
      </c>
      <c r="AO28" s="32">
        <v>82.8</v>
      </c>
      <c r="AP28" s="32">
        <v>82.8</v>
      </c>
      <c r="AQ28" s="32">
        <v>89</v>
      </c>
      <c r="AR28" s="32">
        <v>87.7</v>
      </c>
      <c r="AS28" s="32">
        <v>92.2</v>
      </c>
      <c r="AT28" s="32">
        <v>99.8</v>
      </c>
      <c r="AU28" s="32">
        <v>86.4</v>
      </c>
      <c r="AV28" s="32">
        <v>104.2</v>
      </c>
      <c r="AW28" s="32">
        <v>174.6</v>
      </c>
      <c r="AX28" s="32">
        <v>130.9</v>
      </c>
      <c r="AY28" s="32">
        <v>401.4</v>
      </c>
      <c r="AZ28" s="32">
        <v>91.4</v>
      </c>
      <c r="BA28" s="32">
        <v>21</v>
      </c>
      <c r="BB28" s="32">
        <v>21</v>
      </c>
      <c r="BC28" s="32">
        <v>82.1</v>
      </c>
      <c r="BD28" s="32">
        <v>82.1</v>
      </c>
      <c r="BE28" s="32">
        <v>87.8</v>
      </c>
      <c r="BF28" s="32">
        <v>87.8</v>
      </c>
      <c r="BG28" s="32">
        <v>63.9</v>
      </c>
      <c r="BH28" s="32">
        <v>55.4</v>
      </c>
      <c r="BI28" s="32">
        <v>70</v>
      </c>
      <c r="BJ28" s="32">
        <v>47.8</v>
      </c>
      <c r="BK28" s="32">
        <v>92.6</v>
      </c>
      <c r="BL28" s="32">
        <v>9.4</v>
      </c>
      <c r="BM28" s="32">
        <v>79.2</v>
      </c>
      <c r="BN28" s="32">
        <v>72.900000000000006</v>
      </c>
      <c r="BO28" s="32">
        <v>88.9</v>
      </c>
      <c r="BP28" s="32">
        <v>61.2</v>
      </c>
      <c r="BQ28" s="32">
        <v>89.6</v>
      </c>
      <c r="BR28" s="32">
        <v>75.400000000000006</v>
      </c>
      <c r="BS28" s="32">
        <v>205.8</v>
      </c>
      <c r="BT28" s="32">
        <v>66.900000000000006</v>
      </c>
      <c r="BU28" s="32">
        <v>100.6</v>
      </c>
      <c r="BV28" s="32">
        <v>100.6</v>
      </c>
      <c r="BW28" s="32">
        <v>139.4</v>
      </c>
      <c r="BX28" s="32">
        <v>70.2</v>
      </c>
      <c r="BY28" s="32">
        <v>114.3</v>
      </c>
      <c r="BZ28" s="32">
        <v>122.7</v>
      </c>
      <c r="CA28" s="32">
        <v>110.3</v>
      </c>
      <c r="CB28" s="32">
        <v>95.2</v>
      </c>
      <c r="CC28" s="32">
        <v>140.80000000000001</v>
      </c>
      <c r="CD28" s="32">
        <v>56.1</v>
      </c>
      <c r="CE28" s="32">
        <v>98.7</v>
      </c>
      <c r="CF28" s="32">
        <v>62.7</v>
      </c>
      <c r="CG28" s="32">
        <v>79.900000000000006</v>
      </c>
      <c r="CH28" s="32">
        <v>78</v>
      </c>
      <c r="CI28" s="32">
        <v>91.2</v>
      </c>
      <c r="CJ28" s="32">
        <v>65.900000000000006</v>
      </c>
      <c r="CK28" s="32">
        <v>84.7</v>
      </c>
      <c r="CL28" s="32">
        <v>85</v>
      </c>
      <c r="CM28" s="32">
        <v>101</v>
      </c>
      <c r="CN28" s="32">
        <v>57.4</v>
      </c>
      <c r="CO28" s="32">
        <v>113</v>
      </c>
      <c r="CP28" s="32">
        <v>75.2</v>
      </c>
      <c r="CQ28" s="32">
        <v>21.4</v>
      </c>
      <c r="CR28" s="32">
        <v>96.1</v>
      </c>
      <c r="CS28" s="32">
        <v>99.6</v>
      </c>
      <c r="CT28" s="32">
        <v>82.1</v>
      </c>
      <c r="CU28" s="32">
        <v>58.5</v>
      </c>
      <c r="CV28" s="32">
        <v>92.8</v>
      </c>
      <c r="CW28" s="32">
        <v>13.3</v>
      </c>
      <c r="CX28" s="32">
        <v>58.5</v>
      </c>
      <c r="CY28" s="32">
        <v>65.7</v>
      </c>
      <c r="CZ28" s="32">
        <v>55.4</v>
      </c>
      <c r="DA28" s="32">
        <v>46.2</v>
      </c>
      <c r="DB28" s="32">
        <v>73.400000000000006</v>
      </c>
      <c r="DC28" s="32">
        <v>1.2</v>
      </c>
      <c r="DD28" s="32">
        <v>1.2</v>
      </c>
      <c r="DE28" s="32">
        <v>37.9</v>
      </c>
      <c r="DF28" s="32">
        <v>32.4</v>
      </c>
      <c r="DG28" s="32">
        <v>76.8</v>
      </c>
      <c r="DH28" s="32">
        <v>63.6</v>
      </c>
      <c r="DI28" s="32">
        <v>76</v>
      </c>
      <c r="DJ28" s="32">
        <v>103.7</v>
      </c>
      <c r="DK28" s="32">
        <v>103.7</v>
      </c>
      <c r="DL28" s="32">
        <v>28</v>
      </c>
      <c r="DM28" s="32">
        <v>66.5</v>
      </c>
      <c r="DN28" s="32">
        <v>45.3</v>
      </c>
      <c r="DO28" s="32">
        <v>76.3</v>
      </c>
      <c r="DP28" s="32">
        <v>35.1</v>
      </c>
      <c r="DQ28" s="32">
        <v>57.4</v>
      </c>
      <c r="DR28" s="32">
        <v>58.8</v>
      </c>
      <c r="DS28" s="32">
        <v>54.9</v>
      </c>
      <c r="DT28" s="32">
        <v>52</v>
      </c>
      <c r="DU28" s="32">
        <v>55.3</v>
      </c>
      <c r="DV28" s="32">
        <v>55.4</v>
      </c>
      <c r="DW28" s="32">
        <v>55</v>
      </c>
      <c r="DX28" s="32">
        <v>44.8</v>
      </c>
      <c r="DY28" s="32">
        <v>64.2</v>
      </c>
      <c r="DZ28" s="32">
        <v>118.3</v>
      </c>
      <c r="EA28" s="32">
        <v>118.3</v>
      </c>
      <c r="EB28" s="32">
        <v>53.4</v>
      </c>
      <c r="EC28" s="32">
        <v>49.7</v>
      </c>
      <c r="ED28" s="32">
        <v>58.9</v>
      </c>
      <c r="EE28" s="32">
        <v>64</v>
      </c>
      <c r="EF28" s="32">
        <v>45.3</v>
      </c>
      <c r="EG28" s="32">
        <v>55.1</v>
      </c>
      <c r="EH28" s="32">
        <v>56</v>
      </c>
      <c r="EI28" s="32">
        <v>49.8</v>
      </c>
      <c r="EJ28" s="32">
        <v>143.19999999999999</v>
      </c>
      <c r="EK28" s="32">
        <v>49.6</v>
      </c>
      <c r="EL28" s="32">
        <v>71.2</v>
      </c>
      <c r="EM28" s="32">
        <v>37.1</v>
      </c>
      <c r="EN28" s="32">
        <v>54.4</v>
      </c>
      <c r="EO28" s="32">
        <v>81.7</v>
      </c>
      <c r="EP28" s="32">
        <v>88.6</v>
      </c>
      <c r="EQ28" s="32">
        <v>88.6</v>
      </c>
      <c r="ER28" s="32">
        <v>93.7</v>
      </c>
      <c r="ES28" s="32">
        <v>93.7</v>
      </c>
      <c r="ET28" s="32">
        <v>68.3</v>
      </c>
      <c r="EU28" s="32">
        <v>65.400000000000006</v>
      </c>
      <c r="EV28" s="32">
        <v>65.400000000000006</v>
      </c>
      <c r="EW28" s="32">
        <v>75.900000000000006</v>
      </c>
      <c r="EX28" s="32">
        <v>90.1</v>
      </c>
      <c r="EY28" s="32">
        <v>64.7</v>
      </c>
      <c r="EZ28" s="32">
        <v>86.4</v>
      </c>
      <c r="FA28" s="32">
        <v>78.599999999999994</v>
      </c>
      <c r="FB28" s="32">
        <v>90.2</v>
      </c>
      <c r="FC28" s="32">
        <v>69.400000000000006</v>
      </c>
      <c r="FD28" s="32">
        <v>86.7</v>
      </c>
      <c r="FE28" s="32">
        <v>131.30000000000001</v>
      </c>
      <c r="FF28" s="32">
        <v>64.7</v>
      </c>
      <c r="FG28" s="32">
        <v>93.8</v>
      </c>
      <c r="FH28" s="32">
        <v>97.2</v>
      </c>
      <c r="FI28" s="32">
        <v>118.8</v>
      </c>
      <c r="FJ28" s="32">
        <v>89.2</v>
      </c>
      <c r="FK28" s="32">
        <v>81.599999999999994</v>
      </c>
      <c r="FL28" s="32">
        <v>81.599999999999994</v>
      </c>
    </row>
    <row r="29" spans="1:168" x14ac:dyDescent="0.2">
      <c r="A29" s="33" t="s">
        <v>1009</v>
      </c>
      <c r="B29" s="32">
        <v>67.8</v>
      </c>
      <c r="C29" s="32">
        <v>68.599999999999994</v>
      </c>
      <c r="D29" s="32">
        <v>90.5</v>
      </c>
      <c r="E29" s="32">
        <v>87.7</v>
      </c>
      <c r="F29" s="32">
        <v>364.7</v>
      </c>
      <c r="G29" s="32">
        <v>8078.7</v>
      </c>
      <c r="H29" s="32">
        <v>467</v>
      </c>
      <c r="I29" s="32">
        <v>62.2</v>
      </c>
      <c r="J29" s="32">
        <v>70.3</v>
      </c>
      <c r="K29" s="32">
        <v>89.3</v>
      </c>
      <c r="L29" s="32">
        <v>89.4</v>
      </c>
      <c r="M29" s="32">
        <v>108.2</v>
      </c>
      <c r="N29" s="32">
        <v>57.5</v>
      </c>
      <c r="O29" s="32">
        <v>151</v>
      </c>
      <c r="P29" s="32">
        <v>428.6</v>
      </c>
      <c r="Q29" s="32">
        <v>156.80000000000001</v>
      </c>
      <c r="R29" s="32">
        <v>67</v>
      </c>
      <c r="S29" s="32">
        <v>104.7</v>
      </c>
      <c r="T29" s="32">
        <v>100.6</v>
      </c>
      <c r="U29" s="32">
        <v>32.700000000000003</v>
      </c>
      <c r="V29" s="32">
        <v>117.1</v>
      </c>
      <c r="W29" s="32">
        <v>43.2</v>
      </c>
      <c r="X29" s="32">
        <v>28.6</v>
      </c>
      <c r="Y29" s="32">
        <v>57.8</v>
      </c>
      <c r="Z29" s="32">
        <v>113.4</v>
      </c>
      <c r="AA29" s="32">
        <v>61</v>
      </c>
      <c r="AB29" s="32">
        <v>60.6</v>
      </c>
      <c r="AC29" s="32">
        <v>49.4</v>
      </c>
      <c r="AD29" s="32">
        <v>75.900000000000006</v>
      </c>
      <c r="AE29" s="32">
        <v>176.8</v>
      </c>
      <c r="AF29" s="32">
        <v>176.8</v>
      </c>
      <c r="AG29" s="32">
        <v>51.4</v>
      </c>
      <c r="AH29" s="32">
        <v>51.4</v>
      </c>
      <c r="AI29" s="32">
        <v>203.2</v>
      </c>
      <c r="AJ29" s="32">
        <v>38.4</v>
      </c>
      <c r="AK29" s="32">
        <v>764.7</v>
      </c>
      <c r="AL29" s="32">
        <v>102.8</v>
      </c>
      <c r="AM29" s="32">
        <v>18.5</v>
      </c>
      <c r="AN29" s="32">
        <v>88</v>
      </c>
      <c r="AO29" s="32">
        <v>84.9</v>
      </c>
      <c r="AP29" s="32">
        <v>84.9</v>
      </c>
      <c r="AQ29" s="32">
        <v>90.3</v>
      </c>
      <c r="AR29" s="32">
        <v>89.5</v>
      </c>
      <c r="AS29" s="32">
        <v>92.6</v>
      </c>
      <c r="AT29" s="32">
        <v>100.5</v>
      </c>
      <c r="AU29" s="32">
        <v>86.4</v>
      </c>
      <c r="AV29" s="32">
        <v>104</v>
      </c>
      <c r="AW29" s="32">
        <v>177</v>
      </c>
      <c r="AX29" s="32">
        <v>132.6</v>
      </c>
      <c r="AY29" s="32">
        <v>407.8</v>
      </c>
      <c r="AZ29" s="32">
        <v>90.6</v>
      </c>
      <c r="BA29" s="32">
        <v>21.6</v>
      </c>
      <c r="BB29" s="32">
        <v>21.6</v>
      </c>
      <c r="BC29" s="32">
        <v>82.1</v>
      </c>
      <c r="BD29" s="32">
        <v>82.1</v>
      </c>
      <c r="BE29" s="32">
        <v>86.7</v>
      </c>
      <c r="BF29" s="32">
        <v>86.7</v>
      </c>
      <c r="BG29" s="32">
        <v>63.9</v>
      </c>
      <c r="BH29" s="32">
        <v>54</v>
      </c>
      <c r="BI29" s="32">
        <v>72</v>
      </c>
      <c r="BJ29" s="32">
        <v>49.4</v>
      </c>
      <c r="BK29" s="32">
        <v>94.3</v>
      </c>
      <c r="BL29" s="32">
        <v>11.3</v>
      </c>
      <c r="BM29" s="32">
        <v>79.8</v>
      </c>
      <c r="BN29" s="32">
        <v>74</v>
      </c>
      <c r="BO29" s="32">
        <v>90</v>
      </c>
      <c r="BP29" s="32">
        <v>62.3</v>
      </c>
      <c r="BQ29" s="32">
        <v>89.4</v>
      </c>
      <c r="BR29" s="32">
        <v>64.2</v>
      </c>
      <c r="BS29" s="32">
        <v>199.2</v>
      </c>
      <c r="BT29" s="32">
        <v>68.8</v>
      </c>
      <c r="BU29" s="32">
        <v>100.8</v>
      </c>
      <c r="BV29" s="32">
        <v>100.8</v>
      </c>
      <c r="BW29" s="32">
        <v>137.9</v>
      </c>
      <c r="BX29" s="32">
        <v>72.8</v>
      </c>
      <c r="BY29" s="32">
        <v>110.3</v>
      </c>
      <c r="BZ29" s="32">
        <v>118.4</v>
      </c>
      <c r="CA29" s="32">
        <v>106.4</v>
      </c>
      <c r="CB29" s="32">
        <v>90.7</v>
      </c>
      <c r="CC29" s="32">
        <v>137.69999999999999</v>
      </c>
      <c r="CD29" s="32">
        <v>54.4</v>
      </c>
      <c r="CE29" s="32">
        <v>99.5</v>
      </c>
      <c r="CF29" s="32">
        <v>62.7</v>
      </c>
      <c r="CG29" s="32">
        <v>80.7</v>
      </c>
      <c r="CH29" s="32">
        <v>79.599999999999994</v>
      </c>
      <c r="CI29" s="32">
        <v>90.8</v>
      </c>
      <c r="CJ29" s="32">
        <v>70.2</v>
      </c>
      <c r="CK29" s="32">
        <v>83.9</v>
      </c>
      <c r="CL29" s="32">
        <v>84.4</v>
      </c>
      <c r="CM29" s="32">
        <v>100.5</v>
      </c>
      <c r="CN29" s="32">
        <v>57.7</v>
      </c>
      <c r="CO29" s="32">
        <v>112.2</v>
      </c>
      <c r="CP29" s="32">
        <v>75.5</v>
      </c>
      <c r="CQ29" s="32">
        <v>21.1</v>
      </c>
      <c r="CR29" s="32">
        <v>94</v>
      </c>
      <c r="CS29" s="32">
        <v>101.1</v>
      </c>
      <c r="CT29" s="32">
        <v>81.5</v>
      </c>
      <c r="CU29" s="32">
        <v>57.5</v>
      </c>
      <c r="CV29" s="32">
        <v>92.4</v>
      </c>
      <c r="CW29" s="32">
        <v>13.3</v>
      </c>
      <c r="CX29" s="32">
        <v>59.4</v>
      </c>
      <c r="CY29" s="32">
        <v>64.599999999999994</v>
      </c>
      <c r="CZ29" s="32">
        <v>58.3</v>
      </c>
      <c r="DA29" s="32">
        <v>49.5</v>
      </c>
      <c r="DB29" s="32">
        <v>74.8</v>
      </c>
      <c r="DC29" s="32">
        <v>1.2</v>
      </c>
      <c r="DD29" s="32">
        <v>1.2</v>
      </c>
      <c r="DE29" s="32">
        <v>37.299999999999997</v>
      </c>
      <c r="DF29" s="32">
        <v>31.6</v>
      </c>
      <c r="DG29" s="32">
        <v>78.3</v>
      </c>
      <c r="DH29" s="32">
        <v>62.5</v>
      </c>
      <c r="DI29" s="32">
        <v>73.400000000000006</v>
      </c>
      <c r="DJ29" s="32">
        <v>103.5</v>
      </c>
      <c r="DK29" s="32">
        <v>103.5</v>
      </c>
      <c r="DL29" s="32">
        <v>28.4</v>
      </c>
      <c r="DM29" s="32">
        <v>66.5</v>
      </c>
      <c r="DN29" s="32">
        <v>45.5</v>
      </c>
      <c r="DO29" s="32">
        <v>76.400000000000006</v>
      </c>
      <c r="DP29" s="32">
        <v>33.4</v>
      </c>
      <c r="DQ29" s="32">
        <v>57.1</v>
      </c>
      <c r="DR29" s="32">
        <v>59.2</v>
      </c>
      <c r="DS29" s="32">
        <v>55.4</v>
      </c>
      <c r="DT29" s="32">
        <v>52.3</v>
      </c>
      <c r="DU29" s="32">
        <v>55.9</v>
      </c>
      <c r="DV29" s="32">
        <v>55.8</v>
      </c>
      <c r="DW29" s="32">
        <v>55.8</v>
      </c>
      <c r="DX29" s="32">
        <v>44.4</v>
      </c>
      <c r="DY29" s="32">
        <v>65.7</v>
      </c>
      <c r="DZ29" s="32">
        <v>115.5</v>
      </c>
      <c r="EA29" s="32">
        <v>115.5</v>
      </c>
      <c r="EB29" s="32">
        <v>53.9</v>
      </c>
      <c r="EC29" s="32">
        <v>50.8</v>
      </c>
      <c r="ED29" s="32">
        <v>58.7</v>
      </c>
      <c r="EE29" s="32">
        <v>63.6</v>
      </c>
      <c r="EF29" s="32">
        <v>45.9</v>
      </c>
      <c r="EG29" s="32">
        <v>53.9</v>
      </c>
      <c r="EH29" s="32">
        <v>55.2</v>
      </c>
      <c r="EI29" s="32">
        <v>47.8</v>
      </c>
      <c r="EJ29" s="32">
        <v>133.30000000000001</v>
      </c>
      <c r="EK29" s="32">
        <v>49.6</v>
      </c>
      <c r="EL29" s="32">
        <v>69.5</v>
      </c>
      <c r="EM29" s="32">
        <v>37.9</v>
      </c>
      <c r="EN29" s="32">
        <v>54.1</v>
      </c>
      <c r="EO29" s="32">
        <v>81.7</v>
      </c>
      <c r="EP29" s="32">
        <v>88.5</v>
      </c>
      <c r="EQ29" s="32">
        <v>88.5</v>
      </c>
      <c r="ER29" s="32">
        <v>94</v>
      </c>
      <c r="ES29" s="32">
        <v>94</v>
      </c>
      <c r="ET29" s="32">
        <v>68.3</v>
      </c>
      <c r="EU29" s="32">
        <v>65.400000000000006</v>
      </c>
      <c r="EV29" s="32">
        <v>65.400000000000006</v>
      </c>
      <c r="EW29" s="32">
        <v>76</v>
      </c>
      <c r="EX29" s="32">
        <v>90.1</v>
      </c>
      <c r="EY29" s="32">
        <v>64.900000000000006</v>
      </c>
      <c r="EZ29" s="32">
        <v>85.4</v>
      </c>
      <c r="FA29" s="32">
        <v>78.599999999999994</v>
      </c>
      <c r="FB29" s="32">
        <v>89.2</v>
      </c>
      <c r="FC29" s="32">
        <v>67.400000000000006</v>
      </c>
      <c r="FD29" s="32">
        <v>87.2</v>
      </c>
      <c r="FE29" s="32">
        <v>131.6</v>
      </c>
      <c r="FF29" s="32">
        <v>65.900000000000006</v>
      </c>
      <c r="FG29" s="32">
        <v>92.2</v>
      </c>
      <c r="FH29" s="32">
        <v>99.9</v>
      </c>
      <c r="FI29" s="32">
        <v>119.9</v>
      </c>
      <c r="FJ29" s="32">
        <v>85.4</v>
      </c>
      <c r="FK29" s="32">
        <v>79</v>
      </c>
      <c r="FL29" s="32">
        <v>79</v>
      </c>
    </row>
    <row r="30" spans="1:168" x14ac:dyDescent="0.2">
      <c r="A30" s="33" t="s">
        <v>1010</v>
      </c>
      <c r="B30" s="32">
        <v>67.900000000000006</v>
      </c>
      <c r="C30" s="32">
        <v>70.900000000000006</v>
      </c>
      <c r="D30" s="32">
        <v>91.8</v>
      </c>
      <c r="E30" s="32">
        <v>89</v>
      </c>
      <c r="F30" s="32">
        <v>365.4</v>
      </c>
      <c r="G30" s="32">
        <v>7371.9</v>
      </c>
      <c r="H30" s="32">
        <v>470</v>
      </c>
      <c r="I30" s="32">
        <v>62.6</v>
      </c>
      <c r="J30" s="32">
        <v>71.400000000000006</v>
      </c>
      <c r="K30" s="32">
        <v>91.2</v>
      </c>
      <c r="L30" s="32">
        <v>90.9</v>
      </c>
      <c r="M30" s="32">
        <v>113.3</v>
      </c>
      <c r="N30" s="32">
        <v>55.6</v>
      </c>
      <c r="O30" s="32">
        <v>149.9</v>
      </c>
      <c r="P30" s="32">
        <v>427.7</v>
      </c>
      <c r="Q30" s="32">
        <v>160.30000000000001</v>
      </c>
      <c r="R30" s="32">
        <v>70.099999999999994</v>
      </c>
      <c r="S30" s="32">
        <v>105.9</v>
      </c>
      <c r="T30" s="32">
        <v>100.2</v>
      </c>
      <c r="U30" s="32">
        <v>36.200000000000003</v>
      </c>
      <c r="V30" s="32">
        <v>119.8</v>
      </c>
      <c r="W30" s="32">
        <v>43.6</v>
      </c>
      <c r="X30" s="32">
        <v>29.4</v>
      </c>
      <c r="Y30" s="32">
        <v>57.1</v>
      </c>
      <c r="Z30" s="32">
        <v>118.1</v>
      </c>
      <c r="AA30" s="32">
        <v>62</v>
      </c>
      <c r="AB30" s="32">
        <v>64.099999999999994</v>
      </c>
      <c r="AC30" s="32">
        <v>52.4</v>
      </c>
      <c r="AD30" s="32">
        <v>73.599999999999994</v>
      </c>
      <c r="AE30" s="32">
        <v>175.9</v>
      </c>
      <c r="AF30" s="32">
        <v>175.9</v>
      </c>
      <c r="AG30" s="32">
        <v>52.1</v>
      </c>
      <c r="AH30" s="32">
        <v>52.1</v>
      </c>
      <c r="AI30" s="32">
        <v>175.5</v>
      </c>
      <c r="AJ30" s="32">
        <v>41.9</v>
      </c>
      <c r="AK30" s="32">
        <v>919.9</v>
      </c>
      <c r="AL30" s="32">
        <v>101.1</v>
      </c>
      <c r="AM30" s="32">
        <v>14.7</v>
      </c>
      <c r="AN30" s="32">
        <v>92.4</v>
      </c>
      <c r="AO30" s="32">
        <v>75.400000000000006</v>
      </c>
      <c r="AP30" s="32">
        <v>75.400000000000006</v>
      </c>
      <c r="AQ30" s="32">
        <v>92.5</v>
      </c>
      <c r="AR30" s="32">
        <v>93.5</v>
      </c>
      <c r="AS30" s="32">
        <v>91.6</v>
      </c>
      <c r="AT30" s="32">
        <v>101.4</v>
      </c>
      <c r="AU30" s="32">
        <v>83.1</v>
      </c>
      <c r="AV30" s="32">
        <v>105.2</v>
      </c>
      <c r="AW30" s="32">
        <v>185.1</v>
      </c>
      <c r="AX30" s="32">
        <v>138.5</v>
      </c>
      <c r="AY30" s="32">
        <v>427.6</v>
      </c>
      <c r="AZ30" s="32">
        <v>90.2</v>
      </c>
      <c r="BA30" s="32">
        <v>21.7</v>
      </c>
      <c r="BB30" s="32">
        <v>21.7</v>
      </c>
      <c r="BC30" s="32">
        <v>84.4</v>
      </c>
      <c r="BD30" s="32">
        <v>84.4</v>
      </c>
      <c r="BE30" s="32">
        <v>89.8</v>
      </c>
      <c r="BF30" s="32">
        <v>89.8</v>
      </c>
      <c r="BG30" s="32">
        <v>65</v>
      </c>
      <c r="BH30" s="32">
        <v>54.7</v>
      </c>
      <c r="BI30" s="32">
        <v>73.7</v>
      </c>
      <c r="BJ30" s="32">
        <v>50.6</v>
      </c>
      <c r="BK30" s="32">
        <v>95.8</v>
      </c>
      <c r="BL30" s="32">
        <v>12.8</v>
      </c>
      <c r="BM30" s="32">
        <v>85.9</v>
      </c>
      <c r="BN30" s="32">
        <v>75.7</v>
      </c>
      <c r="BO30" s="32">
        <v>90.2</v>
      </c>
      <c r="BP30" s="32">
        <v>65</v>
      </c>
      <c r="BQ30" s="32">
        <v>102.5</v>
      </c>
      <c r="BR30" s="32">
        <v>114.4</v>
      </c>
      <c r="BS30" s="32">
        <v>231.7</v>
      </c>
      <c r="BT30" s="32">
        <v>73.8</v>
      </c>
      <c r="BU30" s="32">
        <v>103.4</v>
      </c>
      <c r="BV30" s="32">
        <v>103.4</v>
      </c>
      <c r="BW30" s="32">
        <v>139.5</v>
      </c>
      <c r="BX30" s="32">
        <v>78.3</v>
      </c>
      <c r="BY30" s="32">
        <v>109.6</v>
      </c>
      <c r="BZ30" s="32">
        <v>117.8</v>
      </c>
      <c r="CA30" s="32">
        <v>105.8</v>
      </c>
      <c r="CB30" s="32">
        <v>90</v>
      </c>
      <c r="CC30" s="32">
        <v>137.19999999999999</v>
      </c>
      <c r="CD30" s="32">
        <v>56.6</v>
      </c>
      <c r="CE30" s="32">
        <v>100.5</v>
      </c>
      <c r="CF30" s="32">
        <v>62.5</v>
      </c>
      <c r="CG30" s="32">
        <v>79</v>
      </c>
      <c r="CH30" s="32">
        <v>76.900000000000006</v>
      </c>
      <c r="CI30" s="32">
        <v>93.9</v>
      </c>
      <c r="CJ30" s="32">
        <v>62.9</v>
      </c>
      <c r="CK30" s="32">
        <v>84.5</v>
      </c>
      <c r="CL30" s="32">
        <v>84.4</v>
      </c>
      <c r="CM30" s="32">
        <v>101.1</v>
      </c>
      <c r="CN30" s="32">
        <v>57.3</v>
      </c>
      <c r="CO30" s="32">
        <v>113.1</v>
      </c>
      <c r="CP30" s="32">
        <v>76</v>
      </c>
      <c r="CQ30" s="32">
        <v>21.4</v>
      </c>
      <c r="CR30" s="32">
        <v>95.7</v>
      </c>
      <c r="CS30" s="32">
        <v>95.5</v>
      </c>
      <c r="CT30" s="32">
        <v>82</v>
      </c>
      <c r="CU30" s="32">
        <v>60.7</v>
      </c>
      <c r="CV30" s="32">
        <v>91.6</v>
      </c>
      <c r="CW30" s="32">
        <v>13.2</v>
      </c>
      <c r="CX30" s="32">
        <v>59.2</v>
      </c>
      <c r="CY30" s="32">
        <v>65.2</v>
      </c>
      <c r="CZ30" s="32">
        <v>57.2</v>
      </c>
      <c r="DA30" s="32">
        <v>48.3</v>
      </c>
      <c r="DB30" s="32">
        <v>74.3</v>
      </c>
      <c r="DC30" s="32">
        <v>1.2</v>
      </c>
      <c r="DD30" s="32">
        <v>1.2</v>
      </c>
      <c r="DE30" s="32">
        <v>36.1</v>
      </c>
      <c r="DF30" s="32">
        <v>30.7</v>
      </c>
      <c r="DG30" s="32">
        <v>74.599999999999994</v>
      </c>
      <c r="DH30" s="32">
        <v>63.8</v>
      </c>
      <c r="DI30" s="32">
        <v>74.900000000000006</v>
      </c>
      <c r="DJ30" s="32">
        <v>106</v>
      </c>
      <c r="DK30" s="32">
        <v>106</v>
      </c>
      <c r="DL30" s="32">
        <v>28.5</v>
      </c>
      <c r="DM30" s="32">
        <v>66.7</v>
      </c>
      <c r="DN30" s="32">
        <v>46.3</v>
      </c>
      <c r="DO30" s="32">
        <v>76.400000000000006</v>
      </c>
      <c r="DP30" s="32">
        <v>31.9</v>
      </c>
      <c r="DQ30" s="32">
        <v>57.4</v>
      </c>
      <c r="DR30" s="32">
        <v>59</v>
      </c>
      <c r="DS30" s="32">
        <v>54.8</v>
      </c>
      <c r="DT30" s="32">
        <v>51.1</v>
      </c>
      <c r="DU30" s="32">
        <v>54.1</v>
      </c>
      <c r="DV30" s="32">
        <v>55.8</v>
      </c>
      <c r="DW30" s="32">
        <v>52</v>
      </c>
      <c r="DX30" s="32">
        <v>44.4</v>
      </c>
      <c r="DY30" s="32">
        <v>66.900000000000006</v>
      </c>
      <c r="DZ30" s="32">
        <v>112.2</v>
      </c>
      <c r="EA30" s="32">
        <v>112.2</v>
      </c>
      <c r="EB30" s="32">
        <v>55.9</v>
      </c>
      <c r="EC30" s="32">
        <v>52.1</v>
      </c>
      <c r="ED30" s="32">
        <v>61.6</v>
      </c>
      <c r="EE30" s="32">
        <v>67.5</v>
      </c>
      <c r="EF30" s="32">
        <v>46.1</v>
      </c>
      <c r="EG30" s="32">
        <v>54.8</v>
      </c>
      <c r="EH30" s="32">
        <v>55.8</v>
      </c>
      <c r="EI30" s="32">
        <v>48.7</v>
      </c>
      <c r="EJ30" s="32">
        <v>129</v>
      </c>
      <c r="EK30" s="32">
        <v>51.1</v>
      </c>
      <c r="EL30" s="32">
        <v>64.599999999999994</v>
      </c>
      <c r="EM30" s="32">
        <v>39.200000000000003</v>
      </c>
      <c r="EN30" s="32">
        <v>56.8</v>
      </c>
      <c r="EO30" s="32">
        <v>82</v>
      </c>
      <c r="EP30" s="32">
        <v>88.7</v>
      </c>
      <c r="EQ30" s="32">
        <v>88.7</v>
      </c>
      <c r="ER30" s="32">
        <v>94.5</v>
      </c>
      <c r="ES30" s="32">
        <v>94.5</v>
      </c>
      <c r="ET30" s="32">
        <v>68.400000000000006</v>
      </c>
      <c r="EU30" s="32">
        <v>65.5</v>
      </c>
      <c r="EV30" s="32">
        <v>65.5</v>
      </c>
      <c r="EW30" s="32">
        <v>76.099999999999994</v>
      </c>
      <c r="EX30" s="32">
        <v>90</v>
      </c>
      <c r="EY30" s="32">
        <v>65.2</v>
      </c>
      <c r="EZ30" s="32">
        <v>83.5</v>
      </c>
      <c r="FA30" s="32">
        <v>78.5</v>
      </c>
      <c r="FB30" s="32">
        <v>90.5</v>
      </c>
      <c r="FC30" s="32">
        <v>68.900000000000006</v>
      </c>
      <c r="FD30" s="32">
        <v>88</v>
      </c>
      <c r="FE30" s="32">
        <v>132.6</v>
      </c>
      <c r="FF30" s="32">
        <v>64</v>
      </c>
      <c r="FG30" s="32">
        <v>88.9</v>
      </c>
      <c r="FH30" s="32">
        <v>94.9</v>
      </c>
      <c r="FI30" s="32">
        <v>93.7</v>
      </c>
      <c r="FJ30" s="32">
        <v>85.7</v>
      </c>
      <c r="FK30" s="32">
        <v>75.2</v>
      </c>
      <c r="FL30" s="32">
        <v>75.2</v>
      </c>
    </row>
    <row r="31" spans="1:168" x14ac:dyDescent="0.2">
      <c r="A31" s="33" t="s">
        <v>1011</v>
      </c>
      <c r="B31" s="32">
        <v>68.099999999999994</v>
      </c>
      <c r="C31" s="32">
        <v>72.7</v>
      </c>
      <c r="D31" s="32">
        <v>92</v>
      </c>
      <c r="E31" s="32">
        <v>89.1</v>
      </c>
      <c r="F31" s="32">
        <v>368.2</v>
      </c>
      <c r="G31" s="32">
        <v>8341.2999999999993</v>
      </c>
      <c r="H31" s="32">
        <v>472.3</v>
      </c>
      <c r="I31" s="32">
        <v>62.4</v>
      </c>
      <c r="J31" s="32">
        <v>71.3</v>
      </c>
      <c r="K31" s="32">
        <v>89.6</v>
      </c>
      <c r="L31" s="32">
        <v>89.3</v>
      </c>
      <c r="M31" s="32">
        <v>102.2</v>
      </c>
      <c r="N31" s="32">
        <v>56.2</v>
      </c>
      <c r="O31" s="32">
        <v>143.1</v>
      </c>
      <c r="P31" s="32">
        <v>426.3</v>
      </c>
      <c r="Q31" s="32">
        <v>154.5</v>
      </c>
      <c r="R31" s="32">
        <v>74.2</v>
      </c>
      <c r="S31" s="32">
        <v>103.5</v>
      </c>
      <c r="T31" s="32">
        <v>98.3</v>
      </c>
      <c r="U31" s="32">
        <v>34.700000000000003</v>
      </c>
      <c r="V31" s="32">
        <v>119.1</v>
      </c>
      <c r="W31" s="32">
        <v>43.6</v>
      </c>
      <c r="X31" s="32">
        <v>29.1</v>
      </c>
      <c r="Y31" s="32">
        <v>58.1</v>
      </c>
      <c r="Z31" s="32">
        <v>112.9</v>
      </c>
      <c r="AA31" s="32">
        <v>62.3</v>
      </c>
      <c r="AB31" s="32">
        <v>64.900000000000006</v>
      </c>
      <c r="AC31" s="32">
        <v>52.4</v>
      </c>
      <c r="AD31" s="32">
        <v>74</v>
      </c>
      <c r="AE31" s="32">
        <v>165.2</v>
      </c>
      <c r="AF31" s="32">
        <v>165.2</v>
      </c>
      <c r="AG31" s="32">
        <v>52.4</v>
      </c>
      <c r="AH31" s="32">
        <v>52.4</v>
      </c>
      <c r="AI31" s="32">
        <v>184.1</v>
      </c>
      <c r="AJ31" s="32">
        <v>40.6</v>
      </c>
      <c r="AK31" s="32">
        <v>797.9</v>
      </c>
      <c r="AL31" s="32">
        <v>99.4</v>
      </c>
      <c r="AM31" s="32">
        <v>17.2</v>
      </c>
      <c r="AN31" s="32">
        <v>97.1</v>
      </c>
      <c r="AO31" s="32">
        <v>83.4</v>
      </c>
      <c r="AP31" s="32">
        <v>83.4</v>
      </c>
      <c r="AQ31" s="32">
        <v>92.3</v>
      </c>
      <c r="AR31" s="32">
        <v>92.7</v>
      </c>
      <c r="AS31" s="32">
        <v>92.5</v>
      </c>
      <c r="AT31" s="32">
        <v>101.7</v>
      </c>
      <c r="AU31" s="32">
        <v>84.6</v>
      </c>
      <c r="AV31" s="32">
        <v>105.3</v>
      </c>
      <c r="AW31" s="32">
        <v>187.3</v>
      </c>
      <c r="AX31" s="32">
        <v>150.4</v>
      </c>
      <c r="AY31" s="32">
        <v>411.1</v>
      </c>
      <c r="AZ31" s="32">
        <v>89.9</v>
      </c>
      <c r="BA31" s="32">
        <v>21.5</v>
      </c>
      <c r="BB31" s="32">
        <v>21.5</v>
      </c>
      <c r="BC31" s="32">
        <v>84.7</v>
      </c>
      <c r="BD31" s="32">
        <v>84.7</v>
      </c>
      <c r="BE31" s="32">
        <v>87.7</v>
      </c>
      <c r="BF31" s="32">
        <v>87.7</v>
      </c>
      <c r="BG31" s="32">
        <v>64.400000000000006</v>
      </c>
      <c r="BH31" s="32">
        <v>52.5</v>
      </c>
      <c r="BI31" s="32">
        <v>75.400000000000006</v>
      </c>
      <c r="BJ31" s="32">
        <v>52.1</v>
      </c>
      <c r="BK31" s="32">
        <v>96.6</v>
      </c>
      <c r="BL31" s="32">
        <v>15.3</v>
      </c>
      <c r="BM31" s="32">
        <v>85.4</v>
      </c>
      <c r="BN31" s="32">
        <v>74.900000000000006</v>
      </c>
      <c r="BO31" s="32">
        <v>87.7</v>
      </c>
      <c r="BP31" s="32">
        <v>65.400000000000006</v>
      </c>
      <c r="BQ31" s="32">
        <v>102.5</v>
      </c>
      <c r="BR31" s="32">
        <v>94.8</v>
      </c>
      <c r="BS31" s="32">
        <v>236.3</v>
      </c>
      <c r="BT31" s="32">
        <v>75.400000000000006</v>
      </c>
      <c r="BU31" s="32">
        <v>108.4</v>
      </c>
      <c r="BV31" s="32">
        <v>108.4</v>
      </c>
      <c r="BW31" s="32">
        <v>139.9</v>
      </c>
      <c r="BX31" s="32">
        <v>90.8</v>
      </c>
      <c r="BY31" s="32">
        <v>107.2</v>
      </c>
      <c r="BZ31" s="32">
        <v>118.6</v>
      </c>
      <c r="CA31" s="32">
        <v>101.4</v>
      </c>
      <c r="CB31" s="32">
        <v>86.5</v>
      </c>
      <c r="CC31" s="32">
        <v>131.19999999999999</v>
      </c>
      <c r="CD31" s="32">
        <v>54.8</v>
      </c>
      <c r="CE31" s="32">
        <v>101</v>
      </c>
      <c r="CF31" s="32">
        <v>62.7</v>
      </c>
      <c r="CG31" s="32">
        <v>79.3</v>
      </c>
      <c r="CH31" s="32">
        <v>77.3</v>
      </c>
      <c r="CI31" s="32">
        <v>94.1</v>
      </c>
      <c r="CJ31" s="32">
        <v>64.3</v>
      </c>
      <c r="CK31" s="32">
        <v>83.9</v>
      </c>
      <c r="CL31" s="32">
        <v>85.2</v>
      </c>
      <c r="CM31" s="32">
        <v>102.2</v>
      </c>
      <c r="CN31" s="32">
        <v>57.4</v>
      </c>
      <c r="CO31" s="32">
        <v>114.5</v>
      </c>
      <c r="CP31" s="32">
        <v>77.2</v>
      </c>
      <c r="CQ31" s="32">
        <v>19.5</v>
      </c>
      <c r="CR31" s="32">
        <v>93</v>
      </c>
      <c r="CS31" s="32">
        <v>108</v>
      </c>
      <c r="CT31" s="32">
        <v>81.2</v>
      </c>
      <c r="CU31" s="32">
        <v>58.8</v>
      </c>
      <c r="CV31" s="32">
        <v>91.4</v>
      </c>
      <c r="CW31" s="32">
        <v>13.4</v>
      </c>
      <c r="CX31" s="32">
        <v>58.6</v>
      </c>
      <c r="CY31" s="32">
        <v>65.599999999999994</v>
      </c>
      <c r="CZ31" s="32">
        <v>55.6</v>
      </c>
      <c r="DA31" s="32">
        <v>46.3</v>
      </c>
      <c r="DB31" s="32">
        <v>74.099999999999994</v>
      </c>
      <c r="DC31" s="32">
        <v>1.2</v>
      </c>
      <c r="DD31" s="32">
        <v>1.2</v>
      </c>
      <c r="DE31" s="32">
        <v>36.9</v>
      </c>
      <c r="DF31" s="32">
        <v>31.3</v>
      </c>
      <c r="DG31" s="32">
        <v>76.8</v>
      </c>
      <c r="DH31" s="32">
        <v>66.7</v>
      </c>
      <c r="DI31" s="32">
        <v>79.2</v>
      </c>
      <c r="DJ31" s="32">
        <v>107.3</v>
      </c>
      <c r="DK31" s="32">
        <v>107.3</v>
      </c>
      <c r="DL31" s="32">
        <v>31</v>
      </c>
      <c r="DM31" s="32">
        <v>66.5</v>
      </c>
      <c r="DN31" s="32">
        <v>45.9</v>
      </c>
      <c r="DO31" s="32">
        <v>76.3</v>
      </c>
      <c r="DP31" s="32">
        <v>30.5</v>
      </c>
      <c r="DQ31" s="32">
        <v>56.9</v>
      </c>
      <c r="DR31" s="32">
        <v>59.2</v>
      </c>
      <c r="DS31" s="32">
        <v>55.9</v>
      </c>
      <c r="DT31" s="32">
        <v>51.5</v>
      </c>
      <c r="DU31" s="32">
        <v>54.9</v>
      </c>
      <c r="DV31" s="32">
        <v>57.3</v>
      </c>
      <c r="DW31" s="32">
        <v>52</v>
      </c>
      <c r="DX31" s="32">
        <v>44.2</v>
      </c>
      <c r="DY31" s="32">
        <v>69.900000000000006</v>
      </c>
      <c r="DZ31" s="32">
        <v>111.2</v>
      </c>
      <c r="EA31" s="32">
        <v>111.2</v>
      </c>
      <c r="EB31" s="32">
        <v>54</v>
      </c>
      <c r="EC31" s="32">
        <v>51.6</v>
      </c>
      <c r="ED31" s="32">
        <v>57.8</v>
      </c>
      <c r="EE31" s="32">
        <v>62.3</v>
      </c>
      <c r="EF31" s="32">
        <v>46.2</v>
      </c>
      <c r="EG31" s="32">
        <v>53.3</v>
      </c>
      <c r="EH31" s="32">
        <v>55.9</v>
      </c>
      <c r="EI31" s="32">
        <v>47.5</v>
      </c>
      <c r="EJ31" s="32">
        <v>130.80000000000001</v>
      </c>
      <c r="EK31" s="32">
        <v>48.1</v>
      </c>
      <c r="EL31" s="32">
        <v>60.5</v>
      </c>
      <c r="EM31" s="32">
        <v>39.200000000000003</v>
      </c>
      <c r="EN31" s="32">
        <v>51.8</v>
      </c>
      <c r="EO31" s="32">
        <v>82</v>
      </c>
      <c r="EP31" s="32">
        <v>88.7</v>
      </c>
      <c r="EQ31" s="32">
        <v>88.7</v>
      </c>
      <c r="ER31" s="32">
        <v>95</v>
      </c>
      <c r="ES31" s="32">
        <v>95</v>
      </c>
      <c r="ET31" s="32">
        <v>68.2</v>
      </c>
      <c r="EU31" s="32">
        <v>65.2</v>
      </c>
      <c r="EV31" s="32">
        <v>65.2</v>
      </c>
      <c r="EW31" s="32">
        <v>76</v>
      </c>
      <c r="EX31" s="32">
        <v>89.7</v>
      </c>
      <c r="EY31" s="32">
        <v>65.3</v>
      </c>
      <c r="EZ31" s="32">
        <v>82.7</v>
      </c>
      <c r="FA31" s="32">
        <v>79.3</v>
      </c>
      <c r="FB31" s="32">
        <v>92.3</v>
      </c>
      <c r="FC31" s="32">
        <v>71.7</v>
      </c>
      <c r="FD31" s="32">
        <v>88.5</v>
      </c>
      <c r="FE31" s="32">
        <v>132.69999999999999</v>
      </c>
      <c r="FF31" s="32">
        <v>63.4</v>
      </c>
      <c r="FG31" s="32">
        <v>86.8</v>
      </c>
      <c r="FH31" s="32">
        <v>89.6</v>
      </c>
      <c r="FI31" s="32">
        <v>92</v>
      </c>
      <c r="FJ31" s="32">
        <v>84.9</v>
      </c>
      <c r="FK31" s="32">
        <v>74.400000000000006</v>
      </c>
      <c r="FL31" s="32">
        <v>74.400000000000006</v>
      </c>
    </row>
    <row r="32" spans="1:168" x14ac:dyDescent="0.2">
      <c r="A32" s="33" t="s">
        <v>1012</v>
      </c>
      <c r="B32" s="32">
        <v>68.099999999999994</v>
      </c>
      <c r="C32" s="32">
        <v>73.400000000000006</v>
      </c>
      <c r="D32" s="32">
        <v>92.7</v>
      </c>
      <c r="E32" s="32">
        <v>90</v>
      </c>
      <c r="F32" s="32">
        <v>367.4</v>
      </c>
      <c r="G32" s="32">
        <v>8058.2</v>
      </c>
      <c r="H32" s="32">
        <v>476</v>
      </c>
      <c r="I32" s="32">
        <v>60.1</v>
      </c>
      <c r="J32" s="32">
        <v>72.099999999999994</v>
      </c>
      <c r="K32" s="32">
        <v>88.8</v>
      </c>
      <c r="L32" s="32">
        <v>87.8</v>
      </c>
      <c r="M32" s="32">
        <v>95.8</v>
      </c>
      <c r="N32" s="32">
        <v>58.3</v>
      </c>
      <c r="O32" s="32">
        <v>134.80000000000001</v>
      </c>
      <c r="P32" s="32">
        <v>417.3</v>
      </c>
      <c r="Q32" s="32">
        <v>144.9</v>
      </c>
      <c r="R32" s="32">
        <v>73.099999999999994</v>
      </c>
      <c r="S32" s="32">
        <v>102.5</v>
      </c>
      <c r="T32" s="32">
        <v>98.5</v>
      </c>
      <c r="U32" s="32">
        <v>36.700000000000003</v>
      </c>
      <c r="V32" s="32">
        <v>120.2</v>
      </c>
      <c r="W32" s="32">
        <v>44.1</v>
      </c>
      <c r="X32" s="32">
        <v>29.6</v>
      </c>
      <c r="Y32" s="32">
        <v>57.8</v>
      </c>
      <c r="Z32" s="32">
        <v>120.3</v>
      </c>
      <c r="AA32" s="32">
        <v>63.7</v>
      </c>
      <c r="AB32" s="32">
        <v>65.2</v>
      </c>
      <c r="AC32" s="32">
        <v>54.3</v>
      </c>
      <c r="AD32" s="32">
        <v>75.5</v>
      </c>
      <c r="AE32" s="32">
        <v>164.2</v>
      </c>
      <c r="AF32" s="32">
        <v>164.2</v>
      </c>
      <c r="AG32" s="32">
        <v>56.5</v>
      </c>
      <c r="AH32" s="32">
        <v>56.5</v>
      </c>
      <c r="AI32" s="32">
        <v>202.3</v>
      </c>
      <c r="AJ32" s="32">
        <v>46</v>
      </c>
      <c r="AK32" s="32">
        <v>843</v>
      </c>
      <c r="AL32" s="32">
        <v>101.8</v>
      </c>
      <c r="AM32" s="32">
        <v>18.100000000000001</v>
      </c>
      <c r="AN32" s="32">
        <v>97.3</v>
      </c>
      <c r="AO32" s="32">
        <v>85.6</v>
      </c>
      <c r="AP32" s="32">
        <v>85.6</v>
      </c>
      <c r="AQ32" s="32">
        <v>93.8</v>
      </c>
      <c r="AR32" s="32">
        <v>94.1</v>
      </c>
      <c r="AS32" s="32">
        <v>94.1</v>
      </c>
      <c r="AT32" s="32">
        <v>105.8</v>
      </c>
      <c r="AU32" s="32">
        <v>83.3</v>
      </c>
      <c r="AV32" s="32">
        <v>106.6</v>
      </c>
      <c r="AW32" s="32">
        <v>199.5</v>
      </c>
      <c r="AX32" s="32">
        <v>168.4</v>
      </c>
      <c r="AY32" s="32">
        <v>419.8</v>
      </c>
      <c r="AZ32" s="32">
        <v>88.8</v>
      </c>
      <c r="BA32" s="32">
        <v>21.1</v>
      </c>
      <c r="BB32" s="32">
        <v>21.1</v>
      </c>
      <c r="BC32" s="32">
        <v>86</v>
      </c>
      <c r="BD32" s="32">
        <v>86</v>
      </c>
      <c r="BE32" s="32">
        <v>88.7</v>
      </c>
      <c r="BF32" s="32">
        <v>88.7</v>
      </c>
      <c r="BG32" s="32">
        <v>64.3</v>
      </c>
      <c r="BH32" s="32">
        <v>51.4</v>
      </c>
      <c r="BI32" s="32">
        <v>76.900000000000006</v>
      </c>
      <c r="BJ32" s="32">
        <v>53.6</v>
      </c>
      <c r="BK32" s="32">
        <v>98.2</v>
      </c>
      <c r="BL32" s="32">
        <v>16</v>
      </c>
      <c r="BM32" s="32">
        <v>86.2</v>
      </c>
      <c r="BN32" s="32">
        <v>77.099999999999994</v>
      </c>
      <c r="BO32" s="32">
        <v>88.6</v>
      </c>
      <c r="BP32" s="32">
        <v>68.5</v>
      </c>
      <c r="BQ32" s="32">
        <v>101</v>
      </c>
      <c r="BR32" s="32">
        <v>116.6</v>
      </c>
      <c r="BS32" s="32">
        <v>212.2</v>
      </c>
      <c r="BT32" s="32">
        <v>74.400000000000006</v>
      </c>
      <c r="BU32" s="32">
        <v>109.7</v>
      </c>
      <c r="BV32" s="32">
        <v>109.7</v>
      </c>
      <c r="BW32" s="32">
        <v>140.69999999999999</v>
      </c>
      <c r="BX32" s="32">
        <v>93.1</v>
      </c>
      <c r="BY32" s="32">
        <v>106.2</v>
      </c>
      <c r="BZ32" s="32">
        <v>117.5</v>
      </c>
      <c r="CA32" s="32">
        <v>100.5</v>
      </c>
      <c r="CB32" s="32">
        <v>84</v>
      </c>
      <c r="CC32" s="32">
        <v>133.1</v>
      </c>
      <c r="CD32" s="32">
        <v>54.1</v>
      </c>
      <c r="CE32" s="32">
        <v>101.2</v>
      </c>
      <c r="CF32" s="32">
        <v>62.6</v>
      </c>
      <c r="CG32" s="32">
        <v>79.7</v>
      </c>
      <c r="CH32" s="32">
        <v>77.2</v>
      </c>
      <c r="CI32" s="32">
        <v>88.9</v>
      </c>
      <c r="CJ32" s="32">
        <v>65.5</v>
      </c>
      <c r="CK32" s="32">
        <v>83.6</v>
      </c>
      <c r="CL32" s="32">
        <v>87.3</v>
      </c>
      <c r="CM32" s="32">
        <v>101.5</v>
      </c>
      <c r="CN32" s="32">
        <v>57.3</v>
      </c>
      <c r="CO32" s="32">
        <v>113.7</v>
      </c>
      <c r="CP32" s="32">
        <v>80</v>
      </c>
      <c r="CQ32" s="32">
        <v>22.7</v>
      </c>
      <c r="CR32" s="32">
        <v>89</v>
      </c>
      <c r="CS32" s="32">
        <v>121.5</v>
      </c>
      <c r="CT32" s="32">
        <v>81.2</v>
      </c>
      <c r="CU32" s="32">
        <v>57.6</v>
      </c>
      <c r="CV32" s="32">
        <v>91.9</v>
      </c>
      <c r="CW32" s="32">
        <v>13.3</v>
      </c>
      <c r="CX32" s="32">
        <v>57.6</v>
      </c>
      <c r="CY32" s="32">
        <v>65.599999999999994</v>
      </c>
      <c r="CZ32" s="32">
        <v>53.6</v>
      </c>
      <c r="DA32" s="32">
        <v>44.1</v>
      </c>
      <c r="DB32" s="32">
        <v>73.2</v>
      </c>
      <c r="DC32" s="32">
        <v>1.3</v>
      </c>
      <c r="DD32" s="32">
        <v>1.3</v>
      </c>
      <c r="DE32" s="32">
        <v>35.299999999999997</v>
      </c>
      <c r="DF32" s="32">
        <v>30</v>
      </c>
      <c r="DG32" s="32">
        <v>73.3</v>
      </c>
      <c r="DH32" s="32">
        <v>68.400000000000006</v>
      </c>
      <c r="DI32" s="32">
        <v>82.3</v>
      </c>
      <c r="DJ32" s="32">
        <v>108.6</v>
      </c>
      <c r="DK32" s="32">
        <v>108.6</v>
      </c>
      <c r="DL32" s="32">
        <v>30.9</v>
      </c>
      <c r="DM32" s="32">
        <v>66.099999999999994</v>
      </c>
      <c r="DN32" s="32">
        <v>45.3</v>
      </c>
      <c r="DO32" s="32">
        <v>75.900000000000006</v>
      </c>
      <c r="DP32" s="32">
        <v>29</v>
      </c>
      <c r="DQ32" s="32">
        <v>54.8</v>
      </c>
      <c r="DR32" s="32">
        <v>57.1</v>
      </c>
      <c r="DS32" s="32">
        <v>54</v>
      </c>
      <c r="DT32" s="32">
        <v>51.3</v>
      </c>
      <c r="DU32" s="32">
        <v>54.5</v>
      </c>
      <c r="DV32" s="32">
        <v>55.7</v>
      </c>
      <c r="DW32" s="32">
        <v>53</v>
      </c>
      <c r="DX32" s="32">
        <v>44.3</v>
      </c>
      <c r="DY32" s="32">
        <v>62.6</v>
      </c>
      <c r="DZ32" s="32">
        <v>108.8</v>
      </c>
      <c r="EA32" s="32">
        <v>108.8</v>
      </c>
      <c r="EB32" s="32">
        <v>51.3</v>
      </c>
      <c r="EC32" s="32">
        <v>50.3</v>
      </c>
      <c r="ED32" s="32">
        <v>53</v>
      </c>
      <c r="EE32" s="32">
        <v>55.5</v>
      </c>
      <c r="EF32" s="32">
        <v>46.3</v>
      </c>
      <c r="EG32" s="32">
        <v>51.2</v>
      </c>
      <c r="EH32" s="32">
        <v>56.2</v>
      </c>
      <c r="EI32" s="32">
        <v>44.8</v>
      </c>
      <c r="EJ32" s="32">
        <v>130.5</v>
      </c>
      <c r="EK32" s="32">
        <v>44.6</v>
      </c>
      <c r="EL32" s="32">
        <v>59</v>
      </c>
      <c r="EM32" s="32">
        <v>37.799999999999997</v>
      </c>
      <c r="EN32" s="32">
        <v>46.5</v>
      </c>
      <c r="EO32" s="32">
        <v>82</v>
      </c>
      <c r="EP32" s="32">
        <v>88.8</v>
      </c>
      <c r="EQ32" s="32">
        <v>88.8</v>
      </c>
      <c r="ER32" s="32">
        <v>95.4</v>
      </c>
      <c r="ES32" s="32">
        <v>95.4</v>
      </c>
      <c r="ET32" s="32">
        <v>67.8</v>
      </c>
      <c r="EU32" s="32">
        <v>64.7</v>
      </c>
      <c r="EV32" s="32">
        <v>64.7</v>
      </c>
      <c r="EW32" s="32">
        <v>76</v>
      </c>
      <c r="EX32" s="32">
        <v>89.3</v>
      </c>
      <c r="EY32" s="32">
        <v>65.5</v>
      </c>
      <c r="EZ32" s="32">
        <v>83.6</v>
      </c>
      <c r="FA32" s="32">
        <v>80.7</v>
      </c>
      <c r="FB32" s="32">
        <v>94.8</v>
      </c>
      <c r="FC32" s="32">
        <v>76.099999999999994</v>
      </c>
      <c r="FD32" s="32">
        <v>88.2</v>
      </c>
      <c r="FE32" s="32">
        <v>132.4</v>
      </c>
      <c r="FF32" s="32">
        <v>63.5</v>
      </c>
      <c r="FG32" s="32">
        <v>87.1</v>
      </c>
      <c r="FH32" s="32">
        <v>88.7</v>
      </c>
      <c r="FI32" s="32">
        <v>96.8</v>
      </c>
      <c r="FJ32" s="32">
        <v>85.1</v>
      </c>
      <c r="FK32" s="32">
        <v>77</v>
      </c>
      <c r="FL32" s="32">
        <v>77</v>
      </c>
    </row>
    <row r="33" spans="1:168" x14ac:dyDescent="0.2">
      <c r="A33" s="33" t="s">
        <v>1013</v>
      </c>
      <c r="B33" s="32">
        <v>67.8</v>
      </c>
      <c r="C33" s="32">
        <v>73.5</v>
      </c>
      <c r="D33" s="32">
        <v>92.6</v>
      </c>
      <c r="E33" s="32">
        <v>89.8</v>
      </c>
      <c r="F33" s="32">
        <v>369.2</v>
      </c>
      <c r="G33" s="32">
        <v>8168.5</v>
      </c>
      <c r="H33" s="32">
        <v>480.4</v>
      </c>
      <c r="I33" s="32">
        <v>59.1</v>
      </c>
      <c r="J33" s="32">
        <v>71.7</v>
      </c>
      <c r="K33" s="32">
        <v>89.9</v>
      </c>
      <c r="L33" s="32">
        <v>88.9</v>
      </c>
      <c r="M33" s="32">
        <v>97.6</v>
      </c>
      <c r="N33" s="32">
        <v>59.3</v>
      </c>
      <c r="O33" s="32">
        <v>138.5</v>
      </c>
      <c r="P33" s="32">
        <v>425.1</v>
      </c>
      <c r="Q33" s="32">
        <v>145.6</v>
      </c>
      <c r="R33" s="32">
        <v>72.900000000000006</v>
      </c>
      <c r="S33" s="32">
        <v>103.8</v>
      </c>
      <c r="T33" s="32">
        <v>101.4</v>
      </c>
      <c r="U33" s="32">
        <v>37.1</v>
      </c>
      <c r="V33" s="32">
        <v>121.6</v>
      </c>
      <c r="W33" s="32">
        <v>43.1</v>
      </c>
      <c r="X33" s="32">
        <v>29.6</v>
      </c>
      <c r="Y33" s="32">
        <v>55.5</v>
      </c>
      <c r="Z33" s="32">
        <v>117.8</v>
      </c>
      <c r="AA33" s="32">
        <v>63.2</v>
      </c>
      <c r="AB33" s="32">
        <v>66.5</v>
      </c>
      <c r="AC33" s="32">
        <v>54.8</v>
      </c>
      <c r="AD33" s="32">
        <v>73</v>
      </c>
      <c r="AE33" s="32">
        <v>155.19999999999999</v>
      </c>
      <c r="AF33" s="32">
        <v>155.19999999999999</v>
      </c>
      <c r="AG33" s="32">
        <v>52.7</v>
      </c>
      <c r="AH33" s="32">
        <v>52.7</v>
      </c>
      <c r="AI33" s="32">
        <v>187.7</v>
      </c>
      <c r="AJ33" s="32">
        <v>40.1</v>
      </c>
      <c r="AK33" s="32">
        <v>814.6</v>
      </c>
      <c r="AL33" s="32">
        <v>98.6</v>
      </c>
      <c r="AM33" s="32">
        <v>18</v>
      </c>
      <c r="AN33" s="32">
        <v>97.3</v>
      </c>
      <c r="AO33" s="32">
        <v>90.4</v>
      </c>
      <c r="AP33" s="32">
        <v>90.4</v>
      </c>
      <c r="AQ33" s="32">
        <v>92</v>
      </c>
      <c r="AR33" s="32">
        <v>93.1</v>
      </c>
      <c r="AS33" s="32">
        <v>91.1</v>
      </c>
      <c r="AT33" s="32">
        <v>100.6</v>
      </c>
      <c r="AU33" s="32">
        <v>82.8</v>
      </c>
      <c r="AV33" s="32">
        <v>108.2</v>
      </c>
      <c r="AW33" s="32">
        <v>196.6</v>
      </c>
      <c r="AX33" s="32">
        <v>168.2</v>
      </c>
      <c r="AY33" s="32">
        <v>408.2</v>
      </c>
      <c r="AZ33" s="32">
        <v>91.4</v>
      </c>
      <c r="BA33" s="32">
        <v>20.6</v>
      </c>
      <c r="BB33" s="32">
        <v>20.6</v>
      </c>
      <c r="BC33" s="32">
        <v>85.4</v>
      </c>
      <c r="BD33" s="32">
        <v>85.4</v>
      </c>
      <c r="BE33" s="32">
        <v>89.9</v>
      </c>
      <c r="BF33" s="32">
        <v>89.9</v>
      </c>
      <c r="BG33" s="32">
        <v>65.400000000000006</v>
      </c>
      <c r="BH33" s="32">
        <v>52.6</v>
      </c>
      <c r="BI33" s="32">
        <v>77.900000000000006</v>
      </c>
      <c r="BJ33" s="32">
        <v>55.4</v>
      </c>
      <c r="BK33" s="32">
        <v>98.5</v>
      </c>
      <c r="BL33" s="32">
        <v>17.100000000000001</v>
      </c>
      <c r="BM33" s="32">
        <v>83.2</v>
      </c>
      <c r="BN33" s="32">
        <v>74.5</v>
      </c>
      <c r="BO33" s="32">
        <v>86.2</v>
      </c>
      <c r="BP33" s="32">
        <v>65.8</v>
      </c>
      <c r="BQ33" s="32">
        <v>97.3</v>
      </c>
      <c r="BR33" s="32">
        <v>83</v>
      </c>
      <c r="BS33" s="32">
        <v>219.9</v>
      </c>
      <c r="BT33" s="32">
        <v>73</v>
      </c>
      <c r="BU33" s="32">
        <v>110.1</v>
      </c>
      <c r="BV33" s="32">
        <v>110.1</v>
      </c>
      <c r="BW33" s="32">
        <v>140.19999999999999</v>
      </c>
      <c r="BX33" s="32">
        <v>94.9</v>
      </c>
      <c r="BY33" s="32">
        <v>109</v>
      </c>
      <c r="BZ33" s="32">
        <v>121</v>
      </c>
      <c r="CA33" s="32">
        <v>103</v>
      </c>
      <c r="CB33" s="32">
        <v>87.8</v>
      </c>
      <c r="CC33" s="32">
        <v>133.30000000000001</v>
      </c>
      <c r="CD33" s="32">
        <v>55.2</v>
      </c>
      <c r="CE33" s="32">
        <v>101.5</v>
      </c>
      <c r="CF33" s="32">
        <v>62.2</v>
      </c>
      <c r="CG33" s="32">
        <v>78.099999999999994</v>
      </c>
      <c r="CH33" s="32">
        <v>75.5</v>
      </c>
      <c r="CI33" s="32">
        <v>92.3</v>
      </c>
      <c r="CJ33" s="32">
        <v>60.8</v>
      </c>
      <c r="CK33" s="32">
        <v>83.8</v>
      </c>
      <c r="CL33" s="32">
        <v>85</v>
      </c>
      <c r="CM33" s="32">
        <v>101.7</v>
      </c>
      <c r="CN33" s="32">
        <v>54.9</v>
      </c>
      <c r="CO33" s="32">
        <v>114.6</v>
      </c>
      <c r="CP33" s="32">
        <v>83.4</v>
      </c>
      <c r="CQ33" s="32">
        <v>20.6</v>
      </c>
      <c r="CR33" s="32">
        <v>90.4</v>
      </c>
      <c r="CS33" s="32">
        <v>106.3</v>
      </c>
      <c r="CT33" s="32">
        <v>81.5</v>
      </c>
      <c r="CU33" s="32">
        <v>58.9</v>
      </c>
      <c r="CV33" s="32">
        <v>91.8</v>
      </c>
      <c r="CW33" s="32">
        <v>13.3</v>
      </c>
      <c r="CX33" s="32">
        <v>56.5</v>
      </c>
      <c r="CY33" s="32">
        <v>64.400000000000006</v>
      </c>
      <c r="CZ33" s="32">
        <v>52.5</v>
      </c>
      <c r="DA33" s="32">
        <v>42.8</v>
      </c>
      <c r="DB33" s="32">
        <v>72.8</v>
      </c>
      <c r="DC33" s="32">
        <v>1.3</v>
      </c>
      <c r="DD33" s="32">
        <v>1.3</v>
      </c>
      <c r="DE33" s="32">
        <v>34.9</v>
      </c>
      <c r="DF33" s="32">
        <v>29.7</v>
      </c>
      <c r="DG33" s="32">
        <v>71.8</v>
      </c>
      <c r="DH33" s="32">
        <v>68.400000000000006</v>
      </c>
      <c r="DI33" s="32">
        <v>82.1</v>
      </c>
      <c r="DJ33" s="32">
        <v>109.9</v>
      </c>
      <c r="DK33" s="32">
        <v>109.9</v>
      </c>
      <c r="DL33" s="32">
        <v>30.4</v>
      </c>
      <c r="DM33" s="32">
        <v>65.599999999999994</v>
      </c>
      <c r="DN33" s="32">
        <v>44.9</v>
      </c>
      <c r="DO33" s="32">
        <v>75.599999999999994</v>
      </c>
      <c r="DP33" s="32">
        <v>27.9</v>
      </c>
      <c r="DQ33" s="32">
        <v>55.2</v>
      </c>
      <c r="DR33" s="32">
        <v>56.8</v>
      </c>
      <c r="DS33" s="32">
        <v>53.1</v>
      </c>
      <c r="DT33" s="32">
        <v>50</v>
      </c>
      <c r="DU33" s="32">
        <v>52.7</v>
      </c>
      <c r="DV33" s="32">
        <v>53</v>
      </c>
      <c r="DW33" s="32">
        <v>52.1</v>
      </c>
      <c r="DX33" s="32">
        <v>44.3</v>
      </c>
      <c r="DY33" s="32">
        <v>62.9</v>
      </c>
      <c r="DZ33" s="32">
        <v>110.4</v>
      </c>
      <c r="EA33" s="32">
        <v>110.4</v>
      </c>
      <c r="EB33" s="32">
        <v>52.6</v>
      </c>
      <c r="EC33" s="32">
        <v>51.7</v>
      </c>
      <c r="ED33" s="32">
        <v>54.1</v>
      </c>
      <c r="EE33" s="32">
        <v>57.2</v>
      </c>
      <c r="EF33" s="32">
        <v>46.2</v>
      </c>
      <c r="EG33" s="32">
        <v>52.4</v>
      </c>
      <c r="EH33" s="32">
        <v>56.3</v>
      </c>
      <c r="EI33" s="32">
        <v>47</v>
      </c>
      <c r="EJ33" s="32">
        <v>143.19999999999999</v>
      </c>
      <c r="EK33" s="32">
        <v>44.7</v>
      </c>
      <c r="EL33" s="32">
        <v>59.7</v>
      </c>
      <c r="EM33" s="32">
        <v>37.200000000000003</v>
      </c>
      <c r="EN33" s="32">
        <v>47.1</v>
      </c>
      <c r="EO33" s="32">
        <v>81.900000000000006</v>
      </c>
      <c r="EP33" s="32">
        <v>88.5</v>
      </c>
      <c r="EQ33" s="32">
        <v>88.5</v>
      </c>
      <c r="ER33" s="32">
        <v>95.6</v>
      </c>
      <c r="ES33" s="32">
        <v>95.6</v>
      </c>
      <c r="ET33" s="32">
        <v>67.599999999999994</v>
      </c>
      <c r="EU33" s="32">
        <v>64.400000000000006</v>
      </c>
      <c r="EV33" s="32">
        <v>64.400000000000006</v>
      </c>
      <c r="EW33" s="32">
        <v>76</v>
      </c>
      <c r="EX33" s="32">
        <v>89</v>
      </c>
      <c r="EY33" s="32">
        <v>65.8</v>
      </c>
      <c r="EZ33" s="32">
        <v>83.8</v>
      </c>
      <c r="FA33" s="32">
        <v>79.599999999999994</v>
      </c>
      <c r="FB33" s="32">
        <v>93.4</v>
      </c>
      <c r="FC33" s="32">
        <v>74.2</v>
      </c>
      <c r="FD33" s="32">
        <v>87.4</v>
      </c>
      <c r="FE33" s="32">
        <v>132</v>
      </c>
      <c r="FF33" s="32">
        <v>62.6</v>
      </c>
      <c r="FG33" s="32">
        <v>87.8</v>
      </c>
      <c r="FH33" s="32">
        <v>90.1</v>
      </c>
      <c r="FI33" s="32">
        <v>94.3</v>
      </c>
      <c r="FJ33" s="32">
        <v>85.8</v>
      </c>
      <c r="FK33" s="32">
        <v>83.5</v>
      </c>
      <c r="FL33" s="32">
        <v>83.5</v>
      </c>
    </row>
    <row r="34" spans="1:168" x14ac:dyDescent="0.2">
      <c r="A34" s="33" t="s">
        <v>1014</v>
      </c>
      <c r="B34" s="32">
        <v>68.599999999999994</v>
      </c>
      <c r="C34" s="32">
        <v>73.5</v>
      </c>
      <c r="D34" s="32">
        <v>93.4</v>
      </c>
      <c r="E34" s="32">
        <v>90.7</v>
      </c>
      <c r="F34" s="32">
        <v>365.6</v>
      </c>
      <c r="G34" s="32">
        <v>8562.9</v>
      </c>
      <c r="H34" s="32">
        <v>473.2</v>
      </c>
      <c r="I34" s="32">
        <v>59.2</v>
      </c>
      <c r="J34" s="32">
        <v>72.599999999999994</v>
      </c>
      <c r="K34" s="32">
        <v>89.4</v>
      </c>
      <c r="L34" s="32">
        <v>88.6</v>
      </c>
      <c r="M34" s="32">
        <v>99.2</v>
      </c>
      <c r="N34" s="32">
        <v>61.4</v>
      </c>
      <c r="O34" s="32">
        <v>148.30000000000001</v>
      </c>
      <c r="P34" s="32">
        <v>426.2</v>
      </c>
      <c r="Q34" s="32">
        <v>142.9</v>
      </c>
      <c r="R34" s="32">
        <v>72.8</v>
      </c>
      <c r="S34" s="32">
        <v>102.1</v>
      </c>
      <c r="T34" s="32">
        <v>96.2</v>
      </c>
      <c r="U34" s="32">
        <v>34.9</v>
      </c>
      <c r="V34" s="32">
        <v>121.1</v>
      </c>
      <c r="W34" s="32">
        <v>45.8</v>
      </c>
      <c r="X34" s="32">
        <v>32.799999999999997</v>
      </c>
      <c r="Y34" s="32">
        <v>57.3</v>
      </c>
      <c r="Z34" s="32">
        <v>114.8</v>
      </c>
      <c r="AA34" s="32">
        <v>64.5</v>
      </c>
      <c r="AB34" s="32">
        <v>71.2</v>
      </c>
      <c r="AC34" s="32">
        <v>54.9</v>
      </c>
      <c r="AD34" s="32">
        <v>74</v>
      </c>
      <c r="AE34" s="32">
        <v>152.4</v>
      </c>
      <c r="AF34" s="32">
        <v>152.4</v>
      </c>
      <c r="AG34" s="32">
        <v>53.3</v>
      </c>
      <c r="AH34" s="32">
        <v>53.3</v>
      </c>
      <c r="AI34" s="32">
        <v>191</v>
      </c>
      <c r="AJ34" s="32">
        <v>39.4</v>
      </c>
      <c r="AK34" s="32">
        <v>813.2</v>
      </c>
      <c r="AL34" s="32">
        <v>100.9</v>
      </c>
      <c r="AM34" s="32">
        <v>18.8</v>
      </c>
      <c r="AN34" s="32">
        <v>102.3</v>
      </c>
      <c r="AO34" s="32">
        <v>88.2</v>
      </c>
      <c r="AP34" s="32">
        <v>88.2</v>
      </c>
      <c r="AQ34" s="32">
        <v>95.1</v>
      </c>
      <c r="AR34" s="32">
        <v>97.7</v>
      </c>
      <c r="AS34" s="32">
        <v>91.8</v>
      </c>
      <c r="AT34" s="32">
        <v>103.2</v>
      </c>
      <c r="AU34" s="32">
        <v>81.099999999999994</v>
      </c>
      <c r="AV34" s="32">
        <v>108.3</v>
      </c>
      <c r="AW34" s="32">
        <v>202.7</v>
      </c>
      <c r="AX34" s="32">
        <v>172</v>
      </c>
      <c r="AY34" s="32">
        <v>423.6</v>
      </c>
      <c r="AZ34" s="32">
        <v>90.2</v>
      </c>
      <c r="BA34" s="32">
        <v>21.1</v>
      </c>
      <c r="BB34" s="32">
        <v>21.1</v>
      </c>
      <c r="BC34" s="32">
        <v>84.6</v>
      </c>
      <c r="BD34" s="32">
        <v>84.6</v>
      </c>
      <c r="BE34" s="32">
        <v>90</v>
      </c>
      <c r="BF34" s="32">
        <v>90</v>
      </c>
      <c r="BG34" s="32">
        <v>66.900000000000006</v>
      </c>
      <c r="BH34" s="32">
        <v>54.2</v>
      </c>
      <c r="BI34" s="32">
        <v>78.900000000000006</v>
      </c>
      <c r="BJ34" s="32">
        <v>57.2</v>
      </c>
      <c r="BK34" s="32">
        <v>99.1</v>
      </c>
      <c r="BL34" s="32">
        <v>17.600000000000001</v>
      </c>
      <c r="BM34" s="32">
        <v>85.8</v>
      </c>
      <c r="BN34" s="32">
        <v>79.900000000000006</v>
      </c>
      <c r="BO34" s="32">
        <v>92.8</v>
      </c>
      <c r="BP34" s="32">
        <v>70.3</v>
      </c>
      <c r="BQ34" s="32">
        <v>95.4</v>
      </c>
      <c r="BR34" s="32">
        <v>72.3</v>
      </c>
      <c r="BS34" s="32">
        <v>218.3</v>
      </c>
      <c r="BT34" s="32">
        <v>72.2</v>
      </c>
      <c r="BU34" s="32">
        <v>110.7</v>
      </c>
      <c r="BV34" s="32">
        <v>110.7</v>
      </c>
      <c r="BW34" s="32">
        <v>139.6</v>
      </c>
      <c r="BX34" s="32">
        <v>97.1</v>
      </c>
      <c r="BY34" s="32">
        <v>109.1</v>
      </c>
      <c r="BZ34" s="32">
        <v>115.6</v>
      </c>
      <c r="CA34" s="32">
        <v>106.1</v>
      </c>
      <c r="CB34" s="32">
        <v>90.1</v>
      </c>
      <c r="CC34" s="32">
        <v>138.19999999999999</v>
      </c>
      <c r="CD34" s="32">
        <v>57.2</v>
      </c>
      <c r="CE34" s="32">
        <v>101.9</v>
      </c>
      <c r="CF34" s="32">
        <v>62.9</v>
      </c>
      <c r="CG34" s="32">
        <v>79</v>
      </c>
      <c r="CH34" s="32">
        <v>75.2</v>
      </c>
      <c r="CI34" s="32">
        <v>93.9</v>
      </c>
      <c r="CJ34" s="32">
        <v>59</v>
      </c>
      <c r="CK34" s="32">
        <v>84.7</v>
      </c>
      <c r="CL34" s="32">
        <v>89.3</v>
      </c>
      <c r="CM34" s="32">
        <v>102.1</v>
      </c>
      <c r="CN34" s="32">
        <v>55</v>
      </c>
      <c r="CO34" s="32">
        <v>115.1</v>
      </c>
      <c r="CP34" s="32">
        <v>86.8</v>
      </c>
      <c r="CQ34" s="32">
        <v>20.100000000000001</v>
      </c>
      <c r="CR34" s="32">
        <v>92.2</v>
      </c>
      <c r="CS34" s="32">
        <v>134.1</v>
      </c>
      <c r="CT34" s="32">
        <v>82.3</v>
      </c>
      <c r="CU34" s="32">
        <v>60.7</v>
      </c>
      <c r="CV34" s="32">
        <v>92.1</v>
      </c>
      <c r="CW34" s="32">
        <v>13.6</v>
      </c>
      <c r="CX34" s="32">
        <v>58.1</v>
      </c>
      <c r="CY34" s="32">
        <v>65.400000000000006</v>
      </c>
      <c r="CZ34" s="32">
        <v>54.8</v>
      </c>
      <c r="DA34" s="32">
        <v>45.4</v>
      </c>
      <c r="DB34" s="32">
        <v>73.7</v>
      </c>
      <c r="DC34" s="32">
        <v>1.4</v>
      </c>
      <c r="DD34" s="32">
        <v>1.4</v>
      </c>
      <c r="DE34" s="32">
        <v>33.799999999999997</v>
      </c>
      <c r="DF34" s="32">
        <v>28.4</v>
      </c>
      <c r="DG34" s="32">
        <v>72.3</v>
      </c>
      <c r="DH34" s="32">
        <v>69</v>
      </c>
      <c r="DI34" s="32">
        <v>82.4</v>
      </c>
      <c r="DJ34" s="32">
        <v>110.2</v>
      </c>
      <c r="DK34" s="32">
        <v>110.2</v>
      </c>
      <c r="DL34" s="32">
        <v>31.7</v>
      </c>
      <c r="DM34" s="32">
        <v>65.8</v>
      </c>
      <c r="DN34" s="32">
        <v>44.9</v>
      </c>
      <c r="DO34" s="32">
        <v>75.8</v>
      </c>
      <c r="DP34" s="32">
        <v>27.1</v>
      </c>
      <c r="DQ34" s="32">
        <v>57.2</v>
      </c>
      <c r="DR34" s="32">
        <v>59.9</v>
      </c>
      <c r="DS34" s="32">
        <v>56.8</v>
      </c>
      <c r="DT34" s="32">
        <v>52</v>
      </c>
      <c r="DU34" s="32">
        <v>55.7</v>
      </c>
      <c r="DV34" s="32">
        <v>57.1</v>
      </c>
      <c r="DW34" s="32">
        <v>53.9</v>
      </c>
      <c r="DX34" s="32">
        <v>44.1</v>
      </c>
      <c r="DY34" s="32">
        <v>72</v>
      </c>
      <c r="DZ34" s="32">
        <v>114.7</v>
      </c>
      <c r="EA34" s="32">
        <v>114.7</v>
      </c>
      <c r="EB34" s="32">
        <v>53.2</v>
      </c>
      <c r="EC34" s="32">
        <v>51.6</v>
      </c>
      <c r="ED34" s="32">
        <v>55.8</v>
      </c>
      <c r="EE34" s="32">
        <v>59.3</v>
      </c>
      <c r="EF34" s="32">
        <v>46.4</v>
      </c>
      <c r="EG34" s="32">
        <v>53.2</v>
      </c>
      <c r="EH34" s="32">
        <v>57.9</v>
      </c>
      <c r="EI34" s="32">
        <v>48</v>
      </c>
      <c r="EJ34" s="32">
        <v>132.4</v>
      </c>
      <c r="EK34" s="32">
        <v>45.9</v>
      </c>
      <c r="EL34" s="32">
        <v>61</v>
      </c>
      <c r="EM34" s="32">
        <v>37.299999999999997</v>
      </c>
      <c r="EN34" s="32">
        <v>49</v>
      </c>
      <c r="EO34" s="32">
        <v>81.900000000000006</v>
      </c>
      <c r="EP34" s="32">
        <v>88.5</v>
      </c>
      <c r="EQ34" s="32">
        <v>88.5</v>
      </c>
      <c r="ER34" s="32">
        <v>96.2</v>
      </c>
      <c r="ES34" s="32">
        <v>96.2</v>
      </c>
      <c r="ET34" s="32">
        <v>67.400000000000006</v>
      </c>
      <c r="EU34" s="32">
        <v>64.099999999999994</v>
      </c>
      <c r="EV34" s="32">
        <v>64.099999999999994</v>
      </c>
      <c r="EW34" s="32">
        <v>76</v>
      </c>
      <c r="EX34" s="32">
        <v>88.8</v>
      </c>
      <c r="EY34" s="32">
        <v>65.900000000000006</v>
      </c>
      <c r="EZ34" s="32">
        <v>84.9</v>
      </c>
      <c r="FA34" s="32">
        <v>79.8</v>
      </c>
      <c r="FB34" s="32">
        <v>93.9</v>
      </c>
      <c r="FC34" s="32">
        <v>75.099999999999994</v>
      </c>
      <c r="FD34" s="32">
        <v>87.5</v>
      </c>
      <c r="FE34" s="32">
        <v>131.5</v>
      </c>
      <c r="FF34" s="32">
        <v>62.6</v>
      </c>
      <c r="FG34" s="32">
        <v>89.4</v>
      </c>
      <c r="FH34" s="32">
        <v>92.9</v>
      </c>
      <c r="FI34" s="32">
        <v>95</v>
      </c>
      <c r="FJ34" s="32">
        <v>87</v>
      </c>
      <c r="FK34" s="32">
        <v>86.4</v>
      </c>
      <c r="FL34" s="32">
        <v>86.4</v>
      </c>
    </row>
    <row r="35" spans="1:168" x14ac:dyDescent="0.2">
      <c r="A35" s="33" t="s">
        <v>1015</v>
      </c>
      <c r="B35" s="32">
        <v>68.7</v>
      </c>
      <c r="C35" s="32">
        <v>73.8</v>
      </c>
      <c r="D35" s="32">
        <v>93.5</v>
      </c>
      <c r="E35" s="32">
        <v>90.5</v>
      </c>
      <c r="F35" s="32">
        <v>358.9</v>
      </c>
      <c r="G35" s="32">
        <v>8578.4</v>
      </c>
      <c r="H35" s="32">
        <v>463.2</v>
      </c>
      <c r="I35" s="32">
        <v>58.6</v>
      </c>
      <c r="J35" s="32">
        <v>72.400000000000006</v>
      </c>
      <c r="K35" s="32">
        <v>88.4</v>
      </c>
      <c r="L35" s="32">
        <v>87.4</v>
      </c>
      <c r="M35" s="32">
        <v>94</v>
      </c>
      <c r="N35" s="32">
        <v>61.5</v>
      </c>
      <c r="O35" s="32">
        <v>139.6</v>
      </c>
      <c r="P35" s="32">
        <v>422.9</v>
      </c>
      <c r="Q35" s="32">
        <v>135.80000000000001</v>
      </c>
      <c r="R35" s="32">
        <v>72.599999999999994</v>
      </c>
      <c r="S35" s="32">
        <v>101.4</v>
      </c>
      <c r="T35" s="32">
        <v>96.4</v>
      </c>
      <c r="U35" s="32">
        <v>36.200000000000003</v>
      </c>
      <c r="V35" s="32">
        <v>119.8</v>
      </c>
      <c r="W35" s="32">
        <v>43.4</v>
      </c>
      <c r="X35" s="32">
        <v>29.9</v>
      </c>
      <c r="Y35" s="32">
        <v>55.9</v>
      </c>
      <c r="Z35" s="32">
        <v>114.7</v>
      </c>
      <c r="AA35" s="32">
        <v>65</v>
      </c>
      <c r="AB35" s="32">
        <v>72.5</v>
      </c>
      <c r="AC35" s="32">
        <v>56.2</v>
      </c>
      <c r="AD35" s="32">
        <v>73.5</v>
      </c>
      <c r="AE35" s="32">
        <v>155</v>
      </c>
      <c r="AF35" s="32">
        <v>155</v>
      </c>
      <c r="AG35" s="32">
        <v>55.6</v>
      </c>
      <c r="AH35" s="32">
        <v>55.6</v>
      </c>
      <c r="AI35" s="32">
        <v>204.1</v>
      </c>
      <c r="AJ35" s="32">
        <v>42.8</v>
      </c>
      <c r="AK35" s="32">
        <v>801.9</v>
      </c>
      <c r="AL35" s="32">
        <v>102.3</v>
      </c>
      <c r="AM35" s="32">
        <v>19.3</v>
      </c>
      <c r="AN35" s="32">
        <v>101.5</v>
      </c>
      <c r="AO35" s="32">
        <v>91.8</v>
      </c>
      <c r="AP35" s="32">
        <v>91.8</v>
      </c>
      <c r="AQ35" s="32">
        <v>95</v>
      </c>
      <c r="AR35" s="32">
        <v>96.3</v>
      </c>
      <c r="AS35" s="32">
        <v>93.6</v>
      </c>
      <c r="AT35" s="32">
        <v>101.6</v>
      </c>
      <c r="AU35" s="32">
        <v>87.3</v>
      </c>
      <c r="AV35" s="32">
        <v>109.9</v>
      </c>
      <c r="AW35" s="32">
        <v>213.3</v>
      </c>
      <c r="AX35" s="32">
        <v>193</v>
      </c>
      <c r="AY35" s="32">
        <v>418.6</v>
      </c>
      <c r="AZ35" s="32">
        <v>89.9</v>
      </c>
      <c r="BA35" s="32">
        <v>21.1</v>
      </c>
      <c r="BB35" s="32">
        <v>21.1</v>
      </c>
      <c r="BC35" s="32">
        <v>81.8</v>
      </c>
      <c r="BD35" s="32">
        <v>81.8</v>
      </c>
      <c r="BE35" s="32">
        <v>87.3</v>
      </c>
      <c r="BF35" s="32">
        <v>87.3</v>
      </c>
      <c r="BG35" s="32">
        <v>64.7</v>
      </c>
      <c r="BH35" s="32">
        <v>50.3</v>
      </c>
      <c r="BI35" s="32">
        <v>79.5</v>
      </c>
      <c r="BJ35" s="32">
        <v>57.9</v>
      </c>
      <c r="BK35" s="32">
        <v>99.6</v>
      </c>
      <c r="BL35" s="32">
        <v>18</v>
      </c>
      <c r="BM35" s="32">
        <v>86.2</v>
      </c>
      <c r="BN35" s="32">
        <v>79.7</v>
      </c>
      <c r="BO35" s="32">
        <v>89.1</v>
      </c>
      <c r="BP35" s="32">
        <v>72.5</v>
      </c>
      <c r="BQ35" s="32">
        <v>96.9</v>
      </c>
      <c r="BR35" s="32">
        <v>83.9</v>
      </c>
      <c r="BS35" s="32">
        <v>218.2</v>
      </c>
      <c r="BT35" s="32">
        <v>72.599999999999994</v>
      </c>
      <c r="BU35" s="32">
        <v>114.2</v>
      </c>
      <c r="BV35" s="32">
        <v>114.2</v>
      </c>
      <c r="BW35" s="32">
        <v>141.80000000000001</v>
      </c>
      <c r="BX35" s="32">
        <v>102.6</v>
      </c>
      <c r="BY35" s="32">
        <v>108.7</v>
      </c>
      <c r="BZ35" s="32">
        <v>115.6</v>
      </c>
      <c r="CA35" s="32">
        <v>105.5</v>
      </c>
      <c r="CB35" s="32">
        <v>90.4</v>
      </c>
      <c r="CC35" s="32">
        <v>136</v>
      </c>
      <c r="CD35" s="32">
        <v>55.5</v>
      </c>
      <c r="CE35" s="32">
        <v>102.8</v>
      </c>
      <c r="CF35" s="32">
        <v>63</v>
      </c>
      <c r="CG35" s="32">
        <v>79.400000000000006</v>
      </c>
      <c r="CH35" s="32">
        <v>76.400000000000006</v>
      </c>
      <c r="CI35" s="32">
        <v>90</v>
      </c>
      <c r="CJ35" s="32">
        <v>62</v>
      </c>
      <c r="CK35" s="32">
        <v>85.2</v>
      </c>
      <c r="CL35" s="32">
        <v>87.3</v>
      </c>
      <c r="CM35" s="32">
        <v>98.5</v>
      </c>
      <c r="CN35" s="32">
        <v>55.2</v>
      </c>
      <c r="CO35" s="32">
        <v>110.6</v>
      </c>
      <c r="CP35" s="32">
        <v>89</v>
      </c>
      <c r="CQ35" s="32">
        <v>19.600000000000001</v>
      </c>
      <c r="CR35" s="32">
        <v>92.5</v>
      </c>
      <c r="CS35" s="32">
        <v>128.5</v>
      </c>
      <c r="CT35" s="32">
        <v>82.4</v>
      </c>
      <c r="CU35" s="32">
        <v>61.7</v>
      </c>
      <c r="CV35" s="32">
        <v>91.8</v>
      </c>
      <c r="CW35" s="32">
        <v>13.9</v>
      </c>
      <c r="CX35" s="32">
        <v>60</v>
      </c>
      <c r="CY35" s="32">
        <v>66.3</v>
      </c>
      <c r="CZ35" s="32">
        <v>57.9</v>
      </c>
      <c r="DA35" s="32">
        <v>48.6</v>
      </c>
      <c r="DB35" s="32">
        <v>75.8</v>
      </c>
      <c r="DC35" s="32">
        <v>1.4</v>
      </c>
      <c r="DD35" s="32">
        <v>1.4</v>
      </c>
      <c r="DE35" s="32">
        <v>34.299999999999997</v>
      </c>
      <c r="DF35" s="32">
        <v>29.2</v>
      </c>
      <c r="DG35" s="32">
        <v>70.2</v>
      </c>
      <c r="DH35" s="32">
        <v>68.5</v>
      </c>
      <c r="DI35" s="32">
        <v>82.2</v>
      </c>
      <c r="DJ35" s="32">
        <v>109.2</v>
      </c>
      <c r="DK35" s="32">
        <v>109.2</v>
      </c>
      <c r="DL35" s="32">
        <v>30.7</v>
      </c>
      <c r="DM35" s="32">
        <v>66.3</v>
      </c>
      <c r="DN35" s="32">
        <v>44.8</v>
      </c>
      <c r="DO35" s="32">
        <v>76.5</v>
      </c>
      <c r="DP35" s="32">
        <v>26.6</v>
      </c>
      <c r="DQ35" s="32">
        <v>56.2</v>
      </c>
      <c r="DR35" s="32">
        <v>58.6</v>
      </c>
      <c r="DS35" s="32">
        <v>55</v>
      </c>
      <c r="DT35" s="32">
        <v>52</v>
      </c>
      <c r="DU35" s="32">
        <v>55.9</v>
      </c>
      <c r="DV35" s="32">
        <v>58</v>
      </c>
      <c r="DW35" s="32">
        <v>53.5</v>
      </c>
      <c r="DX35" s="32">
        <v>43.3</v>
      </c>
      <c r="DY35" s="32">
        <v>65</v>
      </c>
      <c r="DZ35" s="32">
        <v>112.5</v>
      </c>
      <c r="EA35" s="32">
        <v>112.5</v>
      </c>
      <c r="EB35" s="32">
        <v>53.7</v>
      </c>
      <c r="EC35" s="32">
        <v>53.7</v>
      </c>
      <c r="ED35" s="32">
        <v>53.9</v>
      </c>
      <c r="EE35" s="32">
        <v>56.6</v>
      </c>
      <c r="EF35" s="32">
        <v>46.9</v>
      </c>
      <c r="EG35" s="32">
        <v>52.4</v>
      </c>
      <c r="EH35" s="32">
        <v>59.4</v>
      </c>
      <c r="EI35" s="32">
        <v>46.4</v>
      </c>
      <c r="EJ35" s="32">
        <v>125.6</v>
      </c>
      <c r="EK35" s="32">
        <v>45</v>
      </c>
      <c r="EL35" s="32">
        <v>61.7</v>
      </c>
      <c r="EM35" s="32">
        <v>37.299999999999997</v>
      </c>
      <c r="EN35" s="32">
        <v>47.2</v>
      </c>
      <c r="EO35" s="32">
        <v>81.900000000000006</v>
      </c>
      <c r="EP35" s="32">
        <v>88.5</v>
      </c>
      <c r="EQ35" s="32">
        <v>88.5</v>
      </c>
      <c r="ER35" s="32">
        <v>96.4</v>
      </c>
      <c r="ES35" s="32">
        <v>96.4</v>
      </c>
      <c r="ET35" s="32">
        <v>67.2</v>
      </c>
      <c r="EU35" s="32">
        <v>63.9</v>
      </c>
      <c r="EV35" s="32">
        <v>63.9</v>
      </c>
      <c r="EW35" s="32">
        <v>76.099999999999994</v>
      </c>
      <c r="EX35" s="32">
        <v>89</v>
      </c>
      <c r="EY35" s="32">
        <v>66</v>
      </c>
      <c r="EZ35" s="32">
        <v>84.8</v>
      </c>
      <c r="FA35" s="32">
        <v>79.5</v>
      </c>
      <c r="FB35" s="32">
        <v>93.2</v>
      </c>
      <c r="FC35" s="32">
        <v>74.099999999999994</v>
      </c>
      <c r="FD35" s="32">
        <v>87.7</v>
      </c>
      <c r="FE35" s="32">
        <v>131.1</v>
      </c>
      <c r="FF35" s="32">
        <v>62.8</v>
      </c>
      <c r="FG35" s="32">
        <v>89.4</v>
      </c>
      <c r="FH35" s="32">
        <v>94.3</v>
      </c>
      <c r="FI35" s="32">
        <v>113.4</v>
      </c>
      <c r="FJ35" s="32">
        <v>84.2</v>
      </c>
      <c r="FK35" s="32">
        <v>86.3</v>
      </c>
      <c r="FL35" s="32">
        <v>86.3</v>
      </c>
    </row>
    <row r="36" spans="1:168" x14ac:dyDescent="0.2">
      <c r="A36" s="34" t="s">
        <v>1016</v>
      </c>
      <c r="B36" s="32">
        <v>69.2</v>
      </c>
      <c r="C36" s="32">
        <v>74.2</v>
      </c>
      <c r="D36" s="32">
        <v>94.3</v>
      </c>
      <c r="E36" s="32">
        <v>91.4</v>
      </c>
      <c r="F36" s="32">
        <v>372.1</v>
      </c>
      <c r="G36" s="32">
        <v>8496.4</v>
      </c>
      <c r="H36" s="32">
        <v>484.3</v>
      </c>
      <c r="I36" s="32">
        <v>59.1</v>
      </c>
      <c r="J36" s="32">
        <v>73</v>
      </c>
      <c r="K36" s="32">
        <v>90</v>
      </c>
      <c r="L36" s="32">
        <v>88</v>
      </c>
      <c r="M36" s="32">
        <v>93.3</v>
      </c>
      <c r="N36" s="32">
        <v>65.099999999999994</v>
      </c>
      <c r="O36" s="32">
        <v>149.4</v>
      </c>
      <c r="P36" s="32">
        <v>433.4</v>
      </c>
      <c r="Q36" s="32">
        <v>136.30000000000001</v>
      </c>
      <c r="R36" s="32">
        <v>72.7</v>
      </c>
      <c r="S36" s="32">
        <v>101.6</v>
      </c>
      <c r="T36" s="32">
        <v>91.5</v>
      </c>
      <c r="U36" s="32">
        <v>38.4</v>
      </c>
      <c r="V36" s="32">
        <v>126.5</v>
      </c>
      <c r="W36" s="32">
        <v>44.4</v>
      </c>
      <c r="X36" s="32">
        <v>30.6</v>
      </c>
      <c r="Y36" s="32">
        <v>57.2</v>
      </c>
      <c r="Z36" s="32">
        <v>116.6</v>
      </c>
      <c r="AA36" s="32">
        <v>64.5</v>
      </c>
      <c r="AB36" s="32">
        <v>69.2</v>
      </c>
      <c r="AC36" s="32">
        <v>55.7</v>
      </c>
      <c r="AD36" s="32">
        <v>74.400000000000006</v>
      </c>
      <c r="AE36" s="32">
        <v>143.9</v>
      </c>
      <c r="AF36" s="32">
        <v>143.9</v>
      </c>
      <c r="AG36" s="32">
        <v>54.4</v>
      </c>
      <c r="AH36" s="32">
        <v>54.4</v>
      </c>
      <c r="AI36" s="32">
        <v>208.2</v>
      </c>
      <c r="AJ36" s="32">
        <v>41</v>
      </c>
      <c r="AK36" s="32">
        <v>754.2</v>
      </c>
      <c r="AL36" s="32">
        <v>102</v>
      </c>
      <c r="AM36" s="32">
        <v>19.399999999999999</v>
      </c>
      <c r="AN36" s="32">
        <v>100</v>
      </c>
      <c r="AO36" s="32">
        <v>91.5</v>
      </c>
      <c r="AP36" s="32">
        <v>91.5</v>
      </c>
      <c r="AQ36" s="32">
        <v>96.2</v>
      </c>
      <c r="AR36" s="32">
        <v>97.7</v>
      </c>
      <c r="AS36" s="32">
        <v>94.5</v>
      </c>
      <c r="AT36" s="32">
        <v>101.7</v>
      </c>
      <c r="AU36" s="32">
        <v>89.1</v>
      </c>
      <c r="AV36" s="32">
        <v>111.5</v>
      </c>
      <c r="AW36" s="32">
        <v>206.6</v>
      </c>
      <c r="AX36" s="32">
        <v>179.8</v>
      </c>
      <c r="AY36" s="32">
        <v>420.4</v>
      </c>
      <c r="AZ36" s="32">
        <v>93.4</v>
      </c>
      <c r="BA36" s="32">
        <v>20.9</v>
      </c>
      <c r="BB36" s="32">
        <v>20.9</v>
      </c>
      <c r="BC36" s="32">
        <v>85.8</v>
      </c>
      <c r="BD36" s="32">
        <v>85.8</v>
      </c>
      <c r="BE36" s="32">
        <v>90.2</v>
      </c>
      <c r="BF36" s="32">
        <v>90.2</v>
      </c>
      <c r="BG36" s="32">
        <v>65.099999999999994</v>
      </c>
      <c r="BH36" s="32">
        <v>51.3</v>
      </c>
      <c r="BI36" s="32">
        <v>79.099999999999994</v>
      </c>
      <c r="BJ36" s="32">
        <v>57.6</v>
      </c>
      <c r="BK36" s="32">
        <v>98.9</v>
      </c>
      <c r="BL36" s="32">
        <v>18.3</v>
      </c>
      <c r="BM36" s="32">
        <v>87.5</v>
      </c>
      <c r="BN36" s="32">
        <v>80.5</v>
      </c>
      <c r="BO36" s="32">
        <v>89.3</v>
      </c>
      <c r="BP36" s="32">
        <v>73.7</v>
      </c>
      <c r="BQ36" s="32">
        <v>98.9</v>
      </c>
      <c r="BR36" s="32">
        <v>96.9</v>
      </c>
      <c r="BS36" s="32">
        <v>221.8</v>
      </c>
      <c r="BT36" s="32">
        <v>73</v>
      </c>
      <c r="BU36" s="32">
        <v>112.8</v>
      </c>
      <c r="BV36" s="32">
        <v>112.8</v>
      </c>
      <c r="BW36" s="32">
        <v>139.19999999999999</v>
      </c>
      <c r="BX36" s="32">
        <v>102.4</v>
      </c>
      <c r="BY36" s="32">
        <v>110</v>
      </c>
      <c r="BZ36" s="32">
        <v>117.8</v>
      </c>
      <c r="CA36" s="32">
        <v>106.2</v>
      </c>
      <c r="CB36" s="32">
        <v>91.5</v>
      </c>
      <c r="CC36" s="32">
        <v>136.1</v>
      </c>
      <c r="CD36" s="32">
        <v>55.1</v>
      </c>
      <c r="CE36" s="32">
        <v>103.5</v>
      </c>
      <c r="CF36" s="32">
        <v>63.4</v>
      </c>
      <c r="CG36" s="32">
        <v>79.400000000000006</v>
      </c>
      <c r="CH36" s="32">
        <v>75.900000000000006</v>
      </c>
      <c r="CI36" s="32">
        <v>90</v>
      </c>
      <c r="CJ36" s="32">
        <v>61.2</v>
      </c>
      <c r="CK36" s="32">
        <v>84.9</v>
      </c>
      <c r="CL36" s="32">
        <v>88.6</v>
      </c>
      <c r="CM36" s="32">
        <v>102.5</v>
      </c>
      <c r="CN36" s="32">
        <v>57.7</v>
      </c>
      <c r="CO36" s="32">
        <v>114.9</v>
      </c>
      <c r="CP36" s="32">
        <v>90.4</v>
      </c>
      <c r="CQ36" s="32">
        <v>20.100000000000001</v>
      </c>
      <c r="CR36" s="32">
        <v>94.7</v>
      </c>
      <c r="CS36" s="32">
        <v>121.9</v>
      </c>
      <c r="CT36" s="32">
        <v>83.1</v>
      </c>
      <c r="CU36" s="32">
        <v>61.9</v>
      </c>
      <c r="CV36" s="32">
        <v>92.6</v>
      </c>
      <c r="CW36" s="32">
        <v>14.4</v>
      </c>
      <c r="CX36" s="32">
        <v>62.7</v>
      </c>
      <c r="CY36" s="32">
        <v>67.2</v>
      </c>
      <c r="CZ36" s="32">
        <v>62.4</v>
      </c>
      <c r="DA36" s="32">
        <v>53.2</v>
      </c>
      <c r="DB36" s="32">
        <v>79.400000000000006</v>
      </c>
      <c r="DC36" s="32">
        <v>1.4</v>
      </c>
      <c r="DD36" s="32">
        <v>1.4</v>
      </c>
      <c r="DE36" s="32">
        <v>35.9</v>
      </c>
      <c r="DF36" s="32">
        <v>30.3</v>
      </c>
      <c r="DG36" s="32">
        <v>75.599999999999994</v>
      </c>
      <c r="DH36" s="32">
        <v>68.599999999999994</v>
      </c>
      <c r="DI36" s="32">
        <v>81.7</v>
      </c>
      <c r="DJ36" s="32">
        <v>109.8</v>
      </c>
      <c r="DK36" s="32">
        <v>109.8</v>
      </c>
      <c r="DL36" s="32">
        <v>31.7</v>
      </c>
      <c r="DM36" s="32">
        <v>67.099999999999994</v>
      </c>
      <c r="DN36" s="32">
        <v>45.2</v>
      </c>
      <c r="DO36" s="32">
        <v>77.5</v>
      </c>
      <c r="DP36" s="32">
        <v>26.8</v>
      </c>
      <c r="DQ36" s="32">
        <v>57</v>
      </c>
      <c r="DR36" s="32">
        <v>59.6</v>
      </c>
      <c r="DS36" s="32">
        <v>56.1</v>
      </c>
      <c r="DT36" s="32">
        <v>51.8</v>
      </c>
      <c r="DU36" s="32">
        <v>55.9</v>
      </c>
      <c r="DV36" s="32">
        <v>57.8</v>
      </c>
      <c r="DW36" s="32">
        <v>53.6</v>
      </c>
      <c r="DX36" s="32">
        <v>42.9</v>
      </c>
      <c r="DY36" s="32">
        <v>69.7</v>
      </c>
      <c r="DZ36" s="32">
        <v>113.1</v>
      </c>
      <c r="EA36" s="32">
        <v>113.1</v>
      </c>
      <c r="EB36" s="32">
        <v>54.5</v>
      </c>
      <c r="EC36" s="32">
        <v>55</v>
      </c>
      <c r="ED36" s="32">
        <v>54.3</v>
      </c>
      <c r="EE36" s="32">
        <v>56.9</v>
      </c>
      <c r="EF36" s="32">
        <v>47.5</v>
      </c>
      <c r="EG36" s="32">
        <v>52.9</v>
      </c>
      <c r="EH36" s="32">
        <v>60.9</v>
      </c>
      <c r="EI36" s="32">
        <v>47.8</v>
      </c>
      <c r="EJ36" s="32">
        <v>117.6</v>
      </c>
      <c r="EK36" s="32">
        <v>44.9</v>
      </c>
      <c r="EL36" s="32">
        <v>61.5</v>
      </c>
      <c r="EM36" s="32">
        <v>38.1</v>
      </c>
      <c r="EN36" s="32">
        <v>46.5</v>
      </c>
      <c r="EO36" s="32">
        <v>82</v>
      </c>
      <c r="EP36" s="32">
        <v>88.3</v>
      </c>
      <c r="EQ36" s="32">
        <v>88.3</v>
      </c>
      <c r="ER36" s="32">
        <v>96.9</v>
      </c>
      <c r="ES36" s="32">
        <v>96.9</v>
      </c>
      <c r="ET36" s="32">
        <v>67.2</v>
      </c>
      <c r="EU36" s="32">
        <v>63.9</v>
      </c>
      <c r="EV36" s="32">
        <v>63.9</v>
      </c>
      <c r="EW36" s="32">
        <v>76.099999999999994</v>
      </c>
      <c r="EX36" s="32">
        <v>89.2</v>
      </c>
      <c r="EY36" s="32">
        <v>65.900000000000006</v>
      </c>
      <c r="EZ36" s="32">
        <v>83.8</v>
      </c>
      <c r="FA36" s="32">
        <v>79.3</v>
      </c>
      <c r="FB36" s="32">
        <v>92.1</v>
      </c>
      <c r="FC36" s="32">
        <v>72.5</v>
      </c>
      <c r="FD36" s="32">
        <v>88.3</v>
      </c>
      <c r="FE36" s="32">
        <v>130.1</v>
      </c>
      <c r="FF36" s="32">
        <v>63.8</v>
      </c>
      <c r="FG36" s="32">
        <v>88</v>
      </c>
      <c r="FH36" s="32">
        <v>92.7</v>
      </c>
      <c r="FI36" s="32">
        <v>103.6</v>
      </c>
      <c r="FJ36" s="32">
        <v>84</v>
      </c>
      <c r="FK36" s="32">
        <v>82.2</v>
      </c>
      <c r="FL36" s="32">
        <v>82.2</v>
      </c>
    </row>
    <row r="37" spans="1:168" x14ac:dyDescent="0.2">
      <c r="A37" s="34" t="s">
        <v>1017</v>
      </c>
      <c r="B37" s="32">
        <v>69.5</v>
      </c>
      <c r="C37" s="32">
        <v>75</v>
      </c>
      <c r="D37" s="32">
        <v>94.9</v>
      </c>
      <c r="E37" s="32">
        <v>92.1</v>
      </c>
      <c r="F37" s="32">
        <v>372.4</v>
      </c>
      <c r="G37" s="32">
        <v>8522.1</v>
      </c>
      <c r="H37" s="32">
        <v>485</v>
      </c>
      <c r="I37" s="32">
        <v>58.9</v>
      </c>
      <c r="J37" s="32">
        <v>73.599999999999994</v>
      </c>
      <c r="K37" s="32">
        <v>89.5</v>
      </c>
      <c r="L37" s="32">
        <v>87.7</v>
      </c>
      <c r="M37" s="32">
        <v>92.3</v>
      </c>
      <c r="N37" s="32">
        <v>64.7</v>
      </c>
      <c r="O37" s="32">
        <v>145.19999999999999</v>
      </c>
      <c r="P37" s="32">
        <v>404.1</v>
      </c>
      <c r="Q37" s="32">
        <v>134.19999999999999</v>
      </c>
      <c r="R37" s="32">
        <v>73.5</v>
      </c>
      <c r="S37" s="32">
        <v>102.1</v>
      </c>
      <c r="T37" s="32">
        <v>96.8</v>
      </c>
      <c r="U37" s="32">
        <v>36.299999999999997</v>
      </c>
      <c r="V37" s="32">
        <v>126.6</v>
      </c>
      <c r="W37" s="32">
        <v>43.6</v>
      </c>
      <c r="X37" s="32">
        <v>30.1</v>
      </c>
      <c r="Y37" s="32">
        <v>55.3</v>
      </c>
      <c r="Z37" s="32">
        <v>121</v>
      </c>
      <c r="AA37" s="32">
        <v>65.5</v>
      </c>
      <c r="AB37" s="32">
        <v>72.400000000000006</v>
      </c>
      <c r="AC37" s="32">
        <v>56.2</v>
      </c>
      <c r="AD37" s="32">
        <v>74.7</v>
      </c>
      <c r="AE37" s="32">
        <v>142.9</v>
      </c>
      <c r="AF37" s="32">
        <v>142.9</v>
      </c>
      <c r="AG37" s="32">
        <v>56.6</v>
      </c>
      <c r="AH37" s="32">
        <v>56.6</v>
      </c>
      <c r="AI37" s="32">
        <v>214.4</v>
      </c>
      <c r="AJ37" s="32">
        <v>43.2</v>
      </c>
      <c r="AK37" s="32">
        <v>769.1</v>
      </c>
      <c r="AL37" s="32">
        <v>105.7</v>
      </c>
      <c r="AM37" s="32">
        <v>20.5</v>
      </c>
      <c r="AN37" s="32">
        <v>100.6</v>
      </c>
      <c r="AO37" s="32">
        <v>94.6</v>
      </c>
      <c r="AP37" s="32">
        <v>94.6</v>
      </c>
      <c r="AQ37" s="32">
        <v>96.2</v>
      </c>
      <c r="AR37" s="32">
        <v>98.1</v>
      </c>
      <c r="AS37" s="32">
        <v>94</v>
      </c>
      <c r="AT37" s="32">
        <v>103.9</v>
      </c>
      <c r="AU37" s="32">
        <v>85.3</v>
      </c>
      <c r="AV37" s="32">
        <v>111.6</v>
      </c>
      <c r="AW37" s="32">
        <v>207.6</v>
      </c>
      <c r="AX37" s="32">
        <v>186</v>
      </c>
      <c r="AY37" s="32">
        <v>410.8</v>
      </c>
      <c r="AZ37" s="32">
        <v>93.3</v>
      </c>
      <c r="BA37" s="32">
        <v>20.7</v>
      </c>
      <c r="BB37" s="32">
        <v>20.7</v>
      </c>
      <c r="BC37" s="32">
        <v>84.5</v>
      </c>
      <c r="BD37" s="32">
        <v>84.5</v>
      </c>
      <c r="BE37" s="32">
        <v>91.1</v>
      </c>
      <c r="BF37" s="32">
        <v>91.1</v>
      </c>
      <c r="BG37" s="32">
        <v>67.2</v>
      </c>
      <c r="BH37" s="32">
        <v>53.9</v>
      </c>
      <c r="BI37" s="32">
        <v>80.099999999999994</v>
      </c>
      <c r="BJ37" s="32">
        <v>57</v>
      </c>
      <c r="BK37" s="32">
        <v>100.6</v>
      </c>
      <c r="BL37" s="32">
        <v>18.8</v>
      </c>
      <c r="BM37" s="32">
        <v>88.1</v>
      </c>
      <c r="BN37" s="32">
        <v>80.7</v>
      </c>
      <c r="BO37" s="32">
        <v>92.4</v>
      </c>
      <c r="BP37" s="32">
        <v>71.8</v>
      </c>
      <c r="BQ37" s="32">
        <v>100.2</v>
      </c>
      <c r="BR37" s="32">
        <v>91.8</v>
      </c>
      <c r="BS37" s="32">
        <v>223.3</v>
      </c>
      <c r="BT37" s="32">
        <v>74.8</v>
      </c>
      <c r="BU37" s="32">
        <v>115.2</v>
      </c>
      <c r="BV37" s="32">
        <v>115.2</v>
      </c>
      <c r="BW37" s="32">
        <v>138.9</v>
      </c>
      <c r="BX37" s="32">
        <v>108.5</v>
      </c>
      <c r="BY37" s="32">
        <v>108.7</v>
      </c>
      <c r="BZ37" s="32">
        <v>115.3</v>
      </c>
      <c r="CA37" s="32">
        <v>105.7</v>
      </c>
      <c r="CB37" s="32">
        <v>91.9</v>
      </c>
      <c r="CC37" s="32">
        <v>134.19999999999999</v>
      </c>
      <c r="CD37" s="32">
        <v>53.8</v>
      </c>
      <c r="CE37" s="32">
        <v>104</v>
      </c>
      <c r="CF37" s="32">
        <v>63.7</v>
      </c>
      <c r="CG37" s="32">
        <v>79.599999999999994</v>
      </c>
      <c r="CH37" s="32">
        <v>76.3</v>
      </c>
      <c r="CI37" s="32">
        <v>86.7</v>
      </c>
      <c r="CJ37" s="32">
        <v>62.4</v>
      </c>
      <c r="CK37" s="32">
        <v>85.5</v>
      </c>
      <c r="CL37" s="32">
        <v>88.4</v>
      </c>
      <c r="CM37" s="32">
        <v>104.8</v>
      </c>
      <c r="CN37" s="32">
        <v>58</v>
      </c>
      <c r="CO37" s="32">
        <v>117.7</v>
      </c>
      <c r="CP37" s="32">
        <v>91</v>
      </c>
      <c r="CQ37" s="32">
        <v>20.100000000000001</v>
      </c>
      <c r="CR37" s="32">
        <v>95.6</v>
      </c>
      <c r="CS37" s="32">
        <v>112.5</v>
      </c>
      <c r="CT37" s="32">
        <v>83</v>
      </c>
      <c r="CU37" s="32">
        <v>62.5</v>
      </c>
      <c r="CV37" s="32">
        <v>92.3</v>
      </c>
      <c r="CW37" s="32">
        <v>14.7</v>
      </c>
      <c r="CX37" s="32">
        <v>64.599999999999994</v>
      </c>
      <c r="CY37" s="32">
        <v>68.400000000000006</v>
      </c>
      <c r="CZ37" s="32">
        <v>65.2</v>
      </c>
      <c r="DA37" s="32">
        <v>55.6</v>
      </c>
      <c r="DB37" s="32">
        <v>82.9</v>
      </c>
      <c r="DC37" s="32">
        <v>1.5</v>
      </c>
      <c r="DD37" s="32">
        <v>1.5</v>
      </c>
      <c r="DE37" s="32">
        <v>35.9</v>
      </c>
      <c r="DF37" s="32">
        <v>30.2</v>
      </c>
      <c r="DG37" s="32">
        <v>76.8</v>
      </c>
      <c r="DH37" s="32">
        <v>69.2</v>
      </c>
      <c r="DI37" s="32">
        <v>82.5</v>
      </c>
      <c r="DJ37" s="32">
        <v>110.3</v>
      </c>
      <c r="DK37" s="32">
        <v>110.3</v>
      </c>
      <c r="DL37" s="32">
        <v>32.200000000000003</v>
      </c>
      <c r="DM37" s="32">
        <v>67.5</v>
      </c>
      <c r="DN37" s="32">
        <v>45</v>
      </c>
      <c r="DO37" s="32">
        <v>78.2</v>
      </c>
      <c r="DP37" s="32">
        <v>27</v>
      </c>
      <c r="DQ37" s="32">
        <v>56.8</v>
      </c>
      <c r="DR37" s="32">
        <v>59.6</v>
      </c>
      <c r="DS37" s="32">
        <v>55.6</v>
      </c>
      <c r="DT37" s="32">
        <v>51.9</v>
      </c>
      <c r="DU37" s="32">
        <v>55.6</v>
      </c>
      <c r="DV37" s="32">
        <v>57.9</v>
      </c>
      <c r="DW37" s="32">
        <v>52.9</v>
      </c>
      <c r="DX37" s="32">
        <v>43.8</v>
      </c>
      <c r="DY37" s="32">
        <v>67.7</v>
      </c>
      <c r="DZ37" s="32">
        <v>108.8</v>
      </c>
      <c r="EA37" s="32">
        <v>108.8</v>
      </c>
      <c r="EB37" s="32">
        <v>56.8</v>
      </c>
      <c r="EC37" s="32">
        <v>57.1</v>
      </c>
      <c r="ED37" s="32">
        <v>56.7</v>
      </c>
      <c r="EE37" s="32">
        <v>60</v>
      </c>
      <c r="EF37" s="32">
        <v>48</v>
      </c>
      <c r="EG37" s="32">
        <v>52.6</v>
      </c>
      <c r="EH37" s="32">
        <v>60.9</v>
      </c>
      <c r="EI37" s="32">
        <v>45.3</v>
      </c>
      <c r="EJ37" s="32">
        <v>113.7</v>
      </c>
      <c r="EK37" s="32">
        <v>46.4</v>
      </c>
      <c r="EL37" s="32">
        <v>62.7</v>
      </c>
      <c r="EM37" s="32">
        <v>38.4</v>
      </c>
      <c r="EN37" s="32">
        <v>48.9</v>
      </c>
      <c r="EO37" s="32">
        <v>82.1</v>
      </c>
      <c r="EP37" s="32">
        <v>88.1</v>
      </c>
      <c r="EQ37" s="32">
        <v>88.1</v>
      </c>
      <c r="ER37" s="32">
        <v>97.1</v>
      </c>
      <c r="ES37" s="32">
        <v>97.1</v>
      </c>
      <c r="ET37" s="32">
        <v>67.400000000000006</v>
      </c>
      <c r="EU37" s="32">
        <v>64.099999999999994</v>
      </c>
      <c r="EV37" s="32">
        <v>64.099999999999994</v>
      </c>
      <c r="EW37" s="32">
        <v>76.3</v>
      </c>
      <c r="EX37" s="32">
        <v>89.7</v>
      </c>
      <c r="EY37" s="32">
        <v>65.8</v>
      </c>
      <c r="EZ37" s="32">
        <v>82.8</v>
      </c>
      <c r="FA37" s="32">
        <v>78.2</v>
      </c>
      <c r="FB37" s="32">
        <v>90</v>
      </c>
      <c r="FC37" s="32">
        <v>69.3</v>
      </c>
      <c r="FD37" s="32">
        <v>89.4</v>
      </c>
      <c r="FE37" s="32">
        <v>128.9</v>
      </c>
      <c r="FF37" s="32">
        <v>63.8</v>
      </c>
      <c r="FG37" s="32">
        <v>87</v>
      </c>
      <c r="FH37" s="32">
        <v>88.5</v>
      </c>
      <c r="FI37" s="32">
        <v>109.2</v>
      </c>
      <c r="FJ37" s="32">
        <v>83.3</v>
      </c>
      <c r="FK37" s="32">
        <v>83.4</v>
      </c>
      <c r="FL37" s="32">
        <v>83.4</v>
      </c>
    </row>
    <row r="38" spans="1:168" x14ac:dyDescent="0.2">
      <c r="A38" s="34" t="s">
        <v>1018</v>
      </c>
      <c r="B38" s="32">
        <v>69.900000000000006</v>
      </c>
      <c r="C38" s="32">
        <v>75.7</v>
      </c>
      <c r="D38" s="32">
        <v>95.4</v>
      </c>
      <c r="E38" s="32">
        <v>92.6</v>
      </c>
      <c r="F38" s="32">
        <v>366.7</v>
      </c>
      <c r="G38" s="32">
        <v>8016.7</v>
      </c>
      <c r="H38" s="32">
        <v>476</v>
      </c>
      <c r="I38" s="32">
        <v>59.5</v>
      </c>
      <c r="J38" s="32">
        <v>74.5</v>
      </c>
      <c r="K38" s="32">
        <v>89.9</v>
      </c>
      <c r="L38" s="32">
        <v>87.7</v>
      </c>
      <c r="M38" s="32">
        <v>91.1</v>
      </c>
      <c r="N38" s="32">
        <v>66</v>
      </c>
      <c r="O38" s="32">
        <v>152.5</v>
      </c>
      <c r="P38" s="32">
        <v>416.9</v>
      </c>
      <c r="Q38" s="32">
        <v>129.6</v>
      </c>
      <c r="R38" s="32">
        <v>72.7</v>
      </c>
      <c r="S38" s="32">
        <v>102.6</v>
      </c>
      <c r="T38" s="32">
        <v>90.8</v>
      </c>
      <c r="U38" s="32">
        <v>37.9</v>
      </c>
      <c r="V38" s="32">
        <v>128.6</v>
      </c>
      <c r="W38" s="32">
        <v>44.6</v>
      </c>
      <c r="X38" s="32">
        <v>30.3</v>
      </c>
      <c r="Y38" s="32">
        <v>57.1</v>
      </c>
      <c r="Z38" s="32">
        <v>127</v>
      </c>
      <c r="AA38" s="32">
        <v>66.8</v>
      </c>
      <c r="AB38" s="32">
        <v>72.099999999999994</v>
      </c>
      <c r="AC38" s="32">
        <v>56.1</v>
      </c>
      <c r="AD38" s="32">
        <v>78.2</v>
      </c>
      <c r="AE38" s="32">
        <v>138.69999999999999</v>
      </c>
      <c r="AF38" s="32">
        <v>138.69999999999999</v>
      </c>
      <c r="AG38" s="32">
        <v>56.7</v>
      </c>
      <c r="AH38" s="32">
        <v>56.7</v>
      </c>
      <c r="AI38" s="32">
        <v>216</v>
      </c>
      <c r="AJ38" s="32">
        <v>42.5</v>
      </c>
      <c r="AK38" s="32">
        <v>823.5</v>
      </c>
      <c r="AL38" s="32">
        <v>103.7</v>
      </c>
      <c r="AM38" s="32">
        <v>21.9</v>
      </c>
      <c r="AN38" s="32">
        <v>95.3</v>
      </c>
      <c r="AO38" s="32">
        <v>94</v>
      </c>
      <c r="AP38" s="32">
        <v>94</v>
      </c>
      <c r="AQ38" s="32">
        <v>96.4</v>
      </c>
      <c r="AR38" s="32">
        <v>97.9</v>
      </c>
      <c r="AS38" s="32">
        <v>94.9</v>
      </c>
      <c r="AT38" s="32">
        <v>107.5</v>
      </c>
      <c r="AU38" s="32">
        <v>82.9</v>
      </c>
      <c r="AV38" s="32">
        <v>117.2</v>
      </c>
      <c r="AW38" s="32">
        <v>214.9</v>
      </c>
      <c r="AX38" s="32">
        <v>199.1</v>
      </c>
      <c r="AY38" s="32">
        <v>410.8</v>
      </c>
      <c r="AZ38" s="32">
        <v>98.6</v>
      </c>
      <c r="BA38" s="32">
        <v>21.1</v>
      </c>
      <c r="BB38" s="32">
        <v>21.1</v>
      </c>
      <c r="BC38" s="32">
        <v>86</v>
      </c>
      <c r="BD38" s="32">
        <v>86</v>
      </c>
      <c r="BE38" s="32">
        <v>90</v>
      </c>
      <c r="BF38" s="32">
        <v>90</v>
      </c>
      <c r="BG38" s="32">
        <v>68.3</v>
      </c>
      <c r="BH38" s="32">
        <v>55.4</v>
      </c>
      <c r="BI38" s="32">
        <v>80.7</v>
      </c>
      <c r="BJ38" s="32">
        <v>55.9</v>
      </c>
      <c r="BK38" s="32">
        <v>102.1</v>
      </c>
      <c r="BL38" s="32">
        <v>19</v>
      </c>
      <c r="BM38" s="32">
        <v>88.6</v>
      </c>
      <c r="BN38" s="32">
        <v>80.8</v>
      </c>
      <c r="BO38" s="32">
        <v>91.9</v>
      </c>
      <c r="BP38" s="32">
        <v>72.3</v>
      </c>
      <c r="BQ38" s="32">
        <v>101.5</v>
      </c>
      <c r="BR38" s="32">
        <v>99.2</v>
      </c>
      <c r="BS38" s="32">
        <v>213.9</v>
      </c>
      <c r="BT38" s="32">
        <v>76.599999999999994</v>
      </c>
      <c r="BU38" s="32">
        <v>110</v>
      </c>
      <c r="BV38" s="32">
        <v>110</v>
      </c>
      <c r="BW38" s="32">
        <v>132.69999999999999</v>
      </c>
      <c r="BX38" s="32">
        <v>103.7</v>
      </c>
      <c r="BY38" s="32">
        <v>110.2</v>
      </c>
      <c r="BZ38" s="32">
        <v>118.6</v>
      </c>
      <c r="CA38" s="32">
        <v>106.1</v>
      </c>
      <c r="CB38" s="32">
        <v>93.8</v>
      </c>
      <c r="CC38" s="32">
        <v>132.1</v>
      </c>
      <c r="CD38" s="32">
        <v>52.4</v>
      </c>
      <c r="CE38" s="32">
        <v>103.9</v>
      </c>
      <c r="CF38" s="32">
        <v>64.099999999999994</v>
      </c>
      <c r="CG38" s="32">
        <v>79.900000000000006</v>
      </c>
      <c r="CH38" s="32">
        <v>77.099999999999994</v>
      </c>
      <c r="CI38" s="32">
        <v>87.7</v>
      </c>
      <c r="CJ38" s="32">
        <v>63.7</v>
      </c>
      <c r="CK38" s="32">
        <v>85.6</v>
      </c>
      <c r="CL38" s="32">
        <v>87.4</v>
      </c>
      <c r="CM38" s="32">
        <v>102.7</v>
      </c>
      <c r="CN38" s="32">
        <v>58.4</v>
      </c>
      <c r="CO38" s="32">
        <v>114.9</v>
      </c>
      <c r="CP38" s="32">
        <v>91.8</v>
      </c>
      <c r="CQ38" s="32">
        <v>20.6</v>
      </c>
      <c r="CR38" s="32">
        <v>95.2</v>
      </c>
      <c r="CS38" s="32">
        <v>110</v>
      </c>
      <c r="CT38" s="32">
        <v>83.1</v>
      </c>
      <c r="CU38" s="32">
        <v>62</v>
      </c>
      <c r="CV38" s="32">
        <v>92.7</v>
      </c>
      <c r="CW38" s="32">
        <v>15</v>
      </c>
      <c r="CX38" s="32">
        <v>65</v>
      </c>
      <c r="CY38" s="32">
        <v>68.599999999999994</v>
      </c>
      <c r="CZ38" s="32">
        <v>65.8</v>
      </c>
      <c r="DA38" s="32">
        <v>55.6</v>
      </c>
      <c r="DB38" s="32">
        <v>85.2</v>
      </c>
      <c r="DC38" s="32">
        <v>1.5</v>
      </c>
      <c r="DD38" s="32">
        <v>1.5</v>
      </c>
      <c r="DE38" s="32">
        <v>37.200000000000003</v>
      </c>
      <c r="DF38" s="32">
        <v>31.4</v>
      </c>
      <c r="DG38" s="32">
        <v>78.400000000000006</v>
      </c>
      <c r="DH38" s="32">
        <v>71.2</v>
      </c>
      <c r="DI38" s="32">
        <v>85</v>
      </c>
      <c r="DJ38" s="32">
        <v>112</v>
      </c>
      <c r="DK38" s="32">
        <v>112</v>
      </c>
      <c r="DL38" s="32">
        <v>34</v>
      </c>
      <c r="DM38" s="32">
        <v>67.8</v>
      </c>
      <c r="DN38" s="32">
        <v>44.8</v>
      </c>
      <c r="DO38" s="32">
        <v>78.7</v>
      </c>
      <c r="DP38" s="32">
        <v>27.7</v>
      </c>
      <c r="DQ38" s="32">
        <v>57.1</v>
      </c>
      <c r="DR38" s="32">
        <v>60.3</v>
      </c>
      <c r="DS38" s="32">
        <v>56.7</v>
      </c>
      <c r="DT38" s="32">
        <v>52.8</v>
      </c>
      <c r="DU38" s="32">
        <v>55.7</v>
      </c>
      <c r="DV38" s="32">
        <v>58.5</v>
      </c>
      <c r="DW38" s="32">
        <v>52.4</v>
      </c>
      <c r="DX38" s="32">
        <v>46.6</v>
      </c>
      <c r="DY38" s="32">
        <v>69.2</v>
      </c>
      <c r="DZ38" s="32">
        <v>107.9</v>
      </c>
      <c r="EA38" s="32">
        <v>107.9</v>
      </c>
      <c r="EB38" s="32">
        <v>56.7</v>
      </c>
      <c r="EC38" s="32">
        <v>56.7</v>
      </c>
      <c r="ED38" s="32">
        <v>57</v>
      </c>
      <c r="EE38" s="32">
        <v>60.2</v>
      </c>
      <c r="EF38" s="32">
        <v>48.5</v>
      </c>
      <c r="EG38" s="32">
        <v>52.4</v>
      </c>
      <c r="EH38" s="32">
        <v>61</v>
      </c>
      <c r="EI38" s="32">
        <v>45.3</v>
      </c>
      <c r="EJ38" s="32">
        <v>110.8</v>
      </c>
      <c r="EK38" s="32">
        <v>46</v>
      </c>
      <c r="EL38" s="32">
        <v>65.599999999999994</v>
      </c>
      <c r="EM38" s="32">
        <v>38.5</v>
      </c>
      <c r="EN38" s="32">
        <v>47.5</v>
      </c>
      <c r="EO38" s="32">
        <v>82.2</v>
      </c>
      <c r="EP38" s="32">
        <v>87.8</v>
      </c>
      <c r="EQ38" s="32">
        <v>87.8</v>
      </c>
      <c r="ER38" s="32">
        <v>97.6</v>
      </c>
      <c r="ES38" s="32">
        <v>97.6</v>
      </c>
      <c r="ET38" s="32">
        <v>67.599999999999994</v>
      </c>
      <c r="EU38" s="32">
        <v>64.3</v>
      </c>
      <c r="EV38" s="32">
        <v>64.3</v>
      </c>
      <c r="EW38" s="32">
        <v>76.400000000000006</v>
      </c>
      <c r="EX38" s="32">
        <v>90.2</v>
      </c>
      <c r="EY38" s="32">
        <v>65.599999999999994</v>
      </c>
      <c r="EZ38" s="32">
        <v>80.400000000000006</v>
      </c>
      <c r="FA38" s="32">
        <v>78.099999999999994</v>
      </c>
      <c r="FB38" s="32">
        <v>89.4</v>
      </c>
      <c r="FC38" s="32">
        <v>68.900000000000006</v>
      </c>
      <c r="FD38" s="32">
        <v>90.1</v>
      </c>
      <c r="FE38" s="32">
        <v>126.8</v>
      </c>
      <c r="FF38" s="32">
        <v>64.3</v>
      </c>
      <c r="FG38" s="32">
        <v>81.599999999999994</v>
      </c>
      <c r="FH38" s="32">
        <v>79.099999999999994</v>
      </c>
      <c r="FI38" s="32">
        <v>98.7</v>
      </c>
      <c r="FJ38" s="32">
        <v>80.400000000000006</v>
      </c>
      <c r="FK38" s="32">
        <v>88.5</v>
      </c>
      <c r="FL38" s="32">
        <v>88.5</v>
      </c>
    </row>
    <row r="39" spans="1:168" x14ac:dyDescent="0.2">
      <c r="A39" s="34" t="s">
        <v>1019</v>
      </c>
      <c r="B39" s="32">
        <v>70.3</v>
      </c>
      <c r="C39" s="32">
        <v>76.099999999999994</v>
      </c>
      <c r="D39" s="32">
        <v>94.8</v>
      </c>
      <c r="E39" s="32">
        <v>92</v>
      </c>
      <c r="F39" s="32">
        <v>366.3</v>
      </c>
      <c r="G39" s="32">
        <v>7595.3</v>
      </c>
      <c r="H39" s="32">
        <v>476.4</v>
      </c>
      <c r="I39" s="32">
        <v>59.8</v>
      </c>
      <c r="J39" s="32">
        <v>73.7</v>
      </c>
      <c r="K39" s="32">
        <v>90.2</v>
      </c>
      <c r="L39" s="32">
        <v>88.5</v>
      </c>
      <c r="M39" s="32">
        <v>94.8</v>
      </c>
      <c r="N39" s="32">
        <v>66.400000000000006</v>
      </c>
      <c r="O39" s="32">
        <v>154.5</v>
      </c>
      <c r="P39" s="32">
        <v>405.3</v>
      </c>
      <c r="Q39" s="32">
        <v>136.4</v>
      </c>
      <c r="R39" s="32">
        <v>72.900000000000006</v>
      </c>
      <c r="S39" s="32">
        <v>103.5</v>
      </c>
      <c r="T39" s="32">
        <v>88.1</v>
      </c>
      <c r="U39" s="32">
        <v>36.200000000000003</v>
      </c>
      <c r="V39" s="32">
        <v>127.6</v>
      </c>
      <c r="W39" s="32">
        <v>45.1</v>
      </c>
      <c r="X39" s="32">
        <v>30.9</v>
      </c>
      <c r="Y39" s="32">
        <v>57.2</v>
      </c>
      <c r="Z39" s="32">
        <v>132.80000000000001</v>
      </c>
      <c r="AA39" s="32">
        <v>63.5</v>
      </c>
      <c r="AB39" s="32">
        <v>64.900000000000006</v>
      </c>
      <c r="AC39" s="32">
        <v>54.9</v>
      </c>
      <c r="AD39" s="32">
        <v>74.7</v>
      </c>
      <c r="AE39" s="32">
        <v>139.4</v>
      </c>
      <c r="AF39" s="32">
        <v>139.4</v>
      </c>
      <c r="AG39" s="32">
        <v>57.5</v>
      </c>
      <c r="AH39" s="32">
        <v>57.5</v>
      </c>
      <c r="AI39" s="32">
        <v>225.1</v>
      </c>
      <c r="AJ39" s="32">
        <v>44.3</v>
      </c>
      <c r="AK39" s="32">
        <v>821.3</v>
      </c>
      <c r="AL39" s="32">
        <v>106.5</v>
      </c>
      <c r="AM39" s="32">
        <v>21</v>
      </c>
      <c r="AN39" s="32">
        <v>93.5</v>
      </c>
      <c r="AO39" s="32">
        <v>100.2</v>
      </c>
      <c r="AP39" s="32">
        <v>100.2</v>
      </c>
      <c r="AQ39" s="32">
        <v>94.7</v>
      </c>
      <c r="AR39" s="32">
        <v>95.4</v>
      </c>
      <c r="AS39" s="32">
        <v>94.6</v>
      </c>
      <c r="AT39" s="32">
        <v>107.5</v>
      </c>
      <c r="AU39" s="32">
        <v>82.1</v>
      </c>
      <c r="AV39" s="32">
        <v>112.5</v>
      </c>
      <c r="AW39" s="32">
        <v>206.3</v>
      </c>
      <c r="AX39" s="32">
        <v>185.1</v>
      </c>
      <c r="AY39" s="32">
        <v>405</v>
      </c>
      <c r="AZ39" s="32">
        <v>94.6</v>
      </c>
      <c r="BA39" s="32">
        <v>20.9</v>
      </c>
      <c r="BB39" s="32">
        <v>20.9</v>
      </c>
      <c r="BC39" s="32">
        <v>82.3</v>
      </c>
      <c r="BD39" s="32">
        <v>82.3</v>
      </c>
      <c r="BE39" s="32">
        <v>89.1</v>
      </c>
      <c r="BF39" s="32">
        <v>89.1</v>
      </c>
      <c r="BG39" s="32">
        <v>68.3</v>
      </c>
      <c r="BH39" s="32">
        <v>54.6</v>
      </c>
      <c r="BI39" s="32">
        <v>81.599999999999994</v>
      </c>
      <c r="BJ39" s="32">
        <v>55</v>
      </c>
      <c r="BK39" s="32">
        <v>104</v>
      </c>
      <c r="BL39" s="32">
        <v>19.3</v>
      </c>
      <c r="BM39" s="32">
        <v>85.6</v>
      </c>
      <c r="BN39" s="32">
        <v>78.599999999999994</v>
      </c>
      <c r="BO39" s="32">
        <v>89.1</v>
      </c>
      <c r="BP39" s="32">
        <v>70.599999999999994</v>
      </c>
      <c r="BQ39" s="32">
        <v>97.1</v>
      </c>
      <c r="BR39" s="32">
        <v>82.5</v>
      </c>
      <c r="BS39" s="32">
        <v>220.2</v>
      </c>
      <c r="BT39" s="32">
        <v>72.7</v>
      </c>
      <c r="BU39" s="32">
        <v>113.2</v>
      </c>
      <c r="BV39" s="32">
        <v>113.2</v>
      </c>
      <c r="BW39" s="32">
        <v>137.1</v>
      </c>
      <c r="BX39" s="32">
        <v>107.1</v>
      </c>
      <c r="BY39" s="32">
        <v>111.9</v>
      </c>
      <c r="BZ39" s="32">
        <v>113</v>
      </c>
      <c r="CA39" s="32">
        <v>111.8</v>
      </c>
      <c r="CB39" s="32">
        <v>99.9</v>
      </c>
      <c r="CC39" s="32">
        <v>137.4</v>
      </c>
      <c r="CD39" s="32">
        <v>55.3</v>
      </c>
      <c r="CE39" s="32">
        <v>103.3</v>
      </c>
      <c r="CF39" s="32">
        <v>64.8</v>
      </c>
      <c r="CG39" s="32">
        <v>80.599999999999994</v>
      </c>
      <c r="CH39" s="32">
        <v>78.3</v>
      </c>
      <c r="CI39" s="32">
        <v>93.2</v>
      </c>
      <c r="CJ39" s="32">
        <v>64.3</v>
      </c>
      <c r="CK39" s="32">
        <v>86.3</v>
      </c>
      <c r="CL39" s="32">
        <v>86.4</v>
      </c>
      <c r="CM39" s="32">
        <v>101.6</v>
      </c>
      <c r="CN39" s="32">
        <v>58.8</v>
      </c>
      <c r="CO39" s="32">
        <v>113.5</v>
      </c>
      <c r="CP39" s="32">
        <v>93</v>
      </c>
      <c r="CQ39" s="32">
        <v>21.5</v>
      </c>
      <c r="CR39" s="32">
        <v>95.5</v>
      </c>
      <c r="CS39" s="32">
        <v>101.4</v>
      </c>
      <c r="CT39" s="32">
        <v>84.2</v>
      </c>
      <c r="CU39" s="32">
        <v>63</v>
      </c>
      <c r="CV39" s="32">
        <v>93.8</v>
      </c>
      <c r="CW39" s="32">
        <v>15</v>
      </c>
      <c r="CX39" s="32">
        <v>65</v>
      </c>
      <c r="CY39" s="32">
        <v>68.400000000000006</v>
      </c>
      <c r="CZ39" s="32">
        <v>65.8</v>
      </c>
      <c r="DA39" s="32">
        <v>55.2</v>
      </c>
      <c r="DB39" s="32">
        <v>86.5</v>
      </c>
      <c r="DC39" s="32">
        <v>1.5</v>
      </c>
      <c r="DD39" s="32">
        <v>1.5</v>
      </c>
      <c r="DE39" s="32">
        <v>36.5</v>
      </c>
      <c r="DF39" s="32">
        <v>31</v>
      </c>
      <c r="DG39" s="32">
        <v>76</v>
      </c>
      <c r="DH39" s="32">
        <v>73.599999999999994</v>
      </c>
      <c r="DI39" s="32">
        <v>88.6</v>
      </c>
      <c r="DJ39" s="32">
        <v>112.3</v>
      </c>
      <c r="DK39" s="32">
        <v>112.3</v>
      </c>
      <c r="DL39" s="32">
        <v>36.299999999999997</v>
      </c>
      <c r="DM39" s="32">
        <v>67.599999999999994</v>
      </c>
      <c r="DN39" s="32">
        <v>44.6</v>
      </c>
      <c r="DO39" s="32">
        <v>78.5</v>
      </c>
      <c r="DP39" s="32">
        <v>28.2</v>
      </c>
      <c r="DQ39" s="32">
        <v>59.4</v>
      </c>
      <c r="DR39" s="32">
        <v>62.9</v>
      </c>
      <c r="DS39" s="32">
        <v>59.3</v>
      </c>
      <c r="DT39" s="32">
        <v>56.3</v>
      </c>
      <c r="DU39" s="32">
        <v>59.2</v>
      </c>
      <c r="DV39" s="32">
        <v>59.3</v>
      </c>
      <c r="DW39" s="32">
        <v>58.9</v>
      </c>
      <c r="DX39" s="32">
        <v>50</v>
      </c>
      <c r="DY39" s="32">
        <v>68.900000000000006</v>
      </c>
      <c r="DZ39" s="32">
        <v>108.3</v>
      </c>
      <c r="EA39" s="32">
        <v>108.3</v>
      </c>
      <c r="EB39" s="32">
        <v>59.9</v>
      </c>
      <c r="EC39" s="32">
        <v>60</v>
      </c>
      <c r="ED39" s="32">
        <v>60.1</v>
      </c>
      <c r="EE39" s="32">
        <v>64.400000000000006</v>
      </c>
      <c r="EF39" s="32">
        <v>48.9</v>
      </c>
      <c r="EG39" s="32">
        <v>54</v>
      </c>
      <c r="EH39" s="32">
        <v>62.6</v>
      </c>
      <c r="EI39" s="32">
        <v>45.2</v>
      </c>
      <c r="EJ39" s="32">
        <v>118.3</v>
      </c>
      <c r="EK39" s="32">
        <v>48.6</v>
      </c>
      <c r="EL39" s="32">
        <v>71.099999999999994</v>
      </c>
      <c r="EM39" s="32">
        <v>38.4</v>
      </c>
      <c r="EN39" s="32">
        <v>51.5</v>
      </c>
      <c r="EO39" s="32">
        <v>82.1</v>
      </c>
      <c r="EP39" s="32">
        <v>87.3</v>
      </c>
      <c r="EQ39" s="32">
        <v>87.3</v>
      </c>
      <c r="ER39" s="32">
        <v>97.8</v>
      </c>
      <c r="ES39" s="32">
        <v>97.8</v>
      </c>
      <c r="ET39" s="32">
        <v>67.7</v>
      </c>
      <c r="EU39" s="32">
        <v>64.400000000000006</v>
      </c>
      <c r="EV39" s="32">
        <v>64.400000000000006</v>
      </c>
      <c r="EW39" s="32">
        <v>76.400000000000006</v>
      </c>
      <c r="EX39" s="32">
        <v>90.6</v>
      </c>
      <c r="EY39" s="32">
        <v>65.3</v>
      </c>
      <c r="EZ39" s="32">
        <v>81.5</v>
      </c>
      <c r="FA39" s="32">
        <v>79</v>
      </c>
      <c r="FB39" s="32">
        <v>90.3</v>
      </c>
      <c r="FC39" s="32">
        <v>71.599999999999994</v>
      </c>
      <c r="FD39" s="32">
        <v>90.7</v>
      </c>
      <c r="FE39" s="32">
        <v>123.6</v>
      </c>
      <c r="FF39" s="32">
        <v>65.2</v>
      </c>
      <c r="FG39" s="32">
        <v>82.5</v>
      </c>
      <c r="FH39" s="32">
        <v>71.8</v>
      </c>
      <c r="FI39" s="32">
        <v>99.4</v>
      </c>
      <c r="FJ39" s="32">
        <v>84.6</v>
      </c>
      <c r="FK39" s="32">
        <v>92</v>
      </c>
      <c r="FL39" s="32">
        <v>92</v>
      </c>
    </row>
    <row r="40" spans="1:168" x14ac:dyDescent="0.2">
      <c r="A40" s="34" t="s">
        <v>1020</v>
      </c>
      <c r="B40" s="32">
        <v>70.7</v>
      </c>
      <c r="C40" s="32">
        <v>76.5</v>
      </c>
      <c r="D40" s="32">
        <v>95.3</v>
      </c>
      <c r="E40" s="32">
        <v>92.7</v>
      </c>
      <c r="F40" s="32">
        <v>369.9</v>
      </c>
      <c r="G40" s="32">
        <v>6775.4</v>
      </c>
      <c r="H40" s="32">
        <v>483.3</v>
      </c>
      <c r="I40" s="32">
        <v>60.2</v>
      </c>
      <c r="J40" s="32">
        <v>74.5</v>
      </c>
      <c r="K40" s="32">
        <v>90.5</v>
      </c>
      <c r="L40" s="32">
        <v>88.5</v>
      </c>
      <c r="M40" s="32">
        <v>89.4</v>
      </c>
      <c r="N40" s="32">
        <v>66.599999999999994</v>
      </c>
      <c r="O40" s="32">
        <v>149.1</v>
      </c>
      <c r="P40" s="32">
        <v>405.9</v>
      </c>
      <c r="Q40" s="32">
        <v>132.1</v>
      </c>
      <c r="R40" s="32">
        <v>72.2</v>
      </c>
      <c r="S40" s="32">
        <v>107</v>
      </c>
      <c r="T40" s="32">
        <v>87.4</v>
      </c>
      <c r="U40" s="32">
        <v>36.700000000000003</v>
      </c>
      <c r="V40" s="32">
        <v>129.4</v>
      </c>
      <c r="W40" s="32">
        <v>44.4</v>
      </c>
      <c r="X40" s="32">
        <v>30.2</v>
      </c>
      <c r="Y40" s="32">
        <v>55.7</v>
      </c>
      <c r="Z40" s="32">
        <v>140.30000000000001</v>
      </c>
      <c r="AA40" s="32">
        <v>63.8</v>
      </c>
      <c r="AB40" s="32">
        <v>69</v>
      </c>
      <c r="AC40" s="32">
        <v>54.4</v>
      </c>
      <c r="AD40" s="32">
        <v>73.900000000000006</v>
      </c>
      <c r="AE40" s="32">
        <v>155.30000000000001</v>
      </c>
      <c r="AF40" s="32">
        <v>155.30000000000001</v>
      </c>
      <c r="AG40" s="32">
        <v>58.5</v>
      </c>
      <c r="AH40" s="32">
        <v>58.5</v>
      </c>
      <c r="AI40" s="32">
        <v>233.1</v>
      </c>
      <c r="AJ40" s="32">
        <v>44.1</v>
      </c>
      <c r="AK40" s="32">
        <v>845.9</v>
      </c>
      <c r="AL40" s="32">
        <v>104.7</v>
      </c>
      <c r="AM40" s="32">
        <v>22.9</v>
      </c>
      <c r="AN40" s="32">
        <v>92.5</v>
      </c>
      <c r="AO40" s="32">
        <v>101.5</v>
      </c>
      <c r="AP40" s="32">
        <v>101.5</v>
      </c>
      <c r="AQ40" s="32">
        <v>98.7</v>
      </c>
      <c r="AR40" s="32">
        <v>99.7</v>
      </c>
      <c r="AS40" s="32">
        <v>97.9</v>
      </c>
      <c r="AT40" s="32">
        <v>112.1</v>
      </c>
      <c r="AU40" s="32">
        <v>84.3</v>
      </c>
      <c r="AV40" s="32">
        <v>112.4</v>
      </c>
      <c r="AW40" s="32">
        <v>209.7</v>
      </c>
      <c r="AX40" s="32">
        <v>195.7</v>
      </c>
      <c r="AY40" s="32">
        <v>398.4</v>
      </c>
      <c r="AZ40" s="32">
        <v>93.9</v>
      </c>
      <c r="BA40" s="32">
        <v>20.8</v>
      </c>
      <c r="BB40" s="32">
        <v>20.8</v>
      </c>
      <c r="BC40" s="32">
        <v>86.6</v>
      </c>
      <c r="BD40" s="32">
        <v>86.6</v>
      </c>
      <c r="BE40" s="32">
        <v>88.5</v>
      </c>
      <c r="BF40" s="32">
        <v>88.5</v>
      </c>
      <c r="BG40" s="32">
        <v>69.2</v>
      </c>
      <c r="BH40" s="32">
        <v>55.8</v>
      </c>
      <c r="BI40" s="32">
        <v>82.2</v>
      </c>
      <c r="BJ40" s="32">
        <v>52.8</v>
      </c>
      <c r="BK40" s="32">
        <v>105.3</v>
      </c>
      <c r="BL40" s="32">
        <v>20.6</v>
      </c>
      <c r="BM40" s="32">
        <v>87.2</v>
      </c>
      <c r="BN40" s="32">
        <v>77.7</v>
      </c>
      <c r="BO40" s="32">
        <v>90.2</v>
      </c>
      <c r="BP40" s="32">
        <v>68.3</v>
      </c>
      <c r="BQ40" s="32">
        <v>102.6</v>
      </c>
      <c r="BR40" s="32">
        <v>114.4</v>
      </c>
      <c r="BS40" s="32">
        <v>217.6</v>
      </c>
      <c r="BT40" s="32">
        <v>75.7</v>
      </c>
      <c r="BU40" s="32">
        <v>108.5</v>
      </c>
      <c r="BV40" s="32">
        <v>108.5</v>
      </c>
      <c r="BW40" s="32">
        <v>131.80000000000001</v>
      </c>
      <c r="BX40" s="32">
        <v>101.9</v>
      </c>
      <c r="BY40" s="32">
        <v>113.4</v>
      </c>
      <c r="BZ40" s="32">
        <v>116.8</v>
      </c>
      <c r="CA40" s="32">
        <v>112</v>
      </c>
      <c r="CB40" s="32">
        <v>100.2</v>
      </c>
      <c r="CC40" s="32">
        <v>137.6</v>
      </c>
      <c r="CD40" s="32">
        <v>52.6</v>
      </c>
      <c r="CE40" s="32">
        <v>103.1</v>
      </c>
      <c r="CF40" s="32">
        <v>65.099999999999994</v>
      </c>
      <c r="CG40" s="32">
        <v>81.400000000000006</v>
      </c>
      <c r="CH40" s="32">
        <v>79.7</v>
      </c>
      <c r="CI40" s="32">
        <v>91.9</v>
      </c>
      <c r="CJ40" s="32">
        <v>66.7</v>
      </c>
      <c r="CK40" s="32">
        <v>87.2</v>
      </c>
      <c r="CL40" s="32">
        <v>85.9</v>
      </c>
      <c r="CM40" s="32">
        <v>100.2</v>
      </c>
      <c r="CN40" s="32">
        <v>59.5</v>
      </c>
      <c r="CO40" s="32">
        <v>111.5</v>
      </c>
      <c r="CP40" s="32">
        <v>95.2</v>
      </c>
      <c r="CQ40" s="32">
        <v>21.8</v>
      </c>
      <c r="CR40" s="32">
        <v>93.4</v>
      </c>
      <c r="CS40" s="32">
        <v>102.8</v>
      </c>
      <c r="CT40" s="32">
        <v>84.5</v>
      </c>
      <c r="CU40" s="32">
        <v>62.8</v>
      </c>
      <c r="CV40" s="32">
        <v>94.3</v>
      </c>
      <c r="CW40" s="32">
        <v>15.5</v>
      </c>
      <c r="CX40" s="32">
        <v>64.900000000000006</v>
      </c>
      <c r="CY40" s="32">
        <v>70.099999999999994</v>
      </c>
      <c r="CZ40" s="32">
        <v>64.2</v>
      </c>
      <c r="DA40" s="32">
        <v>53.3</v>
      </c>
      <c r="DB40" s="32">
        <v>86.1</v>
      </c>
      <c r="DC40" s="32">
        <v>1.6</v>
      </c>
      <c r="DD40" s="32">
        <v>1.6</v>
      </c>
      <c r="DE40" s="32">
        <v>37.5</v>
      </c>
      <c r="DF40" s="32">
        <v>31.8</v>
      </c>
      <c r="DG40" s="32">
        <v>78.5</v>
      </c>
      <c r="DH40" s="32">
        <v>74</v>
      </c>
      <c r="DI40" s="32">
        <v>87.9</v>
      </c>
      <c r="DJ40" s="32">
        <v>113.9</v>
      </c>
      <c r="DK40" s="32">
        <v>113.9</v>
      </c>
      <c r="DL40" s="32">
        <v>38.299999999999997</v>
      </c>
      <c r="DM40" s="32">
        <v>67.7</v>
      </c>
      <c r="DN40" s="32">
        <v>44.2</v>
      </c>
      <c r="DO40" s="32">
        <v>78.7</v>
      </c>
      <c r="DP40" s="32">
        <v>29.5</v>
      </c>
      <c r="DQ40" s="32">
        <v>59.6</v>
      </c>
      <c r="DR40" s="32">
        <v>63.2</v>
      </c>
      <c r="DS40" s="32">
        <v>59.7</v>
      </c>
      <c r="DT40" s="32">
        <v>55.8</v>
      </c>
      <c r="DU40" s="32">
        <v>57.6</v>
      </c>
      <c r="DV40" s="32">
        <v>59.6</v>
      </c>
      <c r="DW40" s="32">
        <v>55.3</v>
      </c>
      <c r="DX40" s="32">
        <v>52</v>
      </c>
      <c r="DY40" s="32">
        <v>72.3</v>
      </c>
      <c r="DZ40" s="32">
        <v>104.8</v>
      </c>
      <c r="EA40" s="32">
        <v>104.8</v>
      </c>
      <c r="EB40" s="32">
        <v>60.6</v>
      </c>
      <c r="EC40" s="32">
        <v>59.9</v>
      </c>
      <c r="ED40" s="32">
        <v>62</v>
      </c>
      <c r="EE40" s="32">
        <v>66.900000000000006</v>
      </c>
      <c r="EF40" s="32">
        <v>49.2</v>
      </c>
      <c r="EG40" s="32">
        <v>54.3</v>
      </c>
      <c r="EH40" s="32">
        <v>61.1</v>
      </c>
      <c r="EI40" s="32">
        <v>44.8</v>
      </c>
      <c r="EJ40" s="32">
        <v>129.19999999999999</v>
      </c>
      <c r="EK40" s="32">
        <v>49.4</v>
      </c>
      <c r="EL40" s="32">
        <v>75.599999999999994</v>
      </c>
      <c r="EM40" s="32">
        <v>37.700000000000003</v>
      </c>
      <c r="EN40" s="32">
        <v>52.9</v>
      </c>
      <c r="EO40" s="32">
        <v>82</v>
      </c>
      <c r="EP40" s="32">
        <v>87.1</v>
      </c>
      <c r="EQ40" s="32">
        <v>87.1</v>
      </c>
      <c r="ER40" s="32">
        <v>97.6</v>
      </c>
      <c r="ES40" s="32">
        <v>97.6</v>
      </c>
      <c r="ET40" s="32">
        <v>67.5</v>
      </c>
      <c r="EU40" s="32">
        <v>64.2</v>
      </c>
      <c r="EV40" s="32">
        <v>64.2</v>
      </c>
      <c r="EW40" s="32">
        <v>76.400000000000006</v>
      </c>
      <c r="EX40" s="32">
        <v>91.1</v>
      </c>
      <c r="EY40" s="32">
        <v>64.900000000000006</v>
      </c>
      <c r="EZ40" s="32">
        <v>81.5</v>
      </c>
      <c r="FA40" s="32">
        <v>80.5</v>
      </c>
      <c r="FB40" s="32">
        <v>92.8</v>
      </c>
      <c r="FC40" s="32">
        <v>76.8</v>
      </c>
      <c r="FD40" s="32">
        <v>91.8</v>
      </c>
      <c r="FE40" s="32">
        <v>120.4</v>
      </c>
      <c r="FF40" s="32">
        <v>65.599999999999994</v>
      </c>
      <c r="FG40" s="32">
        <v>81.099999999999994</v>
      </c>
      <c r="FH40" s="32">
        <v>68.400000000000006</v>
      </c>
      <c r="FI40" s="32">
        <v>107.7</v>
      </c>
      <c r="FJ40" s="32">
        <v>82.8</v>
      </c>
      <c r="FK40" s="32">
        <v>93.9</v>
      </c>
      <c r="FL40" s="32">
        <v>93.9</v>
      </c>
    </row>
    <row r="41" spans="1:168" x14ac:dyDescent="0.2">
      <c r="A41" s="34" t="s">
        <v>1021</v>
      </c>
      <c r="B41" s="32">
        <v>70.599999999999994</v>
      </c>
      <c r="C41" s="32">
        <v>76.8</v>
      </c>
      <c r="D41" s="32">
        <v>94.4</v>
      </c>
      <c r="E41" s="32">
        <v>91.5</v>
      </c>
      <c r="F41" s="32">
        <v>358.6</v>
      </c>
      <c r="G41" s="32">
        <v>6391.1</v>
      </c>
      <c r="H41" s="32">
        <v>467.6</v>
      </c>
      <c r="I41" s="32">
        <v>59.1</v>
      </c>
      <c r="J41" s="32">
        <v>73.7</v>
      </c>
      <c r="K41" s="32">
        <v>89.1</v>
      </c>
      <c r="L41" s="32">
        <v>87.2</v>
      </c>
      <c r="M41" s="32">
        <v>87.8</v>
      </c>
      <c r="N41" s="32">
        <v>68.599999999999994</v>
      </c>
      <c r="O41" s="32">
        <v>148.5</v>
      </c>
      <c r="P41" s="32">
        <v>382.9</v>
      </c>
      <c r="Q41" s="32">
        <v>131.9</v>
      </c>
      <c r="R41" s="32">
        <v>73.099999999999994</v>
      </c>
      <c r="S41" s="32">
        <v>104.5</v>
      </c>
      <c r="T41" s="32">
        <v>81.8</v>
      </c>
      <c r="U41" s="32">
        <v>35.5</v>
      </c>
      <c r="V41" s="32">
        <v>127.1</v>
      </c>
      <c r="W41" s="32">
        <v>44.7</v>
      </c>
      <c r="X41" s="32">
        <v>30.8</v>
      </c>
      <c r="Y41" s="32">
        <v>55.8</v>
      </c>
      <c r="Z41" s="32">
        <v>136.30000000000001</v>
      </c>
      <c r="AA41" s="32">
        <v>63.5</v>
      </c>
      <c r="AB41" s="32">
        <v>71.2</v>
      </c>
      <c r="AC41" s="32">
        <v>53.1</v>
      </c>
      <c r="AD41" s="32">
        <v>73.2</v>
      </c>
      <c r="AE41" s="32">
        <v>146.69999999999999</v>
      </c>
      <c r="AF41" s="32">
        <v>146.69999999999999</v>
      </c>
      <c r="AG41" s="32">
        <v>57.9</v>
      </c>
      <c r="AH41" s="32">
        <v>57.9</v>
      </c>
      <c r="AI41" s="32">
        <v>235.4</v>
      </c>
      <c r="AJ41" s="32">
        <v>43.5</v>
      </c>
      <c r="AK41" s="32">
        <v>815.6</v>
      </c>
      <c r="AL41" s="32">
        <v>103.6</v>
      </c>
      <c r="AM41" s="32">
        <v>22.9</v>
      </c>
      <c r="AN41" s="32">
        <v>91</v>
      </c>
      <c r="AO41" s="32">
        <v>91.9</v>
      </c>
      <c r="AP41" s="32">
        <v>91.9</v>
      </c>
      <c r="AQ41" s="32">
        <v>95.4</v>
      </c>
      <c r="AR41" s="32">
        <v>95.4</v>
      </c>
      <c r="AS41" s="32">
        <v>96.2</v>
      </c>
      <c r="AT41" s="32">
        <v>110.4</v>
      </c>
      <c r="AU41" s="32">
        <v>82.5</v>
      </c>
      <c r="AV41" s="32">
        <v>111.3</v>
      </c>
      <c r="AW41" s="32">
        <v>211.2</v>
      </c>
      <c r="AX41" s="32">
        <v>203.8</v>
      </c>
      <c r="AY41" s="32">
        <v>390.1</v>
      </c>
      <c r="AZ41" s="32">
        <v>92.2</v>
      </c>
      <c r="BA41" s="32">
        <v>20.7</v>
      </c>
      <c r="BB41" s="32">
        <v>20.7</v>
      </c>
      <c r="BC41" s="32">
        <v>89.2</v>
      </c>
      <c r="BD41" s="32">
        <v>89.2</v>
      </c>
      <c r="BE41" s="32">
        <v>90.3</v>
      </c>
      <c r="BF41" s="32">
        <v>90.3</v>
      </c>
      <c r="BG41" s="32">
        <v>70.5</v>
      </c>
      <c r="BH41" s="32">
        <v>57.8</v>
      </c>
      <c r="BI41" s="32">
        <v>82.5</v>
      </c>
      <c r="BJ41" s="32">
        <v>48.6</v>
      </c>
      <c r="BK41" s="32">
        <v>107.5</v>
      </c>
      <c r="BL41" s="32">
        <v>21.1</v>
      </c>
      <c r="BM41" s="32">
        <v>85.2</v>
      </c>
      <c r="BN41" s="32">
        <v>77</v>
      </c>
      <c r="BO41" s="32">
        <v>88.5</v>
      </c>
      <c r="BP41" s="32">
        <v>68.400000000000006</v>
      </c>
      <c r="BQ41" s="32">
        <v>98.5</v>
      </c>
      <c r="BR41" s="32">
        <v>49.5</v>
      </c>
      <c r="BS41" s="32">
        <v>238.8</v>
      </c>
      <c r="BT41" s="32">
        <v>75.7</v>
      </c>
      <c r="BU41" s="32">
        <v>104.8</v>
      </c>
      <c r="BV41" s="32">
        <v>104.8</v>
      </c>
      <c r="BW41" s="32">
        <v>128.5</v>
      </c>
      <c r="BX41" s="32">
        <v>96</v>
      </c>
      <c r="BY41" s="32">
        <v>113.5</v>
      </c>
      <c r="BZ41" s="32">
        <v>114.4</v>
      </c>
      <c r="CA41" s="32">
        <v>113.5</v>
      </c>
      <c r="CB41" s="32">
        <v>103.1</v>
      </c>
      <c r="CC41" s="32">
        <v>137.19999999999999</v>
      </c>
      <c r="CD41" s="32">
        <v>49.2</v>
      </c>
      <c r="CE41" s="32">
        <v>103.4</v>
      </c>
      <c r="CF41" s="32">
        <v>65.2</v>
      </c>
      <c r="CG41" s="32">
        <v>82.6</v>
      </c>
      <c r="CH41" s="32">
        <v>81.2</v>
      </c>
      <c r="CI41" s="32">
        <v>93.4</v>
      </c>
      <c r="CJ41" s="32">
        <v>68.7</v>
      </c>
      <c r="CK41" s="32">
        <v>88.2</v>
      </c>
      <c r="CL41" s="32">
        <v>86.8</v>
      </c>
      <c r="CM41" s="32">
        <v>98.3</v>
      </c>
      <c r="CN41" s="32">
        <v>60.5</v>
      </c>
      <c r="CO41" s="32">
        <v>108.8</v>
      </c>
      <c r="CP41" s="32">
        <v>98.2</v>
      </c>
      <c r="CQ41" s="32">
        <v>22.4</v>
      </c>
      <c r="CR41" s="32">
        <v>94.2</v>
      </c>
      <c r="CS41" s="32">
        <v>110.2</v>
      </c>
      <c r="CT41" s="32">
        <v>84.7</v>
      </c>
      <c r="CU41" s="32">
        <v>60.8</v>
      </c>
      <c r="CV41" s="32">
        <v>95.6</v>
      </c>
      <c r="CW41" s="32">
        <v>15.6</v>
      </c>
      <c r="CX41" s="32">
        <v>64.400000000000006</v>
      </c>
      <c r="CY41" s="32">
        <v>69.8</v>
      </c>
      <c r="CZ41" s="32">
        <v>63.4</v>
      </c>
      <c r="DA41" s="32">
        <v>52.1</v>
      </c>
      <c r="DB41" s="32">
        <v>86.4</v>
      </c>
      <c r="DC41" s="32">
        <v>1.7</v>
      </c>
      <c r="DD41" s="32">
        <v>1.7</v>
      </c>
      <c r="DE41" s="32">
        <v>37.299999999999997</v>
      </c>
      <c r="DF41" s="32">
        <v>31.8</v>
      </c>
      <c r="DG41" s="32">
        <v>75.900000000000006</v>
      </c>
      <c r="DH41" s="32">
        <v>72.2</v>
      </c>
      <c r="DI41" s="32">
        <v>82.2</v>
      </c>
      <c r="DJ41" s="32">
        <v>114.4</v>
      </c>
      <c r="DK41" s="32">
        <v>114.4</v>
      </c>
      <c r="DL41" s="32">
        <v>41.3</v>
      </c>
      <c r="DM41" s="32">
        <v>67.5</v>
      </c>
      <c r="DN41" s="32">
        <v>43.4</v>
      </c>
      <c r="DO41" s="32">
        <v>78.599999999999994</v>
      </c>
      <c r="DP41" s="32">
        <v>30.1</v>
      </c>
      <c r="DQ41" s="32">
        <v>59.4</v>
      </c>
      <c r="DR41" s="32">
        <v>62.6</v>
      </c>
      <c r="DS41" s="32">
        <v>59.6</v>
      </c>
      <c r="DT41" s="32">
        <v>54.8</v>
      </c>
      <c r="DU41" s="32">
        <v>56.5</v>
      </c>
      <c r="DV41" s="32">
        <v>61.2</v>
      </c>
      <c r="DW41" s="32">
        <v>51</v>
      </c>
      <c r="DX41" s="32">
        <v>51.3</v>
      </c>
      <c r="DY41" s="32">
        <v>75.099999999999994</v>
      </c>
      <c r="DZ41" s="32">
        <v>105.9</v>
      </c>
      <c r="EA41" s="32">
        <v>105.9</v>
      </c>
      <c r="EB41" s="32">
        <v>58.2</v>
      </c>
      <c r="EC41" s="32">
        <v>55.2</v>
      </c>
      <c r="ED41" s="32">
        <v>62.6</v>
      </c>
      <c r="EE41" s="32">
        <v>67.599999999999994</v>
      </c>
      <c r="EF41" s="32">
        <v>49.5</v>
      </c>
      <c r="EG41" s="32">
        <v>54.5</v>
      </c>
      <c r="EH41" s="32">
        <v>61.7</v>
      </c>
      <c r="EI41" s="32">
        <v>44.7</v>
      </c>
      <c r="EJ41" s="32">
        <v>127.1</v>
      </c>
      <c r="EK41" s="32">
        <v>49.8</v>
      </c>
      <c r="EL41" s="32">
        <v>78.8</v>
      </c>
      <c r="EM41" s="32">
        <v>38.200000000000003</v>
      </c>
      <c r="EN41" s="32">
        <v>52.6</v>
      </c>
      <c r="EO41" s="32">
        <v>81.7</v>
      </c>
      <c r="EP41" s="32">
        <v>86.9</v>
      </c>
      <c r="EQ41" s="32">
        <v>86.9</v>
      </c>
      <c r="ER41" s="32">
        <v>97.4</v>
      </c>
      <c r="ES41" s="32">
        <v>97.4</v>
      </c>
      <c r="ET41" s="32">
        <v>67.099999999999994</v>
      </c>
      <c r="EU41" s="32">
        <v>63.7</v>
      </c>
      <c r="EV41" s="32">
        <v>63.7</v>
      </c>
      <c r="EW41" s="32">
        <v>76.400000000000006</v>
      </c>
      <c r="EX41" s="32">
        <v>91.6</v>
      </c>
      <c r="EY41" s="32">
        <v>64.5</v>
      </c>
      <c r="EZ41" s="32">
        <v>82.4</v>
      </c>
      <c r="FA41" s="32">
        <v>81.400000000000006</v>
      </c>
      <c r="FB41" s="32">
        <v>94.2</v>
      </c>
      <c r="FC41" s="32">
        <v>80.5</v>
      </c>
      <c r="FD41" s="32">
        <v>93.3</v>
      </c>
      <c r="FE41" s="32">
        <v>116.7</v>
      </c>
      <c r="FF41" s="32">
        <v>65.8</v>
      </c>
      <c r="FG41" s="32">
        <v>82.6</v>
      </c>
      <c r="FH41" s="32">
        <v>73.2</v>
      </c>
      <c r="FI41" s="32">
        <v>108.3</v>
      </c>
      <c r="FJ41" s="32">
        <v>83</v>
      </c>
      <c r="FK41" s="32">
        <v>88.7</v>
      </c>
      <c r="FL41" s="32">
        <v>88.7</v>
      </c>
    </row>
    <row r="42" spans="1:168" x14ac:dyDescent="0.2">
      <c r="A42" s="34" t="s">
        <v>1022</v>
      </c>
      <c r="B42" s="32">
        <v>71.599999999999994</v>
      </c>
      <c r="C42" s="32">
        <v>77.7</v>
      </c>
      <c r="D42" s="32">
        <v>95.3</v>
      </c>
      <c r="E42" s="32">
        <v>92.3</v>
      </c>
      <c r="F42" s="32">
        <v>357.9</v>
      </c>
      <c r="G42" s="32">
        <v>5091</v>
      </c>
      <c r="H42" s="32">
        <v>467.2</v>
      </c>
      <c r="I42" s="32">
        <v>60.5</v>
      </c>
      <c r="J42" s="32">
        <v>74.599999999999994</v>
      </c>
      <c r="K42" s="32">
        <v>91.3</v>
      </c>
      <c r="L42" s="32">
        <v>90.6</v>
      </c>
      <c r="M42" s="32">
        <v>95.8</v>
      </c>
      <c r="N42" s="32">
        <v>65.400000000000006</v>
      </c>
      <c r="O42" s="32">
        <v>174.7</v>
      </c>
      <c r="P42" s="32">
        <v>400.7</v>
      </c>
      <c r="Q42" s="32">
        <v>138</v>
      </c>
      <c r="R42" s="32">
        <v>76.8</v>
      </c>
      <c r="S42" s="32">
        <v>109</v>
      </c>
      <c r="T42" s="32">
        <v>79.400000000000006</v>
      </c>
      <c r="U42" s="32">
        <v>34</v>
      </c>
      <c r="V42" s="32">
        <v>125.1</v>
      </c>
      <c r="W42" s="32">
        <v>44.6</v>
      </c>
      <c r="X42" s="32">
        <v>30.9</v>
      </c>
      <c r="Y42" s="32">
        <v>56.4</v>
      </c>
      <c r="Z42" s="32">
        <v>127.5</v>
      </c>
      <c r="AA42" s="32">
        <v>63.9</v>
      </c>
      <c r="AB42" s="32">
        <v>69.599999999999994</v>
      </c>
      <c r="AC42" s="32">
        <v>52.1</v>
      </c>
      <c r="AD42" s="32">
        <v>75.900000000000006</v>
      </c>
      <c r="AE42" s="32">
        <v>156.69999999999999</v>
      </c>
      <c r="AF42" s="32">
        <v>156.69999999999999</v>
      </c>
      <c r="AG42" s="32">
        <v>56.2</v>
      </c>
      <c r="AH42" s="32">
        <v>56.2</v>
      </c>
      <c r="AI42" s="32">
        <v>238.1</v>
      </c>
      <c r="AJ42" s="32">
        <v>41.5</v>
      </c>
      <c r="AK42" s="32">
        <v>843.8</v>
      </c>
      <c r="AL42" s="32">
        <v>104</v>
      </c>
      <c r="AM42" s="32">
        <v>22</v>
      </c>
      <c r="AN42" s="32">
        <v>86.7</v>
      </c>
      <c r="AO42" s="32">
        <v>96.4</v>
      </c>
      <c r="AP42" s="32">
        <v>96.4</v>
      </c>
      <c r="AQ42" s="32">
        <v>96.7</v>
      </c>
      <c r="AR42" s="32">
        <v>94.2</v>
      </c>
      <c r="AS42" s="32">
        <v>101.7</v>
      </c>
      <c r="AT42" s="32">
        <v>115</v>
      </c>
      <c r="AU42" s="32">
        <v>89.1</v>
      </c>
      <c r="AV42" s="32">
        <v>114.7</v>
      </c>
      <c r="AW42" s="32">
        <v>212.1</v>
      </c>
      <c r="AX42" s="32">
        <v>210.1</v>
      </c>
      <c r="AY42" s="32">
        <v>383.2</v>
      </c>
      <c r="AZ42" s="32">
        <v>96.2</v>
      </c>
      <c r="BA42" s="32">
        <v>22</v>
      </c>
      <c r="BB42" s="32">
        <v>22</v>
      </c>
      <c r="BC42" s="32">
        <v>84.4</v>
      </c>
      <c r="BD42" s="32">
        <v>84.4</v>
      </c>
      <c r="BE42" s="32">
        <v>88.3</v>
      </c>
      <c r="BF42" s="32">
        <v>88.3</v>
      </c>
      <c r="BG42" s="32">
        <v>70.2</v>
      </c>
      <c r="BH42" s="32">
        <v>55.8</v>
      </c>
      <c r="BI42" s="32">
        <v>84.6</v>
      </c>
      <c r="BJ42" s="32">
        <v>47.7</v>
      </c>
      <c r="BK42" s="32">
        <v>112.6</v>
      </c>
      <c r="BL42" s="32">
        <v>18.899999999999999</v>
      </c>
      <c r="BM42" s="32">
        <v>87.7</v>
      </c>
      <c r="BN42" s="32">
        <v>81.400000000000006</v>
      </c>
      <c r="BO42" s="32">
        <v>95.3</v>
      </c>
      <c r="BP42" s="32">
        <v>71</v>
      </c>
      <c r="BQ42" s="32">
        <v>98.2</v>
      </c>
      <c r="BR42" s="32">
        <v>74.8</v>
      </c>
      <c r="BS42" s="32">
        <v>250</v>
      </c>
      <c r="BT42" s="32">
        <v>71</v>
      </c>
      <c r="BU42" s="32">
        <v>100.8</v>
      </c>
      <c r="BV42" s="32">
        <v>100.8</v>
      </c>
      <c r="BW42" s="32">
        <v>128</v>
      </c>
      <c r="BX42" s="32">
        <v>82.2</v>
      </c>
      <c r="BY42" s="32">
        <v>114.5</v>
      </c>
      <c r="BZ42" s="32">
        <v>113.8</v>
      </c>
      <c r="CA42" s="32">
        <v>115.5</v>
      </c>
      <c r="CB42" s="32">
        <v>102.7</v>
      </c>
      <c r="CC42" s="32">
        <v>142.80000000000001</v>
      </c>
      <c r="CD42" s="32">
        <v>54.3</v>
      </c>
      <c r="CE42" s="32">
        <v>104.9</v>
      </c>
      <c r="CF42" s="32">
        <v>66.2</v>
      </c>
      <c r="CG42" s="32">
        <v>84.2</v>
      </c>
      <c r="CH42" s="32">
        <v>82</v>
      </c>
      <c r="CI42" s="32">
        <v>94.9</v>
      </c>
      <c r="CJ42" s="32">
        <v>67.3</v>
      </c>
      <c r="CK42" s="32">
        <v>91.1</v>
      </c>
      <c r="CL42" s="32">
        <v>90.2</v>
      </c>
      <c r="CM42" s="32">
        <v>99.9</v>
      </c>
      <c r="CN42" s="32">
        <v>60.2</v>
      </c>
      <c r="CO42" s="32">
        <v>110.9</v>
      </c>
      <c r="CP42" s="32">
        <v>101.5</v>
      </c>
      <c r="CQ42" s="32">
        <v>24</v>
      </c>
      <c r="CR42" s="32">
        <v>96.7</v>
      </c>
      <c r="CS42" s="32">
        <v>120.5</v>
      </c>
      <c r="CT42" s="32">
        <v>86.8</v>
      </c>
      <c r="CU42" s="32">
        <v>65.099999999999994</v>
      </c>
      <c r="CV42" s="32">
        <v>96.6</v>
      </c>
      <c r="CW42" s="32">
        <v>16.100000000000001</v>
      </c>
      <c r="CX42" s="32">
        <v>65.8</v>
      </c>
      <c r="CY42" s="32">
        <v>69.599999999999994</v>
      </c>
      <c r="CZ42" s="32">
        <v>66.400000000000006</v>
      </c>
      <c r="DA42" s="32">
        <v>54.8</v>
      </c>
      <c r="DB42" s="32">
        <v>89.7</v>
      </c>
      <c r="DC42" s="32">
        <v>1.8</v>
      </c>
      <c r="DD42" s="32">
        <v>1.8</v>
      </c>
      <c r="DE42" s="32">
        <v>37.5</v>
      </c>
      <c r="DF42" s="32">
        <v>31.7</v>
      </c>
      <c r="DG42" s="32">
        <v>78.099999999999994</v>
      </c>
      <c r="DH42" s="32">
        <v>77.900000000000006</v>
      </c>
      <c r="DI42" s="32">
        <v>91.1</v>
      </c>
      <c r="DJ42" s="32">
        <v>117.2</v>
      </c>
      <c r="DK42" s="32">
        <v>117.2</v>
      </c>
      <c r="DL42" s="32">
        <v>45.2</v>
      </c>
      <c r="DM42" s="32">
        <v>66.900000000000006</v>
      </c>
      <c r="DN42" s="32">
        <v>43.2</v>
      </c>
      <c r="DO42" s="32">
        <v>77.900000000000006</v>
      </c>
      <c r="DP42" s="32">
        <v>31.1</v>
      </c>
      <c r="DQ42" s="32">
        <v>59.7</v>
      </c>
      <c r="DR42" s="32">
        <v>61.5</v>
      </c>
      <c r="DS42" s="32">
        <v>57</v>
      </c>
      <c r="DT42" s="32">
        <v>56.3</v>
      </c>
      <c r="DU42" s="32">
        <v>59.4</v>
      </c>
      <c r="DV42" s="32">
        <v>58.8</v>
      </c>
      <c r="DW42" s="32">
        <v>59.9</v>
      </c>
      <c r="DX42" s="32">
        <v>49.6</v>
      </c>
      <c r="DY42" s="32">
        <v>59.5</v>
      </c>
      <c r="DZ42" s="32">
        <v>105.7</v>
      </c>
      <c r="EA42" s="32">
        <v>105.7</v>
      </c>
      <c r="EB42" s="32">
        <v>61.7</v>
      </c>
      <c r="EC42" s="32">
        <v>59.5</v>
      </c>
      <c r="ED42" s="32">
        <v>65.3</v>
      </c>
      <c r="EE42" s="32">
        <v>71.2</v>
      </c>
      <c r="EF42" s="32">
        <v>49.7</v>
      </c>
      <c r="EG42" s="32">
        <v>56.7</v>
      </c>
      <c r="EH42" s="32">
        <v>62.7</v>
      </c>
      <c r="EI42" s="32">
        <v>49.7</v>
      </c>
      <c r="EJ42" s="32">
        <v>122.2</v>
      </c>
      <c r="EK42" s="32">
        <v>51.2</v>
      </c>
      <c r="EL42" s="32">
        <v>75.5</v>
      </c>
      <c r="EM42" s="32">
        <v>39.299999999999997</v>
      </c>
      <c r="EN42" s="32">
        <v>55.1</v>
      </c>
      <c r="EO42" s="32">
        <v>81.7</v>
      </c>
      <c r="EP42" s="32">
        <v>86.8</v>
      </c>
      <c r="EQ42" s="32">
        <v>86.8</v>
      </c>
      <c r="ER42" s="32">
        <v>97.5</v>
      </c>
      <c r="ES42" s="32">
        <v>97.5</v>
      </c>
      <c r="ET42" s="32">
        <v>67.2</v>
      </c>
      <c r="EU42" s="32">
        <v>63.6</v>
      </c>
      <c r="EV42" s="32">
        <v>63.6</v>
      </c>
      <c r="EW42" s="32">
        <v>76.900000000000006</v>
      </c>
      <c r="EX42" s="32">
        <v>92.8</v>
      </c>
      <c r="EY42" s="32">
        <v>64.400000000000006</v>
      </c>
      <c r="EZ42" s="32">
        <v>86.3</v>
      </c>
      <c r="FA42" s="32">
        <v>83.1</v>
      </c>
      <c r="FB42" s="32">
        <v>97.5</v>
      </c>
      <c r="FC42" s="32">
        <v>87</v>
      </c>
      <c r="FD42" s="32">
        <v>95.4</v>
      </c>
      <c r="FE42" s="32">
        <v>113.3</v>
      </c>
      <c r="FF42" s="32">
        <v>65.5</v>
      </c>
      <c r="FG42" s="32">
        <v>89.5</v>
      </c>
      <c r="FH42" s="32">
        <v>82.4</v>
      </c>
      <c r="FI42" s="32">
        <v>117.3</v>
      </c>
      <c r="FJ42" s="32">
        <v>88.8</v>
      </c>
      <c r="FK42" s="32">
        <v>83.6</v>
      </c>
      <c r="FL42" s="32">
        <v>83.6</v>
      </c>
    </row>
    <row r="43" spans="1:168" x14ac:dyDescent="0.2">
      <c r="A43" s="34" t="s">
        <v>1023</v>
      </c>
      <c r="B43" s="32">
        <v>71.3</v>
      </c>
      <c r="C43" s="32">
        <v>78.099999999999994</v>
      </c>
      <c r="D43" s="32">
        <v>95.6</v>
      </c>
      <c r="E43" s="32">
        <v>92.6</v>
      </c>
      <c r="F43" s="32">
        <v>362.2</v>
      </c>
      <c r="G43" s="32">
        <v>5983.1</v>
      </c>
      <c r="H43" s="32">
        <v>470.2</v>
      </c>
      <c r="I43" s="32">
        <v>61.4</v>
      </c>
      <c r="J43" s="32">
        <v>75.2</v>
      </c>
      <c r="K43" s="32">
        <v>90.5</v>
      </c>
      <c r="L43" s="32">
        <v>88.4</v>
      </c>
      <c r="M43" s="32">
        <v>89.6</v>
      </c>
      <c r="N43" s="32">
        <v>70.3</v>
      </c>
      <c r="O43" s="32">
        <v>165.4</v>
      </c>
      <c r="P43" s="32">
        <v>388.6</v>
      </c>
      <c r="Q43" s="32">
        <v>136.5</v>
      </c>
      <c r="R43" s="32">
        <v>74.3</v>
      </c>
      <c r="S43" s="32">
        <v>105</v>
      </c>
      <c r="T43" s="32">
        <v>79.900000000000006</v>
      </c>
      <c r="U43" s="32">
        <v>37</v>
      </c>
      <c r="V43" s="32">
        <v>129.80000000000001</v>
      </c>
      <c r="W43" s="32">
        <v>44.5</v>
      </c>
      <c r="X43" s="32">
        <v>30.6</v>
      </c>
      <c r="Y43" s="32">
        <v>56</v>
      </c>
      <c r="Z43" s="32">
        <v>132</v>
      </c>
      <c r="AA43" s="32">
        <v>66</v>
      </c>
      <c r="AB43" s="32">
        <v>70</v>
      </c>
      <c r="AC43" s="32">
        <v>51.7</v>
      </c>
      <c r="AD43" s="32">
        <v>81.099999999999994</v>
      </c>
      <c r="AE43" s="32">
        <v>170.6</v>
      </c>
      <c r="AF43" s="32">
        <v>170.6</v>
      </c>
      <c r="AG43" s="32">
        <v>57.8</v>
      </c>
      <c r="AH43" s="32">
        <v>57.8</v>
      </c>
      <c r="AI43" s="32">
        <v>244</v>
      </c>
      <c r="AJ43" s="32">
        <v>43.3</v>
      </c>
      <c r="AK43" s="32">
        <v>820.7</v>
      </c>
      <c r="AL43" s="32">
        <v>106.6</v>
      </c>
      <c r="AM43" s="32">
        <v>23.7</v>
      </c>
      <c r="AN43" s="32">
        <v>84.4</v>
      </c>
      <c r="AO43" s="32">
        <v>92.5</v>
      </c>
      <c r="AP43" s="32">
        <v>92.5</v>
      </c>
      <c r="AQ43" s="32">
        <v>97.7</v>
      </c>
      <c r="AR43" s="32">
        <v>96.4</v>
      </c>
      <c r="AS43" s="32">
        <v>100.7</v>
      </c>
      <c r="AT43" s="32">
        <v>115.6</v>
      </c>
      <c r="AU43" s="32">
        <v>86.3</v>
      </c>
      <c r="AV43" s="32">
        <v>114.7</v>
      </c>
      <c r="AW43" s="32">
        <v>209.3</v>
      </c>
      <c r="AX43" s="32">
        <v>205.8</v>
      </c>
      <c r="AY43" s="32">
        <v>382.1</v>
      </c>
      <c r="AZ43" s="32">
        <v>96.7</v>
      </c>
      <c r="BA43" s="32">
        <v>21.7</v>
      </c>
      <c r="BB43" s="32">
        <v>21.7</v>
      </c>
      <c r="BC43" s="32">
        <v>85.5</v>
      </c>
      <c r="BD43" s="32">
        <v>85.5</v>
      </c>
      <c r="BE43" s="32">
        <v>90.4</v>
      </c>
      <c r="BF43" s="32">
        <v>90.4</v>
      </c>
      <c r="BG43" s="32">
        <v>73.5</v>
      </c>
      <c r="BH43" s="32">
        <v>61</v>
      </c>
      <c r="BI43" s="32">
        <v>84.6</v>
      </c>
      <c r="BJ43" s="32">
        <v>44.6</v>
      </c>
      <c r="BK43" s="32">
        <v>112.8</v>
      </c>
      <c r="BL43" s="32">
        <v>21.5</v>
      </c>
      <c r="BM43" s="32">
        <v>86.9</v>
      </c>
      <c r="BN43" s="32">
        <v>80.5</v>
      </c>
      <c r="BO43" s="32">
        <v>93</v>
      </c>
      <c r="BP43" s="32">
        <v>71.099999999999994</v>
      </c>
      <c r="BQ43" s="32">
        <v>97.6</v>
      </c>
      <c r="BR43" s="32">
        <v>82.8</v>
      </c>
      <c r="BS43" s="32">
        <v>237.3</v>
      </c>
      <c r="BT43" s="32">
        <v>71</v>
      </c>
      <c r="BU43" s="32">
        <v>96.7</v>
      </c>
      <c r="BV43" s="32">
        <v>96.7</v>
      </c>
      <c r="BW43" s="32">
        <v>125.9</v>
      </c>
      <c r="BX43" s="32">
        <v>72.099999999999994</v>
      </c>
      <c r="BY43" s="32">
        <v>112.2</v>
      </c>
      <c r="BZ43" s="32">
        <v>114.5</v>
      </c>
      <c r="CA43" s="32">
        <v>111.5</v>
      </c>
      <c r="CB43" s="32">
        <v>100.9</v>
      </c>
      <c r="CC43" s="32">
        <v>135.4</v>
      </c>
      <c r="CD43" s="32">
        <v>45.7</v>
      </c>
      <c r="CE43" s="32">
        <v>105.3</v>
      </c>
      <c r="CF43" s="32">
        <v>65.7</v>
      </c>
      <c r="CG43" s="32">
        <v>84.8</v>
      </c>
      <c r="CH43" s="32">
        <v>83.5</v>
      </c>
      <c r="CI43" s="32">
        <v>94.1</v>
      </c>
      <c r="CJ43" s="32">
        <v>72.099999999999994</v>
      </c>
      <c r="CK43" s="32">
        <v>89.9</v>
      </c>
      <c r="CL43" s="32">
        <v>89.1</v>
      </c>
      <c r="CM43" s="32">
        <v>99.9</v>
      </c>
      <c r="CN43" s="32">
        <v>61.6</v>
      </c>
      <c r="CO43" s="32">
        <v>110.6</v>
      </c>
      <c r="CP43" s="32">
        <v>103.8</v>
      </c>
      <c r="CQ43" s="32">
        <v>24.5</v>
      </c>
      <c r="CR43" s="32">
        <v>91</v>
      </c>
      <c r="CS43" s="32">
        <v>119</v>
      </c>
      <c r="CT43" s="32">
        <v>85.5</v>
      </c>
      <c r="CU43" s="32">
        <v>60.3</v>
      </c>
      <c r="CV43" s="32">
        <v>96.9</v>
      </c>
      <c r="CW43" s="32">
        <v>16.600000000000001</v>
      </c>
      <c r="CX43" s="32">
        <v>66.7</v>
      </c>
      <c r="CY43" s="32">
        <v>71.400000000000006</v>
      </c>
      <c r="CZ43" s="32">
        <v>66.5</v>
      </c>
      <c r="DA43" s="32">
        <v>54.5</v>
      </c>
      <c r="DB43" s="32">
        <v>90.6</v>
      </c>
      <c r="DC43" s="32">
        <v>1.8</v>
      </c>
      <c r="DD43" s="32">
        <v>1.8</v>
      </c>
      <c r="DE43" s="32">
        <v>39.200000000000003</v>
      </c>
      <c r="DF43" s="32">
        <v>32.9</v>
      </c>
      <c r="DG43" s="32">
        <v>83.8</v>
      </c>
      <c r="DH43" s="32">
        <v>73.2</v>
      </c>
      <c r="DI43" s="32">
        <v>83.6</v>
      </c>
      <c r="DJ43" s="32">
        <v>116.7</v>
      </c>
      <c r="DK43" s="32">
        <v>116.7</v>
      </c>
      <c r="DL43" s="32">
        <v>40.9</v>
      </c>
      <c r="DM43" s="32">
        <v>67</v>
      </c>
      <c r="DN43" s="32">
        <v>42.9</v>
      </c>
      <c r="DO43" s="32">
        <v>78</v>
      </c>
      <c r="DP43" s="32">
        <v>32.6</v>
      </c>
      <c r="DQ43" s="32">
        <v>57.6</v>
      </c>
      <c r="DR43" s="32">
        <v>60.8</v>
      </c>
      <c r="DS43" s="32">
        <v>57.1</v>
      </c>
      <c r="DT43" s="32">
        <v>55.7</v>
      </c>
      <c r="DU43" s="32">
        <v>59.3</v>
      </c>
      <c r="DV43" s="32">
        <v>60.6</v>
      </c>
      <c r="DW43" s="32">
        <v>57.7</v>
      </c>
      <c r="DX43" s="32">
        <v>47.9</v>
      </c>
      <c r="DY43" s="32">
        <v>61.9</v>
      </c>
      <c r="DZ43" s="32">
        <v>103.1</v>
      </c>
      <c r="EA43" s="32">
        <v>103.1</v>
      </c>
      <c r="EB43" s="32">
        <v>58.8</v>
      </c>
      <c r="EC43" s="32">
        <v>60.5</v>
      </c>
      <c r="ED43" s="32">
        <v>56.8</v>
      </c>
      <c r="EE43" s="32">
        <v>59.5</v>
      </c>
      <c r="EF43" s="32">
        <v>49.8</v>
      </c>
      <c r="EG43" s="32">
        <v>52.9</v>
      </c>
      <c r="EH43" s="32">
        <v>60.9</v>
      </c>
      <c r="EI43" s="32">
        <v>48.6</v>
      </c>
      <c r="EJ43" s="32">
        <v>110.1</v>
      </c>
      <c r="EK43" s="32">
        <v>44.8</v>
      </c>
      <c r="EL43" s="32">
        <v>70.5</v>
      </c>
      <c r="EM43" s="32">
        <v>38.200000000000003</v>
      </c>
      <c r="EN43" s="32">
        <v>44.6</v>
      </c>
      <c r="EO43" s="32">
        <v>81.2</v>
      </c>
      <c r="EP43" s="32">
        <v>86.8</v>
      </c>
      <c r="EQ43" s="32">
        <v>86.8</v>
      </c>
      <c r="ER43" s="32">
        <v>95.9</v>
      </c>
      <c r="ES43" s="32">
        <v>95.9</v>
      </c>
      <c r="ET43" s="32">
        <v>66.900000000000006</v>
      </c>
      <c r="EU43" s="32">
        <v>63.2</v>
      </c>
      <c r="EV43" s="32">
        <v>63.2</v>
      </c>
      <c r="EW43" s="32">
        <v>77</v>
      </c>
      <c r="EX43" s="32">
        <v>93.5</v>
      </c>
      <c r="EY43" s="32">
        <v>64.099999999999994</v>
      </c>
      <c r="EZ43" s="32">
        <v>86.3</v>
      </c>
      <c r="FA43" s="32">
        <v>83.4</v>
      </c>
      <c r="FB43" s="32">
        <v>97.7</v>
      </c>
      <c r="FC43" s="32">
        <v>88.8</v>
      </c>
      <c r="FD43" s="32">
        <v>96.9</v>
      </c>
      <c r="FE43" s="32">
        <v>109.2</v>
      </c>
      <c r="FF43" s="32">
        <v>65.8</v>
      </c>
      <c r="FG43" s="32">
        <v>89.7</v>
      </c>
      <c r="FH43" s="32">
        <v>90</v>
      </c>
      <c r="FI43" s="32">
        <v>104</v>
      </c>
      <c r="FJ43" s="32">
        <v>87.7</v>
      </c>
      <c r="FK43" s="32">
        <v>80.8</v>
      </c>
      <c r="FL43" s="32">
        <v>80.8</v>
      </c>
    </row>
    <row r="44" spans="1:168" x14ac:dyDescent="0.2">
      <c r="A44" s="34" t="s">
        <v>1024</v>
      </c>
      <c r="B44" s="32">
        <v>71.099999999999994</v>
      </c>
      <c r="C44" s="32">
        <v>78.8</v>
      </c>
      <c r="D44" s="32">
        <v>95.4</v>
      </c>
      <c r="E44" s="32">
        <v>92.3</v>
      </c>
      <c r="F44" s="32">
        <v>356.1</v>
      </c>
      <c r="G44" s="32">
        <v>6095.8</v>
      </c>
      <c r="H44" s="32">
        <v>460.9</v>
      </c>
      <c r="I44" s="32">
        <v>60.9</v>
      </c>
      <c r="J44" s="32">
        <v>75.400000000000006</v>
      </c>
      <c r="K44" s="32">
        <v>91.7</v>
      </c>
      <c r="L44" s="32">
        <v>88.6</v>
      </c>
      <c r="M44" s="32">
        <v>88.8</v>
      </c>
      <c r="N44" s="32">
        <v>69.3</v>
      </c>
      <c r="O44" s="32">
        <v>174.4</v>
      </c>
      <c r="P44" s="32">
        <v>384.7</v>
      </c>
      <c r="Q44" s="32">
        <v>137.19999999999999</v>
      </c>
      <c r="R44" s="32">
        <v>73.7</v>
      </c>
      <c r="S44" s="32">
        <v>108</v>
      </c>
      <c r="T44" s="32">
        <v>75.8</v>
      </c>
      <c r="U44" s="32">
        <v>38</v>
      </c>
      <c r="V44" s="32">
        <v>136.4</v>
      </c>
      <c r="W44" s="32">
        <v>44.8</v>
      </c>
      <c r="X44" s="32">
        <v>30.4</v>
      </c>
      <c r="Y44" s="32">
        <v>57.2</v>
      </c>
      <c r="Z44" s="32">
        <v>131.4</v>
      </c>
      <c r="AA44" s="32">
        <v>64.2</v>
      </c>
      <c r="AB44" s="32">
        <v>69</v>
      </c>
      <c r="AC44" s="32">
        <v>50.9</v>
      </c>
      <c r="AD44" s="32">
        <v>78.099999999999994</v>
      </c>
      <c r="AE44" s="32">
        <v>165.2</v>
      </c>
      <c r="AF44" s="32">
        <v>165.2</v>
      </c>
      <c r="AG44" s="32">
        <v>57.6</v>
      </c>
      <c r="AH44" s="32">
        <v>57.6</v>
      </c>
      <c r="AI44" s="32">
        <v>251.7</v>
      </c>
      <c r="AJ44" s="32">
        <v>42</v>
      </c>
      <c r="AK44" s="32">
        <v>834.1</v>
      </c>
      <c r="AL44" s="32">
        <v>106.7</v>
      </c>
      <c r="AM44" s="32">
        <v>24</v>
      </c>
      <c r="AN44" s="32">
        <v>84.7</v>
      </c>
      <c r="AO44" s="32">
        <v>80.099999999999994</v>
      </c>
      <c r="AP44" s="32">
        <v>80.099999999999994</v>
      </c>
      <c r="AQ44" s="32">
        <v>100.4</v>
      </c>
      <c r="AR44" s="32">
        <v>100.7</v>
      </c>
      <c r="AS44" s="32">
        <v>100.8</v>
      </c>
      <c r="AT44" s="32">
        <v>115.8</v>
      </c>
      <c r="AU44" s="32">
        <v>86.3</v>
      </c>
      <c r="AV44" s="32">
        <v>115.8</v>
      </c>
      <c r="AW44" s="32">
        <v>209.5</v>
      </c>
      <c r="AX44" s="32">
        <v>215.8</v>
      </c>
      <c r="AY44" s="32">
        <v>366.1</v>
      </c>
      <c r="AZ44" s="32">
        <v>98</v>
      </c>
      <c r="BA44" s="32">
        <v>23.4</v>
      </c>
      <c r="BB44" s="32">
        <v>23.4</v>
      </c>
      <c r="BC44" s="32">
        <v>83.5</v>
      </c>
      <c r="BD44" s="32">
        <v>83.5</v>
      </c>
      <c r="BE44" s="32">
        <v>90.4</v>
      </c>
      <c r="BF44" s="32">
        <v>90.4</v>
      </c>
      <c r="BG44" s="32">
        <v>75.599999999999994</v>
      </c>
      <c r="BH44" s="32">
        <v>63.3</v>
      </c>
      <c r="BI44" s="32">
        <v>86.2</v>
      </c>
      <c r="BJ44" s="32">
        <v>42.2</v>
      </c>
      <c r="BK44" s="32">
        <v>116.3</v>
      </c>
      <c r="BL44" s="32">
        <v>22.2</v>
      </c>
      <c r="BM44" s="32">
        <v>86.7</v>
      </c>
      <c r="BN44" s="32">
        <v>80.5</v>
      </c>
      <c r="BO44" s="32">
        <v>97.6</v>
      </c>
      <c r="BP44" s="32">
        <v>67.8</v>
      </c>
      <c r="BQ44" s="32">
        <v>96.9</v>
      </c>
      <c r="BR44" s="32">
        <v>80.8</v>
      </c>
      <c r="BS44" s="32">
        <v>224.1</v>
      </c>
      <c r="BT44" s="32">
        <v>72.2</v>
      </c>
      <c r="BU44" s="32">
        <v>93.1</v>
      </c>
      <c r="BV44" s="32">
        <v>93.1</v>
      </c>
      <c r="BW44" s="32">
        <v>123.6</v>
      </c>
      <c r="BX44" s="32">
        <v>64.400000000000006</v>
      </c>
      <c r="BY44" s="32">
        <v>109.2</v>
      </c>
      <c r="BZ44" s="32">
        <v>114.3</v>
      </c>
      <c r="CA44" s="32">
        <v>107</v>
      </c>
      <c r="CB44" s="32">
        <v>95.8</v>
      </c>
      <c r="CC44" s="32">
        <v>131.80000000000001</v>
      </c>
      <c r="CD44" s="32">
        <v>41.9</v>
      </c>
      <c r="CE44" s="32">
        <v>105.2</v>
      </c>
      <c r="CF44" s="32">
        <v>65.5</v>
      </c>
      <c r="CG44" s="32">
        <v>84.5</v>
      </c>
      <c r="CH44" s="32">
        <v>83.5</v>
      </c>
      <c r="CI44" s="32">
        <v>101.3</v>
      </c>
      <c r="CJ44" s="32">
        <v>69.8</v>
      </c>
      <c r="CK44" s="32">
        <v>90.5</v>
      </c>
      <c r="CL44" s="32">
        <v>88.3</v>
      </c>
      <c r="CM44" s="32">
        <v>99.9</v>
      </c>
      <c r="CN44" s="32">
        <v>61.9</v>
      </c>
      <c r="CO44" s="32">
        <v>110.5</v>
      </c>
      <c r="CP44" s="32">
        <v>104.3</v>
      </c>
      <c r="CQ44" s="32">
        <v>27.5</v>
      </c>
      <c r="CR44" s="32">
        <v>86.5</v>
      </c>
      <c r="CS44" s="32">
        <v>111.4</v>
      </c>
      <c r="CT44" s="32">
        <v>84.5</v>
      </c>
      <c r="CU44" s="32">
        <v>59.7</v>
      </c>
      <c r="CV44" s="32">
        <v>95.7</v>
      </c>
      <c r="CW44" s="32">
        <v>17.3</v>
      </c>
      <c r="CX44" s="32">
        <v>66.900000000000006</v>
      </c>
      <c r="CY44" s="32">
        <v>72.2</v>
      </c>
      <c r="CZ44" s="32">
        <v>66.2</v>
      </c>
      <c r="DA44" s="32">
        <v>54.1</v>
      </c>
      <c r="DB44" s="32">
        <v>90.8</v>
      </c>
      <c r="DC44" s="32">
        <v>2</v>
      </c>
      <c r="DD44" s="32">
        <v>2</v>
      </c>
      <c r="DE44" s="32">
        <v>40.5</v>
      </c>
      <c r="DF44" s="32">
        <v>34.5</v>
      </c>
      <c r="DG44" s="32">
        <v>82.8</v>
      </c>
      <c r="DH44" s="32">
        <v>71.599999999999994</v>
      </c>
      <c r="DI44" s="32">
        <v>80.7</v>
      </c>
      <c r="DJ44" s="32">
        <v>116.1</v>
      </c>
      <c r="DK44" s="32">
        <v>116.1</v>
      </c>
      <c r="DL44" s="32">
        <v>40.6</v>
      </c>
      <c r="DM44" s="32">
        <v>66.599999999999994</v>
      </c>
      <c r="DN44" s="32">
        <v>42.5</v>
      </c>
      <c r="DO44" s="32">
        <v>77.7</v>
      </c>
      <c r="DP44" s="32">
        <v>33.6</v>
      </c>
      <c r="DQ44" s="32">
        <v>55.6</v>
      </c>
      <c r="DR44" s="32">
        <v>60.6</v>
      </c>
      <c r="DS44" s="32">
        <v>59.2</v>
      </c>
      <c r="DT44" s="32">
        <v>54.6</v>
      </c>
      <c r="DU44" s="32">
        <v>57.8</v>
      </c>
      <c r="DV44" s="32">
        <v>63.5</v>
      </c>
      <c r="DW44" s="32">
        <v>51.2</v>
      </c>
      <c r="DX44" s="32">
        <v>47.9</v>
      </c>
      <c r="DY44" s="32">
        <v>73.8</v>
      </c>
      <c r="DZ44" s="32">
        <v>93.2</v>
      </c>
      <c r="EA44" s="32">
        <v>93.2</v>
      </c>
      <c r="EB44" s="32">
        <v>54.2</v>
      </c>
      <c r="EC44" s="32">
        <v>58</v>
      </c>
      <c r="ED44" s="32">
        <v>49.3</v>
      </c>
      <c r="EE44" s="32">
        <v>49</v>
      </c>
      <c r="EF44" s="32">
        <v>50.4</v>
      </c>
      <c r="EG44" s="32">
        <v>48.4</v>
      </c>
      <c r="EH44" s="32">
        <v>62.2</v>
      </c>
      <c r="EI44" s="32">
        <v>41.9</v>
      </c>
      <c r="EJ44" s="32">
        <v>103.3</v>
      </c>
      <c r="EK44" s="32">
        <v>38.799999999999997</v>
      </c>
      <c r="EL44" s="32">
        <v>62.5</v>
      </c>
      <c r="EM44" s="32">
        <v>38.6</v>
      </c>
      <c r="EN44" s="32">
        <v>34.200000000000003</v>
      </c>
      <c r="EO44" s="32">
        <v>81.8</v>
      </c>
      <c r="EP44" s="32">
        <v>86.6</v>
      </c>
      <c r="EQ44" s="32">
        <v>86.6</v>
      </c>
      <c r="ER44" s="32">
        <v>96.9</v>
      </c>
      <c r="ES44" s="32">
        <v>96.9</v>
      </c>
      <c r="ET44" s="32">
        <v>67.900000000000006</v>
      </c>
      <c r="EU44" s="32">
        <v>64.3</v>
      </c>
      <c r="EV44" s="32">
        <v>64.3</v>
      </c>
      <c r="EW44" s="32">
        <v>77.400000000000006</v>
      </c>
      <c r="EX44" s="32">
        <v>94.3</v>
      </c>
      <c r="EY44" s="32">
        <v>64.099999999999994</v>
      </c>
      <c r="EZ44" s="32">
        <v>87</v>
      </c>
      <c r="FA44" s="32">
        <v>83.7</v>
      </c>
      <c r="FB44" s="32">
        <v>98.4</v>
      </c>
      <c r="FC44" s="32">
        <v>91.5</v>
      </c>
      <c r="FD44" s="32">
        <v>97.5</v>
      </c>
      <c r="FE44" s="32">
        <v>105.2</v>
      </c>
      <c r="FF44" s="32">
        <v>65.8</v>
      </c>
      <c r="FG44" s="32">
        <v>90.3</v>
      </c>
      <c r="FH44" s="32">
        <v>90.9</v>
      </c>
      <c r="FI44" s="32">
        <v>118.6</v>
      </c>
      <c r="FJ44" s="32">
        <v>86.4</v>
      </c>
      <c r="FK44" s="32">
        <v>85.5</v>
      </c>
      <c r="FL44" s="32">
        <v>85.5</v>
      </c>
    </row>
    <row r="45" spans="1:168" x14ac:dyDescent="0.2">
      <c r="A45" s="34" t="s">
        <v>1025</v>
      </c>
      <c r="B45" s="32">
        <v>71.5</v>
      </c>
      <c r="C45" s="32">
        <v>79.099999999999994</v>
      </c>
      <c r="D45" s="32">
        <v>94.9</v>
      </c>
      <c r="E45" s="32">
        <v>92.1</v>
      </c>
      <c r="F45" s="32">
        <v>339.5</v>
      </c>
      <c r="G45" s="32">
        <v>5786.9</v>
      </c>
      <c r="H45" s="32">
        <v>437.1</v>
      </c>
      <c r="I45" s="32">
        <v>59.7</v>
      </c>
      <c r="J45" s="32">
        <v>75.5</v>
      </c>
      <c r="K45" s="32">
        <v>92.4</v>
      </c>
      <c r="L45" s="32">
        <v>90.9</v>
      </c>
      <c r="M45" s="32">
        <v>93.7</v>
      </c>
      <c r="N45" s="32">
        <v>68.099999999999994</v>
      </c>
      <c r="O45" s="32">
        <v>168.3</v>
      </c>
      <c r="P45" s="32">
        <v>383.9</v>
      </c>
      <c r="Q45" s="32">
        <v>141.9</v>
      </c>
      <c r="R45" s="32">
        <v>77.2</v>
      </c>
      <c r="S45" s="32">
        <v>111.9</v>
      </c>
      <c r="T45" s="32">
        <v>70.599999999999994</v>
      </c>
      <c r="U45" s="32">
        <v>35.299999999999997</v>
      </c>
      <c r="V45" s="32">
        <v>130</v>
      </c>
      <c r="W45" s="32">
        <v>44.3</v>
      </c>
      <c r="X45" s="32">
        <v>30.6</v>
      </c>
      <c r="Y45" s="32">
        <v>55</v>
      </c>
      <c r="Z45" s="32">
        <v>134.6</v>
      </c>
      <c r="AA45" s="32">
        <v>64.3</v>
      </c>
      <c r="AB45" s="32">
        <v>67.599999999999994</v>
      </c>
      <c r="AC45" s="32">
        <v>50.5</v>
      </c>
      <c r="AD45" s="32">
        <v>79.3</v>
      </c>
      <c r="AE45" s="32">
        <v>164.2</v>
      </c>
      <c r="AF45" s="32">
        <v>164.2</v>
      </c>
      <c r="AG45" s="32">
        <v>56.9</v>
      </c>
      <c r="AH45" s="32">
        <v>56.9</v>
      </c>
      <c r="AI45" s="32">
        <v>247.8</v>
      </c>
      <c r="AJ45" s="32">
        <v>41.7</v>
      </c>
      <c r="AK45" s="32">
        <v>834.2</v>
      </c>
      <c r="AL45" s="32">
        <v>110.1</v>
      </c>
      <c r="AM45" s="32">
        <v>23.4</v>
      </c>
      <c r="AN45" s="32">
        <v>80.3</v>
      </c>
      <c r="AO45" s="32">
        <v>94.7</v>
      </c>
      <c r="AP45" s="32">
        <v>94.7</v>
      </c>
      <c r="AQ45" s="32">
        <v>97.4</v>
      </c>
      <c r="AR45" s="32">
        <v>94.3</v>
      </c>
      <c r="AS45" s="32">
        <v>103.4</v>
      </c>
      <c r="AT45" s="32">
        <v>119.9</v>
      </c>
      <c r="AU45" s="32">
        <v>87.3</v>
      </c>
      <c r="AV45" s="32">
        <v>112.6</v>
      </c>
      <c r="AW45" s="32">
        <v>196.5</v>
      </c>
      <c r="AX45" s="32">
        <v>190.1</v>
      </c>
      <c r="AY45" s="32">
        <v>366.3</v>
      </c>
      <c r="AZ45" s="32">
        <v>96.6</v>
      </c>
      <c r="BA45" s="32">
        <v>24.4</v>
      </c>
      <c r="BB45" s="32">
        <v>24.4</v>
      </c>
      <c r="BC45" s="32">
        <v>84.9</v>
      </c>
      <c r="BD45" s="32">
        <v>84.9</v>
      </c>
      <c r="BE45" s="32">
        <v>90.9</v>
      </c>
      <c r="BF45" s="32">
        <v>90.9</v>
      </c>
      <c r="BG45" s="32">
        <v>70.5</v>
      </c>
      <c r="BH45" s="32">
        <v>55.5</v>
      </c>
      <c r="BI45" s="32">
        <v>85.6</v>
      </c>
      <c r="BJ45" s="32">
        <v>38.1</v>
      </c>
      <c r="BK45" s="32">
        <v>117.7</v>
      </c>
      <c r="BL45" s="32">
        <v>21.1</v>
      </c>
      <c r="BM45" s="32">
        <v>87.9</v>
      </c>
      <c r="BN45" s="32">
        <v>81.2</v>
      </c>
      <c r="BO45" s="32">
        <v>95.5</v>
      </c>
      <c r="BP45" s="32">
        <v>70.5</v>
      </c>
      <c r="BQ45" s="32">
        <v>99</v>
      </c>
      <c r="BR45" s="32">
        <v>62.7</v>
      </c>
      <c r="BS45" s="32">
        <v>247.4</v>
      </c>
      <c r="BT45" s="32">
        <v>73.7</v>
      </c>
      <c r="BU45" s="32">
        <v>91.4</v>
      </c>
      <c r="BV45" s="32">
        <v>91.4</v>
      </c>
      <c r="BW45" s="32">
        <v>122.1</v>
      </c>
      <c r="BX45" s="32">
        <v>62.2</v>
      </c>
      <c r="BY45" s="32">
        <v>112.3</v>
      </c>
      <c r="BZ45" s="32">
        <v>112.5</v>
      </c>
      <c r="CA45" s="32">
        <v>112.7</v>
      </c>
      <c r="CB45" s="32">
        <v>107.1</v>
      </c>
      <c r="CC45" s="32">
        <v>129.19999999999999</v>
      </c>
      <c r="CD45" s="32">
        <v>44.6</v>
      </c>
      <c r="CE45" s="32">
        <v>103.7</v>
      </c>
      <c r="CF45" s="32">
        <v>66.2</v>
      </c>
      <c r="CG45" s="32">
        <v>84.7</v>
      </c>
      <c r="CH45" s="32">
        <v>84.2</v>
      </c>
      <c r="CI45" s="32">
        <v>99.9</v>
      </c>
      <c r="CJ45" s="32">
        <v>70.3</v>
      </c>
      <c r="CK45" s="32">
        <v>91.8</v>
      </c>
      <c r="CL45" s="32">
        <v>87.4</v>
      </c>
      <c r="CM45" s="32">
        <v>98.9</v>
      </c>
      <c r="CN45" s="32">
        <v>59</v>
      </c>
      <c r="CO45" s="32">
        <v>110</v>
      </c>
      <c r="CP45" s="32">
        <v>103.5</v>
      </c>
      <c r="CQ45" s="32">
        <v>24.7</v>
      </c>
      <c r="CR45" s="32">
        <v>88.6</v>
      </c>
      <c r="CS45" s="32">
        <v>113</v>
      </c>
      <c r="CT45" s="32">
        <v>83.9</v>
      </c>
      <c r="CU45" s="32">
        <v>60.3</v>
      </c>
      <c r="CV45" s="32">
        <v>94.6</v>
      </c>
      <c r="CW45" s="32">
        <v>17.5</v>
      </c>
      <c r="CX45" s="32">
        <v>66</v>
      </c>
      <c r="CY45" s="32">
        <v>71.2</v>
      </c>
      <c r="CZ45" s="32">
        <v>65.2</v>
      </c>
      <c r="DA45" s="32">
        <v>52.7</v>
      </c>
      <c r="DB45" s="32">
        <v>91.3</v>
      </c>
      <c r="DC45" s="32">
        <v>2.1</v>
      </c>
      <c r="DD45" s="32">
        <v>2.1</v>
      </c>
      <c r="DE45" s="32">
        <v>39.200000000000003</v>
      </c>
      <c r="DF45" s="32">
        <v>33.5</v>
      </c>
      <c r="DG45" s="32">
        <v>79.400000000000006</v>
      </c>
      <c r="DH45" s="32">
        <v>73</v>
      </c>
      <c r="DI45" s="32">
        <v>82.2</v>
      </c>
      <c r="DJ45" s="32">
        <v>115.8</v>
      </c>
      <c r="DK45" s="32">
        <v>115.8</v>
      </c>
      <c r="DL45" s="32">
        <v>43.4</v>
      </c>
      <c r="DM45" s="32">
        <v>66.099999999999994</v>
      </c>
      <c r="DN45" s="32">
        <v>41.8</v>
      </c>
      <c r="DO45" s="32">
        <v>77.2</v>
      </c>
      <c r="DP45" s="32">
        <v>34.6</v>
      </c>
      <c r="DQ45" s="32">
        <v>59.6</v>
      </c>
      <c r="DR45" s="32">
        <v>63.8</v>
      </c>
      <c r="DS45" s="32">
        <v>61</v>
      </c>
      <c r="DT45" s="32">
        <v>57</v>
      </c>
      <c r="DU45" s="32">
        <v>60.9</v>
      </c>
      <c r="DV45" s="32">
        <v>63.8</v>
      </c>
      <c r="DW45" s="32">
        <v>57.5</v>
      </c>
      <c r="DX45" s="32">
        <v>48.3</v>
      </c>
      <c r="DY45" s="32">
        <v>74</v>
      </c>
      <c r="DZ45" s="32">
        <v>103</v>
      </c>
      <c r="EA45" s="32">
        <v>103</v>
      </c>
      <c r="EB45" s="32">
        <v>60</v>
      </c>
      <c r="EC45" s="32">
        <v>60.1</v>
      </c>
      <c r="ED45" s="32">
        <v>60.3</v>
      </c>
      <c r="EE45" s="32">
        <v>63.8</v>
      </c>
      <c r="EF45" s="32">
        <v>51.3</v>
      </c>
      <c r="EG45" s="32">
        <v>53.4</v>
      </c>
      <c r="EH45" s="32">
        <v>61.8</v>
      </c>
      <c r="EI45" s="32">
        <v>48.4</v>
      </c>
      <c r="EJ45" s="32">
        <v>100.8</v>
      </c>
      <c r="EK45" s="32">
        <v>46.6</v>
      </c>
      <c r="EL45" s="32">
        <v>73.2</v>
      </c>
      <c r="EM45" s="32">
        <v>38.4</v>
      </c>
      <c r="EN45" s="32">
        <v>47.4</v>
      </c>
      <c r="EO45" s="32">
        <v>81.900000000000006</v>
      </c>
      <c r="EP45" s="32">
        <v>85.7</v>
      </c>
      <c r="EQ45" s="32">
        <v>85.7</v>
      </c>
      <c r="ER45" s="32">
        <v>97</v>
      </c>
      <c r="ES45" s="32">
        <v>97</v>
      </c>
      <c r="ET45" s="32">
        <v>68.7</v>
      </c>
      <c r="EU45" s="32">
        <v>65.400000000000006</v>
      </c>
      <c r="EV45" s="32">
        <v>65.400000000000006</v>
      </c>
      <c r="EW45" s="32">
        <v>77.599999999999994</v>
      </c>
      <c r="EX45" s="32">
        <v>94.8</v>
      </c>
      <c r="EY45" s="32">
        <v>64.099999999999994</v>
      </c>
      <c r="EZ45" s="32">
        <v>85.7</v>
      </c>
      <c r="FA45" s="32">
        <v>80.3</v>
      </c>
      <c r="FB45" s="32">
        <v>92.7</v>
      </c>
      <c r="FC45" s="32">
        <v>83.5</v>
      </c>
      <c r="FD45" s="32">
        <v>97.6</v>
      </c>
      <c r="FE45" s="32">
        <v>101.4</v>
      </c>
      <c r="FF45" s="32">
        <v>65.400000000000006</v>
      </c>
      <c r="FG45" s="32">
        <v>89.1</v>
      </c>
      <c r="FH45" s="32">
        <v>87.4</v>
      </c>
      <c r="FI45" s="32">
        <v>77</v>
      </c>
      <c r="FJ45" s="32">
        <v>91.1</v>
      </c>
      <c r="FK45" s="32">
        <v>98.2</v>
      </c>
      <c r="FL45" s="32">
        <v>98.2</v>
      </c>
    </row>
    <row r="46" spans="1:168" x14ac:dyDescent="0.2">
      <c r="A46" s="34" t="s">
        <v>1026</v>
      </c>
      <c r="B46" s="32">
        <v>71.900000000000006</v>
      </c>
      <c r="C46" s="32">
        <v>79.8</v>
      </c>
      <c r="D46" s="32">
        <v>94.9</v>
      </c>
      <c r="E46" s="32">
        <v>92.4</v>
      </c>
      <c r="F46" s="32">
        <v>327.60000000000002</v>
      </c>
      <c r="G46" s="32">
        <v>5688.1</v>
      </c>
      <c r="H46" s="32">
        <v>418.6</v>
      </c>
      <c r="I46" s="32">
        <v>59.6</v>
      </c>
      <c r="J46" s="32">
        <v>75.900000000000006</v>
      </c>
      <c r="K46" s="32">
        <v>90.5</v>
      </c>
      <c r="L46" s="32">
        <v>88.2</v>
      </c>
      <c r="M46" s="32">
        <v>88.4</v>
      </c>
      <c r="N46" s="32">
        <v>68</v>
      </c>
      <c r="O46" s="32">
        <v>166</v>
      </c>
      <c r="P46" s="32">
        <v>384.6</v>
      </c>
      <c r="Q46" s="32">
        <v>134.80000000000001</v>
      </c>
      <c r="R46" s="32">
        <v>73.599999999999994</v>
      </c>
      <c r="S46" s="32">
        <v>108.5</v>
      </c>
      <c r="T46" s="32">
        <v>70.5</v>
      </c>
      <c r="U46" s="32">
        <v>37.200000000000003</v>
      </c>
      <c r="V46" s="32">
        <v>130.19999999999999</v>
      </c>
      <c r="W46" s="32">
        <v>45.1</v>
      </c>
      <c r="X46" s="32">
        <v>31.6</v>
      </c>
      <c r="Y46" s="32">
        <v>55.4</v>
      </c>
      <c r="Z46" s="32">
        <v>137.19999999999999</v>
      </c>
      <c r="AA46" s="32">
        <v>63</v>
      </c>
      <c r="AB46" s="32">
        <v>67.5</v>
      </c>
      <c r="AC46" s="32">
        <v>50</v>
      </c>
      <c r="AD46" s="32">
        <v>76.599999999999994</v>
      </c>
      <c r="AE46" s="32">
        <v>163.30000000000001</v>
      </c>
      <c r="AF46" s="32">
        <v>163.30000000000001</v>
      </c>
      <c r="AG46" s="32">
        <v>57.7</v>
      </c>
      <c r="AH46" s="32">
        <v>57.7</v>
      </c>
      <c r="AI46" s="32">
        <v>255.1</v>
      </c>
      <c r="AJ46" s="32">
        <v>43.7</v>
      </c>
      <c r="AK46" s="32">
        <v>778.8</v>
      </c>
      <c r="AL46" s="32">
        <v>105.8</v>
      </c>
      <c r="AM46" s="32">
        <v>24.3</v>
      </c>
      <c r="AN46" s="32">
        <v>77</v>
      </c>
      <c r="AO46" s="32">
        <v>94.2</v>
      </c>
      <c r="AP46" s="32">
        <v>94.2</v>
      </c>
      <c r="AQ46" s="32">
        <v>97.6</v>
      </c>
      <c r="AR46" s="32">
        <v>94.5</v>
      </c>
      <c r="AS46" s="32">
        <v>103.6</v>
      </c>
      <c r="AT46" s="32">
        <v>119.6</v>
      </c>
      <c r="AU46" s="32">
        <v>88.2</v>
      </c>
      <c r="AV46" s="32">
        <v>111.2</v>
      </c>
      <c r="AW46" s="32">
        <v>197.8</v>
      </c>
      <c r="AX46" s="32">
        <v>194.9</v>
      </c>
      <c r="AY46" s="32">
        <v>363.4</v>
      </c>
      <c r="AZ46" s="32">
        <v>94.8</v>
      </c>
      <c r="BA46" s="32">
        <v>25</v>
      </c>
      <c r="BB46" s="32">
        <v>25</v>
      </c>
      <c r="BC46" s="32">
        <v>86.7</v>
      </c>
      <c r="BD46" s="32">
        <v>86.7</v>
      </c>
      <c r="BE46" s="32">
        <v>91.6</v>
      </c>
      <c r="BF46" s="32">
        <v>91.6</v>
      </c>
      <c r="BG46" s="32">
        <v>74.2</v>
      </c>
      <c r="BH46" s="32">
        <v>61.2</v>
      </c>
      <c r="BI46" s="32">
        <v>86.1</v>
      </c>
      <c r="BJ46" s="32">
        <v>36.799999999999997</v>
      </c>
      <c r="BK46" s="32">
        <v>118.8</v>
      </c>
      <c r="BL46" s="32">
        <v>22.1</v>
      </c>
      <c r="BM46" s="32">
        <v>89.2</v>
      </c>
      <c r="BN46" s="32">
        <v>83.6</v>
      </c>
      <c r="BO46" s="32">
        <v>98.8</v>
      </c>
      <c r="BP46" s="32">
        <v>72.2</v>
      </c>
      <c r="BQ46" s="32">
        <v>98.7</v>
      </c>
      <c r="BR46" s="32">
        <v>59.3</v>
      </c>
      <c r="BS46" s="32">
        <v>256.60000000000002</v>
      </c>
      <c r="BT46" s="32">
        <v>72.400000000000006</v>
      </c>
      <c r="BU46" s="32">
        <v>90.6</v>
      </c>
      <c r="BV46" s="32">
        <v>90.6</v>
      </c>
      <c r="BW46" s="32">
        <v>122.9</v>
      </c>
      <c r="BX46" s="32">
        <v>57.3</v>
      </c>
      <c r="BY46" s="32">
        <v>114.7</v>
      </c>
      <c r="BZ46" s="32">
        <v>113.2</v>
      </c>
      <c r="CA46" s="32">
        <v>116</v>
      </c>
      <c r="CB46" s="32">
        <v>112.4</v>
      </c>
      <c r="CC46" s="32">
        <v>129.6</v>
      </c>
      <c r="CD46" s="32">
        <v>44</v>
      </c>
      <c r="CE46" s="32">
        <v>102.5</v>
      </c>
      <c r="CF46" s="32">
        <v>66.7</v>
      </c>
      <c r="CG46" s="32">
        <v>85.2</v>
      </c>
      <c r="CH46" s="32">
        <v>85.7</v>
      </c>
      <c r="CI46" s="32">
        <v>101.8</v>
      </c>
      <c r="CJ46" s="32">
        <v>74</v>
      </c>
      <c r="CK46" s="32">
        <v>90.9</v>
      </c>
      <c r="CL46" s="32">
        <v>86.4</v>
      </c>
      <c r="CM46" s="32">
        <v>99.3</v>
      </c>
      <c r="CN46" s="32">
        <v>60</v>
      </c>
      <c r="CO46" s="32">
        <v>110.2</v>
      </c>
      <c r="CP46" s="32">
        <v>103.9</v>
      </c>
      <c r="CQ46" s="32">
        <v>25</v>
      </c>
      <c r="CR46" s="32">
        <v>84.4</v>
      </c>
      <c r="CS46" s="32">
        <v>110</v>
      </c>
      <c r="CT46" s="32">
        <v>82.3</v>
      </c>
      <c r="CU46" s="32">
        <v>59.6</v>
      </c>
      <c r="CV46" s="32">
        <v>92.7</v>
      </c>
      <c r="CW46" s="32">
        <v>18.399999999999999</v>
      </c>
      <c r="CX46" s="32">
        <v>66</v>
      </c>
      <c r="CY46" s="32">
        <v>70.5</v>
      </c>
      <c r="CZ46" s="32">
        <v>65.900000000000006</v>
      </c>
      <c r="DA46" s="32">
        <v>53.2</v>
      </c>
      <c r="DB46" s="32">
        <v>92.4</v>
      </c>
      <c r="DC46" s="32">
        <v>2.2000000000000002</v>
      </c>
      <c r="DD46" s="32">
        <v>2.2000000000000002</v>
      </c>
      <c r="DE46" s="32">
        <v>43.7</v>
      </c>
      <c r="DF46" s="32">
        <v>36.6</v>
      </c>
      <c r="DG46" s="32">
        <v>94.3</v>
      </c>
      <c r="DH46" s="32">
        <v>72.900000000000006</v>
      </c>
      <c r="DI46" s="32">
        <v>83.5</v>
      </c>
      <c r="DJ46" s="32">
        <v>115.9</v>
      </c>
      <c r="DK46" s="32">
        <v>115.9</v>
      </c>
      <c r="DL46" s="32">
        <v>40.4</v>
      </c>
      <c r="DM46" s="32">
        <v>66.2</v>
      </c>
      <c r="DN46" s="32">
        <v>41.7</v>
      </c>
      <c r="DO46" s="32">
        <v>77.2</v>
      </c>
      <c r="DP46" s="32">
        <v>36.1</v>
      </c>
      <c r="DQ46" s="32">
        <v>59.7</v>
      </c>
      <c r="DR46" s="32">
        <v>63.9</v>
      </c>
      <c r="DS46" s="32">
        <v>61</v>
      </c>
      <c r="DT46" s="32">
        <v>57.1</v>
      </c>
      <c r="DU46" s="32">
        <v>60.2</v>
      </c>
      <c r="DV46" s="32">
        <v>61.9</v>
      </c>
      <c r="DW46" s="32">
        <v>58.1</v>
      </c>
      <c r="DX46" s="32">
        <v>50.4</v>
      </c>
      <c r="DY46" s="32">
        <v>73.400000000000006</v>
      </c>
      <c r="DZ46" s="32">
        <v>99.2</v>
      </c>
      <c r="EA46" s="32">
        <v>99.2</v>
      </c>
      <c r="EB46" s="32">
        <v>61.4</v>
      </c>
      <c r="EC46" s="32">
        <v>62.1</v>
      </c>
      <c r="ED46" s="32">
        <v>60.8</v>
      </c>
      <c r="EE46" s="32">
        <v>64.2</v>
      </c>
      <c r="EF46" s="32">
        <v>51.8</v>
      </c>
      <c r="EG46" s="32">
        <v>53.6</v>
      </c>
      <c r="EH46" s="32">
        <v>61.1</v>
      </c>
      <c r="EI46" s="32">
        <v>49.7</v>
      </c>
      <c r="EJ46" s="32">
        <v>103.7</v>
      </c>
      <c r="EK46" s="32">
        <v>46.3</v>
      </c>
      <c r="EL46" s="32">
        <v>69.2</v>
      </c>
      <c r="EM46" s="32">
        <v>38.6</v>
      </c>
      <c r="EN46" s="32">
        <v>47.3</v>
      </c>
      <c r="EO46" s="32">
        <v>82.2</v>
      </c>
      <c r="EP46" s="32">
        <v>85.6</v>
      </c>
      <c r="EQ46" s="32">
        <v>85.6</v>
      </c>
      <c r="ER46" s="32">
        <v>97</v>
      </c>
      <c r="ES46" s="32">
        <v>97</v>
      </c>
      <c r="ET46" s="32">
        <v>69.400000000000006</v>
      </c>
      <c r="EU46" s="32">
        <v>66.2</v>
      </c>
      <c r="EV46" s="32">
        <v>66.2</v>
      </c>
      <c r="EW46" s="32">
        <v>78.099999999999994</v>
      </c>
      <c r="EX46" s="32">
        <v>95.6</v>
      </c>
      <c r="EY46" s="32">
        <v>64.5</v>
      </c>
      <c r="EZ46" s="32">
        <v>84.9</v>
      </c>
      <c r="FA46" s="32">
        <v>79.8</v>
      </c>
      <c r="FB46" s="32">
        <v>91.6</v>
      </c>
      <c r="FC46" s="32">
        <v>82</v>
      </c>
      <c r="FD46" s="32">
        <v>98.2</v>
      </c>
      <c r="FE46" s="32">
        <v>100.1</v>
      </c>
      <c r="FF46" s="32">
        <v>65.599999999999994</v>
      </c>
      <c r="FG46" s="32">
        <v>87.1</v>
      </c>
      <c r="FH46" s="32">
        <v>85.5</v>
      </c>
      <c r="FI46" s="32">
        <v>100.1</v>
      </c>
      <c r="FJ46" s="32">
        <v>85.9</v>
      </c>
      <c r="FK46" s="32">
        <v>104.9</v>
      </c>
      <c r="FL46" s="32">
        <v>104.9</v>
      </c>
    </row>
    <row r="47" spans="1:168" x14ac:dyDescent="0.2">
      <c r="A47" s="34" t="s">
        <v>1027</v>
      </c>
      <c r="B47" s="32">
        <v>72.3</v>
      </c>
      <c r="C47" s="32">
        <v>80.400000000000006</v>
      </c>
      <c r="D47" s="32">
        <v>95</v>
      </c>
      <c r="E47" s="32">
        <v>92.9</v>
      </c>
      <c r="F47" s="32">
        <v>341</v>
      </c>
      <c r="G47" s="32">
        <v>6260.1</v>
      </c>
      <c r="H47" s="32">
        <v>438.5</v>
      </c>
      <c r="I47" s="32">
        <v>59.7</v>
      </c>
      <c r="J47" s="32">
        <v>76.3</v>
      </c>
      <c r="K47" s="32">
        <v>90.9</v>
      </c>
      <c r="L47" s="32">
        <v>89.3</v>
      </c>
      <c r="M47" s="32">
        <v>89.1</v>
      </c>
      <c r="N47" s="32">
        <v>68.900000000000006</v>
      </c>
      <c r="O47" s="32">
        <v>179</v>
      </c>
      <c r="P47" s="32">
        <v>377.8</v>
      </c>
      <c r="Q47" s="32">
        <v>131.30000000000001</v>
      </c>
      <c r="R47" s="32">
        <v>74.900000000000006</v>
      </c>
      <c r="S47" s="32">
        <v>111.4</v>
      </c>
      <c r="T47" s="32">
        <v>67.5</v>
      </c>
      <c r="U47" s="32">
        <v>35.5</v>
      </c>
      <c r="V47" s="32">
        <v>128.69999999999999</v>
      </c>
      <c r="W47" s="32">
        <v>46.1</v>
      </c>
      <c r="X47" s="32">
        <v>31.9</v>
      </c>
      <c r="Y47" s="32">
        <v>58.1</v>
      </c>
      <c r="Z47" s="32">
        <v>131.4</v>
      </c>
      <c r="AA47" s="32">
        <v>63.4</v>
      </c>
      <c r="AB47" s="32">
        <v>66.3</v>
      </c>
      <c r="AC47" s="32">
        <v>49.2</v>
      </c>
      <c r="AD47" s="32">
        <v>78.8</v>
      </c>
      <c r="AE47" s="32">
        <v>160.69999999999999</v>
      </c>
      <c r="AF47" s="32">
        <v>160.69999999999999</v>
      </c>
      <c r="AG47" s="32">
        <v>58</v>
      </c>
      <c r="AH47" s="32">
        <v>58</v>
      </c>
      <c r="AI47" s="32">
        <v>241.3</v>
      </c>
      <c r="AJ47" s="32">
        <v>41.7</v>
      </c>
      <c r="AK47" s="32">
        <v>812.8</v>
      </c>
      <c r="AL47" s="32">
        <v>109</v>
      </c>
      <c r="AM47" s="32">
        <v>26.9</v>
      </c>
      <c r="AN47" s="32">
        <v>79.099999999999994</v>
      </c>
      <c r="AO47" s="32">
        <v>97.6</v>
      </c>
      <c r="AP47" s="32">
        <v>97.6</v>
      </c>
      <c r="AQ47" s="32">
        <v>98.2</v>
      </c>
      <c r="AR47" s="32">
        <v>93.7</v>
      </c>
      <c r="AS47" s="32">
        <v>106.5</v>
      </c>
      <c r="AT47" s="32">
        <v>123.6</v>
      </c>
      <c r="AU47" s="32">
        <v>90</v>
      </c>
      <c r="AV47" s="32">
        <v>110.6</v>
      </c>
      <c r="AW47" s="32">
        <v>195.5</v>
      </c>
      <c r="AX47" s="32">
        <v>192.5</v>
      </c>
      <c r="AY47" s="32">
        <v>360.2</v>
      </c>
      <c r="AZ47" s="32">
        <v>94.5</v>
      </c>
      <c r="BA47" s="32">
        <v>25.7</v>
      </c>
      <c r="BB47" s="32">
        <v>25.7</v>
      </c>
      <c r="BC47" s="32">
        <v>87.5</v>
      </c>
      <c r="BD47" s="32">
        <v>87.5</v>
      </c>
      <c r="BE47" s="32">
        <v>90.8</v>
      </c>
      <c r="BF47" s="32">
        <v>90.8</v>
      </c>
      <c r="BG47" s="32">
        <v>74.900000000000006</v>
      </c>
      <c r="BH47" s="32">
        <v>60.6</v>
      </c>
      <c r="BI47" s="32">
        <v>88.6</v>
      </c>
      <c r="BJ47" s="32">
        <v>35</v>
      </c>
      <c r="BK47" s="32">
        <v>122.3</v>
      </c>
      <c r="BL47" s="32">
        <v>25.1</v>
      </c>
      <c r="BM47" s="32">
        <v>86.8</v>
      </c>
      <c r="BN47" s="32">
        <v>80.099999999999994</v>
      </c>
      <c r="BO47" s="32">
        <v>92.3</v>
      </c>
      <c r="BP47" s="32">
        <v>70.8</v>
      </c>
      <c r="BQ47" s="32">
        <v>97.8</v>
      </c>
      <c r="BR47" s="32">
        <v>56</v>
      </c>
      <c r="BS47" s="32">
        <v>235.2</v>
      </c>
      <c r="BT47" s="32">
        <v>74.7</v>
      </c>
      <c r="BU47" s="32">
        <v>87</v>
      </c>
      <c r="BV47" s="32">
        <v>87</v>
      </c>
      <c r="BW47" s="32">
        <v>119.1</v>
      </c>
      <c r="BX47" s="32">
        <v>52.6</v>
      </c>
      <c r="BY47" s="32">
        <v>117.9</v>
      </c>
      <c r="BZ47" s="32">
        <v>112.6</v>
      </c>
      <c r="CA47" s="32">
        <v>121.3</v>
      </c>
      <c r="CB47" s="32">
        <v>120.3</v>
      </c>
      <c r="CC47" s="32">
        <v>131.1</v>
      </c>
      <c r="CD47" s="32">
        <v>44.7</v>
      </c>
      <c r="CE47" s="32">
        <v>101.1</v>
      </c>
      <c r="CF47" s="32">
        <v>67.099999999999994</v>
      </c>
      <c r="CG47" s="32">
        <v>84.6</v>
      </c>
      <c r="CH47" s="32">
        <v>85</v>
      </c>
      <c r="CI47" s="32">
        <v>100.9</v>
      </c>
      <c r="CJ47" s="32">
        <v>72.7</v>
      </c>
      <c r="CK47" s="32">
        <v>90.8</v>
      </c>
      <c r="CL47" s="32">
        <v>86.5</v>
      </c>
      <c r="CM47" s="32">
        <v>99.9</v>
      </c>
      <c r="CN47" s="32">
        <v>62</v>
      </c>
      <c r="CO47" s="32">
        <v>110.4</v>
      </c>
      <c r="CP47" s="32">
        <v>104.9</v>
      </c>
      <c r="CQ47" s="32">
        <v>23.6</v>
      </c>
      <c r="CR47" s="32">
        <v>87.4</v>
      </c>
      <c r="CS47" s="32">
        <v>108.3</v>
      </c>
      <c r="CT47" s="32">
        <v>81.400000000000006</v>
      </c>
      <c r="CU47" s="32">
        <v>59.3</v>
      </c>
      <c r="CV47" s="32">
        <v>91.5</v>
      </c>
      <c r="CW47" s="32">
        <v>19.5</v>
      </c>
      <c r="CX47" s="32">
        <v>68.400000000000006</v>
      </c>
      <c r="CY47" s="32">
        <v>75.099999999999994</v>
      </c>
      <c r="CZ47" s="32">
        <v>66.400000000000006</v>
      </c>
      <c r="DA47" s="32">
        <v>53.4</v>
      </c>
      <c r="DB47" s="32">
        <v>93.6</v>
      </c>
      <c r="DC47" s="32">
        <v>2.5</v>
      </c>
      <c r="DD47" s="32">
        <v>2.5</v>
      </c>
      <c r="DE47" s="32">
        <v>43.4</v>
      </c>
      <c r="DF47" s="32">
        <v>36.1</v>
      </c>
      <c r="DG47" s="32">
        <v>96</v>
      </c>
      <c r="DH47" s="32">
        <v>73.2</v>
      </c>
      <c r="DI47" s="32">
        <v>83.8</v>
      </c>
      <c r="DJ47" s="32">
        <v>117.7</v>
      </c>
      <c r="DK47" s="32">
        <v>117.7</v>
      </c>
      <c r="DL47" s="32">
        <v>39.9</v>
      </c>
      <c r="DM47" s="32">
        <v>66.099999999999994</v>
      </c>
      <c r="DN47" s="32">
        <v>41.4</v>
      </c>
      <c r="DO47" s="32">
        <v>77.2</v>
      </c>
      <c r="DP47" s="32">
        <v>37.1</v>
      </c>
      <c r="DQ47" s="32">
        <v>60.3</v>
      </c>
      <c r="DR47" s="32">
        <v>64.8</v>
      </c>
      <c r="DS47" s="32">
        <v>61.8</v>
      </c>
      <c r="DT47" s="32">
        <v>56.6</v>
      </c>
      <c r="DU47" s="32">
        <v>58.6</v>
      </c>
      <c r="DV47" s="32">
        <v>62.1</v>
      </c>
      <c r="DW47" s="32">
        <v>54.6</v>
      </c>
      <c r="DX47" s="32">
        <v>52.2</v>
      </c>
      <c r="DY47" s="32">
        <v>78.5</v>
      </c>
      <c r="DZ47" s="32">
        <v>101.5</v>
      </c>
      <c r="EA47" s="32">
        <v>101.5</v>
      </c>
      <c r="EB47" s="32">
        <v>62.3</v>
      </c>
      <c r="EC47" s="32">
        <v>61.9</v>
      </c>
      <c r="ED47" s="32">
        <v>63.2</v>
      </c>
      <c r="EE47" s="32">
        <v>67.400000000000006</v>
      </c>
      <c r="EF47" s="32">
        <v>52</v>
      </c>
      <c r="EG47" s="32">
        <v>53.8</v>
      </c>
      <c r="EH47" s="32">
        <v>60.4</v>
      </c>
      <c r="EI47" s="32">
        <v>50.3</v>
      </c>
      <c r="EJ47" s="32">
        <v>103.6</v>
      </c>
      <c r="EK47" s="32">
        <v>46.8</v>
      </c>
      <c r="EL47" s="32">
        <v>68.099999999999994</v>
      </c>
      <c r="EM47" s="32">
        <v>38</v>
      </c>
      <c r="EN47" s="32">
        <v>48.8</v>
      </c>
      <c r="EO47" s="32">
        <v>82.4</v>
      </c>
      <c r="EP47" s="32">
        <v>85.5</v>
      </c>
      <c r="EQ47" s="32">
        <v>85.5</v>
      </c>
      <c r="ER47" s="32">
        <v>97.2</v>
      </c>
      <c r="ES47" s="32">
        <v>97.2</v>
      </c>
      <c r="ET47" s="32">
        <v>69.900000000000006</v>
      </c>
      <c r="EU47" s="32">
        <v>66.5</v>
      </c>
      <c r="EV47" s="32">
        <v>66.5</v>
      </c>
      <c r="EW47" s="32">
        <v>78.7</v>
      </c>
      <c r="EX47" s="32">
        <v>96.3</v>
      </c>
      <c r="EY47" s="32">
        <v>65</v>
      </c>
      <c r="EZ47" s="32">
        <v>84.7</v>
      </c>
      <c r="FA47" s="32">
        <v>79.599999999999994</v>
      </c>
      <c r="FB47" s="32">
        <v>91</v>
      </c>
      <c r="FC47" s="32">
        <v>80.400000000000006</v>
      </c>
      <c r="FD47" s="32">
        <v>99.2</v>
      </c>
      <c r="FE47" s="32">
        <v>100.8</v>
      </c>
      <c r="FF47" s="32">
        <v>65.8</v>
      </c>
      <c r="FG47" s="32">
        <v>86.9</v>
      </c>
      <c r="FH47" s="32">
        <v>86.3</v>
      </c>
      <c r="FI47" s="32">
        <v>91.1</v>
      </c>
      <c r="FJ47" s="32">
        <v>86.5</v>
      </c>
      <c r="FK47" s="32">
        <v>104.7</v>
      </c>
      <c r="FL47" s="32">
        <v>104.7</v>
      </c>
    </row>
    <row r="48" spans="1:168" x14ac:dyDescent="0.2">
      <c r="A48" s="34" t="s">
        <v>1028</v>
      </c>
      <c r="B48" s="32">
        <v>72</v>
      </c>
      <c r="C48" s="32">
        <v>81</v>
      </c>
      <c r="D48" s="32">
        <v>94.3</v>
      </c>
      <c r="E48" s="32">
        <v>92.3</v>
      </c>
      <c r="F48" s="32">
        <v>330.7</v>
      </c>
      <c r="G48" s="32">
        <v>5596.1</v>
      </c>
      <c r="H48" s="32">
        <v>423.5</v>
      </c>
      <c r="I48" s="32">
        <v>60</v>
      </c>
      <c r="J48" s="32">
        <v>75.8</v>
      </c>
      <c r="K48" s="32">
        <v>91.4</v>
      </c>
      <c r="L48" s="32">
        <v>90</v>
      </c>
      <c r="M48" s="32">
        <v>95.5</v>
      </c>
      <c r="N48" s="32">
        <v>67.599999999999994</v>
      </c>
      <c r="O48" s="32">
        <v>175</v>
      </c>
      <c r="P48" s="32">
        <v>376.3</v>
      </c>
      <c r="Q48" s="32">
        <v>134.5</v>
      </c>
      <c r="R48" s="32">
        <v>76</v>
      </c>
      <c r="S48" s="32">
        <v>110.8</v>
      </c>
      <c r="T48" s="32">
        <v>67</v>
      </c>
      <c r="U48" s="32">
        <v>31.7</v>
      </c>
      <c r="V48" s="32">
        <v>131.1</v>
      </c>
      <c r="W48" s="32">
        <v>45.4</v>
      </c>
      <c r="X48" s="32">
        <v>32.200000000000003</v>
      </c>
      <c r="Y48" s="32">
        <v>56.5</v>
      </c>
      <c r="Z48" s="32">
        <v>123.9</v>
      </c>
      <c r="AA48" s="32">
        <v>63.6</v>
      </c>
      <c r="AB48" s="32">
        <v>67.099999999999994</v>
      </c>
      <c r="AC48" s="32">
        <v>48.8</v>
      </c>
      <c r="AD48" s="32">
        <v>79.2</v>
      </c>
      <c r="AE48" s="32">
        <v>157.80000000000001</v>
      </c>
      <c r="AF48" s="32">
        <v>157.80000000000001</v>
      </c>
      <c r="AG48" s="32">
        <v>59.2</v>
      </c>
      <c r="AH48" s="32">
        <v>59.2</v>
      </c>
      <c r="AI48" s="32">
        <v>265</v>
      </c>
      <c r="AJ48" s="32">
        <v>44</v>
      </c>
      <c r="AK48" s="32">
        <v>797.5</v>
      </c>
      <c r="AL48" s="32">
        <v>113.2</v>
      </c>
      <c r="AM48" s="32">
        <v>25.6</v>
      </c>
      <c r="AN48" s="32">
        <v>76.900000000000006</v>
      </c>
      <c r="AO48" s="32">
        <v>87</v>
      </c>
      <c r="AP48" s="32">
        <v>87</v>
      </c>
      <c r="AQ48" s="32">
        <v>99.5</v>
      </c>
      <c r="AR48" s="32">
        <v>94.6</v>
      </c>
      <c r="AS48" s="32">
        <v>108.5</v>
      </c>
      <c r="AT48" s="32">
        <v>124.6</v>
      </c>
      <c r="AU48" s="32">
        <v>93.1</v>
      </c>
      <c r="AV48" s="32">
        <v>110.2</v>
      </c>
      <c r="AW48" s="32">
        <v>190.9</v>
      </c>
      <c r="AX48" s="32">
        <v>189.5</v>
      </c>
      <c r="AY48" s="32">
        <v>349.7</v>
      </c>
      <c r="AZ48" s="32">
        <v>94.9</v>
      </c>
      <c r="BA48" s="32">
        <v>26.2</v>
      </c>
      <c r="BB48" s="32">
        <v>26.2</v>
      </c>
      <c r="BC48" s="32">
        <v>88.3</v>
      </c>
      <c r="BD48" s="32">
        <v>88.3</v>
      </c>
      <c r="BE48" s="32">
        <v>91.4</v>
      </c>
      <c r="BF48" s="32">
        <v>91.4</v>
      </c>
      <c r="BG48" s="32">
        <v>73.599999999999994</v>
      </c>
      <c r="BH48" s="32">
        <v>58.6</v>
      </c>
      <c r="BI48" s="32">
        <v>88.3</v>
      </c>
      <c r="BJ48" s="32">
        <v>33.6</v>
      </c>
      <c r="BK48" s="32">
        <v>124</v>
      </c>
      <c r="BL48" s="32">
        <v>22</v>
      </c>
      <c r="BM48" s="32">
        <v>84.9</v>
      </c>
      <c r="BN48" s="32">
        <v>80</v>
      </c>
      <c r="BO48" s="32">
        <v>92.4</v>
      </c>
      <c r="BP48" s="32">
        <v>70.599999999999994</v>
      </c>
      <c r="BQ48" s="32">
        <v>93.1</v>
      </c>
      <c r="BR48" s="32">
        <v>56.3</v>
      </c>
      <c r="BS48" s="32">
        <v>245.8</v>
      </c>
      <c r="BT48" s="32">
        <v>67.900000000000006</v>
      </c>
      <c r="BU48" s="32">
        <v>87.4</v>
      </c>
      <c r="BV48" s="32">
        <v>87.4</v>
      </c>
      <c r="BW48" s="32">
        <v>119.3</v>
      </c>
      <c r="BX48" s="32">
        <v>54.3</v>
      </c>
      <c r="BY48" s="32">
        <v>117.4</v>
      </c>
      <c r="BZ48" s="32">
        <v>113</v>
      </c>
      <c r="CA48" s="32">
        <v>120.3</v>
      </c>
      <c r="CB48" s="32">
        <v>117.7</v>
      </c>
      <c r="CC48" s="32">
        <v>132.69999999999999</v>
      </c>
      <c r="CD48" s="32">
        <v>45.2</v>
      </c>
      <c r="CE48" s="32">
        <v>99.9</v>
      </c>
      <c r="CF48" s="32">
        <v>66.900000000000006</v>
      </c>
      <c r="CG48" s="32">
        <v>83.6</v>
      </c>
      <c r="CH48" s="32">
        <v>82.4</v>
      </c>
      <c r="CI48" s="32">
        <v>103.2</v>
      </c>
      <c r="CJ48" s="32">
        <v>66.7</v>
      </c>
      <c r="CK48" s="32">
        <v>90.5</v>
      </c>
      <c r="CL48" s="32">
        <v>89.3</v>
      </c>
      <c r="CM48" s="32">
        <v>100.2</v>
      </c>
      <c r="CN48" s="32">
        <v>64.7</v>
      </c>
      <c r="CO48" s="32">
        <v>110.2</v>
      </c>
      <c r="CP48" s="32">
        <v>107.4</v>
      </c>
      <c r="CQ48" s="32">
        <v>24.1</v>
      </c>
      <c r="CR48" s="32">
        <v>90.2</v>
      </c>
      <c r="CS48" s="32">
        <v>120.5</v>
      </c>
      <c r="CT48" s="32">
        <v>82</v>
      </c>
      <c r="CU48" s="32">
        <v>57.8</v>
      </c>
      <c r="CV48" s="32">
        <v>92.9</v>
      </c>
      <c r="CW48" s="32">
        <v>18.8</v>
      </c>
      <c r="CX48" s="32">
        <v>68.400000000000006</v>
      </c>
      <c r="CY48" s="32">
        <v>73.900000000000006</v>
      </c>
      <c r="CZ48" s="32">
        <v>67.5</v>
      </c>
      <c r="DA48" s="32">
        <v>54.2</v>
      </c>
      <c r="DB48" s="32">
        <v>95.3</v>
      </c>
      <c r="DC48" s="32">
        <v>2.4</v>
      </c>
      <c r="DD48" s="32">
        <v>2.4</v>
      </c>
      <c r="DE48" s="32">
        <v>41.1</v>
      </c>
      <c r="DF48" s="32">
        <v>34.299999999999997</v>
      </c>
      <c r="DG48" s="32">
        <v>89.5</v>
      </c>
      <c r="DH48" s="32">
        <v>73.400000000000006</v>
      </c>
      <c r="DI48" s="32">
        <v>83.6</v>
      </c>
      <c r="DJ48" s="32">
        <v>117.3</v>
      </c>
      <c r="DK48" s="32">
        <v>117.3</v>
      </c>
      <c r="DL48" s="32">
        <v>41.1</v>
      </c>
      <c r="DM48" s="32">
        <v>66.599999999999994</v>
      </c>
      <c r="DN48" s="32">
        <v>42.3</v>
      </c>
      <c r="DO48" s="32">
        <v>77.599999999999994</v>
      </c>
      <c r="DP48" s="32">
        <v>38.200000000000003</v>
      </c>
      <c r="DQ48" s="32">
        <v>60.9</v>
      </c>
      <c r="DR48" s="32">
        <v>65</v>
      </c>
      <c r="DS48" s="32">
        <v>62.3</v>
      </c>
      <c r="DT48" s="32">
        <v>58.1</v>
      </c>
      <c r="DU48" s="32">
        <v>60.1</v>
      </c>
      <c r="DV48" s="32">
        <v>62.3</v>
      </c>
      <c r="DW48" s="32">
        <v>57.5</v>
      </c>
      <c r="DX48" s="32">
        <v>53.8</v>
      </c>
      <c r="DY48" s="32">
        <v>76</v>
      </c>
      <c r="DZ48" s="32">
        <v>93</v>
      </c>
      <c r="EA48" s="32">
        <v>93</v>
      </c>
      <c r="EB48" s="32">
        <v>63.6</v>
      </c>
      <c r="EC48" s="32">
        <v>62</v>
      </c>
      <c r="ED48" s="32">
        <v>66.2</v>
      </c>
      <c r="EE48" s="32">
        <v>71.5</v>
      </c>
      <c r="EF48" s="32">
        <v>52.4</v>
      </c>
      <c r="EG48" s="32">
        <v>54.7</v>
      </c>
      <c r="EH48" s="32">
        <v>61.7</v>
      </c>
      <c r="EI48" s="32">
        <v>50.5</v>
      </c>
      <c r="EJ48" s="32">
        <v>100.8</v>
      </c>
      <c r="EK48" s="32">
        <v>48.5</v>
      </c>
      <c r="EL48" s="32">
        <v>67.599999999999994</v>
      </c>
      <c r="EM48" s="32">
        <v>37.5</v>
      </c>
      <c r="EN48" s="32">
        <v>52.5</v>
      </c>
      <c r="EO48" s="32">
        <v>82.8</v>
      </c>
      <c r="EP48" s="32">
        <v>86</v>
      </c>
      <c r="EQ48" s="32">
        <v>86</v>
      </c>
      <c r="ER48" s="32">
        <v>97.6</v>
      </c>
      <c r="ES48" s="32">
        <v>97.6</v>
      </c>
      <c r="ET48" s="32">
        <v>70.099999999999994</v>
      </c>
      <c r="EU48" s="32">
        <v>66.7</v>
      </c>
      <c r="EV48" s="32">
        <v>66.7</v>
      </c>
      <c r="EW48" s="32">
        <v>79.2</v>
      </c>
      <c r="EX48" s="32">
        <v>96.8</v>
      </c>
      <c r="EY48" s="32">
        <v>65.5</v>
      </c>
      <c r="EZ48" s="32">
        <v>85.9</v>
      </c>
      <c r="FA48" s="32">
        <v>80.8</v>
      </c>
      <c r="FB48" s="32">
        <v>92.9</v>
      </c>
      <c r="FC48" s="32">
        <v>82.7</v>
      </c>
      <c r="FD48" s="32">
        <v>100.1</v>
      </c>
      <c r="FE48" s="32">
        <v>102.4</v>
      </c>
      <c r="FF48" s="32">
        <v>66.099999999999994</v>
      </c>
      <c r="FG48" s="32">
        <v>88.9</v>
      </c>
      <c r="FH48" s="32">
        <v>90.2</v>
      </c>
      <c r="FI48" s="32">
        <v>90.7</v>
      </c>
      <c r="FJ48" s="32">
        <v>88</v>
      </c>
      <c r="FK48" s="32">
        <v>99.8</v>
      </c>
      <c r="FL48" s="32">
        <v>99.8</v>
      </c>
    </row>
    <row r="49" spans="1:168" x14ac:dyDescent="0.2">
      <c r="A49" s="34" t="s">
        <v>1029</v>
      </c>
      <c r="B49" s="32">
        <v>72.7</v>
      </c>
      <c r="C49" s="32">
        <v>81.599999999999994</v>
      </c>
      <c r="D49" s="32">
        <v>95.2</v>
      </c>
      <c r="E49" s="32">
        <v>93.5</v>
      </c>
      <c r="F49" s="32">
        <v>324</v>
      </c>
      <c r="G49" s="32">
        <v>4937.8</v>
      </c>
      <c r="H49" s="32">
        <v>418.5</v>
      </c>
      <c r="I49" s="32">
        <v>57.5</v>
      </c>
      <c r="J49" s="32">
        <v>77</v>
      </c>
      <c r="K49" s="32">
        <v>90.6</v>
      </c>
      <c r="L49" s="32">
        <v>89</v>
      </c>
      <c r="M49" s="32">
        <v>89.3</v>
      </c>
      <c r="N49" s="32">
        <v>67.5</v>
      </c>
      <c r="O49" s="32">
        <v>173.4</v>
      </c>
      <c r="P49" s="32">
        <v>367</v>
      </c>
      <c r="Q49" s="32">
        <v>131.30000000000001</v>
      </c>
      <c r="R49" s="32">
        <v>76.3</v>
      </c>
      <c r="S49" s="32">
        <v>112.1</v>
      </c>
      <c r="T49" s="32">
        <v>61.9</v>
      </c>
      <c r="U49" s="32">
        <v>34.299999999999997</v>
      </c>
      <c r="V49" s="32">
        <v>128.9</v>
      </c>
      <c r="W49" s="32">
        <v>45.8</v>
      </c>
      <c r="X49" s="32">
        <v>32.700000000000003</v>
      </c>
      <c r="Y49" s="32">
        <v>56.4</v>
      </c>
      <c r="Z49" s="32">
        <v>126.1</v>
      </c>
      <c r="AA49" s="32">
        <v>63.4</v>
      </c>
      <c r="AB49" s="32">
        <v>69.099999999999994</v>
      </c>
      <c r="AC49" s="32">
        <v>49.3</v>
      </c>
      <c r="AD49" s="32">
        <v>77.400000000000006</v>
      </c>
      <c r="AE49" s="32">
        <v>170.9</v>
      </c>
      <c r="AF49" s="32">
        <v>170.9</v>
      </c>
      <c r="AG49" s="32">
        <v>59.2</v>
      </c>
      <c r="AH49" s="32">
        <v>59.2</v>
      </c>
      <c r="AI49" s="32">
        <v>270.8</v>
      </c>
      <c r="AJ49" s="32">
        <v>44.7</v>
      </c>
      <c r="AK49" s="32">
        <v>762.4</v>
      </c>
      <c r="AL49" s="32">
        <v>106.3</v>
      </c>
      <c r="AM49" s="32">
        <v>25.2</v>
      </c>
      <c r="AN49" s="32">
        <v>79.400000000000006</v>
      </c>
      <c r="AO49" s="32">
        <v>93.9</v>
      </c>
      <c r="AP49" s="32">
        <v>93.9</v>
      </c>
      <c r="AQ49" s="32">
        <v>101.2</v>
      </c>
      <c r="AR49" s="32">
        <v>95.8</v>
      </c>
      <c r="AS49" s="32">
        <v>111</v>
      </c>
      <c r="AT49" s="32">
        <v>127.4</v>
      </c>
      <c r="AU49" s="32">
        <v>95.4</v>
      </c>
      <c r="AV49" s="32">
        <v>111.2</v>
      </c>
      <c r="AW49" s="32">
        <v>193.6</v>
      </c>
      <c r="AX49" s="32">
        <v>187.7</v>
      </c>
      <c r="AY49" s="32">
        <v>362.6</v>
      </c>
      <c r="AZ49" s="32">
        <v>95.6</v>
      </c>
      <c r="BA49" s="32">
        <v>27.9</v>
      </c>
      <c r="BB49" s="32">
        <v>27.9</v>
      </c>
      <c r="BC49" s="32">
        <v>89.9</v>
      </c>
      <c r="BD49" s="32">
        <v>89.9</v>
      </c>
      <c r="BE49" s="32">
        <v>92.1</v>
      </c>
      <c r="BF49" s="32">
        <v>92.1</v>
      </c>
      <c r="BG49" s="32">
        <v>73.900000000000006</v>
      </c>
      <c r="BH49" s="32">
        <v>58</v>
      </c>
      <c r="BI49" s="32">
        <v>90.2</v>
      </c>
      <c r="BJ49" s="32">
        <v>33.299999999999997</v>
      </c>
      <c r="BK49" s="32">
        <v>127.1</v>
      </c>
      <c r="BL49" s="32">
        <v>22.5</v>
      </c>
      <c r="BM49" s="32">
        <v>87.3</v>
      </c>
      <c r="BN49" s="32">
        <v>79.900000000000006</v>
      </c>
      <c r="BO49" s="32">
        <v>92.8</v>
      </c>
      <c r="BP49" s="32">
        <v>70.2</v>
      </c>
      <c r="BQ49" s="32">
        <v>99.5</v>
      </c>
      <c r="BR49" s="32">
        <v>49.5</v>
      </c>
      <c r="BS49" s="32">
        <v>259.10000000000002</v>
      </c>
      <c r="BT49" s="32">
        <v>74.2</v>
      </c>
      <c r="BU49" s="32">
        <v>89.6</v>
      </c>
      <c r="BV49" s="32">
        <v>89.6</v>
      </c>
      <c r="BW49" s="32">
        <v>122.7</v>
      </c>
      <c r="BX49" s="32">
        <v>54.6</v>
      </c>
      <c r="BY49" s="32">
        <v>118</v>
      </c>
      <c r="BZ49" s="32">
        <v>112.2</v>
      </c>
      <c r="CA49" s="32">
        <v>121.6</v>
      </c>
      <c r="CB49" s="32">
        <v>118.7</v>
      </c>
      <c r="CC49" s="32">
        <v>134.6</v>
      </c>
      <c r="CD49" s="32">
        <v>45.5</v>
      </c>
      <c r="CE49" s="32">
        <v>99.5</v>
      </c>
      <c r="CF49" s="32">
        <v>67.5</v>
      </c>
      <c r="CG49" s="32">
        <v>86.5</v>
      </c>
      <c r="CH49" s="32">
        <v>87</v>
      </c>
      <c r="CI49" s="32">
        <v>102.3</v>
      </c>
      <c r="CJ49" s="32">
        <v>75.900000000000006</v>
      </c>
      <c r="CK49" s="32">
        <v>91.7</v>
      </c>
      <c r="CL49" s="32">
        <v>89</v>
      </c>
      <c r="CM49" s="32">
        <v>100.3</v>
      </c>
      <c r="CN49" s="32">
        <v>64.3</v>
      </c>
      <c r="CO49" s="32">
        <v>110.4</v>
      </c>
      <c r="CP49" s="32">
        <v>109.5</v>
      </c>
      <c r="CQ49" s="32">
        <v>23.4</v>
      </c>
      <c r="CR49" s="32">
        <v>85.7</v>
      </c>
      <c r="CS49" s="32">
        <v>127.3</v>
      </c>
      <c r="CT49" s="32">
        <v>81.5</v>
      </c>
      <c r="CU49" s="32">
        <v>55.8</v>
      </c>
      <c r="CV49" s="32">
        <v>93.1</v>
      </c>
      <c r="CW49" s="32">
        <v>19.600000000000001</v>
      </c>
      <c r="CX49" s="32">
        <v>67.099999999999994</v>
      </c>
      <c r="CY49" s="32">
        <v>71.7</v>
      </c>
      <c r="CZ49" s="32">
        <v>66.900000000000006</v>
      </c>
      <c r="DA49" s="32">
        <v>53.5</v>
      </c>
      <c r="DB49" s="32">
        <v>95.3</v>
      </c>
      <c r="DC49" s="32">
        <v>2.5</v>
      </c>
      <c r="DD49" s="32">
        <v>2.5</v>
      </c>
      <c r="DE49" s="32">
        <v>44.9</v>
      </c>
      <c r="DF49" s="32">
        <v>37.799999999999997</v>
      </c>
      <c r="DG49" s="32">
        <v>95.9</v>
      </c>
      <c r="DH49" s="32">
        <v>72.3</v>
      </c>
      <c r="DI49" s="32">
        <v>82.5</v>
      </c>
      <c r="DJ49" s="32">
        <v>117</v>
      </c>
      <c r="DK49" s="32">
        <v>117</v>
      </c>
      <c r="DL49" s="32">
        <v>39.1</v>
      </c>
      <c r="DM49" s="32">
        <v>66.599999999999994</v>
      </c>
      <c r="DN49" s="32">
        <v>42.1</v>
      </c>
      <c r="DO49" s="32">
        <v>77.5</v>
      </c>
      <c r="DP49" s="32">
        <v>39</v>
      </c>
      <c r="DQ49" s="32">
        <v>60.3</v>
      </c>
      <c r="DR49" s="32">
        <v>63.8</v>
      </c>
      <c r="DS49" s="32">
        <v>60.9</v>
      </c>
      <c r="DT49" s="32">
        <v>57.2</v>
      </c>
      <c r="DU49" s="32">
        <v>58.6</v>
      </c>
      <c r="DV49" s="32">
        <v>61.5</v>
      </c>
      <c r="DW49" s="32">
        <v>55.2</v>
      </c>
      <c r="DX49" s="32">
        <v>54.2</v>
      </c>
      <c r="DY49" s="32">
        <v>72.8</v>
      </c>
      <c r="DZ49" s="32">
        <v>94.4</v>
      </c>
      <c r="EA49" s="32">
        <v>94.4</v>
      </c>
      <c r="EB49" s="32">
        <v>62.7</v>
      </c>
      <c r="EC49" s="32">
        <v>61.8</v>
      </c>
      <c r="ED49" s="32">
        <v>64.3</v>
      </c>
      <c r="EE49" s="32">
        <v>68.900000000000006</v>
      </c>
      <c r="EF49" s="32">
        <v>52.2</v>
      </c>
      <c r="EG49" s="32">
        <v>55</v>
      </c>
      <c r="EH49" s="32">
        <v>61.8</v>
      </c>
      <c r="EI49" s="32">
        <v>52.6</v>
      </c>
      <c r="EJ49" s="32">
        <v>94.7</v>
      </c>
      <c r="EK49" s="32">
        <v>48</v>
      </c>
      <c r="EL49" s="32">
        <v>66.8</v>
      </c>
      <c r="EM49" s="32">
        <v>37.9</v>
      </c>
      <c r="EN49" s="32">
        <v>51.5</v>
      </c>
      <c r="EO49" s="32">
        <v>82.7</v>
      </c>
      <c r="EP49" s="32">
        <v>85.9</v>
      </c>
      <c r="EQ49" s="32">
        <v>85.9</v>
      </c>
      <c r="ER49" s="32">
        <v>97.5</v>
      </c>
      <c r="ES49" s="32">
        <v>97.5</v>
      </c>
      <c r="ET49" s="32">
        <v>70.099999999999994</v>
      </c>
      <c r="EU49" s="32">
        <v>66.5</v>
      </c>
      <c r="EV49" s="32">
        <v>66.5</v>
      </c>
      <c r="EW49" s="32">
        <v>79.599999999999994</v>
      </c>
      <c r="EX49" s="32">
        <v>97.1</v>
      </c>
      <c r="EY49" s="32">
        <v>66</v>
      </c>
      <c r="EZ49" s="32">
        <v>84.2</v>
      </c>
      <c r="FA49" s="32">
        <v>79.5</v>
      </c>
      <c r="FB49" s="32">
        <v>91</v>
      </c>
      <c r="FC49" s="32">
        <v>79.099999999999994</v>
      </c>
      <c r="FD49" s="32">
        <v>100.8</v>
      </c>
      <c r="FE49" s="32">
        <v>102.7</v>
      </c>
      <c r="FF49" s="32">
        <v>65.599999999999994</v>
      </c>
      <c r="FG49" s="32">
        <v>87.1</v>
      </c>
      <c r="FH49" s="32">
        <v>90.2</v>
      </c>
      <c r="FI49" s="32">
        <v>95</v>
      </c>
      <c r="FJ49" s="32">
        <v>84.6</v>
      </c>
      <c r="FK49" s="32">
        <v>95.7</v>
      </c>
      <c r="FL49" s="32">
        <v>95.7</v>
      </c>
    </row>
    <row r="50" spans="1:168" x14ac:dyDescent="0.2">
      <c r="A50" s="34" t="s">
        <v>1030</v>
      </c>
      <c r="B50" s="32">
        <v>72.599999999999994</v>
      </c>
      <c r="C50" s="32">
        <v>82.2</v>
      </c>
      <c r="D50" s="32">
        <v>95.1</v>
      </c>
      <c r="E50" s="32">
        <v>93.2</v>
      </c>
      <c r="F50" s="32">
        <v>318.60000000000002</v>
      </c>
      <c r="G50" s="32">
        <v>5509.3</v>
      </c>
      <c r="H50" s="32">
        <v>411.4</v>
      </c>
      <c r="I50" s="32">
        <v>55.7</v>
      </c>
      <c r="J50" s="32">
        <v>76.8</v>
      </c>
      <c r="K50" s="32">
        <v>91</v>
      </c>
      <c r="L50" s="32">
        <v>89.2</v>
      </c>
      <c r="M50" s="32">
        <v>93.3</v>
      </c>
      <c r="N50" s="32">
        <v>66.8</v>
      </c>
      <c r="O50" s="32">
        <v>172.6</v>
      </c>
      <c r="P50" s="32">
        <v>368.6</v>
      </c>
      <c r="Q50" s="32">
        <v>129.1</v>
      </c>
      <c r="R50" s="32">
        <v>77.2</v>
      </c>
      <c r="S50" s="32">
        <v>110.9</v>
      </c>
      <c r="T50" s="32">
        <v>60.2</v>
      </c>
      <c r="U50" s="32">
        <v>36.1</v>
      </c>
      <c r="V50" s="32">
        <v>128.6</v>
      </c>
      <c r="W50" s="32">
        <v>45.5</v>
      </c>
      <c r="X50" s="32">
        <v>32.299999999999997</v>
      </c>
      <c r="Y50" s="32">
        <v>56.4</v>
      </c>
      <c r="Z50" s="32">
        <v>125.7</v>
      </c>
      <c r="AA50" s="32">
        <v>63.4</v>
      </c>
      <c r="AB50" s="32">
        <v>66.400000000000006</v>
      </c>
      <c r="AC50" s="32">
        <v>49.1</v>
      </c>
      <c r="AD50" s="32">
        <v>78.8</v>
      </c>
      <c r="AE50" s="32">
        <v>169.2</v>
      </c>
      <c r="AF50" s="32">
        <v>169.2</v>
      </c>
      <c r="AG50" s="32">
        <v>58.3</v>
      </c>
      <c r="AH50" s="32">
        <v>58.3</v>
      </c>
      <c r="AI50" s="32">
        <v>273.89999999999998</v>
      </c>
      <c r="AJ50" s="32">
        <v>42.9</v>
      </c>
      <c r="AK50" s="32">
        <v>704.3</v>
      </c>
      <c r="AL50" s="32">
        <v>108.7</v>
      </c>
      <c r="AM50" s="32">
        <v>25.7</v>
      </c>
      <c r="AN50" s="32">
        <v>79.5</v>
      </c>
      <c r="AO50" s="32">
        <v>93.4</v>
      </c>
      <c r="AP50" s="32">
        <v>93.4</v>
      </c>
      <c r="AQ50" s="32">
        <v>100.4</v>
      </c>
      <c r="AR50" s="32">
        <v>96.6</v>
      </c>
      <c r="AS50" s="32">
        <v>107.8</v>
      </c>
      <c r="AT50" s="32">
        <v>123.1</v>
      </c>
      <c r="AU50" s="32">
        <v>93.2</v>
      </c>
      <c r="AV50" s="32">
        <v>110.5</v>
      </c>
      <c r="AW50" s="32">
        <v>185.5</v>
      </c>
      <c r="AX50" s="32">
        <v>169.5</v>
      </c>
      <c r="AY50" s="32">
        <v>365.9</v>
      </c>
      <c r="AZ50" s="32">
        <v>96.3</v>
      </c>
      <c r="BA50" s="32">
        <v>28.3</v>
      </c>
      <c r="BB50" s="32">
        <v>28.3</v>
      </c>
      <c r="BC50" s="32">
        <v>91.8</v>
      </c>
      <c r="BD50" s="32">
        <v>91.8</v>
      </c>
      <c r="BE50" s="32">
        <v>89.4</v>
      </c>
      <c r="BF50" s="32">
        <v>89.4</v>
      </c>
      <c r="BG50" s="32">
        <v>74.400000000000006</v>
      </c>
      <c r="BH50" s="32">
        <v>57.7</v>
      </c>
      <c r="BI50" s="32">
        <v>91.5</v>
      </c>
      <c r="BJ50" s="32">
        <v>32.299999999999997</v>
      </c>
      <c r="BK50" s="32">
        <v>128.69999999999999</v>
      </c>
      <c r="BL50" s="32">
        <v>24.5</v>
      </c>
      <c r="BM50" s="32">
        <v>86.1</v>
      </c>
      <c r="BN50" s="32">
        <v>79.400000000000006</v>
      </c>
      <c r="BO50" s="32">
        <v>92.9</v>
      </c>
      <c r="BP50" s="32">
        <v>69.2</v>
      </c>
      <c r="BQ50" s="32">
        <v>97.2</v>
      </c>
      <c r="BR50" s="32">
        <v>61.4</v>
      </c>
      <c r="BS50" s="32">
        <v>230.8</v>
      </c>
      <c r="BT50" s="32">
        <v>73.900000000000006</v>
      </c>
      <c r="BU50" s="32">
        <v>92.1</v>
      </c>
      <c r="BV50" s="32">
        <v>92.1</v>
      </c>
      <c r="BW50" s="32">
        <v>125.1</v>
      </c>
      <c r="BX50" s="32">
        <v>58.5</v>
      </c>
      <c r="BY50" s="32">
        <v>117.6</v>
      </c>
      <c r="BZ50" s="32">
        <v>109.7</v>
      </c>
      <c r="CA50" s="32">
        <v>122.4</v>
      </c>
      <c r="CB50" s="32">
        <v>119.9</v>
      </c>
      <c r="CC50" s="32">
        <v>134.69999999999999</v>
      </c>
      <c r="CD50" s="32">
        <v>46.8</v>
      </c>
      <c r="CE50" s="32">
        <v>100.1</v>
      </c>
      <c r="CF50" s="32">
        <v>67.400000000000006</v>
      </c>
      <c r="CG50" s="32">
        <v>85.1</v>
      </c>
      <c r="CH50" s="32">
        <v>84</v>
      </c>
      <c r="CI50" s="32">
        <v>97.9</v>
      </c>
      <c r="CJ50" s="32">
        <v>70.7</v>
      </c>
      <c r="CK50" s="32">
        <v>91.3</v>
      </c>
      <c r="CL50" s="32">
        <v>91.8</v>
      </c>
      <c r="CM50" s="32">
        <v>101.9</v>
      </c>
      <c r="CN50" s="32">
        <v>62.2</v>
      </c>
      <c r="CO50" s="32">
        <v>113</v>
      </c>
      <c r="CP50" s="32">
        <v>111.5</v>
      </c>
      <c r="CQ50" s="32">
        <v>23.4</v>
      </c>
      <c r="CR50" s="32">
        <v>90.5</v>
      </c>
      <c r="CS50" s="32">
        <v>134.4</v>
      </c>
      <c r="CT50" s="32">
        <v>81.5</v>
      </c>
      <c r="CU50" s="32">
        <v>57.3</v>
      </c>
      <c r="CV50" s="32">
        <v>92.4</v>
      </c>
      <c r="CW50" s="32">
        <v>19.899999999999999</v>
      </c>
      <c r="CX50" s="32">
        <v>67.599999999999994</v>
      </c>
      <c r="CY50" s="32">
        <v>75.099999999999994</v>
      </c>
      <c r="CZ50" s="32">
        <v>64.900000000000006</v>
      </c>
      <c r="DA50" s="32">
        <v>51.6</v>
      </c>
      <c r="DB50" s="32">
        <v>93.1</v>
      </c>
      <c r="DC50" s="32">
        <v>2.6</v>
      </c>
      <c r="DD50" s="32">
        <v>2.6</v>
      </c>
      <c r="DE50" s="32">
        <v>43.8</v>
      </c>
      <c r="DF50" s="32">
        <v>36.6</v>
      </c>
      <c r="DG50" s="32">
        <v>96.2</v>
      </c>
      <c r="DH50" s="32">
        <v>71.900000000000006</v>
      </c>
      <c r="DI50" s="32">
        <v>82.4</v>
      </c>
      <c r="DJ50" s="32">
        <v>116.5</v>
      </c>
      <c r="DK50" s="32">
        <v>116.5</v>
      </c>
      <c r="DL50" s="32">
        <v>38.200000000000003</v>
      </c>
      <c r="DM50" s="32">
        <v>66.900000000000006</v>
      </c>
      <c r="DN50" s="32">
        <v>42.2</v>
      </c>
      <c r="DO50" s="32">
        <v>77.900000000000006</v>
      </c>
      <c r="DP50" s="32">
        <v>39.5</v>
      </c>
      <c r="DQ50" s="32">
        <v>60.1</v>
      </c>
      <c r="DR50" s="32">
        <v>63.9</v>
      </c>
      <c r="DS50" s="32">
        <v>60.7</v>
      </c>
      <c r="DT50" s="32">
        <v>57.2</v>
      </c>
      <c r="DU50" s="32">
        <v>58.5</v>
      </c>
      <c r="DV50" s="32">
        <v>58.4</v>
      </c>
      <c r="DW50" s="32">
        <v>58.5</v>
      </c>
      <c r="DX50" s="32">
        <v>54.4</v>
      </c>
      <c r="DY50" s="32">
        <v>72.099999999999994</v>
      </c>
      <c r="DZ50" s="32">
        <v>100</v>
      </c>
      <c r="EA50" s="32">
        <v>100</v>
      </c>
      <c r="EB50" s="32">
        <v>61.9</v>
      </c>
      <c r="EC50" s="32">
        <v>59.7</v>
      </c>
      <c r="ED50" s="32">
        <v>65.3</v>
      </c>
      <c r="EE50" s="32">
        <v>70.3</v>
      </c>
      <c r="EF50" s="32">
        <v>52.2</v>
      </c>
      <c r="EG50" s="32">
        <v>54.6</v>
      </c>
      <c r="EH50" s="32">
        <v>60.3</v>
      </c>
      <c r="EI50" s="32">
        <v>50.2</v>
      </c>
      <c r="EJ50" s="32">
        <v>98.4</v>
      </c>
      <c r="EK50" s="32">
        <v>49.5</v>
      </c>
      <c r="EL50" s="32">
        <v>75.400000000000006</v>
      </c>
      <c r="EM50" s="32">
        <v>38</v>
      </c>
      <c r="EN50" s="32">
        <v>52.9</v>
      </c>
      <c r="EO50" s="32">
        <v>83.2</v>
      </c>
      <c r="EP50" s="32">
        <v>86.5</v>
      </c>
      <c r="EQ50" s="32">
        <v>86.5</v>
      </c>
      <c r="ER50" s="32">
        <v>97.7</v>
      </c>
      <c r="ES50" s="32">
        <v>97.7</v>
      </c>
      <c r="ET50" s="32">
        <v>70.7</v>
      </c>
      <c r="EU50" s="32">
        <v>67.3</v>
      </c>
      <c r="EV50" s="32">
        <v>67.3</v>
      </c>
      <c r="EW50" s="32">
        <v>79.900000000000006</v>
      </c>
      <c r="EX50" s="32">
        <v>97.2</v>
      </c>
      <c r="EY50" s="32">
        <v>66.400000000000006</v>
      </c>
      <c r="EZ50" s="32">
        <v>84.6</v>
      </c>
      <c r="FA50" s="32">
        <v>80.3</v>
      </c>
      <c r="FB50" s="32">
        <v>91.4</v>
      </c>
      <c r="FC50" s="32">
        <v>80.400000000000006</v>
      </c>
      <c r="FD50" s="32">
        <v>101.4</v>
      </c>
      <c r="FE50" s="32">
        <v>101.2</v>
      </c>
      <c r="FF50" s="32">
        <v>66.900000000000006</v>
      </c>
      <c r="FG50" s="32">
        <v>87.1</v>
      </c>
      <c r="FH50" s="32">
        <v>87.6</v>
      </c>
      <c r="FI50" s="32">
        <v>99.2</v>
      </c>
      <c r="FJ50" s="32">
        <v>85.2</v>
      </c>
      <c r="FK50" s="32">
        <v>96.7</v>
      </c>
      <c r="FL50" s="32">
        <v>96.7</v>
      </c>
    </row>
    <row r="51" spans="1:168" x14ac:dyDescent="0.2">
      <c r="A51" s="34" t="s">
        <v>1031</v>
      </c>
      <c r="B51" s="32">
        <v>72.7</v>
      </c>
      <c r="C51" s="32">
        <v>82.5</v>
      </c>
      <c r="D51" s="32">
        <v>95.5</v>
      </c>
      <c r="E51" s="32">
        <v>93.4</v>
      </c>
      <c r="F51" s="32">
        <v>309</v>
      </c>
      <c r="G51" s="32">
        <v>5664</v>
      </c>
      <c r="H51" s="32">
        <v>395</v>
      </c>
      <c r="I51" s="32">
        <v>56.4</v>
      </c>
      <c r="J51" s="32">
        <v>77</v>
      </c>
      <c r="K51" s="32">
        <v>90.2</v>
      </c>
      <c r="L51" s="32">
        <v>89.3</v>
      </c>
      <c r="M51" s="32">
        <v>93.1</v>
      </c>
      <c r="N51" s="32">
        <v>65.7</v>
      </c>
      <c r="O51" s="32">
        <v>174.8</v>
      </c>
      <c r="P51" s="32">
        <v>368.9</v>
      </c>
      <c r="Q51" s="32">
        <v>127.9</v>
      </c>
      <c r="R51" s="32">
        <v>76.900000000000006</v>
      </c>
      <c r="S51" s="32">
        <v>112</v>
      </c>
      <c r="T51" s="32">
        <v>58</v>
      </c>
      <c r="U51" s="32">
        <v>35.799999999999997</v>
      </c>
      <c r="V51" s="32">
        <v>123.1</v>
      </c>
      <c r="W51" s="32">
        <v>45.2</v>
      </c>
      <c r="X51" s="32">
        <v>32.200000000000003</v>
      </c>
      <c r="Y51" s="32">
        <v>56.4</v>
      </c>
      <c r="Z51" s="32">
        <v>116.9</v>
      </c>
      <c r="AA51" s="32">
        <v>63.9</v>
      </c>
      <c r="AB51" s="32">
        <v>67.8</v>
      </c>
      <c r="AC51" s="32">
        <v>49.7</v>
      </c>
      <c r="AD51" s="32">
        <v>78.8</v>
      </c>
      <c r="AE51" s="32">
        <v>173.2</v>
      </c>
      <c r="AF51" s="32">
        <v>173.2</v>
      </c>
      <c r="AG51" s="32">
        <v>58.3</v>
      </c>
      <c r="AH51" s="32">
        <v>58.3</v>
      </c>
      <c r="AI51" s="32">
        <v>272.89999999999998</v>
      </c>
      <c r="AJ51" s="32">
        <v>43</v>
      </c>
      <c r="AK51" s="32">
        <v>592</v>
      </c>
      <c r="AL51" s="32">
        <v>110.3</v>
      </c>
      <c r="AM51" s="32">
        <v>26.1</v>
      </c>
      <c r="AN51" s="32">
        <v>82</v>
      </c>
      <c r="AO51" s="32">
        <v>91.4</v>
      </c>
      <c r="AP51" s="32">
        <v>91.4</v>
      </c>
      <c r="AQ51" s="32">
        <v>102.9</v>
      </c>
      <c r="AR51" s="32">
        <v>99.6</v>
      </c>
      <c r="AS51" s="32">
        <v>109.4</v>
      </c>
      <c r="AT51" s="32">
        <v>122.4</v>
      </c>
      <c r="AU51" s="32">
        <v>97.6</v>
      </c>
      <c r="AV51" s="32">
        <v>112.1</v>
      </c>
      <c r="AW51" s="32">
        <v>199.3</v>
      </c>
      <c r="AX51" s="32">
        <v>191.1</v>
      </c>
      <c r="AY51" s="32">
        <v>376.5</v>
      </c>
      <c r="AZ51" s="32">
        <v>95.5</v>
      </c>
      <c r="BA51" s="32">
        <v>27.7</v>
      </c>
      <c r="BB51" s="32">
        <v>27.7</v>
      </c>
      <c r="BC51" s="32">
        <v>94.1</v>
      </c>
      <c r="BD51" s="32">
        <v>94.1</v>
      </c>
      <c r="BE51" s="32">
        <v>90.1</v>
      </c>
      <c r="BF51" s="32">
        <v>90.1</v>
      </c>
      <c r="BG51" s="32">
        <v>76.099999999999994</v>
      </c>
      <c r="BH51" s="32">
        <v>59.3</v>
      </c>
      <c r="BI51" s="32">
        <v>93.3</v>
      </c>
      <c r="BJ51" s="32">
        <v>32.700000000000003</v>
      </c>
      <c r="BK51" s="32">
        <v>132.6</v>
      </c>
      <c r="BL51" s="32">
        <v>22.4</v>
      </c>
      <c r="BM51" s="32">
        <v>85.2</v>
      </c>
      <c r="BN51" s="32">
        <v>79.5</v>
      </c>
      <c r="BO51" s="32">
        <v>93.1</v>
      </c>
      <c r="BP51" s="32">
        <v>69.3</v>
      </c>
      <c r="BQ51" s="32">
        <v>94.7</v>
      </c>
      <c r="BR51" s="32">
        <v>46.4</v>
      </c>
      <c r="BS51" s="32">
        <v>245.8</v>
      </c>
      <c r="BT51" s="32">
        <v>70.8</v>
      </c>
      <c r="BU51" s="32">
        <v>95.3</v>
      </c>
      <c r="BV51" s="32">
        <v>95.3</v>
      </c>
      <c r="BW51" s="32">
        <v>127.6</v>
      </c>
      <c r="BX51" s="32">
        <v>66.400000000000006</v>
      </c>
      <c r="BY51" s="32">
        <v>117.8</v>
      </c>
      <c r="BZ51" s="32">
        <v>113.9</v>
      </c>
      <c r="CA51" s="32">
        <v>120.4</v>
      </c>
      <c r="CB51" s="32">
        <v>117.1</v>
      </c>
      <c r="CC51" s="32">
        <v>133.69999999999999</v>
      </c>
      <c r="CD51" s="32">
        <v>46.6</v>
      </c>
      <c r="CE51" s="32">
        <v>101.1</v>
      </c>
      <c r="CF51" s="32">
        <v>67.5</v>
      </c>
      <c r="CG51" s="32">
        <v>85</v>
      </c>
      <c r="CH51" s="32">
        <v>84.4</v>
      </c>
      <c r="CI51" s="32">
        <v>99.8</v>
      </c>
      <c r="CJ51" s="32">
        <v>71.2</v>
      </c>
      <c r="CK51" s="32">
        <v>91.4</v>
      </c>
      <c r="CL51" s="32">
        <v>90.3</v>
      </c>
      <c r="CM51" s="32">
        <v>101.9</v>
      </c>
      <c r="CN51" s="32">
        <v>63.8</v>
      </c>
      <c r="CO51" s="32">
        <v>112.5</v>
      </c>
      <c r="CP51" s="32">
        <v>112.9</v>
      </c>
      <c r="CQ51" s="32">
        <v>24.8</v>
      </c>
      <c r="CR51" s="32">
        <v>86.3</v>
      </c>
      <c r="CS51" s="32">
        <v>126</v>
      </c>
      <c r="CT51" s="32">
        <v>80.7</v>
      </c>
      <c r="CU51" s="32">
        <v>57.5</v>
      </c>
      <c r="CV51" s="32">
        <v>91.2</v>
      </c>
      <c r="CW51" s="32">
        <v>20</v>
      </c>
      <c r="CX51" s="32">
        <v>66</v>
      </c>
      <c r="CY51" s="32">
        <v>73.099999999999994</v>
      </c>
      <c r="CZ51" s="32">
        <v>63.4</v>
      </c>
      <c r="DA51" s="32">
        <v>50.1</v>
      </c>
      <c r="DB51" s="32">
        <v>91.9</v>
      </c>
      <c r="DC51" s="32">
        <v>2.6</v>
      </c>
      <c r="DD51" s="32">
        <v>2.6</v>
      </c>
      <c r="DE51" s="32">
        <v>44.3</v>
      </c>
      <c r="DF51" s="32">
        <v>37.4</v>
      </c>
      <c r="DG51" s="32">
        <v>93.9</v>
      </c>
      <c r="DH51" s="32">
        <v>72.7</v>
      </c>
      <c r="DI51" s="32">
        <v>82.5</v>
      </c>
      <c r="DJ51" s="32">
        <v>117.1</v>
      </c>
      <c r="DK51" s="32">
        <v>117.1</v>
      </c>
      <c r="DL51" s="32">
        <v>40.700000000000003</v>
      </c>
      <c r="DM51" s="32">
        <v>67.099999999999994</v>
      </c>
      <c r="DN51" s="32">
        <v>42.2</v>
      </c>
      <c r="DO51" s="32">
        <v>78.2</v>
      </c>
      <c r="DP51" s="32">
        <v>40.9</v>
      </c>
      <c r="DQ51" s="32">
        <v>59.7</v>
      </c>
      <c r="DR51" s="32">
        <v>63</v>
      </c>
      <c r="DS51" s="32">
        <v>59.2</v>
      </c>
      <c r="DT51" s="32">
        <v>57.1</v>
      </c>
      <c r="DU51" s="32">
        <v>58.2</v>
      </c>
      <c r="DV51" s="32">
        <v>60.6</v>
      </c>
      <c r="DW51" s="32">
        <v>55.3</v>
      </c>
      <c r="DX51" s="32">
        <v>54.9</v>
      </c>
      <c r="DY51" s="32">
        <v>65.8</v>
      </c>
      <c r="DZ51" s="32">
        <v>102.2</v>
      </c>
      <c r="EA51" s="32">
        <v>102.2</v>
      </c>
      <c r="EB51" s="32">
        <v>62.3</v>
      </c>
      <c r="EC51" s="32">
        <v>60.5</v>
      </c>
      <c r="ED51" s="32">
        <v>65.2</v>
      </c>
      <c r="EE51" s="32">
        <v>70.400000000000006</v>
      </c>
      <c r="EF51" s="32">
        <v>51.5</v>
      </c>
      <c r="EG51" s="32">
        <v>54.7</v>
      </c>
      <c r="EH51" s="32">
        <v>62.8</v>
      </c>
      <c r="EI51" s="32">
        <v>49.4</v>
      </c>
      <c r="EJ51" s="32">
        <v>91.7</v>
      </c>
      <c r="EK51" s="32">
        <v>49.3</v>
      </c>
      <c r="EL51" s="32">
        <v>71.099999999999994</v>
      </c>
      <c r="EM51" s="32">
        <v>37.799999999999997</v>
      </c>
      <c r="EN51" s="32">
        <v>53.3</v>
      </c>
      <c r="EO51" s="32">
        <v>83.7</v>
      </c>
      <c r="EP51" s="32">
        <v>86.9</v>
      </c>
      <c r="EQ51" s="32">
        <v>86.9</v>
      </c>
      <c r="ER51" s="32">
        <v>98.1</v>
      </c>
      <c r="ES51" s="32">
        <v>98.1</v>
      </c>
      <c r="ET51" s="32">
        <v>71.3</v>
      </c>
      <c r="EU51" s="32">
        <v>68.099999999999994</v>
      </c>
      <c r="EV51" s="32">
        <v>68.099999999999994</v>
      </c>
      <c r="EW51" s="32">
        <v>80</v>
      </c>
      <c r="EX51" s="32">
        <v>97</v>
      </c>
      <c r="EY51" s="32">
        <v>66.7</v>
      </c>
      <c r="EZ51" s="32">
        <v>82.3</v>
      </c>
      <c r="FA51" s="32">
        <v>80.5</v>
      </c>
      <c r="FB51" s="32">
        <v>91.3</v>
      </c>
      <c r="FC51" s="32">
        <v>81.099999999999994</v>
      </c>
      <c r="FD51" s="32">
        <v>101.6</v>
      </c>
      <c r="FE51" s="32">
        <v>98.9</v>
      </c>
      <c r="FF51" s="32">
        <v>67.5</v>
      </c>
      <c r="FG51" s="32">
        <v>82.5</v>
      </c>
      <c r="FH51" s="32">
        <v>83.2</v>
      </c>
      <c r="FI51" s="32">
        <v>84.2</v>
      </c>
      <c r="FJ51" s="32">
        <v>81.900000000000006</v>
      </c>
      <c r="FK51" s="32">
        <v>95.5</v>
      </c>
      <c r="FL51" s="32">
        <v>95.5</v>
      </c>
    </row>
    <row r="52" spans="1:168" x14ac:dyDescent="0.2">
      <c r="A52" s="34" t="s">
        <v>1032</v>
      </c>
      <c r="B52" s="32">
        <v>72.900000000000006</v>
      </c>
      <c r="C52" s="32">
        <v>82.6</v>
      </c>
      <c r="D52" s="32">
        <v>96.2</v>
      </c>
      <c r="E52" s="32">
        <v>94.2</v>
      </c>
      <c r="F52" s="32">
        <v>318.8</v>
      </c>
      <c r="G52" s="32">
        <v>5859.8</v>
      </c>
      <c r="H52" s="32">
        <v>409.8</v>
      </c>
      <c r="I52" s="32">
        <v>55.9</v>
      </c>
      <c r="J52" s="32">
        <v>77.400000000000006</v>
      </c>
      <c r="K52" s="32">
        <v>90.2</v>
      </c>
      <c r="L52" s="32">
        <v>89.4</v>
      </c>
      <c r="M52" s="32">
        <v>91.6</v>
      </c>
      <c r="N52" s="32">
        <v>65.099999999999994</v>
      </c>
      <c r="O52" s="32">
        <v>184.9</v>
      </c>
      <c r="P52" s="32">
        <v>372</v>
      </c>
      <c r="Q52" s="32">
        <v>120.8</v>
      </c>
      <c r="R52" s="32">
        <v>79.7</v>
      </c>
      <c r="S52" s="32">
        <v>111.9</v>
      </c>
      <c r="T52" s="32">
        <v>57.7</v>
      </c>
      <c r="U52" s="32">
        <v>35.299999999999997</v>
      </c>
      <c r="V52" s="32">
        <v>122.5</v>
      </c>
      <c r="W52" s="32">
        <v>45.9</v>
      </c>
      <c r="X52" s="32">
        <v>32.5</v>
      </c>
      <c r="Y52" s="32">
        <v>58.3</v>
      </c>
      <c r="Z52" s="32">
        <v>112.5</v>
      </c>
      <c r="AA52" s="32">
        <v>64.3</v>
      </c>
      <c r="AB52" s="32">
        <v>64.7</v>
      </c>
      <c r="AC52" s="32">
        <v>49.9</v>
      </c>
      <c r="AD52" s="32">
        <v>81.099999999999994</v>
      </c>
      <c r="AE52" s="32">
        <v>169.1</v>
      </c>
      <c r="AF52" s="32">
        <v>169.1</v>
      </c>
      <c r="AG52" s="32">
        <v>57.6</v>
      </c>
      <c r="AH52" s="32">
        <v>57.6</v>
      </c>
      <c r="AI52" s="32">
        <v>277.2</v>
      </c>
      <c r="AJ52" s="32">
        <v>41.7</v>
      </c>
      <c r="AK52" s="32">
        <v>636.20000000000005</v>
      </c>
      <c r="AL52" s="32">
        <v>112</v>
      </c>
      <c r="AM52" s="32">
        <v>25.1</v>
      </c>
      <c r="AN52" s="32">
        <v>80.8</v>
      </c>
      <c r="AO52" s="32">
        <v>89.3</v>
      </c>
      <c r="AP52" s="32">
        <v>89.3</v>
      </c>
      <c r="AQ52" s="32">
        <v>103.2</v>
      </c>
      <c r="AR52" s="32">
        <v>100.9</v>
      </c>
      <c r="AS52" s="32">
        <v>108</v>
      </c>
      <c r="AT52" s="32">
        <v>122.5</v>
      </c>
      <c r="AU52" s="32">
        <v>94.5</v>
      </c>
      <c r="AV52" s="32">
        <v>112.2</v>
      </c>
      <c r="AW52" s="32">
        <v>204.1</v>
      </c>
      <c r="AX52" s="32">
        <v>195.9</v>
      </c>
      <c r="AY52" s="32">
        <v>384.8</v>
      </c>
      <c r="AZ52" s="32">
        <v>94.7</v>
      </c>
      <c r="BA52" s="32">
        <v>27.3</v>
      </c>
      <c r="BB52" s="32">
        <v>27.3</v>
      </c>
      <c r="BC52" s="32">
        <v>95.5</v>
      </c>
      <c r="BD52" s="32">
        <v>95.5</v>
      </c>
      <c r="BE52" s="32">
        <v>90</v>
      </c>
      <c r="BF52" s="32">
        <v>90</v>
      </c>
      <c r="BG52" s="32">
        <v>79.2</v>
      </c>
      <c r="BH52" s="32">
        <v>62.9</v>
      </c>
      <c r="BI52" s="32">
        <v>95.4</v>
      </c>
      <c r="BJ52" s="32">
        <v>33.4</v>
      </c>
      <c r="BK52" s="32">
        <v>135.80000000000001</v>
      </c>
      <c r="BL52" s="32">
        <v>22.3</v>
      </c>
      <c r="BM52" s="32">
        <v>87.4</v>
      </c>
      <c r="BN52" s="32">
        <v>83.6</v>
      </c>
      <c r="BO52" s="32">
        <v>97.1</v>
      </c>
      <c r="BP52" s="32">
        <v>73.5</v>
      </c>
      <c r="BQ52" s="32">
        <v>94</v>
      </c>
      <c r="BR52" s="32">
        <v>54.1</v>
      </c>
      <c r="BS52" s="32">
        <v>228.1</v>
      </c>
      <c r="BT52" s="32">
        <v>71.400000000000006</v>
      </c>
      <c r="BU52" s="32">
        <v>98.3</v>
      </c>
      <c r="BV52" s="32">
        <v>98.3</v>
      </c>
      <c r="BW52" s="32">
        <v>129.4</v>
      </c>
      <c r="BX52" s="32">
        <v>71.900000000000006</v>
      </c>
      <c r="BY52" s="32">
        <v>117.4</v>
      </c>
      <c r="BZ52" s="32">
        <v>111.2</v>
      </c>
      <c r="CA52" s="32">
        <v>121.2</v>
      </c>
      <c r="CB52" s="32">
        <v>118.5</v>
      </c>
      <c r="CC52" s="32">
        <v>133.9</v>
      </c>
      <c r="CD52" s="32">
        <v>47.7</v>
      </c>
      <c r="CE52" s="32">
        <v>101.8</v>
      </c>
      <c r="CF52" s="32">
        <v>67.599999999999994</v>
      </c>
      <c r="CG52" s="32">
        <v>84</v>
      </c>
      <c r="CH52" s="32">
        <v>83.9</v>
      </c>
      <c r="CI52" s="32">
        <v>102.7</v>
      </c>
      <c r="CJ52" s="32">
        <v>69.7</v>
      </c>
      <c r="CK52" s="32">
        <v>91</v>
      </c>
      <c r="CL52" s="32">
        <v>88.1</v>
      </c>
      <c r="CM52" s="32">
        <v>100.9</v>
      </c>
      <c r="CN52" s="32">
        <v>61.7</v>
      </c>
      <c r="CO52" s="32">
        <v>111.9</v>
      </c>
      <c r="CP52" s="32">
        <v>113.3</v>
      </c>
      <c r="CQ52" s="32">
        <v>21.7</v>
      </c>
      <c r="CR52" s="32">
        <v>84.6</v>
      </c>
      <c r="CS52" s="32">
        <v>123.1</v>
      </c>
      <c r="CT52" s="32">
        <v>79.8</v>
      </c>
      <c r="CU52" s="32">
        <v>58</v>
      </c>
      <c r="CV52" s="32">
        <v>89.7</v>
      </c>
      <c r="CW52" s="32">
        <v>20</v>
      </c>
      <c r="CX52" s="32">
        <v>65.5</v>
      </c>
      <c r="CY52" s="32">
        <v>73.5</v>
      </c>
      <c r="CZ52" s="32">
        <v>62.2</v>
      </c>
      <c r="DA52" s="32">
        <v>48.6</v>
      </c>
      <c r="DB52" s="32">
        <v>91.6</v>
      </c>
      <c r="DC52" s="32">
        <v>2.7</v>
      </c>
      <c r="DD52" s="32">
        <v>2.7</v>
      </c>
      <c r="DE52" s="32">
        <v>44.5</v>
      </c>
      <c r="DF52" s="32">
        <v>36.799999999999997</v>
      </c>
      <c r="DG52" s="32">
        <v>100.3</v>
      </c>
      <c r="DH52" s="32">
        <v>72.3</v>
      </c>
      <c r="DI52" s="32">
        <v>84.2</v>
      </c>
      <c r="DJ52" s="32">
        <v>115.1</v>
      </c>
      <c r="DK52" s="32">
        <v>115.1</v>
      </c>
      <c r="DL52" s="32">
        <v>37.4</v>
      </c>
      <c r="DM52" s="32">
        <v>67.099999999999994</v>
      </c>
      <c r="DN52" s="32">
        <v>42.2</v>
      </c>
      <c r="DO52" s="32">
        <v>78.2</v>
      </c>
      <c r="DP52" s="32">
        <v>41.6</v>
      </c>
      <c r="DQ52" s="32">
        <v>61.2</v>
      </c>
      <c r="DR52" s="32">
        <v>64.3</v>
      </c>
      <c r="DS52" s="32">
        <v>60.9</v>
      </c>
      <c r="DT52" s="32">
        <v>59</v>
      </c>
      <c r="DU52" s="32">
        <v>60.5</v>
      </c>
      <c r="DV52" s="32">
        <v>61.7</v>
      </c>
      <c r="DW52" s="32">
        <v>59</v>
      </c>
      <c r="DX52" s="32">
        <v>55.7</v>
      </c>
      <c r="DY52" s="32">
        <v>67</v>
      </c>
      <c r="DZ52" s="32">
        <v>100</v>
      </c>
      <c r="EA52" s="32">
        <v>100</v>
      </c>
      <c r="EB52" s="32">
        <v>63.6</v>
      </c>
      <c r="EC52" s="32">
        <v>62.6</v>
      </c>
      <c r="ED52" s="32">
        <v>65.3</v>
      </c>
      <c r="EE52" s="32">
        <v>70.7</v>
      </c>
      <c r="EF52" s="32">
        <v>51.1</v>
      </c>
      <c r="EG52" s="32">
        <v>56.3</v>
      </c>
      <c r="EH52" s="32">
        <v>65.8</v>
      </c>
      <c r="EI52" s="32">
        <v>52.7</v>
      </c>
      <c r="EJ52" s="32">
        <v>86.1</v>
      </c>
      <c r="EK52" s="32">
        <v>49.8</v>
      </c>
      <c r="EL52" s="32">
        <v>71.7</v>
      </c>
      <c r="EM52" s="32">
        <v>38.299999999999997</v>
      </c>
      <c r="EN52" s="32">
        <v>53.7</v>
      </c>
      <c r="EO52" s="32">
        <v>84.4</v>
      </c>
      <c r="EP52" s="32">
        <v>87.2</v>
      </c>
      <c r="EQ52" s="32">
        <v>87.2</v>
      </c>
      <c r="ER52" s="32">
        <v>99.3</v>
      </c>
      <c r="ES52" s="32">
        <v>99.3</v>
      </c>
      <c r="ET52" s="32">
        <v>72</v>
      </c>
      <c r="EU52" s="32">
        <v>68.900000000000006</v>
      </c>
      <c r="EV52" s="32">
        <v>68.900000000000006</v>
      </c>
      <c r="EW52" s="32">
        <v>80.2</v>
      </c>
      <c r="EX52" s="32">
        <v>96.9</v>
      </c>
      <c r="EY52" s="32">
        <v>67.099999999999994</v>
      </c>
      <c r="EZ52" s="32">
        <v>82.5</v>
      </c>
      <c r="FA52" s="32">
        <v>81.2</v>
      </c>
      <c r="FB52" s="32">
        <v>91.8</v>
      </c>
      <c r="FC52" s="32">
        <v>81.900000000000006</v>
      </c>
      <c r="FD52" s="32">
        <v>103</v>
      </c>
      <c r="FE52" s="32">
        <v>98.3</v>
      </c>
      <c r="FF52" s="32">
        <v>68.5</v>
      </c>
      <c r="FG52" s="32">
        <v>81.900000000000006</v>
      </c>
      <c r="FH52" s="32">
        <v>79.2</v>
      </c>
      <c r="FI52" s="32">
        <v>87.7</v>
      </c>
      <c r="FJ52" s="32">
        <v>82.1</v>
      </c>
      <c r="FK52" s="32">
        <v>98.5</v>
      </c>
      <c r="FL52" s="32">
        <v>98.5</v>
      </c>
    </row>
    <row r="53" spans="1:168" x14ac:dyDescent="0.2">
      <c r="A53" s="34" t="s">
        <v>1033</v>
      </c>
      <c r="B53" s="32">
        <v>73.2</v>
      </c>
      <c r="C53" s="32">
        <v>82</v>
      </c>
      <c r="D53" s="32">
        <v>97.7</v>
      </c>
      <c r="E53" s="32">
        <v>96.2</v>
      </c>
      <c r="F53" s="32">
        <v>311.7</v>
      </c>
      <c r="G53" s="32">
        <v>6172.3</v>
      </c>
      <c r="H53" s="32">
        <v>397.8</v>
      </c>
      <c r="I53" s="32">
        <v>57.3</v>
      </c>
      <c r="J53" s="32">
        <v>79.5</v>
      </c>
      <c r="K53" s="32">
        <v>91</v>
      </c>
      <c r="L53" s="32">
        <v>91.4</v>
      </c>
      <c r="M53" s="32">
        <v>99.3</v>
      </c>
      <c r="N53" s="32">
        <v>62.5</v>
      </c>
      <c r="O53" s="32">
        <v>193.3</v>
      </c>
      <c r="P53" s="32">
        <v>380.5</v>
      </c>
      <c r="Q53" s="32">
        <v>117.4</v>
      </c>
      <c r="R53" s="32">
        <v>79.8</v>
      </c>
      <c r="S53" s="32">
        <v>115.3</v>
      </c>
      <c r="T53" s="32">
        <v>56.9</v>
      </c>
      <c r="U53" s="32">
        <v>37.799999999999997</v>
      </c>
      <c r="V53" s="32">
        <v>114.7</v>
      </c>
      <c r="W53" s="32">
        <v>47.2</v>
      </c>
      <c r="X53" s="32">
        <v>35.1</v>
      </c>
      <c r="Y53" s="32">
        <v>57.4</v>
      </c>
      <c r="Z53" s="32">
        <v>111.4</v>
      </c>
      <c r="AA53" s="32">
        <v>65.900000000000006</v>
      </c>
      <c r="AB53" s="32">
        <v>73</v>
      </c>
      <c r="AC53" s="32">
        <v>51.4</v>
      </c>
      <c r="AD53" s="32">
        <v>79.900000000000006</v>
      </c>
      <c r="AE53" s="32">
        <v>164.4</v>
      </c>
      <c r="AF53" s="32">
        <v>164.4</v>
      </c>
      <c r="AG53" s="32">
        <v>59.7</v>
      </c>
      <c r="AH53" s="32">
        <v>59.7</v>
      </c>
      <c r="AI53" s="32">
        <v>281.89999999999998</v>
      </c>
      <c r="AJ53" s="32">
        <v>41.2</v>
      </c>
      <c r="AK53" s="32">
        <v>697.6</v>
      </c>
      <c r="AL53" s="32">
        <v>114.5</v>
      </c>
      <c r="AM53" s="32">
        <v>27.3</v>
      </c>
      <c r="AN53" s="32">
        <v>89.3</v>
      </c>
      <c r="AO53" s="32">
        <v>87.8</v>
      </c>
      <c r="AP53" s="32">
        <v>87.8</v>
      </c>
      <c r="AQ53" s="32">
        <v>105.2</v>
      </c>
      <c r="AR53" s="32">
        <v>102.1</v>
      </c>
      <c r="AS53" s="32">
        <v>111.2</v>
      </c>
      <c r="AT53" s="32">
        <v>125</v>
      </c>
      <c r="AU53" s="32">
        <v>98.5</v>
      </c>
      <c r="AV53" s="32">
        <v>112</v>
      </c>
      <c r="AW53" s="32">
        <v>200.9</v>
      </c>
      <c r="AX53" s="32">
        <v>178.8</v>
      </c>
      <c r="AY53" s="32">
        <v>403</v>
      </c>
      <c r="AZ53" s="32">
        <v>95.1</v>
      </c>
      <c r="BA53" s="32">
        <v>30.4</v>
      </c>
      <c r="BB53" s="32">
        <v>30.4</v>
      </c>
      <c r="BC53" s="32">
        <v>99.2</v>
      </c>
      <c r="BD53" s="32">
        <v>99.2</v>
      </c>
      <c r="BE53" s="32">
        <v>95.4</v>
      </c>
      <c r="BF53" s="32">
        <v>95.4</v>
      </c>
      <c r="BG53" s="32">
        <v>80.7</v>
      </c>
      <c r="BH53" s="32">
        <v>64.3</v>
      </c>
      <c r="BI53" s="32">
        <v>96.8</v>
      </c>
      <c r="BJ53" s="32">
        <v>32.9</v>
      </c>
      <c r="BK53" s="32">
        <v>138</v>
      </c>
      <c r="BL53" s="32">
        <v>22.9</v>
      </c>
      <c r="BM53" s="32">
        <v>90.7</v>
      </c>
      <c r="BN53" s="32">
        <v>85</v>
      </c>
      <c r="BO53" s="32">
        <v>99.9</v>
      </c>
      <c r="BP53" s="32">
        <v>73.8</v>
      </c>
      <c r="BQ53" s="32">
        <v>100.4</v>
      </c>
      <c r="BR53" s="32">
        <v>46</v>
      </c>
      <c r="BS53" s="32">
        <v>234.1</v>
      </c>
      <c r="BT53" s="32">
        <v>79.099999999999994</v>
      </c>
      <c r="BU53" s="32">
        <v>101.7</v>
      </c>
      <c r="BV53" s="32">
        <v>101.7</v>
      </c>
      <c r="BW53" s="32">
        <v>132</v>
      </c>
      <c r="BX53" s="32">
        <v>77.599999999999994</v>
      </c>
      <c r="BY53" s="32">
        <v>119</v>
      </c>
      <c r="BZ53" s="32">
        <v>114.4</v>
      </c>
      <c r="CA53" s="32">
        <v>122</v>
      </c>
      <c r="CB53" s="32">
        <v>120.6</v>
      </c>
      <c r="CC53" s="32">
        <v>133</v>
      </c>
      <c r="CD53" s="32">
        <v>50.7</v>
      </c>
      <c r="CE53" s="32">
        <v>101.6</v>
      </c>
      <c r="CF53" s="32">
        <v>67.599999999999994</v>
      </c>
      <c r="CG53" s="32">
        <v>83.4</v>
      </c>
      <c r="CH53" s="32">
        <v>82.7</v>
      </c>
      <c r="CI53" s="32">
        <v>102</v>
      </c>
      <c r="CJ53" s="32">
        <v>68.099999999999994</v>
      </c>
      <c r="CK53" s="32">
        <v>90.2</v>
      </c>
      <c r="CL53" s="32">
        <v>88.5</v>
      </c>
      <c r="CM53" s="32">
        <v>102.5</v>
      </c>
      <c r="CN53" s="32">
        <v>62.1</v>
      </c>
      <c r="CO53" s="32">
        <v>113.7</v>
      </c>
      <c r="CP53" s="32">
        <v>112.3</v>
      </c>
      <c r="CQ53" s="32">
        <v>22.7</v>
      </c>
      <c r="CR53" s="32">
        <v>83.4</v>
      </c>
      <c r="CS53" s="32">
        <v>121.5</v>
      </c>
      <c r="CT53" s="32">
        <v>80.2</v>
      </c>
      <c r="CU53" s="32">
        <v>56.2</v>
      </c>
      <c r="CV53" s="32">
        <v>91</v>
      </c>
      <c r="CW53" s="32">
        <v>19.8</v>
      </c>
      <c r="CX53" s="32">
        <v>66.3</v>
      </c>
      <c r="CY53" s="32">
        <v>74.2</v>
      </c>
      <c r="CZ53" s="32">
        <v>62.9</v>
      </c>
      <c r="DA53" s="32">
        <v>49.3</v>
      </c>
      <c r="DB53" s="32">
        <v>92.5</v>
      </c>
      <c r="DC53" s="32">
        <v>2.6</v>
      </c>
      <c r="DD53" s="32">
        <v>2.6</v>
      </c>
      <c r="DE53" s="32">
        <v>43.8</v>
      </c>
      <c r="DF53" s="32">
        <v>36.799999999999997</v>
      </c>
      <c r="DG53" s="32">
        <v>94.5</v>
      </c>
      <c r="DH53" s="32">
        <v>72.900000000000006</v>
      </c>
      <c r="DI53" s="32">
        <v>86.2</v>
      </c>
      <c r="DJ53" s="32">
        <v>113.4</v>
      </c>
      <c r="DK53" s="32">
        <v>113.4</v>
      </c>
      <c r="DL53" s="32">
        <v>37.1</v>
      </c>
      <c r="DM53" s="32">
        <v>67</v>
      </c>
      <c r="DN53" s="32">
        <v>42.5</v>
      </c>
      <c r="DO53" s="32">
        <v>77.900000000000006</v>
      </c>
      <c r="DP53" s="32">
        <v>41.7</v>
      </c>
      <c r="DQ53" s="32">
        <v>61.8</v>
      </c>
      <c r="DR53" s="32">
        <v>63.9</v>
      </c>
      <c r="DS53" s="32">
        <v>59.5</v>
      </c>
      <c r="DT53" s="32">
        <v>57</v>
      </c>
      <c r="DU53" s="32">
        <v>56.8</v>
      </c>
      <c r="DV53" s="32">
        <v>59.1</v>
      </c>
      <c r="DW53" s="32">
        <v>53.9</v>
      </c>
      <c r="DX53" s="32">
        <v>57.5</v>
      </c>
      <c r="DY53" s="32">
        <v>67.7</v>
      </c>
      <c r="DZ53" s="32">
        <v>100.4</v>
      </c>
      <c r="EA53" s="32">
        <v>100.4</v>
      </c>
      <c r="EB53" s="32">
        <v>65.7</v>
      </c>
      <c r="EC53" s="32">
        <v>63.7</v>
      </c>
      <c r="ED53" s="32">
        <v>68.900000000000006</v>
      </c>
      <c r="EE53" s="32">
        <v>75.599999999999994</v>
      </c>
      <c r="EF53" s="32">
        <v>51</v>
      </c>
      <c r="EG53" s="32">
        <v>58.5</v>
      </c>
      <c r="EH53" s="32">
        <v>70.3</v>
      </c>
      <c r="EI53" s="32">
        <v>53.4</v>
      </c>
      <c r="EJ53" s="32">
        <v>84.2</v>
      </c>
      <c r="EK53" s="32">
        <v>52.1</v>
      </c>
      <c r="EL53" s="32">
        <v>68.3</v>
      </c>
      <c r="EM53" s="32">
        <v>38</v>
      </c>
      <c r="EN53" s="32">
        <v>59</v>
      </c>
      <c r="EO53" s="32">
        <v>85</v>
      </c>
      <c r="EP53" s="32">
        <v>87.3</v>
      </c>
      <c r="EQ53" s="32">
        <v>87.3</v>
      </c>
      <c r="ER53" s="32">
        <v>100.5</v>
      </c>
      <c r="ES53" s="32">
        <v>100.5</v>
      </c>
      <c r="ET53" s="32">
        <v>72.599999999999994</v>
      </c>
      <c r="EU53" s="32">
        <v>69.7</v>
      </c>
      <c r="EV53" s="32">
        <v>69.7</v>
      </c>
      <c r="EW53" s="32">
        <v>80.400000000000006</v>
      </c>
      <c r="EX53" s="32">
        <v>96.7</v>
      </c>
      <c r="EY53" s="32">
        <v>67.7</v>
      </c>
      <c r="EZ53" s="32">
        <v>82.6</v>
      </c>
      <c r="FA53" s="32">
        <v>81.8</v>
      </c>
      <c r="FB53" s="32">
        <v>92.1</v>
      </c>
      <c r="FC53" s="32">
        <v>81.5</v>
      </c>
      <c r="FD53" s="32">
        <v>102.4</v>
      </c>
      <c r="FE53" s="32">
        <v>100.5</v>
      </c>
      <c r="FF53" s="32">
        <v>69.3</v>
      </c>
      <c r="FG53" s="32">
        <v>81.7</v>
      </c>
      <c r="FH53" s="32">
        <v>78.400000000000006</v>
      </c>
      <c r="FI53" s="32">
        <v>101.1</v>
      </c>
      <c r="FJ53" s="32">
        <v>80.400000000000006</v>
      </c>
      <c r="FK53" s="32">
        <v>98.5</v>
      </c>
      <c r="FL53" s="32">
        <v>98.5</v>
      </c>
    </row>
    <row r="54" spans="1:168" x14ac:dyDescent="0.2">
      <c r="A54" s="34" t="s">
        <v>1034</v>
      </c>
      <c r="B54" s="32">
        <v>73.5</v>
      </c>
      <c r="C54" s="32">
        <v>81.099999999999994</v>
      </c>
      <c r="D54" s="32">
        <v>97.4</v>
      </c>
      <c r="E54" s="32">
        <v>95.9</v>
      </c>
      <c r="F54" s="32">
        <v>310.3</v>
      </c>
      <c r="G54" s="32">
        <v>6115.1</v>
      </c>
      <c r="H54" s="32">
        <v>397.9</v>
      </c>
      <c r="I54" s="32">
        <v>55</v>
      </c>
      <c r="J54" s="32">
        <v>78.5</v>
      </c>
      <c r="K54" s="32">
        <v>88.2</v>
      </c>
      <c r="L54" s="32">
        <v>87.7</v>
      </c>
      <c r="M54" s="32">
        <v>92.3</v>
      </c>
      <c r="N54" s="32">
        <v>68.400000000000006</v>
      </c>
      <c r="O54" s="32">
        <v>195.9</v>
      </c>
      <c r="P54" s="32">
        <v>317.89999999999998</v>
      </c>
      <c r="Q54" s="32">
        <v>112</v>
      </c>
      <c r="R54" s="32">
        <v>78.8</v>
      </c>
      <c r="S54" s="32">
        <v>110.2</v>
      </c>
      <c r="T54" s="32">
        <v>55.4</v>
      </c>
      <c r="U54" s="32">
        <v>35.299999999999997</v>
      </c>
      <c r="V54" s="32">
        <v>117.3</v>
      </c>
      <c r="W54" s="32">
        <v>45.9</v>
      </c>
      <c r="X54" s="32">
        <v>33.299999999999997</v>
      </c>
      <c r="Y54" s="32">
        <v>57.3</v>
      </c>
      <c r="Z54" s="32">
        <v>107.7</v>
      </c>
      <c r="AA54" s="32">
        <v>65.599999999999994</v>
      </c>
      <c r="AB54" s="32">
        <v>66.400000000000006</v>
      </c>
      <c r="AC54" s="32">
        <v>51.2</v>
      </c>
      <c r="AD54" s="32">
        <v>82.3</v>
      </c>
      <c r="AE54" s="32">
        <v>161.80000000000001</v>
      </c>
      <c r="AF54" s="32">
        <v>161.80000000000001</v>
      </c>
      <c r="AG54" s="32">
        <v>57.4</v>
      </c>
      <c r="AH54" s="32">
        <v>57.4</v>
      </c>
      <c r="AI54" s="32">
        <v>290.5</v>
      </c>
      <c r="AJ54" s="32">
        <v>39.700000000000003</v>
      </c>
      <c r="AK54" s="32">
        <v>585.79999999999995</v>
      </c>
      <c r="AL54" s="32">
        <v>106</v>
      </c>
      <c r="AM54" s="32">
        <v>26.7</v>
      </c>
      <c r="AN54" s="32">
        <v>83.8</v>
      </c>
      <c r="AO54" s="32">
        <v>93.6</v>
      </c>
      <c r="AP54" s="32">
        <v>93.6</v>
      </c>
      <c r="AQ54" s="32">
        <v>104.7</v>
      </c>
      <c r="AR54" s="32">
        <v>102.4</v>
      </c>
      <c r="AS54" s="32">
        <v>109.4</v>
      </c>
      <c r="AT54" s="32">
        <v>122.1</v>
      </c>
      <c r="AU54" s="32">
        <v>97.9</v>
      </c>
      <c r="AV54" s="32">
        <v>114.1</v>
      </c>
      <c r="AW54" s="32">
        <v>209.2</v>
      </c>
      <c r="AX54" s="32">
        <v>192.1</v>
      </c>
      <c r="AY54" s="32">
        <v>408.1</v>
      </c>
      <c r="AZ54" s="32">
        <v>95.9</v>
      </c>
      <c r="BA54" s="32">
        <v>30.6</v>
      </c>
      <c r="BB54" s="32">
        <v>30.6</v>
      </c>
      <c r="BC54" s="32">
        <v>98.3</v>
      </c>
      <c r="BD54" s="32">
        <v>98.3</v>
      </c>
      <c r="BE54" s="32">
        <v>92.2</v>
      </c>
      <c r="BF54" s="32">
        <v>92.2</v>
      </c>
      <c r="BG54" s="32">
        <v>80.3</v>
      </c>
      <c r="BH54" s="32">
        <v>63.4</v>
      </c>
      <c r="BI54" s="32">
        <v>97.2</v>
      </c>
      <c r="BJ54" s="32">
        <v>33.799999999999997</v>
      </c>
      <c r="BK54" s="32">
        <v>138.1</v>
      </c>
      <c r="BL54" s="32">
        <v>23.5</v>
      </c>
      <c r="BM54" s="32">
        <v>86.1</v>
      </c>
      <c r="BN54" s="32">
        <v>84.7</v>
      </c>
      <c r="BO54" s="32">
        <v>96</v>
      </c>
      <c r="BP54" s="32">
        <v>76.2</v>
      </c>
      <c r="BQ54" s="32">
        <v>88.9</v>
      </c>
      <c r="BR54" s="32">
        <v>57.6</v>
      </c>
      <c r="BS54" s="32">
        <v>225.8</v>
      </c>
      <c r="BT54" s="32">
        <v>65.400000000000006</v>
      </c>
      <c r="BU54" s="32">
        <v>115.4</v>
      </c>
      <c r="BV54" s="32">
        <v>115.4</v>
      </c>
      <c r="BW54" s="32">
        <v>147.9</v>
      </c>
      <c r="BX54" s="32">
        <v>92</v>
      </c>
      <c r="BY54" s="32">
        <v>117</v>
      </c>
      <c r="BZ54" s="32">
        <v>113.7</v>
      </c>
      <c r="CA54" s="32">
        <v>119.3</v>
      </c>
      <c r="CB54" s="32">
        <v>115.9</v>
      </c>
      <c r="CC54" s="32">
        <v>132.80000000000001</v>
      </c>
      <c r="CD54" s="32">
        <v>50.1</v>
      </c>
      <c r="CE54" s="32">
        <v>101.1</v>
      </c>
      <c r="CF54" s="32">
        <v>68</v>
      </c>
      <c r="CG54" s="32">
        <v>84.6</v>
      </c>
      <c r="CH54" s="32">
        <v>85</v>
      </c>
      <c r="CI54" s="32">
        <v>104.8</v>
      </c>
      <c r="CJ54" s="32">
        <v>71.7</v>
      </c>
      <c r="CK54" s="32">
        <v>91</v>
      </c>
      <c r="CL54" s="32">
        <v>87</v>
      </c>
      <c r="CM54" s="32">
        <v>102.1</v>
      </c>
      <c r="CN54" s="32">
        <v>62.4</v>
      </c>
      <c r="CO54" s="32">
        <v>113.1</v>
      </c>
      <c r="CP54" s="32">
        <v>111.7</v>
      </c>
      <c r="CQ54" s="32">
        <v>19.899999999999999</v>
      </c>
      <c r="CR54" s="32">
        <v>83.4</v>
      </c>
      <c r="CS54" s="32">
        <v>118.4</v>
      </c>
      <c r="CT54" s="32">
        <v>80.5</v>
      </c>
      <c r="CU54" s="32">
        <v>55.2</v>
      </c>
      <c r="CV54" s="32">
        <v>92</v>
      </c>
      <c r="CW54" s="32">
        <v>19.899999999999999</v>
      </c>
      <c r="CX54" s="32">
        <v>64.8</v>
      </c>
      <c r="CY54" s="32">
        <v>75.599999999999994</v>
      </c>
      <c r="CZ54" s="32">
        <v>58.9</v>
      </c>
      <c r="DA54" s="32">
        <v>43.6</v>
      </c>
      <c r="DB54" s="32">
        <v>93.6</v>
      </c>
      <c r="DC54" s="32">
        <v>2.7</v>
      </c>
      <c r="DD54" s="32">
        <v>2.7</v>
      </c>
      <c r="DE54" s="32">
        <v>44.3</v>
      </c>
      <c r="DF54" s="32">
        <v>37.799999999999997</v>
      </c>
      <c r="DG54" s="32">
        <v>90</v>
      </c>
      <c r="DH54" s="32">
        <v>73.7</v>
      </c>
      <c r="DI54" s="32">
        <v>89.6</v>
      </c>
      <c r="DJ54" s="32">
        <v>111.4</v>
      </c>
      <c r="DK54" s="32">
        <v>111.4</v>
      </c>
      <c r="DL54" s="32">
        <v>35.299999999999997</v>
      </c>
      <c r="DM54" s="32">
        <v>66.900000000000006</v>
      </c>
      <c r="DN54" s="32">
        <v>40.9</v>
      </c>
      <c r="DO54" s="32">
        <v>78.400000000000006</v>
      </c>
      <c r="DP54" s="32">
        <v>41.7</v>
      </c>
      <c r="DQ54" s="32">
        <v>61.2</v>
      </c>
      <c r="DR54" s="32">
        <v>64.2</v>
      </c>
      <c r="DS54" s="32">
        <v>60.4</v>
      </c>
      <c r="DT54" s="32">
        <v>58.7</v>
      </c>
      <c r="DU54" s="32">
        <v>58.2</v>
      </c>
      <c r="DV54" s="32">
        <v>60.2</v>
      </c>
      <c r="DW54" s="32">
        <v>55.7</v>
      </c>
      <c r="DX54" s="32">
        <v>59.7</v>
      </c>
      <c r="DY54" s="32">
        <v>66.3</v>
      </c>
      <c r="DZ54" s="32">
        <v>103.4</v>
      </c>
      <c r="EA54" s="32">
        <v>103.4</v>
      </c>
      <c r="EB54" s="32">
        <v>63.3</v>
      </c>
      <c r="EC54" s="32">
        <v>62.2</v>
      </c>
      <c r="ED54" s="32">
        <v>65.3</v>
      </c>
      <c r="EE54" s="32">
        <v>70.599999999999994</v>
      </c>
      <c r="EF54" s="32">
        <v>51.4</v>
      </c>
      <c r="EG54" s="32">
        <v>56.5</v>
      </c>
      <c r="EH54" s="32">
        <v>66.7</v>
      </c>
      <c r="EI54" s="32">
        <v>50.4</v>
      </c>
      <c r="EJ54" s="32">
        <v>95.5</v>
      </c>
      <c r="EK54" s="32">
        <v>50.5</v>
      </c>
      <c r="EL54" s="32">
        <v>82.5</v>
      </c>
      <c r="EM54" s="32">
        <v>38.6</v>
      </c>
      <c r="EN54" s="32">
        <v>53</v>
      </c>
      <c r="EO54" s="32">
        <v>85.7</v>
      </c>
      <c r="EP54" s="32">
        <v>87.8</v>
      </c>
      <c r="EQ54" s="32">
        <v>87.8</v>
      </c>
      <c r="ER54" s="32">
        <v>101.9</v>
      </c>
      <c r="ES54" s="32">
        <v>101.9</v>
      </c>
      <c r="ET54" s="32">
        <v>73.099999999999994</v>
      </c>
      <c r="EU54" s="32">
        <v>70.099999999999994</v>
      </c>
      <c r="EV54" s="32">
        <v>70.099999999999994</v>
      </c>
      <c r="EW54" s="32">
        <v>80.8</v>
      </c>
      <c r="EX54" s="32">
        <v>96.5</v>
      </c>
      <c r="EY54" s="32">
        <v>68.5</v>
      </c>
      <c r="EZ54" s="32">
        <v>84.2</v>
      </c>
      <c r="FA54" s="32">
        <v>81.3</v>
      </c>
      <c r="FB54" s="32">
        <v>90.5</v>
      </c>
      <c r="FC54" s="32">
        <v>76.900000000000006</v>
      </c>
      <c r="FD54" s="32">
        <v>101.7</v>
      </c>
      <c r="FE54" s="32">
        <v>104.9</v>
      </c>
      <c r="FF54" s="32">
        <v>70.2</v>
      </c>
      <c r="FG54" s="32">
        <v>86.2</v>
      </c>
      <c r="FH54" s="32">
        <v>80.900000000000006</v>
      </c>
      <c r="FI54" s="32">
        <v>93</v>
      </c>
      <c r="FJ54" s="32">
        <v>87.4</v>
      </c>
      <c r="FK54" s="32">
        <v>89.3</v>
      </c>
      <c r="FL54" s="32">
        <v>89.3</v>
      </c>
    </row>
    <row r="55" spans="1:168" x14ac:dyDescent="0.2">
      <c r="A55" s="34" t="s">
        <v>1035</v>
      </c>
      <c r="B55" s="32">
        <v>73.5</v>
      </c>
      <c r="C55" s="32">
        <v>79.8</v>
      </c>
      <c r="D55" s="32">
        <v>97.4</v>
      </c>
      <c r="E55" s="32">
        <v>96</v>
      </c>
      <c r="F55" s="32">
        <v>307.2</v>
      </c>
      <c r="G55" s="32">
        <v>5724.9</v>
      </c>
      <c r="H55" s="32">
        <v>395.3</v>
      </c>
      <c r="I55" s="32">
        <v>53.6</v>
      </c>
      <c r="J55" s="32">
        <v>78.8</v>
      </c>
      <c r="K55" s="32">
        <v>88.1</v>
      </c>
      <c r="L55" s="32">
        <v>87.1</v>
      </c>
      <c r="M55" s="32">
        <v>91.5</v>
      </c>
      <c r="N55" s="32">
        <v>68.2</v>
      </c>
      <c r="O55" s="32">
        <v>203.9</v>
      </c>
      <c r="P55" s="32">
        <v>323.89999999999998</v>
      </c>
      <c r="Q55" s="32">
        <v>109.1</v>
      </c>
      <c r="R55" s="32">
        <v>80.099999999999994</v>
      </c>
      <c r="S55" s="32">
        <v>108</v>
      </c>
      <c r="T55" s="32">
        <v>53.9</v>
      </c>
      <c r="U55" s="32">
        <v>38.5</v>
      </c>
      <c r="V55" s="32">
        <v>117.3</v>
      </c>
      <c r="W55" s="32">
        <v>46</v>
      </c>
      <c r="X55" s="32">
        <v>34</v>
      </c>
      <c r="Y55" s="32">
        <v>57.3</v>
      </c>
      <c r="Z55" s="32">
        <v>98.3</v>
      </c>
      <c r="AA55" s="32">
        <v>65.400000000000006</v>
      </c>
      <c r="AB55" s="32">
        <v>68.099999999999994</v>
      </c>
      <c r="AC55" s="32">
        <v>51.5</v>
      </c>
      <c r="AD55" s="32">
        <v>80.8</v>
      </c>
      <c r="AE55" s="32">
        <v>139.19999999999999</v>
      </c>
      <c r="AF55" s="32">
        <v>139.19999999999999</v>
      </c>
      <c r="AG55" s="32">
        <v>58.1</v>
      </c>
      <c r="AH55" s="32">
        <v>58.1</v>
      </c>
      <c r="AI55" s="32">
        <v>286.89999999999998</v>
      </c>
      <c r="AJ55" s="32">
        <v>39.200000000000003</v>
      </c>
      <c r="AK55" s="32">
        <v>584.70000000000005</v>
      </c>
      <c r="AL55" s="32">
        <v>111.5</v>
      </c>
      <c r="AM55" s="32">
        <v>28.3</v>
      </c>
      <c r="AN55" s="32">
        <v>83.7</v>
      </c>
      <c r="AO55" s="32">
        <v>90.3</v>
      </c>
      <c r="AP55" s="32">
        <v>90.3</v>
      </c>
      <c r="AQ55" s="32">
        <v>106.2</v>
      </c>
      <c r="AR55" s="32">
        <v>104.4</v>
      </c>
      <c r="AS55" s="32">
        <v>110.1</v>
      </c>
      <c r="AT55" s="32">
        <v>122.1</v>
      </c>
      <c r="AU55" s="32">
        <v>99.2</v>
      </c>
      <c r="AV55" s="32">
        <v>111.5</v>
      </c>
      <c r="AW55" s="32">
        <v>208.8</v>
      </c>
      <c r="AX55" s="32">
        <v>190.8</v>
      </c>
      <c r="AY55" s="32">
        <v>408.7</v>
      </c>
      <c r="AZ55" s="32">
        <v>92.9</v>
      </c>
      <c r="BA55" s="32">
        <v>33.299999999999997</v>
      </c>
      <c r="BB55" s="32">
        <v>33.299999999999997</v>
      </c>
      <c r="BC55" s="32">
        <v>99.8</v>
      </c>
      <c r="BD55" s="32">
        <v>99.8</v>
      </c>
      <c r="BE55" s="32">
        <v>92.1</v>
      </c>
      <c r="BF55" s="32">
        <v>92.1</v>
      </c>
      <c r="BG55" s="32">
        <v>80.7</v>
      </c>
      <c r="BH55" s="32">
        <v>64</v>
      </c>
      <c r="BI55" s="32">
        <v>97.1</v>
      </c>
      <c r="BJ55" s="32">
        <v>34.299999999999997</v>
      </c>
      <c r="BK55" s="32">
        <v>137.19999999999999</v>
      </c>
      <c r="BL55" s="32">
        <v>24.3</v>
      </c>
      <c r="BM55" s="32">
        <v>86.4</v>
      </c>
      <c r="BN55" s="32">
        <v>85.4</v>
      </c>
      <c r="BO55" s="32">
        <v>100.4</v>
      </c>
      <c r="BP55" s="32">
        <v>74.2</v>
      </c>
      <c r="BQ55" s="32">
        <v>88.5</v>
      </c>
      <c r="BR55" s="32">
        <v>43.8</v>
      </c>
      <c r="BS55" s="32">
        <v>220.4</v>
      </c>
      <c r="BT55" s="32">
        <v>67.400000000000006</v>
      </c>
      <c r="BU55" s="32">
        <v>114.4</v>
      </c>
      <c r="BV55" s="32">
        <v>114.4</v>
      </c>
      <c r="BW55" s="32">
        <v>141.80000000000001</v>
      </c>
      <c r="BX55" s="32">
        <v>99.2</v>
      </c>
      <c r="BY55" s="32">
        <v>118.3</v>
      </c>
      <c r="BZ55" s="32">
        <v>111.9</v>
      </c>
      <c r="CA55" s="32">
        <v>122.1</v>
      </c>
      <c r="CB55" s="32">
        <v>122</v>
      </c>
      <c r="CC55" s="32">
        <v>131.69999999999999</v>
      </c>
      <c r="CD55" s="32">
        <v>53.3</v>
      </c>
      <c r="CE55" s="32">
        <v>100.9</v>
      </c>
      <c r="CF55" s="32">
        <v>68</v>
      </c>
      <c r="CG55" s="32">
        <v>83.5</v>
      </c>
      <c r="CH55" s="32">
        <v>83.3</v>
      </c>
      <c r="CI55" s="32">
        <v>102.8</v>
      </c>
      <c r="CJ55" s="32">
        <v>67.900000000000006</v>
      </c>
      <c r="CK55" s="32">
        <v>91.4</v>
      </c>
      <c r="CL55" s="32">
        <v>86.7</v>
      </c>
      <c r="CM55" s="32">
        <v>102.5</v>
      </c>
      <c r="CN55" s="32">
        <v>65.5</v>
      </c>
      <c r="CO55" s="32">
        <v>113</v>
      </c>
      <c r="CP55" s="32">
        <v>110.1</v>
      </c>
      <c r="CQ55" s="32">
        <v>17.899999999999999</v>
      </c>
      <c r="CR55" s="32">
        <v>86.2</v>
      </c>
      <c r="CS55" s="32">
        <v>115.8</v>
      </c>
      <c r="CT55" s="32">
        <v>81.2</v>
      </c>
      <c r="CU55" s="32">
        <v>54.8</v>
      </c>
      <c r="CV55" s="32">
        <v>93.2</v>
      </c>
      <c r="CW55" s="32">
        <v>20.399999999999999</v>
      </c>
      <c r="CX55" s="32">
        <v>70.8</v>
      </c>
      <c r="CY55" s="32">
        <v>75.5</v>
      </c>
      <c r="CZ55" s="32">
        <v>70.7</v>
      </c>
      <c r="DA55" s="32">
        <v>57.2</v>
      </c>
      <c r="DB55" s="32">
        <v>98.7</v>
      </c>
      <c r="DC55" s="32">
        <v>2.7</v>
      </c>
      <c r="DD55" s="32">
        <v>2.7</v>
      </c>
      <c r="DE55" s="32">
        <v>43.7</v>
      </c>
      <c r="DF55" s="32">
        <v>37.9</v>
      </c>
      <c r="DG55" s="32">
        <v>84.6</v>
      </c>
      <c r="DH55" s="32">
        <v>72.900000000000006</v>
      </c>
      <c r="DI55" s="32">
        <v>88</v>
      </c>
      <c r="DJ55" s="32">
        <v>108.1</v>
      </c>
      <c r="DK55" s="32">
        <v>108.1</v>
      </c>
      <c r="DL55" s="32">
        <v>37.299999999999997</v>
      </c>
      <c r="DM55" s="32">
        <v>66.8</v>
      </c>
      <c r="DN55" s="32">
        <v>41.2</v>
      </c>
      <c r="DO55" s="32">
        <v>78.2</v>
      </c>
      <c r="DP55" s="32">
        <v>41.7</v>
      </c>
      <c r="DQ55" s="32">
        <v>61.5</v>
      </c>
      <c r="DR55" s="32">
        <v>63.9</v>
      </c>
      <c r="DS55" s="32">
        <v>60.3</v>
      </c>
      <c r="DT55" s="32">
        <v>59.3</v>
      </c>
      <c r="DU55" s="32">
        <v>58.8</v>
      </c>
      <c r="DV55" s="32">
        <v>60.8</v>
      </c>
      <c r="DW55" s="32">
        <v>56.3</v>
      </c>
      <c r="DX55" s="32">
        <v>60.5</v>
      </c>
      <c r="DY55" s="32">
        <v>64</v>
      </c>
      <c r="DZ55" s="32">
        <v>94.9</v>
      </c>
      <c r="EA55" s="32">
        <v>94.9</v>
      </c>
      <c r="EB55" s="32">
        <v>64.599999999999994</v>
      </c>
      <c r="EC55" s="32">
        <v>63.4</v>
      </c>
      <c r="ED55" s="32">
        <v>66.599999999999994</v>
      </c>
      <c r="EE55" s="32">
        <v>72.5</v>
      </c>
      <c r="EF55" s="32">
        <v>51.1</v>
      </c>
      <c r="EG55" s="32">
        <v>57.8</v>
      </c>
      <c r="EH55" s="32">
        <v>67.599999999999994</v>
      </c>
      <c r="EI55" s="32">
        <v>51.8</v>
      </c>
      <c r="EJ55" s="32">
        <v>92.3</v>
      </c>
      <c r="EK55" s="32">
        <v>52.5</v>
      </c>
      <c r="EL55" s="32">
        <v>70.8</v>
      </c>
      <c r="EM55" s="32">
        <v>39.700000000000003</v>
      </c>
      <c r="EN55" s="32">
        <v>58.2</v>
      </c>
      <c r="EO55" s="32">
        <v>86.2</v>
      </c>
      <c r="EP55" s="32">
        <v>87.9</v>
      </c>
      <c r="EQ55" s="32">
        <v>87.9</v>
      </c>
      <c r="ER55" s="32">
        <v>102.3</v>
      </c>
      <c r="ES55" s="32">
        <v>102.3</v>
      </c>
      <c r="ET55" s="32">
        <v>73.900000000000006</v>
      </c>
      <c r="EU55" s="32">
        <v>71.2</v>
      </c>
      <c r="EV55" s="32">
        <v>71.2</v>
      </c>
      <c r="EW55" s="32">
        <v>81.099999999999994</v>
      </c>
      <c r="EX55" s="32">
        <v>96.3</v>
      </c>
      <c r="EY55" s="32">
        <v>69.3</v>
      </c>
      <c r="EZ55" s="32">
        <v>83.9</v>
      </c>
      <c r="FA55" s="32">
        <v>83.7</v>
      </c>
      <c r="FB55" s="32">
        <v>94.4</v>
      </c>
      <c r="FC55" s="32">
        <v>82.1</v>
      </c>
      <c r="FD55" s="32">
        <v>100.6</v>
      </c>
      <c r="FE55" s="32">
        <v>109</v>
      </c>
      <c r="FF55" s="32">
        <v>70.8</v>
      </c>
      <c r="FG55" s="32">
        <v>84</v>
      </c>
      <c r="FH55" s="32">
        <v>83.1</v>
      </c>
      <c r="FI55" s="32">
        <v>87</v>
      </c>
      <c r="FJ55" s="32">
        <v>83.8</v>
      </c>
      <c r="FK55" s="32">
        <v>86.6</v>
      </c>
      <c r="FL55" s="32">
        <v>86.6</v>
      </c>
    </row>
    <row r="56" spans="1:168" x14ac:dyDescent="0.2">
      <c r="A56" s="34" t="s">
        <v>1036</v>
      </c>
      <c r="B56" s="32">
        <v>73.8</v>
      </c>
      <c r="C56" s="32">
        <v>78.7</v>
      </c>
      <c r="D56" s="32">
        <v>98.2</v>
      </c>
      <c r="E56" s="32">
        <v>96.8</v>
      </c>
      <c r="F56" s="32">
        <v>310</v>
      </c>
      <c r="G56" s="32">
        <v>5732.9</v>
      </c>
      <c r="H56" s="32">
        <v>400.3</v>
      </c>
      <c r="I56" s="32">
        <v>52.8</v>
      </c>
      <c r="J56" s="32">
        <v>79.2</v>
      </c>
      <c r="K56" s="32">
        <v>88.7</v>
      </c>
      <c r="L56" s="32">
        <v>88.7</v>
      </c>
      <c r="M56" s="32">
        <v>92.3</v>
      </c>
      <c r="N56" s="32">
        <v>65.599999999999994</v>
      </c>
      <c r="O56" s="32">
        <v>213</v>
      </c>
      <c r="P56" s="32">
        <v>323.5</v>
      </c>
      <c r="Q56" s="32">
        <v>109.2</v>
      </c>
      <c r="R56" s="32">
        <v>80.5</v>
      </c>
      <c r="S56" s="32">
        <v>113.1</v>
      </c>
      <c r="T56" s="32">
        <v>56.7</v>
      </c>
      <c r="U56" s="32">
        <v>37.200000000000003</v>
      </c>
      <c r="V56" s="32">
        <v>113.4</v>
      </c>
      <c r="W56" s="32">
        <v>45.2</v>
      </c>
      <c r="X56" s="32">
        <v>34.299999999999997</v>
      </c>
      <c r="Y56" s="32">
        <v>55.2</v>
      </c>
      <c r="Z56" s="32">
        <v>94.2</v>
      </c>
      <c r="AA56" s="32">
        <v>64.5</v>
      </c>
      <c r="AB56" s="32">
        <v>68.2</v>
      </c>
      <c r="AC56" s="32">
        <v>52.2</v>
      </c>
      <c r="AD56" s="32">
        <v>77.8</v>
      </c>
      <c r="AE56" s="32">
        <v>132.5</v>
      </c>
      <c r="AF56" s="32">
        <v>132.5</v>
      </c>
      <c r="AG56" s="32">
        <v>58.1</v>
      </c>
      <c r="AH56" s="32">
        <v>58.1</v>
      </c>
      <c r="AI56" s="32">
        <v>261.60000000000002</v>
      </c>
      <c r="AJ56" s="32">
        <v>39</v>
      </c>
      <c r="AK56" s="32">
        <v>667.2</v>
      </c>
      <c r="AL56" s="32">
        <v>111.3</v>
      </c>
      <c r="AM56" s="32">
        <v>28.6</v>
      </c>
      <c r="AN56" s="32">
        <v>85.2</v>
      </c>
      <c r="AO56" s="32">
        <v>93.3</v>
      </c>
      <c r="AP56" s="32">
        <v>93.3</v>
      </c>
      <c r="AQ56" s="32">
        <v>106</v>
      </c>
      <c r="AR56" s="32">
        <v>105.1</v>
      </c>
      <c r="AS56" s="32">
        <v>108.5</v>
      </c>
      <c r="AT56" s="32">
        <v>121.4</v>
      </c>
      <c r="AU56" s="32">
        <v>96.5</v>
      </c>
      <c r="AV56" s="32">
        <v>111</v>
      </c>
      <c r="AW56" s="32">
        <v>200.8</v>
      </c>
      <c r="AX56" s="32">
        <v>173.1</v>
      </c>
      <c r="AY56" s="32">
        <v>411.6</v>
      </c>
      <c r="AZ56" s="32">
        <v>94</v>
      </c>
      <c r="BA56" s="32">
        <v>34.5</v>
      </c>
      <c r="BB56" s="32">
        <v>34.5</v>
      </c>
      <c r="BC56" s="32">
        <v>104.5</v>
      </c>
      <c r="BD56" s="32">
        <v>104.5</v>
      </c>
      <c r="BE56" s="32">
        <v>91.7</v>
      </c>
      <c r="BF56" s="32">
        <v>91.7</v>
      </c>
      <c r="BG56" s="32">
        <v>79.900000000000006</v>
      </c>
      <c r="BH56" s="32">
        <v>63.1</v>
      </c>
      <c r="BI56" s="32">
        <v>96.9</v>
      </c>
      <c r="BJ56" s="32">
        <v>34.5</v>
      </c>
      <c r="BK56" s="32">
        <v>136.19999999999999</v>
      </c>
      <c r="BL56" s="32">
        <v>25.6</v>
      </c>
      <c r="BM56" s="32">
        <v>88.9</v>
      </c>
      <c r="BN56" s="32">
        <v>85.3</v>
      </c>
      <c r="BO56" s="32">
        <v>98.1</v>
      </c>
      <c r="BP56" s="32">
        <v>75.5</v>
      </c>
      <c r="BQ56" s="32">
        <v>95.2</v>
      </c>
      <c r="BR56" s="32">
        <v>46.8</v>
      </c>
      <c r="BS56" s="32">
        <v>226.5</v>
      </c>
      <c r="BT56" s="32">
        <v>74</v>
      </c>
      <c r="BU56" s="32">
        <v>120.6</v>
      </c>
      <c r="BV56" s="32">
        <v>120.6</v>
      </c>
      <c r="BW56" s="32">
        <v>146.1</v>
      </c>
      <c r="BX56" s="32">
        <v>109.7</v>
      </c>
      <c r="BY56" s="32">
        <v>116.7</v>
      </c>
      <c r="BZ56" s="32">
        <v>108.9</v>
      </c>
      <c r="CA56" s="32">
        <v>121.3</v>
      </c>
      <c r="CB56" s="32">
        <v>121.3</v>
      </c>
      <c r="CC56" s="32">
        <v>130.69999999999999</v>
      </c>
      <c r="CD56" s="32">
        <v>53.6</v>
      </c>
      <c r="CE56" s="32">
        <v>101.7</v>
      </c>
      <c r="CF56" s="32">
        <v>68.3</v>
      </c>
      <c r="CG56" s="32">
        <v>83.6</v>
      </c>
      <c r="CH56" s="32">
        <v>83.4</v>
      </c>
      <c r="CI56" s="32">
        <v>103.3</v>
      </c>
      <c r="CJ56" s="32">
        <v>68.8</v>
      </c>
      <c r="CK56" s="32">
        <v>90.5</v>
      </c>
      <c r="CL56" s="32">
        <v>86.6</v>
      </c>
      <c r="CM56" s="32">
        <v>104.2</v>
      </c>
      <c r="CN56" s="32">
        <v>68.2</v>
      </c>
      <c r="CO56" s="32">
        <v>114.4</v>
      </c>
      <c r="CP56" s="32">
        <v>109.1</v>
      </c>
      <c r="CQ56" s="32">
        <v>17.899999999999999</v>
      </c>
      <c r="CR56" s="32">
        <v>86.6</v>
      </c>
      <c r="CS56" s="32">
        <v>110.3</v>
      </c>
      <c r="CT56" s="32">
        <v>81.3</v>
      </c>
      <c r="CU56" s="32">
        <v>54.5</v>
      </c>
      <c r="CV56" s="32">
        <v>93.4</v>
      </c>
      <c r="CW56" s="32">
        <v>20.9</v>
      </c>
      <c r="CX56" s="32">
        <v>72.2</v>
      </c>
      <c r="CY56" s="32">
        <v>76.400000000000006</v>
      </c>
      <c r="CZ56" s="32">
        <v>72.599999999999994</v>
      </c>
      <c r="DA56" s="32">
        <v>59</v>
      </c>
      <c r="DB56" s="32">
        <v>100.6</v>
      </c>
      <c r="DC56" s="32">
        <v>2.7</v>
      </c>
      <c r="DD56" s="32">
        <v>2.7</v>
      </c>
      <c r="DE56" s="32">
        <v>46.5</v>
      </c>
      <c r="DF56" s="32">
        <v>39.9</v>
      </c>
      <c r="DG56" s="32">
        <v>93.2</v>
      </c>
      <c r="DH56" s="32">
        <v>72.099999999999994</v>
      </c>
      <c r="DI56" s="32">
        <v>87.4</v>
      </c>
      <c r="DJ56" s="32">
        <v>105.3</v>
      </c>
      <c r="DK56" s="32">
        <v>105.3</v>
      </c>
      <c r="DL56" s="32">
        <v>37.5</v>
      </c>
      <c r="DM56" s="32">
        <v>66.8</v>
      </c>
      <c r="DN56" s="32">
        <v>41.2</v>
      </c>
      <c r="DO56" s="32">
        <v>78.099999999999994</v>
      </c>
      <c r="DP56" s="32">
        <v>42</v>
      </c>
      <c r="DQ56" s="32">
        <v>62.6</v>
      </c>
      <c r="DR56" s="32">
        <v>66.099999999999994</v>
      </c>
      <c r="DS56" s="32">
        <v>62.3</v>
      </c>
      <c r="DT56" s="32">
        <v>59.2</v>
      </c>
      <c r="DU56" s="32">
        <v>59.1</v>
      </c>
      <c r="DV56" s="32">
        <v>60.7</v>
      </c>
      <c r="DW56" s="32">
        <v>57</v>
      </c>
      <c r="DX56" s="32">
        <v>59.4</v>
      </c>
      <c r="DY56" s="32">
        <v>72.7</v>
      </c>
      <c r="DZ56" s="32">
        <v>106.1</v>
      </c>
      <c r="EA56" s="32">
        <v>106.1</v>
      </c>
      <c r="EB56" s="32">
        <v>64.8</v>
      </c>
      <c r="EC56" s="32">
        <v>63.5</v>
      </c>
      <c r="ED56" s="32">
        <v>67.099999999999994</v>
      </c>
      <c r="EE56" s="32">
        <v>73.2</v>
      </c>
      <c r="EF56" s="32">
        <v>51</v>
      </c>
      <c r="EG56" s="32">
        <v>57.3</v>
      </c>
      <c r="EH56" s="32">
        <v>66.099999999999994</v>
      </c>
      <c r="EI56" s="32">
        <v>52.2</v>
      </c>
      <c r="EJ56" s="32">
        <v>90.4</v>
      </c>
      <c r="EK56" s="32">
        <v>52.2</v>
      </c>
      <c r="EL56" s="32">
        <v>70.5</v>
      </c>
      <c r="EM56" s="32">
        <v>39.799999999999997</v>
      </c>
      <c r="EN56" s="32">
        <v>57.4</v>
      </c>
      <c r="EO56" s="32">
        <v>86.5</v>
      </c>
      <c r="EP56" s="32">
        <v>88.1</v>
      </c>
      <c r="EQ56" s="32">
        <v>88.1</v>
      </c>
      <c r="ER56" s="32">
        <v>101.7</v>
      </c>
      <c r="ES56" s="32">
        <v>101.7</v>
      </c>
      <c r="ET56" s="32">
        <v>74.8</v>
      </c>
      <c r="EU56" s="32">
        <v>72.3</v>
      </c>
      <c r="EV56" s="32">
        <v>72.3</v>
      </c>
      <c r="EW56" s="32">
        <v>81.599999999999994</v>
      </c>
      <c r="EX56" s="32">
        <v>96.2</v>
      </c>
      <c r="EY56" s="32">
        <v>70.099999999999994</v>
      </c>
      <c r="EZ56" s="32">
        <v>83.6</v>
      </c>
      <c r="FA56" s="32">
        <v>82.1</v>
      </c>
      <c r="FB56" s="32">
        <v>91</v>
      </c>
      <c r="FC56" s="32">
        <v>75</v>
      </c>
      <c r="FD56" s="32">
        <v>101.1</v>
      </c>
      <c r="FE56" s="32">
        <v>111.4</v>
      </c>
      <c r="FF56" s="32">
        <v>71.2</v>
      </c>
      <c r="FG56" s="32">
        <v>85</v>
      </c>
      <c r="FH56" s="32">
        <v>85.1</v>
      </c>
      <c r="FI56" s="32">
        <v>99.6</v>
      </c>
      <c r="FJ56" s="32">
        <v>83</v>
      </c>
      <c r="FK56" s="32">
        <v>85</v>
      </c>
      <c r="FL56" s="32">
        <v>85</v>
      </c>
    </row>
    <row r="57" spans="1:168" x14ac:dyDescent="0.2">
      <c r="A57" s="34" t="s">
        <v>1037</v>
      </c>
      <c r="B57" s="32">
        <v>73.7</v>
      </c>
      <c r="C57" s="32">
        <v>77.900000000000006</v>
      </c>
      <c r="D57" s="32">
        <v>98.8</v>
      </c>
      <c r="E57" s="32">
        <v>97.3</v>
      </c>
      <c r="F57" s="32">
        <v>317</v>
      </c>
      <c r="G57" s="32">
        <v>6407.6</v>
      </c>
      <c r="H57" s="32">
        <v>407.5</v>
      </c>
      <c r="I57" s="32">
        <v>55.2</v>
      </c>
      <c r="J57" s="32">
        <v>79.099999999999994</v>
      </c>
      <c r="K57" s="32">
        <v>88.3</v>
      </c>
      <c r="L57" s="32">
        <v>89.2</v>
      </c>
      <c r="M57" s="32">
        <v>93.3</v>
      </c>
      <c r="N57" s="32">
        <v>67.099999999999994</v>
      </c>
      <c r="O57" s="32">
        <v>209.4</v>
      </c>
      <c r="P57" s="32">
        <v>315.60000000000002</v>
      </c>
      <c r="Q57" s="32">
        <v>99.2</v>
      </c>
      <c r="R57" s="32">
        <v>81.900000000000006</v>
      </c>
      <c r="S57" s="32">
        <v>114.4</v>
      </c>
      <c r="T57" s="32">
        <v>55.3</v>
      </c>
      <c r="U57" s="32">
        <v>36.9</v>
      </c>
      <c r="V57" s="32">
        <v>107.9</v>
      </c>
      <c r="W57" s="32">
        <v>46</v>
      </c>
      <c r="X57" s="32">
        <v>34.200000000000003</v>
      </c>
      <c r="Y57" s="32">
        <v>57.9</v>
      </c>
      <c r="Z57" s="32">
        <v>91.5</v>
      </c>
      <c r="AA57" s="32">
        <v>64.7</v>
      </c>
      <c r="AB57" s="32">
        <v>67.8</v>
      </c>
      <c r="AC57" s="32">
        <v>51.9</v>
      </c>
      <c r="AD57" s="32">
        <v>78.8</v>
      </c>
      <c r="AE57" s="32">
        <v>127.5</v>
      </c>
      <c r="AF57" s="32">
        <v>127.5</v>
      </c>
      <c r="AG57" s="32">
        <v>57.4</v>
      </c>
      <c r="AH57" s="32">
        <v>57.4</v>
      </c>
      <c r="AI57" s="32">
        <v>281.10000000000002</v>
      </c>
      <c r="AJ57" s="32">
        <v>37.5</v>
      </c>
      <c r="AK57" s="32">
        <v>538.20000000000005</v>
      </c>
      <c r="AL57" s="32">
        <v>105.7</v>
      </c>
      <c r="AM57" s="32">
        <v>29.7</v>
      </c>
      <c r="AN57" s="32">
        <v>89.1</v>
      </c>
      <c r="AO57" s="32">
        <v>91</v>
      </c>
      <c r="AP57" s="32">
        <v>91</v>
      </c>
      <c r="AQ57" s="32">
        <v>107.9</v>
      </c>
      <c r="AR57" s="32">
        <v>107.7</v>
      </c>
      <c r="AS57" s="32">
        <v>109.2</v>
      </c>
      <c r="AT57" s="32">
        <v>122.8</v>
      </c>
      <c r="AU57" s="32">
        <v>96.6</v>
      </c>
      <c r="AV57" s="32">
        <v>112</v>
      </c>
      <c r="AW57" s="32">
        <v>210.1</v>
      </c>
      <c r="AX57" s="32">
        <v>180.1</v>
      </c>
      <c r="AY57" s="32">
        <v>432.4</v>
      </c>
      <c r="AZ57" s="32">
        <v>93.2</v>
      </c>
      <c r="BA57" s="32">
        <v>34.4</v>
      </c>
      <c r="BB57" s="32">
        <v>34.4</v>
      </c>
      <c r="BC57" s="32">
        <v>100.8</v>
      </c>
      <c r="BD57" s="32">
        <v>100.8</v>
      </c>
      <c r="BE57" s="32">
        <v>93.1</v>
      </c>
      <c r="BF57" s="32">
        <v>93.1</v>
      </c>
      <c r="BG57" s="32">
        <v>81.3</v>
      </c>
      <c r="BH57" s="32">
        <v>65.900000000000006</v>
      </c>
      <c r="BI57" s="32">
        <v>95.6</v>
      </c>
      <c r="BJ57" s="32">
        <v>37.299999999999997</v>
      </c>
      <c r="BK57" s="32">
        <v>133.1</v>
      </c>
      <c r="BL57" s="32">
        <v>24.9</v>
      </c>
      <c r="BM57" s="32">
        <v>85.3</v>
      </c>
      <c r="BN57" s="32">
        <v>88.4</v>
      </c>
      <c r="BO57" s="32">
        <v>100.8</v>
      </c>
      <c r="BP57" s="32">
        <v>79</v>
      </c>
      <c r="BQ57" s="32">
        <v>81.2</v>
      </c>
      <c r="BR57" s="32">
        <v>48.2</v>
      </c>
      <c r="BS57" s="32">
        <v>189.2</v>
      </c>
      <c r="BT57" s="32">
        <v>62.7</v>
      </c>
      <c r="BU57" s="32">
        <v>127.7</v>
      </c>
      <c r="BV57" s="32">
        <v>127.7</v>
      </c>
      <c r="BW57" s="32">
        <v>155</v>
      </c>
      <c r="BX57" s="32">
        <v>114.9</v>
      </c>
      <c r="BY57" s="32">
        <v>116.2</v>
      </c>
      <c r="BZ57" s="32">
        <v>111.2</v>
      </c>
      <c r="CA57" s="32">
        <v>119.4</v>
      </c>
      <c r="CB57" s="32">
        <v>117</v>
      </c>
      <c r="CC57" s="32">
        <v>131.5</v>
      </c>
      <c r="CD57" s="32">
        <v>53.4</v>
      </c>
      <c r="CE57" s="32">
        <v>102.7</v>
      </c>
      <c r="CF57" s="32">
        <v>68</v>
      </c>
      <c r="CG57" s="32">
        <v>82.9</v>
      </c>
      <c r="CH57" s="32">
        <v>81.8</v>
      </c>
      <c r="CI57" s="32">
        <v>100.8</v>
      </c>
      <c r="CJ57" s="32">
        <v>66.3</v>
      </c>
      <c r="CK57" s="32">
        <v>90</v>
      </c>
      <c r="CL57" s="32">
        <v>87.8</v>
      </c>
      <c r="CM57" s="32">
        <v>103</v>
      </c>
      <c r="CN57" s="32">
        <v>64.7</v>
      </c>
      <c r="CO57" s="32">
        <v>113.7</v>
      </c>
      <c r="CP57" s="32">
        <v>108.5</v>
      </c>
      <c r="CQ57" s="32">
        <v>17.399999999999999</v>
      </c>
      <c r="CR57" s="32">
        <v>88.2</v>
      </c>
      <c r="CS57" s="32">
        <v>121.4</v>
      </c>
      <c r="CT57" s="32">
        <v>81.599999999999994</v>
      </c>
      <c r="CU57" s="32">
        <v>56.2</v>
      </c>
      <c r="CV57" s="32">
        <v>93</v>
      </c>
      <c r="CW57" s="32">
        <v>20.6</v>
      </c>
      <c r="CX57" s="32">
        <v>69.5</v>
      </c>
      <c r="CY57" s="32">
        <v>77</v>
      </c>
      <c r="CZ57" s="32">
        <v>67</v>
      </c>
      <c r="DA57" s="32">
        <v>52</v>
      </c>
      <c r="DB57" s="32">
        <v>99.6</v>
      </c>
      <c r="DC57" s="32">
        <v>2.7</v>
      </c>
      <c r="DD57" s="32">
        <v>2.7</v>
      </c>
      <c r="DE57" s="32">
        <v>45.6</v>
      </c>
      <c r="DF57" s="32">
        <v>39.299999999999997</v>
      </c>
      <c r="DG57" s="32">
        <v>89.4</v>
      </c>
      <c r="DH57" s="32">
        <v>70.599999999999994</v>
      </c>
      <c r="DI57" s="32">
        <v>85.5</v>
      </c>
      <c r="DJ57" s="32">
        <v>102.6</v>
      </c>
      <c r="DK57" s="32">
        <v>102.6</v>
      </c>
      <c r="DL57" s="32">
        <v>37.5</v>
      </c>
      <c r="DM57" s="32">
        <v>67.099999999999994</v>
      </c>
      <c r="DN57" s="32">
        <v>41.3</v>
      </c>
      <c r="DO57" s="32">
        <v>78.400000000000006</v>
      </c>
      <c r="DP57" s="32">
        <v>42.8</v>
      </c>
      <c r="DQ57" s="32">
        <v>62.7</v>
      </c>
      <c r="DR57" s="32">
        <v>65.599999999999994</v>
      </c>
      <c r="DS57" s="32">
        <v>62.9</v>
      </c>
      <c r="DT57" s="32">
        <v>60.7</v>
      </c>
      <c r="DU57" s="32">
        <v>61.9</v>
      </c>
      <c r="DV57" s="32">
        <v>65.599999999999994</v>
      </c>
      <c r="DW57" s="32">
        <v>57.6</v>
      </c>
      <c r="DX57" s="32">
        <v>58</v>
      </c>
      <c r="DY57" s="32">
        <v>70.3</v>
      </c>
      <c r="DZ57" s="32">
        <v>93.1</v>
      </c>
      <c r="EA57" s="32">
        <v>93.1</v>
      </c>
      <c r="EB57" s="32">
        <v>64.599999999999994</v>
      </c>
      <c r="EC57" s="32">
        <v>62.8</v>
      </c>
      <c r="ED57" s="32">
        <v>67.5</v>
      </c>
      <c r="EE57" s="32">
        <v>73.900000000000006</v>
      </c>
      <c r="EF57" s="32">
        <v>50.7</v>
      </c>
      <c r="EG57" s="32">
        <v>58.1</v>
      </c>
      <c r="EH57" s="32">
        <v>66.3</v>
      </c>
      <c r="EI57" s="32">
        <v>53.4</v>
      </c>
      <c r="EJ57" s="32">
        <v>85.3</v>
      </c>
      <c r="EK57" s="32">
        <v>53.9</v>
      </c>
      <c r="EL57" s="32">
        <v>69.5</v>
      </c>
      <c r="EM57" s="32">
        <v>39.9</v>
      </c>
      <c r="EN57" s="32">
        <v>60.8</v>
      </c>
      <c r="EO57" s="32">
        <v>86.4</v>
      </c>
      <c r="EP57" s="32">
        <v>88.8</v>
      </c>
      <c r="EQ57" s="32">
        <v>88.8</v>
      </c>
      <c r="ER57" s="32">
        <v>99.1</v>
      </c>
      <c r="ES57" s="32">
        <v>99.1</v>
      </c>
      <c r="ET57" s="32">
        <v>75.8</v>
      </c>
      <c r="EU57" s="32">
        <v>73.5</v>
      </c>
      <c r="EV57" s="32">
        <v>73.5</v>
      </c>
      <c r="EW57" s="32">
        <v>81.900000000000006</v>
      </c>
      <c r="EX57" s="32">
        <v>96.1</v>
      </c>
      <c r="EY57" s="32">
        <v>70.900000000000006</v>
      </c>
      <c r="EZ57" s="32">
        <v>85.7</v>
      </c>
      <c r="FA57" s="32">
        <v>84.1</v>
      </c>
      <c r="FB57" s="32">
        <v>94.8</v>
      </c>
      <c r="FC57" s="32">
        <v>80.8</v>
      </c>
      <c r="FD57" s="32">
        <v>101.6</v>
      </c>
      <c r="FE57" s="32">
        <v>112.4</v>
      </c>
      <c r="FF57" s="32">
        <v>71.099999999999994</v>
      </c>
      <c r="FG57" s="32">
        <v>85.2</v>
      </c>
      <c r="FH57" s="32">
        <v>86.8</v>
      </c>
      <c r="FI57" s="32">
        <v>87.4</v>
      </c>
      <c r="FJ57" s="32">
        <v>84.1</v>
      </c>
      <c r="FK57" s="32">
        <v>103.2</v>
      </c>
      <c r="FL57" s="32">
        <v>103.2</v>
      </c>
    </row>
    <row r="58" spans="1:168" x14ac:dyDescent="0.2">
      <c r="A58" s="34" t="s">
        <v>1038</v>
      </c>
      <c r="B58" s="32">
        <v>73.8</v>
      </c>
      <c r="C58" s="32">
        <v>78.2</v>
      </c>
      <c r="D58" s="32">
        <v>98.5</v>
      </c>
      <c r="E58" s="32">
        <v>96.8</v>
      </c>
      <c r="F58" s="32">
        <v>319.89999999999998</v>
      </c>
      <c r="G58" s="32">
        <v>7511.3</v>
      </c>
      <c r="H58" s="32">
        <v>410.8</v>
      </c>
      <c r="I58" s="32">
        <v>54.8</v>
      </c>
      <c r="J58" s="32">
        <v>78.599999999999994</v>
      </c>
      <c r="K58" s="32">
        <v>88.3</v>
      </c>
      <c r="L58" s="32">
        <v>88.3</v>
      </c>
      <c r="M58" s="32">
        <v>92.2</v>
      </c>
      <c r="N58" s="32">
        <v>65.400000000000006</v>
      </c>
      <c r="O58" s="32">
        <v>187.3</v>
      </c>
      <c r="P58" s="32">
        <v>316.60000000000002</v>
      </c>
      <c r="Q58" s="32">
        <v>96.3</v>
      </c>
      <c r="R58" s="32">
        <v>80.8</v>
      </c>
      <c r="S58" s="32">
        <v>114.2</v>
      </c>
      <c r="T58" s="32">
        <v>55</v>
      </c>
      <c r="U58" s="32">
        <v>40.6</v>
      </c>
      <c r="V58" s="32">
        <v>110.1</v>
      </c>
      <c r="W58" s="32">
        <v>45.1</v>
      </c>
      <c r="X58" s="32">
        <v>34</v>
      </c>
      <c r="Y58" s="32">
        <v>55.7</v>
      </c>
      <c r="Z58" s="32">
        <v>92.3</v>
      </c>
      <c r="AA58" s="32">
        <v>65.400000000000006</v>
      </c>
      <c r="AB58" s="32">
        <v>68.400000000000006</v>
      </c>
      <c r="AC58" s="32">
        <v>53.6</v>
      </c>
      <c r="AD58" s="32">
        <v>78.5</v>
      </c>
      <c r="AE58" s="32">
        <v>124.3</v>
      </c>
      <c r="AF58" s="32">
        <v>124.3</v>
      </c>
      <c r="AG58" s="32">
        <v>57.1</v>
      </c>
      <c r="AH58" s="32">
        <v>57.1</v>
      </c>
      <c r="AI58" s="32">
        <v>293.10000000000002</v>
      </c>
      <c r="AJ58" s="32">
        <v>36.1</v>
      </c>
      <c r="AK58" s="32">
        <v>555.5</v>
      </c>
      <c r="AL58" s="32">
        <v>108.6</v>
      </c>
      <c r="AM58" s="32">
        <v>30.3</v>
      </c>
      <c r="AN58" s="32">
        <v>86.6</v>
      </c>
      <c r="AO58" s="32">
        <v>94.6</v>
      </c>
      <c r="AP58" s="32">
        <v>94.6</v>
      </c>
      <c r="AQ58" s="32">
        <v>107.4</v>
      </c>
      <c r="AR58" s="32">
        <v>106</v>
      </c>
      <c r="AS58" s="32">
        <v>110.7</v>
      </c>
      <c r="AT58" s="32">
        <v>122.7</v>
      </c>
      <c r="AU58" s="32">
        <v>99.9</v>
      </c>
      <c r="AV58" s="32">
        <v>111.7</v>
      </c>
      <c r="AW58" s="32">
        <v>205.9</v>
      </c>
      <c r="AX58" s="32">
        <v>179.9</v>
      </c>
      <c r="AY58" s="32">
        <v>417.9</v>
      </c>
      <c r="AZ58" s="32">
        <v>93.7</v>
      </c>
      <c r="BA58" s="32">
        <v>33.4</v>
      </c>
      <c r="BB58" s="32">
        <v>33.4</v>
      </c>
      <c r="BC58" s="32">
        <v>102.8</v>
      </c>
      <c r="BD58" s="32">
        <v>102.8</v>
      </c>
      <c r="BE58" s="32">
        <v>91.9</v>
      </c>
      <c r="BF58" s="32">
        <v>91.9</v>
      </c>
      <c r="BG58" s="32">
        <v>81.3</v>
      </c>
      <c r="BH58" s="32">
        <v>66.3</v>
      </c>
      <c r="BI58" s="32">
        <v>95</v>
      </c>
      <c r="BJ58" s="32">
        <v>38.6</v>
      </c>
      <c r="BK58" s="32">
        <v>130.19999999999999</v>
      </c>
      <c r="BL58" s="32">
        <v>27.8</v>
      </c>
      <c r="BM58" s="32">
        <v>81.3</v>
      </c>
      <c r="BN58" s="32">
        <v>83.7</v>
      </c>
      <c r="BO58" s="32">
        <v>97</v>
      </c>
      <c r="BP58" s="32">
        <v>73.599999999999994</v>
      </c>
      <c r="BQ58" s="32">
        <v>78.400000000000006</v>
      </c>
      <c r="BR58" s="32">
        <v>45</v>
      </c>
      <c r="BS58" s="32">
        <v>161.30000000000001</v>
      </c>
      <c r="BT58" s="32">
        <v>63.6</v>
      </c>
      <c r="BU58" s="32">
        <v>123.4</v>
      </c>
      <c r="BV58" s="32">
        <v>123.4</v>
      </c>
      <c r="BW58" s="32">
        <v>151.30000000000001</v>
      </c>
      <c r="BX58" s="32">
        <v>107.8</v>
      </c>
      <c r="BY58" s="32">
        <v>118.2</v>
      </c>
      <c r="BZ58" s="32">
        <v>115.5</v>
      </c>
      <c r="CA58" s="32">
        <v>120.1</v>
      </c>
      <c r="CB58" s="32">
        <v>118.6</v>
      </c>
      <c r="CC58" s="32">
        <v>131.4</v>
      </c>
      <c r="CD58" s="32">
        <v>54.7</v>
      </c>
      <c r="CE58" s="32">
        <v>103.4</v>
      </c>
      <c r="CF58" s="32">
        <v>68.099999999999994</v>
      </c>
      <c r="CG58" s="32">
        <v>83.7</v>
      </c>
      <c r="CH58" s="32">
        <v>83.3</v>
      </c>
      <c r="CI58" s="32">
        <v>103.8</v>
      </c>
      <c r="CJ58" s="32">
        <v>67.7</v>
      </c>
      <c r="CK58" s="32">
        <v>91.2</v>
      </c>
      <c r="CL58" s="32">
        <v>87.3</v>
      </c>
      <c r="CM58" s="32">
        <v>101.7</v>
      </c>
      <c r="CN58" s="32">
        <v>65.8</v>
      </c>
      <c r="CO58" s="32">
        <v>111.8</v>
      </c>
      <c r="CP58" s="32">
        <v>108</v>
      </c>
      <c r="CQ58" s="32">
        <v>16.8</v>
      </c>
      <c r="CR58" s="32">
        <v>89.1</v>
      </c>
      <c r="CS58" s="32">
        <v>121.8</v>
      </c>
      <c r="CT58" s="32">
        <v>81.7</v>
      </c>
      <c r="CU58" s="32">
        <v>54.7</v>
      </c>
      <c r="CV58" s="32">
        <v>93.9</v>
      </c>
      <c r="CW58" s="32">
        <v>20.6</v>
      </c>
      <c r="CX58" s="32">
        <v>68.400000000000006</v>
      </c>
      <c r="CY58" s="32">
        <v>76.599999999999994</v>
      </c>
      <c r="CZ58" s="32">
        <v>65.099999999999994</v>
      </c>
      <c r="DA58" s="32">
        <v>50.1</v>
      </c>
      <c r="DB58" s="32">
        <v>98.2</v>
      </c>
      <c r="DC58" s="32">
        <v>2.8</v>
      </c>
      <c r="DD58" s="32">
        <v>2.8</v>
      </c>
      <c r="DE58" s="32">
        <v>44.7</v>
      </c>
      <c r="DF58" s="32">
        <v>38.799999999999997</v>
      </c>
      <c r="DG58" s="32">
        <v>86.1</v>
      </c>
      <c r="DH58" s="32">
        <v>71.2</v>
      </c>
      <c r="DI58" s="32">
        <v>86.5</v>
      </c>
      <c r="DJ58" s="32">
        <v>100.6</v>
      </c>
      <c r="DK58" s="32">
        <v>100.6</v>
      </c>
      <c r="DL58" s="32">
        <v>39.4</v>
      </c>
      <c r="DM58" s="32">
        <v>67.3</v>
      </c>
      <c r="DN58" s="32">
        <v>41.5</v>
      </c>
      <c r="DO58" s="32">
        <v>78.599999999999994</v>
      </c>
      <c r="DP58" s="32">
        <v>43.3</v>
      </c>
      <c r="DQ58" s="32">
        <v>62</v>
      </c>
      <c r="DR58" s="32">
        <v>64.5</v>
      </c>
      <c r="DS58" s="32">
        <v>62</v>
      </c>
      <c r="DT58" s="32">
        <v>59.5</v>
      </c>
      <c r="DU58" s="32">
        <v>60.5</v>
      </c>
      <c r="DV58" s="32">
        <v>63.3</v>
      </c>
      <c r="DW58" s="32">
        <v>57.3</v>
      </c>
      <c r="DX58" s="32">
        <v>57.3</v>
      </c>
      <c r="DY58" s="32">
        <v>70.099999999999994</v>
      </c>
      <c r="DZ58" s="32">
        <v>91.4</v>
      </c>
      <c r="EA58" s="32">
        <v>91.4</v>
      </c>
      <c r="EB58" s="32">
        <v>63</v>
      </c>
      <c r="EC58" s="32">
        <v>61.9</v>
      </c>
      <c r="ED58" s="32">
        <v>65</v>
      </c>
      <c r="EE58" s="32">
        <v>70.5</v>
      </c>
      <c r="EF58" s="32">
        <v>50.5</v>
      </c>
      <c r="EG58" s="32">
        <v>58.2</v>
      </c>
      <c r="EH58" s="32">
        <v>68.599999999999994</v>
      </c>
      <c r="EI58" s="32">
        <v>52.6</v>
      </c>
      <c r="EJ58" s="32">
        <v>86.6</v>
      </c>
      <c r="EK58" s="32">
        <v>52.9</v>
      </c>
      <c r="EL58" s="32">
        <v>73.099999999999994</v>
      </c>
      <c r="EM58" s="32">
        <v>40.200000000000003</v>
      </c>
      <c r="EN58" s="32">
        <v>58.1</v>
      </c>
      <c r="EO58" s="32">
        <v>86.1</v>
      </c>
      <c r="EP58" s="32">
        <v>89</v>
      </c>
      <c r="EQ58" s="32">
        <v>89</v>
      </c>
      <c r="ER58" s="32">
        <v>96.8</v>
      </c>
      <c r="ES58" s="32">
        <v>96.8</v>
      </c>
      <c r="ET58" s="32">
        <v>76.400000000000006</v>
      </c>
      <c r="EU58" s="32">
        <v>74.099999999999994</v>
      </c>
      <c r="EV58" s="32">
        <v>74.099999999999994</v>
      </c>
      <c r="EW58" s="32">
        <v>82.3</v>
      </c>
      <c r="EX58" s="32">
        <v>96</v>
      </c>
      <c r="EY58" s="32">
        <v>71.599999999999994</v>
      </c>
      <c r="EZ58" s="32">
        <v>86.2</v>
      </c>
      <c r="FA58" s="32">
        <v>84.6</v>
      </c>
      <c r="FB58" s="32">
        <v>95.5</v>
      </c>
      <c r="FC58" s="32">
        <v>81.599999999999994</v>
      </c>
      <c r="FD58" s="32">
        <v>102.2</v>
      </c>
      <c r="FE58" s="32">
        <v>113.2</v>
      </c>
      <c r="FF58" s="32">
        <v>71.400000000000006</v>
      </c>
      <c r="FG58" s="32">
        <v>86</v>
      </c>
      <c r="FH58" s="32">
        <v>86.5</v>
      </c>
      <c r="FI58" s="32">
        <v>88.9</v>
      </c>
      <c r="FJ58" s="32">
        <v>85.3</v>
      </c>
      <c r="FK58" s="32">
        <v>101.7</v>
      </c>
      <c r="FL58" s="32">
        <v>101.7</v>
      </c>
    </row>
    <row r="59" spans="1:168" x14ac:dyDescent="0.2">
      <c r="A59" s="34" t="s">
        <v>1039</v>
      </c>
      <c r="B59" s="32">
        <v>74.099999999999994</v>
      </c>
      <c r="C59" s="32">
        <v>79.900000000000006</v>
      </c>
      <c r="D59" s="32">
        <v>99.1</v>
      </c>
      <c r="E59" s="32">
        <v>97.5</v>
      </c>
      <c r="F59" s="32">
        <v>307.7</v>
      </c>
      <c r="G59" s="32">
        <v>7183.8</v>
      </c>
      <c r="H59" s="32">
        <v>388</v>
      </c>
      <c r="I59" s="32">
        <v>60.4</v>
      </c>
      <c r="J59" s="32">
        <v>79.900000000000006</v>
      </c>
      <c r="K59" s="32">
        <v>88.5</v>
      </c>
      <c r="L59" s="32">
        <v>88.8</v>
      </c>
      <c r="M59" s="32">
        <v>96.9</v>
      </c>
      <c r="N59" s="32">
        <v>64.400000000000006</v>
      </c>
      <c r="O59" s="32">
        <v>206.2</v>
      </c>
      <c r="P59" s="32">
        <v>314.3</v>
      </c>
      <c r="Q59" s="32">
        <v>96.7</v>
      </c>
      <c r="R59" s="32">
        <v>81.5</v>
      </c>
      <c r="S59" s="32">
        <v>113.9</v>
      </c>
      <c r="T59" s="32">
        <v>52.5</v>
      </c>
      <c r="U59" s="32">
        <v>39.5</v>
      </c>
      <c r="V59" s="32">
        <v>109.4</v>
      </c>
      <c r="W59" s="32">
        <v>46.1</v>
      </c>
      <c r="X59" s="32">
        <v>34.799999999999997</v>
      </c>
      <c r="Y59" s="32">
        <v>57</v>
      </c>
      <c r="Z59" s="32">
        <v>92.4</v>
      </c>
      <c r="AA59" s="32">
        <v>65.900000000000006</v>
      </c>
      <c r="AB59" s="32">
        <v>69.3</v>
      </c>
      <c r="AC59" s="32">
        <v>54.8</v>
      </c>
      <c r="AD59" s="32">
        <v>78.3</v>
      </c>
      <c r="AE59" s="32">
        <v>120.2</v>
      </c>
      <c r="AF59" s="32">
        <v>120.2</v>
      </c>
      <c r="AG59" s="32">
        <v>56.5</v>
      </c>
      <c r="AH59" s="32">
        <v>56.5</v>
      </c>
      <c r="AI59" s="32">
        <v>284.89999999999998</v>
      </c>
      <c r="AJ59" s="32">
        <v>36.200000000000003</v>
      </c>
      <c r="AK59" s="32">
        <v>521.79999999999995</v>
      </c>
      <c r="AL59" s="32">
        <v>110.7</v>
      </c>
      <c r="AM59" s="32">
        <v>29.7</v>
      </c>
      <c r="AN59" s="32">
        <v>87.2</v>
      </c>
      <c r="AO59" s="32">
        <v>99.5</v>
      </c>
      <c r="AP59" s="32">
        <v>99.5</v>
      </c>
      <c r="AQ59" s="32">
        <v>108.3</v>
      </c>
      <c r="AR59" s="32">
        <v>108.9</v>
      </c>
      <c r="AS59" s="32">
        <v>108.3</v>
      </c>
      <c r="AT59" s="32">
        <v>123.7</v>
      </c>
      <c r="AU59" s="32">
        <v>93.6</v>
      </c>
      <c r="AV59" s="32">
        <v>111.9</v>
      </c>
      <c r="AW59" s="32">
        <v>202.1</v>
      </c>
      <c r="AX59" s="32">
        <v>173.1</v>
      </c>
      <c r="AY59" s="32">
        <v>416.6</v>
      </c>
      <c r="AZ59" s="32">
        <v>94.8</v>
      </c>
      <c r="BA59" s="32">
        <v>36.5</v>
      </c>
      <c r="BB59" s="32">
        <v>36.5</v>
      </c>
      <c r="BC59" s="32">
        <v>106.3</v>
      </c>
      <c r="BD59" s="32">
        <v>106.3</v>
      </c>
      <c r="BE59" s="32">
        <v>92.8</v>
      </c>
      <c r="BF59" s="32">
        <v>92.8</v>
      </c>
      <c r="BG59" s="32">
        <v>82</v>
      </c>
      <c r="BH59" s="32">
        <v>68.900000000000006</v>
      </c>
      <c r="BI59" s="32">
        <v>92.8</v>
      </c>
      <c r="BJ59" s="32">
        <v>40</v>
      </c>
      <c r="BK59" s="32">
        <v>126.9</v>
      </c>
      <c r="BL59" s="32">
        <v>25.6</v>
      </c>
      <c r="BM59" s="32">
        <v>82.8</v>
      </c>
      <c r="BN59" s="32">
        <v>83.7</v>
      </c>
      <c r="BO59" s="32">
        <v>96.7</v>
      </c>
      <c r="BP59" s="32">
        <v>73.900000000000006</v>
      </c>
      <c r="BQ59" s="32">
        <v>82.1</v>
      </c>
      <c r="BR59" s="32">
        <v>52.3</v>
      </c>
      <c r="BS59" s="32">
        <v>184.9</v>
      </c>
      <c r="BT59" s="32">
        <v>63.8</v>
      </c>
      <c r="BU59" s="32">
        <v>123.6</v>
      </c>
      <c r="BV59" s="32">
        <v>123.6</v>
      </c>
      <c r="BW59" s="32">
        <v>147</v>
      </c>
      <c r="BX59" s="32">
        <v>114.8</v>
      </c>
      <c r="BY59" s="32">
        <v>116.8</v>
      </c>
      <c r="BZ59" s="32">
        <v>113</v>
      </c>
      <c r="CA59" s="32">
        <v>119.4</v>
      </c>
      <c r="CB59" s="32">
        <v>118.3</v>
      </c>
      <c r="CC59" s="32">
        <v>130.1</v>
      </c>
      <c r="CD59" s="32">
        <v>55.7</v>
      </c>
      <c r="CE59" s="32">
        <v>103.1</v>
      </c>
      <c r="CF59" s="32">
        <v>68.400000000000006</v>
      </c>
      <c r="CG59" s="32">
        <v>84.1</v>
      </c>
      <c r="CH59" s="32">
        <v>83.3</v>
      </c>
      <c r="CI59" s="32">
        <v>110.7</v>
      </c>
      <c r="CJ59" s="32">
        <v>67</v>
      </c>
      <c r="CK59" s="32">
        <v>90.3</v>
      </c>
      <c r="CL59" s="32">
        <v>88.3</v>
      </c>
      <c r="CM59" s="32">
        <v>105.2</v>
      </c>
      <c r="CN59" s="32">
        <v>66.2</v>
      </c>
      <c r="CO59" s="32">
        <v>116.2</v>
      </c>
      <c r="CP59" s="32">
        <v>107.1</v>
      </c>
      <c r="CQ59" s="32">
        <v>16.8</v>
      </c>
      <c r="CR59" s="32">
        <v>88.3</v>
      </c>
      <c r="CS59" s="32">
        <v>121.4</v>
      </c>
      <c r="CT59" s="32">
        <v>82.4</v>
      </c>
      <c r="CU59" s="32">
        <v>54.1</v>
      </c>
      <c r="CV59" s="32">
        <v>95.1</v>
      </c>
      <c r="CW59" s="32">
        <v>20.9</v>
      </c>
      <c r="CX59" s="32">
        <v>68.400000000000006</v>
      </c>
      <c r="CY59" s="32">
        <v>76.3</v>
      </c>
      <c r="CZ59" s="32">
        <v>65.400000000000006</v>
      </c>
      <c r="DA59" s="32">
        <v>50.4</v>
      </c>
      <c r="DB59" s="32">
        <v>98.2</v>
      </c>
      <c r="DC59" s="32">
        <v>2.8</v>
      </c>
      <c r="DD59" s="32">
        <v>2.8</v>
      </c>
      <c r="DE59" s="32">
        <v>46.9</v>
      </c>
      <c r="DF59" s="32">
        <v>40.9</v>
      </c>
      <c r="DG59" s="32">
        <v>89.1</v>
      </c>
      <c r="DH59" s="32">
        <v>71.5</v>
      </c>
      <c r="DI59" s="32">
        <v>87.1</v>
      </c>
      <c r="DJ59" s="32">
        <v>99.2</v>
      </c>
      <c r="DK59" s="32">
        <v>99.2</v>
      </c>
      <c r="DL59" s="32">
        <v>40.299999999999997</v>
      </c>
      <c r="DM59" s="32">
        <v>67.099999999999994</v>
      </c>
      <c r="DN59" s="32">
        <v>41.4</v>
      </c>
      <c r="DO59" s="32">
        <v>78.400000000000006</v>
      </c>
      <c r="DP59" s="32">
        <v>43.7</v>
      </c>
      <c r="DQ59" s="32">
        <v>63.3</v>
      </c>
      <c r="DR59" s="32">
        <v>66.2</v>
      </c>
      <c r="DS59" s="32">
        <v>62.5</v>
      </c>
      <c r="DT59" s="32">
        <v>60.6</v>
      </c>
      <c r="DU59" s="32">
        <v>61.6</v>
      </c>
      <c r="DV59" s="32">
        <v>63</v>
      </c>
      <c r="DW59" s="32">
        <v>59.8</v>
      </c>
      <c r="DX59" s="32">
        <v>58.3</v>
      </c>
      <c r="DY59" s="32">
        <v>69.099999999999994</v>
      </c>
      <c r="DZ59" s="32">
        <v>108.7</v>
      </c>
      <c r="EA59" s="32">
        <v>108.7</v>
      </c>
      <c r="EB59" s="32">
        <v>63.9</v>
      </c>
      <c r="EC59" s="32">
        <v>64.400000000000006</v>
      </c>
      <c r="ED59" s="32">
        <v>63.6</v>
      </c>
      <c r="EE59" s="32">
        <v>68.8</v>
      </c>
      <c r="EF59" s="32">
        <v>50</v>
      </c>
      <c r="EG59" s="32">
        <v>58.7</v>
      </c>
      <c r="EH59" s="32">
        <v>71.2</v>
      </c>
      <c r="EI59" s="32">
        <v>53</v>
      </c>
      <c r="EJ59" s="32">
        <v>81.7</v>
      </c>
      <c r="EK59" s="32">
        <v>53.1</v>
      </c>
      <c r="EL59" s="32">
        <v>72.3</v>
      </c>
      <c r="EM59" s="32">
        <v>40.799999999999997</v>
      </c>
      <c r="EN59" s="32">
        <v>58.2</v>
      </c>
      <c r="EO59" s="32">
        <v>86</v>
      </c>
      <c r="EP59" s="32">
        <v>88.9</v>
      </c>
      <c r="EQ59" s="32">
        <v>88.9</v>
      </c>
      <c r="ER59" s="32">
        <v>95.8</v>
      </c>
      <c r="ES59" s="32">
        <v>95.8</v>
      </c>
      <c r="ET59" s="32">
        <v>77</v>
      </c>
      <c r="EU59" s="32">
        <v>74.8</v>
      </c>
      <c r="EV59" s="32">
        <v>74.8</v>
      </c>
      <c r="EW59" s="32">
        <v>82.7</v>
      </c>
      <c r="EX59" s="32">
        <v>96</v>
      </c>
      <c r="EY59" s="32">
        <v>72.2</v>
      </c>
      <c r="EZ59" s="32">
        <v>83.3</v>
      </c>
      <c r="FA59" s="32">
        <v>81.3</v>
      </c>
      <c r="FB59" s="32">
        <v>89.2</v>
      </c>
      <c r="FC59" s="32">
        <v>70.099999999999994</v>
      </c>
      <c r="FD59" s="32">
        <v>102.3</v>
      </c>
      <c r="FE59" s="32">
        <v>114.4</v>
      </c>
      <c r="FF59" s="32">
        <v>71.8</v>
      </c>
      <c r="FG59" s="32">
        <v>83.1</v>
      </c>
      <c r="FH59" s="32">
        <v>83.3</v>
      </c>
      <c r="FI59" s="32">
        <v>87.5</v>
      </c>
      <c r="FJ59" s="32">
        <v>82.3</v>
      </c>
      <c r="FK59" s="32">
        <v>101</v>
      </c>
      <c r="FL59" s="32">
        <v>101</v>
      </c>
    </row>
    <row r="60" spans="1:168" x14ac:dyDescent="0.2">
      <c r="A60" s="34" t="s">
        <v>1040</v>
      </c>
      <c r="B60" s="32">
        <v>74.099999999999994</v>
      </c>
      <c r="C60" s="32">
        <v>82</v>
      </c>
      <c r="D60" s="32">
        <v>98.7</v>
      </c>
      <c r="E60" s="32">
        <v>97.2</v>
      </c>
      <c r="F60" s="32">
        <v>313.8</v>
      </c>
      <c r="G60" s="32">
        <v>6879.8</v>
      </c>
      <c r="H60" s="32">
        <v>396.9</v>
      </c>
      <c r="I60" s="32">
        <v>61</v>
      </c>
      <c r="J60" s="32">
        <v>79.3</v>
      </c>
      <c r="K60" s="32">
        <v>87.8</v>
      </c>
      <c r="L60" s="32">
        <v>88.5</v>
      </c>
      <c r="M60" s="32">
        <v>97</v>
      </c>
      <c r="N60" s="32">
        <v>63.3</v>
      </c>
      <c r="O60" s="32">
        <v>218.5</v>
      </c>
      <c r="P60" s="32">
        <v>315.10000000000002</v>
      </c>
      <c r="Q60" s="32">
        <v>91.8</v>
      </c>
      <c r="R60" s="32">
        <v>81.8</v>
      </c>
      <c r="S60" s="32">
        <v>112.4</v>
      </c>
      <c r="T60" s="32">
        <v>57.5</v>
      </c>
      <c r="U60" s="32">
        <v>40.1</v>
      </c>
      <c r="V60" s="32">
        <v>105.5</v>
      </c>
      <c r="W60" s="32">
        <v>45.3</v>
      </c>
      <c r="X60" s="32">
        <v>34.799999999999997</v>
      </c>
      <c r="Y60" s="32">
        <v>54.3</v>
      </c>
      <c r="Z60" s="32">
        <v>95.8</v>
      </c>
      <c r="AA60" s="32">
        <v>66.2</v>
      </c>
      <c r="AB60" s="32">
        <v>72.8</v>
      </c>
      <c r="AC60" s="32">
        <v>55.2</v>
      </c>
      <c r="AD60" s="32">
        <v>77</v>
      </c>
      <c r="AE60" s="32">
        <v>138.6</v>
      </c>
      <c r="AF60" s="32">
        <v>138.6</v>
      </c>
      <c r="AG60" s="32">
        <v>55.7</v>
      </c>
      <c r="AH60" s="32">
        <v>55.7</v>
      </c>
      <c r="AI60" s="32">
        <v>282.39999999999998</v>
      </c>
      <c r="AJ60" s="32">
        <v>34.6</v>
      </c>
      <c r="AK60" s="32">
        <v>502.2</v>
      </c>
      <c r="AL60" s="32">
        <v>108.2</v>
      </c>
      <c r="AM60" s="32">
        <v>29.8</v>
      </c>
      <c r="AN60" s="32">
        <v>93.2</v>
      </c>
      <c r="AO60" s="32">
        <v>100.2</v>
      </c>
      <c r="AP60" s="32">
        <v>100.2</v>
      </c>
      <c r="AQ60" s="32">
        <v>106.3</v>
      </c>
      <c r="AR60" s="32">
        <v>107</v>
      </c>
      <c r="AS60" s="32">
        <v>106.4</v>
      </c>
      <c r="AT60" s="32">
        <v>123.5</v>
      </c>
      <c r="AU60" s="32">
        <v>89.8</v>
      </c>
      <c r="AV60" s="32">
        <v>110.1</v>
      </c>
      <c r="AW60" s="32">
        <v>200.9</v>
      </c>
      <c r="AX60" s="32">
        <v>163.1</v>
      </c>
      <c r="AY60" s="32">
        <v>430.7</v>
      </c>
      <c r="AZ60" s="32">
        <v>92.8</v>
      </c>
      <c r="BA60" s="32">
        <v>35</v>
      </c>
      <c r="BB60" s="32">
        <v>35</v>
      </c>
      <c r="BC60" s="32">
        <v>108.7</v>
      </c>
      <c r="BD60" s="32">
        <v>108.7</v>
      </c>
      <c r="BE60" s="32">
        <v>93.4</v>
      </c>
      <c r="BF60" s="32">
        <v>93.4</v>
      </c>
      <c r="BG60" s="32">
        <v>80.900000000000006</v>
      </c>
      <c r="BH60" s="32">
        <v>67.599999999999994</v>
      </c>
      <c r="BI60" s="32">
        <v>92.2</v>
      </c>
      <c r="BJ60" s="32">
        <v>41</v>
      </c>
      <c r="BK60" s="32">
        <v>124.9</v>
      </c>
      <c r="BL60" s="32">
        <v>26.9</v>
      </c>
      <c r="BM60" s="32">
        <v>83.5</v>
      </c>
      <c r="BN60" s="32">
        <v>84.1</v>
      </c>
      <c r="BO60" s="32">
        <v>97.2</v>
      </c>
      <c r="BP60" s="32">
        <v>74.099999999999994</v>
      </c>
      <c r="BQ60" s="32">
        <v>83.2</v>
      </c>
      <c r="BR60" s="32">
        <v>50.6</v>
      </c>
      <c r="BS60" s="32">
        <v>216.8</v>
      </c>
      <c r="BT60" s="32">
        <v>60.9</v>
      </c>
      <c r="BU60" s="32">
        <v>127.4</v>
      </c>
      <c r="BV60" s="32">
        <v>127.4</v>
      </c>
      <c r="BW60" s="32">
        <v>155.1</v>
      </c>
      <c r="BX60" s="32">
        <v>111.9</v>
      </c>
      <c r="BY60" s="32">
        <v>115.1</v>
      </c>
      <c r="BZ60" s="32">
        <v>111.2</v>
      </c>
      <c r="CA60" s="32">
        <v>117.6</v>
      </c>
      <c r="CB60" s="32">
        <v>115.8</v>
      </c>
      <c r="CC60" s="32">
        <v>129.1</v>
      </c>
      <c r="CD60" s="32">
        <v>54.4</v>
      </c>
      <c r="CE60" s="32">
        <v>102.5</v>
      </c>
      <c r="CF60" s="32">
        <v>68.400000000000006</v>
      </c>
      <c r="CG60" s="32">
        <v>83.7</v>
      </c>
      <c r="CH60" s="32">
        <v>82.7</v>
      </c>
      <c r="CI60" s="32">
        <v>104.5</v>
      </c>
      <c r="CJ60" s="32">
        <v>66.7</v>
      </c>
      <c r="CK60" s="32">
        <v>90.8</v>
      </c>
      <c r="CL60" s="32">
        <v>89.6</v>
      </c>
      <c r="CM60" s="32">
        <v>104.7</v>
      </c>
      <c r="CN60" s="32">
        <v>66.900000000000006</v>
      </c>
      <c r="CO60" s="32">
        <v>115.3</v>
      </c>
      <c r="CP60" s="32">
        <v>106.3</v>
      </c>
      <c r="CQ60" s="32">
        <v>16.600000000000001</v>
      </c>
      <c r="CR60" s="32">
        <v>89</v>
      </c>
      <c r="CS60" s="32">
        <v>132.1</v>
      </c>
      <c r="CT60" s="32">
        <v>80.2</v>
      </c>
      <c r="CU60" s="32">
        <v>56.5</v>
      </c>
      <c r="CV60" s="32">
        <v>90.9</v>
      </c>
      <c r="CW60" s="32">
        <v>20.9</v>
      </c>
      <c r="CX60" s="32">
        <v>67.599999999999994</v>
      </c>
      <c r="CY60" s="32">
        <v>75.7</v>
      </c>
      <c r="CZ60" s="32">
        <v>64.2</v>
      </c>
      <c r="DA60" s="32">
        <v>48.9</v>
      </c>
      <c r="DB60" s="32">
        <v>98.4</v>
      </c>
      <c r="DC60" s="32">
        <v>2.8</v>
      </c>
      <c r="DD60" s="32">
        <v>2.8</v>
      </c>
      <c r="DE60" s="32">
        <v>47.3</v>
      </c>
      <c r="DF60" s="32">
        <v>40.4</v>
      </c>
      <c r="DG60" s="32">
        <v>95.5</v>
      </c>
      <c r="DH60" s="32">
        <v>72.3</v>
      </c>
      <c r="DI60" s="32">
        <v>88.8</v>
      </c>
      <c r="DJ60" s="32">
        <v>98.6</v>
      </c>
      <c r="DK60" s="32">
        <v>98.6</v>
      </c>
      <c r="DL60" s="32">
        <v>41</v>
      </c>
      <c r="DM60" s="32">
        <v>67.5</v>
      </c>
      <c r="DN60" s="32">
        <v>42</v>
      </c>
      <c r="DO60" s="32">
        <v>78.599999999999994</v>
      </c>
      <c r="DP60" s="32">
        <v>44.5</v>
      </c>
      <c r="DQ60" s="32">
        <v>62.7</v>
      </c>
      <c r="DR60" s="32">
        <v>65.400000000000006</v>
      </c>
      <c r="DS60" s="32">
        <v>62.9</v>
      </c>
      <c r="DT60" s="32">
        <v>60.9</v>
      </c>
      <c r="DU60" s="32">
        <v>60.9</v>
      </c>
      <c r="DV60" s="32">
        <v>64.5</v>
      </c>
      <c r="DW60" s="32">
        <v>56.8</v>
      </c>
      <c r="DX60" s="32">
        <v>61</v>
      </c>
      <c r="DY60" s="32">
        <v>69.400000000000006</v>
      </c>
      <c r="DZ60" s="32">
        <v>89.6</v>
      </c>
      <c r="EA60" s="32">
        <v>89.6</v>
      </c>
      <c r="EB60" s="32">
        <v>64.599999999999994</v>
      </c>
      <c r="EC60" s="32">
        <v>63.9</v>
      </c>
      <c r="ED60" s="32">
        <v>65.900000000000006</v>
      </c>
      <c r="EE60" s="32">
        <v>71.8</v>
      </c>
      <c r="EF60" s="32">
        <v>50.2</v>
      </c>
      <c r="EG60" s="32">
        <v>58.4</v>
      </c>
      <c r="EH60" s="32">
        <v>65.8</v>
      </c>
      <c r="EI60" s="32">
        <v>52.7</v>
      </c>
      <c r="EJ60" s="32">
        <v>84.2</v>
      </c>
      <c r="EK60" s="32">
        <v>55.6</v>
      </c>
      <c r="EL60" s="32">
        <v>82.7</v>
      </c>
      <c r="EM60" s="32">
        <v>40.9</v>
      </c>
      <c r="EN60" s="32">
        <v>60.9</v>
      </c>
      <c r="EO60" s="32">
        <v>86.4</v>
      </c>
      <c r="EP60" s="32">
        <v>89.2</v>
      </c>
      <c r="EQ60" s="32">
        <v>89.2</v>
      </c>
      <c r="ER60" s="32">
        <v>96.6</v>
      </c>
      <c r="ES60" s="32">
        <v>96.6</v>
      </c>
      <c r="ET60" s="32">
        <v>77.2</v>
      </c>
      <c r="EU60" s="32">
        <v>75</v>
      </c>
      <c r="EV60" s="32">
        <v>75</v>
      </c>
      <c r="EW60" s="32">
        <v>83</v>
      </c>
      <c r="EX60" s="32">
        <v>96</v>
      </c>
      <c r="EY60" s="32">
        <v>72.900000000000006</v>
      </c>
      <c r="EZ60" s="32">
        <v>83.1</v>
      </c>
      <c r="FA60" s="32">
        <v>83.2</v>
      </c>
      <c r="FB60" s="32">
        <v>93.3</v>
      </c>
      <c r="FC60" s="32">
        <v>76.599999999999994</v>
      </c>
      <c r="FD60" s="32">
        <v>102.4</v>
      </c>
      <c r="FE60" s="32">
        <v>115.7</v>
      </c>
      <c r="FF60" s="32">
        <v>70.900000000000006</v>
      </c>
      <c r="FG60" s="32">
        <v>82</v>
      </c>
      <c r="FH60" s="32">
        <v>80.099999999999994</v>
      </c>
      <c r="FI60" s="32">
        <v>89.1</v>
      </c>
      <c r="FJ60" s="32">
        <v>81.8</v>
      </c>
      <c r="FK60" s="32">
        <v>92.9</v>
      </c>
      <c r="FL60" s="32">
        <v>92.9</v>
      </c>
    </row>
    <row r="61" spans="1:168" x14ac:dyDescent="0.2">
      <c r="A61" s="34" t="s">
        <v>1041</v>
      </c>
      <c r="B61" s="32">
        <v>74.3</v>
      </c>
      <c r="C61" s="32">
        <v>82.9</v>
      </c>
      <c r="D61" s="32">
        <v>99.5</v>
      </c>
      <c r="E61" s="32">
        <v>98.3</v>
      </c>
      <c r="F61" s="32">
        <v>316.2</v>
      </c>
      <c r="G61" s="32">
        <v>7249.8</v>
      </c>
      <c r="H61" s="32">
        <v>398.2</v>
      </c>
      <c r="I61" s="32">
        <v>63</v>
      </c>
      <c r="J61" s="32">
        <v>80.599999999999994</v>
      </c>
      <c r="K61" s="32">
        <v>86.9</v>
      </c>
      <c r="L61" s="32">
        <v>87.6</v>
      </c>
      <c r="M61" s="32">
        <v>93.6</v>
      </c>
      <c r="N61" s="32">
        <v>62.6</v>
      </c>
      <c r="O61" s="32">
        <v>206.7</v>
      </c>
      <c r="P61" s="32">
        <v>306.5</v>
      </c>
      <c r="Q61" s="32">
        <v>90.6</v>
      </c>
      <c r="R61" s="32">
        <v>82</v>
      </c>
      <c r="S61" s="32">
        <v>112.5</v>
      </c>
      <c r="T61" s="32">
        <v>57.4</v>
      </c>
      <c r="U61" s="32">
        <v>38.700000000000003</v>
      </c>
      <c r="V61" s="32">
        <v>105</v>
      </c>
      <c r="W61" s="32">
        <v>46.5</v>
      </c>
      <c r="X61" s="32">
        <v>35.200000000000003</v>
      </c>
      <c r="Y61" s="32">
        <v>56.6</v>
      </c>
      <c r="Z61" s="32">
        <v>99.5</v>
      </c>
      <c r="AA61" s="32">
        <v>69.3</v>
      </c>
      <c r="AB61" s="32">
        <v>70.900000000000006</v>
      </c>
      <c r="AC61" s="32">
        <v>55.4</v>
      </c>
      <c r="AD61" s="32">
        <v>85.3</v>
      </c>
      <c r="AE61" s="32">
        <v>144.5</v>
      </c>
      <c r="AF61" s="32">
        <v>144.5</v>
      </c>
      <c r="AG61" s="32">
        <v>55.6</v>
      </c>
      <c r="AH61" s="32">
        <v>55.6</v>
      </c>
      <c r="AI61" s="32">
        <v>280.60000000000002</v>
      </c>
      <c r="AJ61" s="32">
        <v>33.6</v>
      </c>
      <c r="AK61" s="32">
        <v>567.4</v>
      </c>
      <c r="AL61" s="32">
        <v>110.4</v>
      </c>
      <c r="AM61" s="32">
        <v>30.8</v>
      </c>
      <c r="AN61" s="32">
        <v>90.8</v>
      </c>
      <c r="AO61" s="32">
        <v>101.7</v>
      </c>
      <c r="AP61" s="32">
        <v>101.7</v>
      </c>
      <c r="AQ61" s="32">
        <v>107.4</v>
      </c>
      <c r="AR61" s="32">
        <v>108.5</v>
      </c>
      <c r="AS61" s="32">
        <v>106.7</v>
      </c>
      <c r="AT61" s="32">
        <v>124.7</v>
      </c>
      <c r="AU61" s="32">
        <v>89.1</v>
      </c>
      <c r="AV61" s="32">
        <v>112.5</v>
      </c>
      <c r="AW61" s="32">
        <v>204.5</v>
      </c>
      <c r="AX61" s="32">
        <v>169.8</v>
      </c>
      <c r="AY61" s="32">
        <v>432.4</v>
      </c>
      <c r="AZ61" s="32">
        <v>94.9</v>
      </c>
      <c r="BA61" s="32">
        <v>35.6</v>
      </c>
      <c r="BB61" s="32">
        <v>35.6</v>
      </c>
      <c r="BC61" s="32">
        <v>111.6</v>
      </c>
      <c r="BD61" s="32">
        <v>111.6</v>
      </c>
      <c r="BE61" s="32">
        <v>94</v>
      </c>
      <c r="BF61" s="32">
        <v>94</v>
      </c>
      <c r="BG61" s="32">
        <v>84.7</v>
      </c>
      <c r="BH61" s="32">
        <v>74.900000000000006</v>
      </c>
      <c r="BI61" s="32">
        <v>90.1</v>
      </c>
      <c r="BJ61" s="32">
        <v>41.1</v>
      </c>
      <c r="BK61" s="32">
        <v>122</v>
      </c>
      <c r="BL61" s="32">
        <v>25.4</v>
      </c>
      <c r="BM61" s="32">
        <v>83.4</v>
      </c>
      <c r="BN61" s="32">
        <v>84.1</v>
      </c>
      <c r="BO61" s="32">
        <v>95.7</v>
      </c>
      <c r="BP61" s="32">
        <v>75.3</v>
      </c>
      <c r="BQ61" s="32">
        <v>82.9</v>
      </c>
      <c r="BR61" s="32">
        <v>62.8</v>
      </c>
      <c r="BS61" s="32">
        <v>183.9</v>
      </c>
      <c r="BT61" s="32">
        <v>63.7</v>
      </c>
      <c r="BU61" s="32">
        <v>129</v>
      </c>
      <c r="BV61" s="32">
        <v>129</v>
      </c>
      <c r="BW61" s="32">
        <v>154.80000000000001</v>
      </c>
      <c r="BX61" s="32">
        <v>116.8</v>
      </c>
      <c r="BY61" s="32">
        <v>111</v>
      </c>
      <c r="BZ61" s="32">
        <v>109.5</v>
      </c>
      <c r="CA61" s="32">
        <v>112.3</v>
      </c>
      <c r="CB61" s="32">
        <v>110.2</v>
      </c>
      <c r="CC61" s="32">
        <v>123.8</v>
      </c>
      <c r="CD61" s="32">
        <v>51.1</v>
      </c>
      <c r="CE61" s="32">
        <v>101.8</v>
      </c>
      <c r="CF61" s="32">
        <v>68.5</v>
      </c>
      <c r="CG61" s="32">
        <v>84.6</v>
      </c>
      <c r="CH61" s="32">
        <v>84.2</v>
      </c>
      <c r="CI61" s="32">
        <v>105.6</v>
      </c>
      <c r="CJ61" s="32">
        <v>70.400000000000006</v>
      </c>
      <c r="CK61" s="32">
        <v>90.3</v>
      </c>
      <c r="CL61" s="32">
        <v>88.4</v>
      </c>
      <c r="CM61" s="32">
        <v>103.2</v>
      </c>
      <c r="CN61" s="32">
        <v>66.7</v>
      </c>
      <c r="CO61" s="32">
        <v>113.5</v>
      </c>
      <c r="CP61" s="32">
        <v>105</v>
      </c>
      <c r="CQ61" s="32">
        <v>16.600000000000001</v>
      </c>
      <c r="CR61" s="32">
        <v>86.4</v>
      </c>
      <c r="CS61" s="32">
        <v>132.80000000000001</v>
      </c>
      <c r="CT61" s="32">
        <v>82</v>
      </c>
      <c r="CU61" s="32">
        <v>55.6</v>
      </c>
      <c r="CV61" s="32">
        <v>94</v>
      </c>
      <c r="CW61" s="32">
        <v>20.2</v>
      </c>
      <c r="CX61" s="32">
        <v>66.3</v>
      </c>
      <c r="CY61" s="32">
        <v>76.7</v>
      </c>
      <c r="CZ61" s="32">
        <v>60.8</v>
      </c>
      <c r="DA61" s="32">
        <v>44.5</v>
      </c>
      <c r="DB61" s="32">
        <v>98</v>
      </c>
      <c r="DC61" s="32">
        <v>2.8</v>
      </c>
      <c r="DD61" s="32">
        <v>2.8</v>
      </c>
      <c r="DE61" s="32">
        <v>43.5</v>
      </c>
      <c r="DF61" s="32">
        <v>37.700000000000003</v>
      </c>
      <c r="DG61" s="32">
        <v>84.4</v>
      </c>
      <c r="DH61" s="32">
        <v>72.5</v>
      </c>
      <c r="DI61" s="32">
        <v>90</v>
      </c>
      <c r="DJ61" s="32">
        <v>96</v>
      </c>
      <c r="DK61" s="32">
        <v>96</v>
      </c>
      <c r="DL61" s="32">
        <v>41.4</v>
      </c>
      <c r="DM61" s="32">
        <v>67.5</v>
      </c>
      <c r="DN61" s="32">
        <v>42.2</v>
      </c>
      <c r="DO61" s="32">
        <v>78.7</v>
      </c>
      <c r="DP61" s="32">
        <v>44.7</v>
      </c>
      <c r="DQ61" s="32">
        <v>63.1</v>
      </c>
      <c r="DR61" s="32">
        <v>66.599999999999994</v>
      </c>
      <c r="DS61" s="32">
        <v>64.099999999999994</v>
      </c>
      <c r="DT61" s="32">
        <v>61.9</v>
      </c>
      <c r="DU61" s="32">
        <v>62</v>
      </c>
      <c r="DV61" s="32">
        <v>61.9</v>
      </c>
      <c r="DW61" s="32">
        <v>61.9</v>
      </c>
      <c r="DX61" s="32">
        <v>61.9</v>
      </c>
      <c r="DY61" s="32">
        <v>71.099999999999994</v>
      </c>
      <c r="DZ61" s="32">
        <v>98</v>
      </c>
      <c r="EA61" s="32">
        <v>98</v>
      </c>
      <c r="EB61" s="32">
        <v>64.099999999999994</v>
      </c>
      <c r="EC61" s="32">
        <v>64.7</v>
      </c>
      <c r="ED61" s="32">
        <v>63.7</v>
      </c>
      <c r="EE61" s="32">
        <v>68.8</v>
      </c>
      <c r="EF61" s="32">
        <v>50.3</v>
      </c>
      <c r="EG61" s="32">
        <v>57.7</v>
      </c>
      <c r="EH61" s="32">
        <v>66.5</v>
      </c>
      <c r="EI61" s="32">
        <v>53.9</v>
      </c>
      <c r="EJ61" s="32">
        <v>83.3</v>
      </c>
      <c r="EK61" s="32">
        <v>52.6</v>
      </c>
      <c r="EL61" s="32">
        <v>69.400000000000006</v>
      </c>
      <c r="EM61" s="32">
        <v>40.799999999999997</v>
      </c>
      <c r="EN61" s="32">
        <v>57.7</v>
      </c>
      <c r="EO61" s="32">
        <v>86.6</v>
      </c>
      <c r="EP61" s="32">
        <v>89.3</v>
      </c>
      <c r="EQ61" s="32">
        <v>89.3</v>
      </c>
      <c r="ER61" s="32">
        <v>97.1</v>
      </c>
      <c r="ES61" s="32">
        <v>97.1</v>
      </c>
      <c r="ET61" s="32">
        <v>77.2</v>
      </c>
      <c r="EU61" s="32">
        <v>74.900000000000006</v>
      </c>
      <c r="EV61" s="32">
        <v>74.900000000000006</v>
      </c>
      <c r="EW61" s="32">
        <v>83.3</v>
      </c>
      <c r="EX61" s="32">
        <v>96</v>
      </c>
      <c r="EY61" s="32">
        <v>73.3</v>
      </c>
      <c r="EZ61" s="32">
        <v>82.5</v>
      </c>
      <c r="FA61" s="32">
        <v>82.6</v>
      </c>
      <c r="FB61" s="32">
        <v>93.3</v>
      </c>
      <c r="FC61" s="32">
        <v>76.7</v>
      </c>
      <c r="FD61" s="32">
        <v>101.6</v>
      </c>
      <c r="FE61" s="32">
        <v>116</v>
      </c>
      <c r="FF61" s="32">
        <v>69.599999999999994</v>
      </c>
      <c r="FG61" s="32">
        <v>81.599999999999994</v>
      </c>
      <c r="FH61" s="32">
        <v>78.599999999999994</v>
      </c>
      <c r="FI61" s="32">
        <v>89.8</v>
      </c>
      <c r="FJ61" s="32">
        <v>81.599999999999994</v>
      </c>
      <c r="FK61" s="32">
        <v>91.7</v>
      </c>
      <c r="FL61" s="32">
        <v>91.7</v>
      </c>
    </row>
    <row r="62" spans="1:168" x14ac:dyDescent="0.2">
      <c r="A62" s="34" t="s">
        <v>1042</v>
      </c>
      <c r="B62" s="32">
        <v>74.2</v>
      </c>
      <c r="C62" s="32">
        <v>82.2</v>
      </c>
      <c r="D62" s="32">
        <v>99.1</v>
      </c>
      <c r="E62" s="32">
        <v>97.8</v>
      </c>
      <c r="F62" s="32">
        <v>313.5</v>
      </c>
      <c r="G62" s="32">
        <v>7927</v>
      </c>
      <c r="H62" s="32">
        <v>394.5</v>
      </c>
      <c r="I62" s="32">
        <v>61.8</v>
      </c>
      <c r="J62" s="32">
        <v>79.599999999999994</v>
      </c>
      <c r="K62" s="32">
        <v>86.5</v>
      </c>
      <c r="L62" s="32">
        <v>86.9</v>
      </c>
      <c r="M62" s="32">
        <v>99.5</v>
      </c>
      <c r="N62" s="32">
        <v>62.9</v>
      </c>
      <c r="O62" s="32">
        <v>212.4</v>
      </c>
      <c r="P62" s="32">
        <v>317.5</v>
      </c>
      <c r="Q62" s="32">
        <v>91.6</v>
      </c>
      <c r="R62" s="32">
        <v>80.8</v>
      </c>
      <c r="S62" s="32">
        <v>106.8</v>
      </c>
      <c r="T62" s="32">
        <v>58.6</v>
      </c>
      <c r="U62" s="32">
        <v>38.799999999999997</v>
      </c>
      <c r="V62" s="32">
        <v>105.8</v>
      </c>
      <c r="W62" s="32">
        <v>46.6</v>
      </c>
      <c r="X62" s="32">
        <v>35.4</v>
      </c>
      <c r="Y62" s="32">
        <v>57</v>
      </c>
      <c r="Z62" s="32">
        <v>94.7</v>
      </c>
      <c r="AA62" s="32">
        <v>67.599999999999994</v>
      </c>
      <c r="AB62" s="32">
        <v>74.2</v>
      </c>
      <c r="AC62" s="32">
        <v>56.7</v>
      </c>
      <c r="AD62" s="32">
        <v>78.3</v>
      </c>
      <c r="AE62" s="32">
        <v>151.1</v>
      </c>
      <c r="AF62" s="32">
        <v>151.1</v>
      </c>
      <c r="AG62" s="32">
        <v>54.3</v>
      </c>
      <c r="AH62" s="32">
        <v>54.3</v>
      </c>
      <c r="AI62" s="32">
        <v>274.7</v>
      </c>
      <c r="AJ62" s="32">
        <v>32.6</v>
      </c>
      <c r="AK62" s="32">
        <v>550.29999999999995</v>
      </c>
      <c r="AL62" s="32">
        <v>110.2</v>
      </c>
      <c r="AM62" s="32">
        <v>29.3</v>
      </c>
      <c r="AN62" s="32">
        <v>95.5</v>
      </c>
      <c r="AO62" s="32">
        <v>98.9</v>
      </c>
      <c r="AP62" s="32">
        <v>98.9</v>
      </c>
      <c r="AQ62" s="32">
        <v>106.5</v>
      </c>
      <c r="AR62" s="32">
        <v>106.2</v>
      </c>
      <c r="AS62" s="32">
        <v>108.1</v>
      </c>
      <c r="AT62" s="32">
        <v>126.3</v>
      </c>
      <c r="AU62" s="32">
        <v>90.5</v>
      </c>
      <c r="AV62" s="32">
        <v>108.7</v>
      </c>
      <c r="AW62" s="32">
        <v>192.9</v>
      </c>
      <c r="AX62" s="32">
        <v>163.1</v>
      </c>
      <c r="AY62" s="32">
        <v>403</v>
      </c>
      <c r="AZ62" s="32">
        <v>92.7</v>
      </c>
      <c r="BA62" s="32">
        <v>36.299999999999997</v>
      </c>
      <c r="BB62" s="32">
        <v>36.299999999999997</v>
      </c>
      <c r="BC62" s="32">
        <v>112.4</v>
      </c>
      <c r="BD62" s="32">
        <v>112.4</v>
      </c>
      <c r="BE62" s="32">
        <v>94</v>
      </c>
      <c r="BF62" s="32">
        <v>94</v>
      </c>
      <c r="BG62" s="32">
        <v>81.7</v>
      </c>
      <c r="BH62" s="32">
        <v>71</v>
      </c>
      <c r="BI62" s="32">
        <v>88.8</v>
      </c>
      <c r="BJ62" s="32">
        <v>41.2</v>
      </c>
      <c r="BK62" s="32">
        <v>119.8</v>
      </c>
      <c r="BL62" s="32">
        <v>25.5</v>
      </c>
      <c r="BM62" s="32">
        <v>83.4</v>
      </c>
      <c r="BN62" s="32">
        <v>83.3</v>
      </c>
      <c r="BO62" s="32">
        <v>95.1</v>
      </c>
      <c r="BP62" s="32">
        <v>74.5</v>
      </c>
      <c r="BQ62" s="32">
        <v>84.2</v>
      </c>
      <c r="BR62" s="32">
        <v>55.9</v>
      </c>
      <c r="BS62" s="32">
        <v>223.1</v>
      </c>
      <c r="BT62" s="32">
        <v>60.6</v>
      </c>
      <c r="BU62" s="32">
        <v>133</v>
      </c>
      <c r="BV62" s="32">
        <v>133</v>
      </c>
      <c r="BW62" s="32">
        <v>153.30000000000001</v>
      </c>
      <c r="BX62" s="32">
        <v>130.80000000000001</v>
      </c>
      <c r="BY62" s="32">
        <v>116.2</v>
      </c>
      <c r="BZ62" s="32">
        <v>112</v>
      </c>
      <c r="CA62" s="32">
        <v>118.9</v>
      </c>
      <c r="CB62" s="32">
        <v>121.6</v>
      </c>
      <c r="CC62" s="32">
        <v>124.8</v>
      </c>
      <c r="CD62" s="32">
        <v>55.1</v>
      </c>
      <c r="CE62" s="32">
        <v>101.9</v>
      </c>
      <c r="CF62" s="32">
        <v>68.5</v>
      </c>
      <c r="CG62" s="32">
        <v>83.5</v>
      </c>
      <c r="CH62" s="32">
        <v>82.5</v>
      </c>
      <c r="CI62" s="32">
        <v>112.7</v>
      </c>
      <c r="CJ62" s="32">
        <v>64.400000000000006</v>
      </c>
      <c r="CK62" s="32">
        <v>90.5</v>
      </c>
      <c r="CL62" s="32">
        <v>87.7</v>
      </c>
      <c r="CM62" s="32">
        <v>102.6</v>
      </c>
      <c r="CN62" s="32">
        <v>66.5</v>
      </c>
      <c r="CO62" s="32">
        <v>112.8</v>
      </c>
      <c r="CP62" s="32">
        <v>103.4</v>
      </c>
      <c r="CQ62" s="32">
        <v>15.7</v>
      </c>
      <c r="CR62" s="32">
        <v>86.5</v>
      </c>
      <c r="CS62" s="32">
        <v>132.5</v>
      </c>
      <c r="CT62" s="32">
        <v>82.5</v>
      </c>
      <c r="CU62" s="32">
        <v>55.5</v>
      </c>
      <c r="CV62" s="32">
        <v>94.7</v>
      </c>
      <c r="CW62" s="32">
        <v>21</v>
      </c>
      <c r="CX62" s="32">
        <v>68.2</v>
      </c>
      <c r="CY62" s="32">
        <v>76.3</v>
      </c>
      <c r="CZ62" s="32">
        <v>64.900000000000006</v>
      </c>
      <c r="DA62" s="32">
        <v>49.1</v>
      </c>
      <c r="DB62" s="32">
        <v>100.3</v>
      </c>
      <c r="DC62" s="32">
        <v>2.8</v>
      </c>
      <c r="DD62" s="32">
        <v>2.8</v>
      </c>
      <c r="DE62" s="32">
        <v>47.7</v>
      </c>
      <c r="DF62" s="32">
        <v>40.799999999999997</v>
      </c>
      <c r="DG62" s="32">
        <v>96.6</v>
      </c>
      <c r="DH62" s="32">
        <v>72.400000000000006</v>
      </c>
      <c r="DI62" s="32">
        <v>91.3</v>
      </c>
      <c r="DJ62" s="32">
        <v>92.9</v>
      </c>
      <c r="DK62" s="32">
        <v>92.9</v>
      </c>
      <c r="DL62" s="32">
        <v>41.1</v>
      </c>
      <c r="DM62" s="32">
        <v>67.7</v>
      </c>
      <c r="DN62" s="32">
        <v>42.2</v>
      </c>
      <c r="DO62" s="32">
        <v>78.8</v>
      </c>
      <c r="DP62" s="32">
        <v>44.9</v>
      </c>
      <c r="DQ62" s="32">
        <v>62.6</v>
      </c>
      <c r="DR62" s="32">
        <v>66.599999999999994</v>
      </c>
      <c r="DS62" s="32">
        <v>62.6</v>
      </c>
      <c r="DT62" s="32">
        <v>60.2</v>
      </c>
      <c r="DU62" s="32">
        <v>60.1</v>
      </c>
      <c r="DV62" s="32">
        <v>62.4</v>
      </c>
      <c r="DW62" s="32">
        <v>57.3</v>
      </c>
      <c r="DX62" s="32">
        <v>60.4</v>
      </c>
      <c r="DY62" s="32">
        <v>70.599999999999994</v>
      </c>
      <c r="DZ62" s="32">
        <v>100.4</v>
      </c>
      <c r="EA62" s="32">
        <v>100.4</v>
      </c>
      <c r="EB62" s="32">
        <v>67.599999999999994</v>
      </c>
      <c r="EC62" s="32">
        <v>71.099999999999994</v>
      </c>
      <c r="ED62" s="32">
        <v>63.3</v>
      </c>
      <c r="EE62" s="32">
        <v>68.2</v>
      </c>
      <c r="EF62" s="32">
        <v>50.4</v>
      </c>
      <c r="EG62" s="32">
        <v>56.7</v>
      </c>
      <c r="EH62" s="32">
        <v>65</v>
      </c>
      <c r="EI62" s="32">
        <v>52.2</v>
      </c>
      <c r="EJ62" s="32">
        <v>80</v>
      </c>
      <c r="EK62" s="32">
        <v>52.8</v>
      </c>
      <c r="EL62" s="32">
        <v>68.5</v>
      </c>
      <c r="EM62" s="32">
        <v>40.9</v>
      </c>
      <c r="EN62" s="32">
        <v>58.2</v>
      </c>
      <c r="EO62" s="32">
        <v>87</v>
      </c>
      <c r="EP62" s="32">
        <v>89.6</v>
      </c>
      <c r="EQ62" s="32">
        <v>89.6</v>
      </c>
      <c r="ER62" s="32">
        <v>97.6</v>
      </c>
      <c r="ES62" s="32">
        <v>97.6</v>
      </c>
      <c r="ET62" s="32">
        <v>77.599999999999994</v>
      </c>
      <c r="EU62" s="32">
        <v>75.3</v>
      </c>
      <c r="EV62" s="32">
        <v>75.3</v>
      </c>
      <c r="EW62" s="32">
        <v>83.5</v>
      </c>
      <c r="EX62" s="32">
        <v>96</v>
      </c>
      <c r="EY62" s="32">
        <v>73.7</v>
      </c>
      <c r="EZ62" s="32">
        <v>82.9</v>
      </c>
      <c r="FA62" s="32">
        <v>84.1</v>
      </c>
      <c r="FB62" s="32">
        <v>94.9</v>
      </c>
      <c r="FC62" s="32">
        <v>80.099999999999994</v>
      </c>
      <c r="FD62" s="32">
        <v>100.8</v>
      </c>
      <c r="FE62" s="32">
        <v>114.8</v>
      </c>
      <c r="FF62" s="32">
        <v>71.099999999999994</v>
      </c>
      <c r="FG62" s="32">
        <v>81.400000000000006</v>
      </c>
      <c r="FH62" s="32">
        <v>78.599999999999994</v>
      </c>
      <c r="FI62" s="32">
        <v>84.1</v>
      </c>
      <c r="FJ62" s="32">
        <v>82.1</v>
      </c>
      <c r="FK62" s="32">
        <v>89.2</v>
      </c>
      <c r="FL62" s="32">
        <v>89.2</v>
      </c>
    </row>
    <row r="63" spans="1:168" x14ac:dyDescent="0.2">
      <c r="A63" s="34" t="s">
        <v>1043</v>
      </c>
      <c r="B63" s="32">
        <v>74.400000000000006</v>
      </c>
      <c r="C63" s="32">
        <v>81.2</v>
      </c>
      <c r="D63" s="32">
        <v>98.7</v>
      </c>
      <c r="E63" s="32">
        <v>97.2</v>
      </c>
      <c r="F63" s="32">
        <v>306.3</v>
      </c>
      <c r="G63" s="32">
        <v>7450.8</v>
      </c>
      <c r="H63" s="32">
        <v>384.3</v>
      </c>
      <c r="I63" s="32">
        <v>62.1</v>
      </c>
      <c r="J63" s="32">
        <v>79.7</v>
      </c>
      <c r="K63" s="32">
        <v>87.5</v>
      </c>
      <c r="L63" s="32">
        <v>87.2</v>
      </c>
      <c r="M63" s="32">
        <v>95</v>
      </c>
      <c r="N63" s="32">
        <v>63.1</v>
      </c>
      <c r="O63" s="32">
        <v>208.3</v>
      </c>
      <c r="P63" s="32">
        <v>315.10000000000002</v>
      </c>
      <c r="Q63" s="32">
        <v>86.6</v>
      </c>
      <c r="R63" s="32">
        <v>80.599999999999994</v>
      </c>
      <c r="S63" s="32">
        <v>111.5</v>
      </c>
      <c r="T63" s="32">
        <v>53.4</v>
      </c>
      <c r="U63" s="32">
        <v>39.799999999999997</v>
      </c>
      <c r="V63" s="32">
        <v>111.1</v>
      </c>
      <c r="W63" s="32">
        <v>46.2</v>
      </c>
      <c r="X63" s="32">
        <v>34.9</v>
      </c>
      <c r="Y63" s="32">
        <v>56.8</v>
      </c>
      <c r="Z63" s="32">
        <v>94.3</v>
      </c>
      <c r="AA63" s="32">
        <v>67.400000000000006</v>
      </c>
      <c r="AB63" s="32">
        <v>73</v>
      </c>
      <c r="AC63" s="32">
        <v>56</v>
      </c>
      <c r="AD63" s="32">
        <v>79.2</v>
      </c>
      <c r="AE63" s="32">
        <v>150.69999999999999</v>
      </c>
      <c r="AF63" s="32">
        <v>150.69999999999999</v>
      </c>
      <c r="AG63" s="32">
        <v>54</v>
      </c>
      <c r="AH63" s="32">
        <v>54</v>
      </c>
      <c r="AI63" s="32">
        <v>275</v>
      </c>
      <c r="AJ63" s="32">
        <v>31.4</v>
      </c>
      <c r="AK63" s="32">
        <v>565</v>
      </c>
      <c r="AL63" s="32">
        <v>106.1</v>
      </c>
      <c r="AM63" s="32">
        <v>30.3</v>
      </c>
      <c r="AN63" s="32">
        <v>96.9</v>
      </c>
      <c r="AO63" s="32">
        <v>105.9</v>
      </c>
      <c r="AP63" s="32">
        <v>105.9</v>
      </c>
      <c r="AQ63" s="32">
        <v>106.2</v>
      </c>
      <c r="AR63" s="32">
        <v>107.7</v>
      </c>
      <c r="AS63" s="32">
        <v>104.6</v>
      </c>
      <c r="AT63" s="32">
        <v>120.7</v>
      </c>
      <c r="AU63" s="32">
        <v>89.3</v>
      </c>
      <c r="AV63" s="32">
        <v>108.5</v>
      </c>
      <c r="AW63" s="32">
        <v>188</v>
      </c>
      <c r="AX63" s="32">
        <v>169.4</v>
      </c>
      <c r="AY63" s="32">
        <v>376.2</v>
      </c>
      <c r="AZ63" s="32">
        <v>93.5</v>
      </c>
      <c r="BA63" s="32">
        <v>36.5</v>
      </c>
      <c r="BB63" s="32">
        <v>36.5</v>
      </c>
      <c r="BC63" s="32">
        <v>111.7</v>
      </c>
      <c r="BD63" s="32">
        <v>111.7</v>
      </c>
      <c r="BE63" s="32">
        <v>94.8</v>
      </c>
      <c r="BF63" s="32">
        <v>94.8</v>
      </c>
      <c r="BG63" s="32">
        <v>79</v>
      </c>
      <c r="BH63" s="32">
        <v>68.7</v>
      </c>
      <c r="BI63" s="32">
        <v>85.7</v>
      </c>
      <c r="BJ63" s="32">
        <v>40.6</v>
      </c>
      <c r="BK63" s="32">
        <v>114.7</v>
      </c>
      <c r="BL63" s="32">
        <v>25.6</v>
      </c>
      <c r="BM63" s="32">
        <v>83.8</v>
      </c>
      <c r="BN63" s="32">
        <v>86.1</v>
      </c>
      <c r="BO63" s="32">
        <v>96.6</v>
      </c>
      <c r="BP63" s="32">
        <v>78</v>
      </c>
      <c r="BQ63" s="32">
        <v>81.099999999999994</v>
      </c>
      <c r="BR63" s="32">
        <v>63.4</v>
      </c>
      <c r="BS63" s="32">
        <v>188.5</v>
      </c>
      <c r="BT63" s="32">
        <v>60.8</v>
      </c>
      <c r="BU63" s="32">
        <v>126.4</v>
      </c>
      <c r="BV63" s="32">
        <v>126.4</v>
      </c>
      <c r="BW63" s="32">
        <v>154</v>
      </c>
      <c r="BX63" s="32">
        <v>110.2</v>
      </c>
      <c r="BY63" s="32">
        <v>113.9</v>
      </c>
      <c r="BZ63" s="32">
        <v>112.7</v>
      </c>
      <c r="CA63" s="32">
        <v>115</v>
      </c>
      <c r="CB63" s="32">
        <v>116.9</v>
      </c>
      <c r="CC63" s="32">
        <v>121.5</v>
      </c>
      <c r="CD63" s="32">
        <v>52.7</v>
      </c>
      <c r="CE63" s="32">
        <v>102.3</v>
      </c>
      <c r="CF63" s="32">
        <v>68.8</v>
      </c>
      <c r="CG63" s="32">
        <v>84</v>
      </c>
      <c r="CH63" s="32">
        <v>84.5</v>
      </c>
      <c r="CI63" s="32">
        <v>110.6</v>
      </c>
      <c r="CJ63" s="32">
        <v>69.099999999999994</v>
      </c>
      <c r="CK63" s="32">
        <v>90.9</v>
      </c>
      <c r="CL63" s="32">
        <v>85.1</v>
      </c>
      <c r="CM63" s="32">
        <v>103.3</v>
      </c>
      <c r="CN63" s="32">
        <v>69.099999999999994</v>
      </c>
      <c r="CO63" s="32">
        <v>113</v>
      </c>
      <c r="CP63" s="32">
        <v>101.7</v>
      </c>
      <c r="CQ63" s="32">
        <v>15.2</v>
      </c>
      <c r="CR63" s="32">
        <v>86.1</v>
      </c>
      <c r="CS63" s="32">
        <v>113.4</v>
      </c>
      <c r="CT63" s="32">
        <v>81.599999999999994</v>
      </c>
      <c r="CU63" s="32">
        <v>56.2</v>
      </c>
      <c r="CV63" s="32">
        <v>93.1</v>
      </c>
      <c r="CW63" s="32">
        <v>21.7</v>
      </c>
      <c r="CX63" s="32">
        <v>70.8</v>
      </c>
      <c r="CY63" s="32">
        <v>77.900000000000006</v>
      </c>
      <c r="CZ63" s="32">
        <v>68.3</v>
      </c>
      <c r="DA63" s="32">
        <v>53.2</v>
      </c>
      <c r="DB63" s="32">
        <v>101.1</v>
      </c>
      <c r="DC63" s="32">
        <v>3</v>
      </c>
      <c r="DD63" s="32">
        <v>3</v>
      </c>
      <c r="DE63" s="32">
        <v>47.6</v>
      </c>
      <c r="DF63" s="32">
        <v>40.6</v>
      </c>
      <c r="DG63" s="32">
        <v>96.9</v>
      </c>
      <c r="DH63" s="32">
        <v>71.8</v>
      </c>
      <c r="DI63" s="32">
        <v>94</v>
      </c>
      <c r="DJ63" s="32">
        <v>89.1</v>
      </c>
      <c r="DK63" s="32">
        <v>89.1</v>
      </c>
      <c r="DL63" s="32">
        <v>36.200000000000003</v>
      </c>
      <c r="DM63" s="32">
        <v>67.900000000000006</v>
      </c>
      <c r="DN63" s="32">
        <v>42.3</v>
      </c>
      <c r="DO63" s="32">
        <v>79.099999999999994</v>
      </c>
      <c r="DP63" s="32">
        <v>45</v>
      </c>
      <c r="DQ63" s="32">
        <v>62.5</v>
      </c>
      <c r="DR63" s="32">
        <v>67.3</v>
      </c>
      <c r="DS63" s="32">
        <v>64.099999999999994</v>
      </c>
      <c r="DT63" s="32">
        <v>61</v>
      </c>
      <c r="DU63" s="32">
        <v>62.6</v>
      </c>
      <c r="DV63" s="32">
        <v>64.900000000000006</v>
      </c>
      <c r="DW63" s="32">
        <v>59.7</v>
      </c>
      <c r="DX63" s="32">
        <v>57.8</v>
      </c>
      <c r="DY63" s="32">
        <v>73.900000000000006</v>
      </c>
      <c r="DZ63" s="32">
        <v>102.2</v>
      </c>
      <c r="EA63" s="32">
        <v>102.2</v>
      </c>
      <c r="EB63" s="32">
        <v>66</v>
      </c>
      <c r="EC63" s="32">
        <v>70.099999999999994</v>
      </c>
      <c r="ED63" s="32">
        <v>60.8</v>
      </c>
      <c r="EE63" s="32">
        <v>64.7</v>
      </c>
      <c r="EF63" s="32">
        <v>50.5</v>
      </c>
      <c r="EG63" s="32">
        <v>55.4</v>
      </c>
      <c r="EH63" s="32">
        <v>64.8</v>
      </c>
      <c r="EI63" s="32">
        <v>51.8</v>
      </c>
      <c r="EJ63" s="32">
        <v>63.8</v>
      </c>
      <c r="EK63" s="32">
        <v>52</v>
      </c>
      <c r="EL63" s="32">
        <v>65.900000000000006</v>
      </c>
      <c r="EM63" s="32">
        <v>42</v>
      </c>
      <c r="EN63" s="32">
        <v>56.4</v>
      </c>
      <c r="EO63" s="32">
        <v>86.9</v>
      </c>
      <c r="EP63" s="32">
        <v>89.8</v>
      </c>
      <c r="EQ63" s="32">
        <v>89.8</v>
      </c>
      <c r="ER63" s="32">
        <v>97.1</v>
      </c>
      <c r="ES63" s="32">
        <v>97.1</v>
      </c>
      <c r="ET63" s="32">
        <v>77.7</v>
      </c>
      <c r="EU63" s="32">
        <v>75.5</v>
      </c>
      <c r="EV63" s="32">
        <v>75.5</v>
      </c>
      <c r="EW63" s="32">
        <v>83.6</v>
      </c>
      <c r="EX63" s="32">
        <v>96</v>
      </c>
      <c r="EY63" s="32">
        <v>73.900000000000006</v>
      </c>
      <c r="EZ63" s="32">
        <v>84.7</v>
      </c>
      <c r="FA63" s="32">
        <v>86</v>
      </c>
      <c r="FB63" s="32">
        <v>96.1</v>
      </c>
      <c r="FC63" s="32">
        <v>83.3</v>
      </c>
      <c r="FD63" s="32">
        <v>100.4</v>
      </c>
      <c r="FE63" s="32">
        <v>113</v>
      </c>
      <c r="FF63" s="32">
        <v>73.8</v>
      </c>
      <c r="FG63" s="32">
        <v>83.4</v>
      </c>
      <c r="FH63" s="32">
        <v>80.5</v>
      </c>
      <c r="FI63" s="32">
        <v>87.7</v>
      </c>
      <c r="FJ63" s="32">
        <v>83.9</v>
      </c>
      <c r="FK63" s="32">
        <v>88.3</v>
      </c>
      <c r="FL63" s="32">
        <v>88.3</v>
      </c>
    </row>
    <row r="64" spans="1:168" x14ac:dyDescent="0.2">
      <c r="A64" s="34" t="s">
        <v>1044</v>
      </c>
      <c r="B64" s="32">
        <v>74.400000000000006</v>
      </c>
      <c r="C64" s="32">
        <v>82.6</v>
      </c>
      <c r="D64" s="32">
        <v>98.9</v>
      </c>
      <c r="E64" s="32">
        <v>97.3</v>
      </c>
      <c r="F64" s="32">
        <v>307.10000000000002</v>
      </c>
      <c r="G64" s="32">
        <v>6956.9</v>
      </c>
      <c r="H64" s="32">
        <v>385</v>
      </c>
      <c r="I64" s="32">
        <v>63.5</v>
      </c>
      <c r="J64" s="32">
        <v>79.7</v>
      </c>
      <c r="K64" s="32">
        <v>88.8</v>
      </c>
      <c r="L64" s="32">
        <v>88.5</v>
      </c>
      <c r="M64" s="32">
        <v>96</v>
      </c>
      <c r="N64" s="32">
        <v>66.599999999999994</v>
      </c>
      <c r="O64" s="32">
        <v>196.7</v>
      </c>
      <c r="P64" s="32">
        <v>322.5</v>
      </c>
      <c r="Q64" s="32">
        <v>87.6</v>
      </c>
      <c r="R64" s="32">
        <v>80.2</v>
      </c>
      <c r="S64" s="32">
        <v>112.9</v>
      </c>
      <c r="T64" s="32">
        <v>54.1</v>
      </c>
      <c r="U64" s="32">
        <v>41.6</v>
      </c>
      <c r="V64" s="32">
        <v>111.7</v>
      </c>
      <c r="W64" s="32">
        <v>47</v>
      </c>
      <c r="X64" s="32">
        <v>36.200000000000003</v>
      </c>
      <c r="Y64" s="32">
        <v>56.8</v>
      </c>
      <c r="Z64" s="32">
        <v>91.5</v>
      </c>
      <c r="AA64" s="32">
        <v>66.3</v>
      </c>
      <c r="AB64" s="32">
        <v>70.5</v>
      </c>
      <c r="AC64" s="32">
        <v>57</v>
      </c>
      <c r="AD64" s="32">
        <v>76.8</v>
      </c>
      <c r="AE64" s="32">
        <v>152.1</v>
      </c>
      <c r="AF64" s="32">
        <v>152.1</v>
      </c>
      <c r="AG64" s="32">
        <v>54.3</v>
      </c>
      <c r="AH64" s="32">
        <v>54.3</v>
      </c>
      <c r="AI64" s="32">
        <v>275.3</v>
      </c>
      <c r="AJ64" s="32">
        <v>30.6</v>
      </c>
      <c r="AK64" s="32">
        <v>613.9</v>
      </c>
      <c r="AL64" s="32">
        <v>103.4</v>
      </c>
      <c r="AM64" s="32">
        <v>31.2</v>
      </c>
      <c r="AN64" s="32">
        <v>100.9</v>
      </c>
      <c r="AO64" s="32">
        <v>103.3</v>
      </c>
      <c r="AP64" s="32">
        <v>103.3</v>
      </c>
      <c r="AQ64" s="32">
        <v>107.7</v>
      </c>
      <c r="AR64" s="32">
        <v>109.3</v>
      </c>
      <c r="AS64" s="32">
        <v>106.1</v>
      </c>
      <c r="AT64" s="32">
        <v>118.3</v>
      </c>
      <c r="AU64" s="32">
        <v>94.8</v>
      </c>
      <c r="AV64" s="32">
        <v>106.4</v>
      </c>
      <c r="AW64" s="32">
        <v>179.5</v>
      </c>
      <c r="AX64" s="32">
        <v>151.1</v>
      </c>
      <c r="AY64" s="32">
        <v>377.2</v>
      </c>
      <c r="AZ64" s="32">
        <v>92.6</v>
      </c>
      <c r="BA64" s="32">
        <v>37.9</v>
      </c>
      <c r="BB64" s="32">
        <v>37.9</v>
      </c>
      <c r="BC64" s="32">
        <v>111.7</v>
      </c>
      <c r="BD64" s="32">
        <v>111.7</v>
      </c>
      <c r="BE64" s="32">
        <v>94.7</v>
      </c>
      <c r="BF64" s="32">
        <v>94.7</v>
      </c>
      <c r="BG64" s="32">
        <v>77.400000000000006</v>
      </c>
      <c r="BH64" s="32">
        <v>68.3</v>
      </c>
      <c r="BI64" s="32">
        <v>82.8</v>
      </c>
      <c r="BJ64" s="32">
        <v>39.5</v>
      </c>
      <c r="BK64" s="32">
        <v>110.5</v>
      </c>
      <c r="BL64" s="32">
        <v>25.2</v>
      </c>
      <c r="BM64" s="32">
        <v>83.5</v>
      </c>
      <c r="BN64" s="32">
        <v>84.3</v>
      </c>
      <c r="BO64" s="32">
        <v>94.5</v>
      </c>
      <c r="BP64" s="32">
        <v>76.599999999999994</v>
      </c>
      <c r="BQ64" s="32">
        <v>82.9</v>
      </c>
      <c r="BR64" s="32">
        <v>68.2</v>
      </c>
      <c r="BS64" s="32">
        <v>209.8</v>
      </c>
      <c r="BT64" s="32">
        <v>59.2</v>
      </c>
      <c r="BU64" s="32">
        <v>131</v>
      </c>
      <c r="BV64" s="32">
        <v>131</v>
      </c>
      <c r="BW64" s="32">
        <v>153.9</v>
      </c>
      <c r="BX64" s="32">
        <v>124.6</v>
      </c>
      <c r="BY64" s="32">
        <v>112.3</v>
      </c>
      <c r="BZ64" s="32">
        <v>109.6</v>
      </c>
      <c r="CA64" s="32">
        <v>114.2</v>
      </c>
      <c r="CB64" s="32">
        <v>118.7</v>
      </c>
      <c r="CC64" s="32">
        <v>117.7</v>
      </c>
      <c r="CD64" s="32">
        <v>51.4</v>
      </c>
      <c r="CE64" s="32">
        <v>102.8</v>
      </c>
      <c r="CF64" s="32">
        <v>68.7</v>
      </c>
      <c r="CG64" s="32">
        <v>84.3</v>
      </c>
      <c r="CH64" s="32">
        <v>84.9</v>
      </c>
      <c r="CI64" s="32">
        <v>109.9</v>
      </c>
      <c r="CJ64" s="32">
        <v>69.599999999999994</v>
      </c>
      <c r="CK64" s="32">
        <v>91.5</v>
      </c>
      <c r="CL64" s="32">
        <v>84.5</v>
      </c>
      <c r="CM64" s="32">
        <v>102.2</v>
      </c>
      <c r="CN64" s="32">
        <v>68.2</v>
      </c>
      <c r="CO64" s="32">
        <v>111.9</v>
      </c>
      <c r="CP64" s="32">
        <v>99.7</v>
      </c>
      <c r="CQ64" s="32">
        <v>15</v>
      </c>
      <c r="CR64" s="32">
        <v>84.8</v>
      </c>
      <c r="CS64" s="32">
        <v>116.6</v>
      </c>
      <c r="CT64" s="32">
        <v>82.6</v>
      </c>
      <c r="CU64" s="32">
        <v>54.7</v>
      </c>
      <c r="CV64" s="32">
        <v>95.2</v>
      </c>
      <c r="CW64" s="32">
        <v>21.2</v>
      </c>
      <c r="CX64" s="32">
        <v>68.7</v>
      </c>
      <c r="CY64" s="32">
        <v>78.099999999999994</v>
      </c>
      <c r="CZ64" s="32">
        <v>64.5</v>
      </c>
      <c r="DA64" s="32">
        <v>48.3</v>
      </c>
      <c r="DB64" s="32">
        <v>100.9</v>
      </c>
      <c r="DC64" s="32">
        <v>2.9</v>
      </c>
      <c r="DD64" s="32">
        <v>2.9</v>
      </c>
      <c r="DE64" s="32">
        <v>46.7</v>
      </c>
      <c r="DF64" s="32">
        <v>40.299999999999997</v>
      </c>
      <c r="DG64" s="32">
        <v>91.1</v>
      </c>
      <c r="DH64" s="32">
        <v>72.900000000000006</v>
      </c>
      <c r="DI64" s="32">
        <v>95.7</v>
      </c>
      <c r="DJ64" s="32">
        <v>86.9</v>
      </c>
      <c r="DK64" s="32">
        <v>86.9</v>
      </c>
      <c r="DL64" s="32">
        <v>39.9</v>
      </c>
      <c r="DM64" s="32">
        <v>68.099999999999994</v>
      </c>
      <c r="DN64" s="32">
        <v>42.3</v>
      </c>
      <c r="DO64" s="32">
        <v>79.400000000000006</v>
      </c>
      <c r="DP64" s="32">
        <v>44.9</v>
      </c>
      <c r="DQ64" s="32">
        <v>61.5</v>
      </c>
      <c r="DR64" s="32">
        <v>65.400000000000006</v>
      </c>
      <c r="DS64" s="32">
        <v>62.3</v>
      </c>
      <c r="DT64" s="32">
        <v>58.8</v>
      </c>
      <c r="DU64" s="32">
        <v>60.1</v>
      </c>
      <c r="DV64" s="32">
        <v>63</v>
      </c>
      <c r="DW64" s="32">
        <v>56.7</v>
      </c>
      <c r="DX64" s="32">
        <v>55.8</v>
      </c>
      <c r="DY64" s="32">
        <v>73.7</v>
      </c>
      <c r="DZ64" s="32">
        <v>102.1</v>
      </c>
      <c r="EA64" s="32">
        <v>102.1</v>
      </c>
      <c r="EB64" s="32">
        <v>63.2</v>
      </c>
      <c r="EC64" s="32">
        <v>66.599999999999994</v>
      </c>
      <c r="ED64" s="32">
        <v>59</v>
      </c>
      <c r="EE64" s="32">
        <v>62.3</v>
      </c>
      <c r="EF64" s="32">
        <v>50.4</v>
      </c>
      <c r="EG64" s="32">
        <v>55.7</v>
      </c>
      <c r="EH64" s="32">
        <v>66.3</v>
      </c>
      <c r="EI64" s="32">
        <v>52.2</v>
      </c>
      <c r="EJ64" s="32">
        <v>63.1</v>
      </c>
      <c r="EK64" s="32">
        <v>51.6</v>
      </c>
      <c r="EL64" s="32">
        <v>79.3</v>
      </c>
      <c r="EM64" s="32">
        <v>41.1</v>
      </c>
      <c r="EN64" s="32">
        <v>53.8</v>
      </c>
      <c r="EO64" s="32">
        <v>86.8</v>
      </c>
      <c r="EP64" s="32">
        <v>90</v>
      </c>
      <c r="EQ64" s="32">
        <v>90</v>
      </c>
      <c r="ER64" s="32">
        <v>96.5</v>
      </c>
      <c r="ES64" s="32">
        <v>96.5</v>
      </c>
      <c r="ET64" s="32">
        <v>77.7</v>
      </c>
      <c r="EU64" s="32">
        <v>75.5</v>
      </c>
      <c r="EV64" s="32">
        <v>75.5</v>
      </c>
      <c r="EW64" s="32">
        <v>83.4</v>
      </c>
      <c r="EX64" s="32">
        <v>95.8</v>
      </c>
      <c r="EY64" s="32">
        <v>73.7</v>
      </c>
      <c r="EZ64" s="32">
        <v>85.2</v>
      </c>
      <c r="FA64" s="32">
        <v>83.9</v>
      </c>
      <c r="FB64" s="32">
        <v>90.1</v>
      </c>
      <c r="FC64" s="32">
        <v>73.400000000000006</v>
      </c>
      <c r="FD64" s="32">
        <v>100.6</v>
      </c>
      <c r="FE64" s="32">
        <v>111.8</v>
      </c>
      <c r="FF64" s="32">
        <v>76.400000000000006</v>
      </c>
      <c r="FG64" s="32">
        <v>86.4</v>
      </c>
      <c r="FH64" s="32">
        <v>82.3</v>
      </c>
      <c r="FI64" s="32">
        <v>78.599999999999994</v>
      </c>
      <c r="FJ64" s="32">
        <v>89</v>
      </c>
      <c r="FK64" s="32">
        <v>86.2</v>
      </c>
      <c r="FL64" s="32">
        <v>86.2</v>
      </c>
    </row>
    <row r="65" spans="1:168" x14ac:dyDescent="0.2">
      <c r="A65" s="34" t="s">
        <v>1045</v>
      </c>
      <c r="B65" s="32">
        <v>74.3</v>
      </c>
      <c r="C65" s="32">
        <v>87.6</v>
      </c>
      <c r="D65" s="32">
        <v>98.5</v>
      </c>
      <c r="E65" s="32">
        <v>96.9</v>
      </c>
      <c r="F65" s="32">
        <v>313.2</v>
      </c>
      <c r="G65" s="32">
        <v>6497.8</v>
      </c>
      <c r="H65" s="32">
        <v>394.1</v>
      </c>
      <c r="I65" s="32">
        <v>63.7</v>
      </c>
      <c r="J65" s="32">
        <v>79.099999999999994</v>
      </c>
      <c r="K65" s="32">
        <v>88.9</v>
      </c>
      <c r="L65" s="32">
        <v>88.2</v>
      </c>
      <c r="M65" s="32">
        <v>101.4</v>
      </c>
      <c r="N65" s="32">
        <v>61.4</v>
      </c>
      <c r="O65" s="32">
        <v>208.8</v>
      </c>
      <c r="P65" s="32">
        <v>321.7</v>
      </c>
      <c r="Q65" s="32">
        <v>92.2</v>
      </c>
      <c r="R65" s="32">
        <v>79.900000000000006</v>
      </c>
      <c r="S65" s="32">
        <v>111.2</v>
      </c>
      <c r="T65" s="32">
        <v>56.3</v>
      </c>
      <c r="U65" s="32">
        <v>38.700000000000003</v>
      </c>
      <c r="V65" s="32">
        <v>116.8</v>
      </c>
      <c r="W65" s="32">
        <v>44.7</v>
      </c>
      <c r="X65" s="32">
        <v>35.700000000000003</v>
      </c>
      <c r="Y65" s="32">
        <v>51.3</v>
      </c>
      <c r="Z65" s="32">
        <v>91.4</v>
      </c>
      <c r="AA65" s="32">
        <v>68.3</v>
      </c>
      <c r="AB65" s="32">
        <v>70.8</v>
      </c>
      <c r="AC65" s="32">
        <v>57.5</v>
      </c>
      <c r="AD65" s="32">
        <v>80.900000000000006</v>
      </c>
      <c r="AE65" s="32">
        <v>151.5</v>
      </c>
      <c r="AF65" s="32">
        <v>151.5</v>
      </c>
      <c r="AG65" s="32">
        <v>53.7</v>
      </c>
      <c r="AH65" s="32">
        <v>53.7</v>
      </c>
      <c r="AI65" s="32">
        <v>271.89999999999998</v>
      </c>
      <c r="AJ65" s="32">
        <v>29.8</v>
      </c>
      <c r="AK65" s="32">
        <v>669.6</v>
      </c>
      <c r="AL65" s="32">
        <v>103.1</v>
      </c>
      <c r="AM65" s="32">
        <v>30.7</v>
      </c>
      <c r="AN65" s="32">
        <v>101.8</v>
      </c>
      <c r="AO65" s="32">
        <v>106</v>
      </c>
      <c r="AP65" s="32">
        <v>106</v>
      </c>
      <c r="AQ65" s="32">
        <v>104.5</v>
      </c>
      <c r="AR65" s="32">
        <v>104.4</v>
      </c>
      <c r="AS65" s="32">
        <v>105.7</v>
      </c>
      <c r="AT65" s="32">
        <v>119.7</v>
      </c>
      <c r="AU65" s="32">
        <v>92.5</v>
      </c>
      <c r="AV65" s="32">
        <v>105.4</v>
      </c>
      <c r="AW65" s="32">
        <v>172.7</v>
      </c>
      <c r="AX65" s="32">
        <v>140.6</v>
      </c>
      <c r="AY65" s="32">
        <v>370.8</v>
      </c>
      <c r="AZ65" s="32">
        <v>92.7</v>
      </c>
      <c r="BA65" s="32">
        <v>37.9</v>
      </c>
      <c r="BB65" s="32">
        <v>37.9</v>
      </c>
      <c r="BC65" s="32">
        <v>112.9</v>
      </c>
      <c r="BD65" s="32">
        <v>112.9</v>
      </c>
      <c r="BE65" s="32">
        <v>94.4</v>
      </c>
      <c r="BF65" s="32">
        <v>94.4</v>
      </c>
      <c r="BG65" s="32">
        <v>76.099999999999994</v>
      </c>
      <c r="BH65" s="32">
        <v>68.900000000000006</v>
      </c>
      <c r="BI65" s="32">
        <v>79.099999999999994</v>
      </c>
      <c r="BJ65" s="32">
        <v>39.6</v>
      </c>
      <c r="BK65" s="32">
        <v>105.1</v>
      </c>
      <c r="BL65" s="32">
        <v>23.3</v>
      </c>
      <c r="BM65" s="32">
        <v>80.7</v>
      </c>
      <c r="BN65" s="32">
        <v>83.6</v>
      </c>
      <c r="BO65" s="32">
        <v>90.9</v>
      </c>
      <c r="BP65" s="32">
        <v>78.099999999999994</v>
      </c>
      <c r="BQ65" s="32">
        <v>76.900000000000006</v>
      </c>
      <c r="BR65" s="32">
        <v>66.400000000000006</v>
      </c>
      <c r="BS65" s="32">
        <v>160.30000000000001</v>
      </c>
      <c r="BT65" s="32">
        <v>59.6</v>
      </c>
      <c r="BU65" s="32">
        <v>128</v>
      </c>
      <c r="BV65" s="32">
        <v>128</v>
      </c>
      <c r="BW65" s="32">
        <v>148</v>
      </c>
      <c r="BX65" s="32">
        <v>126.4</v>
      </c>
      <c r="BY65" s="32">
        <v>113.1</v>
      </c>
      <c r="BZ65" s="32">
        <v>113.6</v>
      </c>
      <c r="CA65" s="32">
        <v>113.3</v>
      </c>
      <c r="CB65" s="32">
        <v>117.4</v>
      </c>
      <c r="CC65" s="32">
        <v>117.4</v>
      </c>
      <c r="CD65" s="32">
        <v>50.8</v>
      </c>
      <c r="CE65" s="32">
        <v>102.8</v>
      </c>
      <c r="CF65" s="32">
        <v>68.7</v>
      </c>
      <c r="CG65" s="32">
        <v>83.6</v>
      </c>
      <c r="CH65" s="32">
        <v>84</v>
      </c>
      <c r="CI65" s="32">
        <v>107.3</v>
      </c>
      <c r="CJ65" s="32">
        <v>67.400000000000006</v>
      </c>
      <c r="CK65" s="32">
        <v>92.3</v>
      </c>
      <c r="CL65" s="32">
        <v>84</v>
      </c>
      <c r="CM65" s="32">
        <v>98.7</v>
      </c>
      <c r="CN65" s="32">
        <v>66.5</v>
      </c>
      <c r="CO65" s="32">
        <v>107.9</v>
      </c>
      <c r="CP65" s="32">
        <v>97.9</v>
      </c>
      <c r="CQ65" s="32">
        <v>15.2</v>
      </c>
      <c r="CR65" s="32">
        <v>84.9</v>
      </c>
      <c r="CS65" s="32">
        <v>122.7</v>
      </c>
      <c r="CT65" s="32">
        <v>82.8</v>
      </c>
      <c r="CU65" s="32">
        <v>57.8</v>
      </c>
      <c r="CV65" s="32">
        <v>94</v>
      </c>
      <c r="CW65" s="32">
        <v>21.3</v>
      </c>
      <c r="CX65" s="32">
        <v>68.599999999999994</v>
      </c>
      <c r="CY65" s="32">
        <v>79.400000000000006</v>
      </c>
      <c r="CZ65" s="32">
        <v>63.2</v>
      </c>
      <c r="DA65" s="32">
        <v>46.8</v>
      </c>
      <c r="DB65" s="32">
        <v>100.7</v>
      </c>
      <c r="DC65" s="32">
        <v>2.9</v>
      </c>
      <c r="DD65" s="32">
        <v>2.9</v>
      </c>
      <c r="DE65" s="32">
        <v>47.4</v>
      </c>
      <c r="DF65" s="32">
        <v>41</v>
      </c>
      <c r="DG65" s="32">
        <v>92.3</v>
      </c>
      <c r="DH65" s="32">
        <v>73.400000000000006</v>
      </c>
      <c r="DI65" s="32">
        <v>97.1</v>
      </c>
      <c r="DJ65" s="32">
        <v>84.8</v>
      </c>
      <c r="DK65" s="32">
        <v>84.8</v>
      </c>
      <c r="DL65" s="32">
        <v>41.5</v>
      </c>
      <c r="DM65" s="32">
        <v>68.3</v>
      </c>
      <c r="DN65" s="32">
        <v>42.3</v>
      </c>
      <c r="DO65" s="32">
        <v>79.7</v>
      </c>
      <c r="DP65" s="32">
        <v>44.9</v>
      </c>
      <c r="DQ65" s="32">
        <v>61.8</v>
      </c>
      <c r="DR65" s="32">
        <v>65.900000000000006</v>
      </c>
      <c r="DS65" s="32">
        <v>62.1</v>
      </c>
      <c r="DT65" s="32">
        <v>59.5</v>
      </c>
      <c r="DU65" s="32">
        <v>61.2</v>
      </c>
      <c r="DV65" s="32">
        <v>62.9</v>
      </c>
      <c r="DW65" s="32">
        <v>59</v>
      </c>
      <c r="DX65" s="32">
        <v>56</v>
      </c>
      <c r="DY65" s="32">
        <v>70.400000000000006</v>
      </c>
      <c r="DZ65" s="32">
        <v>110.4</v>
      </c>
      <c r="EA65" s="32">
        <v>110.4</v>
      </c>
      <c r="EB65" s="32">
        <v>63.4</v>
      </c>
      <c r="EC65" s="32">
        <v>67.3</v>
      </c>
      <c r="ED65" s="32">
        <v>58.6</v>
      </c>
      <c r="EE65" s="32">
        <v>61.8</v>
      </c>
      <c r="EF65" s="32">
        <v>50.3</v>
      </c>
      <c r="EG65" s="32">
        <v>55.7</v>
      </c>
      <c r="EH65" s="32">
        <v>66.5</v>
      </c>
      <c r="EI65" s="32">
        <v>49.7</v>
      </c>
      <c r="EJ65" s="32">
        <v>69.099999999999994</v>
      </c>
      <c r="EK65" s="32">
        <v>52.6</v>
      </c>
      <c r="EL65" s="32">
        <v>82.1</v>
      </c>
      <c r="EM65" s="32">
        <v>41.7</v>
      </c>
      <c r="EN65" s="32">
        <v>54.6</v>
      </c>
      <c r="EO65" s="32">
        <v>86.7</v>
      </c>
      <c r="EP65" s="32">
        <v>89.8</v>
      </c>
      <c r="EQ65" s="32">
        <v>89.8</v>
      </c>
      <c r="ER65" s="32">
        <v>96.4</v>
      </c>
      <c r="ES65" s="32">
        <v>96.4</v>
      </c>
      <c r="ET65" s="32">
        <v>77.5</v>
      </c>
      <c r="EU65" s="32">
        <v>75.400000000000006</v>
      </c>
      <c r="EV65" s="32">
        <v>75.400000000000006</v>
      </c>
      <c r="EW65" s="32">
        <v>82.9</v>
      </c>
      <c r="EX65" s="32">
        <v>95.4</v>
      </c>
      <c r="EY65" s="32">
        <v>73.2</v>
      </c>
      <c r="EZ65" s="32">
        <v>85</v>
      </c>
      <c r="FA65" s="32">
        <v>85.4</v>
      </c>
      <c r="FB65" s="32">
        <v>90.6</v>
      </c>
      <c r="FC65" s="32">
        <v>74.099999999999994</v>
      </c>
      <c r="FD65" s="32">
        <v>101</v>
      </c>
      <c r="FE65" s="32">
        <v>111.9</v>
      </c>
      <c r="FF65" s="32">
        <v>79</v>
      </c>
      <c r="FG65" s="32">
        <v>84.9</v>
      </c>
      <c r="FH65" s="32">
        <v>82.3</v>
      </c>
      <c r="FI65" s="32">
        <v>73.5</v>
      </c>
      <c r="FJ65" s="32">
        <v>87.3</v>
      </c>
      <c r="FK65" s="32">
        <v>85.1</v>
      </c>
      <c r="FL65" s="32">
        <v>85.1</v>
      </c>
    </row>
    <row r="66" spans="1:168" x14ac:dyDescent="0.2">
      <c r="A66" s="34" t="s">
        <v>1046</v>
      </c>
      <c r="B66" s="32">
        <v>74.5</v>
      </c>
      <c r="C66" s="32">
        <v>94.4</v>
      </c>
      <c r="D66" s="32">
        <v>98</v>
      </c>
      <c r="E66" s="32">
        <v>96.3</v>
      </c>
      <c r="F66" s="32">
        <v>308.89999999999998</v>
      </c>
      <c r="G66" s="32">
        <v>7838</v>
      </c>
      <c r="H66" s="32">
        <v>387.3</v>
      </c>
      <c r="I66" s="32">
        <v>62.8</v>
      </c>
      <c r="J66" s="32">
        <v>79</v>
      </c>
      <c r="K66" s="32">
        <v>86.9</v>
      </c>
      <c r="L66" s="32">
        <v>85.9</v>
      </c>
      <c r="M66" s="32">
        <v>94.6</v>
      </c>
      <c r="N66" s="32">
        <v>60.2</v>
      </c>
      <c r="O66" s="32">
        <v>190.8</v>
      </c>
      <c r="P66" s="32">
        <v>315.60000000000002</v>
      </c>
      <c r="Q66" s="32">
        <v>86.7</v>
      </c>
      <c r="R66" s="32">
        <v>76.599999999999994</v>
      </c>
      <c r="S66" s="32">
        <v>110.9</v>
      </c>
      <c r="T66" s="32">
        <v>57</v>
      </c>
      <c r="U66" s="32">
        <v>39.1</v>
      </c>
      <c r="V66" s="32">
        <v>115.1</v>
      </c>
      <c r="W66" s="32">
        <v>46.4</v>
      </c>
      <c r="X66" s="32">
        <v>36.299999999999997</v>
      </c>
      <c r="Y66" s="32">
        <v>54.2</v>
      </c>
      <c r="Z66" s="32">
        <v>99.2</v>
      </c>
      <c r="AA66" s="32">
        <v>67.8</v>
      </c>
      <c r="AB66" s="32">
        <v>69.099999999999994</v>
      </c>
      <c r="AC66" s="32">
        <v>59.9</v>
      </c>
      <c r="AD66" s="32">
        <v>78.599999999999994</v>
      </c>
      <c r="AE66" s="32">
        <v>153.5</v>
      </c>
      <c r="AF66" s="32">
        <v>153.5</v>
      </c>
      <c r="AG66" s="32">
        <v>52.9</v>
      </c>
      <c r="AH66" s="32">
        <v>52.9</v>
      </c>
      <c r="AI66" s="32">
        <v>259.7</v>
      </c>
      <c r="AJ66" s="32">
        <v>29</v>
      </c>
      <c r="AK66" s="32">
        <v>750.4</v>
      </c>
      <c r="AL66" s="32">
        <v>104.2</v>
      </c>
      <c r="AM66" s="32">
        <v>32.200000000000003</v>
      </c>
      <c r="AN66" s="32">
        <v>89.9</v>
      </c>
      <c r="AO66" s="32">
        <v>100.9</v>
      </c>
      <c r="AP66" s="32">
        <v>100.9</v>
      </c>
      <c r="AQ66" s="32">
        <v>103</v>
      </c>
      <c r="AR66" s="32">
        <v>102.8</v>
      </c>
      <c r="AS66" s="32">
        <v>104.4</v>
      </c>
      <c r="AT66" s="32">
        <v>120.9</v>
      </c>
      <c r="AU66" s="32">
        <v>88.6</v>
      </c>
      <c r="AV66" s="32">
        <v>110.9</v>
      </c>
      <c r="AW66" s="32">
        <v>170.5</v>
      </c>
      <c r="AX66" s="32">
        <v>147.5</v>
      </c>
      <c r="AY66" s="32">
        <v>351.5</v>
      </c>
      <c r="AZ66" s="32">
        <v>99.9</v>
      </c>
      <c r="BA66" s="32">
        <v>36.799999999999997</v>
      </c>
      <c r="BB66" s="32">
        <v>36.799999999999997</v>
      </c>
      <c r="BC66" s="32">
        <v>117.7</v>
      </c>
      <c r="BD66" s="32">
        <v>117.7</v>
      </c>
      <c r="BE66" s="32">
        <v>97</v>
      </c>
      <c r="BF66" s="32">
        <v>97</v>
      </c>
      <c r="BG66" s="32">
        <v>74.599999999999994</v>
      </c>
      <c r="BH66" s="32">
        <v>67.900000000000006</v>
      </c>
      <c r="BI66" s="32">
        <v>76.900000000000006</v>
      </c>
      <c r="BJ66" s="32">
        <v>38.799999999999997</v>
      </c>
      <c r="BK66" s="32">
        <v>101.7</v>
      </c>
      <c r="BL66" s="32">
        <v>23.8</v>
      </c>
      <c r="BM66" s="32">
        <v>82.4</v>
      </c>
      <c r="BN66" s="32">
        <v>82.3</v>
      </c>
      <c r="BO66" s="32">
        <v>92.5</v>
      </c>
      <c r="BP66" s="32">
        <v>74.5</v>
      </c>
      <c r="BQ66" s="32">
        <v>83.2</v>
      </c>
      <c r="BR66" s="32">
        <v>68.2</v>
      </c>
      <c r="BS66" s="32">
        <v>194.4</v>
      </c>
      <c r="BT66" s="32">
        <v>61.8</v>
      </c>
      <c r="BU66" s="32">
        <v>119.4</v>
      </c>
      <c r="BV66" s="32">
        <v>119.4</v>
      </c>
      <c r="BW66" s="32">
        <v>141.9</v>
      </c>
      <c r="BX66" s="32">
        <v>110.6</v>
      </c>
      <c r="BY66" s="32">
        <v>113.7</v>
      </c>
      <c r="BZ66" s="32">
        <v>115.4</v>
      </c>
      <c r="CA66" s="32">
        <v>113.3</v>
      </c>
      <c r="CB66" s="32">
        <v>122.2</v>
      </c>
      <c r="CC66" s="32">
        <v>112</v>
      </c>
      <c r="CD66" s="32">
        <v>50.2</v>
      </c>
      <c r="CE66" s="32">
        <v>102.3</v>
      </c>
      <c r="CF66" s="32">
        <v>69</v>
      </c>
      <c r="CG66" s="32">
        <v>83.3</v>
      </c>
      <c r="CH66" s="32">
        <v>84.2</v>
      </c>
      <c r="CI66" s="32">
        <v>106.2</v>
      </c>
      <c r="CJ66" s="32">
        <v>68.599999999999994</v>
      </c>
      <c r="CK66" s="32">
        <v>91.8</v>
      </c>
      <c r="CL66" s="32">
        <v>83.5</v>
      </c>
      <c r="CM66" s="32">
        <v>98.2</v>
      </c>
      <c r="CN66" s="32">
        <v>63.8</v>
      </c>
      <c r="CO66" s="32">
        <v>107.9</v>
      </c>
      <c r="CP66" s="32">
        <v>95.8</v>
      </c>
      <c r="CQ66" s="32">
        <v>15.7</v>
      </c>
      <c r="CR66" s="32">
        <v>83.3</v>
      </c>
      <c r="CS66" s="32">
        <v>122</v>
      </c>
      <c r="CT66" s="32">
        <v>80.8</v>
      </c>
      <c r="CU66" s="32">
        <v>53</v>
      </c>
      <c r="CV66" s="32">
        <v>93.3</v>
      </c>
      <c r="CW66" s="32">
        <v>22.5</v>
      </c>
      <c r="CX66" s="32">
        <v>67.8</v>
      </c>
      <c r="CY66" s="32">
        <v>78.7</v>
      </c>
      <c r="CZ66" s="32">
        <v>62.2</v>
      </c>
      <c r="DA66" s="32">
        <v>46.4</v>
      </c>
      <c r="DB66" s="32">
        <v>98.2</v>
      </c>
      <c r="DC66" s="32">
        <v>3.3</v>
      </c>
      <c r="DD66" s="32">
        <v>3.3</v>
      </c>
      <c r="DE66" s="32">
        <v>49.2</v>
      </c>
      <c r="DF66" s="32">
        <v>42.5</v>
      </c>
      <c r="DG66" s="32">
        <v>95.6</v>
      </c>
      <c r="DH66" s="32">
        <v>75.099999999999994</v>
      </c>
      <c r="DI66" s="32">
        <v>101.8</v>
      </c>
      <c r="DJ66" s="32">
        <v>83.8</v>
      </c>
      <c r="DK66" s="32">
        <v>83.8</v>
      </c>
      <c r="DL66" s="32">
        <v>41.3</v>
      </c>
      <c r="DM66" s="32">
        <v>68.400000000000006</v>
      </c>
      <c r="DN66" s="32">
        <v>42.5</v>
      </c>
      <c r="DO66" s="32">
        <v>79.8</v>
      </c>
      <c r="DP66" s="32">
        <v>45.6</v>
      </c>
      <c r="DQ66" s="32">
        <v>61</v>
      </c>
      <c r="DR66" s="32">
        <v>65</v>
      </c>
      <c r="DS66" s="32">
        <v>62.1</v>
      </c>
      <c r="DT66" s="32">
        <v>59.6</v>
      </c>
      <c r="DU66" s="32">
        <v>60.6</v>
      </c>
      <c r="DV66" s="32">
        <v>64</v>
      </c>
      <c r="DW66" s="32">
        <v>56.7</v>
      </c>
      <c r="DX66" s="32">
        <v>57.5</v>
      </c>
      <c r="DY66" s="32">
        <v>70.2</v>
      </c>
      <c r="DZ66" s="32">
        <v>99</v>
      </c>
      <c r="EA66" s="32">
        <v>99</v>
      </c>
      <c r="EB66" s="32">
        <v>62.8</v>
      </c>
      <c r="EC66" s="32">
        <v>64.599999999999994</v>
      </c>
      <c r="ED66" s="32">
        <v>60.6</v>
      </c>
      <c r="EE66" s="32">
        <v>64.7</v>
      </c>
      <c r="EF66" s="32">
        <v>49.9</v>
      </c>
      <c r="EG66" s="32">
        <v>55.2</v>
      </c>
      <c r="EH66" s="32">
        <v>67.3</v>
      </c>
      <c r="EI66" s="32">
        <v>50</v>
      </c>
      <c r="EJ66" s="32">
        <v>68.3</v>
      </c>
      <c r="EK66" s="32">
        <v>50.8</v>
      </c>
      <c r="EL66" s="32">
        <v>63.7</v>
      </c>
      <c r="EM66" s="32">
        <v>40.700000000000003</v>
      </c>
      <c r="EN66" s="32">
        <v>55.3</v>
      </c>
      <c r="EO66" s="32">
        <v>86.1</v>
      </c>
      <c r="EP66" s="32">
        <v>89.3</v>
      </c>
      <c r="EQ66" s="32">
        <v>89.3</v>
      </c>
      <c r="ER66" s="32">
        <v>96.2</v>
      </c>
      <c r="ES66" s="32">
        <v>96.2</v>
      </c>
      <c r="ET66" s="32">
        <v>76.8</v>
      </c>
      <c r="EU66" s="32">
        <v>74.7</v>
      </c>
      <c r="EV66" s="32">
        <v>74.7</v>
      </c>
      <c r="EW66" s="32">
        <v>82.3</v>
      </c>
      <c r="EX66" s="32">
        <v>94.8</v>
      </c>
      <c r="EY66" s="32">
        <v>72.5</v>
      </c>
      <c r="EZ66" s="32">
        <v>87.3</v>
      </c>
      <c r="FA66" s="32">
        <v>90.5</v>
      </c>
      <c r="FB66" s="32">
        <v>100.7</v>
      </c>
      <c r="FC66" s="32">
        <v>91.5</v>
      </c>
      <c r="FD66" s="32">
        <v>100.8</v>
      </c>
      <c r="FE66" s="32">
        <v>112.2</v>
      </c>
      <c r="FF66" s="32">
        <v>78.099999999999994</v>
      </c>
      <c r="FG66" s="32">
        <v>86.1</v>
      </c>
      <c r="FH66" s="32">
        <v>81.400000000000006</v>
      </c>
      <c r="FI66" s="32">
        <v>101.4</v>
      </c>
      <c r="FJ66" s="32">
        <v>85.9</v>
      </c>
      <c r="FK66" s="32">
        <v>77.5</v>
      </c>
      <c r="FL66" s="32">
        <v>77.5</v>
      </c>
    </row>
    <row r="67" spans="1:168" x14ac:dyDescent="0.2">
      <c r="A67" s="34" t="s">
        <v>1047</v>
      </c>
      <c r="B67" s="32">
        <v>74.400000000000006</v>
      </c>
      <c r="C67" s="32">
        <v>99.8</v>
      </c>
      <c r="D67" s="32">
        <v>97.9</v>
      </c>
      <c r="E67" s="32">
        <v>96.4</v>
      </c>
      <c r="F67" s="32">
        <v>299.39999999999998</v>
      </c>
      <c r="G67" s="32">
        <v>7611.9</v>
      </c>
      <c r="H67" s="32">
        <v>373.6</v>
      </c>
      <c r="I67" s="32">
        <v>63</v>
      </c>
      <c r="J67" s="32">
        <v>79.8</v>
      </c>
      <c r="K67" s="32">
        <v>88.3</v>
      </c>
      <c r="L67" s="32">
        <v>87.8</v>
      </c>
      <c r="M67" s="32">
        <v>98.9</v>
      </c>
      <c r="N67" s="32">
        <v>60.1</v>
      </c>
      <c r="O67" s="32">
        <v>189.6</v>
      </c>
      <c r="P67" s="32">
        <v>321.39999999999998</v>
      </c>
      <c r="Q67" s="32">
        <v>88.7</v>
      </c>
      <c r="R67" s="32">
        <v>77</v>
      </c>
      <c r="S67" s="32">
        <v>114.3</v>
      </c>
      <c r="T67" s="32">
        <v>57.5</v>
      </c>
      <c r="U67" s="32">
        <v>39.9</v>
      </c>
      <c r="V67" s="32">
        <v>113.8</v>
      </c>
      <c r="W67" s="32">
        <v>47</v>
      </c>
      <c r="X67" s="32">
        <v>37</v>
      </c>
      <c r="Y67" s="32">
        <v>53</v>
      </c>
      <c r="Z67" s="32">
        <v>113.4</v>
      </c>
      <c r="AA67" s="32">
        <v>67.599999999999994</v>
      </c>
      <c r="AB67" s="32">
        <v>69.7</v>
      </c>
      <c r="AC67" s="32">
        <v>60.8</v>
      </c>
      <c r="AD67" s="32">
        <v>77.099999999999994</v>
      </c>
      <c r="AE67" s="32">
        <v>155.1</v>
      </c>
      <c r="AF67" s="32">
        <v>155.1</v>
      </c>
      <c r="AG67" s="32">
        <v>54</v>
      </c>
      <c r="AH67" s="32">
        <v>54</v>
      </c>
      <c r="AI67" s="32">
        <v>266.60000000000002</v>
      </c>
      <c r="AJ67" s="32">
        <v>28.9</v>
      </c>
      <c r="AK67" s="32">
        <v>847.6</v>
      </c>
      <c r="AL67" s="32">
        <v>101.6</v>
      </c>
      <c r="AM67" s="32">
        <v>32.4</v>
      </c>
      <c r="AN67" s="32">
        <v>98.2</v>
      </c>
      <c r="AO67" s="32">
        <v>112.4</v>
      </c>
      <c r="AP67" s="32">
        <v>112.4</v>
      </c>
      <c r="AQ67" s="32">
        <v>99.7</v>
      </c>
      <c r="AR67" s="32">
        <v>100</v>
      </c>
      <c r="AS67" s="32">
        <v>100.2</v>
      </c>
      <c r="AT67" s="32">
        <v>122.4</v>
      </c>
      <c r="AU67" s="32">
        <v>78.599999999999994</v>
      </c>
      <c r="AV67" s="32">
        <v>109.7</v>
      </c>
      <c r="AW67" s="32">
        <v>168</v>
      </c>
      <c r="AX67" s="32">
        <v>144.4</v>
      </c>
      <c r="AY67" s="32">
        <v>347.6</v>
      </c>
      <c r="AZ67" s="32">
        <v>98.9</v>
      </c>
      <c r="BA67" s="32">
        <v>40.200000000000003</v>
      </c>
      <c r="BB67" s="32">
        <v>40.200000000000003</v>
      </c>
      <c r="BC67" s="32">
        <v>114.6</v>
      </c>
      <c r="BD67" s="32">
        <v>114.6</v>
      </c>
      <c r="BE67" s="32">
        <v>94.6</v>
      </c>
      <c r="BF67" s="32">
        <v>94.6</v>
      </c>
      <c r="BG67" s="32">
        <v>72.8</v>
      </c>
      <c r="BH67" s="32">
        <v>65.7</v>
      </c>
      <c r="BI67" s="32">
        <v>75.900000000000006</v>
      </c>
      <c r="BJ67" s="32">
        <v>38.9</v>
      </c>
      <c r="BK67" s="32">
        <v>100.6</v>
      </c>
      <c r="BL67" s="32">
        <v>22.1</v>
      </c>
      <c r="BM67" s="32">
        <v>83.5</v>
      </c>
      <c r="BN67" s="32">
        <v>84.2</v>
      </c>
      <c r="BO67" s="32">
        <v>95.9</v>
      </c>
      <c r="BP67" s="32">
        <v>75.400000000000006</v>
      </c>
      <c r="BQ67" s="32">
        <v>83.1</v>
      </c>
      <c r="BR67" s="32">
        <v>67.2</v>
      </c>
      <c r="BS67" s="32">
        <v>193.4</v>
      </c>
      <c r="BT67" s="32">
        <v>61.9</v>
      </c>
      <c r="BU67" s="32">
        <v>114.7</v>
      </c>
      <c r="BV67" s="32">
        <v>114.7</v>
      </c>
      <c r="BW67" s="32">
        <v>137.9</v>
      </c>
      <c r="BX67" s="32">
        <v>103.1</v>
      </c>
      <c r="BY67" s="32">
        <v>112</v>
      </c>
      <c r="BZ67" s="32">
        <v>112.1</v>
      </c>
      <c r="CA67" s="32">
        <v>112.5</v>
      </c>
      <c r="CB67" s="32">
        <v>122.9</v>
      </c>
      <c r="CC67" s="32">
        <v>109.5</v>
      </c>
      <c r="CD67" s="32">
        <v>48</v>
      </c>
      <c r="CE67" s="32">
        <v>101.7</v>
      </c>
      <c r="CF67" s="32">
        <v>68.8</v>
      </c>
      <c r="CG67" s="32">
        <v>83</v>
      </c>
      <c r="CH67" s="32">
        <v>83.5</v>
      </c>
      <c r="CI67" s="32">
        <v>104</v>
      </c>
      <c r="CJ67" s="32">
        <v>66.5</v>
      </c>
      <c r="CK67" s="32">
        <v>92.9</v>
      </c>
      <c r="CL67" s="32">
        <v>83.5</v>
      </c>
      <c r="CM67" s="32">
        <v>96.4</v>
      </c>
      <c r="CN67" s="32">
        <v>61.6</v>
      </c>
      <c r="CO67" s="32">
        <v>106.1</v>
      </c>
      <c r="CP67" s="32">
        <v>94.3</v>
      </c>
      <c r="CQ67" s="32">
        <v>16.3</v>
      </c>
      <c r="CR67" s="32">
        <v>82.8</v>
      </c>
      <c r="CS67" s="32">
        <v>127.3</v>
      </c>
      <c r="CT67" s="32">
        <v>81.7</v>
      </c>
      <c r="CU67" s="32">
        <v>57.5</v>
      </c>
      <c r="CV67" s="32">
        <v>92.6</v>
      </c>
      <c r="CW67" s="32">
        <v>22.3</v>
      </c>
      <c r="CX67" s="32">
        <v>68.3</v>
      </c>
      <c r="CY67" s="32">
        <v>79.099999999999994</v>
      </c>
      <c r="CZ67" s="32">
        <v>62.9</v>
      </c>
      <c r="DA67" s="32">
        <v>47.1</v>
      </c>
      <c r="DB67" s="32">
        <v>98.7</v>
      </c>
      <c r="DC67" s="32">
        <v>3.3</v>
      </c>
      <c r="DD67" s="32">
        <v>3.3</v>
      </c>
      <c r="DE67" s="32">
        <v>48.2</v>
      </c>
      <c r="DF67" s="32">
        <v>41.7</v>
      </c>
      <c r="DG67" s="32">
        <v>93.1</v>
      </c>
      <c r="DH67" s="32">
        <v>75</v>
      </c>
      <c r="DI67" s="32">
        <v>102.3</v>
      </c>
      <c r="DJ67" s="32">
        <v>82.7</v>
      </c>
      <c r="DK67" s="32">
        <v>82.7</v>
      </c>
      <c r="DL67" s="32">
        <v>41.6</v>
      </c>
      <c r="DM67" s="32">
        <v>68.099999999999994</v>
      </c>
      <c r="DN67" s="32">
        <v>42.3</v>
      </c>
      <c r="DO67" s="32">
        <v>79.3</v>
      </c>
      <c r="DP67" s="32">
        <v>46.1</v>
      </c>
      <c r="DQ67" s="32">
        <v>62.1</v>
      </c>
      <c r="DR67" s="32">
        <v>66.7</v>
      </c>
      <c r="DS67" s="32">
        <v>62.1</v>
      </c>
      <c r="DT67" s="32">
        <v>59.6</v>
      </c>
      <c r="DU67" s="32">
        <v>60.1</v>
      </c>
      <c r="DV67" s="32">
        <v>62.8</v>
      </c>
      <c r="DW67" s="32">
        <v>56.9</v>
      </c>
      <c r="DX67" s="32">
        <v>58.6</v>
      </c>
      <c r="DY67" s="32">
        <v>70.400000000000006</v>
      </c>
      <c r="DZ67" s="32">
        <v>120.5</v>
      </c>
      <c r="EA67" s="32">
        <v>120.5</v>
      </c>
      <c r="EB67" s="32">
        <v>63.8</v>
      </c>
      <c r="EC67" s="32">
        <v>65.099999999999994</v>
      </c>
      <c r="ED67" s="32">
        <v>62.6</v>
      </c>
      <c r="EE67" s="32">
        <v>67.599999999999994</v>
      </c>
      <c r="EF67" s="32">
        <v>49.5</v>
      </c>
      <c r="EG67" s="32">
        <v>55.4</v>
      </c>
      <c r="EH67" s="32">
        <v>66.2</v>
      </c>
      <c r="EI67" s="32">
        <v>49.7</v>
      </c>
      <c r="EJ67" s="32">
        <v>65.5</v>
      </c>
      <c r="EK67" s="32">
        <v>52.6</v>
      </c>
      <c r="EL67" s="32">
        <v>64.599999999999994</v>
      </c>
      <c r="EM67" s="32">
        <v>40.4</v>
      </c>
      <c r="EN67" s="32">
        <v>59</v>
      </c>
      <c r="EO67" s="32">
        <v>85.9</v>
      </c>
      <c r="EP67" s="32">
        <v>88.7</v>
      </c>
      <c r="EQ67" s="32">
        <v>88.7</v>
      </c>
      <c r="ER67" s="32">
        <v>96.3</v>
      </c>
      <c r="ES67" s="32">
        <v>96.3</v>
      </c>
      <c r="ET67" s="32">
        <v>76.599999999999994</v>
      </c>
      <c r="EU67" s="32">
        <v>74.5</v>
      </c>
      <c r="EV67" s="32">
        <v>74.5</v>
      </c>
      <c r="EW67" s="32">
        <v>82</v>
      </c>
      <c r="EX67" s="32">
        <v>94.5</v>
      </c>
      <c r="EY67" s="32">
        <v>72.2</v>
      </c>
      <c r="EZ67" s="32">
        <v>84.9</v>
      </c>
      <c r="FA67" s="32">
        <v>85.8</v>
      </c>
      <c r="FB67" s="32">
        <v>92.1</v>
      </c>
      <c r="FC67" s="32">
        <v>76.7</v>
      </c>
      <c r="FD67" s="32">
        <v>100.3</v>
      </c>
      <c r="FE67" s="32">
        <v>112.3</v>
      </c>
      <c r="FF67" s="32">
        <v>78.2</v>
      </c>
      <c r="FG67" s="32">
        <v>85.3</v>
      </c>
      <c r="FH67" s="32">
        <v>81.7</v>
      </c>
      <c r="FI67" s="32">
        <v>101.3</v>
      </c>
      <c r="FJ67" s="32">
        <v>84.6</v>
      </c>
      <c r="FK67" s="32">
        <v>76.8</v>
      </c>
      <c r="FL67" s="32">
        <v>76.8</v>
      </c>
    </row>
    <row r="68" spans="1:168" x14ac:dyDescent="0.2">
      <c r="A68" s="34" t="s">
        <v>1048</v>
      </c>
      <c r="B68" s="32">
        <v>74.599999999999994</v>
      </c>
      <c r="C68" s="32">
        <v>101.9</v>
      </c>
      <c r="D68" s="32">
        <v>99.2</v>
      </c>
      <c r="E68" s="32">
        <v>98.2</v>
      </c>
      <c r="F68" s="32">
        <v>299.5</v>
      </c>
      <c r="G68" s="32">
        <v>8470.6</v>
      </c>
      <c r="H68" s="32">
        <v>369.7</v>
      </c>
      <c r="I68" s="32">
        <v>66.8</v>
      </c>
      <c r="J68" s="32">
        <v>81.3</v>
      </c>
      <c r="K68" s="32">
        <v>89.4</v>
      </c>
      <c r="L68" s="32">
        <v>89.1</v>
      </c>
      <c r="M68" s="32">
        <v>100</v>
      </c>
      <c r="N68" s="32">
        <v>62.4</v>
      </c>
      <c r="O68" s="32">
        <v>176.1</v>
      </c>
      <c r="P68" s="32">
        <v>320.10000000000002</v>
      </c>
      <c r="Q68" s="32">
        <v>91.3</v>
      </c>
      <c r="R68" s="32">
        <v>78.2</v>
      </c>
      <c r="S68" s="32">
        <v>116</v>
      </c>
      <c r="T68" s="32">
        <v>58.3</v>
      </c>
      <c r="U68" s="32">
        <v>39.299999999999997</v>
      </c>
      <c r="V68" s="32">
        <v>114.2</v>
      </c>
      <c r="W68" s="32">
        <v>47.1</v>
      </c>
      <c r="X68" s="32">
        <v>37.9</v>
      </c>
      <c r="Y68" s="32">
        <v>50.9</v>
      </c>
      <c r="Z68" s="32">
        <v>118.4</v>
      </c>
      <c r="AA68" s="32">
        <v>68.2</v>
      </c>
      <c r="AB68" s="32">
        <v>71.5</v>
      </c>
      <c r="AC68" s="32">
        <v>61.6</v>
      </c>
      <c r="AD68" s="32">
        <v>77</v>
      </c>
      <c r="AE68" s="32">
        <v>152.19999999999999</v>
      </c>
      <c r="AF68" s="32">
        <v>152.19999999999999</v>
      </c>
      <c r="AG68" s="32">
        <v>53.4</v>
      </c>
      <c r="AH68" s="32">
        <v>53.4</v>
      </c>
      <c r="AI68" s="32">
        <v>269.7</v>
      </c>
      <c r="AJ68" s="32">
        <v>27.4</v>
      </c>
      <c r="AK68" s="32">
        <v>811.5</v>
      </c>
      <c r="AL68" s="32">
        <v>100.4</v>
      </c>
      <c r="AM68" s="32">
        <v>33.6</v>
      </c>
      <c r="AN68" s="32">
        <v>95.4</v>
      </c>
      <c r="AO68" s="32">
        <v>112.5</v>
      </c>
      <c r="AP68" s="32">
        <v>112.5</v>
      </c>
      <c r="AQ68" s="32">
        <v>101.7</v>
      </c>
      <c r="AR68" s="32">
        <v>100.2</v>
      </c>
      <c r="AS68" s="32">
        <v>105.1</v>
      </c>
      <c r="AT68" s="32">
        <v>125.5</v>
      </c>
      <c r="AU68" s="32">
        <v>85.4</v>
      </c>
      <c r="AV68" s="32">
        <v>109</v>
      </c>
      <c r="AW68" s="32">
        <v>163.80000000000001</v>
      </c>
      <c r="AX68" s="32">
        <v>140.30000000000001</v>
      </c>
      <c r="AY68" s="32">
        <v>339.7</v>
      </c>
      <c r="AZ68" s="32">
        <v>98.9</v>
      </c>
      <c r="BA68" s="32">
        <v>43.3</v>
      </c>
      <c r="BB68" s="32">
        <v>43.3</v>
      </c>
      <c r="BC68" s="32">
        <v>122.2</v>
      </c>
      <c r="BD68" s="32">
        <v>122.2</v>
      </c>
      <c r="BE68" s="32">
        <v>100.9</v>
      </c>
      <c r="BF68" s="32">
        <v>100.9</v>
      </c>
      <c r="BG68" s="32">
        <v>73.3</v>
      </c>
      <c r="BH68" s="32">
        <v>66.400000000000006</v>
      </c>
      <c r="BI68" s="32">
        <v>76.400000000000006</v>
      </c>
      <c r="BJ68" s="32">
        <v>38.1</v>
      </c>
      <c r="BK68" s="32">
        <v>102.4</v>
      </c>
      <c r="BL68" s="32">
        <v>20.5</v>
      </c>
      <c r="BM68" s="32">
        <v>86.1</v>
      </c>
      <c r="BN68" s="32">
        <v>86.3</v>
      </c>
      <c r="BO68" s="32">
        <v>97.6</v>
      </c>
      <c r="BP68" s="32">
        <v>77.7</v>
      </c>
      <c r="BQ68" s="32">
        <v>86.6</v>
      </c>
      <c r="BR68" s="32">
        <v>70.400000000000006</v>
      </c>
      <c r="BS68" s="32">
        <v>203.6</v>
      </c>
      <c r="BT68" s="32">
        <v>64.2</v>
      </c>
      <c r="BU68" s="32">
        <v>122.9</v>
      </c>
      <c r="BV68" s="32">
        <v>122.9</v>
      </c>
      <c r="BW68" s="32">
        <v>153.80000000000001</v>
      </c>
      <c r="BX68" s="32">
        <v>98.2</v>
      </c>
      <c r="BY68" s="32">
        <v>112.8</v>
      </c>
      <c r="BZ68" s="32">
        <v>114.2</v>
      </c>
      <c r="CA68" s="32">
        <v>112.6</v>
      </c>
      <c r="CB68" s="32">
        <v>123.6</v>
      </c>
      <c r="CC68" s="32">
        <v>109.2</v>
      </c>
      <c r="CD68" s="32">
        <v>46.8</v>
      </c>
      <c r="CE68" s="32">
        <v>101</v>
      </c>
      <c r="CF68" s="32">
        <v>68.7</v>
      </c>
      <c r="CG68" s="32">
        <v>82.2</v>
      </c>
      <c r="CH68" s="32">
        <v>82.7</v>
      </c>
      <c r="CI68" s="32">
        <v>107.6</v>
      </c>
      <c r="CJ68" s="32">
        <v>63.4</v>
      </c>
      <c r="CK68" s="32">
        <v>93.3</v>
      </c>
      <c r="CL68" s="32">
        <v>81.3</v>
      </c>
      <c r="CM68" s="32">
        <v>95.1</v>
      </c>
      <c r="CN68" s="32">
        <v>61</v>
      </c>
      <c r="CO68" s="32">
        <v>104.7</v>
      </c>
      <c r="CP68" s="32">
        <v>93.5</v>
      </c>
      <c r="CQ68" s="32">
        <v>17.100000000000001</v>
      </c>
      <c r="CR68" s="32">
        <v>83.9</v>
      </c>
      <c r="CS68" s="32">
        <v>108.6</v>
      </c>
      <c r="CT68" s="32">
        <v>83</v>
      </c>
      <c r="CU68" s="32">
        <v>59.9</v>
      </c>
      <c r="CV68" s="32">
        <v>93.4</v>
      </c>
      <c r="CW68" s="32">
        <v>22.7</v>
      </c>
      <c r="CX68" s="32">
        <v>69.400000000000006</v>
      </c>
      <c r="CY68" s="32">
        <v>77.599999999999994</v>
      </c>
      <c r="CZ68" s="32">
        <v>66.099999999999994</v>
      </c>
      <c r="DA68" s="32">
        <v>50.2</v>
      </c>
      <c r="DB68" s="32">
        <v>101.4</v>
      </c>
      <c r="DC68" s="32">
        <v>3.3</v>
      </c>
      <c r="DD68" s="32">
        <v>3.3</v>
      </c>
      <c r="DE68" s="32">
        <v>50</v>
      </c>
      <c r="DF68" s="32">
        <v>42.4</v>
      </c>
      <c r="DG68" s="32">
        <v>104.5</v>
      </c>
      <c r="DH68" s="32">
        <v>74.900000000000006</v>
      </c>
      <c r="DI68" s="32">
        <v>103</v>
      </c>
      <c r="DJ68" s="32">
        <v>81</v>
      </c>
      <c r="DK68" s="32">
        <v>81</v>
      </c>
      <c r="DL68" s="32">
        <v>41.8</v>
      </c>
      <c r="DM68" s="32">
        <v>67.7</v>
      </c>
      <c r="DN68" s="32">
        <v>42.9</v>
      </c>
      <c r="DO68" s="32">
        <v>78.599999999999994</v>
      </c>
      <c r="DP68" s="32">
        <v>46.3</v>
      </c>
      <c r="DQ68" s="32">
        <v>62</v>
      </c>
      <c r="DR68" s="32">
        <v>66.099999999999994</v>
      </c>
      <c r="DS68" s="32">
        <v>61.5</v>
      </c>
      <c r="DT68" s="32">
        <v>58.9</v>
      </c>
      <c r="DU68" s="32">
        <v>59.1</v>
      </c>
      <c r="DV68" s="32">
        <v>62.5</v>
      </c>
      <c r="DW68" s="32">
        <v>55.2</v>
      </c>
      <c r="DX68" s="32">
        <v>58.3</v>
      </c>
      <c r="DY68" s="32">
        <v>70</v>
      </c>
      <c r="DZ68" s="32">
        <v>117</v>
      </c>
      <c r="EA68" s="32">
        <v>117</v>
      </c>
      <c r="EB68" s="32">
        <v>64.5</v>
      </c>
      <c r="EC68" s="32">
        <v>66.2</v>
      </c>
      <c r="ED68" s="32">
        <v>62.5</v>
      </c>
      <c r="EE68" s="32">
        <v>67.599999999999994</v>
      </c>
      <c r="EF68" s="32">
        <v>49.2</v>
      </c>
      <c r="EG68" s="32">
        <v>56</v>
      </c>
      <c r="EH68" s="32">
        <v>68.5</v>
      </c>
      <c r="EI68" s="32">
        <v>48.5</v>
      </c>
      <c r="EJ68" s="32">
        <v>68.7</v>
      </c>
      <c r="EK68" s="32">
        <v>53.2</v>
      </c>
      <c r="EL68" s="32">
        <v>68.099999999999994</v>
      </c>
      <c r="EM68" s="32">
        <v>41.2</v>
      </c>
      <c r="EN68" s="32">
        <v>58.8</v>
      </c>
      <c r="EO68" s="32">
        <v>85.8</v>
      </c>
      <c r="EP68" s="32">
        <v>88.2</v>
      </c>
      <c r="EQ68" s="32">
        <v>88.2</v>
      </c>
      <c r="ER68" s="32">
        <v>96.5</v>
      </c>
      <c r="ES68" s="32">
        <v>96.5</v>
      </c>
      <c r="ET68" s="32">
        <v>76.5</v>
      </c>
      <c r="EU68" s="32">
        <v>74.3</v>
      </c>
      <c r="EV68" s="32">
        <v>74.3</v>
      </c>
      <c r="EW68" s="32">
        <v>82.2</v>
      </c>
      <c r="EX68" s="32">
        <v>94.4</v>
      </c>
      <c r="EY68" s="32">
        <v>72.599999999999994</v>
      </c>
      <c r="EZ68" s="32">
        <v>87</v>
      </c>
      <c r="FA68" s="32">
        <v>88.1</v>
      </c>
      <c r="FB68" s="32">
        <v>95.9</v>
      </c>
      <c r="FC68" s="32">
        <v>83.8</v>
      </c>
      <c r="FD68" s="32">
        <v>100.2</v>
      </c>
      <c r="FE68" s="32">
        <v>111.3</v>
      </c>
      <c r="FF68" s="32">
        <v>78.7</v>
      </c>
      <c r="FG68" s="32">
        <v>87.7</v>
      </c>
      <c r="FH68" s="32">
        <v>82.9</v>
      </c>
      <c r="FI68" s="32">
        <v>110</v>
      </c>
      <c r="FJ68" s="32">
        <v>86.7</v>
      </c>
      <c r="FK68" s="32">
        <v>75.3</v>
      </c>
      <c r="FL68" s="32">
        <v>75.3</v>
      </c>
    </row>
    <row r="69" spans="1:168" x14ac:dyDescent="0.2">
      <c r="A69" s="34" t="s">
        <v>1049</v>
      </c>
      <c r="B69" s="32">
        <v>75</v>
      </c>
      <c r="C69" s="32">
        <v>101.7</v>
      </c>
      <c r="D69" s="32">
        <v>97.5</v>
      </c>
      <c r="E69" s="32">
        <v>96.1</v>
      </c>
      <c r="F69" s="32">
        <v>307.5</v>
      </c>
      <c r="G69" s="32">
        <v>7880.3</v>
      </c>
      <c r="H69" s="32">
        <v>384.2</v>
      </c>
      <c r="I69" s="32">
        <v>64.099999999999994</v>
      </c>
      <c r="J69" s="32">
        <v>79.2</v>
      </c>
      <c r="K69" s="32">
        <v>88.7</v>
      </c>
      <c r="L69" s="32">
        <v>87.7</v>
      </c>
      <c r="M69" s="32">
        <v>101</v>
      </c>
      <c r="N69" s="32">
        <v>62.6</v>
      </c>
      <c r="O69" s="32">
        <v>178.1</v>
      </c>
      <c r="P69" s="32">
        <v>323.39999999999998</v>
      </c>
      <c r="Q69" s="32">
        <v>92.6</v>
      </c>
      <c r="R69" s="32">
        <v>75.8</v>
      </c>
      <c r="S69" s="32">
        <v>111.6</v>
      </c>
      <c r="T69" s="32">
        <v>59</v>
      </c>
      <c r="U69" s="32">
        <v>41</v>
      </c>
      <c r="V69" s="32">
        <v>116.9</v>
      </c>
      <c r="W69" s="32">
        <v>46.5</v>
      </c>
      <c r="X69" s="32">
        <v>37.5</v>
      </c>
      <c r="Y69" s="32">
        <v>50.4</v>
      </c>
      <c r="Z69" s="32">
        <v>114.6</v>
      </c>
      <c r="AA69" s="32">
        <v>67.3</v>
      </c>
      <c r="AB69" s="32">
        <v>72.900000000000006</v>
      </c>
      <c r="AC69" s="32">
        <v>59</v>
      </c>
      <c r="AD69" s="32">
        <v>76.3</v>
      </c>
      <c r="AE69" s="32">
        <v>155.4</v>
      </c>
      <c r="AF69" s="32">
        <v>155.4</v>
      </c>
      <c r="AG69" s="32">
        <v>54.6</v>
      </c>
      <c r="AH69" s="32">
        <v>54.6</v>
      </c>
      <c r="AI69" s="32">
        <v>276.60000000000002</v>
      </c>
      <c r="AJ69" s="32">
        <v>27.8</v>
      </c>
      <c r="AK69" s="32">
        <v>935.3</v>
      </c>
      <c r="AL69" s="32">
        <v>99.9</v>
      </c>
      <c r="AM69" s="32">
        <v>34.4</v>
      </c>
      <c r="AN69" s="32">
        <v>92.3</v>
      </c>
      <c r="AO69" s="32">
        <v>99.1</v>
      </c>
      <c r="AP69" s="32">
        <v>99.1</v>
      </c>
      <c r="AQ69" s="32">
        <v>98.2</v>
      </c>
      <c r="AR69" s="32">
        <v>97.7</v>
      </c>
      <c r="AS69" s="32">
        <v>99.9</v>
      </c>
      <c r="AT69" s="32">
        <v>120.7</v>
      </c>
      <c r="AU69" s="32">
        <v>79.8</v>
      </c>
      <c r="AV69" s="32">
        <v>107</v>
      </c>
      <c r="AW69" s="32">
        <v>156.4</v>
      </c>
      <c r="AX69" s="32">
        <v>145.80000000000001</v>
      </c>
      <c r="AY69" s="32">
        <v>304.5</v>
      </c>
      <c r="AZ69" s="32">
        <v>98.1</v>
      </c>
      <c r="BA69" s="32">
        <v>42.8</v>
      </c>
      <c r="BB69" s="32">
        <v>42.8</v>
      </c>
      <c r="BC69" s="32">
        <v>119.6</v>
      </c>
      <c r="BD69" s="32">
        <v>119.6</v>
      </c>
      <c r="BE69" s="32">
        <v>95.3</v>
      </c>
      <c r="BF69" s="32">
        <v>95.3</v>
      </c>
      <c r="BG69" s="32">
        <v>72.099999999999994</v>
      </c>
      <c r="BH69" s="32">
        <v>61.7</v>
      </c>
      <c r="BI69" s="32">
        <v>80</v>
      </c>
      <c r="BJ69" s="32">
        <v>37.9</v>
      </c>
      <c r="BK69" s="32">
        <v>108.6</v>
      </c>
      <c r="BL69" s="32">
        <v>20.6</v>
      </c>
      <c r="BM69" s="32">
        <v>83.1</v>
      </c>
      <c r="BN69" s="32">
        <v>80.099999999999994</v>
      </c>
      <c r="BO69" s="32">
        <v>91.4</v>
      </c>
      <c r="BP69" s="32">
        <v>71.599999999999994</v>
      </c>
      <c r="BQ69" s="32">
        <v>88.3</v>
      </c>
      <c r="BR69" s="32">
        <v>63.5</v>
      </c>
      <c r="BS69" s="32">
        <v>239.2</v>
      </c>
      <c r="BT69" s="32">
        <v>61.8</v>
      </c>
      <c r="BU69" s="32">
        <v>111.8</v>
      </c>
      <c r="BV69" s="32">
        <v>111.8</v>
      </c>
      <c r="BW69" s="32">
        <v>137.69999999999999</v>
      </c>
      <c r="BX69" s="32">
        <v>94.1</v>
      </c>
      <c r="BY69" s="32">
        <v>113.2</v>
      </c>
      <c r="BZ69" s="32">
        <v>117.6</v>
      </c>
      <c r="CA69" s="32">
        <v>111.5</v>
      </c>
      <c r="CB69" s="32">
        <v>125.4</v>
      </c>
      <c r="CC69" s="32">
        <v>104.9</v>
      </c>
      <c r="CD69" s="32">
        <v>43.6</v>
      </c>
      <c r="CE69" s="32">
        <v>101</v>
      </c>
      <c r="CF69" s="32">
        <v>69.7</v>
      </c>
      <c r="CG69" s="32">
        <v>84.4</v>
      </c>
      <c r="CH69" s="32">
        <v>85.8</v>
      </c>
      <c r="CI69" s="32">
        <v>108.4</v>
      </c>
      <c r="CJ69" s="32">
        <v>68.900000000000006</v>
      </c>
      <c r="CK69" s="32">
        <v>94.4</v>
      </c>
      <c r="CL69" s="32">
        <v>82.8</v>
      </c>
      <c r="CM69" s="32">
        <v>94.7</v>
      </c>
      <c r="CN69" s="32">
        <v>60.6</v>
      </c>
      <c r="CO69" s="32">
        <v>104.3</v>
      </c>
      <c r="CP69" s="32">
        <v>94.1</v>
      </c>
      <c r="CQ69" s="32">
        <v>17.100000000000001</v>
      </c>
      <c r="CR69" s="32">
        <v>85.1</v>
      </c>
      <c r="CS69" s="32">
        <v>119.6</v>
      </c>
      <c r="CT69" s="32">
        <v>82.7</v>
      </c>
      <c r="CU69" s="32">
        <v>60</v>
      </c>
      <c r="CV69" s="32">
        <v>92.8</v>
      </c>
      <c r="CW69" s="32">
        <v>23</v>
      </c>
      <c r="CX69" s="32">
        <v>69.400000000000006</v>
      </c>
      <c r="CY69" s="32">
        <v>80.7</v>
      </c>
      <c r="CZ69" s="32">
        <v>63.6</v>
      </c>
      <c r="DA69" s="32">
        <v>46.8</v>
      </c>
      <c r="DB69" s="32">
        <v>102.4</v>
      </c>
      <c r="DC69" s="32">
        <v>3.4</v>
      </c>
      <c r="DD69" s="32">
        <v>3.4</v>
      </c>
      <c r="DE69" s="32">
        <v>50.2</v>
      </c>
      <c r="DF69" s="32">
        <v>43.8</v>
      </c>
      <c r="DG69" s="32">
        <v>94.8</v>
      </c>
      <c r="DH69" s="32">
        <v>75.599999999999994</v>
      </c>
      <c r="DI69" s="32">
        <v>104.9</v>
      </c>
      <c r="DJ69" s="32">
        <v>80.7</v>
      </c>
      <c r="DK69" s="32">
        <v>80.7</v>
      </c>
      <c r="DL69" s="32">
        <v>41.3</v>
      </c>
      <c r="DM69" s="32">
        <v>67.7</v>
      </c>
      <c r="DN69" s="32">
        <v>42.6</v>
      </c>
      <c r="DO69" s="32">
        <v>78.599999999999994</v>
      </c>
      <c r="DP69" s="32">
        <v>47.3</v>
      </c>
      <c r="DQ69" s="32">
        <v>64.5</v>
      </c>
      <c r="DR69" s="32">
        <v>68.5</v>
      </c>
      <c r="DS69" s="32">
        <v>63.2</v>
      </c>
      <c r="DT69" s="32">
        <v>60.4</v>
      </c>
      <c r="DU69" s="32">
        <v>61.4</v>
      </c>
      <c r="DV69" s="32">
        <v>63.1</v>
      </c>
      <c r="DW69" s="32">
        <v>59.3</v>
      </c>
      <c r="DX69" s="32">
        <v>58.3</v>
      </c>
      <c r="DY69" s="32">
        <v>72.099999999999994</v>
      </c>
      <c r="DZ69" s="32">
        <v>123.3</v>
      </c>
      <c r="EA69" s="32">
        <v>123.3</v>
      </c>
      <c r="EB69" s="32">
        <v>67.599999999999994</v>
      </c>
      <c r="EC69" s="32">
        <v>67.900000000000006</v>
      </c>
      <c r="ED69" s="32">
        <v>67.7</v>
      </c>
      <c r="EE69" s="32">
        <v>74.5</v>
      </c>
      <c r="EF69" s="32">
        <v>49.8</v>
      </c>
      <c r="EG69" s="32">
        <v>58.7</v>
      </c>
      <c r="EH69" s="32">
        <v>71</v>
      </c>
      <c r="EI69" s="32">
        <v>50.5</v>
      </c>
      <c r="EJ69" s="32">
        <v>67.900000000000006</v>
      </c>
      <c r="EK69" s="32">
        <v>57.2</v>
      </c>
      <c r="EL69" s="32">
        <v>68.3</v>
      </c>
      <c r="EM69" s="32">
        <v>44.6</v>
      </c>
      <c r="EN69" s="32">
        <v>63.8</v>
      </c>
      <c r="EO69" s="32">
        <v>86.1</v>
      </c>
      <c r="EP69" s="32">
        <v>89</v>
      </c>
      <c r="EQ69" s="32">
        <v>89</v>
      </c>
      <c r="ER69" s="32">
        <v>96.5</v>
      </c>
      <c r="ES69" s="32">
        <v>96.5</v>
      </c>
      <c r="ET69" s="32">
        <v>76.599999999999994</v>
      </c>
      <c r="EU69" s="32">
        <v>74.2</v>
      </c>
      <c r="EV69" s="32">
        <v>74.2</v>
      </c>
      <c r="EW69" s="32">
        <v>82.8</v>
      </c>
      <c r="EX69" s="32">
        <v>94.7</v>
      </c>
      <c r="EY69" s="32">
        <v>73.5</v>
      </c>
      <c r="EZ69" s="32">
        <v>85.3</v>
      </c>
      <c r="FA69" s="32">
        <v>86.9</v>
      </c>
      <c r="FB69" s="32">
        <v>95.2</v>
      </c>
      <c r="FC69" s="32">
        <v>82.8</v>
      </c>
      <c r="FD69" s="32">
        <v>100.7</v>
      </c>
      <c r="FE69" s="32">
        <v>110.6</v>
      </c>
      <c r="FF69" s="32">
        <v>76.7</v>
      </c>
      <c r="FG69" s="32">
        <v>85.3</v>
      </c>
      <c r="FH69" s="32">
        <v>86.2</v>
      </c>
      <c r="FI69" s="32">
        <v>92.5</v>
      </c>
      <c r="FJ69" s="32">
        <v>84</v>
      </c>
      <c r="FK69" s="32">
        <v>76.400000000000006</v>
      </c>
      <c r="FL69" s="32">
        <v>76.400000000000006</v>
      </c>
    </row>
    <row r="70" spans="1:168" x14ac:dyDescent="0.2">
      <c r="A70" s="34" t="s">
        <v>1050</v>
      </c>
      <c r="B70" s="32">
        <v>75.5</v>
      </c>
      <c r="C70" s="32">
        <v>100.5</v>
      </c>
      <c r="D70" s="32">
        <v>99.8</v>
      </c>
      <c r="E70" s="32">
        <v>99.1</v>
      </c>
      <c r="F70" s="32">
        <v>320.5</v>
      </c>
      <c r="G70" s="32">
        <v>7595</v>
      </c>
      <c r="H70" s="32">
        <v>403.5</v>
      </c>
      <c r="I70" s="32">
        <v>63.8</v>
      </c>
      <c r="J70" s="32">
        <v>82.1</v>
      </c>
      <c r="K70" s="32">
        <v>89.5</v>
      </c>
      <c r="L70" s="32">
        <v>88.7</v>
      </c>
      <c r="M70" s="32">
        <v>96.5</v>
      </c>
      <c r="N70" s="32">
        <v>64</v>
      </c>
      <c r="O70" s="32">
        <v>184.8</v>
      </c>
      <c r="P70" s="32">
        <v>311.10000000000002</v>
      </c>
      <c r="Q70" s="32">
        <v>93</v>
      </c>
      <c r="R70" s="32">
        <v>77.3</v>
      </c>
      <c r="S70" s="32">
        <v>116.1</v>
      </c>
      <c r="T70" s="32">
        <v>61.7</v>
      </c>
      <c r="U70" s="32">
        <v>39.1</v>
      </c>
      <c r="V70" s="32">
        <v>118.1</v>
      </c>
      <c r="W70" s="32">
        <v>47.1</v>
      </c>
      <c r="X70" s="32">
        <v>38</v>
      </c>
      <c r="Y70" s="32">
        <v>51.3</v>
      </c>
      <c r="Z70" s="32">
        <v>114.3</v>
      </c>
      <c r="AA70" s="32">
        <v>70</v>
      </c>
      <c r="AB70" s="32">
        <v>74.3</v>
      </c>
      <c r="AC70" s="32">
        <v>63.8</v>
      </c>
      <c r="AD70" s="32">
        <v>78.099999999999994</v>
      </c>
      <c r="AE70" s="32">
        <v>154.4</v>
      </c>
      <c r="AF70" s="32">
        <v>154.4</v>
      </c>
      <c r="AG70" s="32">
        <v>55.5</v>
      </c>
      <c r="AH70" s="32">
        <v>55.5</v>
      </c>
      <c r="AI70" s="32">
        <v>274.10000000000002</v>
      </c>
      <c r="AJ70" s="32">
        <v>26.1</v>
      </c>
      <c r="AK70" s="32">
        <v>1007.6</v>
      </c>
      <c r="AL70" s="32">
        <v>101.3</v>
      </c>
      <c r="AM70" s="32">
        <v>36.5</v>
      </c>
      <c r="AN70" s="32">
        <v>98.5</v>
      </c>
      <c r="AO70" s="32">
        <v>108.6</v>
      </c>
      <c r="AP70" s="32">
        <v>108.6</v>
      </c>
      <c r="AQ70" s="32">
        <v>100.5</v>
      </c>
      <c r="AR70" s="32">
        <v>99.7</v>
      </c>
      <c r="AS70" s="32">
        <v>102.8</v>
      </c>
      <c r="AT70" s="32">
        <v>125.6</v>
      </c>
      <c r="AU70" s="32">
        <v>80.7</v>
      </c>
      <c r="AV70" s="32">
        <v>108.5</v>
      </c>
      <c r="AW70" s="32">
        <v>163.30000000000001</v>
      </c>
      <c r="AX70" s="32">
        <v>153.69999999999999</v>
      </c>
      <c r="AY70" s="32">
        <v>315</v>
      </c>
      <c r="AZ70" s="32">
        <v>98.6</v>
      </c>
      <c r="BA70" s="32">
        <v>45</v>
      </c>
      <c r="BB70" s="32">
        <v>45</v>
      </c>
      <c r="BC70" s="32">
        <v>128</v>
      </c>
      <c r="BD70" s="32">
        <v>128</v>
      </c>
      <c r="BE70" s="32">
        <v>101.6</v>
      </c>
      <c r="BF70" s="32">
        <v>101.6</v>
      </c>
      <c r="BG70" s="32">
        <v>76.099999999999994</v>
      </c>
      <c r="BH70" s="32">
        <v>65.2</v>
      </c>
      <c r="BI70" s="32">
        <v>84.4</v>
      </c>
      <c r="BJ70" s="32">
        <v>37.799999999999997</v>
      </c>
      <c r="BK70" s="32">
        <v>116.1</v>
      </c>
      <c r="BL70" s="32">
        <v>20</v>
      </c>
      <c r="BM70" s="32">
        <v>86</v>
      </c>
      <c r="BN70" s="32">
        <v>81.400000000000006</v>
      </c>
      <c r="BO70" s="32">
        <v>92.8</v>
      </c>
      <c r="BP70" s="32">
        <v>72.900000000000006</v>
      </c>
      <c r="BQ70" s="32">
        <v>93.7</v>
      </c>
      <c r="BR70" s="32">
        <v>71.900000000000006</v>
      </c>
      <c r="BS70" s="32">
        <v>256.89999999999998</v>
      </c>
      <c r="BT70" s="32">
        <v>64.5</v>
      </c>
      <c r="BU70" s="32">
        <v>112.6</v>
      </c>
      <c r="BV70" s="32">
        <v>112.6</v>
      </c>
      <c r="BW70" s="32">
        <v>138.1</v>
      </c>
      <c r="BX70" s="32">
        <v>96.5</v>
      </c>
      <c r="BY70" s="32">
        <v>110.9</v>
      </c>
      <c r="BZ70" s="32">
        <v>114.9</v>
      </c>
      <c r="CA70" s="32">
        <v>109.3</v>
      </c>
      <c r="CB70" s="32">
        <v>122.4</v>
      </c>
      <c r="CC70" s="32">
        <v>103.5</v>
      </c>
      <c r="CD70" s="32">
        <v>41.1</v>
      </c>
      <c r="CE70" s="32">
        <v>100.8</v>
      </c>
      <c r="CF70" s="32">
        <v>69.8</v>
      </c>
      <c r="CG70" s="32">
        <v>83.6</v>
      </c>
      <c r="CH70" s="32">
        <v>84.3</v>
      </c>
      <c r="CI70" s="32">
        <v>107.6</v>
      </c>
      <c r="CJ70" s="32">
        <v>66.7</v>
      </c>
      <c r="CK70" s="32">
        <v>93.6</v>
      </c>
      <c r="CL70" s="32">
        <v>82.7</v>
      </c>
      <c r="CM70" s="32">
        <v>94.9</v>
      </c>
      <c r="CN70" s="32">
        <v>60.5</v>
      </c>
      <c r="CO70" s="32">
        <v>104.5</v>
      </c>
      <c r="CP70" s="32">
        <v>93.4</v>
      </c>
      <c r="CQ70" s="32">
        <v>17.2</v>
      </c>
      <c r="CR70" s="32">
        <v>84</v>
      </c>
      <c r="CS70" s="32">
        <v>120.1</v>
      </c>
      <c r="CT70" s="32">
        <v>83.4</v>
      </c>
      <c r="CU70" s="32">
        <v>59.9</v>
      </c>
      <c r="CV70" s="32">
        <v>94</v>
      </c>
      <c r="CW70" s="32">
        <v>23.4</v>
      </c>
      <c r="CX70" s="32">
        <v>74</v>
      </c>
      <c r="CY70" s="32">
        <v>81.400000000000006</v>
      </c>
      <c r="CZ70" s="32">
        <v>71.5</v>
      </c>
      <c r="DA70" s="32">
        <v>56.3</v>
      </c>
      <c r="DB70" s="32">
        <v>104</v>
      </c>
      <c r="DC70" s="32">
        <v>3.4</v>
      </c>
      <c r="DD70" s="32">
        <v>3.4</v>
      </c>
      <c r="DE70" s="32">
        <v>50.8</v>
      </c>
      <c r="DF70" s="32">
        <v>44.3</v>
      </c>
      <c r="DG70" s="32">
        <v>96.3</v>
      </c>
      <c r="DH70" s="32">
        <v>76.3</v>
      </c>
      <c r="DI70" s="32">
        <v>105.7</v>
      </c>
      <c r="DJ70" s="32">
        <v>79.5</v>
      </c>
      <c r="DK70" s="32">
        <v>79.5</v>
      </c>
      <c r="DL70" s="32">
        <v>44.1</v>
      </c>
      <c r="DM70" s="32">
        <v>67.5</v>
      </c>
      <c r="DN70" s="32">
        <v>43.7</v>
      </c>
      <c r="DO70" s="32">
        <v>77.900000000000006</v>
      </c>
      <c r="DP70" s="32">
        <v>47</v>
      </c>
      <c r="DQ70" s="32">
        <v>65.400000000000006</v>
      </c>
      <c r="DR70" s="32">
        <v>69.900000000000006</v>
      </c>
      <c r="DS70" s="32">
        <v>64.599999999999994</v>
      </c>
      <c r="DT70" s="32">
        <v>61.3</v>
      </c>
      <c r="DU70" s="32">
        <v>63.1</v>
      </c>
      <c r="DV70" s="32">
        <v>66.900000000000006</v>
      </c>
      <c r="DW70" s="32">
        <v>58.5</v>
      </c>
      <c r="DX70" s="32">
        <v>57.6</v>
      </c>
      <c r="DY70" s="32">
        <v>75.099999999999994</v>
      </c>
      <c r="DZ70" s="32">
        <v>126.3</v>
      </c>
      <c r="EA70" s="32">
        <v>126.3</v>
      </c>
      <c r="EB70" s="32">
        <v>68.599999999999994</v>
      </c>
      <c r="EC70" s="32">
        <v>68.599999999999994</v>
      </c>
      <c r="ED70" s="32">
        <v>69.2</v>
      </c>
      <c r="EE70" s="32">
        <v>76.5</v>
      </c>
      <c r="EF70" s="32">
        <v>50</v>
      </c>
      <c r="EG70" s="32">
        <v>58.9</v>
      </c>
      <c r="EH70" s="32">
        <v>71.400000000000006</v>
      </c>
      <c r="EI70" s="32">
        <v>51.7</v>
      </c>
      <c r="EJ70" s="32">
        <v>61.9</v>
      </c>
      <c r="EK70" s="32">
        <v>57.3</v>
      </c>
      <c r="EL70" s="32">
        <v>66.900000000000006</v>
      </c>
      <c r="EM70" s="32">
        <v>42.1</v>
      </c>
      <c r="EN70" s="32">
        <v>66.2</v>
      </c>
      <c r="EO70" s="32">
        <v>86</v>
      </c>
      <c r="EP70" s="32">
        <v>89</v>
      </c>
      <c r="EQ70" s="32">
        <v>89</v>
      </c>
      <c r="ER70" s="32">
        <v>96.2</v>
      </c>
      <c r="ES70" s="32">
        <v>96.2</v>
      </c>
      <c r="ET70" s="32">
        <v>76.7</v>
      </c>
      <c r="EU70" s="32">
        <v>74.2</v>
      </c>
      <c r="EV70" s="32">
        <v>74.2</v>
      </c>
      <c r="EW70" s="32">
        <v>83.3</v>
      </c>
      <c r="EX70" s="32">
        <v>94.8</v>
      </c>
      <c r="EY70" s="32">
        <v>74.2</v>
      </c>
      <c r="EZ70" s="32">
        <v>86.3</v>
      </c>
      <c r="FA70" s="32">
        <v>87.3</v>
      </c>
      <c r="FB70" s="32">
        <v>96.8</v>
      </c>
      <c r="FC70" s="32">
        <v>85.6</v>
      </c>
      <c r="FD70" s="32">
        <v>100.9</v>
      </c>
      <c r="FE70" s="32">
        <v>110.1</v>
      </c>
      <c r="FF70" s="32">
        <v>75.900000000000006</v>
      </c>
      <c r="FG70" s="32">
        <v>87.1</v>
      </c>
      <c r="FH70" s="32">
        <v>89</v>
      </c>
      <c r="FI70" s="32">
        <v>93.2</v>
      </c>
      <c r="FJ70" s="32">
        <v>85.5</v>
      </c>
      <c r="FK70" s="32">
        <v>74.400000000000006</v>
      </c>
      <c r="FL70" s="32">
        <v>74.400000000000006</v>
      </c>
    </row>
    <row r="71" spans="1:168" x14ac:dyDescent="0.2">
      <c r="A71" s="34" t="s">
        <v>1051</v>
      </c>
      <c r="B71" s="32">
        <v>73.8</v>
      </c>
      <c r="C71" s="32">
        <v>99.9</v>
      </c>
      <c r="D71" s="32">
        <v>95.9</v>
      </c>
      <c r="E71" s="32">
        <v>94</v>
      </c>
      <c r="F71" s="32">
        <v>308.89999999999998</v>
      </c>
      <c r="G71" s="32">
        <v>6972.6</v>
      </c>
      <c r="H71" s="32">
        <v>391.8</v>
      </c>
      <c r="I71" s="32">
        <v>58.7</v>
      </c>
      <c r="J71" s="32">
        <v>76.7</v>
      </c>
      <c r="K71" s="32">
        <v>87.1</v>
      </c>
      <c r="L71" s="32">
        <v>86.2</v>
      </c>
      <c r="M71" s="32">
        <v>99.7</v>
      </c>
      <c r="N71" s="32">
        <v>61.1</v>
      </c>
      <c r="O71" s="32">
        <v>175.5</v>
      </c>
      <c r="P71" s="32">
        <v>302.89999999999998</v>
      </c>
      <c r="Q71" s="32">
        <v>94.7</v>
      </c>
      <c r="R71" s="32">
        <v>76.400000000000006</v>
      </c>
      <c r="S71" s="32">
        <v>109.1</v>
      </c>
      <c r="T71" s="32">
        <v>59.9</v>
      </c>
      <c r="U71" s="32">
        <v>38.200000000000003</v>
      </c>
      <c r="V71" s="32">
        <v>116</v>
      </c>
      <c r="W71" s="32">
        <v>42.8</v>
      </c>
      <c r="X71" s="32">
        <v>34.6</v>
      </c>
      <c r="Y71" s="32">
        <v>45.9</v>
      </c>
      <c r="Z71" s="32">
        <v>107.5</v>
      </c>
      <c r="AA71" s="32">
        <v>64.900000000000006</v>
      </c>
      <c r="AB71" s="32">
        <v>68</v>
      </c>
      <c r="AC71" s="32">
        <v>60.2</v>
      </c>
      <c r="AD71" s="32">
        <v>71.900000000000006</v>
      </c>
      <c r="AE71" s="32">
        <v>156</v>
      </c>
      <c r="AF71" s="32">
        <v>156</v>
      </c>
      <c r="AG71" s="32">
        <v>53</v>
      </c>
      <c r="AH71" s="32">
        <v>53</v>
      </c>
      <c r="AI71" s="32">
        <v>261.5</v>
      </c>
      <c r="AJ71" s="32">
        <v>25.6</v>
      </c>
      <c r="AK71" s="32">
        <v>990.2</v>
      </c>
      <c r="AL71" s="32">
        <v>94.5</v>
      </c>
      <c r="AM71" s="32">
        <v>34.5</v>
      </c>
      <c r="AN71" s="32">
        <v>86.8</v>
      </c>
      <c r="AO71" s="32">
        <v>106.4</v>
      </c>
      <c r="AP71" s="32">
        <v>106.4</v>
      </c>
      <c r="AQ71" s="32">
        <v>90.5</v>
      </c>
      <c r="AR71" s="32">
        <v>88.7</v>
      </c>
      <c r="AS71" s="32">
        <v>94.4</v>
      </c>
      <c r="AT71" s="32">
        <v>113.1</v>
      </c>
      <c r="AU71" s="32">
        <v>76.3</v>
      </c>
      <c r="AV71" s="32">
        <v>98.2</v>
      </c>
      <c r="AW71" s="32">
        <v>150.5</v>
      </c>
      <c r="AX71" s="32">
        <v>134.5</v>
      </c>
      <c r="AY71" s="32">
        <v>301.8</v>
      </c>
      <c r="AZ71" s="32">
        <v>88.6</v>
      </c>
      <c r="BA71" s="32">
        <v>43.6</v>
      </c>
      <c r="BB71" s="32">
        <v>43.6</v>
      </c>
      <c r="BC71" s="32">
        <v>116</v>
      </c>
      <c r="BD71" s="32">
        <v>116</v>
      </c>
      <c r="BE71" s="32">
        <v>91.4</v>
      </c>
      <c r="BF71" s="32">
        <v>91.4</v>
      </c>
      <c r="BG71" s="32">
        <v>68.7</v>
      </c>
      <c r="BH71" s="32">
        <v>50.1</v>
      </c>
      <c r="BI71" s="32">
        <v>88.3</v>
      </c>
      <c r="BJ71" s="32">
        <v>38.1</v>
      </c>
      <c r="BK71" s="32">
        <v>123.9</v>
      </c>
      <c r="BL71" s="32">
        <v>16.5</v>
      </c>
      <c r="BM71" s="32">
        <v>81.599999999999994</v>
      </c>
      <c r="BN71" s="32">
        <v>74.2</v>
      </c>
      <c r="BO71" s="32">
        <v>84.6</v>
      </c>
      <c r="BP71" s="32">
        <v>66.3</v>
      </c>
      <c r="BQ71" s="32">
        <v>93.6</v>
      </c>
      <c r="BR71" s="32">
        <v>69.599999999999994</v>
      </c>
      <c r="BS71" s="32">
        <v>267.2</v>
      </c>
      <c r="BT71" s="32">
        <v>63.2</v>
      </c>
      <c r="BU71" s="32">
        <v>119.7</v>
      </c>
      <c r="BV71" s="32">
        <v>119.7</v>
      </c>
      <c r="BW71" s="32">
        <v>151.6</v>
      </c>
      <c r="BX71" s="32">
        <v>91.8</v>
      </c>
      <c r="BY71" s="32">
        <v>109.3</v>
      </c>
      <c r="BZ71" s="32">
        <v>113</v>
      </c>
      <c r="CA71" s="32">
        <v>107.9</v>
      </c>
      <c r="CB71" s="32">
        <v>120.5</v>
      </c>
      <c r="CC71" s="32">
        <v>102.7</v>
      </c>
      <c r="CD71" s="32">
        <v>38.9</v>
      </c>
      <c r="CE71" s="32">
        <v>101.2</v>
      </c>
      <c r="CF71" s="32">
        <v>68.5</v>
      </c>
      <c r="CG71" s="32">
        <v>81.099999999999994</v>
      </c>
      <c r="CH71" s="32">
        <v>80.900000000000006</v>
      </c>
      <c r="CI71" s="32">
        <v>101.3</v>
      </c>
      <c r="CJ71" s="32">
        <v>62.4</v>
      </c>
      <c r="CK71" s="32">
        <v>91.7</v>
      </c>
      <c r="CL71" s="32">
        <v>81.099999999999994</v>
      </c>
      <c r="CM71" s="32">
        <v>92.3</v>
      </c>
      <c r="CN71" s="32">
        <v>60</v>
      </c>
      <c r="CO71" s="32">
        <v>101.4</v>
      </c>
      <c r="CP71" s="32">
        <v>92.6</v>
      </c>
      <c r="CQ71" s="32">
        <v>17.600000000000001</v>
      </c>
      <c r="CR71" s="32">
        <v>83.6</v>
      </c>
      <c r="CS71" s="32">
        <v>114.9</v>
      </c>
      <c r="CT71" s="32">
        <v>84.2</v>
      </c>
      <c r="CU71" s="32">
        <v>59.1</v>
      </c>
      <c r="CV71" s="32">
        <v>95.5</v>
      </c>
      <c r="CW71" s="32">
        <v>21.9</v>
      </c>
      <c r="CX71" s="32">
        <v>67.2</v>
      </c>
      <c r="CY71" s="32">
        <v>80.3</v>
      </c>
      <c r="CZ71" s="32">
        <v>59.9</v>
      </c>
      <c r="DA71" s="32">
        <v>42.4</v>
      </c>
      <c r="DB71" s="32">
        <v>101.6</v>
      </c>
      <c r="DC71" s="32">
        <v>3.4</v>
      </c>
      <c r="DD71" s="32">
        <v>3.4</v>
      </c>
      <c r="DE71" s="32">
        <v>43.9</v>
      </c>
      <c r="DF71" s="32">
        <v>38.299999999999997</v>
      </c>
      <c r="DG71" s="32">
        <v>82.6</v>
      </c>
      <c r="DH71" s="32">
        <v>76.599999999999994</v>
      </c>
      <c r="DI71" s="32">
        <v>107.1</v>
      </c>
      <c r="DJ71" s="32">
        <v>78.099999999999994</v>
      </c>
      <c r="DK71" s="32">
        <v>78.099999999999994</v>
      </c>
      <c r="DL71" s="32">
        <v>44.4</v>
      </c>
      <c r="DM71" s="32">
        <v>67.599999999999994</v>
      </c>
      <c r="DN71" s="32">
        <v>44.3</v>
      </c>
      <c r="DO71" s="32">
        <v>77.8</v>
      </c>
      <c r="DP71" s="32">
        <v>47.3</v>
      </c>
      <c r="DQ71" s="32">
        <v>62.4</v>
      </c>
      <c r="DR71" s="32">
        <v>67.400000000000006</v>
      </c>
      <c r="DS71" s="32">
        <v>62.7</v>
      </c>
      <c r="DT71" s="32">
        <v>58.8</v>
      </c>
      <c r="DU71" s="32">
        <v>59.1</v>
      </c>
      <c r="DV71" s="32">
        <v>62.9</v>
      </c>
      <c r="DW71" s="32">
        <v>54.6</v>
      </c>
      <c r="DX71" s="32">
        <v>58.1</v>
      </c>
      <c r="DY71" s="32">
        <v>75.3</v>
      </c>
      <c r="DZ71" s="32">
        <v>118.8</v>
      </c>
      <c r="EA71" s="32">
        <v>118.8</v>
      </c>
      <c r="EB71" s="32">
        <v>65.5</v>
      </c>
      <c r="EC71" s="32">
        <v>67.400000000000006</v>
      </c>
      <c r="ED71" s="32">
        <v>63.3</v>
      </c>
      <c r="EE71" s="32">
        <v>68.2</v>
      </c>
      <c r="EF71" s="32">
        <v>50.1</v>
      </c>
      <c r="EG71" s="32">
        <v>55.1</v>
      </c>
      <c r="EH71" s="32">
        <v>69.3</v>
      </c>
      <c r="EI71" s="32">
        <v>45</v>
      </c>
      <c r="EJ71" s="32">
        <v>62.7</v>
      </c>
      <c r="EK71" s="32">
        <v>54.2</v>
      </c>
      <c r="EL71" s="32">
        <v>69.7</v>
      </c>
      <c r="EM71" s="32">
        <v>41.5</v>
      </c>
      <c r="EN71" s="32">
        <v>60.2</v>
      </c>
      <c r="EO71" s="32">
        <v>86.1</v>
      </c>
      <c r="EP71" s="32">
        <v>89.4</v>
      </c>
      <c r="EQ71" s="32">
        <v>89.4</v>
      </c>
      <c r="ER71" s="32">
        <v>95.9</v>
      </c>
      <c r="ES71" s="32">
        <v>95.9</v>
      </c>
      <c r="ET71" s="32">
        <v>76.900000000000006</v>
      </c>
      <c r="EU71" s="32">
        <v>74.400000000000006</v>
      </c>
      <c r="EV71" s="32">
        <v>74.400000000000006</v>
      </c>
      <c r="EW71" s="32">
        <v>83.5</v>
      </c>
      <c r="EX71" s="32">
        <v>94.9</v>
      </c>
      <c r="EY71" s="32">
        <v>74.599999999999994</v>
      </c>
      <c r="EZ71" s="32">
        <v>86.2</v>
      </c>
      <c r="FA71" s="32">
        <v>89</v>
      </c>
      <c r="FB71" s="32">
        <v>98.4</v>
      </c>
      <c r="FC71" s="32">
        <v>87.6</v>
      </c>
      <c r="FD71" s="32">
        <v>102</v>
      </c>
      <c r="FE71" s="32">
        <v>111.3</v>
      </c>
      <c r="FF71" s="32">
        <v>77.599999999999994</v>
      </c>
      <c r="FG71" s="32">
        <v>85.9</v>
      </c>
      <c r="FH71" s="32">
        <v>91.9</v>
      </c>
      <c r="FI71" s="32">
        <v>78</v>
      </c>
      <c r="FJ71" s="32">
        <v>84.4</v>
      </c>
      <c r="FK71" s="32">
        <v>72.400000000000006</v>
      </c>
      <c r="FL71" s="32">
        <v>72.400000000000006</v>
      </c>
    </row>
    <row r="72" spans="1:168" x14ac:dyDescent="0.2">
      <c r="A72" s="34" t="s">
        <v>1052</v>
      </c>
      <c r="B72" s="32">
        <v>75.099999999999994</v>
      </c>
      <c r="C72" s="32">
        <v>99.5</v>
      </c>
      <c r="D72" s="32">
        <v>100.7</v>
      </c>
      <c r="E72" s="32">
        <v>100.2</v>
      </c>
      <c r="F72" s="32">
        <v>274</v>
      </c>
      <c r="G72" s="32">
        <v>7364.5</v>
      </c>
      <c r="H72" s="32">
        <v>339.7</v>
      </c>
      <c r="I72" s="32">
        <v>59.9</v>
      </c>
      <c r="J72" s="32">
        <v>85</v>
      </c>
      <c r="K72" s="32">
        <v>94</v>
      </c>
      <c r="L72" s="32">
        <v>92.2</v>
      </c>
      <c r="M72" s="32">
        <v>97.7</v>
      </c>
      <c r="N72" s="32">
        <v>63.8</v>
      </c>
      <c r="O72" s="32">
        <v>161.30000000000001</v>
      </c>
      <c r="P72" s="32">
        <v>311.3</v>
      </c>
      <c r="Q72" s="32">
        <v>90.9</v>
      </c>
      <c r="R72" s="32">
        <v>95.8</v>
      </c>
      <c r="S72" s="32">
        <v>117.1</v>
      </c>
      <c r="T72" s="32">
        <v>58.1</v>
      </c>
      <c r="U72" s="32">
        <v>38.1</v>
      </c>
      <c r="V72" s="32">
        <v>132</v>
      </c>
      <c r="W72" s="32">
        <v>55.2</v>
      </c>
      <c r="X72" s="32">
        <v>41.3</v>
      </c>
      <c r="Y72" s="32">
        <v>67.5</v>
      </c>
      <c r="Z72" s="32">
        <v>122.8</v>
      </c>
      <c r="AA72" s="32">
        <v>74.2</v>
      </c>
      <c r="AB72" s="32">
        <v>64</v>
      </c>
      <c r="AC72" s="32">
        <v>71.599999999999994</v>
      </c>
      <c r="AD72" s="32">
        <v>86.1</v>
      </c>
      <c r="AE72" s="32">
        <v>151.19999999999999</v>
      </c>
      <c r="AF72" s="32">
        <v>151.19999999999999</v>
      </c>
      <c r="AG72" s="32">
        <v>65.8</v>
      </c>
      <c r="AH72" s="32">
        <v>65.8</v>
      </c>
      <c r="AI72" s="32">
        <v>228.8</v>
      </c>
      <c r="AJ72" s="32">
        <v>48.7</v>
      </c>
      <c r="AK72" s="32">
        <v>1075.4000000000001</v>
      </c>
      <c r="AL72" s="32">
        <v>98.3</v>
      </c>
      <c r="AM72" s="32">
        <v>36.700000000000003</v>
      </c>
      <c r="AN72" s="32">
        <v>71.7</v>
      </c>
      <c r="AO72" s="32">
        <v>107.7</v>
      </c>
      <c r="AP72" s="32">
        <v>107.7</v>
      </c>
      <c r="AQ72" s="32">
        <v>99.5</v>
      </c>
      <c r="AR72" s="32">
        <v>87.9</v>
      </c>
      <c r="AS72" s="32">
        <v>120</v>
      </c>
      <c r="AT72" s="32">
        <v>139.9</v>
      </c>
      <c r="AU72" s="32">
        <v>101.1</v>
      </c>
      <c r="AV72" s="32">
        <v>109.6</v>
      </c>
      <c r="AW72" s="32">
        <v>189.2</v>
      </c>
      <c r="AX72" s="32">
        <v>151.69999999999999</v>
      </c>
      <c r="AY72" s="32">
        <v>407.3</v>
      </c>
      <c r="AZ72" s="32">
        <v>94.6</v>
      </c>
      <c r="BA72" s="32">
        <v>49.3</v>
      </c>
      <c r="BB72" s="32">
        <v>49.3</v>
      </c>
      <c r="BC72" s="32">
        <v>108.6</v>
      </c>
      <c r="BD72" s="32">
        <v>108.6</v>
      </c>
      <c r="BE72" s="32">
        <v>95.4</v>
      </c>
      <c r="BF72" s="32">
        <v>95.4</v>
      </c>
      <c r="BG72" s="32">
        <v>76.099999999999994</v>
      </c>
      <c r="BH72" s="32">
        <v>57</v>
      </c>
      <c r="BI72" s="32">
        <v>95.8</v>
      </c>
      <c r="BJ72" s="32">
        <v>38.299999999999997</v>
      </c>
      <c r="BK72" s="32">
        <v>129.19999999999999</v>
      </c>
      <c r="BL72" s="32">
        <v>33.700000000000003</v>
      </c>
      <c r="BM72" s="32">
        <v>93.9</v>
      </c>
      <c r="BN72" s="32">
        <v>91</v>
      </c>
      <c r="BO72" s="32">
        <v>94.2</v>
      </c>
      <c r="BP72" s="32">
        <v>88.8</v>
      </c>
      <c r="BQ72" s="32">
        <v>99.1</v>
      </c>
      <c r="BR72" s="32">
        <v>65.900000000000006</v>
      </c>
      <c r="BS72" s="32">
        <v>272.5</v>
      </c>
      <c r="BT72" s="32">
        <v>69.400000000000006</v>
      </c>
      <c r="BU72" s="32">
        <v>113.3</v>
      </c>
      <c r="BV72" s="32">
        <v>113.3</v>
      </c>
      <c r="BW72" s="32">
        <v>142</v>
      </c>
      <c r="BX72" s="32">
        <v>90.7</v>
      </c>
      <c r="BY72" s="32">
        <v>109.7</v>
      </c>
      <c r="BZ72" s="32">
        <v>115.6</v>
      </c>
      <c r="CA72" s="32">
        <v>107.2</v>
      </c>
      <c r="CB72" s="32">
        <v>122.6</v>
      </c>
      <c r="CC72" s="32">
        <v>97.9</v>
      </c>
      <c r="CD72" s="32">
        <v>53.5</v>
      </c>
      <c r="CE72" s="32">
        <v>101.2</v>
      </c>
      <c r="CF72" s="32">
        <v>69.099999999999994</v>
      </c>
      <c r="CG72" s="32">
        <v>83.2</v>
      </c>
      <c r="CH72" s="32">
        <v>83.9</v>
      </c>
      <c r="CI72" s="32">
        <v>104.6</v>
      </c>
      <c r="CJ72" s="32">
        <v>67.7</v>
      </c>
      <c r="CK72" s="32">
        <v>92.4</v>
      </c>
      <c r="CL72" s="32">
        <v>82.1</v>
      </c>
      <c r="CM72" s="32">
        <v>92.2</v>
      </c>
      <c r="CN72" s="32">
        <v>58.1</v>
      </c>
      <c r="CO72" s="32">
        <v>101.8</v>
      </c>
      <c r="CP72" s="32">
        <v>90.5</v>
      </c>
      <c r="CQ72" s="32">
        <v>17.399999999999999</v>
      </c>
      <c r="CR72" s="32">
        <v>81.2</v>
      </c>
      <c r="CS72" s="32">
        <v>129</v>
      </c>
      <c r="CT72" s="32">
        <v>83.9</v>
      </c>
      <c r="CU72" s="32">
        <v>62</v>
      </c>
      <c r="CV72" s="32">
        <v>93.7</v>
      </c>
      <c r="CW72" s="32">
        <v>23.3</v>
      </c>
      <c r="CX72" s="32">
        <v>68.3</v>
      </c>
      <c r="CY72" s="32">
        <v>80.5</v>
      </c>
      <c r="CZ72" s="32">
        <v>61.8</v>
      </c>
      <c r="DA72" s="32">
        <v>45.2</v>
      </c>
      <c r="DB72" s="32">
        <v>100</v>
      </c>
      <c r="DC72" s="32">
        <v>3.6</v>
      </c>
      <c r="DD72" s="32">
        <v>3.6</v>
      </c>
      <c r="DE72" s="32">
        <v>49.1</v>
      </c>
      <c r="DF72" s="32">
        <v>43.1</v>
      </c>
      <c r="DG72" s="32">
        <v>90</v>
      </c>
      <c r="DH72" s="32">
        <v>74.900000000000006</v>
      </c>
      <c r="DI72" s="32">
        <v>106.3</v>
      </c>
      <c r="DJ72" s="32">
        <v>76</v>
      </c>
      <c r="DK72" s="32">
        <v>76</v>
      </c>
      <c r="DL72" s="32">
        <v>41.1</v>
      </c>
      <c r="DM72" s="32">
        <v>66.900000000000006</v>
      </c>
      <c r="DN72" s="32">
        <v>43.7</v>
      </c>
      <c r="DO72" s="32">
        <v>77.099999999999994</v>
      </c>
      <c r="DP72" s="32">
        <v>46</v>
      </c>
      <c r="DQ72" s="32">
        <v>63.3</v>
      </c>
      <c r="DR72" s="32">
        <v>68.2</v>
      </c>
      <c r="DS72" s="32">
        <v>62.9</v>
      </c>
      <c r="DT72" s="32">
        <v>59.1</v>
      </c>
      <c r="DU72" s="32">
        <v>59.9</v>
      </c>
      <c r="DV72" s="32">
        <v>62.7</v>
      </c>
      <c r="DW72" s="32">
        <v>56.5</v>
      </c>
      <c r="DX72" s="32">
        <v>57.5</v>
      </c>
      <c r="DY72" s="32">
        <v>75.099999999999994</v>
      </c>
      <c r="DZ72" s="32">
        <v>125.9</v>
      </c>
      <c r="EA72" s="32">
        <v>125.9</v>
      </c>
      <c r="EB72" s="32">
        <v>66.599999999999994</v>
      </c>
      <c r="EC72" s="32">
        <v>68.400000000000006</v>
      </c>
      <c r="ED72" s="32">
        <v>64.7</v>
      </c>
      <c r="EE72" s="32">
        <v>70.3</v>
      </c>
      <c r="EF72" s="32">
        <v>50</v>
      </c>
      <c r="EG72" s="32">
        <v>56.1</v>
      </c>
      <c r="EH72" s="32">
        <v>69.7</v>
      </c>
      <c r="EI72" s="32">
        <v>46.5</v>
      </c>
      <c r="EJ72" s="32">
        <v>63.7</v>
      </c>
      <c r="EK72" s="32">
        <v>55</v>
      </c>
      <c r="EL72" s="32">
        <v>74.7</v>
      </c>
      <c r="EM72" s="32">
        <v>41.5</v>
      </c>
      <c r="EN72" s="32">
        <v>60.9</v>
      </c>
      <c r="EO72" s="32">
        <v>85.5</v>
      </c>
      <c r="EP72" s="32">
        <v>88.4</v>
      </c>
      <c r="EQ72" s="32">
        <v>88.4</v>
      </c>
      <c r="ER72" s="32">
        <v>95</v>
      </c>
      <c r="ES72" s="32">
        <v>95</v>
      </c>
      <c r="ET72" s="32">
        <v>76.7</v>
      </c>
      <c r="EU72" s="32">
        <v>74.3</v>
      </c>
      <c r="EV72" s="32">
        <v>74.3</v>
      </c>
      <c r="EW72" s="32">
        <v>83.2</v>
      </c>
      <c r="EX72" s="32">
        <v>94.4</v>
      </c>
      <c r="EY72" s="32">
        <v>74.3</v>
      </c>
      <c r="EZ72" s="32">
        <v>86.7</v>
      </c>
      <c r="FA72" s="32">
        <v>89.3</v>
      </c>
      <c r="FB72" s="32">
        <v>94.6</v>
      </c>
      <c r="FC72" s="32">
        <v>80.2</v>
      </c>
      <c r="FD72" s="32">
        <v>102.5</v>
      </c>
      <c r="FE72" s="32">
        <v>112.7</v>
      </c>
      <c r="FF72" s="32">
        <v>82.7</v>
      </c>
      <c r="FG72" s="32">
        <v>86.1</v>
      </c>
      <c r="FH72" s="32">
        <v>92.5</v>
      </c>
      <c r="FI72" s="32">
        <v>79.3</v>
      </c>
      <c r="FJ72" s="32">
        <v>84.3</v>
      </c>
      <c r="FK72" s="32">
        <v>76.900000000000006</v>
      </c>
      <c r="FL72" s="32">
        <v>76.900000000000006</v>
      </c>
    </row>
    <row r="73" spans="1:168" x14ac:dyDescent="0.2">
      <c r="A73" s="34" t="s">
        <v>1053</v>
      </c>
      <c r="B73" s="32">
        <v>75.400000000000006</v>
      </c>
      <c r="C73" s="32">
        <v>99.8</v>
      </c>
      <c r="D73" s="32">
        <v>100.8</v>
      </c>
      <c r="E73" s="32">
        <v>100</v>
      </c>
      <c r="F73" s="32">
        <v>281.3</v>
      </c>
      <c r="G73" s="32">
        <v>7585.3</v>
      </c>
      <c r="H73" s="32">
        <v>350.8</v>
      </c>
      <c r="I73" s="32">
        <v>59.1</v>
      </c>
      <c r="J73" s="32">
        <v>84.7</v>
      </c>
      <c r="K73" s="32">
        <v>95.3</v>
      </c>
      <c r="L73" s="32">
        <v>93.2</v>
      </c>
      <c r="M73" s="32">
        <v>98.2</v>
      </c>
      <c r="N73" s="32">
        <v>65.5</v>
      </c>
      <c r="O73" s="32">
        <v>164</v>
      </c>
      <c r="P73" s="32">
        <v>305.3</v>
      </c>
      <c r="Q73" s="32">
        <v>93.7</v>
      </c>
      <c r="R73" s="32">
        <v>95.8</v>
      </c>
      <c r="S73" s="32">
        <v>119.6</v>
      </c>
      <c r="T73" s="32">
        <v>57.6</v>
      </c>
      <c r="U73" s="32">
        <v>39.6</v>
      </c>
      <c r="V73" s="32">
        <v>134.69999999999999</v>
      </c>
      <c r="W73" s="32">
        <v>53</v>
      </c>
      <c r="X73" s="32">
        <v>40.700000000000003</v>
      </c>
      <c r="Y73" s="32">
        <v>61.4</v>
      </c>
      <c r="Z73" s="32">
        <v>128.5</v>
      </c>
      <c r="AA73" s="32">
        <v>74.400000000000006</v>
      </c>
      <c r="AB73" s="32">
        <v>63.5</v>
      </c>
      <c r="AC73" s="32">
        <v>72.5</v>
      </c>
      <c r="AD73" s="32">
        <v>86.1</v>
      </c>
      <c r="AE73" s="32">
        <v>143.69999999999999</v>
      </c>
      <c r="AF73" s="32">
        <v>143.69999999999999</v>
      </c>
      <c r="AG73" s="32">
        <v>65.8</v>
      </c>
      <c r="AH73" s="32">
        <v>65.8</v>
      </c>
      <c r="AI73" s="32">
        <v>245.4</v>
      </c>
      <c r="AJ73" s="32">
        <v>45.9</v>
      </c>
      <c r="AK73" s="32">
        <v>1111.3</v>
      </c>
      <c r="AL73" s="32">
        <v>96.9</v>
      </c>
      <c r="AM73" s="32">
        <v>37.6</v>
      </c>
      <c r="AN73" s="32">
        <v>75.2</v>
      </c>
      <c r="AO73" s="32">
        <v>101.2</v>
      </c>
      <c r="AP73" s="32">
        <v>101.2</v>
      </c>
      <c r="AQ73" s="32">
        <v>99.5</v>
      </c>
      <c r="AR73" s="32">
        <v>88.9</v>
      </c>
      <c r="AS73" s="32">
        <v>118.4</v>
      </c>
      <c r="AT73" s="32">
        <v>137.30000000000001</v>
      </c>
      <c r="AU73" s="32">
        <v>100.5</v>
      </c>
      <c r="AV73" s="32">
        <v>107.8</v>
      </c>
      <c r="AW73" s="32">
        <v>182.6</v>
      </c>
      <c r="AX73" s="32">
        <v>135.80000000000001</v>
      </c>
      <c r="AY73" s="32">
        <v>410.3</v>
      </c>
      <c r="AZ73" s="32">
        <v>93.7</v>
      </c>
      <c r="BA73" s="32">
        <v>46.8</v>
      </c>
      <c r="BB73" s="32">
        <v>46.8</v>
      </c>
      <c r="BC73" s="32">
        <v>112</v>
      </c>
      <c r="BD73" s="32">
        <v>112</v>
      </c>
      <c r="BE73" s="32">
        <v>97.3</v>
      </c>
      <c r="BF73" s="32">
        <v>97.3</v>
      </c>
      <c r="BG73" s="32">
        <v>81.400000000000006</v>
      </c>
      <c r="BH73" s="32">
        <v>64.2</v>
      </c>
      <c r="BI73" s="32">
        <v>98.1</v>
      </c>
      <c r="BJ73" s="32">
        <v>39.1</v>
      </c>
      <c r="BK73" s="32">
        <v>132.5</v>
      </c>
      <c r="BL73" s="32">
        <v>34.200000000000003</v>
      </c>
      <c r="BM73" s="32">
        <v>91</v>
      </c>
      <c r="BN73" s="32">
        <v>88.6</v>
      </c>
      <c r="BO73" s="32">
        <v>93.8</v>
      </c>
      <c r="BP73" s="32">
        <v>84.8</v>
      </c>
      <c r="BQ73" s="32">
        <v>95.4</v>
      </c>
      <c r="BR73" s="32">
        <v>67.7</v>
      </c>
      <c r="BS73" s="32">
        <v>274.60000000000002</v>
      </c>
      <c r="BT73" s="32">
        <v>64.599999999999994</v>
      </c>
      <c r="BU73" s="32">
        <v>110.2</v>
      </c>
      <c r="BV73" s="32">
        <v>110.2</v>
      </c>
      <c r="BW73" s="32">
        <v>139</v>
      </c>
      <c r="BX73" s="32">
        <v>86.5</v>
      </c>
      <c r="BY73" s="32">
        <v>109.8</v>
      </c>
      <c r="BZ73" s="32">
        <v>116</v>
      </c>
      <c r="CA73" s="32">
        <v>107.1</v>
      </c>
      <c r="CB73" s="32">
        <v>124.5</v>
      </c>
      <c r="CC73" s="32">
        <v>95.6</v>
      </c>
      <c r="CD73" s="32">
        <v>52.6</v>
      </c>
      <c r="CE73" s="32">
        <v>102</v>
      </c>
      <c r="CF73" s="32">
        <v>69.400000000000006</v>
      </c>
      <c r="CG73" s="32">
        <v>83.2</v>
      </c>
      <c r="CH73" s="32">
        <v>83.1</v>
      </c>
      <c r="CI73" s="32">
        <v>108.4</v>
      </c>
      <c r="CJ73" s="32">
        <v>65.2</v>
      </c>
      <c r="CK73" s="32">
        <v>92.1</v>
      </c>
      <c r="CL73" s="32">
        <v>83.1</v>
      </c>
      <c r="CM73" s="32">
        <v>92.1</v>
      </c>
      <c r="CN73" s="32">
        <v>57.3</v>
      </c>
      <c r="CO73" s="32">
        <v>101.9</v>
      </c>
      <c r="CP73" s="32">
        <v>89.7</v>
      </c>
      <c r="CQ73" s="32">
        <v>17.899999999999999</v>
      </c>
      <c r="CR73" s="32">
        <v>82.5</v>
      </c>
      <c r="CS73" s="32">
        <v>133</v>
      </c>
      <c r="CT73" s="32">
        <v>86</v>
      </c>
      <c r="CU73" s="32">
        <v>61.9</v>
      </c>
      <c r="CV73" s="32">
        <v>96.8</v>
      </c>
      <c r="CW73" s="32">
        <v>23.5</v>
      </c>
      <c r="CX73" s="32">
        <v>69.3</v>
      </c>
      <c r="CY73" s="32">
        <v>82.2</v>
      </c>
      <c r="CZ73" s="32">
        <v>62.4</v>
      </c>
      <c r="DA73" s="32">
        <v>45.9</v>
      </c>
      <c r="DB73" s="32">
        <v>100.4</v>
      </c>
      <c r="DC73" s="32">
        <v>3.7</v>
      </c>
      <c r="DD73" s="32">
        <v>3.7</v>
      </c>
      <c r="DE73" s="32">
        <v>48.9</v>
      </c>
      <c r="DF73" s="32">
        <v>43.3</v>
      </c>
      <c r="DG73" s="32">
        <v>87.1</v>
      </c>
      <c r="DH73" s="32">
        <v>76.099999999999994</v>
      </c>
      <c r="DI73" s="32">
        <v>107.7</v>
      </c>
      <c r="DJ73" s="32">
        <v>75.2</v>
      </c>
      <c r="DK73" s="32">
        <v>75.2</v>
      </c>
      <c r="DL73" s="32">
        <v>44.1</v>
      </c>
      <c r="DM73" s="32">
        <v>67.099999999999994</v>
      </c>
      <c r="DN73" s="32">
        <v>43.9</v>
      </c>
      <c r="DO73" s="32">
        <v>77.3</v>
      </c>
      <c r="DP73" s="32">
        <v>46.1</v>
      </c>
      <c r="DQ73" s="32">
        <v>64.2</v>
      </c>
      <c r="DR73" s="32">
        <v>69.5</v>
      </c>
      <c r="DS73" s="32">
        <v>65</v>
      </c>
      <c r="DT73" s="32">
        <v>60.7</v>
      </c>
      <c r="DU73" s="32">
        <v>62</v>
      </c>
      <c r="DV73" s="32">
        <v>65.400000000000006</v>
      </c>
      <c r="DW73" s="32">
        <v>57.8</v>
      </c>
      <c r="DX73" s="32">
        <v>58</v>
      </c>
      <c r="DY73" s="32">
        <v>78.599999999999994</v>
      </c>
      <c r="DZ73" s="32">
        <v>119.8</v>
      </c>
      <c r="EA73" s="32">
        <v>119.8</v>
      </c>
      <c r="EB73" s="32">
        <v>67.400000000000006</v>
      </c>
      <c r="EC73" s="32">
        <v>69</v>
      </c>
      <c r="ED73" s="32">
        <v>65.7</v>
      </c>
      <c r="EE73" s="32">
        <v>71.5</v>
      </c>
      <c r="EF73" s="32">
        <v>50.1</v>
      </c>
      <c r="EG73" s="32">
        <v>56.6</v>
      </c>
      <c r="EH73" s="32">
        <v>69</v>
      </c>
      <c r="EI73" s="32">
        <v>49.6</v>
      </c>
      <c r="EJ73" s="32">
        <v>60.7</v>
      </c>
      <c r="EK73" s="32">
        <v>54.8</v>
      </c>
      <c r="EL73" s="32">
        <v>73.599999999999994</v>
      </c>
      <c r="EM73" s="32">
        <v>41</v>
      </c>
      <c r="EN73" s="32">
        <v>61.1</v>
      </c>
      <c r="EO73" s="32">
        <v>85.3</v>
      </c>
      <c r="EP73" s="32">
        <v>88</v>
      </c>
      <c r="EQ73" s="32">
        <v>88</v>
      </c>
      <c r="ER73" s="32">
        <v>94.6</v>
      </c>
      <c r="ES73" s="32">
        <v>94.6</v>
      </c>
      <c r="ET73" s="32">
        <v>76.900000000000006</v>
      </c>
      <c r="EU73" s="32">
        <v>74.5</v>
      </c>
      <c r="EV73" s="32">
        <v>74.5</v>
      </c>
      <c r="EW73" s="32">
        <v>83.1</v>
      </c>
      <c r="EX73" s="32">
        <v>94.2</v>
      </c>
      <c r="EY73" s="32">
        <v>74.400000000000006</v>
      </c>
      <c r="EZ73" s="32">
        <v>88.4</v>
      </c>
      <c r="FA73" s="32">
        <v>91.8</v>
      </c>
      <c r="FB73" s="32">
        <v>98.3</v>
      </c>
      <c r="FC73" s="32">
        <v>85.5</v>
      </c>
      <c r="FD73" s="32">
        <v>102.7</v>
      </c>
      <c r="FE73" s="32">
        <v>115</v>
      </c>
      <c r="FF73" s="32">
        <v>83.9</v>
      </c>
      <c r="FG73" s="32">
        <v>87.5</v>
      </c>
      <c r="FH73" s="32">
        <v>91.9</v>
      </c>
      <c r="FI73" s="32">
        <v>83.6</v>
      </c>
      <c r="FJ73" s="32">
        <v>86.1</v>
      </c>
      <c r="FK73" s="32">
        <v>75.5</v>
      </c>
      <c r="FL73" s="32">
        <v>75.5</v>
      </c>
    </row>
    <row r="74" spans="1:168" x14ac:dyDescent="0.2">
      <c r="A74" s="34" t="s">
        <v>1054</v>
      </c>
      <c r="B74" s="32">
        <v>75.7</v>
      </c>
      <c r="C74" s="32">
        <v>99.9</v>
      </c>
      <c r="D74" s="32">
        <v>102.1</v>
      </c>
      <c r="E74" s="32">
        <v>101.5</v>
      </c>
      <c r="F74" s="32">
        <v>298.89999999999998</v>
      </c>
      <c r="G74" s="32">
        <v>7901.7</v>
      </c>
      <c r="H74" s="32">
        <v>376.3</v>
      </c>
      <c r="I74" s="32">
        <v>58.9</v>
      </c>
      <c r="J74" s="32">
        <v>85.4</v>
      </c>
      <c r="K74" s="32">
        <v>95</v>
      </c>
      <c r="L74" s="32">
        <v>93</v>
      </c>
      <c r="M74" s="32">
        <v>97.8</v>
      </c>
      <c r="N74" s="32">
        <v>65.400000000000006</v>
      </c>
      <c r="O74" s="32">
        <v>162</v>
      </c>
      <c r="P74" s="32">
        <v>307.39999999999998</v>
      </c>
      <c r="Q74" s="32">
        <v>95.1</v>
      </c>
      <c r="R74" s="32">
        <v>95</v>
      </c>
      <c r="S74" s="32">
        <v>119.1</v>
      </c>
      <c r="T74" s="32">
        <v>58.1</v>
      </c>
      <c r="U74" s="32">
        <v>41.8</v>
      </c>
      <c r="V74" s="32">
        <v>132.6</v>
      </c>
      <c r="W74" s="32">
        <v>51.1</v>
      </c>
      <c r="X74" s="32">
        <v>40.4</v>
      </c>
      <c r="Y74" s="32">
        <v>58.7</v>
      </c>
      <c r="Z74" s="32">
        <v>110.4</v>
      </c>
      <c r="AA74" s="32">
        <v>72.599999999999994</v>
      </c>
      <c r="AB74" s="32">
        <v>65.3</v>
      </c>
      <c r="AC74" s="32">
        <v>71.400000000000006</v>
      </c>
      <c r="AD74" s="32">
        <v>82.1</v>
      </c>
      <c r="AE74" s="32">
        <v>143.80000000000001</v>
      </c>
      <c r="AF74" s="32">
        <v>143.80000000000001</v>
      </c>
      <c r="AG74" s="32">
        <v>65.400000000000006</v>
      </c>
      <c r="AH74" s="32">
        <v>65.400000000000006</v>
      </c>
      <c r="AI74" s="32">
        <v>234.4</v>
      </c>
      <c r="AJ74" s="32">
        <v>44.6</v>
      </c>
      <c r="AK74" s="32">
        <v>1133.9000000000001</v>
      </c>
      <c r="AL74" s="32">
        <v>94.5</v>
      </c>
      <c r="AM74" s="32">
        <v>38.4</v>
      </c>
      <c r="AN74" s="32">
        <v>74.599999999999994</v>
      </c>
      <c r="AO74" s="32">
        <v>113.5</v>
      </c>
      <c r="AP74" s="32">
        <v>113.5</v>
      </c>
      <c r="AQ74" s="32">
        <v>100.5</v>
      </c>
      <c r="AR74" s="32">
        <v>90.5</v>
      </c>
      <c r="AS74" s="32">
        <v>118.3</v>
      </c>
      <c r="AT74" s="32">
        <v>136.80000000000001</v>
      </c>
      <c r="AU74" s="32">
        <v>100.8</v>
      </c>
      <c r="AV74" s="32">
        <v>109</v>
      </c>
      <c r="AW74" s="32">
        <v>183.3</v>
      </c>
      <c r="AX74" s="32">
        <v>145.19999999999999</v>
      </c>
      <c r="AY74" s="32">
        <v>396.8</v>
      </c>
      <c r="AZ74" s="32">
        <v>95.1</v>
      </c>
      <c r="BA74" s="32">
        <v>50</v>
      </c>
      <c r="BB74" s="32">
        <v>50</v>
      </c>
      <c r="BC74" s="32">
        <v>116.5</v>
      </c>
      <c r="BD74" s="32">
        <v>116.5</v>
      </c>
      <c r="BE74" s="32">
        <v>99.3</v>
      </c>
      <c r="BF74" s="32">
        <v>99.3</v>
      </c>
      <c r="BG74" s="32">
        <v>78.5</v>
      </c>
      <c r="BH74" s="32">
        <v>58.3</v>
      </c>
      <c r="BI74" s="32">
        <v>99.5</v>
      </c>
      <c r="BJ74" s="32">
        <v>40</v>
      </c>
      <c r="BK74" s="32">
        <v>135.69999999999999</v>
      </c>
      <c r="BL74" s="32">
        <v>31.3</v>
      </c>
      <c r="BM74" s="32">
        <v>89.9</v>
      </c>
      <c r="BN74" s="32">
        <v>88.3</v>
      </c>
      <c r="BO74" s="32">
        <v>88.8</v>
      </c>
      <c r="BP74" s="32">
        <v>88.2</v>
      </c>
      <c r="BQ74" s="32">
        <v>93</v>
      </c>
      <c r="BR74" s="32">
        <v>68.5</v>
      </c>
      <c r="BS74" s="32">
        <v>234.8</v>
      </c>
      <c r="BT74" s="32">
        <v>67.5</v>
      </c>
      <c r="BU74" s="32">
        <v>116.1</v>
      </c>
      <c r="BV74" s="32">
        <v>116.1</v>
      </c>
      <c r="BW74" s="32">
        <v>149.19999999999999</v>
      </c>
      <c r="BX74" s="32">
        <v>84.7</v>
      </c>
      <c r="BY74" s="32">
        <v>108.9</v>
      </c>
      <c r="BZ74" s="32">
        <v>113.7</v>
      </c>
      <c r="CA74" s="32">
        <v>107</v>
      </c>
      <c r="CB74" s="32">
        <v>125.4</v>
      </c>
      <c r="CC74" s="32">
        <v>94.4</v>
      </c>
      <c r="CD74" s="32">
        <v>50.9</v>
      </c>
      <c r="CE74" s="32">
        <v>102.6</v>
      </c>
      <c r="CF74" s="32">
        <v>69.5</v>
      </c>
      <c r="CG74" s="32">
        <v>83</v>
      </c>
      <c r="CH74" s="32">
        <v>82.9</v>
      </c>
      <c r="CI74" s="32">
        <v>106.5</v>
      </c>
      <c r="CJ74" s="32">
        <v>65.599999999999994</v>
      </c>
      <c r="CK74" s="32">
        <v>91.7</v>
      </c>
      <c r="CL74" s="32">
        <v>83</v>
      </c>
      <c r="CM74" s="32">
        <v>90.9</v>
      </c>
      <c r="CN74" s="32">
        <v>56.6</v>
      </c>
      <c r="CO74" s="32">
        <v>100.6</v>
      </c>
      <c r="CP74" s="32">
        <v>89.6</v>
      </c>
      <c r="CQ74" s="32">
        <v>19</v>
      </c>
      <c r="CR74" s="32">
        <v>83.1</v>
      </c>
      <c r="CS74" s="32">
        <v>131.1</v>
      </c>
      <c r="CT74" s="32">
        <v>85.4</v>
      </c>
      <c r="CU74" s="32">
        <v>61.4</v>
      </c>
      <c r="CV74" s="32">
        <v>96.3</v>
      </c>
      <c r="CW74" s="32">
        <v>23.7</v>
      </c>
      <c r="CX74" s="32">
        <v>69</v>
      </c>
      <c r="CY74" s="32">
        <v>81.900000000000006</v>
      </c>
      <c r="CZ74" s="32">
        <v>62</v>
      </c>
      <c r="DA74" s="32">
        <v>45.3</v>
      </c>
      <c r="DB74" s="32">
        <v>100.7</v>
      </c>
      <c r="DC74" s="32">
        <v>3.7</v>
      </c>
      <c r="DD74" s="32">
        <v>3.7</v>
      </c>
      <c r="DE74" s="32">
        <v>49.2</v>
      </c>
      <c r="DF74" s="32">
        <v>43.7</v>
      </c>
      <c r="DG74" s="32">
        <v>86.3</v>
      </c>
      <c r="DH74" s="32">
        <v>76.3</v>
      </c>
      <c r="DI74" s="32">
        <v>107.4</v>
      </c>
      <c r="DJ74" s="32">
        <v>75.099999999999994</v>
      </c>
      <c r="DK74" s="32">
        <v>75.099999999999994</v>
      </c>
      <c r="DL74" s="32">
        <v>45.4</v>
      </c>
      <c r="DM74" s="32">
        <v>67.400000000000006</v>
      </c>
      <c r="DN74" s="32">
        <v>44.4</v>
      </c>
      <c r="DO74" s="32">
        <v>77.599999999999994</v>
      </c>
      <c r="DP74" s="32">
        <v>45</v>
      </c>
      <c r="DQ74" s="32">
        <v>63.9</v>
      </c>
      <c r="DR74" s="32">
        <v>68.2</v>
      </c>
      <c r="DS74" s="32">
        <v>64</v>
      </c>
      <c r="DT74" s="32">
        <v>59.4</v>
      </c>
      <c r="DU74" s="32">
        <v>60.2</v>
      </c>
      <c r="DV74" s="32">
        <v>64.5</v>
      </c>
      <c r="DW74" s="32">
        <v>55.3</v>
      </c>
      <c r="DX74" s="32">
        <v>57.7</v>
      </c>
      <c r="DY74" s="32">
        <v>78.7</v>
      </c>
      <c r="DZ74" s="32">
        <v>107.9</v>
      </c>
      <c r="EA74" s="32">
        <v>107.9</v>
      </c>
      <c r="EB74" s="32">
        <v>68.400000000000006</v>
      </c>
      <c r="EC74" s="32">
        <v>69.8</v>
      </c>
      <c r="ED74" s="32">
        <v>66.900000000000006</v>
      </c>
      <c r="EE74" s="32">
        <v>73.400000000000006</v>
      </c>
      <c r="EF74" s="32">
        <v>49.9</v>
      </c>
      <c r="EG74" s="32">
        <v>57.5</v>
      </c>
      <c r="EH74" s="32">
        <v>71.400000000000006</v>
      </c>
      <c r="EI74" s="32">
        <v>50.6</v>
      </c>
      <c r="EJ74" s="32">
        <v>54.5</v>
      </c>
      <c r="EK74" s="32">
        <v>55.9</v>
      </c>
      <c r="EL74" s="32">
        <v>72.2</v>
      </c>
      <c r="EM74" s="32">
        <v>41</v>
      </c>
      <c r="EN74" s="32">
        <v>63.4</v>
      </c>
      <c r="EO74" s="32">
        <v>85</v>
      </c>
      <c r="EP74" s="32">
        <v>87.1</v>
      </c>
      <c r="EQ74" s="32">
        <v>87.1</v>
      </c>
      <c r="ER74" s="32">
        <v>94.3</v>
      </c>
      <c r="ES74" s="32">
        <v>94.3</v>
      </c>
      <c r="ET74" s="32">
        <v>76.900000000000006</v>
      </c>
      <c r="EU74" s="32">
        <v>74.5</v>
      </c>
      <c r="EV74" s="32">
        <v>74.5</v>
      </c>
      <c r="EW74" s="32">
        <v>83.1</v>
      </c>
      <c r="EX74" s="32">
        <v>94</v>
      </c>
      <c r="EY74" s="32">
        <v>74.599999999999994</v>
      </c>
      <c r="EZ74" s="32">
        <v>90.9</v>
      </c>
      <c r="FA74" s="32">
        <v>92.8</v>
      </c>
      <c r="FB74" s="32">
        <v>99.7</v>
      </c>
      <c r="FC74" s="32">
        <v>87.2</v>
      </c>
      <c r="FD74" s="32">
        <v>102.4</v>
      </c>
      <c r="FE74" s="32">
        <v>116.6</v>
      </c>
      <c r="FF74" s="32">
        <v>84.5</v>
      </c>
      <c r="FG74" s="32">
        <v>91.5</v>
      </c>
      <c r="FH74" s="32">
        <v>91.7</v>
      </c>
      <c r="FI74" s="32">
        <v>88.9</v>
      </c>
      <c r="FJ74" s="32">
        <v>91.6</v>
      </c>
      <c r="FK74" s="32">
        <v>74.8</v>
      </c>
      <c r="FL74" s="32">
        <v>74.8</v>
      </c>
    </row>
    <row r="75" spans="1:168" x14ac:dyDescent="0.2">
      <c r="A75" s="34" t="s">
        <v>1055</v>
      </c>
      <c r="B75" s="32">
        <v>75.900000000000006</v>
      </c>
      <c r="C75" s="32">
        <v>100</v>
      </c>
      <c r="D75" s="32">
        <v>101.2</v>
      </c>
      <c r="E75" s="32">
        <v>100.2</v>
      </c>
      <c r="F75" s="32">
        <v>303.39999999999998</v>
      </c>
      <c r="G75" s="32">
        <v>7833.1</v>
      </c>
      <c r="H75" s="32">
        <v>383.9</v>
      </c>
      <c r="I75" s="32">
        <v>57.7</v>
      </c>
      <c r="J75" s="32">
        <v>84</v>
      </c>
      <c r="K75" s="32">
        <v>94.3</v>
      </c>
      <c r="L75" s="32">
        <v>92.3</v>
      </c>
      <c r="M75" s="32">
        <v>98.3</v>
      </c>
      <c r="N75" s="32">
        <v>66.599999999999994</v>
      </c>
      <c r="O75" s="32">
        <v>161.30000000000001</v>
      </c>
      <c r="P75" s="32">
        <v>291.5</v>
      </c>
      <c r="Q75" s="32">
        <v>96.2</v>
      </c>
      <c r="R75" s="32">
        <v>90.9</v>
      </c>
      <c r="S75" s="32">
        <v>119</v>
      </c>
      <c r="T75" s="32">
        <v>62.2</v>
      </c>
      <c r="U75" s="32">
        <v>42.1</v>
      </c>
      <c r="V75" s="32">
        <v>130.80000000000001</v>
      </c>
      <c r="W75" s="32">
        <v>50.8</v>
      </c>
      <c r="X75" s="32">
        <v>39.799999999999997</v>
      </c>
      <c r="Y75" s="32">
        <v>59.4</v>
      </c>
      <c r="Z75" s="32">
        <v>106.4</v>
      </c>
      <c r="AA75" s="32">
        <v>74.099999999999994</v>
      </c>
      <c r="AB75" s="32">
        <v>70.5</v>
      </c>
      <c r="AC75" s="32">
        <v>71.400000000000006</v>
      </c>
      <c r="AD75" s="32">
        <v>83.3</v>
      </c>
      <c r="AE75" s="32">
        <v>133.6</v>
      </c>
      <c r="AF75" s="32">
        <v>133.6</v>
      </c>
      <c r="AG75" s="32">
        <v>65.099999999999994</v>
      </c>
      <c r="AH75" s="32">
        <v>65.099999999999994</v>
      </c>
      <c r="AI75" s="32">
        <v>231</v>
      </c>
      <c r="AJ75" s="32">
        <v>41.8</v>
      </c>
      <c r="AK75" s="32">
        <v>1144.0999999999999</v>
      </c>
      <c r="AL75" s="32">
        <v>102.7</v>
      </c>
      <c r="AM75" s="32">
        <v>39.700000000000003</v>
      </c>
      <c r="AN75" s="32">
        <v>78.099999999999994</v>
      </c>
      <c r="AO75" s="32">
        <v>100.8</v>
      </c>
      <c r="AP75" s="32">
        <v>100.8</v>
      </c>
      <c r="AQ75" s="32">
        <v>98.5</v>
      </c>
      <c r="AR75" s="32">
        <v>88.5</v>
      </c>
      <c r="AS75" s="32">
        <v>116.3</v>
      </c>
      <c r="AT75" s="32">
        <v>137.19999999999999</v>
      </c>
      <c r="AU75" s="32">
        <v>96.3</v>
      </c>
      <c r="AV75" s="32">
        <v>110.2</v>
      </c>
      <c r="AW75" s="32">
        <v>183.1</v>
      </c>
      <c r="AX75" s="32">
        <v>150</v>
      </c>
      <c r="AY75" s="32">
        <v>387.7</v>
      </c>
      <c r="AZ75" s="32">
        <v>96.6</v>
      </c>
      <c r="BA75" s="32">
        <v>48.8</v>
      </c>
      <c r="BB75" s="32">
        <v>48.8</v>
      </c>
      <c r="BC75" s="32">
        <v>110.8</v>
      </c>
      <c r="BD75" s="32">
        <v>110.8</v>
      </c>
      <c r="BE75" s="32">
        <v>96.3</v>
      </c>
      <c r="BF75" s="32">
        <v>96.3</v>
      </c>
      <c r="BG75" s="32">
        <v>78.099999999999994</v>
      </c>
      <c r="BH75" s="32">
        <v>57.9</v>
      </c>
      <c r="BI75" s="32">
        <v>99.2</v>
      </c>
      <c r="BJ75" s="32">
        <v>40.799999999999997</v>
      </c>
      <c r="BK75" s="32">
        <v>134.5</v>
      </c>
      <c r="BL75" s="32">
        <v>31.7</v>
      </c>
      <c r="BM75" s="32">
        <v>89.2</v>
      </c>
      <c r="BN75" s="32">
        <v>88.2</v>
      </c>
      <c r="BO75" s="32">
        <v>89.4</v>
      </c>
      <c r="BP75" s="32">
        <v>87.6</v>
      </c>
      <c r="BQ75" s="32">
        <v>91.6</v>
      </c>
      <c r="BR75" s="32">
        <v>70.099999999999994</v>
      </c>
      <c r="BS75" s="32">
        <v>247.7</v>
      </c>
      <c r="BT75" s="32">
        <v>63.6</v>
      </c>
      <c r="BU75" s="32">
        <v>113.9</v>
      </c>
      <c r="BV75" s="32">
        <v>113.9</v>
      </c>
      <c r="BW75" s="32">
        <v>142.69999999999999</v>
      </c>
      <c r="BX75" s="32">
        <v>91</v>
      </c>
      <c r="BY75" s="32">
        <v>108.7</v>
      </c>
      <c r="BZ75" s="32">
        <v>114.1</v>
      </c>
      <c r="CA75" s="32">
        <v>106.6</v>
      </c>
      <c r="CB75" s="32">
        <v>123.7</v>
      </c>
      <c r="CC75" s="32">
        <v>95.9</v>
      </c>
      <c r="CD75" s="32">
        <v>48.7</v>
      </c>
      <c r="CE75" s="32">
        <v>103.2</v>
      </c>
      <c r="CF75" s="32">
        <v>69.900000000000006</v>
      </c>
      <c r="CG75" s="32">
        <v>83.5</v>
      </c>
      <c r="CH75" s="32">
        <v>83.7</v>
      </c>
      <c r="CI75" s="32">
        <v>105.9</v>
      </c>
      <c r="CJ75" s="32">
        <v>67.599999999999994</v>
      </c>
      <c r="CK75" s="32">
        <v>91.8</v>
      </c>
      <c r="CL75" s="32">
        <v>81.7</v>
      </c>
      <c r="CM75" s="32">
        <v>93.3</v>
      </c>
      <c r="CN75" s="32">
        <v>59.5</v>
      </c>
      <c r="CO75" s="32">
        <v>102.7</v>
      </c>
      <c r="CP75" s="32">
        <v>90.6</v>
      </c>
      <c r="CQ75" s="32">
        <v>18.899999999999999</v>
      </c>
      <c r="CR75" s="32">
        <v>83.2</v>
      </c>
      <c r="CS75" s="32">
        <v>114.3</v>
      </c>
      <c r="CT75" s="32">
        <v>87</v>
      </c>
      <c r="CU75" s="32">
        <v>62.1</v>
      </c>
      <c r="CV75" s="32">
        <v>98.2</v>
      </c>
      <c r="CW75" s="32">
        <v>24.6</v>
      </c>
      <c r="CX75" s="32">
        <v>69.900000000000006</v>
      </c>
      <c r="CY75" s="32">
        <v>83.6</v>
      </c>
      <c r="CZ75" s="32">
        <v>62.3</v>
      </c>
      <c r="DA75" s="32">
        <v>45.5</v>
      </c>
      <c r="DB75" s="32">
        <v>101</v>
      </c>
      <c r="DC75" s="32">
        <v>3.9</v>
      </c>
      <c r="DD75" s="32">
        <v>3.9</v>
      </c>
      <c r="DE75" s="32">
        <v>52</v>
      </c>
      <c r="DF75" s="32">
        <v>46</v>
      </c>
      <c r="DG75" s="32">
        <v>93.4</v>
      </c>
      <c r="DH75" s="32">
        <v>77.400000000000006</v>
      </c>
      <c r="DI75" s="32">
        <v>109.4</v>
      </c>
      <c r="DJ75" s="32">
        <v>74.900000000000006</v>
      </c>
      <c r="DK75" s="32">
        <v>74.900000000000006</v>
      </c>
      <c r="DL75" s="32">
        <v>46.7</v>
      </c>
      <c r="DM75" s="32">
        <v>68.2</v>
      </c>
      <c r="DN75" s="32">
        <v>45.2</v>
      </c>
      <c r="DO75" s="32">
        <v>78.400000000000006</v>
      </c>
      <c r="DP75" s="32">
        <v>44.4</v>
      </c>
      <c r="DQ75" s="32">
        <v>63.5</v>
      </c>
      <c r="DR75" s="32">
        <v>67.2</v>
      </c>
      <c r="DS75" s="32">
        <v>63.5</v>
      </c>
      <c r="DT75" s="32">
        <v>59</v>
      </c>
      <c r="DU75" s="32">
        <v>59.6</v>
      </c>
      <c r="DV75" s="32">
        <v>62.7</v>
      </c>
      <c r="DW75" s="32">
        <v>56</v>
      </c>
      <c r="DX75" s="32">
        <v>57.8</v>
      </c>
      <c r="DY75" s="32">
        <v>77.8</v>
      </c>
      <c r="DZ75" s="32">
        <v>98.8</v>
      </c>
      <c r="EA75" s="32">
        <v>98.8</v>
      </c>
      <c r="EB75" s="32">
        <v>68.400000000000006</v>
      </c>
      <c r="EC75" s="32">
        <v>70.3</v>
      </c>
      <c r="ED75" s="32">
        <v>66.2</v>
      </c>
      <c r="EE75" s="32">
        <v>72.2</v>
      </c>
      <c r="EF75" s="32">
        <v>50.3</v>
      </c>
      <c r="EG75" s="32">
        <v>57.9</v>
      </c>
      <c r="EH75" s="32">
        <v>71.3</v>
      </c>
      <c r="EI75" s="32">
        <v>53</v>
      </c>
      <c r="EJ75" s="32">
        <v>52.5</v>
      </c>
      <c r="EK75" s="32">
        <v>55.4</v>
      </c>
      <c r="EL75" s="32">
        <v>72.7</v>
      </c>
      <c r="EM75" s="32">
        <v>40.799999999999997</v>
      </c>
      <c r="EN75" s="32">
        <v>62.4</v>
      </c>
      <c r="EO75" s="32">
        <v>85</v>
      </c>
      <c r="EP75" s="32">
        <v>87.1</v>
      </c>
      <c r="EQ75" s="32">
        <v>87.1</v>
      </c>
      <c r="ER75" s="32">
        <v>94.2</v>
      </c>
      <c r="ES75" s="32">
        <v>94.2</v>
      </c>
      <c r="ET75" s="32">
        <v>77.099999999999994</v>
      </c>
      <c r="EU75" s="32">
        <v>74.599999999999994</v>
      </c>
      <c r="EV75" s="32">
        <v>74.599999999999994</v>
      </c>
      <c r="EW75" s="32">
        <v>83.5</v>
      </c>
      <c r="EX75" s="32">
        <v>94</v>
      </c>
      <c r="EY75" s="32">
        <v>75.2</v>
      </c>
      <c r="EZ75" s="32">
        <v>87.6</v>
      </c>
      <c r="FA75" s="32">
        <v>89.6</v>
      </c>
      <c r="FB75" s="32">
        <v>98.5</v>
      </c>
      <c r="FC75" s="32">
        <v>84.1</v>
      </c>
      <c r="FD75" s="32">
        <v>103.1</v>
      </c>
      <c r="FE75" s="32">
        <v>118.3</v>
      </c>
      <c r="FF75" s="32">
        <v>78.7</v>
      </c>
      <c r="FG75" s="32">
        <v>88.2</v>
      </c>
      <c r="FH75" s="32">
        <v>90.8</v>
      </c>
      <c r="FI75" s="32">
        <v>82.4</v>
      </c>
      <c r="FJ75" s="32">
        <v>87.8</v>
      </c>
      <c r="FK75" s="32">
        <v>72</v>
      </c>
      <c r="FL75" s="32">
        <v>72</v>
      </c>
    </row>
    <row r="76" spans="1:168" x14ac:dyDescent="0.2">
      <c r="A76" s="34" t="s">
        <v>1056</v>
      </c>
      <c r="B76" s="32">
        <v>76</v>
      </c>
      <c r="C76" s="32">
        <v>99.7</v>
      </c>
      <c r="D76" s="32">
        <v>101.2</v>
      </c>
      <c r="E76" s="32">
        <v>100.5</v>
      </c>
      <c r="F76" s="32">
        <v>291</v>
      </c>
      <c r="G76" s="32">
        <v>7973.2</v>
      </c>
      <c r="H76" s="32">
        <v>366.6</v>
      </c>
      <c r="I76" s="32">
        <v>56.5</v>
      </c>
      <c r="J76" s="32">
        <v>84.7</v>
      </c>
      <c r="K76" s="32">
        <v>94.6</v>
      </c>
      <c r="L76" s="32">
        <v>93.4</v>
      </c>
      <c r="M76" s="32">
        <v>101.7</v>
      </c>
      <c r="N76" s="32">
        <v>68.7</v>
      </c>
      <c r="O76" s="32">
        <v>161.19999999999999</v>
      </c>
      <c r="P76" s="32">
        <v>285</v>
      </c>
      <c r="Q76" s="32">
        <v>99.4</v>
      </c>
      <c r="R76" s="32">
        <v>91.7</v>
      </c>
      <c r="S76" s="32">
        <v>120.1</v>
      </c>
      <c r="T76" s="32">
        <v>61.7</v>
      </c>
      <c r="U76" s="32">
        <v>40.1</v>
      </c>
      <c r="V76" s="32">
        <v>127.8</v>
      </c>
      <c r="W76" s="32">
        <v>48.9</v>
      </c>
      <c r="X76" s="32">
        <v>38.200000000000003</v>
      </c>
      <c r="Y76" s="32">
        <v>57.7</v>
      </c>
      <c r="Z76" s="32">
        <v>102.1</v>
      </c>
      <c r="AA76" s="32">
        <v>75.400000000000006</v>
      </c>
      <c r="AB76" s="32">
        <v>71.400000000000006</v>
      </c>
      <c r="AC76" s="32">
        <v>74.400000000000006</v>
      </c>
      <c r="AD76" s="32">
        <v>83.4</v>
      </c>
      <c r="AE76" s="32">
        <v>135.69999999999999</v>
      </c>
      <c r="AF76" s="32">
        <v>135.69999999999999</v>
      </c>
      <c r="AG76" s="32">
        <v>65</v>
      </c>
      <c r="AH76" s="32">
        <v>65</v>
      </c>
      <c r="AI76" s="32">
        <v>228.8</v>
      </c>
      <c r="AJ76" s="32">
        <v>41.8</v>
      </c>
      <c r="AK76" s="32">
        <v>1134.3</v>
      </c>
      <c r="AL76" s="32">
        <v>100.4</v>
      </c>
      <c r="AM76" s="32">
        <v>40</v>
      </c>
      <c r="AN76" s="32">
        <v>77.7</v>
      </c>
      <c r="AO76" s="32">
        <v>104</v>
      </c>
      <c r="AP76" s="32">
        <v>104</v>
      </c>
      <c r="AQ76" s="32">
        <v>98.1</v>
      </c>
      <c r="AR76" s="32">
        <v>89.1</v>
      </c>
      <c r="AS76" s="32">
        <v>114</v>
      </c>
      <c r="AT76" s="32">
        <v>135.4</v>
      </c>
      <c r="AU76" s="32">
        <v>93.6</v>
      </c>
      <c r="AV76" s="32">
        <v>110.4</v>
      </c>
      <c r="AW76" s="32">
        <v>181.3</v>
      </c>
      <c r="AX76" s="32">
        <v>144.4</v>
      </c>
      <c r="AY76" s="32">
        <v>390.5</v>
      </c>
      <c r="AZ76" s="32">
        <v>97.2</v>
      </c>
      <c r="BA76" s="32">
        <v>48.9</v>
      </c>
      <c r="BB76" s="32">
        <v>48.9</v>
      </c>
      <c r="BC76" s="32">
        <v>115.6</v>
      </c>
      <c r="BD76" s="32">
        <v>115.6</v>
      </c>
      <c r="BE76" s="32">
        <v>99.1</v>
      </c>
      <c r="BF76" s="32">
        <v>99.1</v>
      </c>
      <c r="BG76" s="32">
        <v>78</v>
      </c>
      <c r="BH76" s="32">
        <v>57.7</v>
      </c>
      <c r="BI76" s="32">
        <v>99.3</v>
      </c>
      <c r="BJ76" s="32">
        <v>42.1</v>
      </c>
      <c r="BK76" s="32">
        <v>134.30000000000001</v>
      </c>
      <c r="BL76" s="32">
        <v>31.5</v>
      </c>
      <c r="BM76" s="32">
        <v>91.6</v>
      </c>
      <c r="BN76" s="32">
        <v>87.1</v>
      </c>
      <c r="BO76" s="32">
        <v>89.3</v>
      </c>
      <c r="BP76" s="32">
        <v>85.6</v>
      </c>
      <c r="BQ76" s="32">
        <v>99.2</v>
      </c>
      <c r="BR76" s="32">
        <v>61.8</v>
      </c>
      <c r="BS76" s="32">
        <v>267.2</v>
      </c>
      <c r="BT76" s="32">
        <v>70.900000000000006</v>
      </c>
      <c r="BU76" s="32">
        <v>111</v>
      </c>
      <c r="BV76" s="32">
        <v>111</v>
      </c>
      <c r="BW76" s="32">
        <v>140.19999999999999</v>
      </c>
      <c r="BX76" s="32">
        <v>87.3</v>
      </c>
      <c r="BY76" s="32">
        <v>110.7</v>
      </c>
      <c r="BZ76" s="32">
        <v>114.5</v>
      </c>
      <c r="CA76" s="32">
        <v>109.4</v>
      </c>
      <c r="CB76" s="32">
        <v>123.5</v>
      </c>
      <c r="CC76" s="32">
        <v>102.1</v>
      </c>
      <c r="CD76" s="32">
        <v>47.8</v>
      </c>
      <c r="CE76" s="32">
        <v>102.5</v>
      </c>
      <c r="CF76" s="32">
        <v>70.099999999999994</v>
      </c>
      <c r="CG76" s="32">
        <v>83.3</v>
      </c>
      <c r="CH76" s="32">
        <v>83.8</v>
      </c>
      <c r="CI76" s="32">
        <v>104.8</v>
      </c>
      <c r="CJ76" s="32">
        <v>68.099999999999994</v>
      </c>
      <c r="CK76" s="32">
        <v>91.7</v>
      </c>
      <c r="CL76" s="32">
        <v>81.7</v>
      </c>
      <c r="CM76" s="32">
        <v>93.4</v>
      </c>
      <c r="CN76" s="32">
        <v>59.3</v>
      </c>
      <c r="CO76" s="32">
        <v>103</v>
      </c>
      <c r="CP76" s="32">
        <v>91.1</v>
      </c>
      <c r="CQ76" s="32">
        <v>19.100000000000001</v>
      </c>
      <c r="CR76" s="32">
        <v>84.6</v>
      </c>
      <c r="CS76" s="32">
        <v>109.8</v>
      </c>
      <c r="CT76" s="32">
        <v>85.9</v>
      </c>
      <c r="CU76" s="32">
        <v>62.7</v>
      </c>
      <c r="CV76" s="32">
        <v>96.3</v>
      </c>
      <c r="CW76" s="32">
        <v>24.7</v>
      </c>
      <c r="CX76" s="32">
        <v>70.8</v>
      </c>
      <c r="CY76" s="32">
        <v>84.5</v>
      </c>
      <c r="CZ76" s="32">
        <v>63.3</v>
      </c>
      <c r="DA76" s="32">
        <v>46.8</v>
      </c>
      <c r="DB76" s="32">
        <v>101.3</v>
      </c>
      <c r="DC76" s="32">
        <v>3.9</v>
      </c>
      <c r="DD76" s="32">
        <v>3.9</v>
      </c>
      <c r="DE76" s="32">
        <v>51.3</v>
      </c>
      <c r="DF76" s="32">
        <v>46</v>
      </c>
      <c r="DG76" s="32">
        <v>87.1</v>
      </c>
      <c r="DH76" s="32">
        <v>77.900000000000006</v>
      </c>
      <c r="DI76" s="32">
        <v>109.5</v>
      </c>
      <c r="DJ76" s="32">
        <v>75.2</v>
      </c>
      <c r="DK76" s="32">
        <v>75.2</v>
      </c>
      <c r="DL76" s="32">
        <v>48</v>
      </c>
      <c r="DM76" s="32">
        <v>68.5</v>
      </c>
      <c r="DN76" s="32">
        <v>45.6</v>
      </c>
      <c r="DO76" s="32">
        <v>78.7</v>
      </c>
      <c r="DP76" s="32">
        <v>44.1</v>
      </c>
      <c r="DQ76" s="32">
        <v>64.3</v>
      </c>
      <c r="DR76" s="32">
        <v>68.900000000000006</v>
      </c>
      <c r="DS76" s="32">
        <v>64.2</v>
      </c>
      <c r="DT76" s="32">
        <v>59.3</v>
      </c>
      <c r="DU76" s="32">
        <v>60</v>
      </c>
      <c r="DV76" s="32">
        <v>64.3</v>
      </c>
      <c r="DW76" s="32">
        <v>54.9</v>
      </c>
      <c r="DX76" s="32">
        <v>58</v>
      </c>
      <c r="DY76" s="32">
        <v>79.5</v>
      </c>
      <c r="DZ76" s="32">
        <v>115.5</v>
      </c>
      <c r="EA76" s="32">
        <v>115.5</v>
      </c>
      <c r="EB76" s="32">
        <v>68.8</v>
      </c>
      <c r="EC76" s="32">
        <v>71.099999999999994</v>
      </c>
      <c r="ED76" s="32">
        <v>66.099999999999994</v>
      </c>
      <c r="EE76" s="32">
        <v>72</v>
      </c>
      <c r="EF76" s="32">
        <v>50.4</v>
      </c>
      <c r="EG76" s="32">
        <v>57.5</v>
      </c>
      <c r="EH76" s="32">
        <v>70.599999999999994</v>
      </c>
      <c r="EI76" s="32">
        <v>51.9</v>
      </c>
      <c r="EJ76" s="32">
        <v>54.4</v>
      </c>
      <c r="EK76" s="32">
        <v>55.4</v>
      </c>
      <c r="EL76" s="32">
        <v>74.599999999999994</v>
      </c>
      <c r="EM76" s="32">
        <v>41.1</v>
      </c>
      <c r="EN76" s="32">
        <v>61.9</v>
      </c>
      <c r="EO76" s="32">
        <v>85.3</v>
      </c>
      <c r="EP76" s="32">
        <v>87.7</v>
      </c>
      <c r="EQ76" s="32">
        <v>87.7</v>
      </c>
      <c r="ER76" s="32">
        <v>94</v>
      </c>
      <c r="ES76" s="32">
        <v>94</v>
      </c>
      <c r="ET76" s="32">
        <v>77.400000000000006</v>
      </c>
      <c r="EU76" s="32">
        <v>74.900000000000006</v>
      </c>
      <c r="EV76" s="32">
        <v>74.900000000000006</v>
      </c>
      <c r="EW76" s="32">
        <v>83.9</v>
      </c>
      <c r="EX76" s="32">
        <v>94</v>
      </c>
      <c r="EY76" s="32">
        <v>75.900000000000006</v>
      </c>
      <c r="EZ76" s="32">
        <v>87</v>
      </c>
      <c r="FA76" s="32">
        <v>87.4</v>
      </c>
      <c r="FB76" s="32">
        <v>95.4</v>
      </c>
      <c r="FC76" s="32">
        <v>78</v>
      </c>
      <c r="FD76" s="32">
        <v>103.8</v>
      </c>
      <c r="FE76" s="32">
        <v>119</v>
      </c>
      <c r="FF76" s="32">
        <v>77.8</v>
      </c>
      <c r="FG76" s="32">
        <v>88.7</v>
      </c>
      <c r="FH76" s="32">
        <v>89.5</v>
      </c>
      <c r="FI76" s="32">
        <v>88.3</v>
      </c>
      <c r="FJ76" s="32">
        <v>88.3</v>
      </c>
      <c r="FK76" s="32">
        <v>72.5</v>
      </c>
      <c r="FL76" s="32">
        <v>72.5</v>
      </c>
    </row>
    <row r="77" spans="1:168" x14ac:dyDescent="0.2">
      <c r="A77" s="34" t="s">
        <v>1057</v>
      </c>
      <c r="B77" s="32">
        <v>76</v>
      </c>
      <c r="C77" s="32">
        <v>99.3</v>
      </c>
      <c r="D77" s="32">
        <v>101.5</v>
      </c>
      <c r="E77" s="32">
        <v>101.3</v>
      </c>
      <c r="F77" s="32">
        <v>297</v>
      </c>
      <c r="G77" s="32">
        <v>7515.5</v>
      </c>
      <c r="H77" s="32">
        <v>376.2</v>
      </c>
      <c r="I77" s="32">
        <v>56.2</v>
      </c>
      <c r="J77" s="32">
        <v>84.5</v>
      </c>
      <c r="K77" s="32">
        <v>95.2</v>
      </c>
      <c r="L77" s="32">
        <v>93.6</v>
      </c>
      <c r="M77" s="32">
        <v>99.9</v>
      </c>
      <c r="N77" s="32">
        <v>68.900000000000006</v>
      </c>
      <c r="O77" s="32">
        <v>159.19999999999999</v>
      </c>
      <c r="P77" s="32">
        <v>282.8</v>
      </c>
      <c r="Q77" s="32">
        <v>102.6</v>
      </c>
      <c r="R77" s="32">
        <v>91.5</v>
      </c>
      <c r="S77" s="32">
        <v>121.1</v>
      </c>
      <c r="T77" s="32">
        <v>63.4</v>
      </c>
      <c r="U77" s="32">
        <v>45.2</v>
      </c>
      <c r="V77" s="32">
        <v>128</v>
      </c>
      <c r="W77" s="32">
        <v>48.9</v>
      </c>
      <c r="X77" s="32">
        <v>38.1</v>
      </c>
      <c r="Y77" s="32">
        <v>58.7</v>
      </c>
      <c r="Z77" s="32">
        <v>94</v>
      </c>
      <c r="AA77" s="32">
        <v>73.099999999999994</v>
      </c>
      <c r="AB77" s="32">
        <v>70.3</v>
      </c>
      <c r="AC77" s="32">
        <v>71.5</v>
      </c>
      <c r="AD77" s="32">
        <v>80.900000000000006</v>
      </c>
      <c r="AE77" s="32">
        <v>134.1</v>
      </c>
      <c r="AF77" s="32">
        <v>134.1</v>
      </c>
      <c r="AG77" s="32">
        <v>65.2</v>
      </c>
      <c r="AH77" s="32">
        <v>65.2</v>
      </c>
      <c r="AI77" s="32">
        <v>231.9</v>
      </c>
      <c r="AJ77" s="32">
        <v>43.8</v>
      </c>
      <c r="AK77" s="32">
        <v>995.2</v>
      </c>
      <c r="AL77" s="32">
        <v>96.3</v>
      </c>
      <c r="AM77" s="32">
        <v>40.5</v>
      </c>
      <c r="AN77" s="32">
        <v>70.900000000000006</v>
      </c>
      <c r="AO77" s="32">
        <v>105.8</v>
      </c>
      <c r="AP77" s="32">
        <v>105.8</v>
      </c>
      <c r="AQ77" s="32">
        <v>99.1</v>
      </c>
      <c r="AR77" s="32">
        <v>91.6</v>
      </c>
      <c r="AS77" s="32">
        <v>112.9</v>
      </c>
      <c r="AT77" s="32">
        <v>129.80000000000001</v>
      </c>
      <c r="AU77" s="32">
        <v>96.7</v>
      </c>
      <c r="AV77" s="32">
        <v>108.8</v>
      </c>
      <c r="AW77" s="32">
        <v>177.6</v>
      </c>
      <c r="AX77" s="32">
        <v>146.80000000000001</v>
      </c>
      <c r="AY77" s="32">
        <v>373.9</v>
      </c>
      <c r="AZ77" s="32">
        <v>96.1</v>
      </c>
      <c r="BA77" s="32">
        <v>50.2</v>
      </c>
      <c r="BB77" s="32">
        <v>50.2</v>
      </c>
      <c r="BC77" s="32">
        <v>115.5</v>
      </c>
      <c r="BD77" s="32">
        <v>115.5</v>
      </c>
      <c r="BE77" s="32">
        <v>98</v>
      </c>
      <c r="BF77" s="32">
        <v>98</v>
      </c>
      <c r="BG77" s="32">
        <v>76.900000000000006</v>
      </c>
      <c r="BH77" s="32">
        <v>56.3</v>
      </c>
      <c r="BI77" s="32">
        <v>98.8</v>
      </c>
      <c r="BJ77" s="32">
        <v>42.6</v>
      </c>
      <c r="BK77" s="32">
        <v>133.4</v>
      </c>
      <c r="BL77" s="32">
        <v>31</v>
      </c>
      <c r="BM77" s="32">
        <v>90.2</v>
      </c>
      <c r="BN77" s="32">
        <v>87.2</v>
      </c>
      <c r="BO77" s="32">
        <v>90.5</v>
      </c>
      <c r="BP77" s="32">
        <v>84.9</v>
      </c>
      <c r="BQ77" s="32">
        <v>95.4</v>
      </c>
      <c r="BR77" s="32">
        <v>67.2</v>
      </c>
      <c r="BS77" s="32">
        <v>241.8</v>
      </c>
      <c r="BT77" s="32">
        <v>69.5</v>
      </c>
      <c r="BU77" s="32">
        <v>123.2</v>
      </c>
      <c r="BV77" s="32">
        <v>123.2</v>
      </c>
      <c r="BW77" s="32">
        <v>158.19999999999999</v>
      </c>
      <c r="BX77" s="32">
        <v>92.4</v>
      </c>
      <c r="BY77" s="32">
        <v>114.7</v>
      </c>
      <c r="BZ77" s="32">
        <v>114.5</v>
      </c>
      <c r="CA77" s="32">
        <v>115.3</v>
      </c>
      <c r="CB77" s="32">
        <v>128</v>
      </c>
      <c r="CC77" s="32">
        <v>109.8</v>
      </c>
      <c r="CD77" s="32">
        <v>48.5</v>
      </c>
      <c r="CE77" s="32">
        <v>101</v>
      </c>
      <c r="CF77" s="32">
        <v>70.099999999999994</v>
      </c>
      <c r="CG77" s="32">
        <v>83</v>
      </c>
      <c r="CH77" s="32">
        <v>83.2</v>
      </c>
      <c r="CI77" s="32">
        <v>106.3</v>
      </c>
      <c r="CJ77" s="32">
        <v>66.8</v>
      </c>
      <c r="CK77" s="32">
        <v>91.2</v>
      </c>
      <c r="CL77" s="32">
        <v>81.7</v>
      </c>
      <c r="CM77" s="32">
        <v>95.4</v>
      </c>
      <c r="CN77" s="32">
        <v>59.3</v>
      </c>
      <c r="CO77" s="32">
        <v>105.6</v>
      </c>
      <c r="CP77" s="32">
        <v>91.9</v>
      </c>
      <c r="CQ77" s="32">
        <v>19.2</v>
      </c>
      <c r="CR77" s="32">
        <v>85.3</v>
      </c>
      <c r="CS77" s="32">
        <v>101.4</v>
      </c>
      <c r="CT77" s="32">
        <v>86.2</v>
      </c>
      <c r="CU77" s="32">
        <v>64.5</v>
      </c>
      <c r="CV77" s="32">
        <v>96</v>
      </c>
      <c r="CW77" s="32">
        <v>25</v>
      </c>
      <c r="CX77" s="32">
        <v>72.7</v>
      </c>
      <c r="CY77" s="32">
        <v>86.9</v>
      </c>
      <c r="CZ77" s="32">
        <v>65</v>
      </c>
      <c r="DA77" s="32">
        <v>48.8</v>
      </c>
      <c r="DB77" s="32">
        <v>101.8</v>
      </c>
      <c r="DC77" s="32">
        <v>3.9</v>
      </c>
      <c r="DD77" s="32">
        <v>3.9</v>
      </c>
      <c r="DE77" s="32">
        <v>52.2</v>
      </c>
      <c r="DF77" s="32">
        <v>47</v>
      </c>
      <c r="DG77" s="32">
        <v>86.9</v>
      </c>
      <c r="DH77" s="32">
        <v>77.599999999999994</v>
      </c>
      <c r="DI77" s="32">
        <v>108.4</v>
      </c>
      <c r="DJ77" s="32">
        <v>75.400000000000006</v>
      </c>
      <c r="DK77" s="32">
        <v>75.400000000000006</v>
      </c>
      <c r="DL77" s="32">
        <v>48.3</v>
      </c>
      <c r="DM77" s="32">
        <v>68.599999999999994</v>
      </c>
      <c r="DN77" s="32">
        <v>45.8</v>
      </c>
      <c r="DO77" s="32">
        <v>78.7</v>
      </c>
      <c r="DP77" s="32">
        <v>43.7</v>
      </c>
      <c r="DQ77" s="32">
        <v>63.2</v>
      </c>
      <c r="DR77" s="32">
        <v>67.3</v>
      </c>
      <c r="DS77" s="32">
        <v>64</v>
      </c>
      <c r="DT77" s="32">
        <v>60</v>
      </c>
      <c r="DU77" s="32">
        <v>60.1</v>
      </c>
      <c r="DV77" s="32">
        <v>62.8</v>
      </c>
      <c r="DW77" s="32">
        <v>56.9</v>
      </c>
      <c r="DX77" s="32">
        <v>59.9</v>
      </c>
      <c r="DY77" s="32">
        <v>76.599999999999994</v>
      </c>
      <c r="DZ77" s="32">
        <v>98.6</v>
      </c>
      <c r="EA77" s="32">
        <v>98.6</v>
      </c>
      <c r="EB77" s="32">
        <v>67.2</v>
      </c>
      <c r="EC77" s="32">
        <v>68.8</v>
      </c>
      <c r="ED77" s="32">
        <v>65.5</v>
      </c>
      <c r="EE77" s="32">
        <v>71.3</v>
      </c>
      <c r="EF77" s="32">
        <v>50.2</v>
      </c>
      <c r="EG77" s="32">
        <v>57.2</v>
      </c>
      <c r="EH77" s="32">
        <v>69.3</v>
      </c>
      <c r="EI77" s="32">
        <v>53.5</v>
      </c>
      <c r="EJ77" s="32">
        <v>51.7</v>
      </c>
      <c r="EK77" s="32">
        <v>54.5</v>
      </c>
      <c r="EL77" s="32">
        <v>74.400000000000006</v>
      </c>
      <c r="EM77" s="32">
        <v>40.1</v>
      </c>
      <c r="EN77" s="32">
        <v>61</v>
      </c>
      <c r="EO77" s="32">
        <v>86.1</v>
      </c>
      <c r="EP77" s="32">
        <v>90.3</v>
      </c>
      <c r="EQ77" s="32">
        <v>90.3</v>
      </c>
      <c r="ER77" s="32">
        <v>93.6</v>
      </c>
      <c r="ES77" s="32">
        <v>93.6</v>
      </c>
      <c r="ET77" s="32">
        <v>77.8</v>
      </c>
      <c r="EU77" s="32">
        <v>75.3</v>
      </c>
      <c r="EV77" s="32">
        <v>75.3</v>
      </c>
      <c r="EW77" s="32">
        <v>84.5</v>
      </c>
      <c r="EX77" s="32">
        <v>94.3</v>
      </c>
      <c r="EY77" s="32">
        <v>76.8</v>
      </c>
      <c r="EZ77" s="32">
        <v>86.3</v>
      </c>
      <c r="FA77" s="32">
        <v>90.6</v>
      </c>
      <c r="FB77" s="32">
        <v>100.7</v>
      </c>
      <c r="FC77" s="32">
        <v>86.1</v>
      </c>
      <c r="FD77" s="32">
        <v>106.9</v>
      </c>
      <c r="FE77" s="32">
        <v>119.8</v>
      </c>
      <c r="FF77" s="32">
        <v>78.400000000000006</v>
      </c>
      <c r="FG77" s="32">
        <v>84.6</v>
      </c>
      <c r="FH77" s="32">
        <v>89.9</v>
      </c>
      <c r="FI77" s="32">
        <v>84.7</v>
      </c>
      <c r="FJ77" s="32">
        <v>82.4</v>
      </c>
      <c r="FK77" s="32">
        <v>73.5</v>
      </c>
      <c r="FL77" s="32">
        <v>73.5</v>
      </c>
    </row>
    <row r="78" spans="1:168" x14ac:dyDescent="0.2">
      <c r="A78" s="34" t="s">
        <v>1058</v>
      </c>
      <c r="B78" s="32">
        <v>76.3</v>
      </c>
      <c r="C78" s="32">
        <v>99</v>
      </c>
      <c r="D78" s="32">
        <v>100.6</v>
      </c>
      <c r="E78" s="32">
        <v>100.8</v>
      </c>
      <c r="F78" s="32">
        <v>297.7</v>
      </c>
      <c r="G78" s="32">
        <v>8438.4</v>
      </c>
      <c r="H78" s="32">
        <v>376.6</v>
      </c>
      <c r="I78" s="32">
        <v>55.6</v>
      </c>
      <c r="J78" s="32">
        <v>83.8</v>
      </c>
      <c r="K78" s="32">
        <v>95.4</v>
      </c>
      <c r="L78" s="32">
        <v>94.2</v>
      </c>
      <c r="M78" s="32">
        <v>96.6</v>
      </c>
      <c r="N78" s="32">
        <v>73.400000000000006</v>
      </c>
      <c r="O78" s="32">
        <v>147.1</v>
      </c>
      <c r="P78" s="32">
        <v>279.39999999999998</v>
      </c>
      <c r="Q78" s="32">
        <v>101.8</v>
      </c>
      <c r="R78" s="32">
        <v>92.1</v>
      </c>
      <c r="S78" s="32">
        <v>122</v>
      </c>
      <c r="T78" s="32">
        <v>66.7</v>
      </c>
      <c r="U78" s="32">
        <v>45.9</v>
      </c>
      <c r="V78" s="32">
        <v>124.9</v>
      </c>
      <c r="W78" s="32">
        <v>48.6</v>
      </c>
      <c r="X78" s="32">
        <v>38.9</v>
      </c>
      <c r="Y78" s="32">
        <v>57</v>
      </c>
      <c r="Z78" s="32">
        <v>88.5</v>
      </c>
      <c r="AA78" s="32">
        <v>71</v>
      </c>
      <c r="AB78" s="32">
        <v>68.5</v>
      </c>
      <c r="AC78" s="32">
        <v>69.599999999999994</v>
      </c>
      <c r="AD78" s="32">
        <v>78.400000000000006</v>
      </c>
      <c r="AE78" s="32">
        <v>122.4</v>
      </c>
      <c r="AF78" s="32">
        <v>122.4</v>
      </c>
      <c r="AG78" s="32">
        <v>66.900000000000006</v>
      </c>
      <c r="AH78" s="32">
        <v>66.900000000000006</v>
      </c>
      <c r="AI78" s="32">
        <v>248.2</v>
      </c>
      <c r="AJ78" s="32">
        <v>44.7</v>
      </c>
      <c r="AK78" s="32">
        <v>992.9</v>
      </c>
      <c r="AL78" s="32">
        <v>102.2</v>
      </c>
      <c r="AM78" s="32">
        <v>40.700000000000003</v>
      </c>
      <c r="AN78" s="32">
        <v>77</v>
      </c>
      <c r="AO78" s="32">
        <v>102.8</v>
      </c>
      <c r="AP78" s="32">
        <v>102.8</v>
      </c>
      <c r="AQ78" s="32">
        <v>98.9</v>
      </c>
      <c r="AR78" s="32">
        <v>92.4</v>
      </c>
      <c r="AS78" s="32">
        <v>110.6</v>
      </c>
      <c r="AT78" s="32">
        <v>129</v>
      </c>
      <c r="AU78" s="32">
        <v>93</v>
      </c>
      <c r="AV78" s="32">
        <v>106.1</v>
      </c>
      <c r="AW78" s="32">
        <v>181.7</v>
      </c>
      <c r="AX78" s="32">
        <v>156.1</v>
      </c>
      <c r="AY78" s="32">
        <v>373.4</v>
      </c>
      <c r="AZ78" s="32">
        <v>91.8</v>
      </c>
      <c r="BA78" s="32">
        <v>48.5</v>
      </c>
      <c r="BB78" s="32">
        <v>48.5</v>
      </c>
      <c r="BC78" s="32">
        <v>120.4</v>
      </c>
      <c r="BD78" s="32">
        <v>120.4</v>
      </c>
      <c r="BE78" s="32">
        <v>96.4</v>
      </c>
      <c r="BF78" s="32">
        <v>96.4</v>
      </c>
      <c r="BG78" s="32">
        <v>77.599999999999994</v>
      </c>
      <c r="BH78" s="32">
        <v>56.7</v>
      </c>
      <c r="BI78" s="32">
        <v>99.8</v>
      </c>
      <c r="BJ78" s="32">
        <v>43.2</v>
      </c>
      <c r="BK78" s="32">
        <v>134.6</v>
      </c>
      <c r="BL78" s="32">
        <v>31.7</v>
      </c>
      <c r="BM78" s="32">
        <v>89.1</v>
      </c>
      <c r="BN78" s="32">
        <v>90.2</v>
      </c>
      <c r="BO78" s="32">
        <v>92.2</v>
      </c>
      <c r="BP78" s="32">
        <v>89</v>
      </c>
      <c r="BQ78" s="32">
        <v>88.2</v>
      </c>
      <c r="BR78" s="32">
        <v>70</v>
      </c>
      <c r="BS78" s="32">
        <v>224.8</v>
      </c>
      <c r="BT78" s="32">
        <v>63</v>
      </c>
      <c r="BU78" s="32">
        <v>125.8</v>
      </c>
      <c r="BV78" s="32">
        <v>125.8</v>
      </c>
      <c r="BW78" s="32">
        <v>157.80000000000001</v>
      </c>
      <c r="BX78" s="32">
        <v>101.2</v>
      </c>
      <c r="BY78" s="32">
        <v>113.9</v>
      </c>
      <c r="BZ78" s="32">
        <v>114.7</v>
      </c>
      <c r="CA78" s="32">
        <v>113.9</v>
      </c>
      <c r="CB78" s="32">
        <v>126.3</v>
      </c>
      <c r="CC78" s="32">
        <v>108.7</v>
      </c>
      <c r="CD78" s="32">
        <v>46.8</v>
      </c>
      <c r="CE78" s="32">
        <v>99.2</v>
      </c>
      <c r="CF78" s="32">
        <v>70.599999999999994</v>
      </c>
      <c r="CG78" s="32">
        <v>83.3</v>
      </c>
      <c r="CH78" s="32">
        <v>82.6</v>
      </c>
      <c r="CI78" s="32">
        <v>105.8</v>
      </c>
      <c r="CJ78" s="32">
        <v>66.900000000000006</v>
      </c>
      <c r="CK78" s="32">
        <v>90.2</v>
      </c>
      <c r="CL78" s="32">
        <v>84</v>
      </c>
      <c r="CM78" s="32">
        <v>93.6</v>
      </c>
      <c r="CN78" s="32">
        <v>58.2</v>
      </c>
      <c r="CO78" s="32">
        <v>103.5</v>
      </c>
      <c r="CP78" s="32">
        <v>92</v>
      </c>
      <c r="CQ78" s="32">
        <v>20.6</v>
      </c>
      <c r="CR78" s="32">
        <v>86.3</v>
      </c>
      <c r="CS78" s="32">
        <v>119.1</v>
      </c>
      <c r="CT78" s="32">
        <v>87</v>
      </c>
      <c r="CU78" s="32">
        <v>65.3</v>
      </c>
      <c r="CV78" s="32">
        <v>96.7</v>
      </c>
      <c r="CW78" s="32">
        <v>26.2</v>
      </c>
      <c r="CX78" s="32">
        <v>71.7</v>
      </c>
      <c r="CY78" s="32">
        <v>85.8</v>
      </c>
      <c r="CZ78" s="32">
        <v>63.9</v>
      </c>
      <c r="DA78" s="32">
        <v>47.6</v>
      </c>
      <c r="DB78" s="32">
        <v>101.2</v>
      </c>
      <c r="DC78" s="32">
        <v>4.0999999999999996</v>
      </c>
      <c r="DD78" s="32">
        <v>4.0999999999999996</v>
      </c>
      <c r="DE78" s="32">
        <v>57.1</v>
      </c>
      <c r="DF78" s="32">
        <v>50.9</v>
      </c>
      <c r="DG78" s="32">
        <v>99.5</v>
      </c>
      <c r="DH78" s="32">
        <v>77.7</v>
      </c>
      <c r="DI78" s="32">
        <v>108.6</v>
      </c>
      <c r="DJ78" s="32">
        <v>76.900000000000006</v>
      </c>
      <c r="DK78" s="32">
        <v>76.900000000000006</v>
      </c>
      <c r="DL78" s="32">
        <v>47</v>
      </c>
      <c r="DM78" s="32">
        <v>69</v>
      </c>
      <c r="DN78" s="32">
        <v>47.7</v>
      </c>
      <c r="DO78" s="32">
        <v>78.5</v>
      </c>
      <c r="DP78" s="32">
        <v>43.6</v>
      </c>
      <c r="DQ78" s="32">
        <v>64.8</v>
      </c>
      <c r="DR78" s="32">
        <v>69.7</v>
      </c>
      <c r="DS78" s="32">
        <v>65.7</v>
      </c>
      <c r="DT78" s="32">
        <v>62.6</v>
      </c>
      <c r="DU78" s="32">
        <v>62.8</v>
      </c>
      <c r="DV78" s="32">
        <v>66.5</v>
      </c>
      <c r="DW78" s="32">
        <v>58.4</v>
      </c>
      <c r="DX78" s="32">
        <v>62.3</v>
      </c>
      <c r="DY78" s="32">
        <v>75.8</v>
      </c>
      <c r="DZ78" s="32">
        <v>103.6</v>
      </c>
      <c r="EA78" s="32">
        <v>103.6</v>
      </c>
      <c r="EB78" s="32">
        <v>70.8</v>
      </c>
      <c r="EC78" s="32">
        <v>73.599999999999994</v>
      </c>
      <c r="ED78" s="32">
        <v>67.5</v>
      </c>
      <c r="EE78" s="32">
        <v>74.3</v>
      </c>
      <c r="EF78" s="32">
        <v>49.7</v>
      </c>
      <c r="EG78" s="32">
        <v>57.9</v>
      </c>
      <c r="EH78" s="32">
        <v>69</v>
      </c>
      <c r="EI78" s="32">
        <v>53.4</v>
      </c>
      <c r="EJ78" s="32">
        <v>49.5</v>
      </c>
      <c r="EK78" s="32">
        <v>57.2</v>
      </c>
      <c r="EL78" s="32">
        <v>75.2</v>
      </c>
      <c r="EM78" s="32">
        <v>40.9</v>
      </c>
      <c r="EN78" s="32">
        <v>65.3</v>
      </c>
      <c r="EO78" s="32">
        <v>85</v>
      </c>
      <c r="EP78" s="32">
        <v>86.6</v>
      </c>
      <c r="EQ78" s="32">
        <v>86.6</v>
      </c>
      <c r="ER78" s="32">
        <v>93</v>
      </c>
      <c r="ES78" s="32">
        <v>93</v>
      </c>
      <c r="ET78" s="32">
        <v>78.400000000000006</v>
      </c>
      <c r="EU78" s="32">
        <v>75.7</v>
      </c>
      <c r="EV78" s="32">
        <v>75.7</v>
      </c>
      <c r="EW78" s="32">
        <v>85.2</v>
      </c>
      <c r="EX78" s="32">
        <v>94.6</v>
      </c>
      <c r="EY78" s="32">
        <v>77.900000000000006</v>
      </c>
      <c r="EZ78" s="32">
        <v>87.3</v>
      </c>
      <c r="FA78" s="32">
        <v>93.4</v>
      </c>
      <c r="FB78" s="32">
        <v>99.8</v>
      </c>
      <c r="FC78" s="32">
        <v>82.7</v>
      </c>
      <c r="FD78" s="32">
        <v>110.4</v>
      </c>
      <c r="FE78" s="32">
        <v>121.2</v>
      </c>
      <c r="FF78" s="32">
        <v>85.9</v>
      </c>
      <c r="FG78" s="32">
        <v>84.1</v>
      </c>
      <c r="FH78" s="32">
        <v>89.2</v>
      </c>
      <c r="FI78" s="32">
        <v>71.2</v>
      </c>
      <c r="FJ78" s="32">
        <v>83.6</v>
      </c>
      <c r="FK78" s="32">
        <v>75.599999999999994</v>
      </c>
      <c r="FL78" s="32">
        <v>75.599999999999994</v>
      </c>
    </row>
    <row r="79" spans="1:168" x14ac:dyDescent="0.2">
      <c r="A79" s="34" t="s">
        <v>1059</v>
      </c>
      <c r="B79" s="32">
        <v>76.599999999999994</v>
      </c>
      <c r="C79" s="32">
        <v>98.7</v>
      </c>
      <c r="D79" s="32">
        <v>101.1</v>
      </c>
      <c r="E79" s="32">
        <v>101.9</v>
      </c>
      <c r="F79" s="32">
        <v>303.5</v>
      </c>
      <c r="G79" s="32">
        <v>9104.7000000000007</v>
      </c>
      <c r="H79" s="32">
        <v>383.7</v>
      </c>
      <c r="I79" s="32">
        <v>56.3</v>
      </c>
      <c r="J79" s="32">
        <v>84.5</v>
      </c>
      <c r="K79" s="32">
        <v>95.6</v>
      </c>
      <c r="L79" s="32">
        <v>94.3</v>
      </c>
      <c r="M79" s="32">
        <v>99.4</v>
      </c>
      <c r="N79" s="32">
        <v>71.2</v>
      </c>
      <c r="O79" s="32">
        <v>146.69999999999999</v>
      </c>
      <c r="P79" s="32">
        <v>275.10000000000002</v>
      </c>
      <c r="Q79" s="32">
        <v>105.9</v>
      </c>
      <c r="R79" s="32">
        <v>92.4</v>
      </c>
      <c r="S79" s="32">
        <v>121.7</v>
      </c>
      <c r="T79" s="32">
        <v>67.7</v>
      </c>
      <c r="U79" s="32">
        <v>46.2</v>
      </c>
      <c r="V79" s="32">
        <v>126.1</v>
      </c>
      <c r="W79" s="32">
        <v>48</v>
      </c>
      <c r="X79" s="32">
        <v>39.200000000000003</v>
      </c>
      <c r="Y79" s="32">
        <v>55.6</v>
      </c>
      <c r="Z79" s="32">
        <v>81.599999999999994</v>
      </c>
      <c r="AA79" s="32">
        <v>72.599999999999994</v>
      </c>
      <c r="AB79" s="32">
        <v>70.099999999999994</v>
      </c>
      <c r="AC79" s="32">
        <v>69.5</v>
      </c>
      <c r="AD79" s="32">
        <v>81.3</v>
      </c>
      <c r="AE79" s="32">
        <v>118.5</v>
      </c>
      <c r="AF79" s="32">
        <v>118.5</v>
      </c>
      <c r="AG79" s="32">
        <v>67.400000000000006</v>
      </c>
      <c r="AH79" s="32">
        <v>67.400000000000006</v>
      </c>
      <c r="AI79" s="32">
        <v>245.7</v>
      </c>
      <c r="AJ79" s="32">
        <v>44.9</v>
      </c>
      <c r="AK79" s="32">
        <v>1025</v>
      </c>
      <c r="AL79" s="32">
        <v>106.8</v>
      </c>
      <c r="AM79" s="32">
        <v>40.799999999999997</v>
      </c>
      <c r="AN79" s="32">
        <v>79.099999999999994</v>
      </c>
      <c r="AO79" s="32">
        <v>105.6</v>
      </c>
      <c r="AP79" s="32">
        <v>105.6</v>
      </c>
      <c r="AQ79" s="32">
        <v>100.8</v>
      </c>
      <c r="AR79" s="32">
        <v>95.8</v>
      </c>
      <c r="AS79" s="32">
        <v>110.3</v>
      </c>
      <c r="AT79" s="32">
        <v>126.1</v>
      </c>
      <c r="AU79" s="32">
        <v>95.2</v>
      </c>
      <c r="AV79" s="32">
        <v>110.1</v>
      </c>
      <c r="AW79" s="32">
        <v>184.7</v>
      </c>
      <c r="AX79" s="32">
        <v>158.6</v>
      </c>
      <c r="AY79" s="32">
        <v>379.8</v>
      </c>
      <c r="AZ79" s="32">
        <v>96.1</v>
      </c>
      <c r="BA79" s="32">
        <v>46.7</v>
      </c>
      <c r="BB79" s="32">
        <v>46.7</v>
      </c>
      <c r="BC79" s="32">
        <v>118.4</v>
      </c>
      <c r="BD79" s="32">
        <v>118.4</v>
      </c>
      <c r="BE79" s="32">
        <v>98.3</v>
      </c>
      <c r="BF79" s="32">
        <v>98.3</v>
      </c>
      <c r="BG79" s="32">
        <v>78.599999999999994</v>
      </c>
      <c r="BH79" s="32">
        <v>58.3</v>
      </c>
      <c r="BI79" s="32">
        <v>99.8</v>
      </c>
      <c r="BJ79" s="32">
        <v>42.9</v>
      </c>
      <c r="BK79" s="32">
        <v>135.30000000000001</v>
      </c>
      <c r="BL79" s="32">
        <v>30.5</v>
      </c>
      <c r="BM79" s="32">
        <v>88.7</v>
      </c>
      <c r="BN79" s="32">
        <v>90.7</v>
      </c>
      <c r="BO79" s="32">
        <v>90.2</v>
      </c>
      <c r="BP79" s="32">
        <v>91.4</v>
      </c>
      <c r="BQ79" s="32">
        <v>86.5</v>
      </c>
      <c r="BR79" s="32">
        <v>75.400000000000006</v>
      </c>
      <c r="BS79" s="32">
        <v>216</v>
      </c>
      <c r="BT79" s="32">
        <v>61.6</v>
      </c>
      <c r="BU79" s="32">
        <v>127.3</v>
      </c>
      <c r="BV79" s="32">
        <v>127.3</v>
      </c>
      <c r="BW79" s="32">
        <v>156.80000000000001</v>
      </c>
      <c r="BX79" s="32">
        <v>107.9</v>
      </c>
      <c r="BY79" s="32">
        <v>116.4</v>
      </c>
      <c r="BZ79" s="32">
        <v>116.1</v>
      </c>
      <c r="CA79" s="32">
        <v>117</v>
      </c>
      <c r="CB79" s="32">
        <v>127.3</v>
      </c>
      <c r="CC79" s="32">
        <v>114.3</v>
      </c>
      <c r="CD79" s="32">
        <v>45.9</v>
      </c>
      <c r="CE79" s="32">
        <v>98</v>
      </c>
      <c r="CF79" s="32">
        <v>70.8</v>
      </c>
      <c r="CG79" s="32">
        <v>82.9</v>
      </c>
      <c r="CH79" s="32">
        <v>82.1</v>
      </c>
      <c r="CI79" s="32">
        <v>107.4</v>
      </c>
      <c r="CJ79" s="32">
        <v>65.7</v>
      </c>
      <c r="CK79" s="32">
        <v>89.7</v>
      </c>
      <c r="CL79" s="32">
        <v>84</v>
      </c>
      <c r="CM79" s="32">
        <v>94.8</v>
      </c>
      <c r="CN79" s="32">
        <v>58.2</v>
      </c>
      <c r="CO79" s="32">
        <v>105</v>
      </c>
      <c r="CP79" s="32">
        <v>92.1</v>
      </c>
      <c r="CQ79" s="32">
        <v>18.7</v>
      </c>
      <c r="CR79" s="32">
        <v>86.8</v>
      </c>
      <c r="CS79" s="32">
        <v>121.6</v>
      </c>
      <c r="CT79" s="32">
        <v>86.2</v>
      </c>
      <c r="CU79" s="32">
        <v>64.8</v>
      </c>
      <c r="CV79" s="32">
        <v>95.8</v>
      </c>
      <c r="CW79" s="32">
        <v>26.4</v>
      </c>
      <c r="CX79" s="32">
        <v>71.900000000000006</v>
      </c>
      <c r="CY79" s="32">
        <v>86.4</v>
      </c>
      <c r="CZ79" s="32">
        <v>63.9</v>
      </c>
      <c r="DA79" s="32">
        <v>47.3</v>
      </c>
      <c r="DB79" s="32">
        <v>102</v>
      </c>
      <c r="DC79" s="32">
        <v>4.2</v>
      </c>
      <c r="DD79" s="32">
        <v>4.2</v>
      </c>
      <c r="DE79" s="32">
        <v>57.8</v>
      </c>
      <c r="DF79" s="32">
        <v>52</v>
      </c>
      <c r="DG79" s="32">
        <v>96.6</v>
      </c>
      <c r="DH79" s="32">
        <v>77.7</v>
      </c>
      <c r="DI79" s="32">
        <v>109.1</v>
      </c>
      <c r="DJ79" s="32">
        <v>76.2</v>
      </c>
      <c r="DK79" s="32">
        <v>76.2</v>
      </c>
      <c r="DL79" s="32">
        <v>46.8</v>
      </c>
      <c r="DM79" s="32">
        <v>69</v>
      </c>
      <c r="DN79" s="32">
        <v>48.2</v>
      </c>
      <c r="DO79" s="32">
        <v>78.5</v>
      </c>
      <c r="DP79" s="32">
        <v>43.1</v>
      </c>
      <c r="DQ79" s="32">
        <v>65.599999999999994</v>
      </c>
      <c r="DR79" s="32">
        <v>70.7</v>
      </c>
      <c r="DS79" s="32">
        <v>66.7</v>
      </c>
      <c r="DT79" s="32">
        <v>63.9</v>
      </c>
      <c r="DU79" s="32">
        <v>64</v>
      </c>
      <c r="DV79" s="32">
        <v>70</v>
      </c>
      <c r="DW79" s="32">
        <v>57.1</v>
      </c>
      <c r="DX79" s="32">
        <v>63.7</v>
      </c>
      <c r="DY79" s="32">
        <v>75.8</v>
      </c>
      <c r="DZ79" s="32">
        <v>104.3</v>
      </c>
      <c r="EA79" s="32">
        <v>104.3</v>
      </c>
      <c r="EB79" s="32">
        <v>72.2</v>
      </c>
      <c r="EC79" s="32">
        <v>76.3</v>
      </c>
      <c r="ED79" s="32">
        <v>67.2</v>
      </c>
      <c r="EE79" s="32">
        <v>73.900000000000006</v>
      </c>
      <c r="EF79" s="32">
        <v>49.4</v>
      </c>
      <c r="EG79" s="32">
        <v>58.2</v>
      </c>
      <c r="EH79" s="32">
        <v>70.900000000000006</v>
      </c>
      <c r="EI79" s="32">
        <v>53.7</v>
      </c>
      <c r="EJ79" s="32">
        <v>51.2</v>
      </c>
      <c r="EK79" s="32">
        <v>56.2</v>
      </c>
      <c r="EL79" s="32">
        <v>79.5</v>
      </c>
      <c r="EM79" s="32">
        <v>40.299999999999997</v>
      </c>
      <c r="EN79" s="32">
        <v>63.2</v>
      </c>
      <c r="EO79" s="32">
        <v>85.9</v>
      </c>
      <c r="EP79" s="32">
        <v>88.9</v>
      </c>
      <c r="EQ79" s="32">
        <v>88.9</v>
      </c>
      <c r="ER79" s="32">
        <v>92.7</v>
      </c>
      <c r="ES79" s="32">
        <v>92.7</v>
      </c>
      <c r="ET79" s="32">
        <v>79</v>
      </c>
      <c r="EU79" s="32">
        <v>76.400000000000006</v>
      </c>
      <c r="EV79" s="32">
        <v>76.400000000000006</v>
      </c>
      <c r="EW79" s="32">
        <v>85.8</v>
      </c>
      <c r="EX79" s="32">
        <v>94.8</v>
      </c>
      <c r="EY79" s="32">
        <v>78.7</v>
      </c>
      <c r="EZ79" s="32">
        <v>87.6</v>
      </c>
      <c r="FA79" s="32">
        <v>95.2</v>
      </c>
      <c r="FB79" s="32">
        <v>102</v>
      </c>
      <c r="FC79" s="32">
        <v>84.8</v>
      </c>
      <c r="FD79" s="32">
        <v>113.4</v>
      </c>
      <c r="FE79" s="32">
        <v>123</v>
      </c>
      <c r="FF79" s="32">
        <v>87</v>
      </c>
      <c r="FG79" s="32">
        <v>83.4</v>
      </c>
      <c r="FH79" s="32">
        <v>88.7</v>
      </c>
      <c r="FI79" s="32">
        <v>72.5</v>
      </c>
      <c r="FJ79" s="32">
        <v>82.5</v>
      </c>
      <c r="FK79" s="32">
        <v>73.599999999999994</v>
      </c>
      <c r="FL79" s="32">
        <v>73.599999999999994</v>
      </c>
    </row>
    <row r="80" spans="1:168" x14ac:dyDescent="0.2">
      <c r="A80" s="34" t="s">
        <v>1060</v>
      </c>
      <c r="B80" s="32">
        <v>76.400000000000006</v>
      </c>
      <c r="C80" s="32">
        <v>98.4</v>
      </c>
      <c r="D80" s="32">
        <v>100.9</v>
      </c>
      <c r="E80" s="32">
        <v>101.6</v>
      </c>
      <c r="F80" s="32">
        <v>295.5</v>
      </c>
      <c r="G80" s="32">
        <v>9218.1</v>
      </c>
      <c r="H80" s="32">
        <v>373</v>
      </c>
      <c r="I80" s="32">
        <v>55</v>
      </c>
      <c r="J80" s="32">
        <v>84.5</v>
      </c>
      <c r="K80" s="32">
        <v>96.3</v>
      </c>
      <c r="L80" s="32">
        <v>95</v>
      </c>
      <c r="M80" s="32">
        <v>104</v>
      </c>
      <c r="N80" s="32">
        <v>72.7</v>
      </c>
      <c r="O80" s="32">
        <v>149.5</v>
      </c>
      <c r="P80" s="32">
        <v>275.89999999999998</v>
      </c>
      <c r="Q80" s="32">
        <v>107.4</v>
      </c>
      <c r="R80" s="32">
        <v>92.6</v>
      </c>
      <c r="S80" s="32">
        <v>120.8</v>
      </c>
      <c r="T80" s="32">
        <v>68.2</v>
      </c>
      <c r="U80" s="32">
        <v>47.8</v>
      </c>
      <c r="V80" s="32">
        <v>125.5</v>
      </c>
      <c r="W80" s="32">
        <v>47.2</v>
      </c>
      <c r="X80" s="32">
        <v>37.700000000000003</v>
      </c>
      <c r="Y80" s="32">
        <v>56.8</v>
      </c>
      <c r="Z80" s="32">
        <v>73.5</v>
      </c>
      <c r="AA80" s="32">
        <v>73.099999999999994</v>
      </c>
      <c r="AB80" s="32">
        <v>70.3</v>
      </c>
      <c r="AC80" s="32">
        <v>69.3</v>
      </c>
      <c r="AD80" s="32">
        <v>82.5</v>
      </c>
      <c r="AE80" s="32">
        <v>114.3</v>
      </c>
      <c r="AF80" s="32">
        <v>114.3</v>
      </c>
      <c r="AG80" s="32">
        <v>69</v>
      </c>
      <c r="AH80" s="32">
        <v>69</v>
      </c>
      <c r="AI80" s="32">
        <v>240.7</v>
      </c>
      <c r="AJ80" s="32">
        <v>47.3</v>
      </c>
      <c r="AK80" s="32">
        <v>1063.7</v>
      </c>
      <c r="AL80" s="32">
        <v>105.6</v>
      </c>
      <c r="AM80" s="32">
        <v>40.799999999999997</v>
      </c>
      <c r="AN80" s="32">
        <v>83.2</v>
      </c>
      <c r="AO80" s="32">
        <v>107.8</v>
      </c>
      <c r="AP80" s="32">
        <v>107.8</v>
      </c>
      <c r="AQ80" s="32">
        <v>100.3</v>
      </c>
      <c r="AR80" s="32">
        <v>95.1</v>
      </c>
      <c r="AS80" s="32">
        <v>110</v>
      </c>
      <c r="AT80" s="32">
        <v>124.3</v>
      </c>
      <c r="AU80" s="32">
        <v>96.4</v>
      </c>
      <c r="AV80" s="32">
        <v>109.1</v>
      </c>
      <c r="AW80" s="32">
        <v>184.8</v>
      </c>
      <c r="AX80" s="32">
        <v>157.69999999999999</v>
      </c>
      <c r="AY80" s="32">
        <v>381.6</v>
      </c>
      <c r="AZ80" s="32">
        <v>94.9</v>
      </c>
      <c r="BA80" s="32">
        <v>43.2</v>
      </c>
      <c r="BB80" s="32">
        <v>43.2</v>
      </c>
      <c r="BC80" s="32">
        <v>117.1</v>
      </c>
      <c r="BD80" s="32">
        <v>117.1</v>
      </c>
      <c r="BE80" s="32">
        <v>100.1</v>
      </c>
      <c r="BF80" s="32">
        <v>100.1</v>
      </c>
      <c r="BG80" s="32">
        <v>77.8</v>
      </c>
      <c r="BH80" s="32">
        <v>58.6</v>
      </c>
      <c r="BI80" s="32">
        <v>97.6</v>
      </c>
      <c r="BJ80" s="32">
        <v>42.6</v>
      </c>
      <c r="BK80" s="32">
        <v>132.19999999999999</v>
      </c>
      <c r="BL80" s="32">
        <v>29.6</v>
      </c>
      <c r="BM80" s="32">
        <v>90.7</v>
      </c>
      <c r="BN80" s="32">
        <v>92.9</v>
      </c>
      <c r="BO80" s="32">
        <v>91.4</v>
      </c>
      <c r="BP80" s="32">
        <v>94.5</v>
      </c>
      <c r="BQ80" s="32">
        <v>88.2</v>
      </c>
      <c r="BR80" s="32">
        <v>67.2</v>
      </c>
      <c r="BS80" s="32">
        <v>230.7</v>
      </c>
      <c r="BT80" s="32">
        <v>62.5</v>
      </c>
      <c r="BU80" s="32">
        <v>126</v>
      </c>
      <c r="BV80" s="32">
        <v>126</v>
      </c>
      <c r="BW80" s="32">
        <v>158.9</v>
      </c>
      <c r="BX80" s="32">
        <v>100.5</v>
      </c>
      <c r="BY80" s="32">
        <v>117.3</v>
      </c>
      <c r="BZ80" s="32">
        <v>114</v>
      </c>
      <c r="CA80" s="32">
        <v>119.4</v>
      </c>
      <c r="CB80" s="32">
        <v>130.6</v>
      </c>
      <c r="CC80" s="32">
        <v>116</v>
      </c>
      <c r="CD80" s="32">
        <v>47</v>
      </c>
      <c r="CE80" s="32">
        <v>97.9</v>
      </c>
      <c r="CF80" s="32">
        <v>70.7</v>
      </c>
      <c r="CG80" s="32">
        <v>82.4</v>
      </c>
      <c r="CH80" s="32">
        <v>81.599999999999994</v>
      </c>
      <c r="CI80" s="32">
        <v>103.4</v>
      </c>
      <c r="CJ80" s="32">
        <v>65.5</v>
      </c>
      <c r="CK80" s="32">
        <v>89.7</v>
      </c>
      <c r="CL80" s="32">
        <v>84</v>
      </c>
      <c r="CM80" s="32">
        <v>95.4</v>
      </c>
      <c r="CN80" s="32">
        <v>57.9</v>
      </c>
      <c r="CO80" s="32">
        <v>105.9</v>
      </c>
      <c r="CP80" s="32">
        <v>92.2</v>
      </c>
      <c r="CQ80" s="32">
        <v>18.5</v>
      </c>
      <c r="CR80" s="32">
        <v>86.1</v>
      </c>
      <c r="CS80" s="32">
        <v>121.6</v>
      </c>
      <c r="CT80" s="32">
        <v>85</v>
      </c>
      <c r="CU80" s="32">
        <v>64.400000000000006</v>
      </c>
      <c r="CV80" s="32">
        <v>94.2</v>
      </c>
      <c r="CW80" s="32">
        <v>26.1</v>
      </c>
      <c r="CX80" s="32">
        <v>72.5</v>
      </c>
      <c r="CY80" s="32">
        <v>87.9</v>
      </c>
      <c r="CZ80" s="32">
        <v>64</v>
      </c>
      <c r="DA80" s="32">
        <v>47.6</v>
      </c>
      <c r="DB80" s="32">
        <v>101.6</v>
      </c>
      <c r="DC80" s="32">
        <v>4.3</v>
      </c>
      <c r="DD80" s="32">
        <v>4.3</v>
      </c>
      <c r="DE80" s="32">
        <v>54.3</v>
      </c>
      <c r="DF80" s="32">
        <v>49.3</v>
      </c>
      <c r="DG80" s="32">
        <v>86.8</v>
      </c>
      <c r="DH80" s="32">
        <v>78.2</v>
      </c>
      <c r="DI80" s="32">
        <v>110.6</v>
      </c>
      <c r="DJ80" s="32">
        <v>75.7</v>
      </c>
      <c r="DK80" s="32">
        <v>75.7</v>
      </c>
      <c r="DL80" s="32">
        <v>46.6</v>
      </c>
      <c r="DM80" s="32">
        <v>69.3</v>
      </c>
      <c r="DN80" s="32">
        <v>48.8</v>
      </c>
      <c r="DO80" s="32">
        <v>78.7</v>
      </c>
      <c r="DP80" s="32">
        <v>42.8</v>
      </c>
      <c r="DQ80" s="32">
        <v>64.8</v>
      </c>
      <c r="DR80" s="32">
        <v>69.8</v>
      </c>
      <c r="DS80" s="32">
        <v>65.2</v>
      </c>
      <c r="DT80" s="32">
        <v>62.1</v>
      </c>
      <c r="DU80" s="32">
        <v>61.5</v>
      </c>
      <c r="DV80" s="32">
        <v>65.3</v>
      </c>
      <c r="DW80" s="32">
        <v>57.1</v>
      </c>
      <c r="DX80" s="32">
        <v>63.5</v>
      </c>
      <c r="DY80" s="32">
        <v>75.400000000000006</v>
      </c>
      <c r="DZ80" s="32">
        <v>105.9</v>
      </c>
      <c r="EA80" s="32">
        <v>105.9</v>
      </c>
      <c r="EB80" s="32">
        <v>72.099999999999994</v>
      </c>
      <c r="EC80" s="32">
        <v>77.099999999999994</v>
      </c>
      <c r="ED80" s="32">
        <v>65.900000000000006</v>
      </c>
      <c r="EE80" s="32">
        <v>72</v>
      </c>
      <c r="EF80" s="32">
        <v>49.6</v>
      </c>
      <c r="EG80" s="32">
        <v>57.5</v>
      </c>
      <c r="EH80" s="32">
        <v>68.900000000000006</v>
      </c>
      <c r="EI80" s="32">
        <v>55.4</v>
      </c>
      <c r="EJ80" s="32">
        <v>45.7</v>
      </c>
      <c r="EK80" s="32">
        <v>55.6</v>
      </c>
      <c r="EL80" s="32">
        <v>70.400000000000006</v>
      </c>
      <c r="EM80" s="32">
        <v>40.200000000000003</v>
      </c>
      <c r="EN80" s="32">
        <v>63.7</v>
      </c>
      <c r="EO80" s="32">
        <v>86.2</v>
      </c>
      <c r="EP80" s="32">
        <v>89.7</v>
      </c>
      <c r="EQ80" s="32">
        <v>89.7</v>
      </c>
      <c r="ER80" s="32">
        <v>92.6</v>
      </c>
      <c r="ES80" s="32">
        <v>92.6</v>
      </c>
      <c r="ET80" s="32">
        <v>79.2</v>
      </c>
      <c r="EU80" s="32">
        <v>76.7</v>
      </c>
      <c r="EV80" s="32">
        <v>76.7</v>
      </c>
      <c r="EW80" s="32">
        <v>85.9</v>
      </c>
      <c r="EX80" s="32">
        <v>94.5</v>
      </c>
      <c r="EY80" s="32">
        <v>79.099999999999994</v>
      </c>
      <c r="EZ80" s="32">
        <v>87</v>
      </c>
      <c r="FA80" s="32">
        <v>94.9</v>
      </c>
      <c r="FB80" s="32">
        <v>100.4</v>
      </c>
      <c r="FC80" s="32">
        <v>80.099999999999994</v>
      </c>
      <c r="FD80" s="32">
        <v>115.5</v>
      </c>
      <c r="FE80" s="32">
        <v>125.6</v>
      </c>
      <c r="FF80" s="32">
        <v>88.4</v>
      </c>
      <c r="FG80" s="32">
        <v>82.8</v>
      </c>
      <c r="FH80" s="32">
        <v>87.6</v>
      </c>
      <c r="FI80" s="32">
        <v>67.3</v>
      </c>
      <c r="FJ80" s="32">
        <v>82.7</v>
      </c>
      <c r="FK80" s="32">
        <v>71.8</v>
      </c>
      <c r="FL80" s="32">
        <v>71.8</v>
      </c>
    </row>
    <row r="81" spans="1:168" x14ac:dyDescent="0.2">
      <c r="A81" s="34" t="s">
        <v>1061</v>
      </c>
      <c r="B81" s="32">
        <v>77.2</v>
      </c>
      <c r="C81" s="32">
        <v>98.2</v>
      </c>
      <c r="D81" s="32">
        <v>100.7</v>
      </c>
      <c r="E81" s="32">
        <v>101.1</v>
      </c>
      <c r="F81" s="32">
        <v>280.10000000000002</v>
      </c>
      <c r="G81" s="32">
        <v>9480.2000000000007</v>
      </c>
      <c r="H81" s="32">
        <v>350.1</v>
      </c>
      <c r="I81" s="32">
        <v>55.1</v>
      </c>
      <c r="J81" s="32">
        <v>84.6</v>
      </c>
      <c r="K81" s="32">
        <v>94.6</v>
      </c>
      <c r="L81" s="32">
        <v>92.6</v>
      </c>
      <c r="M81" s="32">
        <v>99.3</v>
      </c>
      <c r="N81" s="32">
        <v>75.099999999999994</v>
      </c>
      <c r="O81" s="32">
        <v>144.9</v>
      </c>
      <c r="P81" s="32">
        <v>272.89999999999998</v>
      </c>
      <c r="Q81" s="32">
        <v>107.6</v>
      </c>
      <c r="R81" s="32">
        <v>91.5</v>
      </c>
      <c r="S81" s="32">
        <v>116.7</v>
      </c>
      <c r="T81" s="32">
        <v>55.8</v>
      </c>
      <c r="U81" s="32">
        <v>50.4</v>
      </c>
      <c r="V81" s="32">
        <v>125.5</v>
      </c>
      <c r="W81" s="32">
        <v>48.4</v>
      </c>
      <c r="X81" s="32">
        <v>39.6</v>
      </c>
      <c r="Y81" s="32">
        <v>57.4</v>
      </c>
      <c r="Z81" s="32">
        <v>68.2</v>
      </c>
      <c r="AA81" s="32">
        <v>72.5</v>
      </c>
      <c r="AB81" s="32">
        <v>66</v>
      </c>
      <c r="AC81" s="32">
        <v>72.7</v>
      </c>
      <c r="AD81" s="32">
        <v>80.5</v>
      </c>
      <c r="AE81" s="32">
        <v>110.3</v>
      </c>
      <c r="AF81" s="32">
        <v>110.3</v>
      </c>
      <c r="AG81" s="32">
        <v>66.7</v>
      </c>
      <c r="AH81" s="32">
        <v>66.7</v>
      </c>
      <c r="AI81" s="32">
        <v>245.4</v>
      </c>
      <c r="AJ81" s="32">
        <v>43.4</v>
      </c>
      <c r="AK81" s="32">
        <v>1002.3</v>
      </c>
      <c r="AL81" s="32">
        <v>107.1</v>
      </c>
      <c r="AM81" s="32">
        <v>40.700000000000003</v>
      </c>
      <c r="AN81" s="32">
        <v>87.6</v>
      </c>
      <c r="AO81" s="32">
        <v>106.6</v>
      </c>
      <c r="AP81" s="32">
        <v>106.6</v>
      </c>
      <c r="AQ81" s="32">
        <v>102.6</v>
      </c>
      <c r="AR81" s="32">
        <v>97.2</v>
      </c>
      <c r="AS81" s="32">
        <v>112.7</v>
      </c>
      <c r="AT81" s="32">
        <v>121.9</v>
      </c>
      <c r="AU81" s="32">
        <v>103.9</v>
      </c>
      <c r="AV81" s="32">
        <v>110.4</v>
      </c>
      <c r="AW81" s="32">
        <v>182.9</v>
      </c>
      <c r="AX81" s="32">
        <v>158</v>
      </c>
      <c r="AY81" s="32">
        <v>374.8</v>
      </c>
      <c r="AZ81" s="32">
        <v>96.8</v>
      </c>
      <c r="BA81" s="32">
        <v>42.8</v>
      </c>
      <c r="BB81" s="32">
        <v>42.8</v>
      </c>
      <c r="BC81" s="32">
        <v>121.2</v>
      </c>
      <c r="BD81" s="32">
        <v>121.2</v>
      </c>
      <c r="BE81" s="32">
        <v>100</v>
      </c>
      <c r="BF81" s="32">
        <v>100</v>
      </c>
      <c r="BG81" s="32">
        <v>80.7</v>
      </c>
      <c r="BH81" s="32">
        <v>63.7</v>
      </c>
      <c r="BI81" s="32">
        <v>97</v>
      </c>
      <c r="BJ81" s="32">
        <v>42.3</v>
      </c>
      <c r="BK81" s="32">
        <v>130.9</v>
      </c>
      <c r="BL81" s="32">
        <v>30.7</v>
      </c>
      <c r="BM81" s="32">
        <v>89.5</v>
      </c>
      <c r="BN81" s="32">
        <v>91.9</v>
      </c>
      <c r="BO81" s="32">
        <v>92.3</v>
      </c>
      <c r="BP81" s="32">
        <v>92.1</v>
      </c>
      <c r="BQ81" s="32">
        <v>86.8</v>
      </c>
      <c r="BR81" s="32">
        <v>71.400000000000006</v>
      </c>
      <c r="BS81" s="32">
        <v>217.5</v>
      </c>
      <c r="BT81" s="32">
        <v>62.2</v>
      </c>
      <c r="BU81" s="32">
        <v>126.7</v>
      </c>
      <c r="BV81" s="32">
        <v>126.7</v>
      </c>
      <c r="BW81" s="32">
        <v>160.19999999999999</v>
      </c>
      <c r="BX81" s="32">
        <v>100.2</v>
      </c>
      <c r="BY81" s="32">
        <v>115.6</v>
      </c>
      <c r="BZ81" s="32">
        <v>114.4</v>
      </c>
      <c r="CA81" s="32">
        <v>116.7</v>
      </c>
      <c r="CB81" s="32">
        <v>124.6</v>
      </c>
      <c r="CC81" s="32">
        <v>116.5</v>
      </c>
      <c r="CD81" s="32">
        <v>44.5</v>
      </c>
      <c r="CE81" s="32">
        <v>98.7</v>
      </c>
      <c r="CF81" s="32">
        <v>71.7</v>
      </c>
      <c r="CG81" s="32">
        <v>85.2</v>
      </c>
      <c r="CH81" s="32">
        <v>84.9</v>
      </c>
      <c r="CI81" s="32">
        <v>105.6</v>
      </c>
      <c r="CJ81" s="32">
        <v>72.900000000000006</v>
      </c>
      <c r="CK81" s="32">
        <v>89.5</v>
      </c>
      <c r="CL81" s="32">
        <v>86.3</v>
      </c>
      <c r="CM81" s="32">
        <v>95.9</v>
      </c>
      <c r="CN81" s="32">
        <v>57.1</v>
      </c>
      <c r="CO81" s="32">
        <v>106.7</v>
      </c>
      <c r="CP81" s="32">
        <v>93</v>
      </c>
      <c r="CQ81" s="32">
        <v>20.2</v>
      </c>
      <c r="CR81" s="32">
        <v>85.8</v>
      </c>
      <c r="CS81" s="32">
        <v>133.19999999999999</v>
      </c>
      <c r="CT81" s="32">
        <v>86.7</v>
      </c>
      <c r="CU81" s="32">
        <v>64.5</v>
      </c>
      <c r="CV81" s="32">
        <v>96.7</v>
      </c>
      <c r="CW81" s="32">
        <v>27.3</v>
      </c>
      <c r="CX81" s="32">
        <v>74.2</v>
      </c>
      <c r="CY81" s="32">
        <v>87.7</v>
      </c>
      <c r="CZ81" s="32">
        <v>67.099999999999994</v>
      </c>
      <c r="DA81" s="32">
        <v>51.7</v>
      </c>
      <c r="DB81" s="32">
        <v>101.2</v>
      </c>
      <c r="DC81" s="32">
        <v>4.4000000000000004</v>
      </c>
      <c r="DD81" s="32">
        <v>4.4000000000000004</v>
      </c>
      <c r="DE81" s="32">
        <v>59.3</v>
      </c>
      <c r="DF81" s="32">
        <v>54</v>
      </c>
      <c r="DG81" s="32">
        <v>94.7</v>
      </c>
      <c r="DH81" s="32">
        <v>77.599999999999994</v>
      </c>
      <c r="DI81" s="32">
        <v>112.2</v>
      </c>
      <c r="DJ81" s="32">
        <v>74.2</v>
      </c>
      <c r="DK81" s="32">
        <v>74.2</v>
      </c>
      <c r="DL81" s="32">
        <v>43.3</v>
      </c>
      <c r="DM81" s="32">
        <v>69.900000000000006</v>
      </c>
      <c r="DN81" s="32">
        <v>48.8</v>
      </c>
      <c r="DO81" s="32">
        <v>79.5</v>
      </c>
      <c r="DP81" s="32">
        <v>42.9</v>
      </c>
      <c r="DQ81" s="32">
        <v>64.8</v>
      </c>
      <c r="DR81" s="32">
        <v>70.3</v>
      </c>
      <c r="DS81" s="32">
        <v>64.2</v>
      </c>
      <c r="DT81" s="32">
        <v>61.1</v>
      </c>
      <c r="DU81" s="32">
        <v>60.2</v>
      </c>
      <c r="DV81" s="32">
        <v>66.400000000000006</v>
      </c>
      <c r="DW81" s="32">
        <v>53.1</v>
      </c>
      <c r="DX81" s="32">
        <v>62.9</v>
      </c>
      <c r="DY81" s="32">
        <v>74.400000000000006</v>
      </c>
      <c r="DZ81" s="32">
        <v>123.5</v>
      </c>
      <c r="EA81" s="32">
        <v>123.5</v>
      </c>
      <c r="EB81" s="32">
        <v>72.3</v>
      </c>
      <c r="EC81" s="32">
        <v>79.400000000000006</v>
      </c>
      <c r="ED81" s="32">
        <v>63.3</v>
      </c>
      <c r="EE81" s="32">
        <v>68.3</v>
      </c>
      <c r="EF81" s="32">
        <v>50.1</v>
      </c>
      <c r="EG81" s="32">
        <v>56.9</v>
      </c>
      <c r="EH81" s="32">
        <v>71.900000000000006</v>
      </c>
      <c r="EI81" s="32">
        <v>54.7</v>
      </c>
      <c r="EJ81" s="32">
        <v>49.4</v>
      </c>
      <c r="EK81" s="32">
        <v>52.1</v>
      </c>
      <c r="EL81" s="32">
        <v>68.2</v>
      </c>
      <c r="EM81" s="32">
        <v>38.799999999999997</v>
      </c>
      <c r="EN81" s="32">
        <v>58.4</v>
      </c>
      <c r="EO81" s="32">
        <v>86.3</v>
      </c>
      <c r="EP81" s="32">
        <v>89.4</v>
      </c>
      <c r="EQ81" s="32">
        <v>89.4</v>
      </c>
      <c r="ER81" s="32">
        <v>93.3</v>
      </c>
      <c r="ES81" s="32">
        <v>93.3</v>
      </c>
      <c r="ET81" s="32">
        <v>79.3</v>
      </c>
      <c r="EU81" s="32">
        <v>76.8</v>
      </c>
      <c r="EV81" s="32">
        <v>76.8</v>
      </c>
      <c r="EW81" s="32">
        <v>85.8</v>
      </c>
      <c r="EX81" s="32">
        <v>94.2</v>
      </c>
      <c r="EY81" s="32">
        <v>79.3</v>
      </c>
      <c r="EZ81" s="32">
        <v>87.5</v>
      </c>
      <c r="FA81" s="32">
        <v>97.4</v>
      </c>
      <c r="FB81" s="32">
        <v>103.5</v>
      </c>
      <c r="FC81" s="32">
        <v>83.3</v>
      </c>
      <c r="FD81" s="32">
        <v>117.5</v>
      </c>
      <c r="FE81" s="32">
        <v>128.9</v>
      </c>
      <c r="FF81" s="32">
        <v>90</v>
      </c>
      <c r="FG81" s="32">
        <v>83</v>
      </c>
      <c r="FH81" s="32">
        <v>85.8</v>
      </c>
      <c r="FI81" s="32">
        <v>73.3</v>
      </c>
      <c r="FJ81" s="32">
        <v>83.1</v>
      </c>
      <c r="FK81" s="32">
        <v>60.5</v>
      </c>
      <c r="FL81" s="32">
        <v>60.5</v>
      </c>
    </row>
    <row r="82" spans="1:168" x14ac:dyDescent="0.2">
      <c r="A82" s="34" t="s">
        <v>1062</v>
      </c>
      <c r="B82" s="32">
        <v>76.900000000000006</v>
      </c>
      <c r="C82" s="32">
        <v>97.6</v>
      </c>
      <c r="D82" s="32">
        <v>99.9</v>
      </c>
      <c r="E82" s="32">
        <v>99.8</v>
      </c>
      <c r="F82" s="32">
        <v>278.2</v>
      </c>
      <c r="G82" s="32">
        <v>9279.6</v>
      </c>
      <c r="H82" s="32">
        <v>348.4</v>
      </c>
      <c r="I82" s="32">
        <v>54.3</v>
      </c>
      <c r="J82" s="32">
        <v>82.9</v>
      </c>
      <c r="K82" s="32">
        <v>94.5</v>
      </c>
      <c r="L82" s="32">
        <v>93.6</v>
      </c>
      <c r="M82" s="32">
        <v>102</v>
      </c>
      <c r="N82" s="32">
        <v>75.8</v>
      </c>
      <c r="O82" s="32">
        <v>144.80000000000001</v>
      </c>
      <c r="P82" s="32">
        <v>274.60000000000002</v>
      </c>
      <c r="Q82" s="32">
        <v>109.5</v>
      </c>
      <c r="R82" s="32">
        <v>92.3</v>
      </c>
      <c r="S82" s="32">
        <v>117</v>
      </c>
      <c r="T82" s="32">
        <v>59</v>
      </c>
      <c r="U82" s="32">
        <v>47.5</v>
      </c>
      <c r="V82" s="32">
        <v>120.8</v>
      </c>
      <c r="W82" s="32">
        <v>45.8</v>
      </c>
      <c r="X82" s="32">
        <v>37.5</v>
      </c>
      <c r="Y82" s="32">
        <v>54.8</v>
      </c>
      <c r="Z82" s="32">
        <v>60.2</v>
      </c>
      <c r="AA82" s="32">
        <v>73.099999999999994</v>
      </c>
      <c r="AB82" s="32">
        <v>66.400000000000006</v>
      </c>
      <c r="AC82" s="32">
        <v>70.3</v>
      </c>
      <c r="AD82" s="32">
        <v>83.7</v>
      </c>
      <c r="AE82" s="32">
        <v>113</v>
      </c>
      <c r="AF82" s="32">
        <v>113</v>
      </c>
      <c r="AG82" s="32">
        <v>65.8</v>
      </c>
      <c r="AH82" s="32">
        <v>65.8</v>
      </c>
      <c r="AI82" s="32">
        <v>238.7</v>
      </c>
      <c r="AJ82" s="32">
        <v>43.8</v>
      </c>
      <c r="AK82" s="32">
        <v>1000</v>
      </c>
      <c r="AL82" s="32">
        <v>99.2</v>
      </c>
      <c r="AM82" s="32">
        <v>40.200000000000003</v>
      </c>
      <c r="AN82" s="32">
        <v>85.8</v>
      </c>
      <c r="AO82" s="32">
        <v>101</v>
      </c>
      <c r="AP82" s="32">
        <v>101</v>
      </c>
      <c r="AQ82" s="32">
        <v>101.5</v>
      </c>
      <c r="AR82" s="32">
        <v>97.8</v>
      </c>
      <c r="AS82" s="32">
        <v>108.6</v>
      </c>
      <c r="AT82" s="32">
        <v>120.5</v>
      </c>
      <c r="AU82" s="32">
        <v>97.2</v>
      </c>
      <c r="AV82" s="32">
        <v>104.4</v>
      </c>
      <c r="AW82" s="32">
        <v>175.9</v>
      </c>
      <c r="AX82" s="32">
        <v>144.4</v>
      </c>
      <c r="AY82" s="32">
        <v>372.8</v>
      </c>
      <c r="AZ82" s="32">
        <v>90.9</v>
      </c>
      <c r="BA82" s="32">
        <v>42.7</v>
      </c>
      <c r="BB82" s="32">
        <v>42.7</v>
      </c>
      <c r="BC82" s="32">
        <v>120.3</v>
      </c>
      <c r="BD82" s="32">
        <v>120.3</v>
      </c>
      <c r="BE82" s="32">
        <v>100.1</v>
      </c>
      <c r="BF82" s="32">
        <v>100.1</v>
      </c>
      <c r="BG82" s="32">
        <v>77.900000000000006</v>
      </c>
      <c r="BH82" s="32">
        <v>60.9</v>
      </c>
      <c r="BI82" s="32">
        <v>94.6</v>
      </c>
      <c r="BJ82" s="32">
        <v>41.6</v>
      </c>
      <c r="BK82" s="32">
        <v>127.2</v>
      </c>
      <c r="BL82" s="32">
        <v>30.8</v>
      </c>
      <c r="BM82" s="32">
        <v>87.7</v>
      </c>
      <c r="BN82" s="32">
        <v>90</v>
      </c>
      <c r="BO82" s="32">
        <v>90.4</v>
      </c>
      <c r="BP82" s="32">
        <v>90.1</v>
      </c>
      <c r="BQ82" s="32">
        <v>85.1</v>
      </c>
      <c r="BR82" s="32">
        <v>79.7</v>
      </c>
      <c r="BS82" s="32">
        <v>199.1</v>
      </c>
      <c r="BT82" s="32">
        <v>62</v>
      </c>
      <c r="BU82" s="32">
        <v>131.30000000000001</v>
      </c>
      <c r="BV82" s="32">
        <v>131.30000000000001</v>
      </c>
      <c r="BW82" s="32">
        <v>162.80000000000001</v>
      </c>
      <c r="BX82" s="32">
        <v>109.7</v>
      </c>
      <c r="BY82" s="32">
        <v>115.5</v>
      </c>
      <c r="BZ82" s="32">
        <v>113</v>
      </c>
      <c r="CA82" s="32">
        <v>117.2</v>
      </c>
      <c r="CB82" s="32">
        <v>125.8</v>
      </c>
      <c r="CC82" s="32">
        <v>116.4</v>
      </c>
      <c r="CD82" s="32">
        <v>44.3</v>
      </c>
      <c r="CE82" s="32">
        <v>99.5</v>
      </c>
      <c r="CF82" s="32">
        <v>71.5</v>
      </c>
      <c r="CG82" s="32">
        <v>83.9</v>
      </c>
      <c r="CH82" s="32">
        <v>82.7</v>
      </c>
      <c r="CI82" s="32">
        <v>103.7</v>
      </c>
      <c r="CJ82" s="32">
        <v>69.2</v>
      </c>
      <c r="CK82" s="32">
        <v>88.6</v>
      </c>
      <c r="CL82" s="32">
        <v>85.6</v>
      </c>
      <c r="CM82" s="32">
        <v>95.8</v>
      </c>
      <c r="CN82" s="32">
        <v>56.8</v>
      </c>
      <c r="CO82" s="32">
        <v>106.7</v>
      </c>
      <c r="CP82" s="32">
        <v>95</v>
      </c>
      <c r="CQ82" s="32">
        <v>20.2</v>
      </c>
      <c r="CR82" s="32">
        <v>84.6</v>
      </c>
      <c r="CS82" s="32">
        <v>128.9</v>
      </c>
      <c r="CT82" s="32">
        <v>87.9</v>
      </c>
      <c r="CU82" s="32">
        <v>66.5</v>
      </c>
      <c r="CV82" s="32">
        <v>97.6</v>
      </c>
      <c r="CW82" s="32">
        <v>27.5</v>
      </c>
      <c r="CX82" s="32">
        <v>74.599999999999994</v>
      </c>
      <c r="CY82" s="32">
        <v>90.4</v>
      </c>
      <c r="CZ82" s="32">
        <v>66</v>
      </c>
      <c r="DA82" s="32">
        <v>50.6</v>
      </c>
      <c r="DB82" s="32">
        <v>100.2</v>
      </c>
      <c r="DC82" s="32">
        <v>4.4000000000000004</v>
      </c>
      <c r="DD82" s="32">
        <v>4.4000000000000004</v>
      </c>
      <c r="DE82" s="32">
        <v>60.1</v>
      </c>
      <c r="DF82" s="32">
        <v>55.4</v>
      </c>
      <c r="DG82" s="32">
        <v>90.2</v>
      </c>
      <c r="DH82" s="32">
        <v>78.7</v>
      </c>
      <c r="DI82" s="32">
        <v>113.9</v>
      </c>
      <c r="DJ82" s="32">
        <v>73.7</v>
      </c>
      <c r="DK82" s="32">
        <v>73.7</v>
      </c>
      <c r="DL82" s="32">
        <v>45.3</v>
      </c>
      <c r="DM82" s="32">
        <v>70.400000000000006</v>
      </c>
      <c r="DN82" s="32">
        <v>49.1</v>
      </c>
      <c r="DO82" s="32">
        <v>80.099999999999994</v>
      </c>
      <c r="DP82" s="32">
        <v>42.8</v>
      </c>
      <c r="DQ82" s="32">
        <v>64.099999999999994</v>
      </c>
      <c r="DR82" s="32">
        <v>69.400000000000006</v>
      </c>
      <c r="DS82" s="32">
        <v>64.599999999999994</v>
      </c>
      <c r="DT82" s="32">
        <v>61.8</v>
      </c>
      <c r="DU82" s="32">
        <v>61.8</v>
      </c>
      <c r="DV82" s="32">
        <v>67.400000000000006</v>
      </c>
      <c r="DW82" s="32">
        <v>55.4</v>
      </c>
      <c r="DX82" s="32">
        <v>61.9</v>
      </c>
      <c r="DY82" s="32">
        <v>73.7</v>
      </c>
      <c r="DZ82" s="32">
        <v>105.8</v>
      </c>
      <c r="EA82" s="32">
        <v>105.8</v>
      </c>
      <c r="EB82" s="32">
        <v>72.599999999999994</v>
      </c>
      <c r="EC82" s="32">
        <v>78.8</v>
      </c>
      <c r="ED82" s="32">
        <v>64.900000000000006</v>
      </c>
      <c r="EE82" s="32">
        <v>70.3</v>
      </c>
      <c r="EF82" s="32">
        <v>50.5</v>
      </c>
      <c r="EG82" s="32">
        <v>56.4</v>
      </c>
      <c r="EH82" s="32">
        <v>67.2</v>
      </c>
      <c r="EI82" s="32">
        <v>53.8</v>
      </c>
      <c r="EJ82" s="32">
        <v>52.4</v>
      </c>
      <c r="EK82" s="32">
        <v>53.8</v>
      </c>
      <c r="EL82" s="32">
        <v>68.2</v>
      </c>
      <c r="EM82" s="32">
        <v>39.4</v>
      </c>
      <c r="EN82" s="32">
        <v>61.3</v>
      </c>
      <c r="EO82" s="32">
        <v>86.5</v>
      </c>
      <c r="EP82" s="32">
        <v>89</v>
      </c>
      <c r="EQ82" s="32">
        <v>89</v>
      </c>
      <c r="ER82" s="32">
        <v>93.8</v>
      </c>
      <c r="ES82" s="32">
        <v>93.8</v>
      </c>
      <c r="ET82" s="32">
        <v>79.5</v>
      </c>
      <c r="EU82" s="32">
        <v>77.099999999999994</v>
      </c>
      <c r="EV82" s="32">
        <v>77.099999999999994</v>
      </c>
      <c r="EW82" s="32">
        <v>85.8</v>
      </c>
      <c r="EX82" s="32">
        <v>93.9</v>
      </c>
      <c r="EY82" s="32">
        <v>79.400000000000006</v>
      </c>
      <c r="EZ82" s="32">
        <v>87.4</v>
      </c>
      <c r="FA82" s="32">
        <v>96.9</v>
      </c>
      <c r="FB82" s="32">
        <v>101.1</v>
      </c>
      <c r="FC82" s="32">
        <v>77</v>
      </c>
      <c r="FD82" s="32">
        <v>118.8</v>
      </c>
      <c r="FE82" s="32">
        <v>132.1</v>
      </c>
      <c r="FF82" s="32">
        <v>91.9</v>
      </c>
      <c r="FG82" s="32">
        <v>83</v>
      </c>
      <c r="FH82" s="32">
        <v>85.7</v>
      </c>
      <c r="FI82" s="32">
        <v>73.900000000000006</v>
      </c>
      <c r="FJ82" s="32">
        <v>83</v>
      </c>
      <c r="FK82" s="32">
        <v>61.6</v>
      </c>
      <c r="FL82" s="32">
        <v>61.6</v>
      </c>
    </row>
    <row r="83" spans="1:168" x14ac:dyDescent="0.2">
      <c r="A83" s="34" t="s">
        <v>1063</v>
      </c>
      <c r="B83" s="32">
        <v>77.400000000000006</v>
      </c>
      <c r="C83" s="32">
        <v>96.8</v>
      </c>
      <c r="D83" s="32">
        <v>100.5</v>
      </c>
      <c r="E83" s="32">
        <v>100.4</v>
      </c>
      <c r="F83" s="32">
        <v>273.89999999999998</v>
      </c>
      <c r="G83" s="32">
        <v>9260.1</v>
      </c>
      <c r="H83" s="32">
        <v>341.6</v>
      </c>
      <c r="I83" s="32">
        <v>54.9</v>
      </c>
      <c r="J83" s="32">
        <v>83.5</v>
      </c>
      <c r="K83" s="32">
        <v>94.5</v>
      </c>
      <c r="L83" s="32">
        <v>93.7</v>
      </c>
      <c r="M83" s="32">
        <v>105.7</v>
      </c>
      <c r="N83" s="32">
        <v>77.099999999999994</v>
      </c>
      <c r="O83" s="32">
        <v>146.30000000000001</v>
      </c>
      <c r="P83" s="32">
        <v>277.39999999999998</v>
      </c>
      <c r="Q83" s="32">
        <v>110.5</v>
      </c>
      <c r="R83" s="32">
        <v>90.3</v>
      </c>
      <c r="S83" s="32">
        <v>115.8</v>
      </c>
      <c r="T83" s="32">
        <v>58.1</v>
      </c>
      <c r="U83" s="32">
        <v>51.9</v>
      </c>
      <c r="V83" s="32">
        <v>117.1</v>
      </c>
      <c r="W83" s="32">
        <v>47</v>
      </c>
      <c r="X83" s="32">
        <v>38.299999999999997</v>
      </c>
      <c r="Y83" s="32">
        <v>55.5</v>
      </c>
      <c r="Z83" s="32">
        <v>70.2</v>
      </c>
      <c r="AA83" s="32">
        <v>74.5</v>
      </c>
      <c r="AB83" s="32">
        <v>70.099999999999994</v>
      </c>
      <c r="AC83" s="32">
        <v>71.3</v>
      </c>
      <c r="AD83" s="32">
        <v>84.5</v>
      </c>
      <c r="AE83" s="32">
        <v>109.5</v>
      </c>
      <c r="AF83" s="32">
        <v>109.5</v>
      </c>
      <c r="AG83" s="32">
        <v>65.3</v>
      </c>
      <c r="AH83" s="32">
        <v>65.3</v>
      </c>
      <c r="AI83" s="32">
        <v>224.4</v>
      </c>
      <c r="AJ83" s="32">
        <v>43.2</v>
      </c>
      <c r="AK83" s="32">
        <v>951.3</v>
      </c>
      <c r="AL83" s="32">
        <v>105.4</v>
      </c>
      <c r="AM83" s="32">
        <v>40.700000000000003</v>
      </c>
      <c r="AN83" s="32">
        <v>88.5</v>
      </c>
      <c r="AO83" s="32">
        <v>96.3</v>
      </c>
      <c r="AP83" s="32">
        <v>96.3</v>
      </c>
      <c r="AQ83" s="32">
        <v>102.1</v>
      </c>
      <c r="AR83" s="32">
        <v>98.5</v>
      </c>
      <c r="AS83" s="32">
        <v>109</v>
      </c>
      <c r="AT83" s="32">
        <v>120</v>
      </c>
      <c r="AU83" s="32">
        <v>98.4</v>
      </c>
      <c r="AV83" s="32">
        <v>110</v>
      </c>
      <c r="AW83" s="32">
        <v>184.3</v>
      </c>
      <c r="AX83" s="32">
        <v>146.19999999999999</v>
      </c>
      <c r="AY83" s="32">
        <v>398.8</v>
      </c>
      <c r="AZ83" s="32">
        <v>96</v>
      </c>
      <c r="BA83" s="32">
        <v>41.5</v>
      </c>
      <c r="BB83" s="32">
        <v>41.5</v>
      </c>
      <c r="BC83" s="32">
        <v>123.7</v>
      </c>
      <c r="BD83" s="32">
        <v>123.7</v>
      </c>
      <c r="BE83" s="32">
        <v>101.3</v>
      </c>
      <c r="BF83" s="32">
        <v>101.3</v>
      </c>
      <c r="BG83" s="32">
        <v>80</v>
      </c>
      <c r="BH83" s="32">
        <v>64.5</v>
      </c>
      <c r="BI83" s="32">
        <v>94.3</v>
      </c>
      <c r="BJ83" s="32">
        <v>41.8</v>
      </c>
      <c r="BK83" s="32">
        <v>125.8</v>
      </c>
      <c r="BL83" s="32">
        <v>32.5</v>
      </c>
      <c r="BM83" s="32">
        <v>86.9</v>
      </c>
      <c r="BN83" s="32">
        <v>90.9</v>
      </c>
      <c r="BO83" s="32">
        <v>93.4</v>
      </c>
      <c r="BP83" s="32">
        <v>89.4</v>
      </c>
      <c r="BQ83" s="32">
        <v>81.599999999999994</v>
      </c>
      <c r="BR83" s="32">
        <v>64</v>
      </c>
      <c r="BS83" s="32">
        <v>202.1</v>
      </c>
      <c r="BT83" s="32">
        <v>59.3</v>
      </c>
      <c r="BU83" s="32">
        <v>133</v>
      </c>
      <c r="BV83" s="32">
        <v>133</v>
      </c>
      <c r="BW83" s="32">
        <v>165.8</v>
      </c>
      <c r="BX83" s="32">
        <v>109</v>
      </c>
      <c r="BY83" s="32">
        <v>116.9</v>
      </c>
      <c r="BZ83" s="32">
        <v>113.1</v>
      </c>
      <c r="CA83" s="32">
        <v>119.3</v>
      </c>
      <c r="CB83" s="32">
        <v>127.8</v>
      </c>
      <c r="CC83" s="32">
        <v>118.6</v>
      </c>
      <c r="CD83" s="32">
        <v>44.8</v>
      </c>
      <c r="CE83" s="32">
        <v>100</v>
      </c>
      <c r="CF83" s="32">
        <v>72</v>
      </c>
      <c r="CG83" s="32">
        <v>84.2</v>
      </c>
      <c r="CH83" s="32">
        <v>83.4</v>
      </c>
      <c r="CI83" s="32">
        <v>103.9</v>
      </c>
      <c r="CJ83" s="32">
        <v>69.7</v>
      </c>
      <c r="CK83" s="32">
        <v>89.6</v>
      </c>
      <c r="CL83" s="32">
        <v>86.4</v>
      </c>
      <c r="CM83" s="32">
        <v>96.6</v>
      </c>
      <c r="CN83" s="32">
        <v>56.1</v>
      </c>
      <c r="CO83" s="32">
        <v>107.8</v>
      </c>
      <c r="CP83" s="32">
        <v>98.4</v>
      </c>
      <c r="CQ83" s="32">
        <v>21</v>
      </c>
      <c r="CR83" s="32">
        <v>85.5</v>
      </c>
      <c r="CS83" s="32">
        <v>127.7</v>
      </c>
      <c r="CT83" s="32">
        <v>85.8</v>
      </c>
      <c r="CU83" s="32">
        <v>65.7</v>
      </c>
      <c r="CV83" s="32">
        <v>94.9</v>
      </c>
      <c r="CW83" s="32">
        <v>27.7</v>
      </c>
      <c r="CX83" s="32">
        <v>75.5</v>
      </c>
      <c r="CY83" s="32">
        <v>92.4</v>
      </c>
      <c r="CZ83" s="32">
        <v>66.099999999999994</v>
      </c>
      <c r="DA83" s="32">
        <v>50.8</v>
      </c>
      <c r="DB83" s="32">
        <v>99.8</v>
      </c>
      <c r="DC83" s="32">
        <v>4.4000000000000004</v>
      </c>
      <c r="DD83" s="32">
        <v>4.4000000000000004</v>
      </c>
      <c r="DE83" s="32">
        <v>59.6</v>
      </c>
      <c r="DF83" s="32">
        <v>55</v>
      </c>
      <c r="DG83" s="32">
        <v>89.2</v>
      </c>
      <c r="DH83" s="32">
        <v>79.400000000000006</v>
      </c>
      <c r="DI83" s="32">
        <v>114.8</v>
      </c>
      <c r="DJ83" s="32">
        <v>73.5</v>
      </c>
      <c r="DK83" s="32">
        <v>73.5</v>
      </c>
      <c r="DL83" s="32">
        <v>46.5</v>
      </c>
      <c r="DM83" s="32">
        <v>70.7</v>
      </c>
      <c r="DN83" s="32">
        <v>49.2</v>
      </c>
      <c r="DO83" s="32">
        <v>80.5</v>
      </c>
      <c r="DP83" s="32">
        <v>43</v>
      </c>
      <c r="DQ83" s="32">
        <v>65.3</v>
      </c>
      <c r="DR83" s="32">
        <v>70.5</v>
      </c>
      <c r="DS83" s="32">
        <v>65.7</v>
      </c>
      <c r="DT83" s="32">
        <v>63.1</v>
      </c>
      <c r="DU83" s="32">
        <v>63.9</v>
      </c>
      <c r="DV83" s="32">
        <v>68.400000000000006</v>
      </c>
      <c r="DW83" s="32">
        <v>58.6</v>
      </c>
      <c r="DX83" s="32">
        <v>61.5</v>
      </c>
      <c r="DY83" s="32">
        <v>74.3</v>
      </c>
      <c r="DZ83" s="32">
        <v>115.3</v>
      </c>
      <c r="EA83" s="32">
        <v>115.3</v>
      </c>
      <c r="EB83" s="32">
        <v>70.900000000000006</v>
      </c>
      <c r="EC83" s="32">
        <v>75.5</v>
      </c>
      <c r="ED83" s="32">
        <v>65.2</v>
      </c>
      <c r="EE83" s="32">
        <v>70.7</v>
      </c>
      <c r="EF83" s="32">
        <v>50.6</v>
      </c>
      <c r="EG83" s="32">
        <v>57.9</v>
      </c>
      <c r="EH83" s="32">
        <v>68</v>
      </c>
      <c r="EI83" s="32">
        <v>56.1</v>
      </c>
      <c r="EJ83" s="32">
        <v>55.5</v>
      </c>
      <c r="EK83" s="32">
        <v>54.5</v>
      </c>
      <c r="EL83" s="32">
        <v>66.8</v>
      </c>
      <c r="EM83" s="32">
        <v>41.6</v>
      </c>
      <c r="EN83" s="32">
        <v>61.3</v>
      </c>
      <c r="EO83" s="32">
        <v>86.6</v>
      </c>
      <c r="EP83" s="32">
        <v>89</v>
      </c>
      <c r="EQ83" s="32">
        <v>89</v>
      </c>
      <c r="ER83" s="32">
        <v>93.9</v>
      </c>
      <c r="ES83" s="32">
        <v>93.9</v>
      </c>
      <c r="ET83" s="32">
        <v>79.8</v>
      </c>
      <c r="EU83" s="32">
        <v>77.400000000000006</v>
      </c>
      <c r="EV83" s="32">
        <v>77.400000000000006</v>
      </c>
      <c r="EW83" s="32">
        <v>86</v>
      </c>
      <c r="EX83" s="32">
        <v>93.9</v>
      </c>
      <c r="EY83" s="32">
        <v>79.8</v>
      </c>
      <c r="EZ83" s="32">
        <v>87.9</v>
      </c>
      <c r="FA83" s="32">
        <v>97.2</v>
      </c>
      <c r="FB83" s="32">
        <v>101.4</v>
      </c>
      <c r="FC83" s="32">
        <v>75.7</v>
      </c>
      <c r="FD83" s="32">
        <v>119.3</v>
      </c>
      <c r="FE83" s="32">
        <v>135.30000000000001</v>
      </c>
      <c r="FF83" s="32">
        <v>92.2</v>
      </c>
      <c r="FG83" s="32">
        <v>83.4</v>
      </c>
      <c r="FH83" s="32">
        <v>87.3</v>
      </c>
      <c r="FI83" s="32">
        <v>79.2</v>
      </c>
      <c r="FJ83" s="32">
        <v>82.2</v>
      </c>
      <c r="FK83" s="32">
        <v>65.5</v>
      </c>
      <c r="FL83" s="32">
        <v>65.5</v>
      </c>
    </row>
    <row r="84" spans="1:168" x14ac:dyDescent="0.2">
      <c r="A84" s="34" t="s">
        <v>1064</v>
      </c>
      <c r="B84" s="32">
        <v>77.599999999999994</v>
      </c>
      <c r="C84" s="32">
        <v>95.7</v>
      </c>
      <c r="D84" s="32">
        <v>100.9</v>
      </c>
      <c r="E84" s="32">
        <v>101</v>
      </c>
      <c r="F84" s="32">
        <v>278.39999999999998</v>
      </c>
      <c r="G84" s="32">
        <v>8505.2000000000007</v>
      </c>
      <c r="H84" s="32">
        <v>349.3</v>
      </c>
      <c r="I84" s="32">
        <v>54.8</v>
      </c>
      <c r="J84" s="32">
        <v>84.1</v>
      </c>
      <c r="K84" s="32">
        <v>96.5</v>
      </c>
      <c r="L84" s="32">
        <v>94.7</v>
      </c>
      <c r="M84" s="32">
        <v>103.1</v>
      </c>
      <c r="N84" s="32">
        <v>81.5</v>
      </c>
      <c r="O84" s="32">
        <v>145.69999999999999</v>
      </c>
      <c r="P84" s="32">
        <v>273.10000000000002</v>
      </c>
      <c r="Q84" s="32">
        <v>110.2</v>
      </c>
      <c r="R84" s="32">
        <v>90.5</v>
      </c>
      <c r="S84" s="32">
        <v>118.6</v>
      </c>
      <c r="T84" s="32">
        <v>58.3</v>
      </c>
      <c r="U84" s="32">
        <v>55</v>
      </c>
      <c r="V84" s="32">
        <v>123.8</v>
      </c>
      <c r="W84" s="32">
        <v>47.4</v>
      </c>
      <c r="X84" s="32">
        <v>38.200000000000003</v>
      </c>
      <c r="Y84" s="32">
        <v>56.7</v>
      </c>
      <c r="Z84" s="32">
        <v>71.8</v>
      </c>
      <c r="AA84" s="32">
        <v>75.8</v>
      </c>
      <c r="AB84" s="32">
        <v>71.599999999999994</v>
      </c>
      <c r="AC84" s="32">
        <v>72.400000000000006</v>
      </c>
      <c r="AD84" s="32">
        <v>85.9</v>
      </c>
      <c r="AE84" s="32">
        <v>95.8</v>
      </c>
      <c r="AF84" s="32">
        <v>95.8</v>
      </c>
      <c r="AG84" s="32">
        <v>62.3</v>
      </c>
      <c r="AH84" s="32">
        <v>62.3</v>
      </c>
      <c r="AI84" s="32">
        <v>239.8</v>
      </c>
      <c r="AJ84" s="32">
        <v>39.1</v>
      </c>
      <c r="AK84" s="32">
        <v>871.4</v>
      </c>
      <c r="AL84" s="32">
        <v>104.4</v>
      </c>
      <c r="AM84" s="32">
        <v>39.9</v>
      </c>
      <c r="AN84" s="32">
        <v>86.8</v>
      </c>
      <c r="AO84" s="32">
        <v>101.9</v>
      </c>
      <c r="AP84" s="32">
        <v>101.9</v>
      </c>
      <c r="AQ84" s="32">
        <v>104</v>
      </c>
      <c r="AR84" s="32">
        <v>100.6</v>
      </c>
      <c r="AS84" s="32">
        <v>110.9</v>
      </c>
      <c r="AT84" s="32">
        <v>121.4</v>
      </c>
      <c r="AU84" s="32">
        <v>100.9</v>
      </c>
      <c r="AV84" s="32">
        <v>110.9</v>
      </c>
      <c r="AW84" s="32">
        <v>182.4</v>
      </c>
      <c r="AX84" s="32">
        <v>158.19999999999999</v>
      </c>
      <c r="AY84" s="32">
        <v>374.1</v>
      </c>
      <c r="AZ84" s="32">
        <v>97.4</v>
      </c>
      <c r="BA84" s="32">
        <v>42</v>
      </c>
      <c r="BB84" s="32">
        <v>42</v>
      </c>
      <c r="BC84" s="32">
        <v>125</v>
      </c>
      <c r="BD84" s="32">
        <v>125</v>
      </c>
      <c r="BE84" s="32">
        <v>101.9</v>
      </c>
      <c r="BF84" s="32">
        <v>101.9</v>
      </c>
      <c r="BG84" s="32">
        <v>79.599999999999994</v>
      </c>
      <c r="BH84" s="32">
        <v>64</v>
      </c>
      <c r="BI84" s="32">
        <v>94.2</v>
      </c>
      <c r="BJ84" s="32">
        <v>41.3</v>
      </c>
      <c r="BK84" s="32">
        <v>126</v>
      </c>
      <c r="BL84" s="32">
        <v>32.4</v>
      </c>
      <c r="BM84" s="32">
        <v>85.5</v>
      </c>
      <c r="BN84" s="32">
        <v>90.4</v>
      </c>
      <c r="BO84" s="32">
        <v>94.5</v>
      </c>
      <c r="BP84" s="32">
        <v>87.5</v>
      </c>
      <c r="BQ84" s="32">
        <v>78.900000000000006</v>
      </c>
      <c r="BR84" s="32">
        <v>64.099999999999994</v>
      </c>
      <c r="BS84" s="32">
        <v>181.2</v>
      </c>
      <c r="BT84" s="32">
        <v>59.2</v>
      </c>
      <c r="BU84" s="32">
        <v>132</v>
      </c>
      <c r="BV84" s="32">
        <v>132</v>
      </c>
      <c r="BW84" s="32">
        <v>165.8</v>
      </c>
      <c r="BX84" s="32">
        <v>105.6</v>
      </c>
      <c r="BY84" s="32">
        <v>116</v>
      </c>
      <c r="BZ84" s="32">
        <v>111.8</v>
      </c>
      <c r="CA84" s="32">
        <v>118.5</v>
      </c>
      <c r="CB84" s="32">
        <v>127.7</v>
      </c>
      <c r="CC84" s="32">
        <v>117.1</v>
      </c>
      <c r="CD84" s="32">
        <v>43.6</v>
      </c>
      <c r="CE84" s="32">
        <v>100</v>
      </c>
      <c r="CF84" s="32">
        <v>72.2</v>
      </c>
      <c r="CG84" s="32">
        <v>84.9</v>
      </c>
      <c r="CH84" s="32">
        <v>84.1</v>
      </c>
      <c r="CI84" s="32">
        <v>105.1</v>
      </c>
      <c r="CJ84" s="32">
        <v>71.400000000000006</v>
      </c>
      <c r="CK84" s="32">
        <v>89.3</v>
      </c>
      <c r="CL84" s="32">
        <v>86.2</v>
      </c>
      <c r="CM84" s="32">
        <v>97.6</v>
      </c>
      <c r="CN84" s="32">
        <v>54</v>
      </c>
      <c r="CO84" s="32">
        <v>109.7</v>
      </c>
      <c r="CP84" s="32">
        <v>102.7</v>
      </c>
      <c r="CQ84" s="32">
        <v>21.8</v>
      </c>
      <c r="CR84" s="32">
        <v>85.2</v>
      </c>
      <c r="CS84" s="32">
        <v>117.7</v>
      </c>
      <c r="CT84" s="32">
        <v>87.9</v>
      </c>
      <c r="CU84" s="32">
        <v>66.099999999999994</v>
      </c>
      <c r="CV84" s="32">
        <v>97.8</v>
      </c>
      <c r="CW84" s="32">
        <v>27.2</v>
      </c>
      <c r="CX84" s="32">
        <v>74.2</v>
      </c>
      <c r="CY84" s="32">
        <v>91.6</v>
      </c>
      <c r="CZ84" s="32">
        <v>64.400000000000006</v>
      </c>
      <c r="DA84" s="32">
        <v>49</v>
      </c>
      <c r="DB84" s="32">
        <v>99</v>
      </c>
      <c r="DC84" s="32">
        <v>4.4000000000000004</v>
      </c>
      <c r="DD84" s="32">
        <v>4.4000000000000004</v>
      </c>
      <c r="DE84" s="32">
        <v>58.6</v>
      </c>
      <c r="DF84" s="32">
        <v>53.7</v>
      </c>
      <c r="DG84" s="32">
        <v>90.6</v>
      </c>
      <c r="DH84" s="32">
        <v>81.2</v>
      </c>
      <c r="DI84" s="32">
        <v>114.4</v>
      </c>
      <c r="DJ84" s="32">
        <v>72.900000000000006</v>
      </c>
      <c r="DK84" s="32">
        <v>72.900000000000006</v>
      </c>
      <c r="DL84" s="32">
        <v>54.1</v>
      </c>
      <c r="DM84" s="32">
        <v>70.599999999999994</v>
      </c>
      <c r="DN84" s="32">
        <v>47.9</v>
      </c>
      <c r="DO84" s="32">
        <v>80.8</v>
      </c>
      <c r="DP84" s="32">
        <v>42.9</v>
      </c>
      <c r="DQ84" s="32">
        <v>65.7</v>
      </c>
      <c r="DR84" s="32">
        <v>71.8</v>
      </c>
      <c r="DS84" s="32">
        <v>66</v>
      </c>
      <c r="DT84" s="32">
        <v>62.8</v>
      </c>
      <c r="DU84" s="32">
        <v>63.4</v>
      </c>
      <c r="DV84" s="32">
        <v>70.8</v>
      </c>
      <c r="DW84" s="32">
        <v>55</v>
      </c>
      <c r="DX84" s="32">
        <v>61.5</v>
      </c>
      <c r="DY84" s="32">
        <v>76.2</v>
      </c>
      <c r="DZ84" s="32">
        <v>125.7</v>
      </c>
      <c r="EA84" s="32">
        <v>125.7</v>
      </c>
      <c r="EB84" s="32">
        <v>73</v>
      </c>
      <c r="EC84" s="32">
        <v>79.400000000000006</v>
      </c>
      <c r="ED84" s="32">
        <v>64.900000000000006</v>
      </c>
      <c r="EE84" s="32">
        <v>70.3</v>
      </c>
      <c r="EF84" s="32">
        <v>50.7</v>
      </c>
      <c r="EG84" s="32">
        <v>56.9</v>
      </c>
      <c r="EH84" s="32">
        <v>69</v>
      </c>
      <c r="EI84" s="32">
        <v>54.5</v>
      </c>
      <c r="EJ84" s="32">
        <v>54.1</v>
      </c>
      <c r="EK84" s="32">
        <v>53</v>
      </c>
      <c r="EL84" s="32">
        <v>68.8</v>
      </c>
      <c r="EM84" s="32">
        <v>40.9</v>
      </c>
      <c r="EN84" s="32">
        <v>58.6</v>
      </c>
      <c r="EO84" s="32">
        <v>86.7</v>
      </c>
      <c r="EP84" s="32">
        <v>89.3</v>
      </c>
      <c r="EQ84" s="32">
        <v>89.3</v>
      </c>
      <c r="ER84" s="32">
        <v>93.7</v>
      </c>
      <c r="ES84" s="32">
        <v>93.7</v>
      </c>
      <c r="ET84" s="32">
        <v>80.099999999999994</v>
      </c>
      <c r="EU84" s="32">
        <v>77.7</v>
      </c>
      <c r="EV84" s="32">
        <v>77.7</v>
      </c>
      <c r="EW84" s="32">
        <v>86.3</v>
      </c>
      <c r="EX84" s="32">
        <v>94.1</v>
      </c>
      <c r="EY84" s="32">
        <v>80.2</v>
      </c>
      <c r="EZ84" s="32">
        <v>88.6</v>
      </c>
      <c r="FA84" s="32">
        <v>98.8</v>
      </c>
      <c r="FB84" s="32">
        <v>103.6</v>
      </c>
      <c r="FC84" s="32">
        <v>77.400000000000006</v>
      </c>
      <c r="FD84" s="32">
        <v>120.3</v>
      </c>
      <c r="FE84" s="32">
        <v>139.1</v>
      </c>
      <c r="FF84" s="32">
        <v>93.2</v>
      </c>
      <c r="FG84" s="32">
        <v>82.8</v>
      </c>
      <c r="FH84" s="32">
        <v>89.6</v>
      </c>
      <c r="FI84" s="32">
        <v>64</v>
      </c>
      <c r="FJ84" s="32">
        <v>82.4</v>
      </c>
      <c r="FK84" s="32">
        <v>69.8</v>
      </c>
      <c r="FL84" s="32">
        <v>69.8</v>
      </c>
    </row>
    <row r="85" spans="1:168" x14ac:dyDescent="0.2">
      <c r="A85" s="34" t="s">
        <v>1065</v>
      </c>
      <c r="B85" s="32">
        <v>77.7</v>
      </c>
      <c r="C85" s="32">
        <v>94.6</v>
      </c>
      <c r="D85" s="32">
        <v>101.1</v>
      </c>
      <c r="E85" s="32">
        <v>101.2</v>
      </c>
      <c r="F85" s="32">
        <v>276.7</v>
      </c>
      <c r="G85" s="32">
        <v>8722.5</v>
      </c>
      <c r="H85" s="32">
        <v>347</v>
      </c>
      <c r="I85" s="32">
        <v>54.4</v>
      </c>
      <c r="J85" s="32">
        <v>84.3</v>
      </c>
      <c r="K85" s="32">
        <v>96.8</v>
      </c>
      <c r="L85" s="32">
        <v>95.1</v>
      </c>
      <c r="M85" s="32">
        <v>107.8</v>
      </c>
      <c r="N85" s="32">
        <v>82.8</v>
      </c>
      <c r="O85" s="32">
        <v>149.69999999999999</v>
      </c>
      <c r="P85" s="32">
        <v>278.7</v>
      </c>
      <c r="Q85" s="32">
        <v>111.7</v>
      </c>
      <c r="R85" s="32">
        <v>90.8</v>
      </c>
      <c r="S85" s="32">
        <v>115.3</v>
      </c>
      <c r="T85" s="32">
        <v>62.3</v>
      </c>
      <c r="U85" s="32">
        <v>57</v>
      </c>
      <c r="V85" s="32">
        <v>122.3</v>
      </c>
      <c r="W85" s="32">
        <v>46.7</v>
      </c>
      <c r="X85" s="32">
        <v>38.700000000000003</v>
      </c>
      <c r="Y85" s="32">
        <v>57.8</v>
      </c>
      <c r="Z85" s="32">
        <v>35.5</v>
      </c>
      <c r="AA85" s="32">
        <v>76.900000000000006</v>
      </c>
      <c r="AB85" s="32">
        <v>73.3</v>
      </c>
      <c r="AC85" s="32">
        <v>73.2</v>
      </c>
      <c r="AD85" s="32">
        <v>87</v>
      </c>
      <c r="AE85" s="32">
        <v>110.6</v>
      </c>
      <c r="AF85" s="32">
        <v>110.6</v>
      </c>
      <c r="AG85" s="32">
        <v>63.5</v>
      </c>
      <c r="AH85" s="32">
        <v>63.5</v>
      </c>
      <c r="AI85" s="32">
        <v>248.4</v>
      </c>
      <c r="AJ85" s="32">
        <v>39.5</v>
      </c>
      <c r="AK85" s="32">
        <v>779.3</v>
      </c>
      <c r="AL85" s="32">
        <v>108.5</v>
      </c>
      <c r="AM85" s="32">
        <v>42.7</v>
      </c>
      <c r="AN85" s="32">
        <v>86</v>
      </c>
      <c r="AO85" s="32">
        <v>97.9</v>
      </c>
      <c r="AP85" s="32">
        <v>97.9</v>
      </c>
      <c r="AQ85" s="32">
        <v>102.9</v>
      </c>
      <c r="AR85" s="32">
        <v>99.1</v>
      </c>
      <c r="AS85" s="32">
        <v>110.2</v>
      </c>
      <c r="AT85" s="32">
        <v>119.5</v>
      </c>
      <c r="AU85" s="32">
        <v>101.4</v>
      </c>
      <c r="AV85" s="32">
        <v>111.2</v>
      </c>
      <c r="AW85" s="32">
        <v>174.6</v>
      </c>
      <c r="AX85" s="32">
        <v>146.69999999999999</v>
      </c>
      <c r="AY85" s="32">
        <v>365.8</v>
      </c>
      <c r="AZ85" s="32">
        <v>99.4</v>
      </c>
      <c r="BA85" s="32">
        <v>43</v>
      </c>
      <c r="BB85" s="32">
        <v>43</v>
      </c>
      <c r="BC85" s="32">
        <v>124</v>
      </c>
      <c r="BD85" s="32">
        <v>124</v>
      </c>
      <c r="BE85" s="32">
        <v>102.4</v>
      </c>
      <c r="BF85" s="32">
        <v>102.4</v>
      </c>
      <c r="BG85" s="32">
        <v>80.099999999999994</v>
      </c>
      <c r="BH85" s="32">
        <v>64.400000000000006</v>
      </c>
      <c r="BI85" s="32">
        <v>94.7</v>
      </c>
      <c r="BJ85" s="32">
        <v>42.2</v>
      </c>
      <c r="BK85" s="32">
        <v>126.6</v>
      </c>
      <c r="BL85" s="32">
        <v>31.9</v>
      </c>
      <c r="BM85" s="32">
        <v>85.3</v>
      </c>
      <c r="BN85" s="32">
        <v>91.6</v>
      </c>
      <c r="BO85" s="32">
        <v>92.5</v>
      </c>
      <c r="BP85" s="32">
        <v>91.3</v>
      </c>
      <c r="BQ85" s="32">
        <v>76.8</v>
      </c>
      <c r="BR85" s="32">
        <v>58</v>
      </c>
      <c r="BS85" s="32">
        <v>180.4</v>
      </c>
      <c r="BT85" s="32">
        <v>57.6</v>
      </c>
      <c r="BU85" s="32">
        <v>133</v>
      </c>
      <c r="BV85" s="32">
        <v>133</v>
      </c>
      <c r="BW85" s="32">
        <v>166.9</v>
      </c>
      <c r="BX85" s="32">
        <v>106</v>
      </c>
      <c r="BY85" s="32">
        <v>117.5</v>
      </c>
      <c r="BZ85" s="32">
        <v>117.6</v>
      </c>
      <c r="CA85" s="32">
        <v>117.9</v>
      </c>
      <c r="CB85" s="32">
        <v>125.4</v>
      </c>
      <c r="CC85" s="32">
        <v>118.3</v>
      </c>
      <c r="CD85" s="32">
        <v>42.9</v>
      </c>
      <c r="CE85" s="32">
        <v>99.9</v>
      </c>
      <c r="CF85" s="32">
        <v>72.3</v>
      </c>
      <c r="CG85" s="32">
        <v>84.2</v>
      </c>
      <c r="CH85" s="32">
        <v>83</v>
      </c>
      <c r="CI85" s="32">
        <v>101.7</v>
      </c>
      <c r="CJ85" s="32">
        <v>70</v>
      </c>
      <c r="CK85" s="32">
        <v>89.2</v>
      </c>
      <c r="CL85" s="32">
        <v>86.6</v>
      </c>
      <c r="CM85" s="32">
        <v>97.5</v>
      </c>
      <c r="CN85" s="32">
        <v>54.2</v>
      </c>
      <c r="CO85" s="32">
        <v>109.6</v>
      </c>
      <c r="CP85" s="32">
        <v>106.4</v>
      </c>
      <c r="CQ85" s="32">
        <v>22.4</v>
      </c>
      <c r="CR85" s="32">
        <v>87</v>
      </c>
      <c r="CS85" s="32">
        <v>114.3</v>
      </c>
      <c r="CT85" s="32">
        <v>86.8</v>
      </c>
      <c r="CU85" s="32">
        <v>66.8</v>
      </c>
      <c r="CV85" s="32">
        <v>95.7</v>
      </c>
      <c r="CW85" s="32">
        <v>27.6</v>
      </c>
      <c r="CX85" s="32">
        <v>74.900000000000006</v>
      </c>
      <c r="CY85" s="32">
        <v>90</v>
      </c>
      <c r="CZ85" s="32">
        <v>66.599999999999994</v>
      </c>
      <c r="DA85" s="32">
        <v>51.5</v>
      </c>
      <c r="DB85" s="32">
        <v>99.9</v>
      </c>
      <c r="DC85" s="32">
        <v>4.4000000000000004</v>
      </c>
      <c r="DD85" s="32">
        <v>4.4000000000000004</v>
      </c>
      <c r="DE85" s="32">
        <v>59.4</v>
      </c>
      <c r="DF85" s="32">
        <v>54.8</v>
      </c>
      <c r="DG85" s="32">
        <v>89.4</v>
      </c>
      <c r="DH85" s="32">
        <v>80</v>
      </c>
      <c r="DI85" s="32">
        <v>114.6</v>
      </c>
      <c r="DJ85" s="32">
        <v>71.900000000000006</v>
      </c>
      <c r="DK85" s="32">
        <v>71.900000000000006</v>
      </c>
      <c r="DL85" s="32">
        <v>50.4</v>
      </c>
      <c r="DM85" s="32">
        <v>70.7</v>
      </c>
      <c r="DN85" s="32">
        <v>47.9</v>
      </c>
      <c r="DO85" s="32">
        <v>81</v>
      </c>
      <c r="DP85" s="32">
        <v>43.9</v>
      </c>
      <c r="DQ85" s="32">
        <v>66.5</v>
      </c>
      <c r="DR85" s="32">
        <v>72.2</v>
      </c>
      <c r="DS85" s="32">
        <v>66.8</v>
      </c>
      <c r="DT85" s="32">
        <v>64.099999999999994</v>
      </c>
      <c r="DU85" s="32">
        <v>64.5</v>
      </c>
      <c r="DV85" s="32">
        <v>72.099999999999994</v>
      </c>
      <c r="DW85" s="32">
        <v>55.8</v>
      </c>
      <c r="DX85" s="32">
        <v>63.1</v>
      </c>
      <c r="DY85" s="32">
        <v>75.7</v>
      </c>
      <c r="DZ85" s="32">
        <v>118.5</v>
      </c>
      <c r="EA85" s="32">
        <v>118.5</v>
      </c>
      <c r="EB85" s="32">
        <v>74.3</v>
      </c>
      <c r="EC85" s="32">
        <v>79.8</v>
      </c>
      <c r="ED85" s="32">
        <v>67.400000000000006</v>
      </c>
      <c r="EE85" s="32">
        <v>73.8</v>
      </c>
      <c r="EF85" s="32">
        <v>50.5</v>
      </c>
      <c r="EG85" s="32">
        <v>58.4</v>
      </c>
      <c r="EH85" s="32">
        <v>70.5</v>
      </c>
      <c r="EI85" s="32">
        <v>53.8</v>
      </c>
      <c r="EJ85" s="32">
        <v>61</v>
      </c>
      <c r="EK85" s="32">
        <v>55.2</v>
      </c>
      <c r="EL85" s="32">
        <v>67.900000000000006</v>
      </c>
      <c r="EM85" s="32">
        <v>41.6</v>
      </c>
      <c r="EN85" s="32">
        <v>62.5</v>
      </c>
      <c r="EO85" s="32">
        <v>87.1</v>
      </c>
      <c r="EP85" s="32">
        <v>89.7</v>
      </c>
      <c r="EQ85" s="32">
        <v>89.7</v>
      </c>
      <c r="ER85" s="32">
        <v>93.6</v>
      </c>
      <c r="ES85" s="32">
        <v>93.6</v>
      </c>
      <c r="ET85" s="32">
        <v>80.8</v>
      </c>
      <c r="EU85" s="32">
        <v>78.599999999999994</v>
      </c>
      <c r="EV85" s="32">
        <v>78.599999999999994</v>
      </c>
      <c r="EW85" s="32">
        <v>86.7</v>
      </c>
      <c r="EX85" s="32">
        <v>94.4</v>
      </c>
      <c r="EY85" s="32">
        <v>80.599999999999994</v>
      </c>
      <c r="EZ85" s="32">
        <v>88.7</v>
      </c>
      <c r="FA85" s="32">
        <v>100</v>
      </c>
      <c r="FB85" s="32">
        <v>105</v>
      </c>
      <c r="FC85" s="32">
        <v>76.400000000000006</v>
      </c>
      <c r="FD85" s="32">
        <v>121</v>
      </c>
      <c r="FE85" s="32">
        <v>145.19999999999999</v>
      </c>
      <c r="FF85" s="32">
        <v>94.2</v>
      </c>
      <c r="FG85" s="32">
        <v>82.4</v>
      </c>
      <c r="FH85" s="32">
        <v>91.2</v>
      </c>
      <c r="FI85" s="32">
        <v>69.5</v>
      </c>
      <c r="FJ85" s="32">
        <v>80.400000000000006</v>
      </c>
      <c r="FK85" s="32">
        <v>67.3</v>
      </c>
      <c r="FL85" s="32">
        <v>67.3</v>
      </c>
    </row>
    <row r="86" spans="1:168" x14ac:dyDescent="0.2">
      <c r="A86" s="34" t="s">
        <v>1066</v>
      </c>
      <c r="B86" s="32">
        <v>78.2</v>
      </c>
      <c r="C86" s="32">
        <v>93.6</v>
      </c>
      <c r="D86" s="32">
        <v>101.2</v>
      </c>
      <c r="E86" s="32">
        <v>101.4</v>
      </c>
      <c r="F86" s="32">
        <v>267.39999999999998</v>
      </c>
      <c r="G86" s="32">
        <v>7971.5</v>
      </c>
      <c r="H86" s="32">
        <v>334.3</v>
      </c>
      <c r="I86" s="32">
        <v>54.4</v>
      </c>
      <c r="J86" s="32">
        <v>84.7</v>
      </c>
      <c r="K86" s="32">
        <v>99.2</v>
      </c>
      <c r="L86" s="32">
        <v>98.7</v>
      </c>
      <c r="M86" s="32">
        <v>104.3</v>
      </c>
      <c r="N86" s="32">
        <v>85.4</v>
      </c>
      <c r="O86" s="32">
        <v>144.69999999999999</v>
      </c>
      <c r="P86" s="32">
        <v>276.60000000000002</v>
      </c>
      <c r="Q86" s="32">
        <v>111.2</v>
      </c>
      <c r="R86" s="32">
        <v>85.7</v>
      </c>
      <c r="S86" s="32">
        <v>131.30000000000001</v>
      </c>
      <c r="T86" s="32">
        <v>62.4</v>
      </c>
      <c r="U86" s="32">
        <v>53.9</v>
      </c>
      <c r="V86" s="32">
        <v>121.4</v>
      </c>
      <c r="W86" s="32">
        <v>46.5</v>
      </c>
      <c r="X86" s="32">
        <v>39.6</v>
      </c>
      <c r="Y86" s="32">
        <v>55.1</v>
      </c>
      <c r="Z86" s="32">
        <v>39</v>
      </c>
      <c r="AA86" s="32">
        <v>78.5</v>
      </c>
      <c r="AB86" s="32">
        <v>73.8</v>
      </c>
      <c r="AC86" s="32">
        <v>73.099999999999994</v>
      </c>
      <c r="AD86" s="32">
        <v>90.8</v>
      </c>
      <c r="AE86" s="32">
        <v>107.1</v>
      </c>
      <c r="AF86" s="32">
        <v>107.1</v>
      </c>
      <c r="AG86" s="32">
        <v>64</v>
      </c>
      <c r="AH86" s="32">
        <v>64</v>
      </c>
      <c r="AI86" s="32">
        <v>267.3</v>
      </c>
      <c r="AJ86" s="32">
        <v>40.1</v>
      </c>
      <c r="AK86" s="32">
        <v>684.2</v>
      </c>
      <c r="AL86" s="32">
        <v>109.6</v>
      </c>
      <c r="AM86" s="32">
        <v>42.7</v>
      </c>
      <c r="AN86" s="32">
        <v>86.4</v>
      </c>
      <c r="AO86" s="32">
        <v>97.6</v>
      </c>
      <c r="AP86" s="32">
        <v>97.6</v>
      </c>
      <c r="AQ86" s="32">
        <v>103.7</v>
      </c>
      <c r="AR86" s="32">
        <v>99.8</v>
      </c>
      <c r="AS86" s="32">
        <v>111.1</v>
      </c>
      <c r="AT86" s="32">
        <v>122.4</v>
      </c>
      <c r="AU86" s="32">
        <v>100.3</v>
      </c>
      <c r="AV86" s="32">
        <v>109.9</v>
      </c>
      <c r="AW86" s="32">
        <v>171.9</v>
      </c>
      <c r="AX86" s="32">
        <v>138.5</v>
      </c>
      <c r="AY86" s="32">
        <v>369.9</v>
      </c>
      <c r="AZ86" s="32">
        <v>98.4</v>
      </c>
      <c r="BA86" s="32">
        <v>41.5</v>
      </c>
      <c r="BB86" s="32">
        <v>41.5</v>
      </c>
      <c r="BC86" s="32">
        <v>122.5</v>
      </c>
      <c r="BD86" s="32">
        <v>122.5</v>
      </c>
      <c r="BE86" s="32">
        <v>103.5</v>
      </c>
      <c r="BF86" s="32">
        <v>103.5</v>
      </c>
      <c r="BG86" s="32">
        <v>80.7</v>
      </c>
      <c r="BH86" s="32">
        <v>63.2</v>
      </c>
      <c r="BI86" s="32">
        <v>98</v>
      </c>
      <c r="BJ86" s="32">
        <v>42.3</v>
      </c>
      <c r="BK86" s="32">
        <v>131.4</v>
      </c>
      <c r="BL86" s="32">
        <v>33.5</v>
      </c>
      <c r="BM86" s="32">
        <v>86.4</v>
      </c>
      <c r="BN86" s="32">
        <v>91.9</v>
      </c>
      <c r="BO86" s="32">
        <v>97.9</v>
      </c>
      <c r="BP86" s="32">
        <v>87.5</v>
      </c>
      <c r="BQ86" s="32">
        <v>79.099999999999994</v>
      </c>
      <c r="BR86" s="32">
        <v>57.1</v>
      </c>
      <c r="BS86" s="32">
        <v>207.6</v>
      </c>
      <c r="BT86" s="32">
        <v>56.4</v>
      </c>
      <c r="BU86" s="32">
        <v>136.1</v>
      </c>
      <c r="BV86" s="32">
        <v>136.1</v>
      </c>
      <c r="BW86" s="32">
        <v>169.4</v>
      </c>
      <c r="BX86" s="32">
        <v>110.5</v>
      </c>
      <c r="BY86" s="32">
        <v>116.9</v>
      </c>
      <c r="BZ86" s="32">
        <v>114.4</v>
      </c>
      <c r="CA86" s="32">
        <v>118.6</v>
      </c>
      <c r="CB86" s="32">
        <v>125.4</v>
      </c>
      <c r="CC86" s="32">
        <v>119.8</v>
      </c>
      <c r="CD86" s="32">
        <v>41.9</v>
      </c>
      <c r="CE86" s="32">
        <v>99.8</v>
      </c>
      <c r="CF86" s="32">
        <v>72.900000000000006</v>
      </c>
      <c r="CG86" s="32">
        <v>85.2</v>
      </c>
      <c r="CH86" s="32">
        <v>84.6</v>
      </c>
      <c r="CI86" s="32">
        <v>102.2</v>
      </c>
      <c r="CJ86" s="32">
        <v>73.2</v>
      </c>
      <c r="CK86" s="32">
        <v>89.4</v>
      </c>
      <c r="CL86" s="32">
        <v>86.3</v>
      </c>
      <c r="CM86" s="32">
        <v>97.3</v>
      </c>
      <c r="CN86" s="32">
        <v>53.4</v>
      </c>
      <c r="CO86" s="32">
        <v>109.5</v>
      </c>
      <c r="CP86" s="32">
        <v>108.7</v>
      </c>
      <c r="CQ86" s="32">
        <v>21.8</v>
      </c>
      <c r="CR86" s="32">
        <v>87.2</v>
      </c>
      <c r="CS86" s="32">
        <v>112.8</v>
      </c>
      <c r="CT86" s="32">
        <v>87.6</v>
      </c>
      <c r="CU86" s="32">
        <v>67.099999999999994</v>
      </c>
      <c r="CV86" s="32">
        <v>96.8</v>
      </c>
      <c r="CW86" s="32">
        <v>27.7</v>
      </c>
      <c r="CX86" s="32">
        <v>76.400000000000006</v>
      </c>
      <c r="CY86" s="32">
        <v>92.4</v>
      </c>
      <c r="CZ86" s="32">
        <v>67.5</v>
      </c>
      <c r="DA86" s="32">
        <v>52</v>
      </c>
      <c r="DB86" s="32">
        <v>101.7</v>
      </c>
      <c r="DC86" s="32">
        <v>4.5</v>
      </c>
      <c r="DD86" s="32">
        <v>4.5</v>
      </c>
      <c r="DE86" s="32">
        <v>57.8</v>
      </c>
      <c r="DF86" s="32">
        <v>53.5</v>
      </c>
      <c r="DG86" s="32">
        <v>85.4</v>
      </c>
      <c r="DH86" s="32">
        <v>80.400000000000006</v>
      </c>
      <c r="DI86" s="32">
        <v>115.8</v>
      </c>
      <c r="DJ86" s="32">
        <v>70.3</v>
      </c>
      <c r="DK86" s="32">
        <v>70.3</v>
      </c>
      <c r="DL86" s="32">
        <v>51.2</v>
      </c>
      <c r="DM86" s="32">
        <v>71.400000000000006</v>
      </c>
      <c r="DN86" s="32">
        <v>48.2</v>
      </c>
      <c r="DO86" s="32">
        <v>81.8</v>
      </c>
      <c r="DP86" s="32">
        <v>45</v>
      </c>
      <c r="DQ86" s="32">
        <v>67.8</v>
      </c>
      <c r="DR86" s="32">
        <v>74.3</v>
      </c>
      <c r="DS86" s="32">
        <v>68.7</v>
      </c>
      <c r="DT86" s="32">
        <v>65.2</v>
      </c>
      <c r="DU86" s="32">
        <v>64.900000000000006</v>
      </c>
      <c r="DV86" s="32">
        <v>73.5</v>
      </c>
      <c r="DW86" s="32">
        <v>55.1</v>
      </c>
      <c r="DX86" s="32">
        <v>65.8</v>
      </c>
      <c r="DY86" s="32">
        <v>80.099999999999994</v>
      </c>
      <c r="DZ86" s="32">
        <v>125.5</v>
      </c>
      <c r="EA86" s="32">
        <v>125.5</v>
      </c>
      <c r="EB86" s="32">
        <v>75.400000000000006</v>
      </c>
      <c r="EC86" s="32">
        <v>81</v>
      </c>
      <c r="ED86" s="32">
        <v>68.400000000000006</v>
      </c>
      <c r="EE86" s="32">
        <v>75.099999999999994</v>
      </c>
      <c r="EF86" s="32">
        <v>50.6</v>
      </c>
      <c r="EG86" s="32">
        <v>58.7</v>
      </c>
      <c r="EH86" s="32">
        <v>69.099999999999994</v>
      </c>
      <c r="EI86" s="32">
        <v>56</v>
      </c>
      <c r="EJ86" s="32">
        <v>55.6</v>
      </c>
      <c r="EK86" s="32">
        <v>56</v>
      </c>
      <c r="EL86" s="32">
        <v>72.5</v>
      </c>
      <c r="EM86" s="32">
        <v>41.9</v>
      </c>
      <c r="EN86" s="32">
        <v>62.9</v>
      </c>
      <c r="EO86" s="32">
        <v>87.4</v>
      </c>
      <c r="EP86" s="32">
        <v>90</v>
      </c>
      <c r="EQ86" s="32">
        <v>90</v>
      </c>
      <c r="ER86" s="32">
        <v>93.4</v>
      </c>
      <c r="ES86" s="32">
        <v>93.4</v>
      </c>
      <c r="ET86" s="32">
        <v>81.400000000000006</v>
      </c>
      <c r="EU86" s="32">
        <v>79.2</v>
      </c>
      <c r="EV86" s="32">
        <v>79.2</v>
      </c>
      <c r="EW86" s="32">
        <v>87.1</v>
      </c>
      <c r="EX86" s="32">
        <v>94.8</v>
      </c>
      <c r="EY86" s="32">
        <v>81</v>
      </c>
      <c r="EZ86" s="32">
        <v>88.7</v>
      </c>
      <c r="FA86" s="32">
        <v>101.4</v>
      </c>
      <c r="FB86" s="32">
        <v>106.6</v>
      </c>
      <c r="FC86" s="32">
        <v>75</v>
      </c>
      <c r="FD86" s="32">
        <v>121.1</v>
      </c>
      <c r="FE86" s="32">
        <v>153.6</v>
      </c>
      <c r="FF86" s="32">
        <v>95.1</v>
      </c>
      <c r="FG86" s="32">
        <v>82.5</v>
      </c>
      <c r="FH86" s="32">
        <v>90.1</v>
      </c>
      <c r="FI86" s="32">
        <v>73.8</v>
      </c>
      <c r="FJ86" s="32">
        <v>80.5</v>
      </c>
      <c r="FK86" s="32">
        <v>56</v>
      </c>
      <c r="FL86" s="32">
        <v>56</v>
      </c>
    </row>
    <row r="87" spans="1:168" x14ac:dyDescent="0.2">
      <c r="A87" s="34" t="s">
        <v>1067</v>
      </c>
      <c r="B87" s="32">
        <v>78.599999999999994</v>
      </c>
      <c r="C87" s="32">
        <v>92.5</v>
      </c>
      <c r="D87" s="32">
        <v>102.5</v>
      </c>
      <c r="E87" s="32">
        <v>103.2</v>
      </c>
      <c r="F87" s="32">
        <v>278.60000000000002</v>
      </c>
      <c r="G87" s="32">
        <v>8980</v>
      </c>
      <c r="H87" s="32">
        <v>349.8</v>
      </c>
      <c r="I87" s="32">
        <v>54</v>
      </c>
      <c r="J87" s="32">
        <v>86.3</v>
      </c>
      <c r="K87" s="32">
        <v>99.9</v>
      </c>
      <c r="L87" s="32">
        <v>99.1</v>
      </c>
      <c r="M87" s="32">
        <v>103.9</v>
      </c>
      <c r="N87" s="32">
        <v>84.4</v>
      </c>
      <c r="O87" s="32">
        <v>143.5</v>
      </c>
      <c r="P87" s="32">
        <v>278.2</v>
      </c>
      <c r="Q87" s="32">
        <v>106.8</v>
      </c>
      <c r="R87" s="32">
        <v>91.2</v>
      </c>
      <c r="S87" s="32">
        <v>130.19999999999999</v>
      </c>
      <c r="T87" s="32">
        <v>63.6</v>
      </c>
      <c r="U87" s="32">
        <v>58.5</v>
      </c>
      <c r="V87" s="32">
        <v>120.6</v>
      </c>
      <c r="W87" s="32">
        <v>46.6</v>
      </c>
      <c r="X87" s="32">
        <v>39.6</v>
      </c>
      <c r="Y87" s="32">
        <v>54.8</v>
      </c>
      <c r="Z87" s="32">
        <v>45.7</v>
      </c>
      <c r="AA87" s="32">
        <v>80.599999999999994</v>
      </c>
      <c r="AB87" s="32">
        <v>74.5</v>
      </c>
      <c r="AC87" s="32">
        <v>74.099999999999994</v>
      </c>
      <c r="AD87" s="32">
        <v>94.7</v>
      </c>
      <c r="AE87" s="32">
        <v>118.1</v>
      </c>
      <c r="AF87" s="32">
        <v>118.1</v>
      </c>
      <c r="AG87" s="32">
        <v>62.6</v>
      </c>
      <c r="AH87" s="32">
        <v>62.6</v>
      </c>
      <c r="AI87" s="32">
        <v>259.10000000000002</v>
      </c>
      <c r="AJ87" s="32">
        <v>37.700000000000003</v>
      </c>
      <c r="AK87" s="32">
        <v>569.9</v>
      </c>
      <c r="AL87" s="32">
        <v>114.9</v>
      </c>
      <c r="AM87" s="32">
        <v>44.1</v>
      </c>
      <c r="AN87" s="32">
        <v>85.6</v>
      </c>
      <c r="AO87" s="32">
        <v>107.8</v>
      </c>
      <c r="AP87" s="32">
        <v>107.8</v>
      </c>
      <c r="AQ87" s="32">
        <v>104.7</v>
      </c>
      <c r="AR87" s="32">
        <v>100.5</v>
      </c>
      <c r="AS87" s="32">
        <v>112.8</v>
      </c>
      <c r="AT87" s="32">
        <v>123.3</v>
      </c>
      <c r="AU87" s="32">
        <v>102.8</v>
      </c>
      <c r="AV87" s="32">
        <v>109.1</v>
      </c>
      <c r="AW87" s="32">
        <v>166.8</v>
      </c>
      <c r="AX87" s="32">
        <v>127.5</v>
      </c>
      <c r="AY87" s="32">
        <v>369.1</v>
      </c>
      <c r="AZ87" s="32">
        <v>98.5</v>
      </c>
      <c r="BA87" s="32">
        <v>44.8</v>
      </c>
      <c r="BB87" s="32">
        <v>44.8</v>
      </c>
      <c r="BC87" s="32">
        <v>123.3</v>
      </c>
      <c r="BD87" s="32">
        <v>123.3</v>
      </c>
      <c r="BE87" s="32">
        <v>104.2</v>
      </c>
      <c r="BF87" s="32">
        <v>104.2</v>
      </c>
      <c r="BG87" s="32">
        <v>83.2</v>
      </c>
      <c r="BH87" s="32">
        <v>64.8</v>
      </c>
      <c r="BI87" s="32">
        <v>101.6</v>
      </c>
      <c r="BJ87" s="32">
        <v>43.4</v>
      </c>
      <c r="BK87" s="32">
        <v>137</v>
      </c>
      <c r="BL87" s="32">
        <v>33.299999999999997</v>
      </c>
      <c r="BM87" s="32">
        <v>87.2</v>
      </c>
      <c r="BN87" s="32">
        <v>90.7</v>
      </c>
      <c r="BO87" s="32">
        <v>91.7</v>
      </c>
      <c r="BP87" s="32">
        <v>90.2</v>
      </c>
      <c r="BQ87" s="32">
        <v>82.8</v>
      </c>
      <c r="BR87" s="32">
        <v>67.900000000000006</v>
      </c>
      <c r="BS87" s="32">
        <v>220.7</v>
      </c>
      <c r="BT87" s="32">
        <v>57.5</v>
      </c>
      <c r="BU87" s="32">
        <v>137.5</v>
      </c>
      <c r="BV87" s="32">
        <v>137.5</v>
      </c>
      <c r="BW87" s="32">
        <v>166.3</v>
      </c>
      <c r="BX87" s="32">
        <v>119.3</v>
      </c>
      <c r="BY87" s="32">
        <v>115.8</v>
      </c>
      <c r="BZ87" s="32">
        <v>112.9</v>
      </c>
      <c r="CA87" s="32">
        <v>117.6</v>
      </c>
      <c r="CB87" s="32">
        <v>126.1</v>
      </c>
      <c r="CC87" s="32">
        <v>116.9</v>
      </c>
      <c r="CD87" s="32">
        <v>41.9</v>
      </c>
      <c r="CE87" s="32">
        <v>99.6</v>
      </c>
      <c r="CF87" s="32">
        <v>73</v>
      </c>
      <c r="CG87" s="32">
        <v>84.8</v>
      </c>
      <c r="CH87" s="32">
        <v>84.2</v>
      </c>
      <c r="CI87" s="32">
        <v>102.8</v>
      </c>
      <c r="CJ87" s="32">
        <v>72.099999999999994</v>
      </c>
      <c r="CK87" s="32">
        <v>89.3</v>
      </c>
      <c r="CL87" s="32">
        <v>86</v>
      </c>
      <c r="CM87" s="32">
        <v>95.2</v>
      </c>
      <c r="CN87" s="32">
        <v>52.3</v>
      </c>
      <c r="CO87" s="32">
        <v>107.2</v>
      </c>
      <c r="CP87" s="32">
        <v>109.4</v>
      </c>
      <c r="CQ87" s="32">
        <v>21.6</v>
      </c>
      <c r="CR87" s="32">
        <v>86.3</v>
      </c>
      <c r="CS87" s="32">
        <v>118.1</v>
      </c>
      <c r="CT87" s="32">
        <v>87.7</v>
      </c>
      <c r="CU87" s="32">
        <v>65.8</v>
      </c>
      <c r="CV87" s="32">
        <v>97.5</v>
      </c>
      <c r="CW87" s="32">
        <v>28</v>
      </c>
      <c r="CX87" s="32">
        <v>78.400000000000006</v>
      </c>
      <c r="CY87" s="32">
        <v>93.5</v>
      </c>
      <c r="CZ87" s="32">
        <v>70.5</v>
      </c>
      <c r="DA87" s="32">
        <v>55.5</v>
      </c>
      <c r="DB87" s="32">
        <v>102.7</v>
      </c>
      <c r="DC87" s="32">
        <v>4.5999999999999996</v>
      </c>
      <c r="DD87" s="32">
        <v>4.5999999999999996</v>
      </c>
      <c r="DE87" s="32">
        <v>58</v>
      </c>
      <c r="DF87" s="32">
        <v>53.9</v>
      </c>
      <c r="DG87" s="32">
        <v>83.8</v>
      </c>
      <c r="DH87" s="32">
        <v>79</v>
      </c>
      <c r="DI87" s="32">
        <v>116.4</v>
      </c>
      <c r="DJ87" s="32">
        <v>65.8</v>
      </c>
      <c r="DK87" s="32">
        <v>65.8</v>
      </c>
      <c r="DL87" s="32">
        <v>49.1</v>
      </c>
      <c r="DM87" s="32">
        <v>71.400000000000006</v>
      </c>
      <c r="DN87" s="32">
        <v>47.6</v>
      </c>
      <c r="DO87" s="32">
        <v>82.1</v>
      </c>
      <c r="DP87" s="32">
        <v>45.7</v>
      </c>
      <c r="DQ87" s="32">
        <v>68.8</v>
      </c>
      <c r="DR87" s="32">
        <v>76.3</v>
      </c>
      <c r="DS87" s="32">
        <v>71.099999999999994</v>
      </c>
      <c r="DT87" s="32">
        <v>68</v>
      </c>
      <c r="DU87" s="32">
        <v>68.099999999999994</v>
      </c>
      <c r="DV87" s="32">
        <v>76.2</v>
      </c>
      <c r="DW87" s="32">
        <v>58.9</v>
      </c>
      <c r="DX87" s="32">
        <v>67.7</v>
      </c>
      <c r="DY87" s="32">
        <v>81.3</v>
      </c>
      <c r="DZ87" s="32">
        <v>124.9</v>
      </c>
      <c r="EA87" s="32">
        <v>124.9</v>
      </c>
      <c r="EB87" s="32">
        <v>76.599999999999994</v>
      </c>
      <c r="EC87" s="32">
        <v>82.3</v>
      </c>
      <c r="ED87" s="32">
        <v>69.5</v>
      </c>
      <c r="EE87" s="32">
        <v>76.7</v>
      </c>
      <c r="EF87" s="32">
        <v>50.3</v>
      </c>
      <c r="EG87" s="32">
        <v>58.5</v>
      </c>
      <c r="EH87" s="32">
        <v>70.400000000000006</v>
      </c>
      <c r="EI87" s="32">
        <v>54.7</v>
      </c>
      <c r="EJ87" s="32">
        <v>54.5</v>
      </c>
      <c r="EK87" s="32">
        <v>56.1</v>
      </c>
      <c r="EL87" s="32">
        <v>71.8</v>
      </c>
      <c r="EM87" s="32">
        <v>42.7</v>
      </c>
      <c r="EN87" s="32">
        <v>62.6</v>
      </c>
      <c r="EO87" s="32">
        <v>87.7</v>
      </c>
      <c r="EP87" s="32">
        <v>89.6</v>
      </c>
      <c r="EQ87" s="32">
        <v>89.6</v>
      </c>
      <c r="ER87" s="32">
        <v>94.1</v>
      </c>
      <c r="ES87" s="32">
        <v>94.1</v>
      </c>
      <c r="ET87" s="32">
        <v>81.900000000000006</v>
      </c>
      <c r="EU87" s="32">
        <v>79.8</v>
      </c>
      <c r="EV87" s="32">
        <v>79.8</v>
      </c>
      <c r="EW87" s="32">
        <v>87.3</v>
      </c>
      <c r="EX87" s="32">
        <v>95</v>
      </c>
      <c r="EY87" s="32">
        <v>81.3</v>
      </c>
      <c r="EZ87" s="32">
        <v>88.3</v>
      </c>
      <c r="FA87" s="32">
        <v>101.4</v>
      </c>
      <c r="FB87" s="32">
        <v>106.5</v>
      </c>
      <c r="FC87" s="32">
        <v>70.900000000000006</v>
      </c>
      <c r="FD87" s="32">
        <v>121</v>
      </c>
      <c r="FE87" s="32">
        <v>161.1</v>
      </c>
      <c r="FF87" s="32">
        <v>95.3</v>
      </c>
      <c r="FG87" s="32">
        <v>82.7</v>
      </c>
      <c r="FH87" s="32">
        <v>86.7</v>
      </c>
      <c r="FI87" s="32">
        <v>88.2</v>
      </c>
      <c r="FJ87" s="32">
        <v>80.3</v>
      </c>
      <c r="FK87" s="32">
        <v>47.8</v>
      </c>
      <c r="FL87" s="32">
        <v>47.8</v>
      </c>
    </row>
    <row r="88" spans="1:168" x14ac:dyDescent="0.2">
      <c r="A88" s="34" t="s">
        <v>1068</v>
      </c>
      <c r="B88" s="32">
        <v>78.3</v>
      </c>
      <c r="C88" s="32">
        <v>91.5</v>
      </c>
      <c r="D88" s="32">
        <v>101.6</v>
      </c>
      <c r="E88" s="32">
        <v>101.8</v>
      </c>
      <c r="F88" s="32">
        <v>272.89999999999998</v>
      </c>
      <c r="G88" s="32">
        <v>10211.4</v>
      </c>
      <c r="H88" s="32">
        <v>338.7</v>
      </c>
      <c r="I88" s="32">
        <v>55.7</v>
      </c>
      <c r="J88" s="32">
        <v>85.7</v>
      </c>
      <c r="K88" s="32">
        <v>99.7</v>
      </c>
      <c r="L88" s="32">
        <v>100.3</v>
      </c>
      <c r="M88" s="32">
        <v>110.3</v>
      </c>
      <c r="N88" s="32">
        <v>86.3</v>
      </c>
      <c r="O88" s="32">
        <v>147.4</v>
      </c>
      <c r="P88" s="32">
        <v>296.60000000000002</v>
      </c>
      <c r="Q88" s="32">
        <v>110.8</v>
      </c>
      <c r="R88" s="32">
        <v>92.7</v>
      </c>
      <c r="S88" s="32">
        <v>126.7</v>
      </c>
      <c r="T88" s="32">
        <v>64.3</v>
      </c>
      <c r="U88" s="32">
        <v>55.7</v>
      </c>
      <c r="V88" s="32">
        <v>114.7</v>
      </c>
      <c r="W88" s="32">
        <v>46</v>
      </c>
      <c r="X88" s="32">
        <v>38.9</v>
      </c>
      <c r="Y88" s="32">
        <v>54</v>
      </c>
      <c r="Z88" s="32">
        <v>49.4</v>
      </c>
      <c r="AA88" s="32">
        <v>79.400000000000006</v>
      </c>
      <c r="AB88" s="32">
        <v>78</v>
      </c>
      <c r="AC88" s="32">
        <v>73.400000000000006</v>
      </c>
      <c r="AD88" s="32">
        <v>90.6</v>
      </c>
      <c r="AE88" s="32">
        <v>132.6</v>
      </c>
      <c r="AF88" s="32">
        <v>132.6</v>
      </c>
      <c r="AG88" s="32">
        <v>62.5</v>
      </c>
      <c r="AH88" s="32">
        <v>62.5</v>
      </c>
      <c r="AI88" s="32">
        <v>271.5</v>
      </c>
      <c r="AJ88" s="32">
        <v>37.299999999999997</v>
      </c>
      <c r="AK88" s="32">
        <v>481.1</v>
      </c>
      <c r="AL88" s="32">
        <v>123.8</v>
      </c>
      <c r="AM88" s="32">
        <v>44.2</v>
      </c>
      <c r="AN88" s="32">
        <v>82</v>
      </c>
      <c r="AO88" s="32">
        <v>106.1</v>
      </c>
      <c r="AP88" s="32">
        <v>106.1</v>
      </c>
      <c r="AQ88" s="32">
        <v>102.9</v>
      </c>
      <c r="AR88" s="32">
        <v>99</v>
      </c>
      <c r="AS88" s="32">
        <v>110.4</v>
      </c>
      <c r="AT88" s="32">
        <v>122.3</v>
      </c>
      <c r="AU88" s="32">
        <v>99</v>
      </c>
      <c r="AV88" s="32">
        <v>107.8</v>
      </c>
      <c r="AW88" s="32">
        <v>168.5</v>
      </c>
      <c r="AX88" s="32">
        <v>127.8</v>
      </c>
      <c r="AY88" s="32">
        <v>374.9</v>
      </c>
      <c r="AZ88" s="32">
        <v>96.6</v>
      </c>
      <c r="BA88" s="32">
        <v>44.1</v>
      </c>
      <c r="BB88" s="32">
        <v>44.1</v>
      </c>
      <c r="BC88" s="32">
        <v>116.3</v>
      </c>
      <c r="BD88" s="32">
        <v>116.3</v>
      </c>
      <c r="BE88" s="32">
        <v>107.3</v>
      </c>
      <c r="BF88" s="32">
        <v>107.3</v>
      </c>
      <c r="BG88" s="32">
        <v>84</v>
      </c>
      <c r="BH88" s="32">
        <v>63.6</v>
      </c>
      <c r="BI88" s="32">
        <v>105</v>
      </c>
      <c r="BJ88" s="32">
        <v>44.6</v>
      </c>
      <c r="BK88" s="32">
        <v>142.1</v>
      </c>
      <c r="BL88" s="32">
        <v>33.299999999999997</v>
      </c>
      <c r="BM88" s="32">
        <v>84.5</v>
      </c>
      <c r="BN88" s="32">
        <v>88.3</v>
      </c>
      <c r="BO88" s="32">
        <v>88.9</v>
      </c>
      <c r="BP88" s="32">
        <v>88.2</v>
      </c>
      <c r="BQ88" s="32">
        <v>79.7</v>
      </c>
      <c r="BR88" s="32">
        <v>76.599999999999994</v>
      </c>
      <c r="BS88" s="32">
        <v>200.1</v>
      </c>
      <c r="BT88" s="32">
        <v>55.7</v>
      </c>
      <c r="BU88" s="32">
        <v>128.4</v>
      </c>
      <c r="BV88" s="32">
        <v>128.4</v>
      </c>
      <c r="BW88" s="32">
        <v>156.19999999999999</v>
      </c>
      <c r="BX88" s="32">
        <v>108.8</v>
      </c>
      <c r="BY88" s="32">
        <v>112.9</v>
      </c>
      <c r="BZ88" s="32">
        <v>110.3</v>
      </c>
      <c r="CA88" s="32">
        <v>114.6</v>
      </c>
      <c r="CB88" s="32">
        <v>125.1</v>
      </c>
      <c r="CC88" s="32">
        <v>111.8</v>
      </c>
      <c r="CD88" s="32">
        <v>40.9</v>
      </c>
      <c r="CE88" s="32">
        <v>100.1</v>
      </c>
      <c r="CF88" s="32">
        <v>72.900000000000006</v>
      </c>
      <c r="CG88" s="32">
        <v>83.1</v>
      </c>
      <c r="CH88" s="32">
        <v>82.1</v>
      </c>
      <c r="CI88" s="32">
        <v>99.9</v>
      </c>
      <c r="CJ88" s="32">
        <v>68.599999999999994</v>
      </c>
      <c r="CK88" s="32">
        <v>88.9</v>
      </c>
      <c r="CL88" s="32">
        <v>85.9</v>
      </c>
      <c r="CM88" s="32">
        <v>92.2</v>
      </c>
      <c r="CN88" s="32">
        <v>51.6</v>
      </c>
      <c r="CO88" s="32">
        <v>103.4</v>
      </c>
      <c r="CP88" s="32">
        <v>112</v>
      </c>
      <c r="CQ88" s="32">
        <v>23.2</v>
      </c>
      <c r="CR88" s="32">
        <v>86.7</v>
      </c>
      <c r="CS88" s="32">
        <v>119.6</v>
      </c>
      <c r="CT88" s="32">
        <v>84.8</v>
      </c>
      <c r="CU88" s="32">
        <v>62.6</v>
      </c>
      <c r="CV88" s="32">
        <v>94.9</v>
      </c>
      <c r="CW88" s="32">
        <v>28.5</v>
      </c>
      <c r="CX88" s="32">
        <v>79.2</v>
      </c>
      <c r="CY88" s="32">
        <v>89.7</v>
      </c>
      <c r="CZ88" s="32">
        <v>74.099999999999994</v>
      </c>
      <c r="DA88" s="32">
        <v>59.6</v>
      </c>
      <c r="DB88" s="32">
        <v>104.5</v>
      </c>
      <c r="DC88" s="32">
        <v>4.5999999999999996</v>
      </c>
      <c r="DD88" s="32">
        <v>4.5999999999999996</v>
      </c>
      <c r="DE88" s="32">
        <v>59.8</v>
      </c>
      <c r="DF88" s="32">
        <v>55.6</v>
      </c>
      <c r="DG88" s="32">
        <v>86.9</v>
      </c>
      <c r="DH88" s="32">
        <v>78.3</v>
      </c>
      <c r="DI88" s="32">
        <v>117.4</v>
      </c>
      <c r="DJ88" s="32">
        <v>63.2</v>
      </c>
      <c r="DK88" s="32">
        <v>63.2</v>
      </c>
      <c r="DL88" s="32">
        <v>47.8</v>
      </c>
      <c r="DM88" s="32">
        <v>71.5</v>
      </c>
      <c r="DN88" s="32">
        <v>46.9</v>
      </c>
      <c r="DO88" s="32">
        <v>82.4</v>
      </c>
      <c r="DP88" s="32">
        <v>46.7</v>
      </c>
      <c r="DQ88" s="32">
        <v>69.400000000000006</v>
      </c>
      <c r="DR88" s="32">
        <v>77.599999999999994</v>
      </c>
      <c r="DS88" s="32">
        <v>72.400000000000006</v>
      </c>
      <c r="DT88" s="32">
        <v>69.099999999999994</v>
      </c>
      <c r="DU88" s="32">
        <v>69.400000000000006</v>
      </c>
      <c r="DV88" s="32">
        <v>79.900000000000006</v>
      </c>
      <c r="DW88" s="32">
        <v>57.5</v>
      </c>
      <c r="DX88" s="32">
        <v>68.3</v>
      </c>
      <c r="DY88" s="32">
        <v>83.1</v>
      </c>
      <c r="DZ88" s="32">
        <v>132.4</v>
      </c>
      <c r="EA88" s="32">
        <v>132.4</v>
      </c>
      <c r="EB88" s="32">
        <v>76.3</v>
      </c>
      <c r="EC88" s="32">
        <v>82.4</v>
      </c>
      <c r="ED88" s="32">
        <v>68.7</v>
      </c>
      <c r="EE88" s="32">
        <v>75.599999999999994</v>
      </c>
      <c r="EF88" s="32">
        <v>50.4</v>
      </c>
      <c r="EG88" s="32">
        <v>58.1</v>
      </c>
      <c r="EH88" s="32">
        <v>68.5</v>
      </c>
      <c r="EI88" s="32">
        <v>56.3</v>
      </c>
      <c r="EJ88" s="32">
        <v>51.9</v>
      </c>
      <c r="EK88" s="32">
        <v>55.6</v>
      </c>
      <c r="EL88" s="32">
        <v>68.8</v>
      </c>
      <c r="EM88" s="32">
        <v>43.1</v>
      </c>
      <c r="EN88" s="32">
        <v>61.9</v>
      </c>
      <c r="EO88" s="32">
        <v>88.1</v>
      </c>
      <c r="EP88" s="32">
        <v>89.8</v>
      </c>
      <c r="EQ88" s="32">
        <v>89.8</v>
      </c>
      <c r="ER88" s="32">
        <v>94.4</v>
      </c>
      <c r="ES88" s="32">
        <v>94.4</v>
      </c>
      <c r="ET88" s="32">
        <v>82.5</v>
      </c>
      <c r="EU88" s="32">
        <v>80.400000000000006</v>
      </c>
      <c r="EV88" s="32">
        <v>80.400000000000006</v>
      </c>
      <c r="EW88" s="32">
        <v>87.7</v>
      </c>
      <c r="EX88" s="32">
        <v>95.5</v>
      </c>
      <c r="EY88" s="32">
        <v>81.599999999999994</v>
      </c>
      <c r="EZ88" s="32">
        <v>88</v>
      </c>
      <c r="FA88" s="32">
        <v>103.9</v>
      </c>
      <c r="FB88" s="32">
        <v>110.3</v>
      </c>
      <c r="FC88" s="32">
        <v>76.2</v>
      </c>
      <c r="FD88" s="32">
        <v>121.1</v>
      </c>
      <c r="FE88" s="32">
        <v>163.69999999999999</v>
      </c>
      <c r="FF88" s="32">
        <v>96.2</v>
      </c>
      <c r="FG88" s="32">
        <v>80.8</v>
      </c>
      <c r="FH88" s="32">
        <v>83.4</v>
      </c>
      <c r="FI88" s="32">
        <v>85</v>
      </c>
      <c r="FJ88" s="32">
        <v>79.099999999999994</v>
      </c>
      <c r="FK88" s="32">
        <v>42.3</v>
      </c>
      <c r="FL88" s="32">
        <v>42.3</v>
      </c>
    </row>
    <row r="89" spans="1:168" x14ac:dyDescent="0.2">
      <c r="A89" s="34" t="s">
        <v>1069</v>
      </c>
      <c r="B89" s="32">
        <v>78.7</v>
      </c>
      <c r="C89" s="32">
        <v>90.5</v>
      </c>
      <c r="D89" s="32">
        <v>101.9</v>
      </c>
      <c r="E89" s="32">
        <v>101.8</v>
      </c>
      <c r="F89" s="32">
        <v>268.89999999999998</v>
      </c>
      <c r="G89" s="32">
        <v>9412.2999999999993</v>
      </c>
      <c r="H89" s="32">
        <v>335.1</v>
      </c>
      <c r="I89" s="32">
        <v>54.1</v>
      </c>
      <c r="J89" s="32">
        <v>85.7</v>
      </c>
      <c r="K89" s="32">
        <v>100</v>
      </c>
      <c r="L89" s="32">
        <v>100.1</v>
      </c>
      <c r="M89" s="32">
        <v>105.5</v>
      </c>
      <c r="N89" s="32">
        <v>85.9</v>
      </c>
      <c r="O89" s="32">
        <v>142.6</v>
      </c>
      <c r="P89" s="32">
        <v>285</v>
      </c>
      <c r="Q89" s="32">
        <v>110.8</v>
      </c>
      <c r="R89" s="32">
        <v>94.4</v>
      </c>
      <c r="S89" s="32">
        <v>128.30000000000001</v>
      </c>
      <c r="T89" s="32">
        <v>66.099999999999994</v>
      </c>
      <c r="U89" s="32">
        <v>57.7</v>
      </c>
      <c r="V89" s="32">
        <v>116.9</v>
      </c>
      <c r="W89" s="32">
        <v>46.2</v>
      </c>
      <c r="X89" s="32">
        <v>39</v>
      </c>
      <c r="Y89" s="32">
        <v>54.5</v>
      </c>
      <c r="Z89" s="32">
        <v>48.9</v>
      </c>
      <c r="AA89" s="32">
        <v>81.3</v>
      </c>
      <c r="AB89" s="32">
        <v>79.3</v>
      </c>
      <c r="AC89" s="32">
        <v>73.900000000000006</v>
      </c>
      <c r="AD89" s="32">
        <v>93.9</v>
      </c>
      <c r="AE89" s="32">
        <v>132</v>
      </c>
      <c r="AF89" s="32">
        <v>132</v>
      </c>
      <c r="AG89" s="32">
        <v>61.1</v>
      </c>
      <c r="AH89" s="32">
        <v>61.1</v>
      </c>
      <c r="AI89" s="32">
        <v>268.89999999999998</v>
      </c>
      <c r="AJ89" s="32">
        <v>34.700000000000003</v>
      </c>
      <c r="AK89" s="32">
        <v>390.5</v>
      </c>
      <c r="AL89" s="32">
        <v>119.4</v>
      </c>
      <c r="AM89" s="32">
        <v>44.4</v>
      </c>
      <c r="AN89" s="32">
        <v>89.9</v>
      </c>
      <c r="AO89" s="32">
        <v>106.7</v>
      </c>
      <c r="AP89" s="32">
        <v>106.7</v>
      </c>
      <c r="AQ89" s="32">
        <v>101</v>
      </c>
      <c r="AR89" s="32">
        <v>97.7</v>
      </c>
      <c r="AS89" s="32">
        <v>107.6</v>
      </c>
      <c r="AT89" s="32">
        <v>122.2</v>
      </c>
      <c r="AU89" s="32">
        <v>93.6</v>
      </c>
      <c r="AV89" s="32">
        <v>107</v>
      </c>
      <c r="AW89" s="32">
        <v>164.2</v>
      </c>
      <c r="AX89" s="32">
        <v>121.2</v>
      </c>
      <c r="AY89" s="32">
        <v>370.9</v>
      </c>
      <c r="AZ89" s="32">
        <v>96.6</v>
      </c>
      <c r="BA89" s="32">
        <v>42.3</v>
      </c>
      <c r="BB89" s="32">
        <v>42.3</v>
      </c>
      <c r="BC89" s="32">
        <v>115.3</v>
      </c>
      <c r="BD89" s="32">
        <v>115.3</v>
      </c>
      <c r="BE89" s="32">
        <v>111.5</v>
      </c>
      <c r="BF89" s="32">
        <v>111.5</v>
      </c>
      <c r="BG89" s="32">
        <v>84.9</v>
      </c>
      <c r="BH89" s="32">
        <v>62.8</v>
      </c>
      <c r="BI89" s="32">
        <v>108.4</v>
      </c>
      <c r="BJ89" s="32">
        <v>46</v>
      </c>
      <c r="BK89" s="32">
        <v>146.6</v>
      </c>
      <c r="BL89" s="32">
        <v>34.4</v>
      </c>
      <c r="BM89" s="32">
        <v>84.2</v>
      </c>
      <c r="BN89" s="32">
        <v>84.8</v>
      </c>
      <c r="BO89" s="32">
        <v>82.9</v>
      </c>
      <c r="BP89" s="32">
        <v>86.8</v>
      </c>
      <c r="BQ89" s="32">
        <v>84</v>
      </c>
      <c r="BR89" s="32">
        <v>64.400000000000006</v>
      </c>
      <c r="BS89" s="32">
        <v>233.3</v>
      </c>
      <c r="BT89" s="32">
        <v>57.4</v>
      </c>
      <c r="BU89" s="32">
        <v>134.6</v>
      </c>
      <c r="BV89" s="32">
        <v>134.6</v>
      </c>
      <c r="BW89" s="32">
        <v>167.4</v>
      </c>
      <c r="BX89" s="32">
        <v>106.7</v>
      </c>
      <c r="BY89" s="32">
        <v>110.2</v>
      </c>
      <c r="BZ89" s="32">
        <v>109.1</v>
      </c>
      <c r="CA89" s="32">
        <v>111.3</v>
      </c>
      <c r="CB89" s="32">
        <v>121.6</v>
      </c>
      <c r="CC89" s="32">
        <v>108.4</v>
      </c>
      <c r="CD89" s="32">
        <v>38.6</v>
      </c>
      <c r="CE89" s="32">
        <v>100.9</v>
      </c>
      <c r="CF89" s="32">
        <v>73.3</v>
      </c>
      <c r="CG89" s="32">
        <v>84.2</v>
      </c>
      <c r="CH89" s="32">
        <v>83.4</v>
      </c>
      <c r="CI89" s="32">
        <v>98.7</v>
      </c>
      <c r="CJ89" s="32">
        <v>72</v>
      </c>
      <c r="CK89" s="32">
        <v>88.8</v>
      </c>
      <c r="CL89" s="32">
        <v>86.2</v>
      </c>
      <c r="CM89" s="32">
        <v>93.6</v>
      </c>
      <c r="CN89" s="32">
        <v>51.4</v>
      </c>
      <c r="CO89" s="32">
        <v>105.4</v>
      </c>
      <c r="CP89" s="32">
        <v>116.7</v>
      </c>
      <c r="CQ89" s="32">
        <v>22.6</v>
      </c>
      <c r="CR89" s="32">
        <v>86.1</v>
      </c>
      <c r="CS89" s="32">
        <v>117.6</v>
      </c>
      <c r="CT89" s="32">
        <v>86.6</v>
      </c>
      <c r="CU89" s="32">
        <v>65.3</v>
      </c>
      <c r="CV89" s="32">
        <v>96.1</v>
      </c>
      <c r="CW89" s="32">
        <v>29.7</v>
      </c>
      <c r="CX89" s="32">
        <v>82.8</v>
      </c>
      <c r="CY89" s="32">
        <v>93.7</v>
      </c>
      <c r="CZ89" s="32">
        <v>77.400000000000006</v>
      </c>
      <c r="DA89" s="32">
        <v>64.2</v>
      </c>
      <c r="DB89" s="32">
        <v>103.7</v>
      </c>
      <c r="DC89" s="32">
        <v>4.8</v>
      </c>
      <c r="DD89" s="32">
        <v>4.8</v>
      </c>
      <c r="DE89" s="32">
        <v>63.4</v>
      </c>
      <c r="DF89" s="32">
        <v>58.9</v>
      </c>
      <c r="DG89" s="32">
        <v>92.3</v>
      </c>
      <c r="DH89" s="32">
        <v>76.900000000000006</v>
      </c>
      <c r="DI89" s="32">
        <v>117.7</v>
      </c>
      <c r="DJ89" s="32">
        <v>60.4</v>
      </c>
      <c r="DK89" s="32">
        <v>60.4</v>
      </c>
      <c r="DL89" s="32">
        <v>44.5</v>
      </c>
      <c r="DM89" s="32">
        <v>71.3</v>
      </c>
      <c r="DN89" s="32">
        <v>46.5</v>
      </c>
      <c r="DO89" s="32">
        <v>82.2</v>
      </c>
      <c r="DP89" s="32">
        <v>47.6</v>
      </c>
      <c r="DQ89" s="32">
        <v>70.099999999999994</v>
      </c>
      <c r="DR89" s="32">
        <v>78.400000000000006</v>
      </c>
      <c r="DS89" s="32">
        <v>73.2</v>
      </c>
      <c r="DT89" s="32">
        <v>69.099999999999994</v>
      </c>
      <c r="DU89" s="32">
        <v>70.3</v>
      </c>
      <c r="DV89" s="32">
        <v>82.8</v>
      </c>
      <c r="DW89" s="32">
        <v>56</v>
      </c>
      <c r="DX89" s="32">
        <v>66.5</v>
      </c>
      <c r="DY89" s="32">
        <v>86.4</v>
      </c>
      <c r="DZ89" s="32">
        <v>136.4</v>
      </c>
      <c r="EA89" s="32">
        <v>136.4</v>
      </c>
      <c r="EB89" s="32">
        <v>76.3</v>
      </c>
      <c r="EC89" s="32">
        <v>82.3</v>
      </c>
      <c r="ED89" s="32">
        <v>68.7</v>
      </c>
      <c r="EE89" s="32">
        <v>75.599999999999994</v>
      </c>
      <c r="EF89" s="32">
        <v>50.5</v>
      </c>
      <c r="EG89" s="32">
        <v>58.5</v>
      </c>
      <c r="EH89" s="32">
        <v>68.8</v>
      </c>
      <c r="EI89" s="32">
        <v>55.4</v>
      </c>
      <c r="EJ89" s="32">
        <v>59.2</v>
      </c>
      <c r="EK89" s="32">
        <v>55.5</v>
      </c>
      <c r="EL89" s="32">
        <v>68.8</v>
      </c>
      <c r="EM89" s="32">
        <v>44.3</v>
      </c>
      <c r="EN89" s="32">
        <v>60.8</v>
      </c>
      <c r="EO89" s="32">
        <v>88.3</v>
      </c>
      <c r="EP89" s="32">
        <v>90</v>
      </c>
      <c r="EQ89" s="32">
        <v>90</v>
      </c>
      <c r="ER89" s="32">
        <v>94.9</v>
      </c>
      <c r="ES89" s="32">
        <v>94.9</v>
      </c>
      <c r="ET89" s="32">
        <v>82.5</v>
      </c>
      <c r="EU89" s="32">
        <v>80.3</v>
      </c>
      <c r="EV89" s="32">
        <v>80.3</v>
      </c>
      <c r="EW89" s="32">
        <v>88.2</v>
      </c>
      <c r="EX89" s="32">
        <v>96.1</v>
      </c>
      <c r="EY89" s="32">
        <v>81.900000000000006</v>
      </c>
      <c r="EZ89" s="32">
        <v>87.8</v>
      </c>
      <c r="FA89" s="32">
        <v>102</v>
      </c>
      <c r="FB89" s="32">
        <v>106.7</v>
      </c>
      <c r="FC89" s="32">
        <v>72.099999999999994</v>
      </c>
      <c r="FD89" s="32">
        <v>121.2</v>
      </c>
      <c r="FE89" s="32">
        <v>159.19999999999999</v>
      </c>
      <c r="FF89" s="32">
        <v>96.6</v>
      </c>
      <c r="FG89" s="32">
        <v>81.3</v>
      </c>
      <c r="FH89" s="32">
        <v>80.900000000000006</v>
      </c>
      <c r="FI89" s="32">
        <v>84.8</v>
      </c>
      <c r="FJ89" s="32">
        <v>80.8</v>
      </c>
      <c r="FK89" s="32">
        <v>48.3</v>
      </c>
      <c r="FL89" s="32">
        <v>48.3</v>
      </c>
    </row>
    <row r="90" spans="1:168" x14ac:dyDescent="0.2">
      <c r="A90" s="34" t="s">
        <v>1070</v>
      </c>
      <c r="B90" s="32">
        <v>78.599999999999994</v>
      </c>
      <c r="C90" s="32">
        <v>89.9</v>
      </c>
      <c r="D90" s="32">
        <v>103.2</v>
      </c>
      <c r="E90" s="32">
        <v>103.1</v>
      </c>
      <c r="F90" s="32">
        <v>268.60000000000002</v>
      </c>
      <c r="G90" s="32">
        <v>8319.9</v>
      </c>
      <c r="H90" s="32">
        <v>335.8</v>
      </c>
      <c r="I90" s="32">
        <v>53.8</v>
      </c>
      <c r="J90" s="32">
        <v>87.4</v>
      </c>
      <c r="K90" s="32">
        <v>104.9</v>
      </c>
      <c r="L90" s="32">
        <v>103.5</v>
      </c>
      <c r="M90" s="32">
        <v>118.9</v>
      </c>
      <c r="N90" s="32">
        <v>91.7</v>
      </c>
      <c r="O90" s="32">
        <v>145.4</v>
      </c>
      <c r="P90" s="32">
        <v>297.39999999999998</v>
      </c>
      <c r="Q90" s="32">
        <v>118.6</v>
      </c>
      <c r="R90" s="32">
        <v>98.3</v>
      </c>
      <c r="S90" s="32">
        <v>125.9</v>
      </c>
      <c r="T90" s="32">
        <v>67.599999999999994</v>
      </c>
      <c r="U90" s="32">
        <v>61.8</v>
      </c>
      <c r="V90" s="32">
        <v>130.19999999999999</v>
      </c>
      <c r="W90" s="32">
        <v>47</v>
      </c>
      <c r="X90" s="32">
        <v>36.700000000000003</v>
      </c>
      <c r="Y90" s="32">
        <v>59.1</v>
      </c>
      <c r="Z90" s="32">
        <v>69.099999999999994</v>
      </c>
      <c r="AA90" s="32">
        <v>80.900000000000006</v>
      </c>
      <c r="AB90" s="32">
        <v>86</v>
      </c>
      <c r="AC90" s="32">
        <v>75.400000000000006</v>
      </c>
      <c r="AD90" s="32">
        <v>88.4</v>
      </c>
      <c r="AE90" s="32">
        <v>144.69999999999999</v>
      </c>
      <c r="AF90" s="32">
        <v>144.69999999999999</v>
      </c>
      <c r="AG90" s="32">
        <v>60.5</v>
      </c>
      <c r="AH90" s="32">
        <v>60.5</v>
      </c>
      <c r="AI90" s="32">
        <v>272.2</v>
      </c>
      <c r="AJ90" s="32">
        <v>32.700000000000003</v>
      </c>
      <c r="AK90" s="32">
        <v>301.60000000000002</v>
      </c>
      <c r="AL90" s="32">
        <v>114.2</v>
      </c>
      <c r="AM90" s="32">
        <v>45.1</v>
      </c>
      <c r="AN90" s="32">
        <v>98.4</v>
      </c>
      <c r="AO90" s="32">
        <v>104.1</v>
      </c>
      <c r="AP90" s="32">
        <v>104.1</v>
      </c>
      <c r="AQ90" s="32">
        <v>104</v>
      </c>
      <c r="AR90" s="32">
        <v>102.8</v>
      </c>
      <c r="AS90" s="32">
        <v>107.2</v>
      </c>
      <c r="AT90" s="32">
        <v>117.2</v>
      </c>
      <c r="AU90" s="32">
        <v>97.7</v>
      </c>
      <c r="AV90" s="32">
        <v>105.4</v>
      </c>
      <c r="AW90" s="32">
        <v>157.19999999999999</v>
      </c>
      <c r="AX90" s="32">
        <v>101.9</v>
      </c>
      <c r="AY90" s="32">
        <v>381.4</v>
      </c>
      <c r="AZ90" s="32">
        <v>96</v>
      </c>
      <c r="BA90" s="32">
        <v>49.9</v>
      </c>
      <c r="BB90" s="32">
        <v>49.9</v>
      </c>
      <c r="BC90" s="32">
        <v>110.5</v>
      </c>
      <c r="BD90" s="32">
        <v>110.5</v>
      </c>
      <c r="BE90" s="32">
        <v>108.1</v>
      </c>
      <c r="BF90" s="32">
        <v>108.1</v>
      </c>
      <c r="BG90" s="32">
        <v>87</v>
      </c>
      <c r="BH90" s="32">
        <v>64.8</v>
      </c>
      <c r="BI90" s="32">
        <v>110.4</v>
      </c>
      <c r="BJ90" s="32">
        <v>47.6</v>
      </c>
      <c r="BK90" s="32">
        <v>149.5</v>
      </c>
      <c r="BL90" s="32">
        <v>33.5</v>
      </c>
      <c r="BM90" s="32">
        <v>87.1</v>
      </c>
      <c r="BN90" s="32">
        <v>87.6</v>
      </c>
      <c r="BO90" s="32">
        <v>84.1</v>
      </c>
      <c r="BP90" s="32">
        <v>91.1</v>
      </c>
      <c r="BQ90" s="32">
        <v>87.2</v>
      </c>
      <c r="BR90" s="32">
        <v>65.599999999999994</v>
      </c>
      <c r="BS90" s="32">
        <v>244.2</v>
      </c>
      <c r="BT90" s="32">
        <v>59.4</v>
      </c>
      <c r="BU90" s="32">
        <v>131</v>
      </c>
      <c r="BV90" s="32">
        <v>131</v>
      </c>
      <c r="BW90" s="32">
        <v>163.5</v>
      </c>
      <c r="BX90" s="32">
        <v>101.5</v>
      </c>
      <c r="BY90" s="32">
        <v>109.5</v>
      </c>
      <c r="BZ90" s="32">
        <v>107.8</v>
      </c>
      <c r="CA90" s="32">
        <v>110.7</v>
      </c>
      <c r="CB90" s="32">
        <v>124</v>
      </c>
      <c r="CC90" s="32">
        <v>105.1</v>
      </c>
      <c r="CD90" s="32">
        <v>37.9</v>
      </c>
      <c r="CE90" s="32">
        <v>102.3</v>
      </c>
      <c r="CF90" s="32">
        <v>73</v>
      </c>
      <c r="CG90" s="32">
        <v>85.5</v>
      </c>
      <c r="CH90" s="32">
        <v>83.9</v>
      </c>
      <c r="CI90" s="32">
        <v>101.9</v>
      </c>
      <c r="CJ90" s="32">
        <v>70</v>
      </c>
      <c r="CK90" s="32">
        <v>90.9</v>
      </c>
      <c r="CL90" s="32">
        <v>87.5</v>
      </c>
      <c r="CM90" s="32">
        <v>95.9</v>
      </c>
      <c r="CN90" s="32">
        <v>51.2</v>
      </c>
      <c r="CO90" s="32">
        <v>108.3</v>
      </c>
      <c r="CP90" s="32">
        <v>123.5</v>
      </c>
      <c r="CQ90" s="32">
        <v>22.2</v>
      </c>
      <c r="CR90" s="32">
        <v>86.8</v>
      </c>
      <c r="CS90" s="32">
        <v>118.1</v>
      </c>
      <c r="CT90" s="32">
        <v>90.9</v>
      </c>
      <c r="CU90" s="32">
        <v>66.3</v>
      </c>
      <c r="CV90" s="32">
        <v>102.1</v>
      </c>
      <c r="CW90" s="32">
        <v>28.6</v>
      </c>
      <c r="CX90" s="32">
        <v>78.400000000000006</v>
      </c>
      <c r="CY90" s="32">
        <v>95.6</v>
      </c>
      <c r="CZ90" s="32">
        <v>69.099999999999994</v>
      </c>
      <c r="DA90" s="32">
        <v>53.5</v>
      </c>
      <c r="DB90" s="32">
        <v>103.4</v>
      </c>
      <c r="DC90" s="32">
        <v>4.8</v>
      </c>
      <c r="DD90" s="32">
        <v>4.8</v>
      </c>
      <c r="DE90" s="32">
        <v>59.3</v>
      </c>
      <c r="DF90" s="32">
        <v>54.5</v>
      </c>
      <c r="DG90" s="32">
        <v>90.3</v>
      </c>
      <c r="DH90" s="32">
        <v>75.400000000000006</v>
      </c>
      <c r="DI90" s="32">
        <v>116.2</v>
      </c>
      <c r="DJ90" s="32">
        <v>59.1</v>
      </c>
      <c r="DK90" s="32">
        <v>59.1</v>
      </c>
      <c r="DL90" s="32">
        <v>42.7</v>
      </c>
      <c r="DM90" s="32">
        <v>71.2</v>
      </c>
      <c r="DN90" s="32">
        <v>46.6</v>
      </c>
      <c r="DO90" s="32">
        <v>82</v>
      </c>
      <c r="DP90" s="32">
        <v>49</v>
      </c>
      <c r="DQ90" s="32">
        <v>68.2</v>
      </c>
      <c r="DR90" s="32">
        <v>75.8</v>
      </c>
      <c r="DS90" s="32">
        <v>69.900000000000006</v>
      </c>
      <c r="DT90" s="32">
        <v>66.3</v>
      </c>
      <c r="DU90" s="32">
        <v>67.2</v>
      </c>
      <c r="DV90" s="32">
        <v>72.900000000000006</v>
      </c>
      <c r="DW90" s="32">
        <v>60.6</v>
      </c>
      <c r="DX90" s="32">
        <v>64.5</v>
      </c>
      <c r="DY90" s="32">
        <v>81.400000000000006</v>
      </c>
      <c r="DZ90" s="32">
        <v>131.69999999999999</v>
      </c>
      <c r="EA90" s="32">
        <v>131.69999999999999</v>
      </c>
      <c r="EB90" s="32">
        <v>76.3</v>
      </c>
      <c r="EC90" s="32">
        <v>82.8</v>
      </c>
      <c r="ED90" s="32">
        <v>68</v>
      </c>
      <c r="EE90" s="32">
        <v>74.5</v>
      </c>
      <c r="EF90" s="32">
        <v>50.8</v>
      </c>
      <c r="EG90" s="32">
        <v>57.6</v>
      </c>
      <c r="EH90" s="32">
        <v>68.8</v>
      </c>
      <c r="EI90" s="32">
        <v>53.1</v>
      </c>
      <c r="EJ90" s="32">
        <v>49.1</v>
      </c>
      <c r="EK90" s="32">
        <v>57.1</v>
      </c>
      <c r="EL90" s="32">
        <v>68.5</v>
      </c>
      <c r="EM90" s="32">
        <v>46</v>
      </c>
      <c r="EN90" s="32">
        <v>62.6</v>
      </c>
      <c r="EO90" s="32">
        <v>88.6</v>
      </c>
      <c r="EP90" s="32">
        <v>90.7</v>
      </c>
      <c r="EQ90" s="32">
        <v>90.7</v>
      </c>
      <c r="ER90" s="32">
        <v>94.9</v>
      </c>
      <c r="ES90" s="32">
        <v>94.9</v>
      </c>
      <c r="ET90" s="32">
        <v>82.8</v>
      </c>
      <c r="EU90" s="32">
        <v>80.5</v>
      </c>
      <c r="EV90" s="32">
        <v>80.5</v>
      </c>
      <c r="EW90" s="32">
        <v>88.8</v>
      </c>
      <c r="EX90" s="32">
        <v>97</v>
      </c>
      <c r="EY90" s="32">
        <v>82.4</v>
      </c>
      <c r="EZ90" s="32">
        <v>87.5</v>
      </c>
      <c r="FA90" s="32">
        <v>100.1</v>
      </c>
      <c r="FB90" s="32">
        <v>104.4</v>
      </c>
      <c r="FC90" s="32">
        <v>71.400000000000006</v>
      </c>
      <c r="FD90" s="32">
        <v>121.7</v>
      </c>
      <c r="FE90" s="32">
        <v>152.5</v>
      </c>
      <c r="FF90" s="32">
        <v>95</v>
      </c>
      <c r="FG90" s="32">
        <v>81.3</v>
      </c>
      <c r="FH90" s="32">
        <v>80.400000000000006</v>
      </c>
      <c r="FI90" s="32">
        <v>88.7</v>
      </c>
      <c r="FJ90" s="32">
        <v>80.599999999999994</v>
      </c>
      <c r="FK90" s="32">
        <v>57.2</v>
      </c>
      <c r="FL90" s="32">
        <v>57.2</v>
      </c>
    </row>
    <row r="91" spans="1:168" x14ac:dyDescent="0.2">
      <c r="A91" s="34" t="s">
        <v>1071</v>
      </c>
      <c r="B91" s="32">
        <v>78.599999999999994</v>
      </c>
      <c r="C91" s="32">
        <v>88.8</v>
      </c>
      <c r="D91" s="32">
        <v>103</v>
      </c>
      <c r="E91" s="32">
        <v>102.8</v>
      </c>
      <c r="F91" s="32">
        <v>267.5</v>
      </c>
      <c r="G91" s="32">
        <v>8601.4</v>
      </c>
      <c r="H91" s="32">
        <v>332</v>
      </c>
      <c r="I91" s="32">
        <v>55.8</v>
      </c>
      <c r="J91" s="32">
        <v>87.3</v>
      </c>
      <c r="K91" s="32">
        <v>102.7</v>
      </c>
      <c r="L91" s="32">
        <v>101.7</v>
      </c>
      <c r="M91" s="32">
        <v>120.6</v>
      </c>
      <c r="N91" s="32">
        <v>91.6</v>
      </c>
      <c r="O91" s="32">
        <v>145.4</v>
      </c>
      <c r="P91" s="32">
        <v>294.39999999999998</v>
      </c>
      <c r="Q91" s="32">
        <v>108.5</v>
      </c>
      <c r="R91" s="32">
        <v>97.9</v>
      </c>
      <c r="S91" s="32">
        <v>121.1</v>
      </c>
      <c r="T91" s="32">
        <v>65.900000000000006</v>
      </c>
      <c r="U91" s="32">
        <v>62.4</v>
      </c>
      <c r="V91" s="32">
        <v>124.4</v>
      </c>
      <c r="W91" s="32">
        <v>46.6</v>
      </c>
      <c r="X91" s="32">
        <v>36.200000000000003</v>
      </c>
      <c r="Y91" s="32">
        <v>59</v>
      </c>
      <c r="Z91" s="32">
        <v>67.2</v>
      </c>
      <c r="AA91" s="32">
        <v>81.5</v>
      </c>
      <c r="AB91" s="32">
        <v>84.8</v>
      </c>
      <c r="AC91" s="32">
        <v>76.900000000000006</v>
      </c>
      <c r="AD91" s="32">
        <v>89.4</v>
      </c>
      <c r="AE91" s="32">
        <v>154.1</v>
      </c>
      <c r="AF91" s="32">
        <v>154.1</v>
      </c>
      <c r="AG91" s="32">
        <v>59.5</v>
      </c>
      <c r="AH91" s="32">
        <v>59.5</v>
      </c>
      <c r="AI91" s="32">
        <v>262.10000000000002</v>
      </c>
      <c r="AJ91" s="32">
        <v>30.6</v>
      </c>
      <c r="AK91" s="32">
        <v>215.8</v>
      </c>
      <c r="AL91" s="32">
        <v>119.7</v>
      </c>
      <c r="AM91" s="32">
        <v>45.3</v>
      </c>
      <c r="AN91" s="32">
        <v>103.9</v>
      </c>
      <c r="AO91" s="32">
        <v>107.2</v>
      </c>
      <c r="AP91" s="32">
        <v>107.2</v>
      </c>
      <c r="AQ91" s="32">
        <v>102.5</v>
      </c>
      <c r="AR91" s="32">
        <v>99.7</v>
      </c>
      <c r="AS91" s="32">
        <v>108.2</v>
      </c>
      <c r="AT91" s="32">
        <v>121.2</v>
      </c>
      <c r="AU91" s="32">
        <v>95.7</v>
      </c>
      <c r="AV91" s="32">
        <v>103.4</v>
      </c>
      <c r="AW91" s="32">
        <v>150.80000000000001</v>
      </c>
      <c r="AX91" s="32">
        <v>92.9</v>
      </c>
      <c r="AY91" s="32">
        <v>375.2</v>
      </c>
      <c r="AZ91" s="32">
        <v>95</v>
      </c>
      <c r="BA91" s="32">
        <v>48</v>
      </c>
      <c r="BB91" s="32">
        <v>48</v>
      </c>
      <c r="BC91" s="32">
        <v>110.5</v>
      </c>
      <c r="BD91" s="32">
        <v>110.5</v>
      </c>
      <c r="BE91" s="32">
        <v>113</v>
      </c>
      <c r="BF91" s="32">
        <v>113</v>
      </c>
      <c r="BG91" s="32">
        <v>88</v>
      </c>
      <c r="BH91" s="32">
        <v>65.099999999999994</v>
      </c>
      <c r="BI91" s="32">
        <v>112.3</v>
      </c>
      <c r="BJ91" s="32">
        <v>49</v>
      </c>
      <c r="BK91" s="32">
        <v>151.69999999999999</v>
      </c>
      <c r="BL91" s="32">
        <v>34.700000000000003</v>
      </c>
      <c r="BM91" s="32">
        <v>88.8</v>
      </c>
      <c r="BN91" s="32">
        <v>88</v>
      </c>
      <c r="BO91" s="32">
        <v>82.4</v>
      </c>
      <c r="BP91" s="32">
        <v>93.5</v>
      </c>
      <c r="BQ91" s="32">
        <v>90.6</v>
      </c>
      <c r="BR91" s="32">
        <v>83.3</v>
      </c>
      <c r="BS91" s="32">
        <v>275.5</v>
      </c>
      <c r="BT91" s="32">
        <v>56.4</v>
      </c>
      <c r="BU91" s="32">
        <v>129.6</v>
      </c>
      <c r="BV91" s="32">
        <v>129.6</v>
      </c>
      <c r="BW91" s="32">
        <v>163.69999999999999</v>
      </c>
      <c r="BX91" s="32">
        <v>96.8</v>
      </c>
      <c r="BY91" s="32">
        <v>107.9</v>
      </c>
      <c r="BZ91" s="32">
        <v>109.1</v>
      </c>
      <c r="CA91" s="32">
        <v>107.8</v>
      </c>
      <c r="CB91" s="32">
        <v>121.3</v>
      </c>
      <c r="CC91" s="32">
        <v>101.7</v>
      </c>
      <c r="CD91" s="32">
        <v>35.9</v>
      </c>
      <c r="CE91" s="32">
        <v>102.3</v>
      </c>
      <c r="CF91" s="32">
        <v>73</v>
      </c>
      <c r="CG91" s="32">
        <v>85.5</v>
      </c>
      <c r="CH91" s="32">
        <v>84.3</v>
      </c>
      <c r="CI91" s="32">
        <v>100.9</v>
      </c>
      <c r="CJ91" s="32">
        <v>71.900000000000006</v>
      </c>
      <c r="CK91" s="32">
        <v>90.4</v>
      </c>
      <c r="CL91" s="32">
        <v>87.1</v>
      </c>
      <c r="CM91" s="32">
        <v>95.9</v>
      </c>
      <c r="CN91" s="32">
        <v>51.4</v>
      </c>
      <c r="CO91" s="32">
        <v>108.2</v>
      </c>
      <c r="CP91" s="32">
        <v>130.1</v>
      </c>
      <c r="CQ91" s="32">
        <v>22.9</v>
      </c>
      <c r="CR91" s="32">
        <v>85.1</v>
      </c>
      <c r="CS91" s="32">
        <v>113.1</v>
      </c>
      <c r="CT91" s="32">
        <v>90.2</v>
      </c>
      <c r="CU91" s="32">
        <v>67.099999999999994</v>
      </c>
      <c r="CV91" s="32">
        <v>100.6</v>
      </c>
      <c r="CW91" s="32">
        <v>28.7</v>
      </c>
      <c r="CX91" s="32">
        <v>79.3</v>
      </c>
      <c r="CY91" s="32">
        <v>98.6</v>
      </c>
      <c r="CZ91" s="32">
        <v>68.599999999999994</v>
      </c>
      <c r="DA91" s="32">
        <v>53.3</v>
      </c>
      <c r="DB91" s="32">
        <v>101.9</v>
      </c>
      <c r="DC91" s="32">
        <v>4.7</v>
      </c>
      <c r="DD91" s="32">
        <v>4.7</v>
      </c>
      <c r="DE91" s="32">
        <v>60.2</v>
      </c>
      <c r="DF91" s="32">
        <v>55.1</v>
      </c>
      <c r="DG91" s="32">
        <v>94</v>
      </c>
      <c r="DH91" s="32">
        <v>75.599999999999994</v>
      </c>
      <c r="DI91" s="32">
        <v>119.1</v>
      </c>
      <c r="DJ91" s="32">
        <v>56.8</v>
      </c>
      <c r="DK91" s="32">
        <v>56.8</v>
      </c>
      <c r="DL91" s="32">
        <v>41</v>
      </c>
      <c r="DM91" s="32">
        <v>70.900000000000006</v>
      </c>
      <c r="DN91" s="32">
        <v>46.4</v>
      </c>
      <c r="DO91" s="32">
        <v>81.599999999999994</v>
      </c>
      <c r="DP91" s="32">
        <v>50</v>
      </c>
      <c r="DQ91" s="32">
        <v>68.3</v>
      </c>
      <c r="DR91" s="32">
        <v>75</v>
      </c>
      <c r="DS91" s="32">
        <v>69.400000000000006</v>
      </c>
      <c r="DT91" s="32">
        <v>66.3</v>
      </c>
      <c r="DU91" s="32">
        <v>68.2</v>
      </c>
      <c r="DV91" s="32">
        <v>76.599999999999994</v>
      </c>
      <c r="DW91" s="32">
        <v>58.6</v>
      </c>
      <c r="DX91" s="32">
        <v>62.2</v>
      </c>
      <c r="DY91" s="32">
        <v>79.8</v>
      </c>
      <c r="DZ91" s="32">
        <v>130.6</v>
      </c>
      <c r="EA91" s="32">
        <v>130.6</v>
      </c>
      <c r="EB91" s="32">
        <v>74.400000000000006</v>
      </c>
      <c r="EC91" s="32">
        <v>80.3</v>
      </c>
      <c r="ED91" s="32">
        <v>67</v>
      </c>
      <c r="EE91" s="32">
        <v>73</v>
      </c>
      <c r="EF91" s="32">
        <v>51</v>
      </c>
      <c r="EG91" s="32">
        <v>59</v>
      </c>
      <c r="EH91" s="32">
        <v>69.099999999999994</v>
      </c>
      <c r="EI91" s="32">
        <v>58.1</v>
      </c>
      <c r="EJ91" s="32">
        <v>48.9</v>
      </c>
      <c r="EK91" s="32">
        <v>56.6</v>
      </c>
      <c r="EL91" s="32">
        <v>67.900000000000006</v>
      </c>
      <c r="EM91" s="32">
        <v>46.1</v>
      </c>
      <c r="EN91" s="32">
        <v>61.6</v>
      </c>
      <c r="EO91" s="32">
        <v>88.2</v>
      </c>
      <c r="EP91" s="32">
        <v>90.9</v>
      </c>
      <c r="EQ91" s="32">
        <v>90.9</v>
      </c>
      <c r="ER91" s="32">
        <v>93.9</v>
      </c>
      <c r="ES91" s="32">
        <v>93.9</v>
      </c>
      <c r="ET91" s="32">
        <v>82.4</v>
      </c>
      <c r="EU91" s="32">
        <v>79.900000000000006</v>
      </c>
      <c r="EV91" s="32">
        <v>79.900000000000006</v>
      </c>
      <c r="EW91" s="32">
        <v>88.9</v>
      </c>
      <c r="EX91" s="32">
        <v>97.3</v>
      </c>
      <c r="EY91" s="32">
        <v>82.3</v>
      </c>
      <c r="EZ91" s="32">
        <v>90.3</v>
      </c>
      <c r="FA91" s="32">
        <v>103.5</v>
      </c>
      <c r="FB91" s="32">
        <v>109.8</v>
      </c>
      <c r="FC91" s="32">
        <v>83</v>
      </c>
      <c r="FD91" s="32">
        <v>121.5</v>
      </c>
      <c r="FE91" s="32">
        <v>149</v>
      </c>
      <c r="FF91" s="32">
        <v>96</v>
      </c>
      <c r="FG91" s="32">
        <v>82.4</v>
      </c>
      <c r="FH91" s="32">
        <v>82.3</v>
      </c>
      <c r="FI91" s="32">
        <v>89.3</v>
      </c>
      <c r="FJ91" s="32">
        <v>81.5</v>
      </c>
      <c r="FK91" s="32">
        <v>68.5</v>
      </c>
      <c r="FL91" s="32">
        <v>68.5</v>
      </c>
    </row>
    <row r="92" spans="1:168" x14ac:dyDescent="0.2">
      <c r="A92" s="34" t="s">
        <v>1072</v>
      </c>
      <c r="B92" s="32">
        <v>78.900000000000006</v>
      </c>
      <c r="C92" s="32">
        <v>87.6</v>
      </c>
      <c r="D92" s="32">
        <v>102.8</v>
      </c>
      <c r="E92" s="32">
        <v>102.9</v>
      </c>
      <c r="F92" s="32">
        <v>270.60000000000002</v>
      </c>
      <c r="G92" s="32">
        <v>8276.5</v>
      </c>
      <c r="H92" s="32">
        <v>337</v>
      </c>
      <c r="I92" s="32">
        <v>55.6</v>
      </c>
      <c r="J92" s="32">
        <v>87.3</v>
      </c>
      <c r="K92" s="32">
        <v>103.8</v>
      </c>
      <c r="L92" s="32">
        <v>103</v>
      </c>
      <c r="M92" s="32">
        <v>119.3</v>
      </c>
      <c r="N92" s="32">
        <v>91.6</v>
      </c>
      <c r="O92" s="32">
        <v>142.80000000000001</v>
      </c>
      <c r="P92" s="32">
        <v>289</v>
      </c>
      <c r="Q92" s="32">
        <v>111.3</v>
      </c>
      <c r="R92" s="32">
        <v>97.4</v>
      </c>
      <c r="S92" s="32">
        <v>127.1</v>
      </c>
      <c r="T92" s="32">
        <v>65.400000000000006</v>
      </c>
      <c r="U92" s="32">
        <v>61.5</v>
      </c>
      <c r="V92" s="32">
        <v>125.2</v>
      </c>
      <c r="W92" s="32">
        <v>48.5</v>
      </c>
      <c r="X92" s="32">
        <v>36.9</v>
      </c>
      <c r="Y92" s="32">
        <v>62.8</v>
      </c>
      <c r="Z92" s="32">
        <v>72</v>
      </c>
      <c r="AA92" s="32">
        <v>82.2</v>
      </c>
      <c r="AB92" s="32">
        <v>86.6</v>
      </c>
      <c r="AC92" s="32">
        <v>76.2</v>
      </c>
      <c r="AD92" s="32">
        <v>90.7</v>
      </c>
      <c r="AE92" s="32">
        <v>158.4</v>
      </c>
      <c r="AF92" s="32">
        <v>158.4</v>
      </c>
      <c r="AG92" s="32">
        <v>58.1</v>
      </c>
      <c r="AH92" s="32">
        <v>58.1</v>
      </c>
      <c r="AI92" s="32">
        <v>263</v>
      </c>
      <c r="AJ92" s="32">
        <v>28.8</v>
      </c>
      <c r="AK92" s="32">
        <v>147.5</v>
      </c>
      <c r="AL92" s="32">
        <v>118.9</v>
      </c>
      <c r="AM92" s="32">
        <v>47.2</v>
      </c>
      <c r="AN92" s="32">
        <v>97.5</v>
      </c>
      <c r="AO92" s="32">
        <v>112.4</v>
      </c>
      <c r="AP92" s="32">
        <v>112.4</v>
      </c>
      <c r="AQ92" s="32">
        <v>104.8</v>
      </c>
      <c r="AR92" s="32">
        <v>102.7</v>
      </c>
      <c r="AS92" s="32">
        <v>109.6</v>
      </c>
      <c r="AT92" s="32">
        <v>122.4</v>
      </c>
      <c r="AU92" s="32">
        <v>97.3</v>
      </c>
      <c r="AV92" s="32">
        <v>106.5</v>
      </c>
      <c r="AW92" s="32">
        <v>149.80000000000001</v>
      </c>
      <c r="AX92" s="32">
        <v>91.9</v>
      </c>
      <c r="AY92" s="32">
        <v>373.6</v>
      </c>
      <c r="AZ92" s="32">
        <v>99</v>
      </c>
      <c r="BA92" s="32">
        <v>48.3</v>
      </c>
      <c r="BB92" s="32">
        <v>48.3</v>
      </c>
      <c r="BC92" s="32">
        <v>106.6</v>
      </c>
      <c r="BD92" s="32">
        <v>106.6</v>
      </c>
      <c r="BE92" s="32">
        <v>107.4</v>
      </c>
      <c r="BF92" s="32">
        <v>107.4</v>
      </c>
      <c r="BG92" s="32">
        <v>87.8</v>
      </c>
      <c r="BH92" s="32">
        <v>64.2</v>
      </c>
      <c r="BI92" s="32">
        <v>113</v>
      </c>
      <c r="BJ92" s="32">
        <v>49.6</v>
      </c>
      <c r="BK92" s="32">
        <v>152</v>
      </c>
      <c r="BL92" s="32">
        <v>36.200000000000003</v>
      </c>
      <c r="BM92" s="32">
        <v>82.7</v>
      </c>
      <c r="BN92" s="32">
        <v>85.7</v>
      </c>
      <c r="BO92" s="32">
        <v>81.5</v>
      </c>
      <c r="BP92" s="32">
        <v>90</v>
      </c>
      <c r="BQ92" s="32">
        <v>78.900000000000006</v>
      </c>
      <c r="BR92" s="32">
        <v>69.3</v>
      </c>
      <c r="BS92" s="32">
        <v>201.8</v>
      </c>
      <c r="BT92" s="32">
        <v>55.4</v>
      </c>
      <c r="BU92" s="32">
        <v>127</v>
      </c>
      <c r="BV92" s="32">
        <v>127</v>
      </c>
      <c r="BW92" s="32">
        <v>158.6</v>
      </c>
      <c r="BX92" s="32">
        <v>98</v>
      </c>
      <c r="BY92" s="32">
        <v>109.6</v>
      </c>
      <c r="BZ92" s="32">
        <v>108</v>
      </c>
      <c r="CA92" s="32">
        <v>110.8</v>
      </c>
      <c r="CB92" s="32">
        <v>123.8</v>
      </c>
      <c r="CC92" s="32">
        <v>105.4</v>
      </c>
      <c r="CD92" s="32">
        <v>36.700000000000003</v>
      </c>
      <c r="CE92" s="32">
        <v>101.4</v>
      </c>
      <c r="CF92" s="32">
        <v>73.400000000000006</v>
      </c>
      <c r="CG92" s="32">
        <v>85.6</v>
      </c>
      <c r="CH92" s="32">
        <v>84.4</v>
      </c>
      <c r="CI92" s="32">
        <v>98.6</v>
      </c>
      <c r="CJ92" s="32">
        <v>71.8</v>
      </c>
      <c r="CK92" s="32">
        <v>91.2</v>
      </c>
      <c r="CL92" s="32">
        <v>87.8</v>
      </c>
      <c r="CM92" s="32">
        <v>95.8</v>
      </c>
      <c r="CN92" s="32">
        <v>50.5</v>
      </c>
      <c r="CO92" s="32">
        <v>108.4</v>
      </c>
      <c r="CP92" s="32">
        <v>134.6</v>
      </c>
      <c r="CQ92" s="32">
        <v>23</v>
      </c>
      <c r="CR92" s="32">
        <v>87.3</v>
      </c>
      <c r="CS92" s="32">
        <v>111.8</v>
      </c>
      <c r="CT92" s="32">
        <v>89.5</v>
      </c>
      <c r="CU92" s="32">
        <v>68</v>
      </c>
      <c r="CV92" s="32">
        <v>99.1</v>
      </c>
      <c r="CW92" s="32">
        <v>29.5</v>
      </c>
      <c r="CX92" s="32">
        <v>79.900000000000006</v>
      </c>
      <c r="CY92" s="32">
        <v>95.3</v>
      </c>
      <c r="CZ92" s="32">
        <v>71.599999999999994</v>
      </c>
      <c r="DA92" s="32">
        <v>57.7</v>
      </c>
      <c r="DB92" s="32">
        <v>100.5</v>
      </c>
      <c r="DC92" s="32">
        <v>5.0999999999999996</v>
      </c>
      <c r="DD92" s="32">
        <v>5.0999999999999996</v>
      </c>
      <c r="DE92" s="32">
        <v>59.8</v>
      </c>
      <c r="DF92" s="32">
        <v>54.6</v>
      </c>
      <c r="DG92" s="32">
        <v>93.4</v>
      </c>
      <c r="DH92" s="32">
        <v>76.400000000000006</v>
      </c>
      <c r="DI92" s="32">
        <v>120.8</v>
      </c>
      <c r="DJ92" s="32">
        <v>55.2</v>
      </c>
      <c r="DK92" s="32">
        <v>55.2</v>
      </c>
      <c r="DL92" s="32">
        <v>43.1</v>
      </c>
      <c r="DM92" s="32">
        <v>70.599999999999994</v>
      </c>
      <c r="DN92" s="32">
        <v>46.1</v>
      </c>
      <c r="DO92" s="32">
        <v>81.2</v>
      </c>
      <c r="DP92" s="32">
        <v>50.7</v>
      </c>
      <c r="DQ92" s="32">
        <v>69.8</v>
      </c>
      <c r="DR92" s="32">
        <v>76.400000000000006</v>
      </c>
      <c r="DS92" s="32">
        <v>70</v>
      </c>
      <c r="DT92" s="32">
        <v>66.3</v>
      </c>
      <c r="DU92" s="32">
        <v>68.7</v>
      </c>
      <c r="DV92" s="32">
        <v>78.8</v>
      </c>
      <c r="DW92" s="32">
        <v>57.2</v>
      </c>
      <c r="DX92" s="32">
        <v>61.3</v>
      </c>
      <c r="DY92" s="32">
        <v>81.8</v>
      </c>
      <c r="DZ92" s="32">
        <v>139.19999999999999</v>
      </c>
      <c r="EA92" s="32">
        <v>139.19999999999999</v>
      </c>
      <c r="EB92" s="32">
        <v>76.400000000000006</v>
      </c>
      <c r="EC92" s="32">
        <v>82.1</v>
      </c>
      <c r="ED92" s="32">
        <v>69.2</v>
      </c>
      <c r="EE92" s="32">
        <v>76.099999999999994</v>
      </c>
      <c r="EF92" s="32">
        <v>51.2</v>
      </c>
      <c r="EG92" s="32">
        <v>60.6</v>
      </c>
      <c r="EH92" s="32">
        <v>71</v>
      </c>
      <c r="EI92" s="32">
        <v>58.6</v>
      </c>
      <c r="EJ92" s="32">
        <v>51.1</v>
      </c>
      <c r="EK92" s="32">
        <v>58.8</v>
      </c>
      <c r="EL92" s="32">
        <v>69.599999999999994</v>
      </c>
      <c r="EM92" s="32">
        <v>47.6</v>
      </c>
      <c r="EN92" s="32">
        <v>64.5</v>
      </c>
      <c r="EO92" s="32">
        <v>88.2</v>
      </c>
      <c r="EP92" s="32">
        <v>90.7</v>
      </c>
      <c r="EQ92" s="32">
        <v>90.7</v>
      </c>
      <c r="ER92" s="32">
        <v>93.6</v>
      </c>
      <c r="ES92" s="32">
        <v>93.6</v>
      </c>
      <c r="ET92" s="32">
        <v>82.6</v>
      </c>
      <c r="EU92" s="32">
        <v>80.3</v>
      </c>
      <c r="EV92" s="32">
        <v>80.3</v>
      </c>
      <c r="EW92" s="32">
        <v>88.7</v>
      </c>
      <c r="EX92" s="32">
        <v>97.3</v>
      </c>
      <c r="EY92" s="32">
        <v>82</v>
      </c>
      <c r="EZ92" s="32">
        <v>90.6</v>
      </c>
      <c r="FA92" s="32">
        <v>102.5</v>
      </c>
      <c r="FB92" s="32">
        <v>107.8</v>
      </c>
      <c r="FC92" s="32">
        <v>77.099999999999994</v>
      </c>
      <c r="FD92" s="32">
        <v>121</v>
      </c>
      <c r="FE92" s="32">
        <v>153.5</v>
      </c>
      <c r="FF92" s="32">
        <v>96.2</v>
      </c>
      <c r="FG92" s="32">
        <v>83.5</v>
      </c>
      <c r="FH92" s="32">
        <v>87.7</v>
      </c>
      <c r="FI92" s="32">
        <v>97</v>
      </c>
      <c r="FJ92" s="32">
        <v>79.900000000000006</v>
      </c>
      <c r="FK92" s="32">
        <v>71.5</v>
      </c>
      <c r="FL92" s="32">
        <v>71.5</v>
      </c>
    </row>
    <row r="93" spans="1:168" x14ac:dyDescent="0.2">
      <c r="A93" s="34" t="s">
        <v>1073</v>
      </c>
      <c r="B93" s="32">
        <v>78.900000000000006</v>
      </c>
      <c r="C93" s="32">
        <v>86.3</v>
      </c>
      <c r="D93" s="32">
        <v>102.6</v>
      </c>
      <c r="E93" s="32">
        <v>103.4</v>
      </c>
      <c r="F93" s="32">
        <v>269.5</v>
      </c>
      <c r="G93" s="32">
        <v>7656.1</v>
      </c>
      <c r="H93" s="32">
        <v>336.1</v>
      </c>
      <c r="I93" s="32">
        <v>55.4</v>
      </c>
      <c r="J93" s="32">
        <v>88</v>
      </c>
      <c r="K93" s="32">
        <v>104.7</v>
      </c>
      <c r="L93" s="32">
        <v>103.9</v>
      </c>
      <c r="M93" s="32">
        <v>119.5</v>
      </c>
      <c r="N93" s="32">
        <v>89.9</v>
      </c>
      <c r="O93" s="32">
        <v>139.5</v>
      </c>
      <c r="P93" s="32">
        <v>296.5</v>
      </c>
      <c r="Q93" s="32">
        <v>108.8</v>
      </c>
      <c r="R93" s="32">
        <v>101.6</v>
      </c>
      <c r="S93" s="32">
        <v>127</v>
      </c>
      <c r="T93" s="32">
        <v>69</v>
      </c>
      <c r="U93" s="32">
        <v>62.5</v>
      </c>
      <c r="V93" s="32">
        <v>126.5</v>
      </c>
      <c r="W93" s="32">
        <v>46.4</v>
      </c>
      <c r="X93" s="32">
        <v>35.6</v>
      </c>
      <c r="Y93" s="32">
        <v>58.3</v>
      </c>
      <c r="Z93" s="32">
        <v>78.5</v>
      </c>
      <c r="AA93" s="32">
        <v>83.3</v>
      </c>
      <c r="AB93" s="32">
        <v>91.6</v>
      </c>
      <c r="AC93" s="32">
        <v>75.8</v>
      </c>
      <c r="AD93" s="32">
        <v>91</v>
      </c>
      <c r="AE93" s="32">
        <v>165</v>
      </c>
      <c r="AF93" s="32">
        <v>165</v>
      </c>
      <c r="AG93" s="32">
        <v>57.2</v>
      </c>
      <c r="AH93" s="32">
        <v>57.2</v>
      </c>
      <c r="AI93" s="32">
        <v>251.2</v>
      </c>
      <c r="AJ93" s="32">
        <v>27.5</v>
      </c>
      <c r="AK93" s="32">
        <v>101.5</v>
      </c>
      <c r="AL93" s="32">
        <v>126</v>
      </c>
      <c r="AM93" s="32">
        <v>47.2</v>
      </c>
      <c r="AN93" s="32">
        <v>97.5</v>
      </c>
      <c r="AO93" s="32">
        <v>122.7</v>
      </c>
      <c r="AP93" s="32">
        <v>122.7</v>
      </c>
      <c r="AQ93" s="32">
        <v>104.8</v>
      </c>
      <c r="AR93" s="32">
        <v>100.4</v>
      </c>
      <c r="AS93" s="32">
        <v>113.2</v>
      </c>
      <c r="AT93" s="32">
        <v>124.8</v>
      </c>
      <c r="AU93" s="32">
        <v>102.2</v>
      </c>
      <c r="AV93" s="32">
        <v>102.1</v>
      </c>
      <c r="AW93" s="32">
        <v>144.19999999999999</v>
      </c>
      <c r="AX93" s="32">
        <v>80</v>
      </c>
      <c r="AY93" s="32">
        <v>376.6</v>
      </c>
      <c r="AZ93" s="32">
        <v>94.8</v>
      </c>
      <c r="BA93" s="32">
        <v>49.9</v>
      </c>
      <c r="BB93" s="32">
        <v>49.9</v>
      </c>
      <c r="BC93" s="32">
        <v>105.2</v>
      </c>
      <c r="BD93" s="32">
        <v>105.2</v>
      </c>
      <c r="BE93" s="32">
        <v>109.9</v>
      </c>
      <c r="BF93" s="32">
        <v>109.9</v>
      </c>
      <c r="BG93" s="32">
        <v>86.6</v>
      </c>
      <c r="BH93" s="32">
        <v>63</v>
      </c>
      <c r="BI93" s="32">
        <v>112</v>
      </c>
      <c r="BJ93" s="32">
        <v>49.6</v>
      </c>
      <c r="BK93" s="32">
        <v>150.1</v>
      </c>
      <c r="BL93" s="32">
        <v>37.200000000000003</v>
      </c>
      <c r="BM93" s="32">
        <v>86</v>
      </c>
      <c r="BN93" s="32">
        <v>86.6</v>
      </c>
      <c r="BO93" s="32">
        <v>80.8</v>
      </c>
      <c r="BP93" s="32">
        <v>92.3</v>
      </c>
      <c r="BQ93" s="32">
        <v>85.7</v>
      </c>
      <c r="BR93" s="32">
        <v>86.8</v>
      </c>
      <c r="BS93" s="32">
        <v>238.2</v>
      </c>
      <c r="BT93" s="32">
        <v>55.7</v>
      </c>
      <c r="BU93" s="32">
        <v>123.2</v>
      </c>
      <c r="BV93" s="32">
        <v>123.2</v>
      </c>
      <c r="BW93" s="32">
        <v>156</v>
      </c>
      <c r="BX93" s="32">
        <v>92.1</v>
      </c>
      <c r="BY93" s="32">
        <v>110.3</v>
      </c>
      <c r="BZ93" s="32">
        <v>106.3</v>
      </c>
      <c r="CA93" s="32">
        <v>112.8</v>
      </c>
      <c r="CB93" s="32">
        <v>128.30000000000001</v>
      </c>
      <c r="CC93" s="32">
        <v>105</v>
      </c>
      <c r="CD93" s="32">
        <v>38.299999999999997</v>
      </c>
      <c r="CE93" s="32">
        <v>99.5</v>
      </c>
      <c r="CF93" s="32">
        <v>73.400000000000006</v>
      </c>
      <c r="CG93" s="32">
        <v>85.2</v>
      </c>
      <c r="CH93" s="32">
        <v>84.2</v>
      </c>
      <c r="CI93" s="32">
        <v>98.3</v>
      </c>
      <c r="CJ93" s="32">
        <v>71.3</v>
      </c>
      <c r="CK93" s="32">
        <v>91.5</v>
      </c>
      <c r="CL93" s="32">
        <v>85.8</v>
      </c>
      <c r="CM93" s="32">
        <v>94.3</v>
      </c>
      <c r="CN93" s="32">
        <v>50.9</v>
      </c>
      <c r="CO93" s="32">
        <v>106.5</v>
      </c>
      <c r="CP93" s="32">
        <v>137</v>
      </c>
      <c r="CQ93" s="32">
        <v>23.8</v>
      </c>
      <c r="CR93" s="32">
        <v>77.8</v>
      </c>
      <c r="CS93" s="32">
        <v>116.2</v>
      </c>
      <c r="CT93" s="32">
        <v>90.3</v>
      </c>
      <c r="CU93" s="32">
        <v>67.099999999999994</v>
      </c>
      <c r="CV93" s="32">
        <v>100.7</v>
      </c>
      <c r="CW93" s="32">
        <v>29.3</v>
      </c>
      <c r="CX93" s="32">
        <v>80.3</v>
      </c>
      <c r="CY93" s="32">
        <v>95.4</v>
      </c>
      <c r="CZ93" s="32">
        <v>72.2</v>
      </c>
      <c r="DA93" s="32">
        <v>58.9</v>
      </c>
      <c r="DB93" s="32">
        <v>99.6</v>
      </c>
      <c r="DC93" s="32">
        <v>5</v>
      </c>
      <c r="DD93" s="32">
        <v>5</v>
      </c>
      <c r="DE93" s="32">
        <v>59.5</v>
      </c>
      <c r="DF93" s="32">
        <v>54.4</v>
      </c>
      <c r="DG93" s="32">
        <v>92.4</v>
      </c>
      <c r="DH93" s="32">
        <v>76.5</v>
      </c>
      <c r="DI93" s="32">
        <v>120.5</v>
      </c>
      <c r="DJ93" s="32">
        <v>54.4</v>
      </c>
      <c r="DK93" s="32">
        <v>54.4</v>
      </c>
      <c r="DL93" s="32">
        <v>44.8</v>
      </c>
      <c r="DM93" s="32">
        <v>71</v>
      </c>
      <c r="DN93" s="32">
        <v>45.3</v>
      </c>
      <c r="DO93" s="32">
        <v>82.2</v>
      </c>
      <c r="DP93" s="32">
        <v>51.2</v>
      </c>
      <c r="DQ93" s="32">
        <v>69.7</v>
      </c>
      <c r="DR93" s="32">
        <v>76.400000000000006</v>
      </c>
      <c r="DS93" s="32">
        <v>70.400000000000006</v>
      </c>
      <c r="DT93" s="32">
        <v>66.5</v>
      </c>
      <c r="DU93" s="32">
        <v>69</v>
      </c>
      <c r="DV93" s="32">
        <v>78.3</v>
      </c>
      <c r="DW93" s="32">
        <v>58.3</v>
      </c>
      <c r="DX93" s="32">
        <v>61.3</v>
      </c>
      <c r="DY93" s="32">
        <v>83</v>
      </c>
      <c r="DZ93" s="32">
        <v>131.6</v>
      </c>
      <c r="EA93" s="32">
        <v>131.6</v>
      </c>
      <c r="EB93" s="32">
        <v>77.099999999999994</v>
      </c>
      <c r="EC93" s="32">
        <v>82.2</v>
      </c>
      <c r="ED93" s="32">
        <v>70.900000000000006</v>
      </c>
      <c r="EE93" s="32">
        <v>78.099999999999994</v>
      </c>
      <c r="EF93" s="32">
        <v>51.8</v>
      </c>
      <c r="EG93" s="32">
        <v>60.3</v>
      </c>
      <c r="EH93" s="32">
        <v>69.599999999999994</v>
      </c>
      <c r="EI93" s="32">
        <v>56.9</v>
      </c>
      <c r="EJ93" s="32">
        <v>53.9</v>
      </c>
      <c r="EK93" s="32">
        <v>59.7</v>
      </c>
      <c r="EL93" s="32">
        <v>71.900000000000006</v>
      </c>
      <c r="EM93" s="32">
        <v>48.6</v>
      </c>
      <c r="EN93" s="32">
        <v>65</v>
      </c>
      <c r="EO93" s="32">
        <v>88.2</v>
      </c>
      <c r="EP93" s="32">
        <v>90.3</v>
      </c>
      <c r="EQ93" s="32">
        <v>90.3</v>
      </c>
      <c r="ER93" s="32">
        <v>94.1</v>
      </c>
      <c r="ES93" s="32">
        <v>94.1</v>
      </c>
      <c r="ET93" s="32">
        <v>82.6</v>
      </c>
      <c r="EU93" s="32">
        <v>80.400000000000006</v>
      </c>
      <c r="EV93" s="32">
        <v>80.400000000000006</v>
      </c>
      <c r="EW93" s="32">
        <v>88.1</v>
      </c>
      <c r="EX93" s="32">
        <v>96.8</v>
      </c>
      <c r="EY93" s="32">
        <v>81.3</v>
      </c>
      <c r="EZ93" s="32">
        <v>92.8</v>
      </c>
      <c r="FA93" s="32">
        <v>105.2</v>
      </c>
      <c r="FB93" s="32">
        <v>110.9</v>
      </c>
      <c r="FC93" s="32">
        <v>78.5</v>
      </c>
      <c r="FD93" s="32">
        <v>119.7</v>
      </c>
      <c r="FE93" s="32">
        <v>162.1</v>
      </c>
      <c r="FF93" s="32">
        <v>98.4</v>
      </c>
      <c r="FG93" s="32">
        <v>86</v>
      </c>
      <c r="FH93" s="32">
        <v>92.8</v>
      </c>
      <c r="FI93" s="32">
        <v>92</v>
      </c>
      <c r="FJ93" s="32">
        <v>82.5</v>
      </c>
      <c r="FK93" s="32">
        <v>67.3</v>
      </c>
      <c r="FL93" s="32">
        <v>67.3</v>
      </c>
    </row>
    <row r="94" spans="1:168" x14ac:dyDescent="0.2">
      <c r="A94" s="34" t="s">
        <v>1074</v>
      </c>
      <c r="B94" s="32">
        <v>79.099999999999994</v>
      </c>
      <c r="C94" s="32">
        <v>85.6</v>
      </c>
      <c r="D94" s="32">
        <v>101.2</v>
      </c>
      <c r="E94" s="32">
        <v>101.9</v>
      </c>
      <c r="F94" s="32">
        <v>265.60000000000002</v>
      </c>
      <c r="G94" s="32">
        <v>8073.6</v>
      </c>
      <c r="H94" s="32">
        <v>328.4</v>
      </c>
      <c r="I94" s="32">
        <v>57.2</v>
      </c>
      <c r="J94" s="32">
        <v>87</v>
      </c>
      <c r="K94" s="32">
        <v>103.2</v>
      </c>
      <c r="L94" s="32">
        <v>101.7</v>
      </c>
      <c r="M94" s="32">
        <v>116.7</v>
      </c>
      <c r="N94" s="32">
        <v>89.6</v>
      </c>
      <c r="O94" s="32">
        <v>143</v>
      </c>
      <c r="P94" s="32">
        <v>296.3</v>
      </c>
      <c r="Q94" s="32">
        <v>110.1</v>
      </c>
      <c r="R94" s="32">
        <v>96.9</v>
      </c>
      <c r="S94" s="32">
        <v>124.7</v>
      </c>
      <c r="T94" s="32">
        <v>65</v>
      </c>
      <c r="U94" s="32">
        <v>64.3</v>
      </c>
      <c r="V94" s="32">
        <v>126.6</v>
      </c>
      <c r="W94" s="32">
        <v>48.2</v>
      </c>
      <c r="X94" s="32">
        <v>37.1</v>
      </c>
      <c r="Y94" s="32">
        <v>60.1</v>
      </c>
      <c r="Z94" s="32">
        <v>82.6</v>
      </c>
      <c r="AA94" s="32">
        <v>81.7</v>
      </c>
      <c r="AB94" s="32">
        <v>90</v>
      </c>
      <c r="AC94" s="32">
        <v>75.5</v>
      </c>
      <c r="AD94" s="32">
        <v>88.2</v>
      </c>
      <c r="AE94" s="32">
        <v>165.6</v>
      </c>
      <c r="AF94" s="32">
        <v>165.6</v>
      </c>
      <c r="AG94" s="32">
        <v>56</v>
      </c>
      <c r="AH94" s="32">
        <v>56</v>
      </c>
      <c r="AI94" s="32">
        <v>235.6</v>
      </c>
      <c r="AJ94" s="32">
        <v>27.2</v>
      </c>
      <c r="AK94" s="32">
        <v>72.099999999999994</v>
      </c>
      <c r="AL94" s="32">
        <v>128.5</v>
      </c>
      <c r="AM94" s="32">
        <v>45.9</v>
      </c>
      <c r="AN94" s="32">
        <v>97.2</v>
      </c>
      <c r="AO94" s="32">
        <v>106.9</v>
      </c>
      <c r="AP94" s="32">
        <v>106.9</v>
      </c>
      <c r="AQ94" s="32">
        <v>103.9</v>
      </c>
      <c r="AR94" s="32">
        <v>100.2</v>
      </c>
      <c r="AS94" s="32">
        <v>111.2</v>
      </c>
      <c r="AT94" s="32">
        <v>124.4</v>
      </c>
      <c r="AU94" s="32">
        <v>98.6</v>
      </c>
      <c r="AV94" s="32">
        <v>101.7</v>
      </c>
      <c r="AW94" s="32">
        <v>145.19999999999999</v>
      </c>
      <c r="AX94" s="32">
        <v>75.7</v>
      </c>
      <c r="AY94" s="32">
        <v>388.8</v>
      </c>
      <c r="AZ94" s="32">
        <v>94.1</v>
      </c>
      <c r="BA94" s="32">
        <v>50.2</v>
      </c>
      <c r="BB94" s="32">
        <v>50.2</v>
      </c>
      <c r="BC94" s="32">
        <v>105.9</v>
      </c>
      <c r="BD94" s="32">
        <v>105.9</v>
      </c>
      <c r="BE94" s="32">
        <v>113.8</v>
      </c>
      <c r="BF94" s="32">
        <v>113.8</v>
      </c>
      <c r="BG94" s="32">
        <v>88.7</v>
      </c>
      <c r="BH94" s="32">
        <v>66.8</v>
      </c>
      <c r="BI94" s="32">
        <v>111.4</v>
      </c>
      <c r="BJ94" s="32">
        <v>49</v>
      </c>
      <c r="BK94" s="32">
        <v>148.9</v>
      </c>
      <c r="BL94" s="32">
        <v>38.299999999999997</v>
      </c>
      <c r="BM94" s="32">
        <v>83.2</v>
      </c>
      <c r="BN94" s="32">
        <v>86.8</v>
      </c>
      <c r="BO94" s="32">
        <v>82.8</v>
      </c>
      <c r="BP94" s="32">
        <v>90.9</v>
      </c>
      <c r="BQ94" s="32">
        <v>78.599999999999994</v>
      </c>
      <c r="BR94" s="32">
        <v>54.5</v>
      </c>
      <c r="BS94" s="32">
        <v>214.9</v>
      </c>
      <c r="BT94" s="32">
        <v>54.9</v>
      </c>
      <c r="BU94" s="32">
        <v>118.9</v>
      </c>
      <c r="BV94" s="32">
        <v>118.9</v>
      </c>
      <c r="BW94" s="32">
        <v>151.30000000000001</v>
      </c>
      <c r="BX94" s="32">
        <v>88.6</v>
      </c>
      <c r="BY94" s="32">
        <v>107.9</v>
      </c>
      <c r="BZ94" s="32">
        <v>107.2</v>
      </c>
      <c r="CA94" s="32">
        <v>108.7</v>
      </c>
      <c r="CB94" s="32">
        <v>125.6</v>
      </c>
      <c r="CC94" s="32">
        <v>99.2</v>
      </c>
      <c r="CD94" s="32">
        <v>38.1</v>
      </c>
      <c r="CE94" s="32">
        <v>98.2</v>
      </c>
      <c r="CF94" s="32">
        <v>74</v>
      </c>
      <c r="CG94" s="32">
        <v>86</v>
      </c>
      <c r="CH94" s="32">
        <v>84.8</v>
      </c>
      <c r="CI94" s="32">
        <v>99.5</v>
      </c>
      <c r="CJ94" s="32">
        <v>72.2</v>
      </c>
      <c r="CK94" s="32">
        <v>91.7</v>
      </c>
      <c r="CL94" s="32">
        <v>88.2</v>
      </c>
      <c r="CM94" s="32">
        <v>94.9</v>
      </c>
      <c r="CN94" s="32">
        <v>50.1</v>
      </c>
      <c r="CO94" s="32">
        <v>107.4</v>
      </c>
      <c r="CP94" s="32">
        <v>140.5</v>
      </c>
      <c r="CQ94" s="32">
        <v>23.8</v>
      </c>
      <c r="CR94" s="32">
        <v>86.2</v>
      </c>
      <c r="CS94" s="32">
        <v>114.3</v>
      </c>
      <c r="CT94" s="32">
        <v>89.1</v>
      </c>
      <c r="CU94" s="32">
        <v>66.5</v>
      </c>
      <c r="CV94" s="32">
        <v>99.2</v>
      </c>
      <c r="CW94" s="32">
        <v>29.6</v>
      </c>
      <c r="CX94" s="32">
        <v>80.5</v>
      </c>
      <c r="CY94" s="32">
        <v>92.3</v>
      </c>
      <c r="CZ94" s="32">
        <v>74.400000000000006</v>
      </c>
      <c r="DA94" s="32">
        <v>61.4</v>
      </c>
      <c r="DB94" s="32">
        <v>100.5</v>
      </c>
      <c r="DC94" s="32">
        <v>5.2</v>
      </c>
      <c r="DD94" s="32">
        <v>5.2</v>
      </c>
      <c r="DE94" s="32">
        <v>59</v>
      </c>
      <c r="DF94" s="32">
        <v>54</v>
      </c>
      <c r="DG94" s="32">
        <v>91</v>
      </c>
      <c r="DH94" s="32">
        <v>77.599999999999994</v>
      </c>
      <c r="DI94" s="32">
        <v>122.5</v>
      </c>
      <c r="DJ94" s="32">
        <v>55.1</v>
      </c>
      <c r="DK94" s="32">
        <v>55.1</v>
      </c>
      <c r="DL94" s="32">
        <v>45.2</v>
      </c>
      <c r="DM94" s="32">
        <v>71.5</v>
      </c>
      <c r="DN94" s="32">
        <v>45.3</v>
      </c>
      <c r="DO94" s="32">
        <v>82.8</v>
      </c>
      <c r="DP94" s="32">
        <v>52.2</v>
      </c>
      <c r="DQ94" s="32">
        <v>70.599999999999994</v>
      </c>
      <c r="DR94" s="32">
        <v>78</v>
      </c>
      <c r="DS94" s="32">
        <v>71.900000000000006</v>
      </c>
      <c r="DT94" s="32">
        <v>67.8</v>
      </c>
      <c r="DU94" s="32">
        <v>70.400000000000006</v>
      </c>
      <c r="DV94" s="32">
        <v>79.5</v>
      </c>
      <c r="DW94" s="32">
        <v>59.9</v>
      </c>
      <c r="DX94" s="32">
        <v>62.4</v>
      </c>
      <c r="DY94" s="32">
        <v>84.9</v>
      </c>
      <c r="DZ94" s="32">
        <v>138.1</v>
      </c>
      <c r="EA94" s="32">
        <v>138.1</v>
      </c>
      <c r="EB94" s="32">
        <v>78</v>
      </c>
      <c r="EC94" s="32">
        <v>83.4</v>
      </c>
      <c r="ED94" s="32">
        <v>71.099999999999994</v>
      </c>
      <c r="EE94" s="32">
        <v>78.2</v>
      </c>
      <c r="EF94" s="32">
        <v>52.3</v>
      </c>
      <c r="EG94" s="32">
        <v>60.3</v>
      </c>
      <c r="EH94" s="32">
        <v>69.400000000000006</v>
      </c>
      <c r="EI94" s="32">
        <v>56.2</v>
      </c>
      <c r="EJ94" s="32">
        <v>53.6</v>
      </c>
      <c r="EK94" s="32">
        <v>60.4</v>
      </c>
      <c r="EL94" s="32">
        <v>77.8</v>
      </c>
      <c r="EM94" s="32">
        <v>48.2</v>
      </c>
      <c r="EN94" s="32">
        <v>65.599999999999994</v>
      </c>
      <c r="EO94" s="32">
        <v>88.4</v>
      </c>
      <c r="EP94" s="32">
        <v>90.8</v>
      </c>
      <c r="EQ94" s="32">
        <v>90.8</v>
      </c>
      <c r="ER94" s="32">
        <v>94.3</v>
      </c>
      <c r="ES94" s="32">
        <v>94.3</v>
      </c>
      <c r="ET94" s="32">
        <v>82.7</v>
      </c>
      <c r="EU94" s="32">
        <v>80.7</v>
      </c>
      <c r="EV94" s="32">
        <v>80.7</v>
      </c>
      <c r="EW94" s="32">
        <v>87.8</v>
      </c>
      <c r="EX94" s="32">
        <v>96.6</v>
      </c>
      <c r="EY94" s="32">
        <v>80.900000000000006</v>
      </c>
      <c r="EZ94" s="32">
        <v>91.2</v>
      </c>
      <c r="FA94" s="32">
        <v>106.4</v>
      </c>
      <c r="FB94" s="32">
        <v>112.7</v>
      </c>
      <c r="FC94" s="32">
        <v>77.900000000000006</v>
      </c>
      <c r="FD94" s="32">
        <v>119.7</v>
      </c>
      <c r="FE94" s="32">
        <v>169.3</v>
      </c>
      <c r="FF94" s="32">
        <v>98.7</v>
      </c>
      <c r="FG94" s="32">
        <v>82.4</v>
      </c>
      <c r="FH94" s="32">
        <v>95.8</v>
      </c>
      <c r="FI94" s="32">
        <v>86</v>
      </c>
      <c r="FJ94" s="32">
        <v>76.5</v>
      </c>
      <c r="FK94" s="32">
        <v>64.900000000000006</v>
      </c>
      <c r="FL94" s="32">
        <v>64.900000000000006</v>
      </c>
    </row>
    <row r="95" spans="1:168" x14ac:dyDescent="0.2">
      <c r="A95" s="34" t="s">
        <v>1075</v>
      </c>
      <c r="B95" s="32">
        <v>79.400000000000006</v>
      </c>
      <c r="C95" s="32">
        <v>85.4</v>
      </c>
      <c r="D95" s="32">
        <v>100.9</v>
      </c>
      <c r="E95" s="32">
        <v>101.7</v>
      </c>
      <c r="F95" s="32">
        <v>278</v>
      </c>
      <c r="G95" s="32">
        <v>8585.4</v>
      </c>
      <c r="H95" s="32">
        <v>344.9</v>
      </c>
      <c r="I95" s="32">
        <v>58.5</v>
      </c>
      <c r="J95" s="32">
        <v>86.5</v>
      </c>
      <c r="K95" s="32">
        <v>103.2</v>
      </c>
      <c r="L95" s="32">
        <v>101.8</v>
      </c>
      <c r="M95" s="32">
        <v>115.8</v>
      </c>
      <c r="N95" s="32">
        <v>89.1</v>
      </c>
      <c r="O95" s="32">
        <v>140</v>
      </c>
      <c r="P95" s="32">
        <v>290.7</v>
      </c>
      <c r="Q95" s="32">
        <v>107.9</v>
      </c>
      <c r="R95" s="32">
        <v>97.1</v>
      </c>
      <c r="S95" s="32">
        <v>125.2</v>
      </c>
      <c r="T95" s="32">
        <v>71.900000000000006</v>
      </c>
      <c r="U95" s="32">
        <v>65.400000000000006</v>
      </c>
      <c r="V95" s="32">
        <v>125.5</v>
      </c>
      <c r="W95" s="32">
        <v>45.9</v>
      </c>
      <c r="X95" s="32">
        <v>35.6</v>
      </c>
      <c r="Y95" s="32">
        <v>56.5</v>
      </c>
      <c r="Z95" s="32">
        <v>81.3</v>
      </c>
      <c r="AA95" s="32">
        <v>82.3</v>
      </c>
      <c r="AB95" s="32">
        <v>87.7</v>
      </c>
      <c r="AC95" s="32">
        <v>76</v>
      </c>
      <c r="AD95" s="32">
        <v>90.5</v>
      </c>
      <c r="AE95" s="32">
        <v>163.6</v>
      </c>
      <c r="AF95" s="32">
        <v>163.6</v>
      </c>
      <c r="AG95" s="32">
        <v>55.4</v>
      </c>
      <c r="AH95" s="32">
        <v>55.4</v>
      </c>
      <c r="AI95" s="32">
        <v>238.5</v>
      </c>
      <c r="AJ95" s="32">
        <v>26.3</v>
      </c>
      <c r="AK95" s="32">
        <v>68.099999999999994</v>
      </c>
      <c r="AL95" s="32">
        <v>128.6</v>
      </c>
      <c r="AM95" s="32">
        <v>46.4</v>
      </c>
      <c r="AN95" s="32">
        <v>94.3</v>
      </c>
      <c r="AO95" s="32">
        <v>109.2</v>
      </c>
      <c r="AP95" s="32">
        <v>109.2</v>
      </c>
      <c r="AQ95" s="32">
        <v>104.8</v>
      </c>
      <c r="AR95" s="32">
        <v>100.5</v>
      </c>
      <c r="AS95" s="32">
        <v>113</v>
      </c>
      <c r="AT95" s="32">
        <v>124.1</v>
      </c>
      <c r="AU95" s="32">
        <v>102.4</v>
      </c>
      <c r="AV95" s="32">
        <v>99.4</v>
      </c>
      <c r="AW95" s="32">
        <v>146.5</v>
      </c>
      <c r="AX95" s="32">
        <v>76.8</v>
      </c>
      <c r="AY95" s="32">
        <v>392.5</v>
      </c>
      <c r="AZ95" s="32">
        <v>91</v>
      </c>
      <c r="BA95" s="32">
        <v>50.2</v>
      </c>
      <c r="BB95" s="32">
        <v>50.2</v>
      </c>
      <c r="BC95" s="32">
        <v>104.4</v>
      </c>
      <c r="BD95" s="32">
        <v>104.4</v>
      </c>
      <c r="BE95" s="32">
        <v>111.7</v>
      </c>
      <c r="BF95" s="32">
        <v>111.7</v>
      </c>
      <c r="BG95" s="32">
        <v>85.8</v>
      </c>
      <c r="BH95" s="32">
        <v>62.3</v>
      </c>
      <c r="BI95" s="32">
        <v>111.2</v>
      </c>
      <c r="BJ95" s="32">
        <v>49.3</v>
      </c>
      <c r="BK95" s="32">
        <v>147.9</v>
      </c>
      <c r="BL95" s="32">
        <v>40.299999999999997</v>
      </c>
      <c r="BM95" s="32">
        <v>85.5</v>
      </c>
      <c r="BN95" s="32">
        <v>86.8</v>
      </c>
      <c r="BO95" s="32">
        <v>81.2</v>
      </c>
      <c r="BP95" s="32">
        <v>92.2</v>
      </c>
      <c r="BQ95" s="32">
        <v>84.3</v>
      </c>
      <c r="BR95" s="32">
        <v>66</v>
      </c>
      <c r="BS95" s="32">
        <v>229.9</v>
      </c>
      <c r="BT95" s="32">
        <v>58</v>
      </c>
      <c r="BU95" s="32">
        <v>114.2</v>
      </c>
      <c r="BV95" s="32">
        <v>114.2</v>
      </c>
      <c r="BW95" s="32">
        <v>146</v>
      </c>
      <c r="BX95" s="32">
        <v>85.3</v>
      </c>
      <c r="BY95" s="32">
        <v>109.1</v>
      </c>
      <c r="BZ95" s="32">
        <v>107.9</v>
      </c>
      <c r="CA95" s="32">
        <v>110.1</v>
      </c>
      <c r="CB95" s="32">
        <v>128.9</v>
      </c>
      <c r="CC95" s="32">
        <v>98.8</v>
      </c>
      <c r="CD95" s="32">
        <v>38.9</v>
      </c>
      <c r="CE95" s="32">
        <v>97.7</v>
      </c>
      <c r="CF95" s="32">
        <v>74.400000000000006</v>
      </c>
      <c r="CG95" s="32">
        <v>87.1</v>
      </c>
      <c r="CH95" s="32">
        <v>85.8</v>
      </c>
      <c r="CI95" s="32">
        <v>101.9</v>
      </c>
      <c r="CJ95" s="32">
        <v>73.2</v>
      </c>
      <c r="CK95" s="32">
        <v>92.3</v>
      </c>
      <c r="CL95" s="32">
        <v>89.6</v>
      </c>
      <c r="CM95" s="32">
        <v>94</v>
      </c>
      <c r="CN95" s="32">
        <v>50.1</v>
      </c>
      <c r="CO95" s="32">
        <v>106.2</v>
      </c>
      <c r="CP95" s="32">
        <v>142.9</v>
      </c>
      <c r="CQ95" s="32">
        <v>23.5</v>
      </c>
      <c r="CR95" s="32">
        <v>94.9</v>
      </c>
      <c r="CS95" s="32">
        <v>110</v>
      </c>
      <c r="CT95" s="32">
        <v>90.3</v>
      </c>
      <c r="CU95" s="32">
        <v>68.599999999999994</v>
      </c>
      <c r="CV95" s="32">
        <v>100</v>
      </c>
      <c r="CW95" s="32">
        <v>30.4</v>
      </c>
      <c r="CX95" s="32">
        <v>84.5</v>
      </c>
      <c r="CY95" s="32">
        <v>97.4</v>
      </c>
      <c r="CZ95" s="32">
        <v>77.8</v>
      </c>
      <c r="DA95" s="32">
        <v>65</v>
      </c>
      <c r="DB95" s="32">
        <v>102.5</v>
      </c>
      <c r="DC95" s="32">
        <v>5.3</v>
      </c>
      <c r="DD95" s="32">
        <v>5.3</v>
      </c>
      <c r="DE95" s="32">
        <v>59.9</v>
      </c>
      <c r="DF95" s="32">
        <v>54.8</v>
      </c>
      <c r="DG95" s="32">
        <v>92.4</v>
      </c>
      <c r="DH95" s="32">
        <v>78.7</v>
      </c>
      <c r="DI95" s="32">
        <v>123.3</v>
      </c>
      <c r="DJ95" s="32">
        <v>56.7</v>
      </c>
      <c r="DK95" s="32">
        <v>56.7</v>
      </c>
      <c r="DL95" s="32">
        <v>46.6</v>
      </c>
      <c r="DM95" s="32">
        <v>71.7</v>
      </c>
      <c r="DN95" s="32">
        <v>45.3</v>
      </c>
      <c r="DO95" s="32">
        <v>83</v>
      </c>
      <c r="DP95" s="32">
        <v>52.7</v>
      </c>
      <c r="DQ95" s="32">
        <v>69.8</v>
      </c>
      <c r="DR95" s="32">
        <v>76.400000000000006</v>
      </c>
      <c r="DS95" s="32">
        <v>71.7</v>
      </c>
      <c r="DT95" s="32">
        <v>69.2</v>
      </c>
      <c r="DU95" s="32">
        <v>72.2</v>
      </c>
      <c r="DV95" s="32">
        <v>82.3</v>
      </c>
      <c r="DW95" s="32">
        <v>60.6</v>
      </c>
      <c r="DX95" s="32">
        <v>62.8</v>
      </c>
      <c r="DY95" s="32">
        <v>80</v>
      </c>
      <c r="DZ95" s="32">
        <v>116.2</v>
      </c>
      <c r="EA95" s="32">
        <v>116.2</v>
      </c>
      <c r="EB95" s="32">
        <v>78.099999999999994</v>
      </c>
      <c r="EC95" s="32">
        <v>83.3</v>
      </c>
      <c r="ED95" s="32">
        <v>71.7</v>
      </c>
      <c r="EE95" s="32">
        <v>78.8</v>
      </c>
      <c r="EF95" s="32">
        <v>52.9</v>
      </c>
      <c r="EG95" s="32">
        <v>60.5</v>
      </c>
      <c r="EH95" s="32">
        <v>71.400000000000006</v>
      </c>
      <c r="EI95" s="32">
        <v>55.1</v>
      </c>
      <c r="EJ95" s="32">
        <v>52.3</v>
      </c>
      <c r="EK95" s="32">
        <v>61</v>
      </c>
      <c r="EL95" s="32">
        <v>70.2</v>
      </c>
      <c r="EM95" s="32">
        <v>47.8</v>
      </c>
      <c r="EN95" s="32">
        <v>68.400000000000006</v>
      </c>
      <c r="EO95" s="32">
        <v>88.3</v>
      </c>
      <c r="EP95" s="32">
        <v>90.8</v>
      </c>
      <c r="EQ95" s="32">
        <v>90.8</v>
      </c>
      <c r="ER95" s="32">
        <v>94</v>
      </c>
      <c r="ES95" s="32">
        <v>94</v>
      </c>
      <c r="ET95" s="32">
        <v>82.7</v>
      </c>
      <c r="EU95" s="32">
        <v>80.7</v>
      </c>
      <c r="EV95" s="32">
        <v>80.7</v>
      </c>
      <c r="EW95" s="32">
        <v>87.7</v>
      </c>
      <c r="EX95" s="32">
        <v>96.7</v>
      </c>
      <c r="EY95" s="32">
        <v>80.599999999999994</v>
      </c>
      <c r="EZ95" s="32">
        <v>92.5</v>
      </c>
      <c r="FA95" s="32">
        <v>107.9</v>
      </c>
      <c r="FB95" s="32">
        <v>115.5</v>
      </c>
      <c r="FC95" s="32">
        <v>82.2</v>
      </c>
      <c r="FD95" s="32">
        <v>119.6</v>
      </c>
      <c r="FE95" s="32">
        <v>170.5</v>
      </c>
      <c r="FF95" s="32">
        <v>98.9</v>
      </c>
      <c r="FG95" s="32">
        <v>83.6</v>
      </c>
      <c r="FH95" s="32">
        <v>93.7</v>
      </c>
      <c r="FI95" s="32">
        <v>82.5</v>
      </c>
      <c r="FJ95" s="32">
        <v>79.599999999999994</v>
      </c>
      <c r="FK95" s="32">
        <v>64.8</v>
      </c>
      <c r="FL95" s="32">
        <v>64.8</v>
      </c>
    </row>
    <row r="96" spans="1:168" x14ac:dyDescent="0.2">
      <c r="A96" s="34" t="s">
        <v>1076</v>
      </c>
      <c r="B96" s="32">
        <v>79.3</v>
      </c>
      <c r="C96" s="32">
        <v>85.1</v>
      </c>
      <c r="D96" s="32">
        <v>100.6</v>
      </c>
      <c r="E96" s="32">
        <v>101.3</v>
      </c>
      <c r="F96" s="32">
        <v>276</v>
      </c>
      <c r="G96" s="32">
        <v>9662.2000000000007</v>
      </c>
      <c r="H96" s="32">
        <v>338.9</v>
      </c>
      <c r="I96" s="32">
        <v>60.9</v>
      </c>
      <c r="J96" s="32">
        <v>86.5</v>
      </c>
      <c r="K96" s="32">
        <v>102.2</v>
      </c>
      <c r="L96" s="32">
        <v>101.8</v>
      </c>
      <c r="M96" s="32">
        <v>112</v>
      </c>
      <c r="N96" s="32">
        <v>87.9</v>
      </c>
      <c r="O96" s="32">
        <v>138.5</v>
      </c>
      <c r="P96" s="32">
        <v>284.60000000000002</v>
      </c>
      <c r="Q96" s="32">
        <v>108.2</v>
      </c>
      <c r="R96" s="32">
        <v>97.7</v>
      </c>
      <c r="S96" s="32">
        <v>127.2</v>
      </c>
      <c r="T96" s="32">
        <v>75.3</v>
      </c>
      <c r="U96" s="32">
        <v>57.1</v>
      </c>
      <c r="V96" s="32">
        <v>123.6</v>
      </c>
      <c r="W96" s="32">
        <v>46.1</v>
      </c>
      <c r="X96" s="32">
        <v>36.9</v>
      </c>
      <c r="Y96" s="32">
        <v>54</v>
      </c>
      <c r="Z96" s="32">
        <v>83.8</v>
      </c>
      <c r="AA96" s="32">
        <v>82.4</v>
      </c>
      <c r="AB96" s="32">
        <v>88.7</v>
      </c>
      <c r="AC96" s="32">
        <v>77</v>
      </c>
      <c r="AD96" s="32">
        <v>89.4</v>
      </c>
      <c r="AE96" s="32">
        <v>164.4</v>
      </c>
      <c r="AF96" s="32">
        <v>164.4</v>
      </c>
      <c r="AG96" s="32">
        <v>55.3</v>
      </c>
      <c r="AH96" s="32">
        <v>55.3</v>
      </c>
      <c r="AI96" s="32">
        <v>231.1</v>
      </c>
      <c r="AJ96" s="32">
        <v>25.8</v>
      </c>
      <c r="AK96" s="32">
        <v>67.2</v>
      </c>
      <c r="AL96" s="32">
        <v>129.4</v>
      </c>
      <c r="AM96" s="32">
        <v>47</v>
      </c>
      <c r="AN96" s="32">
        <v>95.8</v>
      </c>
      <c r="AO96" s="32">
        <v>103.9</v>
      </c>
      <c r="AP96" s="32">
        <v>103.9</v>
      </c>
      <c r="AQ96" s="32">
        <v>104.2</v>
      </c>
      <c r="AR96" s="32">
        <v>100.7</v>
      </c>
      <c r="AS96" s="32">
        <v>111.1</v>
      </c>
      <c r="AT96" s="32">
        <v>123.3</v>
      </c>
      <c r="AU96" s="32">
        <v>99.4</v>
      </c>
      <c r="AV96" s="32">
        <v>99.1</v>
      </c>
      <c r="AW96" s="32">
        <v>143.69999999999999</v>
      </c>
      <c r="AX96" s="32">
        <v>66.8</v>
      </c>
      <c r="AY96" s="32">
        <v>401.8</v>
      </c>
      <c r="AZ96" s="32">
        <v>91.3</v>
      </c>
      <c r="BA96" s="32">
        <v>52</v>
      </c>
      <c r="BB96" s="32">
        <v>52</v>
      </c>
      <c r="BC96" s="32">
        <v>102.6</v>
      </c>
      <c r="BD96" s="32">
        <v>102.6</v>
      </c>
      <c r="BE96" s="32">
        <v>112.8</v>
      </c>
      <c r="BF96" s="32">
        <v>112.8</v>
      </c>
      <c r="BG96" s="32">
        <v>86.9</v>
      </c>
      <c r="BH96" s="32">
        <v>64.599999999999994</v>
      </c>
      <c r="BI96" s="32">
        <v>110.4</v>
      </c>
      <c r="BJ96" s="32">
        <v>48.8</v>
      </c>
      <c r="BK96" s="32">
        <v>146.4</v>
      </c>
      <c r="BL96" s="32">
        <v>41.3</v>
      </c>
      <c r="BM96" s="32">
        <v>86.6</v>
      </c>
      <c r="BN96" s="32">
        <v>88.1</v>
      </c>
      <c r="BO96" s="32">
        <v>83.6</v>
      </c>
      <c r="BP96" s="32">
        <v>92.6</v>
      </c>
      <c r="BQ96" s="32">
        <v>85.1</v>
      </c>
      <c r="BR96" s="32">
        <v>91.1</v>
      </c>
      <c r="BS96" s="32">
        <v>216.7</v>
      </c>
      <c r="BT96" s="32">
        <v>57.8</v>
      </c>
      <c r="BU96" s="32">
        <v>113.3</v>
      </c>
      <c r="BV96" s="32">
        <v>113.3</v>
      </c>
      <c r="BW96" s="32">
        <v>146.4</v>
      </c>
      <c r="BX96" s="32">
        <v>83.6</v>
      </c>
      <c r="BY96" s="32">
        <v>105.7</v>
      </c>
      <c r="BZ96" s="32">
        <v>104.5</v>
      </c>
      <c r="CA96" s="32">
        <v>106.8</v>
      </c>
      <c r="CB96" s="32">
        <v>123.6</v>
      </c>
      <c r="CC96" s="32">
        <v>97.3</v>
      </c>
      <c r="CD96" s="32">
        <v>36.700000000000003</v>
      </c>
      <c r="CE96" s="32">
        <v>97.6</v>
      </c>
      <c r="CF96" s="32">
        <v>74.5</v>
      </c>
      <c r="CG96" s="32">
        <v>86.9</v>
      </c>
      <c r="CH96" s="32">
        <v>85.4</v>
      </c>
      <c r="CI96" s="32">
        <v>100.3</v>
      </c>
      <c r="CJ96" s="32">
        <v>72.5</v>
      </c>
      <c r="CK96" s="32">
        <v>92.4</v>
      </c>
      <c r="CL96" s="32">
        <v>89.8</v>
      </c>
      <c r="CM96" s="32">
        <v>91.7</v>
      </c>
      <c r="CN96" s="32">
        <v>47.9</v>
      </c>
      <c r="CO96" s="32">
        <v>103.9</v>
      </c>
      <c r="CP96" s="32">
        <v>145.5</v>
      </c>
      <c r="CQ96" s="32">
        <v>24</v>
      </c>
      <c r="CR96" s="32">
        <v>96</v>
      </c>
      <c r="CS96" s="32">
        <v>113</v>
      </c>
      <c r="CT96" s="32">
        <v>90.8</v>
      </c>
      <c r="CU96" s="32">
        <v>67.099999999999994</v>
      </c>
      <c r="CV96" s="32">
        <v>101.4</v>
      </c>
      <c r="CW96" s="32">
        <v>30.6</v>
      </c>
      <c r="CX96" s="32">
        <v>85</v>
      </c>
      <c r="CY96" s="32">
        <v>98.9</v>
      </c>
      <c r="CZ96" s="32">
        <v>77.7</v>
      </c>
      <c r="DA96" s="32">
        <v>64.599999999999994</v>
      </c>
      <c r="DB96" s="32">
        <v>103.6</v>
      </c>
      <c r="DC96" s="32">
        <v>5.5</v>
      </c>
      <c r="DD96" s="32">
        <v>5.5</v>
      </c>
      <c r="DE96" s="32">
        <v>58.9</v>
      </c>
      <c r="DF96" s="32">
        <v>54</v>
      </c>
      <c r="DG96" s="32">
        <v>90.7</v>
      </c>
      <c r="DH96" s="32">
        <v>79.7</v>
      </c>
      <c r="DI96" s="32">
        <v>125.9</v>
      </c>
      <c r="DJ96" s="32">
        <v>58.6</v>
      </c>
      <c r="DK96" s="32">
        <v>58.6</v>
      </c>
      <c r="DL96" s="32">
        <v>44.4</v>
      </c>
      <c r="DM96" s="32">
        <v>70.900000000000006</v>
      </c>
      <c r="DN96" s="32">
        <v>45.6</v>
      </c>
      <c r="DO96" s="32">
        <v>81.8</v>
      </c>
      <c r="DP96" s="32">
        <v>52.8</v>
      </c>
      <c r="DQ96" s="32">
        <v>70.400000000000006</v>
      </c>
      <c r="DR96" s="32">
        <v>78.3</v>
      </c>
      <c r="DS96" s="32">
        <v>72.3</v>
      </c>
      <c r="DT96" s="32">
        <v>68.900000000000006</v>
      </c>
      <c r="DU96" s="32">
        <v>71.900000000000006</v>
      </c>
      <c r="DV96" s="32">
        <v>81.3</v>
      </c>
      <c r="DW96" s="32">
        <v>61.1</v>
      </c>
      <c r="DX96" s="32">
        <v>62.5</v>
      </c>
      <c r="DY96" s="32">
        <v>83.3</v>
      </c>
      <c r="DZ96" s="32">
        <v>133.5</v>
      </c>
      <c r="EA96" s="32">
        <v>133.5</v>
      </c>
      <c r="EB96" s="32">
        <v>79.099999999999994</v>
      </c>
      <c r="EC96" s="32">
        <v>85.3</v>
      </c>
      <c r="ED96" s="32">
        <v>71.3</v>
      </c>
      <c r="EE96" s="32">
        <v>78</v>
      </c>
      <c r="EF96" s="32">
        <v>53.5</v>
      </c>
      <c r="EG96" s="32">
        <v>59.6</v>
      </c>
      <c r="EH96" s="32">
        <v>68.3</v>
      </c>
      <c r="EI96" s="32">
        <v>57.1</v>
      </c>
      <c r="EJ96" s="32">
        <v>51.2</v>
      </c>
      <c r="EK96" s="32">
        <v>59.1</v>
      </c>
      <c r="EL96" s="32">
        <v>67.2</v>
      </c>
      <c r="EM96" s="32">
        <v>46.1</v>
      </c>
      <c r="EN96" s="32">
        <v>66.7</v>
      </c>
      <c r="EO96" s="32">
        <v>88.5</v>
      </c>
      <c r="EP96" s="32">
        <v>90.9</v>
      </c>
      <c r="EQ96" s="32">
        <v>90.9</v>
      </c>
      <c r="ER96" s="32">
        <v>94</v>
      </c>
      <c r="ES96" s="32">
        <v>94</v>
      </c>
      <c r="ET96" s="32">
        <v>82.9</v>
      </c>
      <c r="EU96" s="32">
        <v>81</v>
      </c>
      <c r="EV96" s="32">
        <v>81</v>
      </c>
      <c r="EW96" s="32">
        <v>87.9</v>
      </c>
      <c r="EX96" s="32">
        <v>97.1</v>
      </c>
      <c r="EY96" s="32">
        <v>80.599999999999994</v>
      </c>
      <c r="EZ96" s="32">
        <v>91.9</v>
      </c>
      <c r="FA96" s="32">
        <v>106</v>
      </c>
      <c r="FB96" s="32">
        <v>114.5</v>
      </c>
      <c r="FC96" s="32">
        <v>82.4</v>
      </c>
      <c r="FD96" s="32">
        <v>119.7</v>
      </c>
      <c r="FE96" s="32">
        <v>166.9</v>
      </c>
      <c r="FF96" s="32">
        <v>95.8</v>
      </c>
      <c r="FG96" s="32">
        <v>83.5</v>
      </c>
      <c r="FH96" s="32">
        <v>90.1</v>
      </c>
      <c r="FI96" s="32">
        <v>89.9</v>
      </c>
      <c r="FJ96" s="32">
        <v>79.900000000000006</v>
      </c>
      <c r="FK96" s="32">
        <v>70</v>
      </c>
      <c r="FL96" s="32">
        <v>70</v>
      </c>
    </row>
    <row r="97" spans="1:168" x14ac:dyDescent="0.2">
      <c r="A97" s="34" t="s">
        <v>1077</v>
      </c>
      <c r="B97" s="32">
        <v>79.2</v>
      </c>
      <c r="C97" s="32">
        <v>84</v>
      </c>
      <c r="D97" s="32">
        <v>99.5</v>
      </c>
      <c r="E97" s="32">
        <v>99.8</v>
      </c>
      <c r="F97" s="32">
        <v>264.7</v>
      </c>
      <c r="G97" s="32">
        <v>8293.5</v>
      </c>
      <c r="H97" s="32">
        <v>323.3</v>
      </c>
      <c r="I97" s="32">
        <v>61.3</v>
      </c>
      <c r="J97" s="32">
        <v>85.4</v>
      </c>
      <c r="K97" s="32">
        <v>102.8</v>
      </c>
      <c r="L97" s="32">
        <v>100.7</v>
      </c>
      <c r="M97" s="32">
        <v>109.9</v>
      </c>
      <c r="N97" s="32">
        <v>88.5</v>
      </c>
      <c r="O97" s="32">
        <v>137.4</v>
      </c>
      <c r="P97" s="32">
        <v>281</v>
      </c>
      <c r="Q97" s="32">
        <v>105</v>
      </c>
      <c r="R97" s="32">
        <v>97.1</v>
      </c>
      <c r="S97" s="32">
        <v>126.1</v>
      </c>
      <c r="T97" s="32">
        <v>72.7</v>
      </c>
      <c r="U97" s="32">
        <v>68.3</v>
      </c>
      <c r="V97" s="32">
        <v>127</v>
      </c>
      <c r="W97" s="32">
        <v>45.9</v>
      </c>
      <c r="X97" s="32">
        <v>36.200000000000003</v>
      </c>
      <c r="Y97" s="32">
        <v>55.4</v>
      </c>
      <c r="Z97" s="32">
        <v>80.8</v>
      </c>
      <c r="AA97" s="32">
        <v>80</v>
      </c>
      <c r="AB97" s="32">
        <v>80.400000000000006</v>
      </c>
      <c r="AC97" s="32">
        <v>75.400000000000006</v>
      </c>
      <c r="AD97" s="32">
        <v>89</v>
      </c>
      <c r="AE97" s="32">
        <v>161.4</v>
      </c>
      <c r="AF97" s="32">
        <v>161.4</v>
      </c>
      <c r="AG97" s="32">
        <v>54.2</v>
      </c>
      <c r="AH97" s="32">
        <v>54.2</v>
      </c>
      <c r="AI97" s="32">
        <v>208.4</v>
      </c>
      <c r="AJ97" s="32">
        <v>26.2</v>
      </c>
      <c r="AK97" s="32">
        <v>84.1</v>
      </c>
      <c r="AL97" s="32">
        <v>128.1</v>
      </c>
      <c r="AM97" s="32">
        <v>45.6</v>
      </c>
      <c r="AN97" s="32">
        <v>93.9</v>
      </c>
      <c r="AO97" s="32">
        <v>110.5</v>
      </c>
      <c r="AP97" s="32">
        <v>110.5</v>
      </c>
      <c r="AQ97" s="32">
        <v>103.3</v>
      </c>
      <c r="AR97" s="32">
        <v>100.5</v>
      </c>
      <c r="AS97" s="32">
        <v>109.1</v>
      </c>
      <c r="AT97" s="32">
        <v>120.4</v>
      </c>
      <c r="AU97" s="32">
        <v>98.3</v>
      </c>
      <c r="AV97" s="32">
        <v>95.4</v>
      </c>
      <c r="AW97" s="32">
        <v>140.80000000000001</v>
      </c>
      <c r="AX97" s="32">
        <v>64.400000000000006</v>
      </c>
      <c r="AY97" s="32">
        <v>396.7</v>
      </c>
      <c r="AZ97" s="32">
        <v>87.3</v>
      </c>
      <c r="BA97" s="32">
        <v>50.2</v>
      </c>
      <c r="BB97" s="32">
        <v>50.2</v>
      </c>
      <c r="BC97" s="32">
        <v>95.7</v>
      </c>
      <c r="BD97" s="32">
        <v>95.7</v>
      </c>
      <c r="BE97" s="32">
        <v>111.1</v>
      </c>
      <c r="BF97" s="32">
        <v>111.1</v>
      </c>
      <c r="BG97" s="32">
        <v>85.1</v>
      </c>
      <c r="BH97" s="32">
        <v>62.1</v>
      </c>
      <c r="BI97" s="32">
        <v>109.8</v>
      </c>
      <c r="BJ97" s="32">
        <v>49.2</v>
      </c>
      <c r="BK97" s="32">
        <v>144.80000000000001</v>
      </c>
      <c r="BL97" s="32">
        <v>42.6</v>
      </c>
      <c r="BM97" s="32">
        <v>85.6</v>
      </c>
      <c r="BN97" s="32">
        <v>84.9</v>
      </c>
      <c r="BO97" s="32">
        <v>84.7</v>
      </c>
      <c r="BP97" s="32">
        <v>85.7</v>
      </c>
      <c r="BQ97" s="32">
        <v>87.4</v>
      </c>
      <c r="BR97" s="32">
        <v>62</v>
      </c>
      <c r="BS97" s="32">
        <v>255.9</v>
      </c>
      <c r="BT97" s="32">
        <v>58.2</v>
      </c>
      <c r="BU97" s="32">
        <v>111.8</v>
      </c>
      <c r="BV97" s="32">
        <v>111.8</v>
      </c>
      <c r="BW97" s="32">
        <v>148.9</v>
      </c>
      <c r="BX97" s="32">
        <v>75.900000000000006</v>
      </c>
      <c r="BY97" s="32">
        <v>105.3</v>
      </c>
      <c r="BZ97" s="32">
        <v>104.7</v>
      </c>
      <c r="CA97" s="32">
        <v>106</v>
      </c>
      <c r="CB97" s="32">
        <v>122</v>
      </c>
      <c r="CC97" s="32">
        <v>97.4</v>
      </c>
      <c r="CD97" s="32">
        <v>35.799999999999997</v>
      </c>
      <c r="CE97" s="32">
        <v>97.5</v>
      </c>
      <c r="CF97" s="32">
        <v>74.5</v>
      </c>
      <c r="CG97" s="32">
        <v>85.8</v>
      </c>
      <c r="CH97" s="32">
        <v>85.3</v>
      </c>
      <c r="CI97" s="32">
        <v>95.4</v>
      </c>
      <c r="CJ97" s="32">
        <v>73.400000000000006</v>
      </c>
      <c r="CK97" s="32">
        <v>92.7</v>
      </c>
      <c r="CL97" s="32">
        <v>86.7</v>
      </c>
      <c r="CM97" s="32">
        <v>90.6</v>
      </c>
      <c r="CN97" s="32">
        <v>48.6</v>
      </c>
      <c r="CO97" s="32">
        <v>102.3</v>
      </c>
      <c r="CP97" s="32">
        <v>147.4</v>
      </c>
      <c r="CQ97" s="32">
        <v>24.1</v>
      </c>
      <c r="CR97" s="32">
        <v>86.2</v>
      </c>
      <c r="CS97" s="32">
        <v>110.7</v>
      </c>
      <c r="CT97" s="32">
        <v>88.3</v>
      </c>
      <c r="CU97" s="32">
        <v>66.900000000000006</v>
      </c>
      <c r="CV97" s="32">
        <v>98</v>
      </c>
      <c r="CW97" s="32">
        <v>31.2</v>
      </c>
      <c r="CX97" s="32">
        <v>85.3</v>
      </c>
      <c r="CY97" s="32">
        <v>102.3</v>
      </c>
      <c r="CZ97" s="32">
        <v>76.099999999999994</v>
      </c>
      <c r="DA97" s="32">
        <v>62.3</v>
      </c>
      <c r="DB97" s="32">
        <v>104.1</v>
      </c>
      <c r="DC97" s="32">
        <v>5.5</v>
      </c>
      <c r="DD97" s="32">
        <v>5.5</v>
      </c>
      <c r="DE97" s="32">
        <v>61.2</v>
      </c>
      <c r="DF97" s="32">
        <v>55.9</v>
      </c>
      <c r="DG97" s="32">
        <v>95.8</v>
      </c>
      <c r="DH97" s="32">
        <v>82.7</v>
      </c>
      <c r="DI97" s="32">
        <v>128.69999999999999</v>
      </c>
      <c r="DJ97" s="32">
        <v>62</v>
      </c>
      <c r="DK97" s="32">
        <v>62</v>
      </c>
      <c r="DL97" s="32">
        <v>48</v>
      </c>
      <c r="DM97" s="32">
        <v>70.599999999999994</v>
      </c>
      <c r="DN97" s="32">
        <v>45.7</v>
      </c>
      <c r="DO97" s="32">
        <v>81.3</v>
      </c>
      <c r="DP97" s="32">
        <v>53.2</v>
      </c>
      <c r="DQ97" s="32">
        <v>70.5</v>
      </c>
      <c r="DR97" s="32">
        <v>78.2</v>
      </c>
      <c r="DS97" s="32">
        <v>72.8</v>
      </c>
      <c r="DT97" s="32">
        <v>68.400000000000006</v>
      </c>
      <c r="DU97" s="32">
        <v>71.5</v>
      </c>
      <c r="DV97" s="32">
        <v>81.599999999999994</v>
      </c>
      <c r="DW97" s="32">
        <v>59.9</v>
      </c>
      <c r="DX97" s="32">
        <v>61.9</v>
      </c>
      <c r="DY97" s="32">
        <v>86.7</v>
      </c>
      <c r="DZ97" s="32">
        <v>135.1</v>
      </c>
      <c r="EA97" s="32">
        <v>135.1</v>
      </c>
      <c r="EB97" s="32">
        <v>76.900000000000006</v>
      </c>
      <c r="EC97" s="32">
        <v>82.4</v>
      </c>
      <c r="ED97" s="32">
        <v>70.2</v>
      </c>
      <c r="EE97" s="32">
        <v>76.2</v>
      </c>
      <c r="EF97" s="32">
        <v>54.1</v>
      </c>
      <c r="EG97" s="32">
        <v>59.8</v>
      </c>
      <c r="EH97" s="32">
        <v>67.099999999999994</v>
      </c>
      <c r="EI97" s="32">
        <v>58.6</v>
      </c>
      <c r="EJ97" s="32">
        <v>52.4</v>
      </c>
      <c r="EK97" s="32">
        <v>58.9</v>
      </c>
      <c r="EL97" s="32">
        <v>67.900000000000006</v>
      </c>
      <c r="EM97" s="32">
        <v>47.4</v>
      </c>
      <c r="EN97" s="32">
        <v>65.099999999999994</v>
      </c>
      <c r="EO97" s="32">
        <v>88.5</v>
      </c>
      <c r="EP97" s="32">
        <v>90.9</v>
      </c>
      <c r="EQ97" s="32">
        <v>90.9</v>
      </c>
      <c r="ER97" s="32">
        <v>93.9</v>
      </c>
      <c r="ES97" s="32">
        <v>93.9</v>
      </c>
      <c r="ET97" s="32">
        <v>83.1</v>
      </c>
      <c r="EU97" s="32">
        <v>81.099999999999994</v>
      </c>
      <c r="EV97" s="32">
        <v>81.099999999999994</v>
      </c>
      <c r="EW97" s="32">
        <v>88.1</v>
      </c>
      <c r="EX97" s="32">
        <v>97.5</v>
      </c>
      <c r="EY97" s="32">
        <v>80.7</v>
      </c>
      <c r="EZ97" s="32">
        <v>89.1</v>
      </c>
      <c r="FA97" s="32">
        <v>100.4</v>
      </c>
      <c r="FB97" s="32">
        <v>105.2</v>
      </c>
      <c r="FC97" s="32">
        <v>68.2</v>
      </c>
      <c r="FD97" s="32">
        <v>120.1</v>
      </c>
      <c r="FE97" s="32">
        <v>161.4</v>
      </c>
      <c r="FF97" s="32">
        <v>94.7</v>
      </c>
      <c r="FG97" s="32">
        <v>82.7</v>
      </c>
      <c r="FH97" s="32">
        <v>88.5</v>
      </c>
      <c r="FI97" s="32">
        <v>83.5</v>
      </c>
      <c r="FJ97" s="32">
        <v>80.2</v>
      </c>
      <c r="FK97" s="32">
        <v>68.8</v>
      </c>
      <c r="FL97" s="32">
        <v>68.8</v>
      </c>
    </row>
    <row r="98" spans="1:168" x14ac:dyDescent="0.2">
      <c r="A98" s="34" t="s">
        <v>1078</v>
      </c>
      <c r="B98" s="32">
        <v>79.400000000000006</v>
      </c>
      <c r="C98" s="32">
        <v>82.1</v>
      </c>
      <c r="D98" s="32">
        <v>99.1</v>
      </c>
      <c r="E98" s="32">
        <v>99.5</v>
      </c>
      <c r="F98" s="32">
        <v>241.5</v>
      </c>
      <c r="G98" s="32">
        <v>7372.6</v>
      </c>
      <c r="H98" s="32">
        <v>289.7</v>
      </c>
      <c r="I98" s="32">
        <v>61.6</v>
      </c>
      <c r="J98" s="32">
        <v>86.1</v>
      </c>
      <c r="K98" s="32">
        <v>101.7</v>
      </c>
      <c r="L98" s="32">
        <v>99.7</v>
      </c>
      <c r="M98" s="32">
        <v>105.8</v>
      </c>
      <c r="N98" s="32">
        <v>87.8</v>
      </c>
      <c r="O98" s="32">
        <v>137</v>
      </c>
      <c r="P98" s="32">
        <v>265.3</v>
      </c>
      <c r="Q98" s="32">
        <v>102.9</v>
      </c>
      <c r="R98" s="32">
        <v>97.8</v>
      </c>
      <c r="S98" s="32">
        <v>126.3</v>
      </c>
      <c r="T98" s="32">
        <v>72.7</v>
      </c>
      <c r="U98" s="32">
        <v>66.8</v>
      </c>
      <c r="V98" s="32">
        <v>125.9</v>
      </c>
      <c r="W98" s="32">
        <v>46.6</v>
      </c>
      <c r="X98" s="32">
        <v>36.299999999999997</v>
      </c>
      <c r="Y98" s="32">
        <v>57.4</v>
      </c>
      <c r="Z98" s="32">
        <v>78.8</v>
      </c>
      <c r="AA98" s="32">
        <v>80.7</v>
      </c>
      <c r="AB98" s="32">
        <v>77.900000000000006</v>
      </c>
      <c r="AC98" s="32">
        <v>76.8</v>
      </c>
      <c r="AD98" s="32">
        <v>90.8</v>
      </c>
      <c r="AE98" s="32">
        <v>153.9</v>
      </c>
      <c r="AF98" s="32">
        <v>153.9</v>
      </c>
      <c r="AG98" s="32">
        <v>56</v>
      </c>
      <c r="AH98" s="32">
        <v>56</v>
      </c>
      <c r="AI98" s="32">
        <v>227.6</v>
      </c>
      <c r="AJ98" s="32">
        <v>27.5</v>
      </c>
      <c r="AK98" s="32">
        <v>118.3</v>
      </c>
      <c r="AL98" s="32">
        <v>129.4</v>
      </c>
      <c r="AM98" s="32">
        <v>46.6</v>
      </c>
      <c r="AN98" s="32">
        <v>90.9</v>
      </c>
      <c r="AO98" s="32">
        <v>113</v>
      </c>
      <c r="AP98" s="32">
        <v>113</v>
      </c>
      <c r="AQ98" s="32">
        <v>105</v>
      </c>
      <c r="AR98" s="32">
        <v>101.7</v>
      </c>
      <c r="AS98" s="32">
        <v>111.5</v>
      </c>
      <c r="AT98" s="32">
        <v>121</v>
      </c>
      <c r="AU98" s="32">
        <v>102.5</v>
      </c>
      <c r="AV98" s="32">
        <v>97.3</v>
      </c>
      <c r="AW98" s="32">
        <v>150.19999999999999</v>
      </c>
      <c r="AX98" s="32">
        <v>70</v>
      </c>
      <c r="AY98" s="32">
        <v>421.6</v>
      </c>
      <c r="AZ98" s="32">
        <v>87.7</v>
      </c>
      <c r="BA98" s="32">
        <v>50.3</v>
      </c>
      <c r="BB98" s="32">
        <v>50.3</v>
      </c>
      <c r="BC98" s="32">
        <v>100.5</v>
      </c>
      <c r="BD98" s="32">
        <v>100.5</v>
      </c>
      <c r="BE98" s="32">
        <v>111.7</v>
      </c>
      <c r="BF98" s="32">
        <v>111.7</v>
      </c>
      <c r="BG98" s="32">
        <v>85.6</v>
      </c>
      <c r="BH98" s="32">
        <v>63.7</v>
      </c>
      <c r="BI98" s="32">
        <v>108.7</v>
      </c>
      <c r="BJ98" s="32">
        <v>48.1</v>
      </c>
      <c r="BK98" s="32">
        <v>143.30000000000001</v>
      </c>
      <c r="BL98" s="32">
        <v>43.1</v>
      </c>
      <c r="BM98" s="32">
        <v>85.5</v>
      </c>
      <c r="BN98" s="32">
        <v>88.3</v>
      </c>
      <c r="BO98" s="32">
        <v>84.9</v>
      </c>
      <c r="BP98" s="32">
        <v>91.9</v>
      </c>
      <c r="BQ98" s="32">
        <v>82.1</v>
      </c>
      <c r="BR98" s="32">
        <v>62.5</v>
      </c>
      <c r="BS98" s="32">
        <v>200.9</v>
      </c>
      <c r="BT98" s="32">
        <v>60.2</v>
      </c>
      <c r="BU98" s="32">
        <v>107</v>
      </c>
      <c r="BV98" s="32">
        <v>107</v>
      </c>
      <c r="BW98" s="32">
        <v>146</v>
      </c>
      <c r="BX98" s="32">
        <v>67.7</v>
      </c>
      <c r="BY98" s="32">
        <v>105.7</v>
      </c>
      <c r="BZ98" s="32">
        <v>105.1</v>
      </c>
      <c r="CA98" s="32">
        <v>106.4</v>
      </c>
      <c r="CB98" s="32">
        <v>122.9</v>
      </c>
      <c r="CC98" s="32">
        <v>97.4</v>
      </c>
      <c r="CD98" s="32">
        <v>35.1</v>
      </c>
      <c r="CE98" s="32">
        <v>97.1</v>
      </c>
      <c r="CF98" s="32">
        <v>74.900000000000006</v>
      </c>
      <c r="CG98" s="32">
        <v>86.6</v>
      </c>
      <c r="CH98" s="32">
        <v>85.8</v>
      </c>
      <c r="CI98" s="32">
        <v>97.6</v>
      </c>
      <c r="CJ98" s="32">
        <v>73.400000000000006</v>
      </c>
      <c r="CK98" s="32">
        <v>93.2</v>
      </c>
      <c r="CL98" s="32">
        <v>86.9</v>
      </c>
      <c r="CM98" s="32">
        <v>92.3</v>
      </c>
      <c r="CN98" s="32">
        <v>49.4</v>
      </c>
      <c r="CO98" s="32">
        <v>104.2</v>
      </c>
      <c r="CP98" s="32">
        <v>148.6</v>
      </c>
      <c r="CQ98" s="32">
        <v>24.3</v>
      </c>
      <c r="CR98" s="32">
        <v>84.3</v>
      </c>
      <c r="CS98" s="32">
        <v>109.9</v>
      </c>
      <c r="CT98" s="32">
        <v>91.4</v>
      </c>
      <c r="CU98" s="32">
        <v>68.400000000000006</v>
      </c>
      <c r="CV98" s="32">
        <v>101.7</v>
      </c>
      <c r="CW98" s="32">
        <v>31.6</v>
      </c>
      <c r="CX98" s="32">
        <v>88</v>
      </c>
      <c r="CY98" s="32">
        <v>107.4</v>
      </c>
      <c r="CZ98" s="32">
        <v>77.400000000000006</v>
      </c>
      <c r="DA98" s="32">
        <v>63.8</v>
      </c>
      <c r="DB98" s="32">
        <v>104.7</v>
      </c>
      <c r="DC98" s="32">
        <v>5.7</v>
      </c>
      <c r="DD98" s="32">
        <v>5.7</v>
      </c>
      <c r="DE98" s="32">
        <v>60.5</v>
      </c>
      <c r="DF98" s="32">
        <v>55.2</v>
      </c>
      <c r="DG98" s="32">
        <v>94.8</v>
      </c>
      <c r="DH98" s="32">
        <v>85.2</v>
      </c>
      <c r="DI98" s="32">
        <v>132.69999999999999</v>
      </c>
      <c r="DJ98" s="32">
        <v>65.8</v>
      </c>
      <c r="DK98" s="32">
        <v>65.8</v>
      </c>
      <c r="DL98" s="32">
        <v>47.3</v>
      </c>
      <c r="DM98" s="32">
        <v>70.599999999999994</v>
      </c>
      <c r="DN98" s="32">
        <v>46.2</v>
      </c>
      <c r="DO98" s="32">
        <v>81</v>
      </c>
      <c r="DP98" s="32">
        <v>53.5</v>
      </c>
      <c r="DQ98" s="32">
        <v>70.3</v>
      </c>
      <c r="DR98" s="32">
        <v>77.900000000000006</v>
      </c>
      <c r="DS98" s="32">
        <v>73.5</v>
      </c>
      <c r="DT98" s="32">
        <v>69.3</v>
      </c>
      <c r="DU98" s="32">
        <v>73.2</v>
      </c>
      <c r="DV98" s="32">
        <v>83.6</v>
      </c>
      <c r="DW98" s="32">
        <v>61.3</v>
      </c>
      <c r="DX98" s="32">
        <v>61.1</v>
      </c>
      <c r="DY98" s="32">
        <v>87</v>
      </c>
      <c r="DZ98" s="32">
        <v>121.4</v>
      </c>
      <c r="EA98" s="32">
        <v>121.4</v>
      </c>
      <c r="EB98" s="32">
        <v>77.599999999999994</v>
      </c>
      <c r="EC98" s="32">
        <v>82.7</v>
      </c>
      <c r="ED98" s="32">
        <v>71.3</v>
      </c>
      <c r="EE98" s="32">
        <v>77.5</v>
      </c>
      <c r="EF98" s="32">
        <v>54.8</v>
      </c>
      <c r="EG98" s="32">
        <v>59.6</v>
      </c>
      <c r="EH98" s="32">
        <v>67.599999999999994</v>
      </c>
      <c r="EI98" s="32">
        <v>58.1</v>
      </c>
      <c r="EJ98" s="32">
        <v>56.3</v>
      </c>
      <c r="EK98" s="32">
        <v>57.5</v>
      </c>
      <c r="EL98" s="32">
        <v>62.7</v>
      </c>
      <c r="EM98" s="32">
        <v>46.9</v>
      </c>
      <c r="EN98" s="32">
        <v>63.9</v>
      </c>
      <c r="EO98" s="32">
        <v>88.6</v>
      </c>
      <c r="EP98" s="32">
        <v>91.2</v>
      </c>
      <c r="EQ98" s="32">
        <v>91.2</v>
      </c>
      <c r="ER98" s="32">
        <v>93.7</v>
      </c>
      <c r="ES98" s="32">
        <v>93.7</v>
      </c>
      <c r="ET98" s="32">
        <v>83.2</v>
      </c>
      <c r="EU98" s="32">
        <v>81.2</v>
      </c>
      <c r="EV98" s="32">
        <v>81.2</v>
      </c>
      <c r="EW98" s="32">
        <v>88.3</v>
      </c>
      <c r="EX98" s="32">
        <v>97.8</v>
      </c>
      <c r="EY98" s="32">
        <v>80.900000000000006</v>
      </c>
      <c r="EZ98" s="32">
        <v>89.9</v>
      </c>
      <c r="FA98" s="32">
        <v>101.4</v>
      </c>
      <c r="FB98" s="32">
        <v>106.7</v>
      </c>
      <c r="FC98" s="32">
        <v>73</v>
      </c>
      <c r="FD98" s="32">
        <v>121.2</v>
      </c>
      <c r="FE98" s="32">
        <v>156.9</v>
      </c>
      <c r="FF98" s="32">
        <v>95.1</v>
      </c>
      <c r="FG98" s="32">
        <v>84.3</v>
      </c>
      <c r="FH98" s="32">
        <v>92.5</v>
      </c>
      <c r="FI98" s="32">
        <v>79.7</v>
      </c>
      <c r="FJ98" s="32">
        <v>81.5</v>
      </c>
      <c r="FK98" s="32">
        <v>62.4</v>
      </c>
      <c r="FL98" s="32">
        <v>62.4</v>
      </c>
    </row>
    <row r="99" spans="1:168" x14ac:dyDescent="0.2">
      <c r="A99" s="34" t="s">
        <v>1079</v>
      </c>
      <c r="B99" s="32">
        <v>79.7</v>
      </c>
      <c r="C99" s="32">
        <v>80.400000000000006</v>
      </c>
      <c r="D99" s="32">
        <v>99</v>
      </c>
      <c r="E99" s="32">
        <v>99.5</v>
      </c>
      <c r="F99" s="32">
        <v>254.9</v>
      </c>
      <c r="G99" s="32">
        <v>7184.5</v>
      </c>
      <c r="H99" s="32">
        <v>309.89999999999998</v>
      </c>
      <c r="I99" s="32">
        <v>61.4</v>
      </c>
      <c r="J99" s="32">
        <v>85.9</v>
      </c>
      <c r="K99" s="32">
        <v>100.8</v>
      </c>
      <c r="L99" s="32">
        <v>99.1</v>
      </c>
      <c r="M99" s="32">
        <v>103.4</v>
      </c>
      <c r="N99" s="32">
        <v>90.8</v>
      </c>
      <c r="O99" s="32">
        <v>137.69999999999999</v>
      </c>
      <c r="P99" s="32">
        <v>257.3</v>
      </c>
      <c r="Q99" s="32">
        <v>101.6</v>
      </c>
      <c r="R99" s="32">
        <v>100.7</v>
      </c>
      <c r="S99" s="32">
        <v>123.7</v>
      </c>
      <c r="T99" s="32">
        <v>69.900000000000006</v>
      </c>
      <c r="U99" s="32">
        <v>65</v>
      </c>
      <c r="V99" s="32">
        <v>124.2</v>
      </c>
      <c r="W99" s="32">
        <v>45.9</v>
      </c>
      <c r="X99" s="32">
        <v>36.4</v>
      </c>
      <c r="Y99" s="32">
        <v>55.4</v>
      </c>
      <c r="Z99" s="32">
        <v>77.900000000000006</v>
      </c>
      <c r="AA99" s="32">
        <v>80.099999999999994</v>
      </c>
      <c r="AB99" s="32">
        <v>76.8</v>
      </c>
      <c r="AC99" s="32">
        <v>77.099999999999994</v>
      </c>
      <c r="AD99" s="32">
        <v>90</v>
      </c>
      <c r="AE99" s="32">
        <v>158</v>
      </c>
      <c r="AF99" s="32">
        <v>158</v>
      </c>
      <c r="AG99" s="32">
        <v>56</v>
      </c>
      <c r="AH99" s="32">
        <v>56</v>
      </c>
      <c r="AI99" s="32">
        <v>227.9</v>
      </c>
      <c r="AJ99" s="32">
        <v>28.2</v>
      </c>
      <c r="AK99" s="32">
        <v>187.3</v>
      </c>
      <c r="AL99" s="32">
        <v>124.6</v>
      </c>
      <c r="AM99" s="32">
        <v>46.3</v>
      </c>
      <c r="AN99" s="32">
        <v>89.1</v>
      </c>
      <c r="AO99" s="32">
        <v>103.5</v>
      </c>
      <c r="AP99" s="32">
        <v>103.5</v>
      </c>
      <c r="AQ99" s="32">
        <v>104.5</v>
      </c>
      <c r="AR99" s="32">
        <v>101.7</v>
      </c>
      <c r="AS99" s="32">
        <v>110.2</v>
      </c>
      <c r="AT99" s="32">
        <v>119.1</v>
      </c>
      <c r="AU99" s="32">
        <v>101.8</v>
      </c>
      <c r="AV99" s="32">
        <v>97.8</v>
      </c>
      <c r="AW99" s="32">
        <v>149.9</v>
      </c>
      <c r="AX99" s="32">
        <v>62.4</v>
      </c>
      <c r="AY99" s="32">
        <v>436.4</v>
      </c>
      <c r="AZ99" s="32">
        <v>88.3</v>
      </c>
      <c r="BA99" s="32">
        <v>52.6</v>
      </c>
      <c r="BB99" s="32">
        <v>52.6</v>
      </c>
      <c r="BC99" s="32">
        <v>101.3</v>
      </c>
      <c r="BD99" s="32">
        <v>101.3</v>
      </c>
      <c r="BE99" s="32">
        <v>114.1</v>
      </c>
      <c r="BF99" s="32">
        <v>114.1</v>
      </c>
      <c r="BG99" s="32">
        <v>85.5</v>
      </c>
      <c r="BH99" s="32">
        <v>63.7</v>
      </c>
      <c r="BI99" s="32">
        <v>108.5</v>
      </c>
      <c r="BJ99" s="32">
        <v>47.8</v>
      </c>
      <c r="BK99" s="32">
        <v>143.30000000000001</v>
      </c>
      <c r="BL99" s="32">
        <v>42.7</v>
      </c>
      <c r="BM99" s="32">
        <v>85.4</v>
      </c>
      <c r="BN99" s="32">
        <v>87</v>
      </c>
      <c r="BO99" s="32">
        <v>85.2</v>
      </c>
      <c r="BP99" s="32">
        <v>89.1</v>
      </c>
      <c r="BQ99" s="32">
        <v>83.6</v>
      </c>
      <c r="BR99" s="32">
        <v>64.599999999999994</v>
      </c>
      <c r="BS99" s="32">
        <v>215.8</v>
      </c>
      <c r="BT99" s="32">
        <v>59.6</v>
      </c>
      <c r="BU99" s="32">
        <v>104.3</v>
      </c>
      <c r="BV99" s="32">
        <v>104.3</v>
      </c>
      <c r="BW99" s="32">
        <v>147.4</v>
      </c>
      <c r="BX99" s="32">
        <v>52.6</v>
      </c>
      <c r="BY99" s="32">
        <v>105.5</v>
      </c>
      <c r="BZ99" s="32">
        <v>103.7</v>
      </c>
      <c r="CA99" s="32">
        <v>106.8</v>
      </c>
      <c r="CB99" s="32">
        <v>121.9</v>
      </c>
      <c r="CC99" s="32">
        <v>99.1</v>
      </c>
      <c r="CD99" s="32">
        <v>35.200000000000003</v>
      </c>
      <c r="CE99" s="32">
        <v>96.5</v>
      </c>
      <c r="CF99" s="32">
        <v>75.3</v>
      </c>
      <c r="CG99" s="32">
        <v>87.3</v>
      </c>
      <c r="CH99" s="32">
        <v>85.9</v>
      </c>
      <c r="CI99" s="32">
        <v>98.3</v>
      </c>
      <c r="CJ99" s="32">
        <v>73.5</v>
      </c>
      <c r="CK99" s="32">
        <v>93.2</v>
      </c>
      <c r="CL99" s="32">
        <v>89.9</v>
      </c>
      <c r="CM99" s="32">
        <v>93</v>
      </c>
      <c r="CN99" s="32">
        <v>51.1</v>
      </c>
      <c r="CO99" s="32">
        <v>104.7</v>
      </c>
      <c r="CP99" s="32">
        <v>156.80000000000001</v>
      </c>
      <c r="CQ99" s="32">
        <v>24.4</v>
      </c>
      <c r="CR99" s="32">
        <v>86.9</v>
      </c>
      <c r="CS99" s="32">
        <v>122.4</v>
      </c>
      <c r="CT99" s="32">
        <v>90.8</v>
      </c>
      <c r="CU99" s="32">
        <v>67.900000000000006</v>
      </c>
      <c r="CV99" s="32">
        <v>101</v>
      </c>
      <c r="CW99" s="32">
        <v>31.1</v>
      </c>
      <c r="CX99" s="32">
        <v>85.1</v>
      </c>
      <c r="CY99" s="32">
        <v>103.6</v>
      </c>
      <c r="CZ99" s="32">
        <v>74.900000000000006</v>
      </c>
      <c r="DA99" s="32">
        <v>61</v>
      </c>
      <c r="DB99" s="32">
        <v>103.4</v>
      </c>
      <c r="DC99" s="32">
        <v>5.7</v>
      </c>
      <c r="DD99" s="32">
        <v>5.7</v>
      </c>
      <c r="DE99" s="32">
        <v>59.3</v>
      </c>
      <c r="DF99" s="32">
        <v>54.7</v>
      </c>
      <c r="DG99" s="32">
        <v>88.7</v>
      </c>
      <c r="DH99" s="32">
        <v>87.1</v>
      </c>
      <c r="DI99" s="32">
        <v>135</v>
      </c>
      <c r="DJ99" s="32">
        <v>69.400000000000006</v>
      </c>
      <c r="DK99" s="32">
        <v>69.400000000000006</v>
      </c>
      <c r="DL99" s="32">
        <v>48.4</v>
      </c>
      <c r="DM99" s="32">
        <v>70.2</v>
      </c>
      <c r="DN99" s="32">
        <v>46.3</v>
      </c>
      <c r="DO99" s="32">
        <v>80.599999999999994</v>
      </c>
      <c r="DP99" s="32">
        <v>52.6</v>
      </c>
      <c r="DQ99" s="32">
        <v>70.400000000000006</v>
      </c>
      <c r="DR99" s="32">
        <v>78.099999999999994</v>
      </c>
      <c r="DS99" s="32">
        <v>72.599999999999994</v>
      </c>
      <c r="DT99" s="32">
        <v>67.400000000000006</v>
      </c>
      <c r="DU99" s="32">
        <v>71</v>
      </c>
      <c r="DV99" s="32">
        <v>80.599999999999994</v>
      </c>
      <c r="DW99" s="32">
        <v>60.1</v>
      </c>
      <c r="DX99" s="32">
        <v>59.5</v>
      </c>
      <c r="DY99" s="32">
        <v>89.1</v>
      </c>
      <c r="DZ99" s="32">
        <v>134.69999999999999</v>
      </c>
      <c r="EA99" s="32">
        <v>134.69999999999999</v>
      </c>
      <c r="EB99" s="32">
        <v>77.099999999999994</v>
      </c>
      <c r="EC99" s="32">
        <v>82</v>
      </c>
      <c r="ED99" s="32">
        <v>71</v>
      </c>
      <c r="EE99" s="32">
        <v>76.8</v>
      </c>
      <c r="EF99" s="32">
        <v>55.7</v>
      </c>
      <c r="EG99" s="32">
        <v>59.7</v>
      </c>
      <c r="EH99" s="32">
        <v>68.2</v>
      </c>
      <c r="EI99" s="32">
        <v>59.4</v>
      </c>
      <c r="EJ99" s="32">
        <v>53.9</v>
      </c>
      <c r="EK99" s="32">
        <v>56.9</v>
      </c>
      <c r="EL99" s="32">
        <v>62.2</v>
      </c>
      <c r="EM99" s="32">
        <v>46.8</v>
      </c>
      <c r="EN99" s="32">
        <v>63</v>
      </c>
      <c r="EO99" s="32">
        <v>89.5</v>
      </c>
      <c r="EP99" s="32">
        <v>91.4</v>
      </c>
      <c r="EQ99" s="32">
        <v>91.4</v>
      </c>
      <c r="ER99" s="32">
        <v>96.1</v>
      </c>
      <c r="ES99" s="32">
        <v>96.1</v>
      </c>
      <c r="ET99" s="32">
        <v>83.5</v>
      </c>
      <c r="EU99" s="32">
        <v>81.599999999999994</v>
      </c>
      <c r="EV99" s="32">
        <v>81.599999999999994</v>
      </c>
      <c r="EW99" s="32">
        <v>88.4</v>
      </c>
      <c r="EX99" s="32">
        <v>97.9</v>
      </c>
      <c r="EY99" s="32">
        <v>81</v>
      </c>
      <c r="EZ99" s="32">
        <v>90.9</v>
      </c>
      <c r="FA99" s="32">
        <v>102.4</v>
      </c>
      <c r="FB99" s="32">
        <v>107.5</v>
      </c>
      <c r="FC99" s="32">
        <v>75.7</v>
      </c>
      <c r="FD99" s="32">
        <v>122.7</v>
      </c>
      <c r="FE99" s="32">
        <v>153.69999999999999</v>
      </c>
      <c r="FF99" s="32">
        <v>96.5</v>
      </c>
      <c r="FG99" s="32">
        <v>85.1</v>
      </c>
      <c r="FH99" s="32">
        <v>97.7</v>
      </c>
      <c r="FI99" s="32">
        <v>76.7</v>
      </c>
      <c r="FJ99" s="32">
        <v>81.099999999999994</v>
      </c>
      <c r="FK99" s="32">
        <v>63</v>
      </c>
      <c r="FL99" s="32">
        <v>63</v>
      </c>
    </row>
    <row r="100" spans="1:168" x14ac:dyDescent="0.2">
      <c r="A100" s="34" t="s">
        <v>1080</v>
      </c>
      <c r="B100" s="32">
        <v>79.8</v>
      </c>
      <c r="C100" s="32">
        <v>81</v>
      </c>
      <c r="D100" s="32">
        <v>99.4</v>
      </c>
      <c r="E100" s="32">
        <v>100.2</v>
      </c>
      <c r="F100" s="32">
        <v>260.89999999999998</v>
      </c>
      <c r="G100" s="32">
        <v>6560</v>
      </c>
      <c r="H100" s="32">
        <v>319.5</v>
      </c>
      <c r="I100" s="32">
        <v>60.1</v>
      </c>
      <c r="J100" s="32">
        <v>86.6</v>
      </c>
      <c r="K100" s="32">
        <v>99.4</v>
      </c>
      <c r="L100" s="32">
        <v>96.4</v>
      </c>
      <c r="M100" s="32">
        <v>98.5</v>
      </c>
      <c r="N100" s="32">
        <v>87.7</v>
      </c>
      <c r="O100" s="32">
        <v>136.30000000000001</v>
      </c>
      <c r="P100" s="32">
        <v>237.8</v>
      </c>
      <c r="Q100" s="32">
        <v>101.9</v>
      </c>
      <c r="R100" s="32">
        <v>97.7</v>
      </c>
      <c r="S100" s="32">
        <v>122.3</v>
      </c>
      <c r="T100" s="32">
        <v>69</v>
      </c>
      <c r="U100" s="32">
        <v>66.5</v>
      </c>
      <c r="V100" s="32">
        <v>128.6</v>
      </c>
      <c r="W100" s="32">
        <v>46.2</v>
      </c>
      <c r="X100" s="32">
        <v>37.700000000000003</v>
      </c>
      <c r="Y100" s="32">
        <v>53.5</v>
      </c>
      <c r="Z100" s="32">
        <v>77.5</v>
      </c>
      <c r="AA100" s="32">
        <v>83.3</v>
      </c>
      <c r="AB100" s="32">
        <v>78.8</v>
      </c>
      <c r="AC100" s="32">
        <v>77.900000000000006</v>
      </c>
      <c r="AD100" s="32">
        <v>95.8</v>
      </c>
      <c r="AE100" s="32">
        <v>150.6</v>
      </c>
      <c r="AF100" s="32">
        <v>150.6</v>
      </c>
      <c r="AG100" s="32">
        <v>55.6</v>
      </c>
      <c r="AH100" s="32">
        <v>55.6</v>
      </c>
      <c r="AI100" s="32">
        <v>215.4</v>
      </c>
      <c r="AJ100" s="32">
        <v>29.3</v>
      </c>
      <c r="AK100" s="32">
        <v>225.6</v>
      </c>
      <c r="AL100" s="32">
        <v>123.7</v>
      </c>
      <c r="AM100" s="32">
        <v>44.4</v>
      </c>
      <c r="AN100" s="32">
        <v>83.8</v>
      </c>
      <c r="AO100" s="32">
        <v>107.8</v>
      </c>
      <c r="AP100" s="32">
        <v>107.8</v>
      </c>
      <c r="AQ100" s="32">
        <v>105.6</v>
      </c>
      <c r="AR100" s="32">
        <v>102.7</v>
      </c>
      <c r="AS100" s="32">
        <v>111.6</v>
      </c>
      <c r="AT100" s="32">
        <v>117.9</v>
      </c>
      <c r="AU100" s="32">
        <v>105.7</v>
      </c>
      <c r="AV100" s="32">
        <v>100.3</v>
      </c>
      <c r="AW100" s="32">
        <v>147.30000000000001</v>
      </c>
      <c r="AX100" s="32">
        <v>59.9</v>
      </c>
      <c r="AY100" s="32">
        <v>434.4</v>
      </c>
      <c r="AZ100" s="32">
        <v>92.1</v>
      </c>
      <c r="BA100" s="32">
        <v>54.1</v>
      </c>
      <c r="BB100" s="32">
        <v>54.1</v>
      </c>
      <c r="BC100" s="32">
        <v>100.7</v>
      </c>
      <c r="BD100" s="32">
        <v>100.7</v>
      </c>
      <c r="BE100" s="32">
        <v>110.6</v>
      </c>
      <c r="BF100" s="32">
        <v>110.6</v>
      </c>
      <c r="BG100" s="32">
        <v>86.1</v>
      </c>
      <c r="BH100" s="32">
        <v>63.3</v>
      </c>
      <c r="BI100" s="32">
        <v>110.4</v>
      </c>
      <c r="BJ100" s="32">
        <v>48</v>
      </c>
      <c r="BK100" s="32">
        <v>146.19999999999999</v>
      </c>
      <c r="BL100" s="32">
        <v>43.1</v>
      </c>
      <c r="BM100" s="32">
        <v>87.3</v>
      </c>
      <c r="BN100" s="32">
        <v>88.9</v>
      </c>
      <c r="BO100" s="32">
        <v>86.3</v>
      </c>
      <c r="BP100" s="32">
        <v>91.6</v>
      </c>
      <c r="BQ100" s="32">
        <v>85.7</v>
      </c>
      <c r="BR100" s="32">
        <v>60.4</v>
      </c>
      <c r="BS100" s="32">
        <v>221.6</v>
      </c>
      <c r="BT100" s="32">
        <v>61.7</v>
      </c>
      <c r="BU100" s="32">
        <v>101</v>
      </c>
      <c r="BV100" s="32">
        <v>101</v>
      </c>
      <c r="BW100" s="32">
        <v>146.9</v>
      </c>
      <c r="BX100" s="32">
        <v>47.1</v>
      </c>
      <c r="BY100" s="32">
        <v>105.8</v>
      </c>
      <c r="BZ100" s="32">
        <v>103.8</v>
      </c>
      <c r="CA100" s="32">
        <v>107.2</v>
      </c>
      <c r="CB100" s="32">
        <v>121.4</v>
      </c>
      <c r="CC100" s="32">
        <v>100.5</v>
      </c>
      <c r="CD100" s="32">
        <v>34.799999999999997</v>
      </c>
      <c r="CE100" s="32">
        <v>96.4</v>
      </c>
      <c r="CF100" s="32">
        <v>75.400000000000006</v>
      </c>
      <c r="CG100" s="32">
        <v>87.7</v>
      </c>
      <c r="CH100" s="32">
        <v>86</v>
      </c>
      <c r="CI100" s="32">
        <v>100.5</v>
      </c>
      <c r="CJ100" s="32">
        <v>73.400000000000006</v>
      </c>
      <c r="CK100" s="32">
        <v>92.9</v>
      </c>
      <c r="CL100" s="32">
        <v>90.9</v>
      </c>
      <c r="CM100" s="32">
        <v>93.3</v>
      </c>
      <c r="CN100" s="32">
        <v>51.6</v>
      </c>
      <c r="CO100" s="32">
        <v>105</v>
      </c>
      <c r="CP100" s="32">
        <v>155.80000000000001</v>
      </c>
      <c r="CQ100" s="32">
        <v>25.4</v>
      </c>
      <c r="CR100" s="32">
        <v>89</v>
      </c>
      <c r="CS100" s="32">
        <v>122.5</v>
      </c>
      <c r="CT100" s="32">
        <v>91.7</v>
      </c>
      <c r="CU100" s="32">
        <v>67.7</v>
      </c>
      <c r="CV100" s="32">
        <v>102.6</v>
      </c>
      <c r="CW100" s="32">
        <v>31.8</v>
      </c>
      <c r="CX100" s="32">
        <v>86</v>
      </c>
      <c r="CY100" s="32">
        <v>103.8</v>
      </c>
      <c r="CZ100" s="32">
        <v>76.3</v>
      </c>
      <c r="DA100" s="32">
        <v>63.3</v>
      </c>
      <c r="DB100" s="32">
        <v>102.3</v>
      </c>
      <c r="DC100" s="32">
        <v>5.9</v>
      </c>
      <c r="DD100" s="32">
        <v>5.9</v>
      </c>
      <c r="DE100" s="32">
        <v>59.9</v>
      </c>
      <c r="DF100" s="32">
        <v>55.2</v>
      </c>
      <c r="DG100" s="32">
        <v>90.3</v>
      </c>
      <c r="DH100" s="32">
        <v>87.5</v>
      </c>
      <c r="DI100" s="32">
        <v>135.30000000000001</v>
      </c>
      <c r="DJ100" s="32">
        <v>74.2</v>
      </c>
      <c r="DK100" s="32">
        <v>74.2</v>
      </c>
      <c r="DL100" s="32">
        <v>43.1</v>
      </c>
      <c r="DM100" s="32">
        <v>69.599999999999994</v>
      </c>
      <c r="DN100" s="32">
        <v>45.6</v>
      </c>
      <c r="DO100" s="32">
        <v>79.8</v>
      </c>
      <c r="DP100" s="32">
        <v>52.7</v>
      </c>
      <c r="DQ100" s="32">
        <v>70.7</v>
      </c>
      <c r="DR100" s="32">
        <v>78.2</v>
      </c>
      <c r="DS100" s="32">
        <v>71.599999999999994</v>
      </c>
      <c r="DT100" s="32">
        <v>67.099999999999994</v>
      </c>
      <c r="DU100" s="32">
        <v>70.8</v>
      </c>
      <c r="DV100" s="32">
        <v>79</v>
      </c>
      <c r="DW100" s="32">
        <v>61.5</v>
      </c>
      <c r="DX100" s="32">
        <v>59.2</v>
      </c>
      <c r="DY100" s="32">
        <v>85.7</v>
      </c>
      <c r="DZ100" s="32">
        <v>146.5</v>
      </c>
      <c r="EA100" s="32">
        <v>146.5</v>
      </c>
      <c r="EB100" s="32">
        <v>77.3</v>
      </c>
      <c r="EC100" s="32">
        <v>81.7</v>
      </c>
      <c r="ED100" s="32">
        <v>71.8</v>
      </c>
      <c r="EE100" s="32">
        <v>77.7</v>
      </c>
      <c r="EF100" s="32">
        <v>56.3</v>
      </c>
      <c r="EG100" s="32">
        <v>60.2</v>
      </c>
      <c r="EH100" s="32">
        <v>68.599999999999994</v>
      </c>
      <c r="EI100" s="32">
        <v>58.8</v>
      </c>
      <c r="EJ100" s="32">
        <v>56.5</v>
      </c>
      <c r="EK100" s="32">
        <v>57.8</v>
      </c>
      <c r="EL100" s="32">
        <v>63.7</v>
      </c>
      <c r="EM100" s="32">
        <v>47.3</v>
      </c>
      <c r="EN100" s="32">
        <v>63.9</v>
      </c>
      <c r="EO100" s="32">
        <v>89</v>
      </c>
      <c r="EP100" s="32">
        <v>91</v>
      </c>
      <c r="EQ100" s="32">
        <v>91</v>
      </c>
      <c r="ER100" s="32">
        <v>94.6</v>
      </c>
      <c r="ES100" s="32">
        <v>94.6</v>
      </c>
      <c r="ET100" s="32">
        <v>83.8</v>
      </c>
      <c r="EU100" s="32">
        <v>81.900000000000006</v>
      </c>
      <c r="EV100" s="32">
        <v>81.900000000000006</v>
      </c>
      <c r="EW100" s="32">
        <v>88.5</v>
      </c>
      <c r="EX100" s="32">
        <v>98.1</v>
      </c>
      <c r="EY100" s="32">
        <v>81</v>
      </c>
      <c r="EZ100" s="32">
        <v>90.3</v>
      </c>
      <c r="FA100" s="32">
        <v>103.1</v>
      </c>
      <c r="FB100" s="32">
        <v>108.7</v>
      </c>
      <c r="FC100" s="32">
        <v>78.5</v>
      </c>
      <c r="FD100" s="32">
        <v>123.1</v>
      </c>
      <c r="FE100" s="32">
        <v>152.5</v>
      </c>
      <c r="FF100" s="32">
        <v>96.4</v>
      </c>
      <c r="FG100" s="32">
        <v>84.4</v>
      </c>
      <c r="FH100" s="32">
        <v>100.1</v>
      </c>
      <c r="FI100" s="32">
        <v>69</v>
      </c>
      <c r="FJ100" s="32">
        <v>80.099999999999994</v>
      </c>
      <c r="FK100" s="32">
        <v>55.6</v>
      </c>
      <c r="FL100" s="32">
        <v>55.6</v>
      </c>
    </row>
    <row r="101" spans="1:168" x14ac:dyDescent="0.2">
      <c r="A101" s="34" t="s">
        <v>1081</v>
      </c>
      <c r="B101" s="32">
        <v>79.900000000000006</v>
      </c>
      <c r="C101" s="32">
        <v>84.6</v>
      </c>
      <c r="D101" s="32">
        <v>99.1</v>
      </c>
      <c r="E101" s="32">
        <v>99.7</v>
      </c>
      <c r="F101" s="32">
        <v>254.7</v>
      </c>
      <c r="G101" s="32">
        <v>6764.7</v>
      </c>
      <c r="H101" s="32">
        <v>311</v>
      </c>
      <c r="I101" s="32">
        <v>59.5</v>
      </c>
      <c r="J101" s="32">
        <v>86.4</v>
      </c>
      <c r="K101" s="32">
        <v>99</v>
      </c>
      <c r="L101" s="32">
        <v>96.3</v>
      </c>
      <c r="M101" s="32">
        <v>94.8</v>
      </c>
      <c r="N101" s="32">
        <v>90.7</v>
      </c>
      <c r="O101" s="32">
        <v>134.30000000000001</v>
      </c>
      <c r="P101" s="32">
        <v>220.4</v>
      </c>
      <c r="Q101" s="32">
        <v>99.1</v>
      </c>
      <c r="R101" s="32">
        <v>97.9</v>
      </c>
      <c r="S101" s="32">
        <v>124.5</v>
      </c>
      <c r="T101" s="32">
        <v>70</v>
      </c>
      <c r="U101" s="32">
        <v>63.7</v>
      </c>
      <c r="V101" s="32">
        <v>127.8</v>
      </c>
      <c r="W101" s="32">
        <v>45.3</v>
      </c>
      <c r="X101" s="32">
        <v>36.9</v>
      </c>
      <c r="Y101" s="32">
        <v>52.8</v>
      </c>
      <c r="Z101" s="32">
        <v>74.900000000000006</v>
      </c>
      <c r="AA101" s="32">
        <v>82.2</v>
      </c>
      <c r="AB101" s="32">
        <v>78.599999999999994</v>
      </c>
      <c r="AC101" s="32">
        <v>75.900000000000006</v>
      </c>
      <c r="AD101" s="32">
        <v>94.7</v>
      </c>
      <c r="AE101" s="32">
        <v>142.4</v>
      </c>
      <c r="AF101" s="32">
        <v>142.4</v>
      </c>
      <c r="AG101" s="32">
        <v>59.3</v>
      </c>
      <c r="AH101" s="32">
        <v>59.3</v>
      </c>
      <c r="AI101" s="32">
        <v>216</v>
      </c>
      <c r="AJ101" s="32">
        <v>32.5</v>
      </c>
      <c r="AK101" s="32">
        <v>254.3</v>
      </c>
      <c r="AL101" s="32">
        <v>123.8</v>
      </c>
      <c r="AM101" s="32">
        <v>46.5</v>
      </c>
      <c r="AN101" s="32">
        <v>89.6</v>
      </c>
      <c r="AO101" s="32">
        <v>98.2</v>
      </c>
      <c r="AP101" s="32">
        <v>98.2</v>
      </c>
      <c r="AQ101" s="32">
        <v>106.6</v>
      </c>
      <c r="AR101" s="32">
        <v>103.3</v>
      </c>
      <c r="AS101" s="32">
        <v>113.2</v>
      </c>
      <c r="AT101" s="32">
        <v>118.9</v>
      </c>
      <c r="AU101" s="32">
        <v>107.9</v>
      </c>
      <c r="AV101" s="32">
        <v>99.5</v>
      </c>
      <c r="AW101" s="32">
        <v>150.4</v>
      </c>
      <c r="AX101" s="32">
        <v>68.099999999999994</v>
      </c>
      <c r="AY101" s="32">
        <v>425.6</v>
      </c>
      <c r="AZ101" s="32">
        <v>90.3</v>
      </c>
      <c r="BA101" s="32">
        <v>54</v>
      </c>
      <c r="BB101" s="32">
        <v>54</v>
      </c>
      <c r="BC101" s="32">
        <v>98.7</v>
      </c>
      <c r="BD101" s="32">
        <v>98.7</v>
      </c>
      <c r="BE101" s="32">
        <v>112</v>
      </c>
      <c r="BF101" s="32">
        <v>112</v>
      </c>
      <c r="BG101" s="32">
        <v>87</v>
      </c>
      <c r="BH101" s="32">
        <v>63.6</v>
      </c>
      <c r="BI101" s="32">
        <v>112</v>
      </c>
      <c r="BJ101" s="32">
        <v>48</v>
      </c>
      <c r="BK101" s="32">
        <v>148.4</v>
      </c>
      <c r="BL101" s="32">
        <v>44.7</v>
      </c>
      <c r="BM101" s="32">
        <v>89.1</v>
      </c>
      <c r="BN101" s="32">
        <v>93.9</v>
      </c>
      <c r="BO101" s="32">
        <v>89.1</v>
      </c>
      <c r="BP101" s="32">
        <v>98.7</v>
      </c>
      <c r="BQ101" s="32">
        <v>82.8</v>
      </c>
      <c r="BR101" s="32">
        <v>68.400000000000006</v>
      </c>
      <c r="BS101" s="32">
        <v>200.2</v>
      </c>
      <c r="BT101" s="32">
        <v>60.4</v>
      </c>
      <c r="BU101" s="32">
        <v>99.2</v>
      </c>
      <c r="BV101" s="32">
        <v>99.2</v>
      </c>
      <c r="BW101" s="32">
        <v>148.80000000000001</v>
      </c>
      <c r="BX101" s="32">
        <v>41.9</v>
      </c>
      <c r="BY101" s="32">
        <v>106.5</v>
      </c>
      <c r="BZ101" s="32">
        <v>102.1</v>
      </c>
      <c r="CA101" s="32">
        <v>109.1</v>
      </c>
      <c r="CB101" s="32">
        <v>124.2</v>
      </c>
      <c r="CC101" s="32">
        <v>101.6</v>
      </c>
      <c r="CD101" s="32">
        <v>35.5</v>
      </c>
      <c r="CE101" s="32">
        <v>96.8</v>
      </c>
      <c r="CF101" s="32">
        <v>75.5</v>
      </c>
      <c r="CG101" s="32">
        <v>88.1</v>
      </c>
      <c r="CH101" s="32">
        <v>86.6</v>
      </c>
      <c r="CI101" s="32">
        <v>101.9</v>
      </c>
      <c r="CJ101" s="32">
        <v>74.8</v>
      </c>
      <c r="CK101" s="32">
        <v>92.5</v>
      </c>
      <c r="CL101" s="32">
        <v>90.5</v>
      </c>
      <c r="CM101" s="32">
        <v>92.3</v>
      </c>
      <c r="CN101" s="32">
        <v>51.3</v>
      </c>
      <c r="CO101" s="32">
        <v>103.7</v>
      </c>
      <c r="CP101" s="32">
        <v>154.19999999999999</v>
      </c>
      <c r="CQ101" s="32">
        <v>25.7</v>
      </c>
      <c r="CR101" s="32">
        <v>88.6</v>
      </c>
      <c r="CS101" s="32">
        <v>123.7</v>
      </c>
      <c r="CT101" s="32">
        <v>92.9</v>
      </c>
      <c r="CU101" s="32">
        <v>68.900000000000006</v>
      </c>
      <c r="CV101" s="32">
        <v>103.7</v>
      </c>
      <c r="CW101" s="32">
        <v>31.6</v>
      </c>
      <c r="CX101" s="32">
        <v>83.6</v>
      </c>
      <c r="CY101" s="32">
        <v>101.5</v>
      </c>
      <c r="CZ101" s="32">
        <v>73.8</v>
      </c>
      <c r="DA101" s="32">
        <v>59.9</v>
      </c>
      <c r="DB101" s="32">
        <v>102.3</v>
      </c>
      <c r="DC101" s="32">
        <v>5.9</v>
      </c>
      <c r="DD101" s="32">
        <v>5.9</v>
      </c>
      <c r="DE101" s="32">
        <v>60.7</v>
      </c>
      <c r="DF101" s="32">
        <v>55.8</v>
      </c>
      <c r="DG101" s="32">
        <v>92.2</v>
      </c>
      <c r="DH101" s="32">
        <v>89</v>
      </c>
      <c r="DI101" s="32">
        <v>133.1</v>
      </c>
      <c r="DJ101" s="32">
        <v>80</v>
      </c>
      <c r="DK101" s="32">
        <v>80</v>
      </c>
      <c r="DL101" s="32">
        <v>45.4</v>
      </c>
      <c r="DM101" s="32">
        <v>69.599999999999994</v>
      </c>
      <c r="DN101" s="32">
        <v>46.2</v>
      </c>
      <c r="DO101" s="32">
        <v>79.7</v>
      </c>
      <c r="DP101" s="32">
        <v>52.4</v>
      </c>
      <c r="DQ101" s="32">
        <v>69.900000000000006</v>
      </c>
      <c r="DR101" s="32">
        <v>76.900000000000006</v>
      </c>
      <c r="DS101" s="32">
        <v>70.599999999999994</v>
      </c>
      <c r="DT101" s="32">
        <v>65.7</v>
      </c>
      <c r="DU101" s="32">
        <v>68.3</v>
      </c>
      <c r="DV101" s="32">
        <v>76.5</v>
      </c>
      <c r="DW101" s="32">
        <v>58.9</v>
      </c>
      <c r="DX101" s="32">
        <v>60.1</v>
      </c>
      <c r="DY101" s="32">
        <v>86.2</v>
      </c>
      <c r="DZ101" s="32">
        <v>141.9</v>
      </c>
      <c r="EA101" s="32">
        <v>141.9</v>
      </c>
      <c r="EB101" s="32">
        <v>75.900000000000006</v>
      </c>
      <c r="EC101" s="32">
        <v>81.099999999999994</v>
      </c>
      <c r="ED101" s="32">
        <v>69.599999999999994</v>
      </c>
      <c r="EE101" s="32">
        <v>74.3</v>
      </c>
      <c r="EF101" s="32">
        <v>57.1</v>
      </c>
      <c r="EG101" s="32">
        <v>60.1</v>
      </c>
      <c r="EH101" s="32">
        <v>69.2</v>
      </c>
      <c r="EI101" s="32">
        <v>60.6</v>
      </c>
      <c r="EJ101" s="32">
        <v>58.9</v>
      </c>
      <c r="EK101" s="32">
        <v>55.4</v>
      </c>
      <c r="EL101" s="32">
        <v>63.5</v>
      </c>
      <c r="EM101" s="32">
        <v>46.8</v>
      </c>
      <c r="EN101" s="32">
        <v>59.6</v>
      </c>
      <c r="EO101" s="32">
        <v>89.1</v>
      </c>
      <c r="EP101" s="32">
        <v>90.7</v>
      </c>
      <c r="EQ101" s="32">
        <v>90.7</v>
      </c>
      <c r="ER101" s="32">
        <v>94.9</v>
      </c>
      <c r="ES101" s="32">
        <v>94.9</v>
      </c>
      <c r="ET101" s="32">
        <v>84</v>
      </c>
      <c r="EU101" s="32">
        <v>82.2</v>
      </c>
      <c r="EV101" s="32">
        <v>82.2</v>
      </c>
      <c r="EW101" s="32">
        <v>88.4</v>
      </c>
      <c r="EX101" s="32">
        <v>98.2</v>
      </c>
      <c r="EY101" s="32">
        <v>80.7</v>
      </c>
      <c r="EZ101" s="32">
        <v>89.7</v>
      </c>
      <c r="FA101" s="32">
        <v>103.5</v>
      </c>
      <c r="FB101" s="32">
        <v>109.1</v>
      </c>
      <c r="FC101" s="32">
        <v>79.2</v>
      </c>
      <c r="FD101" s="32">
        <v>123.1</v>
      </c>
      <c r="FE101" s="32">
        <v>152.80000000000001</v>
      </c>
      <c r="FF101" s="32">
        <v>96.8</v>
      </c>
      <c r="FG101" s="32">
        <v>82.9</v>
      </c>
      <c r="FH101" s="32">
        <v>97.2</v>
      </c>
      <c r="FI101" s="32">
        <v>68.3</v>
      </c>
      <c r="FJ101" s="32">
        <v>79</v>
      </c>
      <c r="FK101" s="32">
        <v>55.3</v>
      </c>
      <c r="FL101" s="32">
        <v>55.3</v>
      </c>
    </row>
    <row r="102" spans="1:168" x14ac:dyDescent="0.2">
      <c r="A102" s="34" t="s">
        <v>1082</v>
      </c>
      <c r="B102" s="32">
        <v>80.599999999999994</v>
      </c>
      <c r="C102" s="32">
        <v>89.4</v>
      </c>
      <c r="D102" s="32">
        <v>99.8</v>
      </c>
      <c r="E102" s="32">
        <v>100.3</v>
      </c>
      <c r="F102" s="32">
        <v>251.6</v>
      </c>
      <c r="G102" s="32">
        <v>3762.1</v>
      </c>
      <c r="H102" s="32">
        <v>308</v>
      </c>
      <c r="I102" s="32">
        <v>58.8</v>
      </c>
      <c r="J102" s="32">
        <v>87.3</v>
      </c>
      <c r="K102" s="32">
        <v>98.9</v>
      </c>
      <c r="L102" s="32">
        <v>95.4</v>
      </c>
      <c r="M102" s="32">
        <v>91.4</v>
      </c>
      <c r="N102" s="32">
        <v>90.2</v>
      </c>
      <c r="O102" s="32">
        <v>139.6</v>
      </c>
      <c r="P102" s="32">
        <v>200.6</v>
      </c>
      <c r="Q102" s="32">
        <v>100.3</v>
      </c>
      <c r="R102" s="32">
        <v>97.6</v>
      </c>
      <c r="S102" s="32">
        <v>126.5</v>
      </c>
      <c r="T102" s="32">
        <v>62.6</v>
      </c>
      <c r="U102" s="32">
        <v>60.7</v>
      </c>
      <c r="V102" s="32">
        <v>133.4</v>
      </c>
      <c r="W102" s="32">
        <v>46.5</v>
      </c>
      <c r="X102" s="32">
        <v>37.700000000000003</v>
      </c>
      <c r="Y102" s="32">
        <v>55</v>
      </c>
      <c r="Z102" s="32">
        <v>73.2</v>
      </c>
      <c r="AA102" s="32">
        <v>87.5</v>
      </c>
      <c r="AB102" s="32">
        <v>77.599999999999994</v>
      </c>
      <c r="AC102" s="32">
        <v>78.8</v>
      </c>
      <c r="AD102" s="32">
        <v>105.2</v>
      </c>
      <c r="AE102" s="32">
        <v>131.9</v>
      </c>
      <c r="AF102" s="32">
        <v>131.9</v>
      </c>
      <c r="AG102" s="32">
        <v>59.9</v>
      </c>
      <c r="AH102" s="32">
        <v>59.9</v>
      </c>
      <c r="AI102" s="32">
        <v>198.1</v>
      </c>
      <c r="AJ102" s="32">
        <v>33.4</v>
      </c>
      <c r="AK102" s="32">
        <v>306.8</v>
      </c>
      <c r="AL102" s="32">
        <v>119.3</v>
      </c>
      <c r="AM102" s="32">
        <v>48.1</v>
      </c>
      <c r="AN102" s="32">
        <v>86.8</v>
      </c>
      <c r="AO102" s="32">
        <v>106.7</v>
      </c>
      <c r="AP102" s="32">
        <v>106.7</v>
      </c>
      <c r="AQ102" s="32">
        <v>109.8</v>
      </c>
      <c r="AR102" s="32">
        <v>103.1</v>
      </c>
      <c r="AS102" s="32">
        <v>122</v>
      </c>
      <c r="AT102" s="32">
        <v>128.30000000000001</v>
      </c>
      <c r="AU102" s="32">
        <v>116.1</v>
      </c>
      <c r="AV102" s="32">
        <v>100</v>
      </c>
      <c r="AW102" s="32">
        <v>159.69999999999999</v>
      </c>
      <c r="AX102" s="32">
        <v>64.099999999999994</v>
      </c>
      <c r="AY102" s="32">
        <v>477.6</v>
      </c>
      <c r="AZ102" s="32">
        <v>88.8</v>
      </c>
      <c r="BA102" s="32">
        <v>51.3</v>
      </c>
      <c r="BB102" s="32">
        <v>51.3</v>
      </c>
      <c r="BC102" s="32">
        <v>98.7</v>
      </c>
      <c r="BD102" s="32">
        <v>98.7</v>
      </c>
      <c r="BE102" s="32">
        <v>114</v>
      </c>
      <c r="BF102" s="32">
        <v>114</v>
      </c>
      <c r="BG102" s="32">
        <v>88</v>
      </c>
      <c r="BH102" s="32">
        <v>64.8</v>
      </c>
      <c r="BI102" s="32">
        <v>112.6</v>
      </c>
      <c r="BJ102" s="32">
        <v>47.3</v>
      </c>
      <c r="BK102" s="32">
        <v>150</v>
      </c>
      <c r="BL102" s="32">
        <v>43.8</v>
      </c>
      <c r="BM102" s="32">
        <v>86.4</v>
      </c>
      <c r="BN102" s="32">
        <v>86.7</v>
      </c>
      <c r="BO102" s="32">
        <v>88.7</v>
      </c>
      <c r="BP102" s="32">
        <v>85.2</v>
      </c>
      <c r="BQ102" s="32">
        <v>86.7</v>
      </c>
      <c r="BR102" s="32">
        <v>87.6</v>
      </c>
      <c r="BS102" s="32">
        <v>204.4</v>
      </c>
      <c r="BT102" s="32">
        <v>62</v>
      </c>
      <c r="BU102" s="32">
        <v>94.7</v>
      </c>
      <c r="BV102" s="32">
        <v>94.7</v>
      </c>
      <c r="BW102" s="32">
        <v>145</v>
      </c>
      <c r="BX102" s="32">
        <v>36.9</v>
      </c>
      <c r="BY102" s="32">
        <v>110.4</v>
      </c>
      <c r="BZ102" s="32">
        <v>101.8</v>
      </c>
      <c r="CA102" s="32">
        <v>115</v>
      </c>
      <c r="CB102" s="32">
        <v>127.4</v>
      </c>
      <c r="CC102" s="32">
        <v>110.5</v>
      </c>
      <c r="CD102" s="32">
        <v>37.1</v>
      </c>
      <c r="CE102" s="32">
        <v>97.4</v>
      </c>
      <c r="CF102" s="32">
        <v>76.099999999999994</v>
      </c>
      <c r="CG102" s="32">
        <v>88.2</v>
      </c>
      <c r="CH102" s="32">
        <v>86.7</v>
      </c>
      <c r="CI102" s="32">
        <v>98.1</v>
      </c>
      <c r="CJ102" s="32">
        <v>75.900000000000006</v>
      </c>
      <c r="CK102" s="32">
        <v>92.8</v>
      </c>
      <c r="CL102" s="32">
        <v>91.4</v>
      </c>
      <c r="CM102" s="32">
        <v>93.2</v>
      </c>
      <c r="CN102" s="32">
        <v>51.5</v>
      </c>
      <c r="CO102" s="32">
        <v>104.8</v>
      </c>
      <c r="CP102" s="32">
        <v>153.4</v>
      </c>
      <c r="CQ102" s="32">
        <v>25.1</v>
      </c>
      <c r="CR102" s="32">
        <v>90.8</v>
      </c>
      <c r="CS102" s="32">
        <v>125.4</v>
      </c>
      <c r="CT102" s="32">
        <v>91.5</v>
      </c>
      <c r="CU102" s="32">
        <v>67.099999999999994</v>
      </c>
      <c r="CV102" s="32">
        <v>102.5</v>
      </c>
      <c r="CW102" s="32">
        <v>31.4</v>
      </c>
      <c r="CX102" s="32">
        <v>85.1</v>
      </c>
      <c r="CY102" s="32">
        <v>102.6</v>
      </c>
      <c r="CZ102" s="32">
        <v>75.599999999999994</v>
      </c>
      <c r="DA102" s="32">
        <v>62.6</v>
      </c>
      <c r="DB102" s="32">
        <v>101.5</v>
      </c>
      <c r="DC102" s="32">
        <v>5.6</v>
      </c>
      <c r="DD102" s="32">
        <v>5.6</v>
      </c>
      <c r="DE102" s="32">
        <v>61.9</v>
      </c>
      <c r="DF102" s="32">
        <v>57</v>
      </c>
      <c r="DG102" s="32">
        <v>92.9</v>
      </c>
      <c r="DH102" s="32">
        <v>91.6</v>
      </c>
      <c r="DI102" s="32">
        <v>129.9</v>
      </c>
      <c r="DJ102" s="32">
        <v>87.6</v>
      </c>
      <c r="DK102" s="32">
        <v>87.6</v>
      </c>
      <c r="DL102" s="32">
        <v>51.3</v>
      </c>
      <c r="DM102" s="32">
        <v>70.3</v>
      </c>
      <c r="DN102" s="32">
        <v>47.1</v>
      </c>
      <c r="DO102" s="32">
        <v>80.400000000000006</v>
      </c>
      <c r="DP102" s="32">
        <v>52.1</v>
      </c>
      <c r="DQ102" s="32">
        <v>71.7</v>
      </c>
      <c r="DR102" s="32">
        <v>79.7</v>
      </c>
      <c r="DS102" s="32">
        <v>73.7</v>
      </c>
      <c r="DT102" s="32">
        <v>67.900000000000006</v>
      </c>
      <c r="DU102" s="32">
        <v>70.5</v>
      </c>
      <c r="DV102" s="32">
        <v>76.3</v>
      </c>
      <c r="DW102" s="32">
        <v>63.8</v>
      </c>
      <c r="DX102" s="32">
        <v>62.3</v>
      </c>
      <c r="DY102" s="32">
        <v>92</v>
      </c>
      <c r="DZ102" s="32">
        <v>140.5</v>
      </c>
      <c r="EA102" s="32">
        <v>140.5</v>
      </c>
      <c r="EB102" s="32">
        <v>79.2</v>
      </c>
      <c r="EC102" s="32">
        <v>84</v>
      </c>
      <c r="ED102" s="32">
        <v>73.2</v>
      </c>
      <c r="EE102" s="32">
        <v>78.7</v>
      </c>
      <c r="EF102" s="32">
        <v>58.7</v>
      </c>
      <c r="EG102" s="32">
        <v>60.5</v>
      </c>
      <c r="EH102" s="32">
        <v>70.8</v>
      </c>
      <c r="EI102" s="32">
        <v>53.9</v>
      </c>
      <c r="EJ102" s="32">
        <v>62.3</v>
      </c>
      <c r="EK102" s="32">
        <v>59.9</v>
      </c>
      <c r="EL102" s="32">
        <v>64.8</v>
      </c>
      <c r="EM102" s="32">
        <v>49.3</v>
      </c>
      <c r="EN102" s="32">
        <v>66.2</v>
      </c>
      <c r="EO102" s="32">
        <v>89.4</v>
      </c>
      <c r="EP102" s="32">
        <v>91.4</v>
      </c>
      <c r="EQ102" s="32">
        <v>91.4</v>
      </c>
      <c r="ER102" s="32">
        <v>94.7</v>
      </c>
      <c r="ES102" s="32">
        <v>94.7</v>
      </c>
      <c r="ET102" s="32">
        <v>84.3</v>
      </c>
      <c r="EU102" s="32">
        <v>82.7</v>
      </c>
      <c r="EV102" s="32">
        <v>82.7</v>
      </c>
      <c r="EW102" s="32">
        <v>88.2</v>
      </c>
      <c r="EX102" s="32">
        <v>98.2</v>
      </c>
      <c r="EY102" s="32">
        <v>80.400000000000006</v>
      </c>
      <c r="EZ102" s="32">
        <v>89.8</v>
      </c>
      <c r="FA102" s="32">
        <v>103.6</v>
      </c>
      <c r="FB102" s="32">
        <v>109.1</v>
      </c>
      <c r="FC102" s="32">
        <v>78.7</v>
      </c>
      <c r="FD102" s="32">
        <v>123</v>
      </c>
      <c r="FE102" s="32">
        <v>153.5</v>
      </c>
      <c r="FF102" s="32">
        <v>97</v>
      </c>
      <c r="FG102" s="32">
        <v>82.8</v>
      </c>
      <c r="FH102" s="32">
        <v>92.2</v>
      </c>
      <c r="FI102" s="32">
        <v>80.8</v>
      </c>
      <c r="FJ102" s="32">
        <v>79.2</v>
      </c>
      <c r="FK102" s="32">
        <v>57.8</v>
      </c>
      <c r="FL102" s="32">
        <v>57.8</v>
      </c>
    </row>
    <row r="103" spans="1:168" x14ac:dyDescent="0.2">
      <c r="A103" s="34" t="s">
        <v>1083</v>
      </c>
      <c r="B103" s="32">
        <v>80.599999999999994</v>
      </c>
      <c r="C103" s="32">
        <v>93.3</v>
      </c>
      <c r="D103" s="32">
        <v>99.7</v>
      </c>
      <c r="E103" s="32">
        <v>99.9</v>
      </c>
      <c r="F103" s="32">
        <v>248</v>
      </c>
      <c r="G103" s="32">
        <v>4067.7</v>
      </c>
      <c r="H103" s="32">
        <v>304.3</v>
      </c>
      <c r="I103" s="32">
        <v>56.9</v>
      </c>
      <c r="J103" s="32">
        <v>87.1</v>
      </c>
      <c r="K103" s="32">
        <v>96.9</v>
      </c>
      <c r="L103" s="32">
        <v>94.1</v>
      </c>
      <c r="M103" s="32">
        <v>84.3</v>
      </c>
      <c r="N103" s="32">
        <v>90.1</v>
      </c>
      <c r="O103" s="32">
        <v>139.80000000000001</v>
      </c>
      <c r="P103" s="32">
        <v>184.5</v>
      </c>
      <c r="Q103" s="32">
        <v>98</v>
      </c>
      <c r="R103" s="32">
        <v>97.9</v>
      </c>
      <c r="S103" s="32">
        <v>127.1</v>
      </c>
      <c r="T103" s="32">
        <v>63.3</v>
      </c>
      <c r="U103" s="32">
        <v>57.9</v>
      </c>
      <c r="V103" s="32">
        <v>128</v>
      </c>
      <c r="W103" s="32">
        <v>48</v>
      </c>
      <c r="X103" s="32">
        <v>37.5</v>
      </c>
      <c r="Y103" s="32">
        <v>60.6</v>
      </c>
      <c r="Z103" s="32">
        <v>68.5</v>
      </c>
      <c r="AA103" s="32">
        <v>86.3</v>
      </c>
      <c r="AB103" s="32">
        <v>77.599999999999994</v>
      </c>
      <c r="AC103" s="32">
        <v>79.2</v>
      </c>
      <c r="AD103" s="32">
        <v>102.2</v>
      </c>
      <c r="AE103" s="32">
        <v>121.8</v>
      </c>
      <c r="AF103" s="32">
        <v>121.8</v>
      </c>
      <c r="AG103" s="32">
        <v>60.9</v>
      </c>
      <c r="AH103" s="32">
        <v>60.9</v>
      </c>
      <c r="AI103" s="32">
        <v>195.5</v>
      </c>
      <c r="AJ103" s="32">
        <v>34.799999999999997</v>
      </c>
      <c r="AK103" s="32">
        <v>324.2</v>
      </c>
      <c r="AL103" s="32">
        <v>117.3</v>
      </c>
      <c r="AM103" s="32">
        <v>48.3</v>
      </c>
      <c r="AN103" s="32">
        <v>85.9</v>
      </c>
      <c r="AO103" s="32">
        <v>104.2</v>
      </c>
      <c r="AP103" s="32">
        <v>104.2</v>
      </c>
      <c r="AQ103" s="32">
        <v>110</v>
      </c>
      <c r="AR103" s="32">
        <v>106.1</v>
      </c>
      <c r="AS103" s="32">
        <v>117.7</v>
      </c>
      <c r="AT103" s="32">
        <v>123.5</v>
      </c>
      <c r="AU103" s="32">
        <v>112.2</v>
      </c>
      <c r="AV103" s="32">
        <v>101.1</v>
      </c>
      <c r="AW103" s="32">
        <v>157.19999999999999</v>
      </c>
      <c r="AX103" s="32">
        <v>65.8</v>
      </c>
      <c r="AY103" s="32">
        <v>464.2</v>
      </c>
      <c r="AZ103" s="32">
        <v>90.8</v>
      </c>
      <c r="BA103" s="32">
        <v>50.9</v>
      </c>
      <c r="BB103" s="32">
        <v>50.9</v>
      </c>
      <c r="BC103" s="32">
        <v>101</v>
      </c>
      <c r="BD103" s="32">
        <v>101</v>
      </c>
      <c r="BE103" s="32">
        <v>114.5</v>
      </c>
      <c r="BF103" s="32">
        <v>114.5</v>
      </c>
      <c r="BG103" s="32">
        <v>89</v>
      </c>
      <c r="BH103" s="32">
        <v>65.900000000000006</v>
      </c>
      <c r="BI103" s="32">
        <v>113.4</v>
      </c>
      <c r="BJ103" s="32">
        <v>46.8</v>
      </c>
      <c r="BK103" s="32">
        <v>151.4</v>
      </c>
      <c r="BL103" s="32">
        <v>44.2</v>
      </c>
      <c r="BM103" s="32">
        <v>85.5</v>
      </c>
      <c r="BN103" s="32">
        <v>86.7</v>
      </c>
      <c r="BO103" s="32">
        <v>88.5</v>
      </c>
      <c r="BP103" s="32">
        <v>85.5</v>
      </c>
      <c r="BQ103" s="32">
        <v>84.3</v>
      </c>
      <c r="BR103" s="32">
        <v>61.5</v>
      </c>
      <c r="BS103" s="32">
        <v>208.2</v>
      </c>
      <c r="BT103" s="32">
        <v>61.9</v>
      </c>
      <c r="BU103" s="32">
        <v>95.3</v>
      </c>
      <c r="BV103" s="32">
        <v>95.3</v>
      </c>
      <c r="BW103" s="32">
        <v>148.6</v>
      </c>
      <c r="BX103" s="32">
        <v>34</v>
      </c>
      <c r="BY103" s="32">
        <v>109.3</v>
      </c>
      <c r="BZ103" s="32">
        <v>102.4</v>
      </c>
      <c r="CA103" s="32">
        <v>113</v>
      </c>
      <c r="CB103" s="32">
        <v>125.1</v>
      </c>
      <c r="CC103" s="32">
        <v>108.7</v>
      </c>
      <c r="CD103" s="32">
        <v>37.200000000000003</v>
      </c>
      <c r="CE103" s="32">
        <v>98.2</v>
      </c>
      <c r="CF103" s="32">
        <v>76</v>
      </c>
      <c r="CG103" s="32">
        <v>88.3</v>
      </c>
      <c r="CH103" s="32">
        <v>87.3</v>
      </c>
      <c r="CI103" s="32">
        <v>98.7</v>
      </c>
      <c r="CJ103" s="32">
        <v>76.8</v>
      </c>
      <c r="CK103" s="32">
        <v>93.1</v>
      </c>
      <c r="CL103" s="32">
        <v>89.7</v>
      </c>
      <c r="CM103" s="32">
        <v>90.1</v>
      </c>
      <c r="CN103" s="32">
        <v>52.2</v>
      </c>
      <c r="CO103" s="32">
        <v>100.6</v>
      </c>
      <c r="CP103" s="32">
        <v>152.4</v>
      </c>
      <c r="CQ103" s="32">
        <v>25.6</v>
      </c>
      <c r="CR103" s="32">
        <v>87.3</v>
      </c>
      <c r="CS103" s="32">
        <v>127.6</v>
      </c>
      <c r="CT103" s="32">
        <v>92.3</v>
      </c>
      <c r="CU103" s="32">
        <v>68.099999999999994</v>
      </c>
      <c r="CV103" s="32">
        <v>103.1</v>
      </c>
      <c r="CW103" s="32">
        <v>31.7</v>
      </c>
      <c r="CX103" s="32">
        <v>86.6</v>
      </c>
      <c r="CY103" s="32">
        <v>101.1</v>
      </c>
      <c r="CZ103" s="32">
        <v>78.8</v>
      </c>
      <c r="DA103" s="32">
        <v>66.599999999999994</v>
      </c>
      <c r="DB103" s="32">
        <v>102.6</v>
      </c>
      <c r="DC103" s="32">
        <v>5.6</v>
      </c>
      <c r="DD103" s="32">
        <v>5.6</v>
      </c>
      <c r="DE103" s="32">
        <v>62.8</v>
      </c>
      <c r="DF103" s="32">
        <v>58.4</v>
      </c>
      <c r="DG103" s="32">
        <v>90.3</v>
      </c>
      <c r="DH103" s="32">
        <v>91.7</v>
      </c>
      <c r="DI103" s="32">
        <v>127.1</v>
      </c>
      <c r="DJ103" s="32">
        <v>92.2</v>
      </c>
      <c r="DK103" s="32">
        <v>92.2</v>
      </c>
      <c r="DL103" s="32">
        <v>50</v>
      </c>
      <c r="DM103" s="32">
        <v>70.5</v>
      </c>
      <c r="DN103" s="32">
        <v>47.7</v>
      </c>
      <c r="DO103" s="32">
        <v>80.3</v>
      </c>
      <c r="DP103" s="32">
        <v>51.9</v>
      </c>
      <c r="DQ103" s="32">
        <v>70.099999999999994</v>
      </c>
      <c r="DR103" s="32">
        <v>77.599999999999994</v>
      </c>
      <c r="DS103" s="32">
        <v>71.400000000000006</v>
      </c>
      <c r="DT103" s="32">
        <v>66.900000000000006</v>
      </c>
      <c r="DU103" s="32">
        <v>69.400000000000006</v>
      </c>
      <c r="DV103" s="32">
        <v>75.7</v>
      </c>
      <c r="DW103" s="32">
        <v>62</v>
      </c>
      <c r="DX103" s="32">
        <v>61.7</v>
      </c>
      <c r="DY103" s="32">
        <v>85.6</v>
      </c>
      <c r="DZ103" s="32">
        <v>136.6</v>
      </c>
      <c r="EA103" s="32">
        <v>136.6</v>
      </c>
      <c r="EB103" s="32">
        <v>78.2</v>
      </c>
      <c r="EC103" s="32">
        <v>84.3</v>
      </c>
      <c r="ED103" s="32">
        <v>70.5</v>
      </c>
      <c r="EE103" s="32">
        <v>74.7</v>
      </c>
      <c r="EF103" s="32">
        <v>59.2</v>
      </c>
      <c r="EG103" s="32">
        <v>59.7</v>
      </c>
      <c r="EH103" s="32">
        <v>71.2</v>
      </c>
      <c r="EI103" s="32">
        <v>55.3</v>
      </c>
      <c r="EJ103" s="32">
        <v>57.7</v>
      </c>
      <c r="EK103" s="32">
        <v>57.4</v>
      </c>
      <c r="EL103" s="32">
        <v>67.099999999999994</v>
      </c>
      <c r="EM103" s="32">
        <v>47.4</v>
      </c>
      <c r="EN103" s="32">
        <v>62.3</v>
      </c>
      <c r="EO103" s="32">
        <v>89.7</v>
      </c>
      <c r="EP103" s="32">
        <v>91.5</v>
      </c>
      <c r="EQ103" s="32">
        <v>91.5</v>
      </c>
      <c r="ER103" s="32">
        <v>95.2</v>
      </c>
      <c r="ES103" s="32">
        <v>95.2</v>
      </c>
      <c r="ET103" s="32">
        <v>84.7</v>
      </c>
      <c r="EU103" s="32">
        <v>83.2</v>
      </c>
      <c r="EV103" s="32">
        <v>83.2</v>
      </c>
      <c r="EW103" s="32">
        <v>88.4</v>
      </c>
      <c r="EX103" s="32">
        <v>98.5</v>
      </c>
      <c r="EY103" s="32">
        <v>80.5</v>
      </c>
      <c r="EZ103" s="32">
        <v>89.4</v>
      </c>
      <c r="FA103" s="32">
        <v>101.9</v>
      </c>
      <c r="FB103" s="32">
        <v>106.2</v>
      </c>
      <c r="FC103" s="32">
        <v>73.3</v>
      </c>
      <c r="FD103" s="32">
        <v>123.4</v>
      </c>
      <c r="FE103" s="32">
        <v>153.5</v>
      </c>
      <c r="FF103" s="32">
        <v>96.9</v>
      </c>
      <c r="FG103" s="32">
        <v>81.900000000000006</v>
      </c>
      <c r="FH103" s="32">
        <v>87.3</v>
      </c>
      <c r="FI103" s="32">
        <v>75.599999999999994</v>
      </c>
      <c r="FJ103" s="32">
        <v>80.400000000000006</v>
      </c>
      <c r="FK103" s="32">
        <v>71.3</v>
      </c>
      <c r="FL103" s="32">
        <v>71.3</v>
      </c>
    </row>
    <row r="104" spans="1:168" x14ac:dyDescent="0.2">
      <c r="A104" s="34" t="s">
        <v>1084</v>
      </c>
      <c r="B104" s="32">
        <v>80.3</v>
      </c>
      <c r="C104" s="32">
        <v>94.4</v>
      </c>
      <c r="D104" s="32">
        <v>98.6</v>
      </c>
      <c r="E104" s="32">
        <v>98.3</v>
      </c>
      <c r="F104" s="32">
        <v>250.1</v>
      </c>
      <c r="G104" s="32">
        <v>3492</v>
      </c>
      <c r="H104" s="32">
        <v>306.5</v>
      </c>
      <c r="I104" s="32">
        <v>57.9</v>
      </c>
      <c r="J104" s="32">
        <v>85.4</v>
      </c>
      <c r="K104" s="32">
        <v>94.5</v>
      </c>
      <c r="L104" s="32">
        <v>91.5</v>
      </c>
      <c r="M104" s="32">
        <v>78.2</v>
      </c>
      <c r="N104" s="32">
        <v>87.5</v>
      </c>
      <c r="O104" s="32">
        <v>139.30000000000001</v>
      </c>
      <c r="P104" s="32">
        <v>164.3</v>
      </c>
      <c r="Q104" s="32">
        <v>95.5</v>
      </c>
      <c r="R104" s="32">
        <v>97.4</v>
      </c>
      <c r="S104" s="32">
        <v>125.5</v>
      </c>
      <c r="T104" s="32">
        <v>60.7</v>
      </c>
      <c r="U104" s="32">
        <v>57.6</v>
      </c>
      <c r="V104" s="32">
        <v>126.2</v>
      </c>
      <c r="W104" s="32">
        <v>45.9</v>
      </c>
      <c r="X104" s="32">
        <v>36.5</v>
      </c>
      <c r="Y104" s="32">
        <v>56</v>
      </c>
      <c r="Z104" s="32">
        <v>68.7</v>
      </c>
      <c r="AA104" s="32">
        <v>83.5</v>
      </c>
      <c r="AB104" s="32">
        <v>73</v>
      </c>
      <c r="AC104" s="32">
        <v>76.599999999999994</v>
      </c>
      <c r="AD104" s="32">
        <v>100</v>
      </c>
      <c r="AE104" s="32">
        <v>118.7</v>
      </c>
      <c r="AF104" s="32">
        <v>118.7</v>
      </c>
      <c r="AG104" s="32">
        <v>62.1</v>
      </c>
      <c r="AH104" s="32">
        <v>62.1</v>
      </c>
      <c r="AI104" s="32">
        <v>194.6</v>
      </c>
      <c r="AJ104" s="32">
        <v>37.6</v>
      </c>
      <c r="AK104" s="32">
        <v>317.8</v>
      </c>
      <c r="AL104" s="32">
        <v>113.3</v>
      </c>
      <c r="AM104" s="32">
        <v>47.4</v>
      </c>
      <c r="AN104" s="32">
        <v>86.7</v>
      </c>
      <c r="AO104" s="32">
        <v>100.3</v>
      </c>
      <c r="AP104" s="32">
        <v>100.3</v>
      </c>
      <c r="AQ104" s="32">
        <v>106.4</v>
      </c>
      <c r="AR104" s="32">
        <v>103.3</v>
      </c>
      <c r="AS104" s="32">
        <v>112.7</v>
      </c>
      <c r="AT104" s="32">
        <v>117</v>
      </c>
      <c r="AU104" s="32">
        <v>108.6</v>
      </c>
      <c r="AV104" s="32">
        <v>97.8</v>
      </c>
      <c r="AW104" s="32">
        <v>157.4</v>
      </c>
      <c r="AX104" s="32">
        <v>66.3</v>
      </c>
      <c r="AY104" s="32">
        <v>464.7</v>
      </c>
      <c r="AZ104" s="32">
        <v>86.5</v>
      </c>
      <c r="BA104" s="32">
        <v>50</v>
      </c>
      <c r="BB104" s="32">
        <v>50</v>
      </c>
      <c r="BC104" s="32">
        <v>99.8</v>
      </c>
      <c r="BD104" s="32">
        <v>99.8</v>
      </c>
      <c r="BE104" s="32">
        <v>112.2</v>
      </c>
      <c r="BF104" s="32">
        <v>112.2</v>
      </c>
      <c r="BG104" s="32">
        <v>88.2</v>
      </c>
      <c r="BH104" s="32">
        <v>64.900000000000006</v>
      </c>
      <c r="BI104" s="32">
        <v>113</v>
      </c>
      <c r="BJ104" s="32">
        <v>46.4</v>
      </c>
      <c r="BK104" s="32">
        <v>151.30000000000001</v>
      </c>
      <c r="BL104" s="32">
        <v>42.9</v>
      </c>
      <c r="BM104" s="32">
        <v>86.8</v>
      </c>
      <c r="BN104" s="32">
        <v>87.5</v>
      </c>
      <c r="BO104" s="32">
        <v>87.9</v>
      </c>
      <c r="BP104" s="32">
        <v>87.6</v>
      </c>
      <c r="BQ104" s="32">
        <v>86.5</v>
      </c>
      <c r="BR104" s="32">
        <v>65.400000000000006</v>
      </c>
      <c r="BS104" s="32">
        <v>227.8</v>
      </c>
      <c r="BT104" s="32">
        <v>61</v>
      </c>
      <c r="BU104" s="32">
        <v>91.8</v>
      </c>
      <c r="BV104" s="32">
        <v>91.8</v>
      </c>
      <c r="BW104" s="32">
        <v>146.5</v>
      </c>
      <c r="BX104" s="32">
        <v>28.3</v>
      </c>
      <c r="BY104" s="32">
        <v>109.3</v>
      </c>
      <c r="BZ104" s="32">
        <v>104.9</v>
      </c>
      <c r="CA104" s="32">
        <v>111.9</v>
      </c>
      <c r="CB104" s="32">
        <v>119.8</v>
      </c>
      <c r="CC104" s="32">
        <v>111.3</v>
      </c>
      <c r="CD104" s="32">
        <v>37.9</v>
      </c>
      <c r="CE104" s="32">
        <v>98.6</v>
      </c>
      <c r="CF104" s="32">
        <v>76</v>
      </c>
      <c r="CG104" s="32">
        <v>87.2</v>
      </c>
      <c r="CH104" s="32">
        <v>85.5</v>
      </c>
      <c r="CI104" s="32">
        <v>98.6</v>
      </c>
      <c r="CJ104" s="32">
        <v>73.2</v>
      </c>
      <c r="CK104" s="32">
        <v>92.5</v>
      </c>
      <c r="CL104" s="32">
        <v>89.1</v>
      </c>
      <c r="CM104" s="32">
        <v>90.5</v>
      </c>
      <c r="CN104" s="32">
        <v>52.8</v>
      </c>
      <c r="CO104" s="32">
        <v>100.9</v>
      </c>
      <c r="CP104" s="32">
        <v>151.69999999999999</v>
      </c>
      <c r="CQ104" s="32">
        <v>25.4</v>
      </c>
      <c r="CR104" s="32">
        <v>85.5</v>
      </c>
      <c r="CS104" s="32">
        <v>126.7</v>
      </c>
      <c r="CT104" s="32">
        <v>93.5</v>
      </c>
      <c r="CU104" s="32">
        <v>69.3</v>
      </c>
      <c r="CV104" s="32">
        <v>104.4</v>
      </c>
      <c r="CW104" s="32">
        <v>32.799999999999997</v>
      </c>
      <c r="CX104" s="32">
        <v>88.3</v>
      </c>
      <c r="CY104" s="32">
        <v>100.9</v>
      </c>
      <c r="CZ104" s="32">
        <v>81.8</v>
      </c>
      <c r="DA104" s="32">
        <v>71.400000000000006</v>
      </c>
      <c r="DB104" s="32">
        <v>100.5</v>
      </c>
      <c r="DC104" s="32">
        <v>6.1</v>
      </c>
      <c r="DD104" s="32">
        <v>6.1</v>
      </c>
      <c r="DE104" s="32">
        <v>63</v>
      </c>
      <c r="DF104" s="32">
        <v>58.1</v>
      </c>
      <c r="DG104" s="32">
        <v>94.5</v>
      </c>
      <c r="DH104" s="32">
        <v>91.3</v>
      </c>
      <c r="DI104" s="32">
        <v>127.3</v>
      </c>
      <c r="DJ104" s="32">
        <v>94.1</v>
      </c>
      <c r="DK104" s="32">
        <v>94.1</v>
      </c>
      <c r="DL104" s="32">
        <v>45.1</v>
      </c>
      <c r="DM104" s="32">
        <v>70.3</v>
      </c>
      <c r="DN104" s="32">
        <v>48.1</v>
      </c>
      <c r="DO104" s="32">
        <v>80</v>
      </c>
      <c r="DP104" s="32">
        <v>51.7</v>
      </c>
      <c r="DQ104" s="32">
        <v>69.5</v>
      </c>
      <c r="DR104" s="32">
        <v>76.2</v>
      </c>
      <c r="DS104" s="32">
        <v>69.8</v>
      </c>
      <c r="DT104" s="32">
        <v>65.400000000000006</v>
      </c>
      <c r="DU104" s="32">
        <v>67.5</v>
      </c>
      <c r="DV104" s="32">
        <v>72.3</v>
      </c>
      <c r="DW104" s="32">
        <v>61.8</v>
      </c>
      <c r="DX104" s="32">
        <v>61.1</v>
      </c>
      <c r="DY104" s="32">
        <v>83.6</v>
      </c>
      <c r="DZ104" s="32">
        <v>134.1</v>
      </c>
      <c r="EA104" s="32">
        <v>134.1</v>
      </c>
      <c r="EB104" s="32">
        <v>77.8</v>
      </c>
      <c r="EC104" s="32">
        <v>82.2</v>
      </c>
      <c r="ED104" s="32">
        <v>72.3</v>
      </c>
      <c r="EE104" s="32">
        <v>76.900000000000006</v>
      </c>
      <c r="EF104" s="32">
        <v>59.9</v>
      </c>
      <c r="EG104" s="32">
        <v>60</v>
      </c>
      <c r="EH104" s="32">
        <v>70.900000000000006</v>
      </c>
      <c r="EI104" s="32">
        <v>57</v>
      </c>
      <c r="EJ104" s="32">
        <v>56.1</v>
      </c>
      <c r="EK104" s="32">
        <v>57.6</v>
      </c>
      <c r="EL104" s="32">
        <v>66.599999999999994</v>
      </c>
      <c r="EM104" s="32">
        <v>46.1</v>
      </c>
      <c r="EN104" s="32">
        <v>63.9</v>
      </c>
      <c r="EO104" s="32">
        <v>89.8</v>
      </c>
      <c r="EP104" s="32">
        <v>91.7</v>
      </c>
      <c r="EQ104" s="32">
        <v>91.7</v>
      </c>
      <c r="ER104" s="32">
        <v>95.1</v>
      </c>
      <c r="ES104" s="32">
        <v>95.1</v>
      </c>
      <c r="ET104" s="32">
        <v>84.9</v>
      </c>
      <c r="EU104" s="32">
        <v>83.3</v>
      </c>
      <c r="EV104" s="32">
        <v>83.3</v>
      </c>
      <c r="EW104" s="32">
        <v>88.9</v>
      </c>
      <c r="EX104" s="32">
        <v>98.9</v>
      </c>
      <c r="EY104" s="32">
        <v>81.099999999999994</v>
      </c>
      <c r="EZ104" s="32">
        <v>90.2</v>
      </c>
      <c r="FA104" s="32">
        <v>102.5</v>
      </c>
      <c r="FB104" s="32">
        <v>107.2</v>
      </c>
      <c r="FC104" s="32">
        <v>75.7</v>
      </c>
      <c r="FD104" s="32">
        <v>124.3</v>
      </c>
      <c r="FE104" s="32">
        <v>152</v>
      </c>
      <c r="FF104" s="32">
        <v>97</v>
      </c>
      <c r="FG104" s="32">
        <v>80.900000000000006</v>
      </c>
      <c r="FH104" s="32">
        <v>86.4</v>
      </c>
      <c r="FI104" s="32">
        <v>76.5</v>
      </c>
      <c r="FJ104" s="32">
        <v>79.2</v>
      </c>
      <c r="FK104" s="32">
        <v>87.8</v>
      </c>
      <c r="FL104" s="32">
        <v>87.8</v>
      </c>
    </row>
    <row r="105" spans="1:168" x14ac:dyDescent="0.2">
      <c r="A105" s="34" t="s">
        <v>1085</v>
      </c>
      <c r="B105" s="32">
        <v>81.3</v>
      </c>
      <c r="C105" s="32">
        <v>93.8</v>
      </c>
      <c r="D105" s="32">
        <v>100.7</v>
      </c>
      <c r="E105" s="32">
        <v>100.9</v>
      </c>
      <c r="F105" s="32">
        <v>251.4</v>
      </c>
      <c r="G105" s="32">
        <v>3043.9</v>
      </c>
      <c r="H105" s="32">
        <v>308.39999999999998</v>
      </c>
      <c r="I105" s="32">
        <v>58.3</v>
      </c>
      <c r="J105" s="32">
        <v>88.1</v>
      </c>
      <c r="K105" s="32">
        <v>94.2</v>
      </c>
      <c r="L105" s="32">
        <v>91.9</v>
      </c>
      <c r="M105" s="32">
        <v>78.400000000000006</v>
      </c>
      <c r="N105" s="32">
        <v>85.8</v>
      </c>
      <c r="O105" s="32">
        <v>138.5</v>
      </c>
      <c r="P105" s="32">
        <v>158.30000000000001</v>
      </c>
      <c r="Q105" s="32">
        <v>100</v>
      </c>
      <c r="R105" s="32">
        <v>97.9</v>
      </c>
      <c r="S105" s="32">
        <v>127.3</v>
      </c>
      <c r="T105" s="32">
        <v>60.9</v>
      </c>
      <c r="U105" s="32">
        <v>57.4</v>
      </c>
      <c r="V105" s="32">
        <v>121.8</v>
      </c>
      <c r="W105" s="32">
        <v>45.9</v>
      </c>
      <c r="X105" s="32">
        <v>37.4</v>
      </c>
      <c r="Y105" s="32">
        <v>54.4</v>
      </c>
      <c r="Z105" s="32">
        <v>70</v>
      </c>
      <c r="AA105" s="32">
        <v>86.9</v>
      </c>
      <c r="AB105" s="32">
        <v>74</v>
      </c>
      <c r="AC105" s="32">
        <v>80</v>
      </c>
      <c r="AD105" s="32">
        <v>104.9</v>
      </c>
      <c r="AE105" s="32">
        <v>116.5</v>
      </c>
      <c r="AF105" s="32">
        <v>116.5</v>
      </c>
      <c r="AG105" s="32">
        <v>69.3</v>
      </c>
      <c r="AH105" s="32">
        <v>69.3</v>
      </c>
      <c r="AI105" s="32">
        <v>177</v>
      </c>
      <c r="AJ105" s="32">
        <v>47.3</v>
      </c>
      <c r="AK105" s="32">
        <v>405.1</v>
      </c>
      <c r="AL105" s="32">
        <v>113.4</v>
      </c>
      <c r="AM105" s="32">
        <v>48.5</v>
      </c>
      <c r="AN105" s="32">
        <v>89.2</v>
      </c>
      <c r="AO105" s="32">
        <v>105.9</v>
      </c>
      <c r="AP105" s="32">
        <v>105.9</v>
      </c>
      <c r="AQ105" s="32">
        <v>107.6</v>
      </c>
      <c r="AR105" s="32">
        <v>104.5</v>
      </c>
      <c r="AS105" s="32">
        <v>113.8</v>
      </c>
      <c r="AT105" s="32">
        <v>118.6</v>
      </c>
      <c r="AU105" s="32">
        <v>109.3</v>
      </c>
      <c r="AV105" s="32">
        <v>101.2</v>
      </c>
      <c r="AW105" s="32">
        <v>161.19999999999999</v>
      </c>
      <c r="AX105" s="32">
        <v>73</v>
      </c>
      <c r="AY105" s="32">
        <v>463</v>
      </c>
      <c r="AZ105" s="32">
        <v>89.9</v>
      </c>
      <c r="BA105" s="32">
        <v>53.2</v>
      </c>
      <c r="BB105" s="32">
        <v>53.2</v>
      </c>
      <c r="BC105" s="32">
        <v>103.8</v>
      </c>
      <c r="BD105" s="32">
        <v>103.8</v>
      </c>
      <c r="BE105" s="32">
        <v>116.3</v>
      </c>
      <c r="BF105" s="32">
        <v>116.3</v>
      </c>
      <c r="BG105" s="32">
        <v>90.3</v>
      </c>
      <c r="BH105" s="32">
        <v>67.5</v>
      </c>
      <c r="BI105" s="32">
        <v>114.3</v>
      </c>
      <c r="BJ105" s="32">
        <v>46.4</v>
      </c>
      <c r="BK105" s="32">
        <v>153</v>
      </c>
      <c r="BL105" s="32">
        <v>44.2</v>
      </c>
      <c r="BM105" s="32">
        <v>88.5</v>
      </c>
      <c r="BN105" s="32">
        <v>91.5</v>
      </c>
      <c r="BO105" s="32">
        <v>88.7</v>
      </c>
      <c r="BP105" s="32">
        <v>94.6</v>
      </c>
      <c r="BQ105" s="32">
        <v>84.8</v>
      </c>
      <c r="BR105" s="32">
        <v>71.900000000000006</v>
      </c>
      <c r="BS105" s="32">
        <v>186</v>
      </c>
      <c r="BT105" s="32">
        <v>64.599999999999994</v>
      </c>
      <c r="BU105" s="32">
        <v>94.3</v>
      </c>
      <c r="BV105" s="32">
        <v>94.3</v>
      </c>
      <c r="BW105" s="32">
        <v>152.30000000000001</v>
      </c>
      <c r="BX105" s="32">
        <v>26.7</v>
      </c>
      <c r="BY105" s="32">
        <v>110.8</v>
      </c>
      <c r="BZ105" s="32">
        <v>101.4</v>
      </c>
      <c r="CA105" s="32">
        <v>115.8</v>
      </c>
      <c r="CB105" s="32">
        <v>123.1</v>
      </c>
      <c r="CC105" s="32">
        <v>116</v>
      </c>
      <c r="CD105" s="32">
        <v>39.700000000000003</v>
      </c>
      <c r="CE105" s="32">
        <v>99</v>
      </c>
      <c r="CF105" s="32">
        <v>76.7</v>
      </c>
      <c r="CG105" s="32">
        <v>89.2</v>
      </c>
      <c r="CH105" s="32">
        <v>88.8</v>
      </c>
      <c r="CI105" s="32">
        <v>100.9</v>
      </c>
      <c r="CJ105" s="32">
        <v>79.599999999999994</v>
      </c>
      <c r="CK105" s="32">
        <v>93.3</v>
      </c>
      <c r="CL105" s="32">
        <v>88.7</v>
      </c>
      <c r="CM105" s="32">
        <v>91.8</v>
      </c>
      <c r="CN105" s="32">
        <v>53.4</v>
      </c>
      <c r="CO105" s="32">
        <v>102.4</v>
      </c>
      <c r="CP105" s="32">
        <v>151.69999999999999</v>
      </c>
      <c r="CQ105" s="32">
        <v>26.1</v>
      </c>
      <c r="CR105" s="32">
        <v>84.4</v>
      </c>
      <c r="CS105" s="32">
        <v>120.2</v>
      </c>
      <c r="CT105" s="32">
        <v>93.4</v>
      </c>
      <c r="CU105" s="32">
        <v>69.8</v>
      </c>
      <c r="CV105" s="32">
        <v>104</v>
      </c>
      <c r="CW105" s="32">
        <v>32.6</v>
      </c>
      <c r="CX105" s="32">
        <v>84.5</v>
      </c>
      <c r="CY105" s="32">
        <v>102.5</v>
      </c>
      <c r="CZ105" s="32">
        <v>74.599999999999994</v>
      </c>
      <c r="DA105" s="32">
        <v>62</v>
      </c>
      <c r="DB105" s="32">
        <v>99.7</v>
      </c>
      <c r="DC105" s="32">
        <v>6</v>
      </c>
      <c r="DD105" s="32">
        <v>6</v>
      </c>
      <c r="DE105" s="32">
        <v>64.599999999999994</v>
      </c>
      <c r="DF105" s="32">
        <v>60</v>
      </c>
      <c r="DG105" s="32">
        <v>93.9</v>
      </c>
      <c r="DH105" s="32">
        <v>91.6</v>
      </c>
      <c r="DI105" s="32">
        <v>130.1</v>
      </c>
      <c r="DJ105" s="32">
        <v>94.1</v>
      </c>
      <c r="DK105" s="32">
        <v>94.1</v>
      </c>
      <c r="DL105" s="32">
        <v>41</v>
      </c>
      <c r="DM105" s="32">
        <v>70.8</v>
      </c>
      <c r="DN105" s="32">
        <v>48.6</v>
      </c>
      <c r="DO105" s="32">
        <v>80.5</v>
      </c>
      <c r="DP105" s="32">
        <v>51.8</v>
      </c>
      <c r="DQ105" s="32">
        <v>70.3</v>
      </c>
      <c r="DR105" s="32">
        <v>77.900000000000006</v>
      </c>
      <c r="DS105" s="32">
        <v>72.3</v>
      </c>
      <c r="DT105" s="32">
        <v>67.900000000000006</v>
      </c>
      <c r="DU105" s="32">
        <v>70.900000000000006</v>
      </c>
      <c r="DV105" s="32">
        <v>77.400000000000006</v>
      </c>
      <c r="DW105" s="32">
        <v>63.4</v>
      </c>
      <c r="DX105" s="32">
        <v>61.7</v>
      </c>
      <c r="DY105" s="32">
        <v>86.5</v>
      </c>
      <c r="DZ105" s="32">
        <v>139.30000000000001</v>
      </c>
      <c r="EA105" s="32">
        <v>139.30000000000001</v>
      </c>
      <c r="EB105" s="32">
        <v>75.400000000000006</v>
      </c>
      <c r="EC105" s="32">
        <v>78.5</v>
      </c>
      <c r="ED105" s="32">
        <v>71.8</v>
      </c>
      <c r="EE105" s="32">
        <v>76.099999999999994</v>
      </c>
      <c r="EF105" s="32">
        <v>60.5</v>
      </c>
      <c r="EG105" s="32">
        <v>59.7</v>
      </c>
      <c r="EH105" s="32">
        <v>72.099999999999994</v>
      </c>
      <c r="EI105" s="32">
        <v>56.8</v>
      </c>
      <c r="EJ105" s="32">
        <v>52.9</v>
      </c>
      <c r="EK105" s="32">
        <v>56.8</v>
      </c>
      <c r="EL105" s="32">
        <v>64.7</v>
      </c>
      <c r="EM105" s="32">
        <v>47.5</v>
      </c>
      <c r="EN105" s="32">
        <v>61.6</v>
      </c>
      <c r="EO105" s="32">
        <v>90.4</v>
      </c>
      <c r="EP105" s="32">
        <v>92.7</v>
      </c>
      <c r="EQ105" s="32">
        <v>92.7</v>
      </c>
      <c r="ER105" s="32">
        <v>95.1</v>
      </c>
      <c r="ES105" s="32">
        <v>95.1</v>
      </c>
      <c r="ET105" s="32">
        <v>85.6</v>
      </c>
      <c r="EU105" s="32">
        <v>84</v>
      </c>
      <c r="EV105" s="32">
        <v>84</v>
      </c>
      <c r="EW105" s="32">
        <v>89.7</v>
      </c>
      <c r="EX105" s="32">
        <v>99.5</v>
      </c>
      <c r="EY105" s="32">
        <v>82</v>
      </c>
      <c r="EZ105" s="32">
        <v>91.9</v>
      </c>
      <c r="FA105" s="32">
        <v>104.4</v>
      </c>
      <c r="FB105" s="32">
        <v>110.2</v>
      </c>
      <c r="FC105" s="32">
        <v>81.2</v>
      </c>
      <c r="FD105" s="32">
        <v>126</v>
      </c>
      <c r="FE105" s="32">
        <v>151.1</v>
      </c>
      <c r="FF105" s="32">
        <v>97.6</v>
      </c>
      <c r="FG105" s="32">
        <v>82.3</v>
      </c>
      <c r="FH105" s="32">
        <v>89.7</v>
      </c>
      <c r="FI105" s="32">
        <v>86.1</v>
      </c>
      <c r="FJ105" s="32">
        <v>78.8</v>
      </c>
      <c r="FK105" s="32">
        <v>90.2</v>
      </c>
      <c r="FL105" s="32">
        <v>90.2</v>
      </c>
    </row>
    <row r="106" spans="1:168" x14ac:dyDescent="0.2">
      <c r="A106" s="34" t="s">
        <v>1086</v>
      </c>
      <c r="B106" s="32">
        <v>81</v>
      </c>
      <c r="C106" s="32">
        <v>92.7</v>
      </c>
      <c r="D106" s="32">
        <v>100.2</v>
      </c>
      <c r="E106" s="32">
        <v>100.3</v>
      </c>
      <c r="F106" s="32">
        <v>249.3</v>
      </c>
      <c r="G106" s="32">
        <v>2736.1</v>
      </c>
      <c r="H106" s="32">
        <v>305.8</v>
      </c>
      <c r="I106" s="32">
        <v>58</v>
      </c>
      <c r="J106" s="32">
        <v>87.5</v>
      </c>
      <c r="K106" s="32">
        <v>94.2</v>
      </c>
      <c r="L106" s="32">
        <v>91.5</v>
      </c>
      <c r="M106" s="32">
        <v>74.5</v>
      </c>
      <c r="N106" s="32">
        <v>85.1</v>
      </c>
      <c r="O106" s="32">
        <v>137.1</v>
      </c>
      <c r="P106" s="32">
        <v>151.30000000000001</v>
      </c>
      <c r="Q106" s="32">
        <v>99.4</v>
      </c>
      <c r="R106" s="32">
        <v>98.2</v>
      </c>
      <c r="S106" s="32">
        <v>128.69999999999999</v>
      </c>
      <c r="T106" s="32">
        <v>60.4</v>
      </c>
      <c r="U106" s="32">
        <v>56.7</v>
      </c>
      <c r="V106" s="32">
        <v>124.5</v>
      </c>
      <c r="W106" s="32">
        <v>44.7</v>
      </c>
      <c r="X106" s="32">
        <v>36</v>
      </c>
      <c r="Y106" s="32">
        <v>53.8</v>
      </c>
      <c r="Z106" s="32">
        <v>67.099999999999994</v>
      </c>
      <c r="AA106" s="32">
        <v>85.9</v>
      </c>
      <c r="AB106" s="32">
        <v>77</v>
      </c>
      <c r="AC106" s="32">
        <v>78.099999999999994</v>
      </c>
      <c r="AD106" s="32">
        <v>102.5</v>
      </c>
      <c r="AE106" s="32">
        <v>111.4</v>
      </c>
      <c r="AF106" s="32">
        <v>111.4</v>
      </c>
      <c r="AG106" s="32">
        <v>67.7</v>
      </c>
      <c r="AH106" s="32">
        <v>67.7</v>
      </c>
      <c r="AI106" s="32">
        <v>181.9</v>
      </c>
      <c r="AJ106" s="32">
        <v>43.3</v>
      </c>
      <c r="AK106" s="32">
        <v>361.8</v>
      </c>
      <c r="AL106" s="32">
        <v>109.9</v>
      </c>
      <c r="AM106" s="32">
        <v>48.8</v>
      </c>
      <c r="AN106" s="32">
        <v>102.1</v>
      </c>
      <c r="AO106" s="32">
        <v>108.4</v>
      </c>
      <c r="AP106" s="32">
        <v>108.4</v>
      </c>
      <c r="AQ106" s="32">
        <v>104.8</v>
      </c>
      <c r="AR106" s="32">
        <v>100.9</v>
      </c>
      <c r="AS106" s="32">
        <v>112.4</v>
      </c>
      <c r="AT106" s="32">
        <v>117.2</v>
      </c>
      <c r="AU106" s="32">
        <v>108</v>
      </c>
      <c r="AV106" s="32">
        <v>105.4</v>
      </c>
      <c r="AW106" s="32">
        <v>159.5</v>
      </c>
      <c r="AX106" s="32">
        <v>70.5</v>
      </c>
      <c r="AY106" s="32">
        <v>463.8</v>
      </c>
      <c r="AZ106" s="32">
        <v>95.6</v>
      </c>
      <c r="BA106" s="32">
        <v>51.6</v>
      </c>
      <c r="BB106" s="32">
        <v>51.6</v>
      </c>
      <c r="BC106" s="32">
        <v>103.6</v>
      </c>
      <c r="BD106" s="32">
        <v>103.6</v>
      </c>
      <c r="BE106" s="32">
        <v>111</v>
      </c>
      <c r="BF106" s="32">
        <v>111</v>
      </c>
      <c r="BG106" s="32">
        <v>90.2</v>
      </c>
      <c r="BH106" s="32">
        <v>67</v>
      </c>
      <c r="BI106" s="32">
        <v>114.6</v>
      </c>
      <c r="BJ106" s="32">
        <v>46.2</v>
      </c>
      <c r="BK106" s="32">
        <v>154.1</v>
      </c>
      <c r="BL106" s="32">
        <v>42.9</v>
      </c>
      <c r="BM106" s="32">
        <v>88</v>
      </c>
      <c r="BN106" s="32">
        <v>89.4</v>
      </c>
      <c r="BO106" s="32">
        <v>91.2</v>
      </c>
      <c r="BP106" s="32">
        <v>88.2</v>
      </c>
      <c r="BQ106" s="32">
        <v>86.5</v>
      </c>
      <c r="BR106" s="32">
        <v>69.900000000000006</v>
      </c>
      <c r="BS106" s="32">
        <v>200.9</v>
      </c>
      <c r="BT106" s="32">
        <v>64.599999999999994</v>
      </c>
      <c r="BU106" s="32">
        <v>91.3</v>
      </c>
      <c r="BV106" s="32">
        <v>91.3</v>
      </c>
      <c r="BW106" s="32">
        <v>148.69999999999999</v>
      </c>
      <c r="BX106" s="32">
        <v>23.9</v>
      </c>
      <c r="BY106" s="32">
        <v>112.8</v>
      </c>
      <c r="BZ106" s="32">
        <v>102.5</v>
      </c>
      <c r="CA106" s="32">
        <v>118.2</v>
      </c>
      <c r="CB106" s="32">
        <v>123.4</v>
      </c>
      <c r="CC106" s="32">
        <v>120.6</v>
      </c>
      <c r="CD106" s="32">
        <v>41</v>
      </c>
      <c r="CE106" s="32">
        <v>98.8</v>
      </c>
      <c r="CF106" s="32">
        <v>76.400000000000006</v>
      </c>
      <c r="CG106" s="32">
        <v>88.3</v>
      </c>
      <c r="CH106" s="32">
        <v>87.7</v>
      </c>
      <c r="CI106" s="32">
        <v>98.6</v>
      </c>
      <c r="CJ106" s="32">
        <v>77.900000000000006</v>
      </c>
      <c r="CK106" s="32">
        <v>93</v>
      </c>
      <c r="CL106" s="32">
        <v>88.4</v>
      </c>
      <c r="CM106" s="32">
        <v>91</v>
      </c>
      <c r="CN106" s="32">
        <v>54.5</v>
      </c>
      <c r="CO106" s="32">
        <v>101</v>
      </c>
      <c r="CP106" s="32">
        <v>150.5</v>
      </c>
      <c r="CQ106" s="32">
        <v>26.2</v>
      </c>
      <c r="CR106" s="32">
        <v>84.2</v>
      </c>
      <c r="CS106" s="32">
        <v>120.6</v>
      </c>
      <c r="CT106" s="32">
        <v>92.9</v>
      </c>
      <c r="CU106" s="32">
        <v>69.8</v>
      </c>
      <c r="CV106" s="32">
        <v>103.2</v>
      </c>
      <c r="CW106" s="32">
        <v>32.5</v>
      </c>
      <c r="CX106" s="32">
        <v>83.6</v>
      </c>
      <c r="CY106" s="32">
        <v>99.6</v>
      </c>
      <c r="CZ106" s="32">
        <v>75</v>
      </c>
      <c r="DA106" s="32">
        <v>62.4</v>
      </c>
      <c r="DB106" s="32">
        <v>100</v>
      </c>
      <c r="DC106" s="32">
        <v>5.9</v>
      </c>
      <c r="DD106" s="32">
        <v>5.9</v>
      </c>
      <c r="DE106" s="32">
        <v>65.3</v>
      </c>
      <c r="DF106" s="32">
        <v>60.5</v>
      </c>
      <c r="DG106" s="32">
        <v>96.2</v>
      </c>
      <c r="DH106" s="32">
        <v>92.5</v>
      </c>
      <c r="DI106" s="32">
        <v>132.19999999999999</v>
      </c>
      <c r="DJ106" s="32">
        <v>95.7</v>
      </c>
      <c r="DK106" s="32">
        <v>95.7</v>
      </c>
      <c r="DL106" s="32">
        <v>39.299999999999997</v>
      </c>
      <c r="DM106" s="32">
        <v>70.900000000000006</v>
      </c>
      <c r="DN106" s="32">
        <v>49.4</v>
      </c>
      <c r="DO106" s="32">
        <v>80.3</v>
      </c>
      <c r="DP106" s="32">
        <v>51.6</v>
      </c>
      <c r="DQ106" s="32">
        <v>69.5</v>
      </c>
      <c r="DR106" s="32">
        <v>76.099999999999994</v>
      </c>
      <c r="DS106" s="32">
        <v>70.599999999999994</v>
      </c>
      <c r="DT106" s="32">
        <v>68.099999999999994</v>
      </c>
      <c r="DU106" s="32">
        <v>71.5</v>
      </c>
      <c r="DV106" s="32">
        <v>77.7</v>
      </c>
      <c r="DW106" s="32">
        <v>64.3</v>
      </c>
      <c r="DX106" s="32">
        <v>60.9</v>
      </c>
      <c r="DY106" s="32">
        <v>79</v>
      </c>
      <c r="DZ106" s="32">
        <v>133.19999999999999</v>
      </c>
      <c r="EA106" s="32">
        <v>133.19999999999999</v>
      </c>
      <c r="EB106" s="32">
        <v>74.900000000000006</v>
      </c>
      <c r="EC106" s="32">
        <v>77.3</v>
      </c>
      <c r="ED106" s="32">
        <v>72.099999999999994</v>
      </c>
      <c r="EE106" s="32">
        <v>76.2</v>
      </c>
      <c r="EF106" s="32">
        <v>61</v>
      </c>
      <c r="EG106" s="32">
        <v>60.1</v>
      </c>
      <c r="EH106" s="32">
        <v>71.400000000000006</v>
      </c>
      <c r="EI106" s="32">
        <v>58.3</v>
      </c>
      <c r="EJ106" s="32">
        <v>53.8</v>
      </c>
      <c r="EK106" s="32">
        <v>57.1</v>
      </c>
      <c r="EL106" s="32">
        <v>68.3</v>
      </c>
      <c r="EM106" s="32">
        <v>47.1</v>
      </c>
      <c r="EN106" s="32">
        <v>61.8</v>
      </c>
      <c r="EO106" s="32">
        <v>90.1</v>
      </c>
      <c r="EP106" s="32">
        <v>93</v>
      </c>
      <c r="EQ106" s="32">
        <v>93</v>
      </c>
      <c r="ER106" s="32">
        <v>93.3</v>
      </c>
      <c r="ES106" s="32">
        <v>93.3</v>
      </c>
      <c r="ET106" s="32">
        <v>85.9</v>
      </c>
      <c r="EU106" s="32">
        <v>84.3</v>
      </c>
      <c r="EV106" s="32">
        <v>84.3</v>
      </c>
      <c r="EW106" s="32">
        <v>90.1</v>
      </c>
      <c r="EX106" s="32">
        <v>99.9</v>
      </c>
      <c r="EY106" s="32">
        <v>82.4</v>
      </c>
      <c r="EZ106" s="32">
        <v>92.4</v>
      </c>
      <c r="FA106" s="32">
        <v>106.1</v>
      </c>
      <c r="FB106" s="32">
        <v>112.5</v>
      </c>
      <c r="FC106" s="32">
        <v>84.7</v>
      </c>
      <c r="FD106" s="32">
        <v>126.9</v>
      </c>
      <c r="FE106" s="32">
        <v>152</v>
      </c>
      <c r="FF106" s="32">
        <v>98.3</v>
      </c>
      <c r="FG106" s="32">
        <v>82</v>
      </c>
      <c r="FH106" s="32">
        <v>93.5</v>
      </c>
      <c r="FI106" s="32">
        <v>76.7</v>
      </c>
      <c r="FJ106" s="32">
        <v>78</v>
      </c>
      <c r="FK106" s="32">
        <v>89.6</v>
      </c>
      <c r="FL106" s="32">
        <v>89.6</v>
      </c>
    </row>
    <row r="107" spans="1:168" x14ac:dyDescent="0.2">
      <c r="A107" s="34" t="s">
        <v>1087</v>
      </c>
      <c r="B107" s="32">
        <v>81.5</v>
      </c>
      <c r="C107" s="32">
        <v>92.6</v>
      </c>
      <c r="D107" s="32">
        <v>100.6</v>
      </c>
      <c r="E107" s="32">
        <v>101.1</v>
      </c>
      <c r="F107" s="32">
        <v>241.7</v>
      </c>
      <c r="G107" s="32">
        <v>2607.6999999999998</v>
      </c>
      <c r="H107" s="32">
        <v>295.2</v>
      </c>
      <c r="I107" s="32">
        <v>58.2</v>
      </c>
      <c r="J107" s="32">
        <v>88.8</v>
      </c>
      <c r="K107" s="32">
        <v>95.5</v>
      </c>
      <c r="L107" s="32">
        <v>91.5</v>
      </c>
      <c r="M107" s="32">
        <v>73.099999999999994</v>
      </c>
      <c r="N107" s="32">
        <v>86</v>
      </c>
      <c r="O107" s="32">
        <v>131</v>
      </c>
      <c r="P107" s="32">
        <v>146</v>
      </c>
      <c r="Q107" s="32">
        <v>101.6</v>
      </c>
      <c r="R107" s="32">
        <v>94.1</v>
      </c>
      <c r="S107" s="32">
        <v>132.19999999999999</v>
      </c>
      <c r="T107" s="32">
        <v>59.6</v>
      </c>
      <c r="U107" s="32">
        <v>60.4</v>
      </c>
      <c r="V107" s="32">
        <v>131.5</v>
      </c>
      <c r="W107" s="32">
        <v>47.7</v>
      </c>
      <c r="X107" s="32">
        <v>38.4</v>
      </c>
      <c r="Y107" s="32">
        <v>58</v>
      </c>
      <c r="Z107" s="32">
        <v>65.900000000000006</v>
      </c>
      <c r="AA107" s="32">
        <v>88.3</v>
      </c>
      <c r="AB107" s="32">
        <v>76.2</v>
      </c>
      <c r="AC107" s="32">
        <v>77.900000000000006</v>
      </c>
      <c r="AD107" s="32">
        <v>108.3</v>
      </c>
      <c r="AE107" s="32">
        <v>112.3</v>
      </c>
      <c r="AF107" s="32">
        <v>112.3</v>
      </c>
      <c r="AG107" s="32">
        <v>67.099999999999994</v>
      </c>
      <c r="AH107" s="32">
        <v>67.099999999999994</v>
      </c>
      <c r="AI107" s="32">
        <v>183</v>
      </c>
      <c r="AJ107" s="32">
        <v>41.3</v>
      </c>
      <c r="AK107" s="32">
        <v>400.4</v>
      </c>
      <c r="AL107" s="32">
        <v>110.4</v>
      </c>
      <c r="AM107" s="32">
        <v>49.3</v>
      </c>
      <c r="AN107" s="32">
        <v>99.9</v>
      </c>
      <c r="AO107" s="32">
        <v>118.1</v>
      </c>
      <c r="AP107" s="32">
        <v>118.1</v>
      </c>
      <c r="AQ107" s="32">
        <v>106.9</v>
      </c>
      <c r="AR107" s="32">
        <v>103.9</v>
      </c>
      <c r="AS107" s="32">
        <v>113</v>
      </c>
      <c r="AT107" s="32">
        <v>116.8</v>
      </c>
      <c r="AU107" s="32">
        <v>109.4</v>
      </c>
      <c r="AV107" s="32">
        <v>102.9</v>
      </c>
      <c r="AW107" s="32">
        <v>157.80000000000001</v>
      </c>
      <c r="AX107" s="32">
        <v>73</v>
      </c>
      <c r="AY107" s="32">
        <v>450.1</v>
      </c>
      <c r="AZ107" s="32">
        <v>92.8</v>
      </c>
      <c r="BA107" s="32">
        <v>53.2</v>
      </c>
      <c r="BB107" s="32">
        <v>53.2</v>
      </c>
      <c r="BC107" s="32">
        <v>102.5</v>
      </c>
      <c r="BD107" s="32">
        <v>102.5</v>
      </c>
      <c r="BE107" s="32">
        <v>112</v>
      </c>
      <c r="BF107" s="32">
        <v>112</v>
      </c>
      <c r="BG107" s="32">
        <v>90.7</v>
      </c>
      <c r="BH107" s="32">
        <v>66.5</v>
      </c>
      <c r="BI107" s="32">
        <v>116.4</v>
      </c>
      <c r="BJ107" s="32">
        <v>45.9</v>
      </c>
      <c r="BK107" s="32">
        <v>157.30000000000001</v>
      </c>
      <c r="BL107" s="32">
        <v>42.2</v>
      </c>
      <c r="BM107" s="32">
        <v>88.1</v>
      </c>
      <c r="BN107" s="32">
        <v>92.5</v>
      </c>
      <c r="BO107" s="32">
        <v>92.2</v>
      </c>
      <c r="BP107" s="32">
        <v>93.2</v>
      </c>
      <c r="BQ107" s="32">
        <v>82.5</v>
      </c>
      <c r="BR107" s="32">
        <v>60.5</v>
      </c>
      <c r="BS107" s="32">
        <v>194</v>
      </c>
      <c r="BT107" s="32">
        <v>62.1</v>
      </c>
      <c r="BU107" s="32">
        <v>92.3</v>
      </c>
      <c r="BV107" s="32">
        <v>92.3</v>
      </c>
      <c r="BW107" s="32">
        <v>151.9</v>
      </c>
      <c r="BX107" s="32">
        <v>22.1</v>
      </c>
      <c r="BY107" s="32">
        <v>111.5</v>
      </c>
      <c r="BZ107" s="32">
        <v>104.8</v>
      </c>
      <c r="CA107" s="32">
        <v>115.2</v>
      </c>
      <c r="CB107" s="32">
        <v>121.4</v>
      </c>
      <c r="CC107" s="32">
        <v>116.4</v>
      </c>
      <c r="CD107" s="32">
        <v>39.799999999999997</v>
      </c>
      <c r="CE107" s="32">
        <v>98.3</v>
      </c>
      <c r="CF107" s="32">
        <v>77</v>
      </c>
      <c r="CG107" s="32">
        <v>88.9</v>
      </c>
      <c r="CH107" s="32">
        <v>88.4</v>
      </c>
      <c r="CI107" s="32">
        <v>99</v>
      </c>
      <c r="CJ107" s="32">
        <v>78.8</v>
      </c>
      <c r="CK107" s="32">
        <v>93.7</v>
      </c>
      <c r="CL107" s="32">
        <v>89.1</v>
      </c>
      <c r="CM107" s="32">
        <v>93.5</v>
      </c>
      <c r="CN107" s="32">
        <v>54.9</v>
      </c>
      <c r="CO107" s="32">
        <v>104.2</v>
      </c>
      <c r="CP107" s="32">
        <v>148.30000000000001</v>
      </c>
      <c r="CQ107" s="32">
        <v>27</v>
      </c>
      <c r="CR107" s="32">
        <v>82.7</v>
      </c>
      <c r="CS107" s="32">
        <v>121</v>
      </c>
      <c r="CT107" s="32">
        <v>92.7</v>
      </c>
      <c r="CU107" s="32">
        <v>69.2</v>
      </c>
      <c r="CV107" s="32">
        <v>103.3</v>
      </c>
      <c r="CW107" s="32">
        <v>33.299999999999997</v>
      </c>
      <c r="CX107" s="32">
        <v>85</v>
      </c>
      <c r="CY107" s="32">
        <v>103</v>
      </c>
      <c r="CZ107" s="32">
        <v>75.2</v>
      </c>
      <c r="DA107" s="32">
        <v>63</v>
      </c>
      <c r="DB107" s="32">
        <v>99.4</v>
      </c>
      <c r="DC107" s="32">
        <v>6.1</v>
      </c>
      <c r="DD107" s="32">
        <v>6.1</v>
      </c>
      <c r="DE107" s="32">
        <v>66.900000000000006</v>
      </c>
      <c r="DF107" s="32">
        <v>61.7</v>
      </c>
      <c r="DG107" s="32">
        <v>100.4</v>
      </c>
      <c r="DH107" s="32">
        <v>92.9</v>
      </c>
      <c r="DI107" s="32">
        <v>133.5</v>
      </c>
      <c r="DJ107" s="32">
        <v>97</v>
      </c>
      <c r="DK107" s="32">
        <v>97</v>
      </c>
      <c r="DL107" s="32">
        <v>36.9</v>
      </c>
      <c r="DM107" s="32">
        <v>70.7</v>
      </c>
      <c r="DN107" s="32">
        <v>49.1</v>
      </c>
      <c r="DO107" s="32">
        <v>80.3</v>
      </c>
      <c r="DP107" s="32">
        <v>50.8</v>
      </c>
      <c r="DQ107" s="32">
        <v>70.900000000000006</v>
      </c>
      <c r="DR107" s="32">
        <v>78</v>
      </c>
      <c r="DS107" s="32">
        <v>70.3</v>
      </c>
      <c r="DT107" s="32">
        <v>66.3</v>
      </c>
      <c r="DU107" s="32">
        <v>69.2</v>
      </c>
      <c r="DV107" s="32">
        <v>75.599999999999994</v>
      </c>
      <c r="DW107" s="32">
        <v>61.8</v>
      </c>
      <c r="DX107" s="32">
        <v>60</v>
      </c>
      <c r="DY107" s="32">
        <v>83.2</v>
      </c>
      <c r="DZ107" s="32">
        <v>146.9</v>
      </c>
      <c r="EA107" s="32">
        <v>146.9</v>
      </c>
      <c r="EB107" s="32">
        <v>80</v>
      </c>
      <c r="EC107" s="32">
        <v>85.1</v>
      </c>
      <c r="ED107" s="32">
        <v>73.599999999999994</v>
      </c>
      <c r="EE107" s="32">
        <v>78.2</v>
      </c>
      <c r="EF107" s="32">
        <v>61.3</v>
      </c>
      <c r="EG107" s="32">
        <v>60.9</v>
      </c>
      <c r="EH107" s="32">
        <v>77.5</v>
      </c>
      <c r="EI107" s="32">
        <v>56.5</v>
      </c>
      <c r="EJ107" s="32">
        <v>53.9</v>
      </c>
      <c r="EK107" s="32">
        <v>56.8</v>
      </c>
      <c r="EL107" s="32">
        <v>69.8</v>
      </c>
      <c r="EM107" s="32">
        <v>46.6</v>
      </c>
      <c r="EN107" s="32">
        <v>61.3</v>
      </c>
      <c r="EO107" s="32">
        <v>90.2</v>
      </c>
      <c r="EP107" s="32">
        <v>92.8</v>
      </c>
      <c r="EQ107" s="32">
        <v>92.8</v>
      </c>
      <c r="ER107" s="32">
        <v>93.5</v>
      </c>
      <c r="ES107" s="32">
        <v>93.5</v>
      </c>
      <c r="ET107" s="32">
        <v>86.2</v>
      </c>
      <c r="EU107" s="32">
        <v>84.6</v>
      </c>
      <c r="EV107" s="32">
        <v>84.6</v>
      </c>
      <c r="EW107" s="32">
        <v>90.1</v>
      </c>
      <c r="EX107" s="32">
        <v>100.1</v>
      </c>
      <c r="EY107" s="32">
        <v>82.2</v>
      </c>
      <c r="EZ107" s="32">
        <v>92.4</v>
      </c>
      <c r="FA107" s="32">
        <v>106.9</v>
      </c>
      <c r="FB107" s="32">
        <v>114.9</v>
      </c>
      <c r="FC107" s="32">
        <v>86.6</v>
      </c>
      <c r="FD107" s="32">
        <v>127.2</v>
      </c>
      <c r="FE107" s="32">
        <v>156.4</v>
      </c>
      <c r="FF107" s="32">
        <v>97.3</v>
      </c>
      <c r="FG107" s="32">
        <v>83.6</v>
      </c>
      <c r="FH107" s="32">
        <v>97.1</v>
      </c>
      <c r="FI107" s="32">
        <v>75</v>
      </c>
      <c r="FJ107" s="32">
        <v>79.3</v>
      </c>
      <c r="FK107" s="32">
        <v>70.400000000000006</v>
      </c>
      <c r="FL107" s="32">
        <v>70.400000000000006</v>
      </c>
    </row>
    <row r="108" spans="1:168" x14ac:dyDescent="0.2">
      <c r="A108" s="34" t="s">
        <v>1088</v>
      </c>
      <c r="B108" s="32">
        <v>81.8</v>
      </c>
      <c r="C108" s="32">
        <v>93.1</v>
      </c>
      <c r="D108" s="32">
        <v>99.5</v>
      </c>
      <c r="E108" s="32">
        <v>99.9</v>
      </c>
      <c r="F108" s="32">
        <v>232</v>
      </c>
      <c r="G108" s="32">
        <v>2164</v>
      </c>
      <c r="H108" s="32">
        <v>282.2</v>
      </c>
      <c r="I108" s="32">
        <v>57.7</v>
      </c>
      <c r="J108" s="32">
        <v>87.9</v>
      </c>
      <c r="K108" s="32">
        <v>94</v>
      </c>
      <c r="L108" s="32">
        <v>89.3</v>
      </c>
      <c r="M108" s="32">
        <v>72.7</v>
      </c>
      <c r="N108" s="32">
        <v>83.8</v>
      </c>
      <c r="O108" s="32">
        <v>129.30000000000001</v>
      </c>
      <c r="P108" s="32">
        <v>145.5</v>
      </c>
      <c r="Q108" s="32">
        <v>102.4</v>
      </c>
      <c r="R108" s="32">
        <v>97.1</v>
      </c>
      <c r="S108" s="32">
        <v>124.2</v>
      </c>
      <c r="T108" s="32">
        <v>58.2</v>
      </c>
      <c r="U108" s="32">
        <v>63.7</v>
      </c>
      <c r="V108" s="32">
        <v>130.9</v>
      </c>
      <c r="W108" s="32">
        <v>44.3</v>
      </c>
      <c r="X108" s="32">
        <v>36.5</v>
      </c>
      <c r="Y108" s="32">
        <v>51.8</v>
      </c>
      <c r="Z108" s="32">
        <v>64.5</v>
      </c>
      <c r="AA108" s="32">
        <v>86.4</v>
      </c>
      <c r="AB108" s="32">
        <v>77.099999999999994</v>
      </c>
      <c r="AC108" s="32">
        <v>76.900000000000006</v>
      </c>
      <c r="AD108" s="32">
        <v>104.2</v>
      </c>
      <c r="AE108" s="32">
        <v>113</v>
      </c>
      <c r="AF108" s="32">
        <v>113</v>
      </c>
      <c r="AG108" s="32">
        <v>68.8</v>
      </c>
      <c r="AH108" s="32">
        <v>68.8</v>
      </c>
      <c r="AI108" s="32">
        <v>190.3</v>
      </c>
      <c r="AJ108" s="32">
        <v>42.9</v>
      </c>
      <c r="AK108" s="32">
        <v>401.6</v>
      </c>
      <c r="AL108" s="32">
        <v>109.4</v>
      </c>
      <c r="AM108" s="32">
        <v>49.7</v>
      </c>
      <c r="AN108" s="32">
        <v>104.6</v>
      </c>
      <c r="AO108" s="32">
        <v>110</v>
      </c>
      <c r="AP108" s="32">
        <v>110</v>
      </c>
      <c r="AQ108" s="32">
        <v>105.4</v>
      </c>
      <c r="AR108" s="32">
        <v>101.8</v>
      </c>
      <c r="AS108" s="32">
        <v>112.4</v>
      </c>
      <c r="AT108" s="32">
        <v>116.6</v>
      </c>
      <c r="AU108" s="32">
        <v>108.6</v>
      </c>
      <c r="AV108" s="32">
        <v>103.4</v>
      </c>
      <c r="AW108" s="32">
        <v>152.6</v>
      </c>
      <c r="AX108" s="32">
        <v>70</v>
      </c>
      <c r="AY108" s="32">
        <v>437.5</v>
      </c>
      <c r="AZ108" s="32">
        <v>94.6</v>
      </c>
      <c r="BA108" s="32">
        <v>53.2</v>
      </c>
      <c r="BB108" s="32">
        <v>53.2</v>
      </c>
      <c r="BC108" s="32">
        <v>102.9</v>
      </c>
      <c r="BD108" s="32">
        <v>102.9</v>
      </c>
      <c r="BE108" s="32">
        <v>110.7</v>
      </c>
      <c r="BF108" s="32">
        <v>110.7</v>
      </c>
      <c r="BG108" s="32">
        <v>90.5</v>
      </c>
      <c r="BH108" s="32">
        <v>66.400000000000006</v>
      </c>
      <c r="BI108" s="32">
        <v>116.1</v>
      </c>
      <c r="BJ108" s="32">
        <v>45.3</v>
      </c>
      <c r="BK108" s="32">
        <v>156.9</v>
      </c>
      <c r="BL108" s="32">
        <v>42.7</v>
      </c>
      <c r="BM108" s="32">
        <v>90.2</v>
      </c>
      <c r="BN108" s="32">
        <v>93.4</v>
      </c>
      <c r="BO108" s="32">
        <v>92.3</v>
      </c>
      <c r="BP108" s="32">
        <v>94.9</v>
      </c>
      <c r="BQ108" s="32">
        <v>86.2</v>
      </c>
      <c r="BR108" s="32">
        <v>70.2</v>
      </c>
      <c r="BS108" s="32">
        <v>205.6</v>
      </c>
      <c r="BT108" s="32">
        <v>63.4</v>
      </c>
      <c r="BU108" s="32">
        <v>90.7</v>
      </c>
      <c r="BV108" s="32">
        <v>90.7</v>
      </c>
      <c r="BW108" s="32">
        <v>148.9</v>
      </c>
      <c r="BX108" s="32">
        <v>22.1</v>
      </c>
      <c r="BY108" s="32">
        <v>113.3</v>
      </c>
      <c r="BZ108" s="32">
        <v>104.8</v>
      </c>
      <c r="CA108" s="32">
        <v>117.9</v>
      </c>
      <c r="CB108" s="32">
        <v>123.1</v>
      </c>
      <c r="CC108" s="32">
        <v>120.2</v>
      </c>
      <c r="CD108" s="32">
        <v>39.799999999999997</v>
      </c>
      <c r="CE108" s="32">
        <v>97.5</v>
      </c>
      <c r="CF108" s="32">
        <v>77.7</v>
      </c>
      <c r="CG108" s="32">
        <v>89.2</v>
      </c>
      <c r="CH108" s="32">
        <v>89</v>
      </c>
      <c r="CI108" s="32">
        <v>100.2</v>
      </c>
      <c r="CJ108" s="32">
        <v>80.099999999999994</v>
      </c>
      <c r="CK108" s="32">
        <v>93.4</v>
      </c>
      <c r="CL108" s="32">
        <v>88.7</v>
      </c>
      <c r="CM108" s="32">
        <v>92</v>
      </c>
      <c r="CN108" s="32">
        <v>52.9</v>
      </c>
      <c r="CO108" s="32">
        <v>102.9</v>
      </c>
      <c r="CP108" s="32">
        <v>146.80000000000001</v>
      </c>
      <c r="CQ108" s="32">
        <v>28.2</v>
      </c>
      <c r="CR108" s="32">
        <v>84.1</v>
      </c>
      <c r="CS108" s="32">
        <v>116.9</v>
      </c>
      <c r="CT108" s="32">
        <v>92.7</v>
      </c>
      <c r="CU108" s="32">
        <v>69.5</v>
      </c>
      <c r="CV108" s="32">
        <v>103.1</v>
      </c>
      <c r="CW108" s="32">
        <v>34</v>
      </c>
      <c r="CX108" s="32">
        <v>88.3</v>
      </c>
      <c r="CY108" s="32">
        <v>107.7</v>
      </c>
      <c r="CZ108" s="32">
        <v>77.7</v>
      </c>
      <c r="DA108" s="32">
        <v>66.099999999999994</v>
      </c>
      <c r="DB108" s="32">
        <v>100.1</v>
      </c>
      <c r="DC108" s="32">
        <v>6.2</v>
      </c>
      <c r="DD108" s="32">
        <v>6.2</v>
      </c>
      <c r="DE108" s="32">
        <v>67.400000000000006</v>
      </c>
      <c r="DF108" s="32">
        <v>62.6</v>
      </c>
      <c r="DG108" s="32">
        <v>98.3</v>
      </c>
      <c r="DH108" s="32">
        <v>95.9</v>
      </c>
      <c r="DI108" s="32">
        <v>135.9</v>
      </c>
      <c r="DJ108" s="32">
        <v>100.2</v>
      </c>
      <c r="DK108" s="32">
        <v>100.2</v>
      </c>
      <c r="DL108" s="32">
        <v>40.799999999999997</v>
      </c>
      <c r="DM108" s="32">
        <v>71.8</v>
      </c>
      <c r="DN108" s="32">
        <v>49.8</v>
      </c>
      <c r="DO108" s="32">
        <v>81.599999999999994</v>
      </c>
      <c r="DP108" s="32">
        <v>50.9</v>
      </c>
      <c r="DQ108" s="32">
        <v>70.599999999999994</v>
      </c>
      <c r="DR108" s="32">
        <v>77</v>
      </c>
      <c r="DS108" s="32">
        <v>70.5</v>
      </c>
      <c r="DT108" s="32">
        <v>67.3</v>
      </c>
      <c r="DU108" s="32">
        <v>70.5</v>
      </c>
      <c r="DV108" s="32">
        <v>76</v>
      </c>
      <c r="DW108" s="32">
        <v>64</v>
      </c>
      <c r="DX108" s="32">
        <v>60.5</v>
      </c>
      <c r="DY108" s="32">
        <v>80.8</v>
      </c>
      <c r="DZ108" s="32">
        <v>133.6</v>
      </c>
      <c r="EA108" s="32">
        <v>133.6</v>
      </c>
      <c r="EB108" s="32">
        <v>79.400000000000006</v>
      </c>
      <c r="EC108" s="32">
        <v>84.6</v>
      </c>
      <c r="ED108" s="32">
        <v>72.900000000000006</v>
      </c>
      <c r="EE108" s="32">
        <v>77</v>
      </c>
      <c r="EF108" s="32">
        <v>61.9</v>
      </c>
      <c r="EG108" s="32">
        <v>61.5</v>
      </c>
      <c r="EH108" s="32">
        <v>76.5</v>
      </c>
      <c r="EI108" s="32">
        <v>58.1</v>
      </c>
      <c r="EJ108" s="32">
        <v>55.7</v>
      </c>
      <c r="EK108" s="32">
        <v>57.2</v>
      </c>
      <c r="EL108" s="32">
        <v>70.5</v>
      </c>
      <c r="EM108" s="32">
        <v>47.7</v>
      </c>
      <c r="EN108" s="32">
        <v>61</v>
      </c>
      <c r="EO108" s="32">
        <v>90.4</v>
      </c>
      <c r="EP108" s="32">
        <v>93.6</v>
      </c>
      <c r="EQ108" s="32">
        <v>93.6</v>
      </c>
      <c r="ER108" s="32">
        <v>93.3</v>
      </c>
      <c r="ES108" s="32">
        <v>93.3</v>
      </c>
      <c r="ET108" s="32">
        <v>86.3</v>
      </c>
      <c r="EU108" s="32">
        <v>85</v>
      </c>
      <c r="EV108" s="32">
        <v>85</v>
      </c>
      <c r="EW108" s="32">
        <v>89.6</v>
      </c>
      <c r="EX108" s="32">
        <v>100</v>
      </c>
      <c r="EY108" s="32">
        <v>81.5</v>
      </c>
      <c r="EZ108" s="32">
        <v>94</v>
      </c>
      <c r="FA108" s="32">
        <v>108.8</v>
      </c>
      <c r="FB108" s="32">
        <v>117.7</v>
      </c>
      <c r="FC108" s="32">
        <v>88.6</v>
      </c>
      <c r="FD108" s="32">
        <v>127</v>
      </c>
      <c r="FE108" s="32">
        <v>162.30000000000001</v>
      </c>
      <c r="FF108" s="32">
        <v>98</v>
      </c>
      <c r="FG108" s="32">
        <v>85.7</v>
      </c>
      <c r="FH108" s="32">
        <v>99.3</v>
      </c>
      <c r="FI108" s="32">
        <v>82.7</v>
      </c>
      <c r="FJ108" s="32">
        <v>80.599999999999994</v>
      </c>
      <c r="FK108" s="32">
        <v>66.5</v>
      </c>
      <c r="FL108" s="32">
        <v>66.5</v>
      </c>
    </row>
    <row r="109" spans="1:168" x14ac:dyDescent="0.2">
      <c r="A109" s="34" t="s">
        <v>1089</v>
      </c>
      <c r="B109" s="32">
        <v>81.8</v>
      </c>
      <c r="C109" s="32">
        <v>93.9</v>
      </c>
      <c r="D109" s="32">
        <v>98.8</v>
      </c>
      <c r="E109" s="32">
        <v>99.1</v>
      </c>
      <c r="F109" s="32">
        <v>216.3</v>
      </c>
      <c r="G109" s="32">
        <v>2708</v>
      </c>
      <c r="H109" s="32">
        <v>258.7</v>
      </c>
      <c r="I109" s="32">
        <v>59.1</v>
      </c>
      <c r="J109" s="32">
        <v>87.7</v>
      </c>
      <c r="K109" s="32">
        <v>92.2</v>
      </c>
      <c r="L109" s="32">
        <v>87.9</v>
      </c>
      <c r="M109" s="32">
        <v>72</v>
      </c>
      <c r="N109" s="32">
        <v>81.8</v>
      </c>
      <c r="O109" s="32">
        <v>125.8</v>
      </c>
      <c r="P109" s="32">
        <v>141</v>
      </c>
      <c r="Q109" s="32">
        <v>105.4</v>
      </c>
      <c r="R109" s="32">
        <v>96.6</v>
      </c>
      <c r="S109" s="32">
        <v>121.2</v>
      </c>
      <c r="T109" s="32">
        <v>58.7</v>
      </c>
      <c r="U109" s="32">
        <v>55.7</v>
      </c>
      <c r="V109" s="32">
        <v>130.6</v>
      </c>
      <c r="W109" s="32">
        <v>43.5</v>
      </c>
      <c r="X109" s="32">
        <v>36.6</v>
      </c>
      <c r="Y109" s="32">
        <v>49.4</v>
      </c>
      <c r="Z109" s="32">
        <v>63.8</v>
      </c>
      <c r="AA109" s="32">
        <v>82.8</v>
      </c>
      <c r="AB109" s="32">
        <v>81.3</v>
      </c>
      <c r="AC109" s="32">
        <v>75.900000000000006</v>
      </c>
      <c r="AD109" s="32">
        <v>94.7</v>
      </c>
      <c r="AE109" s="32">
        <v>111.7</v>
      </c>
      <c r="AF109" s="32">
        <v>111.7</v>
      </c>
      <c r="AG109" s="32">
        <v>63.5</v>
      </c>
      <c r="AH109" s="32">
        <v>63.5</v>
      </c>
      <c r="AI109" s="32">
        <v>199.4</v>
      </c>
      <c r="AJ109" s="32">
        <v>33.700000000000003</v>
      </c>
      <c r="AK109" s="32">
        <v>411</v>
      </c>
      <c r="AL109" s="32">
        <v>108.2</v>
      </c>
      <c r="AM109" s="32">
        <v>49.4</v>
      </c>
      <c r="AN109" s="32">
        <v>103.2</v>
      </c>
      <c r="AO109" s="32">
        <v>114</v>
      </c>
      <c r="AP109" s="32">
        <v>114</v>
      </c>
      <c r="AQ109" s="32">
        <v>105</v>
      </c>
      <c r="AR109" s="32">
        <v>101</v>
      </c>
      <c r="AS109" s="32">
        <v>112.8</v>
      </c>
      <c r="AT109" s="32">
        <v>118.5</v>
      </c>
      <c r="AU109" s="32">
        <v>107.5</v>
      </c>
      <c r="AV109" s="32">
        <v>102.5</v>
      </c>
      <c r="AW109" s="32">
        <v>156.30000000000001</v>
      </c>
      <c r="AX109" s="32">
        <v>77.5</v>
      </c>
      <c r="AY109" s="32">
        <v>431.8</v>
      </c>
      <c r="AZ109" s="32">
        <v>92.6</v>
      </c>
      <c r="BA109" s="32">
        <v>57.8</v>
      </c>
      <c r="BB109" s="32">
        <v>57.8</v>
      </c>
      <c r="BC109" s="32">
        <v>104.1</v>
      </c>
      <c r="BD109" s="32">
        <v>104.1</v>
      </c>
      <c r="BE109" s="32">
        <v>110.4</v>
      </c>
      <c r="BF109" s="32">
        <v>110.4</v>
      </c>
      <c r="BG109" s="32">
        <v>91.5</v>
      </c>
      <c r="BH109" s="32">
        <v>68.099999999999994</v>
      </c>
      <c r="BI109" s="32">
        <v>116.2</v>
      </c>
      <c r="BJ109" s="32">
        <v>44.7</v>
      </c>
      <c r="BK109" s="32">
        <v>157.6</v>
      </c>
      <c r="BL109" s="32">
        <v>41.7</v>
      </c>
      <c r="BM109" s="32">
        <v>90.8</v>
      </c>
      <c r="BN109" s="32">
        <v>94.6</v>
      </c>
      <c r="BO109" s="32">
        <v>93.5</v>
      </c>
      <c r="BP109" s="32">
        <v>96.1</v>
      </c>
      <c r="BQ109" s="32">
        <v>86</v>
      </c>
      <c r="BR109" s="32">
        <v>67.900000000000006</v>
      </c>
      <c r="BS109" s="32">
        <v>205.7</v>
      </c>
      <c r="BT109" s="32">
        <v>63.5</v>
      </c>
      <c r="BU109" s="32">
        <v>90.4</v>
      </c>
      <c r="BV109" s="32">
        <v>90.4</v>
      </c>
      <c r="BW109" s="32">
        <v>147.80000000000001</v>
      </c>
      <c r="BX109" s="32">
        <v>22.8</v>
      </c>
      <c r="BY109" s="32">
        <v>113.6</v>
      </c>
      <c r="BZ109" s="32">
        <v>104</v>
      </c>
      <c r="CA109" s="32">
        <v>118.7</v>
      </c>
      <c r="CB109" s="32">
        <v>125.3</v>
      </c>
      <c r="CC109" s="32">
        <v>119.8</v>
      </c>
      <c r="CD109" s="32">
        <v>39.5</v>
      </c>
      <c r="CE109" s="32">
        <v>97</v>
      </c>
      <c r="CF109" s="32">
        <v>77.8</v>
      </c>
      <c r="CG109" s="32">
        <v>89.5</v>
      </c>
      <c r="CH109" s="32">
        <v>89.8</v>
      </c>
      <c r="CI109" s="32">
        <v>100.2</v>
      </c>
      <c r="CJ109" s="32">
        <v>82.8</v>
      </c>
      <c r="CK109" s="32">
        <v>92.8</v>
      </c>
      <c r="CL109" s="32">
        <v>88.7</v>
      </c>
      <c r="CM109" s="32">
        <v>93</v>
      </c>
      <c r="CN109" s="32">
        <v>53.1</v>
      </c>
      <c r="CO109" s="32">
        <v>104</v>
      </c>
      <c r="CP109" s="32">
        <v>144.69999999999999</v>
      </c>
      <c r="CQ109" s="32">
        <v>27.7</v>
      </c>
      <c r="CR109" s="32">
        <v>83.7</v>
      </c>
      <c r="CS109" s="32">
        <v>117.2</v>
      </c>
      <c r="CT109" s="32">
        <v>91.6</v>
      </c>
      <c r="CU109" s="32">
        <v>70.599999999999994</v>
      </c>
      <c r="CV109" s="32">
        <v>101</v>
      </c>
      <c r="CW109" s="32">
        <v>34</v>
      </c>
      <c r="CX109" s="32">
        <v>89.1</v>
      </c>
      <c r="CY109" s="32">
        <v>101.5</v>
      </c>
      <c r="CZ109" s="32">
        <v>82.8</v>
      </c>
      <c r="DA109" s="32">
        <v>72.900000000000006</v>
      </c>
      <c r="DB109" s="32">
        <v>100.1</v>
      </c>
      <c r="DC109" s="32">
        <v>6.2</v>
      </c>
      <c r="DD109" s="32">
        <v>6.2</v>
      </c>
      <c r="DE109" s="32">
        <v>66.7</v>
      </c>
      <c r="DF109" s="32">
        <v>61.8</v>
      </c>
      <c r="DG109" s="32">
        <v>98.5</v>
      </c>
      <c r="DH109" s="32">
        <v>94.4</v>
      </c>
      <c r="DI109" s="32">
        <v>136.69999999999999</v>
      </c>
      <c r="DJ109" s="32">
        <v>99.9</v>
      </c>
      <c r="DK109" s="32">
        <v>99.9</v>
      </c>
      <c r="DL109" s="32">
        <v>33.5</v>
      </c>
      <c r="DM109" s="32">
        <v>72.3</v>
      </c>
      <c r="DN109" s="32">
        <v>50.2</v>
      </c>
      <c r="DO109" s="32">
        <v>82.1</v>
      </c>
      <c r="DP109" s="32">
        <v>50.5</v>
      </c>
      <c r="DQ109" s="32">
        <v>71.400000000000006</v>
      </c>
      <c r="DR109" s="32">
        <v>78.7</v>
      </c>
      <c r="DS109" s="32">
        <v>72</v>
      </c>
      <c r="DT109" s="32">
        <v>69.3</v>
      </c>
      <c r="DU109" s="32">
        <v>73.3</v>
      </c>
      <c r="DV109" s="32">
        <v>80</v>
      </c>
      <c r="DW109" s="32">
        <v>65.599999999999994</v>
      </c>
      <c r="DX109" s="32">
        <v>60.8</v>
      </c>
      <c r="DY109" s="32">
        <v>80.8</v>
      </c>
      <c r="DZ109" s="32">
        <v>137</v>
      </c>
      <c r="EA109" s="32">
        <v>137</v>
      </c>
      <c r="EB109" s="32">
        <v>81</v>
      </c>
      <c r="EC109" s="32">
        <v>88.2</v>
      </c>
      <c r="ED109" s="32">
        <v>71.8</v>
      </c>
      <c r="EE109" s="32">
        <v>75.2</v>
      </c>
      <c r="EF109" s="32">
        <v>62.5</v>
      </c>
      <c r="EG109" s="32">
        <v>61.3</v>
      </c>
      <c r="EH109" s="32">
        <v>76.400000000000006</v>
      </c>
      <c r="EI109" s="32">
        <v>57.6</v>
      </c>
      <c r="EJ109" s="32">
        <v>55.1</v>
      </c>
      <c r="EK109" s="32">
        <v>57.3</v>
      </c>
      <c r="EL109" s="32">
        <v>73.099999999999994</v>
      </c>
      <c r="EM109" s="32">
        <v>47</v>
      </c>
      <c r="EN109" s="32">
        <v>61.3</v>
      </c>
      <c r="EO109" s="32">
        <v>90.3</v>
      </c>
      <c r="EP109" s="32">
        <v>93.8</v>
      </c>
      <c r="EQ109" s="32">
        <v>93.8</v>
      </c>
      <c r="ER109" s="32">
        <v>92.7</v>
      </c>
      <c r="ES109" s="32">
        <v>92.7</v>
      </c>
      <c r="ET109" s="32">
        <v>86.3</v>
      </c>
      <c r="EU109" s="32">
        <v>85</v>
      </c>
      <c r="EV109" s="32">
        <v>85</v>
      </c>
      <c r="EW109" s="32">
        <v>89.4</v>
      </c>
      <c r="EX109" s="32">
        <v>100.2</v>
      </c>
      <c r="EY109" s="32">
        <v>81</v>
      </c>
      <c r="EZ109" s="32">
        <v>93.9</v>
      </c>
      <c r="FA109" s="32">
        <v>110.6</v>
      </c>
      <c r="FB109" s="32">
        <v>120.1</v>
      </c>
      <c r="FC109" s="32">
        <v>90</v>
      </c>
      <c r="FD109" s="32">
        <v>127.7</v>
      </c>
      <c r="FE109" s="32">
        <v>167.3</v>
      </c>
      <c r="FF109" s="32">
        <v>99</v>
      </c>
      <c r="FG109" s="32">
        <v>85.4</v>
      </c>
      <c r="FH109" s="32">
        <v>97.8</v>
      </c>
      <c r="FI109" s="32">
        <v>78.2</v>
      </c>
      <c r="FJ109" s="32">
        <v>81.400000000000006</v>
      </c>
      <c r="FK109" s="32">
        <v>54.7</v>
      </c>
      <c r="FL109" s="32">
        <v>54.7</v>
      </c>
    </row>
    <row r="110" spans="1:168" x14ac:dyDescent="0.2">
      <c r="A110" s="34" t="s">
        <v>1090</v>
      </c>
      <c r="B110" s="32">
        <v>82.3</v>
      </c>
      <c r="C110" s="32">
        <v>94.3</v>
      </c>
      <c r="D110" s="32">
        <v>99.8</v>
      </c>
      <c r="E110" s="32">
        <v>100.5</v>
      </c>
      <c r="F110" s="32">
        <v>228</v>
      </c>
      <c r="G110" s="32">
        <v>3269.8</v>
      </c>
      <c r="H110" s="32">
        <v>274.10000000000002</v>
      </c>
      <c r="I110" s="32">
        <v>60.7</v>
      </c>
      <c r="J110" s="32">
        <v>89.1</v>
      </c>
      <c r="K110" s="32">
        <v>95.1</v>
      </c>
      <c r="L110" s="32">
        <v>90.4</v>
      </c>
      <c r="M110" s="32">
        <v>71.7</v>
      </c>
      <c r="N110" s="32">
        <v>82.7</v>
      </c>
      <c r="O110" s="32">
        <v>121</v>
      </c>
      <c r="P110" s="32">
        <v>149</v>
      </c>
      <c r="Q110" s="32">
        <v>104.9</v>
      </c>
      <c r="R110" s="32">
        <v>101.6</v>
      </c>
      <c r="S110" s="32">
        <v>124.7</v>
      </c>
      <c r="T110" s="32">
        <v>61.6</v>
      </c>
      <c r="U110" s="32">
        <v>66.2</v>
      </c>
      <c r="V110" s="32">
        <v>131.4</v>
      </c>
      <c r="W110" s="32">
        <v>44.6</v>
      </c>
      <c r="X110" s="32">
        <v>36.5</v>
      </c>
      <c r="Y110" s="32">
        <v>52.6</v>
      </c>
      <c r="Z110" s="32">
        <v>66.5</v>
      </c>
      <c r="AA110" s="32">
        <v>85.9</v>
      </c>
      <c r="AB110" s="32">
        <v>87.1</v>
      </c>
      <c r="AC110" s="32">
        <v>75.099999999999994</v>
      </c>
      <c r="AD110" s="32">
        <v>99.4</v>
      </c>
      <c r="AE110" s="32">
        <v>114.9</v>
      </c>
      <c r="AF110" s="32">
        <v>114.9</v>
      </c>
      <c r="AG110" s="32">
        <v>65.3</v>
      </c>
      <c r="AH110" s="32">
        <v>65.3</v>
      </c>
      <c r="AI110" s="32">
        <v>191.7</v>
      </c>
      <c r="AJ110" s="32">
        <v>34.299999999999997</v>
      </c>
      <c r="AK110" s="32">
        <v>435.7</v>
      </c>
      <c r="AL110" s="32">
        <v>106.8</v>
      </c>
      <c r="AM110" s="32">
        <v>51.1</v>
      </c>
      <c r="AN110" s="32">
        <v>111.8</v>
      </c>
      <c r="AO110" s="32">
        <v>109.6</v>
      </c>
      <c r="AP110" s="32">
        <v>109.6</v>
      </c>
      <c r="AQ110" s="32">
        <v>103.2</v>
      </c>
      <c r="AR110" s="32">
        <v>99.4</v>
      </c>
      <c r="AS110" s="32">
        <v>110.6</v>
      </c>
      <c r="AT110" s="32">
        <v>115.2</v>
      </c>
      <c r="AU110" s="32">
        <v>106.4</v>
      </c>
      <c r="AV110" s="32">
        <v>107.3</v>
      </c>
      <c r="AW110" s="32">
        <v>153</v>
      </c>
      <c r="AX110" s="32">
        <v>74.599999999999994</v>
      </c>
      <c r="AY110" s="32">
        <v>426.1</v>
      </c>
      <c r="AZ110" s="32">
        <v>99.5</v>
      </c>
      <c r="BA110" s="32">
        <v>58.7</v>
      </c>
      <c r="BB110" s="32">
        <v>58.7</v>
      </c>
      <c r="BC110" s="32">
        <v>103.8</v>
      </c>
      <c r="BD110" s="32">
        <v>103.8</v>
      </c>
      <c r="BE110" s="32">
        <v>109.3</v>
      </c>
      <c r="BF110" s="32">
        <v>109.3</v>
      </c>
      <c r="BG110" s="32">
        <v>93.4</v>
      </c>
      <c r="BH110" s="32">
        <v>71.099999999999994</v>
      </c>
      <c r="BI110" s="32">
        <v>116.6</v>
      </c>
      <c r="BJ110" s="32">
        <v>44.1</v>
      </c>
      <c r="BK110" s="32">
        <v>157.4</v>
      </c>
      <c r="BL110" s="32">
        <v>45.6</v>
      </c>
      <c r="BM110" s="32">
        <v>92.7</v>
      </c>
      <c r="BN110" s="32">
        <v>97.7</v>
      </c>
      <c r="BO110" s="32">
        <v>96.9</v>
      </c>
      <c r="BP110" s="32">
        <v>98.9</v>
      </c>
      <c r="BQ110" s="32">
        <v>86.1</v>
      </c>
      <c r="BR110" s="32">
        <v>64</v>
      </c>
      <c r="BS110" s="32">
        <v>215.1</v>
      </c>
      <c r="BT110" s="32">
        <v>62.8</v>
      </c>
      <c r="BU110" s="32">
        <v>91.1</v>
      </c>
      <c r="BV110" s="32">
        <v>91.1</v>
      </c>
      <c r="BW110" s="32">
        <v>146.80000000000001</v>
      </c>
      <c r="BX110" s="32">
        <v>25.9</v>
      </c>
      <c r="BY110" s="32">
        <v>108.6</v>
      </c>
      <c r="BZ110" s="32">
        <v>101.2</v>
      </c>
      <c r="CA110" s="32">
        <v>112.7</v>
      </c>
      <c r="CB110" s="32">
        <v>120.8</v>
      </c>
      <c r="CC110" s="32">
        <v>112</v>
      </c>
      <c r="CD110" s="32">
        <v>36.799999999999997</v>
      </c>
      <c r="CE110" s="32">
        <v>96.9</v>
      </c>
      <c r="CF110" s="32">
        <v>78.099999999999994</v>
      </c>
      <c r="CG110" s="32">
        <v>89.6</v>
      </c>
      <c r="CH110" s="32">
        <v>89.6</v>
      </c>
      <c r="CI110" s="32">
        <v>99.1</v>
      </c>
      <c r="CJ110" s="32">
        <v>82.4</v>
      </c>
      <c r="CK110" s="32">
        <v>93.1</v>
      </c>
      <c r="CL110" s="32">
        <v>89.4</v>
      </c>
      <c r="CM110" s="32">
        <v>93.8</v>
      </c>
      <c r="CN110" s="32">
        <v>54.1</v>
      </c>
      <c r="CO110" s="32">
        <v>104.8</v>
      </c>
      <c r="CP110" s="32">
        <v>142.9</v>
      </c>
      <c r="CQ110" s="32">
        <v>28.1</v>
      </c>
      <c r="CR110" s="32">
        <v>84.7</v>
      </c>
      <c r="CS110" s="32">
        <v>118.6</v>
      </c>
      <c r="CT110" s="32">
        <v>91.6</v>
      </c>
      <c r="CU110" s="32">
        <v>71.099999999999994</v>
      </c>
      <c r="CV110" s="32">
        <v>100.8</v>
      </c>
      <c r="CW110" s="32">
        <v>34.5</v>
      </c>
      <c r="CX110" s="32">
        <v>88</v>
      </c>
      <c r="CY110" s="32">
        <v>100.3</v>
      </c>
      <c r="CZ110" s="32">
        <v>81.8</v>
      </c>
      <c r="DA110" s="32">
        <v>71.7</v>
      </c>
      <c r="DB110" s="32">
        <v>99.6</v>
      </c>
      <c r="DC110" s="32">
        <v>6.3</v>
      </c>
      <c r="DD110" s="32">
        <v>6.3</v>
      </c>
      <c r="DE110" s="32">
        <v>69.2</v>
      </c>
      <c r="DF110" s="32">
        <v>64</v>
      </c>
      <c r="DG110" s="32">
        <v>102.7</v>
      </c>
      <c r="DH110" s="32">
        <v>94.8</v>
      </c>
      <c r="DI110" s="32">
        <v>137.4</v>
      </c>
      <c r="DJ110" s="32">
        <v>97.2</v>
      </c>
      <c r="DK110" s="32">
        <v>97.2</v>
      </c>
      <c r="DL110" s="32">
        <v>37.299999999999997</v>
      </c>
      <c r="DM110" s="32">
        <v>72.5</v>
      </c>
      <c r="DN110" s="32">
        <v>50.6</v>
      </c>
      <c r="DO110" s="32">
        <v>82.3</v>
      </c>
      <c r="DP110" s="32">
        <v>49.9</v>
      </c>
      <c r="DQ110" s="32">
        <v>72.7</v>
      </c>
      <c r="DR110" s="32">
        <v>79.3</v>
      </c>
      <c r="DS110" s="32">
        <v>72</v>
      </c>
      <c r="DT110" s="32">
        <v>69.400000000000006</v>
      </c>
      <c r="DU110" s="32">
        <v>73</v>
      </c>
      <c r="DV110" s="32">
        <v>78.3</v>
      </c>
      <c r="DW110" s="32">
        <v>67</v>
      </c>
      <c r="DX110" s="32">
        <v>61.8</v>
      </c>
      <c r="DY110" s="32">
        <v>80.5</v>
      </c>
      <c r="DZ110" s="32">
        <v>136.1</v>
      </c>
      <c r="EA110" s="32">
        <v>136.1</v>
      </c>
      <c r="EB110" s="32">
        <v>83.8</v>
      </c>
      <c r="EC110" s="32">
        <v>91</v>
      </c>
      <c r="ED110" s="32">
        <v>74.900000000000006</v>
      </c>
      <c r="EE110" s="32">
        <v>79.2</v>
      </c>
      <c r="EF110" s="32">
        <v>63.2</v>
      </c>
      <c r="EG110" s="32">
        <v>63.3</v>
      </c>
      <c r="EH110" s="32">
        <v>77.3</v>
      </c>
      <c r="EI110" s="32">
        <v>60.1</v>
      </c>
      <c r="EJ110" s="32">
        <v>57.5</v>
      </c>
      <c r="EK110" s="32">
        <v>59.5</v>
      </c>
      <c r="EL110" s="32">
        <v>73.7</v>
      </c>
      <c r="EM110" s="32">
        <v>48.1</v>
      </c>
      <c r="EN110" s="32">
        <v>64.7</v>
      </c>
      <c r="EO110" s="32">
        <v>90.2</v>
      </c>
      <c r="EP110" s="32">
        <v>93.9</v>
      </c>
      <c r="EQ110" s="32">
        <v>93.9</v>
      </c>
      <c r="ER110" s="32">
        <v>92.1</v>
      </c>
      <c r="ES110" s="32">
        <v>92.1</v>
      </c>
      <c r="ET110" s="32">
        <v>86.4</v>
      </c>
      <c r="EU110" s="32">
        <v>85.2</v>
      </c>
      <c r="EV110" s="32">
        <v>85.2</v>
      </c>
      <c r="EW110" s="32">
        <v>89.5</v>
      </c>
      <c r="EX110" s="32">
        <v>100.5</v>
      </c>
      <c r="EY110" s="32">
        <v>80.900000000000006</v>
      </c>
      <c r="EZ110" s="32">
        <v>93.4</v>
      </c>
      <c r="FA110" s="32">
        <v>110.9</v>
      </c>
      <c r="FB110" s="32">
        <v>121.2</v>
      </c>
      <c r="FC110" s="32">
        <v>90.8</v>
      </c>
      <c r="FD110" s="32">
        <v>128.4</v>
      </c>
      <c r="FE110" s="32">
        <v>169.2</v>
      </c>
      <c r="FF110" s="32">
        <v>98.5</v>
      </c>
      <c r="FG110" s="32">
        <v>82.8</v>
      </c>
      <c r="FH110" s="32">
        <v>91.6</v>
      </c>
      <c r="FI110" s="32">
        <v>75.3</v>
      </c>
      <c r="FJ110" s="32">
        <v>80.2</v>
      </c>
      <c r="FK110" s="32">
        <v>67.900000000000006</v>
      </c>
      <c r="FL110" s="32">
        <v>67.900000000000006</v>
      </c>
    </row>
    <row r="111" spans="1:168" x14ac:dyDescent="0.2">
      <c r="A111" s="34" t="s">
        <v>1091</v>
      </c>
      <c r="B111" s="32">
        <v>82</v>
      </c>
      <c r="C111" s="32">
        <v>94</v>
      </c>
      <c r="D111" s="32">
        <v>99</v>
      </c>
      <c r="E111" s="32">
        <v>99.5</v>
      </c>
      <c r="F111" s="32">
        <v>223</v>
      </c>
      <c r="G111" s="32">
        <v>2848.2</v>
      </c>
      <c r="H111" s="32">
        <v>264.7</v>
      </c>
      <c r="I111" s="32">
        <v>62.3</v>
      </c>
      <c r="J111" s="32">
        <v>88.2</v>
      </c>
      <c r="K111" s="32">
        <v>95.5</v>
      </c>
      <c r="L111" s="32">
        <v>91.6</v>
      </c>
      <c r="M111" s="32">
        <v>71.7</v>
      </c>
      <c r="N111" s="32">
        <v>83.8</v>
      </c>
      <c r="O111" s="32">
        <v>113.7</v>
      </c>
      <c r="P111" s="32">
        <v>161.6</v>
      </c>
      <c r="Q111" s="32">
        <v>107.9</v>
      </c>
      <c r="R111" s="32">
        <v>103.2</v>
      </c>
      <c r="S111" s="32">
        <v>125.6</v>
      </c>
      <c r="T111" s="32">
        <v>62.4</v>
      </c>
      <c r="U111" s="32">
        <v>59.1</v>
      </c>
      <c r="V111" s="32">
        <v>131.6</v>
      </c>
      <c r="W111" s="32">
        <v>44.2</v>
      </c>
      <c r="X111" s="32">
        <v>36.700000000000003</v>
      </c>
      <c r="Y111" s="32">
        <v>51.3</v>
      </c>
      <c r="Z111" s="32">
        <v>62.8</v>
      </c>
      <c r="AA111" s="32">
        <v>83.2</v>
      </c>
      <c r="AB111" s="32">
        <v>84</v>
      </c>
      <c r="AC111" s="32">
        <v>72.8</v>
      </c>
      <c r="AD111" s="32">
        <v>96.3</v>
      </c>
      <c r="AE111" s="32">
        <v>109</v>
      </c>
      <c r="AF111" s="32">
        <v>109</v>
      </c>
      <c r="AG111" s="32">
        <v>66</v>
      </c>
      <c r="AH111" s="32">
        <v>66</v>
      </c>
      <c r="AI111" s="32">
        <v>204.6</v>
      </c>
      <c r="AJ111" s="32">
        <v>36.6</v>
      </c>
      <c r="AK111" s="32">
        <v>410</v>
      </c>
      <c r="AL111" s="32">
        <v>103.6</v>
      </c>
      <c r="AM111" s="32">
        <v>50</v>
      </c>
      <c r="AN111" s="32">
        <v>111.3</v>
      </c>
      <c r="AO111" s="32">
        <v>114.1</v>
      </c>
      <c r="AP111" s="32">
        <v>114.1</v>
      </c>
      <c r="AQ111" s="32">
        <v>104</v>
      </c>
      <c r="AR111" s="32">
        <v>98.5</v>
      </c>
      <c r="AS111" s="32">
        <v>114.1</v>
      </c>
      <c r="AT111" s="32">
        <v>119.8</v>
      </c>
      <c r="AU111" s="32">
        <v>108.6</v>
      </c>
      <c r="AV111" s="32">
        <v>103.8</v>
      </c>
      <c r="AW111" s="32">
        <v>149.80000000000001</v>
      </c>
      <c r="AX111" s="32">
        <v>76.5</v>
      </c>
      <c r="AY111" s="32">
        <v>408.9</v>
      </c>
      <c r="AZ111" s="32">
        <v>95.8</v>
      </c>
      <c r="BA111" s="32">
        <v>57</v>
      </c>
      <c r="BB111" s="32">
        <v>57</v>
      </c>
      <c r="BC111" s="32">
        <v>102</v>
      </c>
      <c r="BD111" s="32">
        <v>102</v>
      </c>
      <c r="BE111" s="32">
        <v>110.2</v>
      </c>
      <c r="BF111" s="32">
        <v>110.2</v>
      </c>
      <c r="BG111" s="32">
        <v>91.1</v>
      </c>
      <c r="BH111" s="32">
        <v>68.900000000000006</v>
      </c>
      <c r="BI111" s="32">
        <v>114.2</v>
      </c>
      <c r="BJ111" s="32">
        <v>43.8</v>
      </c>
      <c r="BK111" s="32">
        <v>154.5</v>
      </c>
      <c r="BL111" s="32">
        <v>42.5</v>
      </c>
      <c r="BM111" s="32">
        <v>89.9</v>
      </c>
      <c r="BN111" s="32">
        <v>97.1</v>
      </c>
      <c r="BO111" s="32">
        <v>96.1</v>
      </c>
      <c r="BP111" s="32">
        <v>98.4</v>
      </c>
      <c r="BQ111" s="32">
        <v>80.3</v>
      </c>
      <c r="BR111" s="32">
        <v>48</v>
      </c>
      <c r="BS111" s="32">
        <v>185.6</v>
      </c>
      <c r="BT111" s="32">
        <v>62.3</v>
      </c>
      <c r="BU111" s="32">
        <v>90.5</v>
      </c>
      <c r="BV111" s="32">
        <v>90.5</v>
      </c>
      <c r="BW111" s="32">
        <v>147</v>
      </c>
      <c r="BX111" s="32">
        <v>28.2</v>
      </c>
      <c r="BY111" s="32">
        <v>109</v>
      </c>
      <c r="BZ111" s="32">
        <v>99.9</v>
      </c>
      <c r="CA111" s="32">
        <v>113.8</v>
      </c>
      <c r="CB111" s="32">
        <v>123.7</v>
      </c>
      <c r="CC111" s="32">
        <v>111.3</v>
      </c>
      <c r="CD111" s="32">
        <v>38.1</v>
      </c>
      <c r="CE111" s="32">
        <v>96.7</v>
      </c>
      <c r="CF111" s="32">
        <v>78</v>
      </c>
      <c r="CG111" s="32">
        <v>90.3</v>
      </c>
      <c r="CH111" s="32">
        <v>90.3</v>
      </c>
      <c r="CI111" s="32">
        <v>99.2</v>
      </c>
      <c r="CJ111" s="32">
        <v>83.7</v>
      </c>
      <c r="CK111" s="32">
        <v>93.3</v>
      </c>
      <c r="CL111" s="32">
        <v>90.6</v>
      </c>
      <c r="CM111" s="32">
        <v>93.3</v>
      </c>
      <c r="CN111" s="32">
        <v>55.7</v>
      </c>
      <c r="CO111" s="32">
        <v>103.6</v>
      </c>
      <c r="CP111" s="32">
        <v>141.4</v>
      </c>
      <c r="CQ111" s="32">
        <v>30.2</v>
      </c>
      <c r="CR111" s="32">
        <v>86</v>
      </c>
      <c r="CS111" s="32">
        <v>122.9</v>
      </c>
      <c r="CT111" s="32">
        <v>91.6</v>
      </c>
      <c r="CU111" s="32">
        <v>71.8</v>
      </c>
      <c r="CV111" s="32">
        <v>100.5</v>
      </c>
      <c r="CW111" s="32">
        <v>34.200000000000003</v>
      </c>
      <c r="CX111" s="32">
        <v>84</v>
      </c>
      <c r="CY111" s="32">
        <v>99.7</v>
      </c>
      <c r="CZ111" s="32">
        <v>75.5</v>
      </c>
      <c r="DA111" s="32">
        <v>62.9</v>
      </c>
      <c r="DB111" s="32">
        <v>100.2</v>
      </c>
      <c r="DC111" s="32">
        <v>6.3</v>
      </c>
      <c r="DD111" s="32">
        <v>6.3</v>
      </c>
      <c r="DE111" s="32">
        <v>70.3</v>
      </c>
      <c r="DF111" s="32">
        <v>64.7</v>
      </c>
      <c r="DG111" s="32">
        <v>106.3</v>
      </c>
      <c r="DH111" s="32">
        <v>90.8</v>
      </c>
      <c r="DI111" s="32">
        <v>139.4</v>
      </c>
      <c r="DJ111" s="32">
        <v>89.8</v>
      </c>
      <c r="DK111" s="32">
        <v>89.8</v>
      </c>
      <c r="DL111" s="32">
        <v>28.8</v>
      </c>
      <c r="DM111" s="32">
        <v>72.599999999999994</v>
      </c>
      <c r="DN111" s="32">
        <v>51</v>
      </c>
      <c r="DO111" s="32">
        <v>82.3</v>
      </c>
      <c r="DP111" s="32">
        <v>49.9</v>
      </c>
      <c r="DQ111" s="32">
        <v>73.900000000000006</v>
      </c>
      <c r="DR111" s="32">
        <v>81.099999999999994</v>
      </c>
      <c r="DS111" s="32">
        <v>73.599999999999994</v>
      </c>
      <c r="DT111" s="32">
        <v>72.2</v>
      </c>
      <c r="DU111" s="32">
        <v>74.900000000000006</v>
      </c>
      <c r="DV111" s="32">
        <v>80.2</v>
      </c>
      <c r="DW111" s="32">
        <v>68.7</v>
      </c>
      <c r="DX111" s="32">
        <v>66.599999999999994</v>
      </c>
      <c r="DY111" s="32">
        <v>78.5</v>
      </c>
      <c r="DZ111" s="32">
        <v>140.30000000000001</v>
      </c>
      <c r="EA111" s="32">
        <v>140.30000000000001</v>
      </c>
      <c r="EB111" s="32">
        <v>85.4</v>
      </c>
      <c r="EC111" s="32">
        <v>90.7</v>
      </c>
      <c r="ED111" s="32">
        <v>78.900000000000006</v>
      </c>
      <c r="EE111" s="32">
        <v>84.6</v>
      </c>
      <c r="EF111" s="32">
        <v>63.7</v>
      </c>
      <c r="EG111" s="32">
        <v>63.8</v>
      </c>
      <c r="EH111" s="32">
        <v>75.400000000000006</v>
      </c>
      <c r="EI111" s="32">
        <v>59.4</v>
      </c>
      <c r="EJ111" s="32">
        <v>62.8</v>
      </c>
      <c r="EK111" s="32">
        <v>61.4</v>
      </c>
      <c r="EL111" s="32">
        <v>70.5</v>
      </c>
      <c r="EM111" s="32">
        <v>48.7</v>
      </c>
      <c r="EN111" s="32">
        <v>68.5</v>
      </c>
      <c r="EO111" s="32">
        <v>90.1</v>
      </c>
      <c r="EP111" s="32">
        <v>94.3</v>
      </c>
      <c r="EQ111" s="32">
        <v>94.3</v>
      </c>
      <c r="ER111" s="32">
        <v>91.2</v>
      </c>
      <c r="ES111" s="32">
        <v>91.2</v>
      </c>
      <c r="ET111" s="32">
        <v>86.5</v>
      </c>
      <c r="EU111" s="32">
        <v>85.2</v>
      </c>
      <c r="EV111" s="32">
        <v>85.2</v>
      </c>
      <c r="EW111" s="32">
        <v>89.7</v>
      </c>
      <c r="EX111" s="32">
        <v>100.8</v>
      </c>
      <c r="EY111" s="32">
        <v>81.099999999999994</v>
      </c>
      <c r="EZ111" s="32">
        <v>92.5</v>
      </c>
      <c r="FA111" s="32">
        <v>111.8</v>
      </c>
      <c r="FB111" s="32">
        <v>122</v>
      </c>
      <c r="FC111" s="32">
        <v>92.9</v>
      </c>
      <c r="FD111" s="32">
        <v>130</v>
      </c>
      <c r="FE111" s="32">
        <v>167.1</v>
      </c>
      <c r="FF111" s="32">
        <v>99.4</v>
      </c>
      <c r="FG111" s="32">
        <v>80.2</v>
      </c>
      <c r="FH111" s="32">
        <v>86.3</v>
      </c>
      <c r="FI111" s="32">
        <v>82.2</v>
      </c>
      <c r="FJ111" s="32">
        <v>77.5</v>
      </c>
      <c r="FK111" s="32">
        <v>68.900000000000006</v>
      </c>
      <c r="FL111" s="32">
        <v>68.900000000000006</v>
      </c>
    </row>
    <row r="112" spans="1:168" x14ac:dyDescent="0.2">
      <c r="A112" s="34" t="s">
        <v>1092</v>
      </c>
      <c r="B112" s="32">
        <v>82.9</v>
      </c>
      <c r="C112" s="32">
        <v>94.1</v>
      </c>
      <c r="D112" s="32">
        <v>100</v>
      </c>
      <c r="E112" s="32">
        <v>100.8</v>
      </c>
      <c r="F112" s="32">
        <v>220.6</v>
      </c>
      <c r="G112" s="32">
        <v>2792.4</v>
      </c>
      <c r="H112" s="32">
        <v>259.10000000000002</v>
      </c>
      <c r="I112" s="32">
        <v>66.5</v>
      </c>
      <c r="J112" s="32">
        <v>89.3</v>
      </c>
      <c r="K112" s="32">
        <v>96.1</v>
      </c>
      <c r="L112" s="32">
        <v>91.7</v>
      </c>
      <c r="M112" s="32">
        <v>73.5</v>
      </c>
      <c r="N112" s="32">
        <v>81.8</v>
      </c>
      <c r="O112" s="32">
        <v>105.4</v>
      </c>
      <c r="P112" s="32">
        <v>164.6</v>
      </c>
      <c r="Q112" s="32">
        <v>109</v>
      </c>
      <c r="R112" s="32">
        <v>99.9</v>
      </c>
      <c r="S112" s="32">
        <v>127.2</v>
      </c>
      <c r="T112" s="32">
        <v>64.400000000000006</v>
      </c>
      <c r="U112" s="32">
        <v>61</v>
      </c>
      <c r="V112" s="32">
        <v>133.9</v>
      </c>
      <c r="W112" s="32">
        <v>44.9</v>
      </c>
      <c r="X112" s="32">
        <v>37</v>
      </c>
      <c r="Y112" s="32">
        <v>52.1</v>
      </c>
      <c r="Z112" s="32">
        <v>68.7</v>
      </c>
      <c r="AA112" s="32">
        <v>84.2</v>
      </c>
      <c r="AB112" s="32">
        <v>83.6</v>
      </c>
      <c r="AC112" s="32">
        <v>71.8</v>
      </c>
      <c r="AD112" s="32">
        <v>99.6</v>
      </c>
      <c r="AE112" s="32">
        <v>108.2</v>
      </c>
      <c r="AF112" s="32">
        <v>108.2</v>
      </c>
      <c r="AG112" s="32">
        <v>67.2</v>
      </c>
      <c r="AH112" s="32">
        <v>67.2</v>
      </c>
      <c r="AI112" s="32">
        <v>208.2</v>
      </c>
      <c r="AJ112" s="32">
        <v>36.9</v>
      </c>
      <c r="AK112" s="32">
        <v>416.6</v>
      </c>
      <c r="AL112" s="32">
        <v>106.3</v>
      </c>
      <c r="AM112" s="32">
        <v>50.4</v>
      </c>
      <c r="AN112" s="32">
        <v>115.6</v>
      </c>
      <c r="AO112" s="32">
        <v>113.6</v>
      </c>
      <c r="AP112" s="32">
        <v>113.6</v>
      </c>
      <c r="AQ112" s="32">
        <v>103.8</v>
      </c>
      <c r="AR112" s="32">
        <v>98</v>
      </c>
      <c r="AS112" s="32">
        <v>114.3</v>
      </c>
      <c r="AT112" s="32">
        <v>122.7</v>
      </c>
      <c r="AU112" s="32">
        <v>106.3</v>
      </c>
      <c r="AV112" s="32">
        <v>104.6</v>
      </c>
      <c r="AW112" s="32">
        <v>153.30000000000001</v>
      </c>
      <c r="AX112" s="32">
        <v>85.3</v>
      </c>
      <c r="AY112" s="32">
        <v>396.4</v>
      </c>
      <c r="AZ112" s="32">
        <v>95.9</v>
      </c>
      <c r="BA112" s="32">
        <v>57.7</v>
      </c>
      <c r="BB112" s="32">
        <v>57.7</v>
      </c>
      <c r="BC112" s="32">
        <v>103.9</v>
      </c>
      <c r="BD112" s="32">
        <v>103.9</v>
      </c>
      <c r="BE112" s="32">
        <v>115.2</v>
      </c>
      <c r="BF112" s="32">
        <v>115.2</v>
      </c>
      <c r="BG112" s="32">
        <v>93.1</v>
      </c>
      <c r="BH112" s="32">
        <v>71.8</v>
      </c>
      <c r="BI112" s="32">
        <v>114.8</v>
      </c>
      <c r="BJ112" s="32">
        <v>44.1</v>
      </c>
      <c r="BK112" s="32">
        <v>155.1</v>
      </c>
      <c r="BL112" s="32">
        <v>43.6</v>
      </c>
      <c r="BM112" s="32">
        <v>91.2</v>
      </c>
      <c r="BN112" s="32">
        <v>98.6</v>
      </c>
      <c r="BO112" s="32">
        <v>95.7</v>
      </c>
      <c r="BP112" s="32">
        <v>101.7</v>
      </c>
      <c r="BQ112" s="32">
        <v>81.3</v>
      </c>
      <c r="BR112" s="32">
        <v>53.7</v>
      </c>
      <c r="BS112" s="32">
        <v>177.9</v>
      </c>
      <c r="BT112" s="32">
        <v>64</v>
      </c>
      <c r="BU112" s="32">
        <v>95.1</v>
      </c>
      <c r="BV112" s="32">
        <v>95.1</v>
      </c>
      <c r="BW112" s="32">
        <v>145.9</v>
      </c>
      <c r="BX112" s="32">
        <v>35.299999999999997</v>
      </c>
      <c r="BY112" s="32">
        <v>110.4</v>
      </c>
      <c r="BZ112" s="32">
        <v>100.6</v>
      </c>
      <c r="CA112" s="32">
        <v>115.6</v>
      </c>
      <c r="CB112" s="32">
        <v>126.5</v>
      </c>
      <c r="CC112" s="32">
        <v>112.4</v>
      </c>
      <c r="CD112" s="32">
        <v>38.299999999999997</v>
      </c>
      <c r="CE112" s="32">
        <v>97</v>
      </c>
      <c r="CF112" s="32">
        <v>78.8</v>
      </c>
      <c r="CG112" s="32">
        <v>91.4</v>
      </c>
      <c r="CH112" s="32">
        <v>91.6</v>
      </c>
      <c r="CI112" s="32">
        <v>100</v>
      </c>
      <c r="CJ112" s="32">
        <v>85.8</v>
      </c>
      <c r="CK112" s="32">
        <v>94.1</v>
      </c>
      <c r="CL112" s="32">
        <v>90.9</v>
      </c>
      <c r="CM112" s="32">
        <v>93.9</v>
      </c>
      <c r="CN112" s="32">
        <v>56.8</v>
      </c>
      <c r="CO112" s="32">
        <v>104.1</v>
      </c>
      <c r="CP112" s="32">
        <v>140.5</v>
      </c>
      <c r="CQ112" s="32">
        <v>29.2</v>
      </c>
      <c r="CR112" s="32">
        <v>85.6</v>
      </c>
      <c r="CS112" s="32">
        <v>126.4</v>
      </c>
      <c r="CT112" s="32">
        <v>93.3</v>
      </c>
      <c r="CU112" s="32">
        <v>72.7</v>
      </c>
      <c r="CV112" s="32">
        <v>102.5</v>
      </c>
      <c r="CW112" s="32">
        <v>34.9</v>
      </c>
      <c r="CX112" s="32">
        <v>88.1</v>
      </c>
      <c r="CY112" s="32">
        <v>102.8</v>
      </c>
      <c r="CZ112" s="32">
        <v>80.3</v>
      </c>
      <c r="DA112" s="32">
        <v>69.7</v>
      </c>
      <c r="DB112" s="32">
        <v>100.1</v>
      </c>
      <c r="DC112" s="32">
        <v>6.3</v>
      </c>
      <c r="DD112" s="32">
        <v>6.3</v>
      </c>
      <c r="DE112" s="32">
        <v>70.8</v>
      </c>
      <c r="DF112" s="32">
        <v>65.2</v>
      </c>
      <c r="DG112" s="32">
        <v>107.6</v>
      </c>
      <c r="DH112" s="32">
        <v>92.4</v>
      </c>
      <c r="DI112" s="32">
        <v>142.19999999999999</v>
      </c>
      <c r="DJ112" s="32">
        <v>83.7</v>
      </c>
      <c r="DK112" s="32">
        <v>83.7</v>
      </c>
      <c r="DL112" s="32">
        <v>37</v>
      </c>
      <c r="DM112" s="32">
        <v>72.599999999999994</v>
      </c>
      <c r="DN112" s="32">
        <v>50.9</v>
      </c>
      <c r="DO112" s="32">
        <v>82.3</v>
      </c>
      <c r="DP112" s="32">
        <v>49.1</v>
      </c>
      <c r="DQ112" s="32">
        <v>75.599999999999994</v>
      </c>
      <c r="DR112" s="32">
        <v>82.7</v>
      </c>
      <c r="DS112" s="32">
        <v>76</v>
      </c>
      <c r="DT112" s="32">
        <v>74.400000000000006</v>
      </c>
      <c r="DU112" s="32">
        <v>76</v>
      </c>
      <c r="DV112" s="32">
        <v>80.3</v>
      </c>
      <c r="DW112" s="32">
        <v>71</v>
      </c>
      <c r="DX112" s="32">
        <v>71.099999999999994</v>
      </c>
      <c r="DY112" s="32">
        <v>81.5</v>
      </c>
      <c r="DZ112" s="32">
        <v>125.8</v>
      </c>
      <c r="EA112" s="32">
        <v>125.8</v>
      </c>
      <c r="EB112" s="32">
        <v>89.7</v>
      </c>
      <c r="EC112" s="32">
        <v>95.2</v>
      </c>
      <c r="ED112" s="32">
        <v>83.1</v>
      </c>
      <c r="EE112" s="32">
        <v>90.2</v>
      </c>
      <c r="EF112" s="32">
        <v>64.2</v>
      </c>
      <c r="EG112" s="32">
        <v>65.5</v>
      </c>
      <c r="EH112" s="32">
        <v>74.2</v>
      </c>
      <c r="EI112" s="32">
        <v>62.3</v>
      </c>
      <c r="EJ112" s="32">
        <v>64.400000000000006</v>
      </c>
      <c r="EK112" s="32">
        <v>63.9</v>
      </c>
      <c r="EL112" s="32">
        <v>67.900000000000006</v>
      </c>
      <c r="EM112" s="32">
        <v>48.9</v>
      </c>
      <c r="EN112" s="32">
        <v>73.900000000000006</v>
      </c>
      <c r="EO112" s="32">
        <v>90.4</v>
      </c>
      <c r="EP112" s="32">
        <v>94.7</v>
      </c>
      <c r="EQ112" s="32">
        <v>94.7</v>
      </c>
      <c r="ER112" s="32">
        <v>91.7</v>
      </c>
      <c r="ES112" s="32">
        <v>91.7</v>
      </c>
      <c r="ET112" s="32">
        <v>86.5</v>
      </c>
      <c r="EU112" s="32">
        <v>85</v>
      </c>
      <c r="EV112" s="32">
        <v>85</v>
      </c>
      <c r="EW112" s="32">
        <v>90.3</v>
      </c>
      <c r="EX112" s="32">
        <v>101.5</v>
      </c>
      <c r="EY112" s="32">
        <v>81.5</v>
      </c>
      <c r="EZ112" s="32">
        <v>92.8</v>
      </c>
      <c r="FA112" s="32">
        <v>109.5</v>
      </c>
      <c r="FB112" s="32">
        <v>117.7</v>
      </c>
      <c r="FC112" s="32">
        <v>87.5</v>
      </c>
      <c r="FD112" s="32">
        <v>130</v>
      </c>
      <c r="FE112" s="32">
        <v>162.30000000000001</v>
      </c>
      <c r="FF112" s="32">
        <v>99.7</v>
      </c>
      <c r="FG112" s="32">
        <v>80.8</v>
      </c>
      <c r="FH112" s="32">
        <v>83.7</v>
      </c>
      <c r="FI112" s="32">
        <v>83</v>
      </c>
      <c r="FJ112" s="32">
        <v>79.3</v>
      </c>
      <c r="FK112" s="32">
        <v>85</v>
      </c>
      <c r="FL112" s="32">
        <v>85</v>
      </c>
    </row>
    <row r="113" spans="1:168" x14ac:dyDescent="0.2">
      <c r="A113" s="34" t="s">
        <v>1093</v>
      </c>
      <c r="B113" s="32">
        <v>83.6</v>
      </c>
      <c r="C113" s="32">
        <v>94.3</v>
      </c>
      <c r="D113" s="32">
        <v>102.5</v>
      </c>
      <c r="E113" s="32">
        <v>104.2</v>
      </c>
      <c r="F113" s="32">
        <v>226.9</v>
      </c>
      <c r="G113" s="32">
        <v>3042</v>
      </c>
      <c r="H113" s="32">
        <v>262.2</v>
      </c>
      <c r="I113" s="32">
        <v>75.599999999999994</v>
      </c>
      <c r="J113" s="32">
        <v>92.9</v>
      </c>
      <c r="K113" s="32">
        <v>98.4</v>
      </c>
      <c r="L113" s="32">
        <v>94</v>
      </c>
      <c r="M113" s="32">
        <v>73.400000000000006</v>
      </c>
      <c r="N113" s="32">
        <v>83.7</v>
      </c>
      <c r="O113" s="32">
        <v>99.2</v>
      </c>
      <c r="P113" s="32">
        <v>173</v>
      </c>
      <c r="Q113" s="32">
        <v>113.7</v>
      </c>
      <c r="R113" s="32">
        <v>99</v>
      </c>
      <c r="S113" s="32">
        <v>133.19999999999999</v>
      </c>
      <c r="T113" s="32">
        <v>65.7</v>
      </c>
      <c r="U113" s="32">
        <v>61.5</v>
      </c>
      <c r="V113" s="32">
        <v>137.1</v>
      </c>
      <c r="W113" s="32">
        <v>47.6</v>
      </c>
      <c r="X113" s="32">
        <v>39.200000000000003</v>
      </c>
      <c r="Y113" s="32">
        <v>54.9</v>
      </c>
      <c r="Z113" s="32">
        <v>74.400000000000006</v>
      </c>
      <c r="AA113" s="32">
        <v>84</v>
      </c>
      <c r="AB113" s="32">
        <v>85.9</v>
      </c>
      <c r="AC113" s="32">
        <v>72.7</v>
      </c>
      <c r="AD113" s="32">
        <v>97.2</v>
      </c>
      <c r="AE113" s="32">
        <v>112.9</v>
      </c>
      <c r="AF113" s="32">
        <v>112.9</v>
      </c>
      <c r="AG113" s="32">
        <v>67.7</v>
      </c>
      <c r="AH113" s="32">
        <v>67.7</v>
      </c>
      <c r="AI113" s="32">
        <v>225.4</v>
      </c>
      <c r="AJ113" s="32">
        <v>35.9</v>
      </c>
      <c r="AK113" s="32">
        <v>414.7</v>
      </c>
      <c r="AL113" s="32">
        <v>102.8</v>
      </c>
      <c r="AM113" s="32">
        <v>50.9</v>
      </c>
      <c r="AN113" s="32">
        <v>122.7</v>
      </c>
      <c r="AO113" s="32">
        <v>165</v>
      </c>
      <c r="AP113" s="32">
        <v>165</v>
      </c>
      <c r="AQ113" s="32">
        <v>103.7</v>
      </c>
      <c r="AR113" s="32">
        <v>99.8</v>
      </c>
      <c r="AS113" s="32">
        <v>111.3</v>
      </c>
      <c r="AT113" s="32">
        <v>123.2</v>
      </c>
      <c r="AU113" s="32">
        <v>100.1</v>
      </c>
      <c r="AV113" s="32">
        <v>104.9</v>
      </c>
      <c r="AW113" s="32">
        <v>149.6</v>
      </c>
      <c r="AX113" s="32">
        <v>84.3</v>
      </c>
      <c r="AY113" s="32">
        <v>382.5</v>
      </c>
      <c r="AZ113" s="32">
        <v>97.2</v>
      </c>
      <c r="BA113" s="32">
        <v>57.8</v>
      </c>
      <c r="BB113" s="32">
        <v>57.8</v>
      </c>
      <c r="BC113" s="32">
        <v>107.5</v>
      </c>
      <c r="BD113" s="32">
        <v>107.5</v>
      </c>
      <c r="BE113" s="32">
        <v>110.8</v>
      </c>
      <c r="BF113" s="32">
        <v>110.8</v>
      </c>
      <c r="BG113" s="32">
        <v>93.2</v>
      </c>
      <c r="BH113" s="32">
        <v>71</v>
      </c>
      <c r="BI113" s="32">
        <v>116.2</v>
      </c>
      <c r="BJ113" s="32">
        <v>44.2</v>
      </c>
      <c r="BK113" s="32">
        <v>157.4</v>
      </c>
      <c r="BL113" s="32">
        <v>43.3</v>
      </c>
      <c r="BM113" s="32">
        <v>94.5</v>
      </c>
      <c r="BN113" s="32">
        <v>102.1</v>
      </c>
      <c r="BO113" s="32">
        <v>95.4</v>
      </c>
      <c r="BP113" s="32">
        <v>108.8</v>
      </c>
      <c r="BQ113" s="32">
        <v>84.4</v>
      </c>
      <c r="BR113" s="32">
        <v>57.9</v>
      </c>
      <c r="BS113" s="32">
        <v>189.1</v>
      </c>
      <c r="BT113" s="32">
        <v>65.400000000000006</v>
      </c>
      <c r="BU113" s="32">
        <v>95.6</v>
      </c>
      <c r="BV113" s="32">
        <v>95.6</v>
      </c>
      <c r="BW113" s="32">
        <v>144</v>
      </c>
      <c r="BX113" s="32">
        <v>36.9</v>
      </c>
      <c r="BY113" s="32">
        <v>111.2</v>
      </c>
      <c r="BZ113" s="32">
        <v>101.4</v>
      </c>
      <c r="CA113" s="32">
        <v>116.4</v>
      </c>
      <c r="CB113" s="32">
        <v>125.5</v>
      </c>
      <c r="CC113" s="32">
        <v>115</v>
      </c>
      <c r="CD113" s="32">
        <v>37.700000000000003</v>
      </c>
      <c r="CE113" s="32">
        <v>97.4</v>
      </c>
      <c r="CF113" s="32">
        <v>79.099999999999994</v>
      </c>
      <c r="CG113" s="32">
        <v>91.9</v>
      </c>
      <c r="CH113" s="32">
        <v>92.3</v>
      </c>
      <c r="CI113" s="32">
        <v>105.3</v>
      </c>
      <c r="CJ113" s="32">
        <v>86.5</v>
      </c>
      <c r="CK113" s="32">
        <v>93.5</v>
      </c>
      <c r="CL113" s="32">
        <v>92.1</v>
      </c>
      <c r="CM113" s="32">
        <v>93.1</v>
      </c>
      <c r="CN113" s="32">
        <v>57.3</v>
      </c>
      <c r="CO113" s="32">
        <v>102.9</v>
      </c>
      <c r="CP113" s="32">
        <v>139.6</v>
      </c>
      <c r="CQ113" s="32">
        <v>29.2</v>
      </c>
      <c r="CR113" s="32">
        <v>89.8</v>
      </c>
      <c r="CS113" s="32">
        <v>130</v>
      </c>
      <c r="CT113" s="32">
        <v>92.3</v>
      </c>
      <c r="CU113" s="32">
        <v>72.3</v>
      </c>
      <c r="CV113" s="32">
        <v>101.2</v>
      </c>
      <c r="CW113" s="32">
        <v>35.6</v>
      </c>
      <c r="CX113" s="32">
        <v>87.5</v>
      </c>
      <c r="CY113" s="32">
        <v>100.1</v>
      </c>
      <c r="CZ113" s="32">
        <v>81</v>
      </c>
      <c r="DA113" s="32">
        <v>70.2</v>
      </c>
      <c r="DB113" s="32">
        <v>101.1</v>
      </c>
      <c r="DC113" s="32">
        <v>6.7</v>
      </c>
      <c r="DD113" s="32">
        <v>6.7</v>
      </c>
      <c r="DE113" s="32">
        <v>71.599999999999994</v>
      </c>
      <c r="DF113" s="32">
        <v>66.5</v>
      </c>
      <c r="DG113" s="32">
        <v>104.2</v>
      </c>
      <c r="DH113" s="32">
        <v>91.9</v>
      </c>
      <c r="DI113" s="32">
        <v>144.19999999999999</v>
      </c>
      <c r="DJ113" s="32">
        <v>77.2</v>
      </c>
      <c r="DK113" s="32">
        <v>77.2</v>
      </c>
      <c r="DL113" s="32">
        <v>38.799999999999997</v>
      </c>
      <c r="DM113" s="32">
        <v>73</v>
      </c>
      <c r="DN113" s="32">
        <v>52</v>
      </c>
      <c r="DO113" s="32">
        <v>82.5</v>
      </c>
      <c r="DP113" s="32">
        <v>48.1</v>
      </c>
      <c r="DQ113" s="32">
        <v>75.599999999999994</v>
      </c>
      <c r="DR113" s="32">
        <v>82.9</v>
      </c>
      <c r="DS113" s="32">
        <v>76.7</v>
      </c>
      <c r="DT113" s="32">
        <v>75.099999999999994</v>
      </c>
      <c r="DU113" s="32">
        <v>77.099999999999994</v>
      </c>
      <c r="DV113" s="32">
        <v>83.8</v>
      </c>
      <c r="DW113" s="32">
        <v>69.3</v>
      </c>
      <c r="DX113" s="32">
        <v>71.099999999999994</v>
      </c>
      <c r="DY113" s="32">
        <v>82.4</v>
      </c>
      <c r="DZ113" s="32">
        <v>128.4</v>
      </c>
      <c r="EA113" s="32">
        <v>128.4</v>
      </c>
      <c r="EB113" s="32">
        <v>87.3</v>
      </c>
      <c r="EC113" s="32">
        <v>91.6</v>
      </c>
      <c r="ED113" s="32">
        <v>82.1</v>
      </c>
      <c r="EE113" s="32">
        <v>88.8</v>
      </c>
      <c r="EF113" s="32">
        <v>64.3</v>
      </c>
      <c r="EG113" s="32">
        <v>65.400000000000006</v>
      </c>
      <c r="EH113" s="32">
        <v>75.7</v>
      </c>
      <c r="EI113" s="32">
        <v>61.7</v>
      </c>
      <c r="EJ113" s="32">
        <v>66.8</v>
      </c>
      <c r="EK113" s="32">
        <v>62.7</v>
      </c>
      <c r="EL113" s="32">
        <v>67.7</v>
      </c>
      <c r="EM113" s="32">
        <v>47.4</v>
      </c>
      <c r="EN113" s="32">
        <v>72.7</v>
      </c>
      <c r="EO113" s="32">
        <v>90.5</v>
      </c>
      <c r="EP113" s="32">
        <v>94.8</v>
      </c>
      <c r="EQ113" s="32">
        <v>94.8</v>
      </c>
      <c r="ER113" s="32">
        <v>91.4</v>
      </c>
      <c r="ES113" s="32">
        <v>91.4</v>
      </c>
      <c r="ET113" s="32">
        <v>86.9</v>
      </c>
      <c r="EU113" s="32">
        <v>85.3</v>
      </c>
      <c r="EV113" s="32">
        <v>85.3</v>
      </c>
      <c r="EW113" s="32">
        <v>90.9</v>
      </c>
      <c r="EX113" s="32">
        <v>102.2</v>
      </c>
      <c r="EY113" s="32">
        <v>82</v>
      </c>
      <c r="EZ113" s="32">
        <v>93.9</v>
      </c>
      <c r="FA113" s="32">
        <v>110.9</v>
      </c>
      <c r="FB113" s="32">
        <v>119.5</v>
      </c>
      <c r="FC113" s="32">
        <v>95</v>
      </c>
      <c r="FD113" s="32">
        <v>129.4</v>
      </c>
      <c r="FE113" s="32">
        <v>155.19999999999999</v>
      </c>
      <c r="FF113" s="32">
        <v>100.4</v>
      </c>
      <c r="FG113" s="32">
        <v>81.8</v>
      </c>
      <c r="FH113" s="32">
        <v>86.8</v>
      </c>
      <c r="FI113" s="32">
        <v>81.099999999999994</v>
      </c>
      <c r="FJ113" s="32">
        <v>79.7</v>
      </c>
      <c r="FK113" s="32">
        <v>84.6</v>
      </c>
      <c r="FL113" s="32">
        <v>84.6</v>
      </c>
    </row>
    <row r="114" spans="1:168" x14ac:dyDescent="0.2">
      <c r="A114" s="34" t="s">
        <v>1094</v>
      </c>
      <c r="B114" s="32">
        <v>83.3</v>
      </c>
      <c r="C114" s="32">
        <v>94.5</v>
      </c>
      <c r="D114" s="32">
        <v>101.7</v>
      </c>
      <c r="E114" s="32">
        <v>102.8</v>
      </c>
      <c r="F114" s="32">
        <v>235.7</v>
      </c>
      <c r="G114" s="32">
        <v>3648.7</v>
      </c>
      <c r="H114" s="32">
        <v>273.10000000000002</v>
      </c>
      <c r="I114" s="32">
        <v>77.2</v>
      </c>
      <c r="J114" s="32">
        <v>90.9</v>
      </c>
      <c r="K114" s="32">
        <v>96.7</v>
      </c>
      <c r="L114" s="32">
        <v>92.1</v>
      </c>
      <c r="M114" s="32">
        <v>75.7</v>
      </c>
      <c r="N114" s="32">
        <v>84.6</v>
      </c>
      <c r="O114" s="32">
        <v>90.3</v>
      </c>
      <c r="P114" s="32">
        <v>181.8</v>
      </c>
      <c r="Q114" s="32">
        <v>114.5</v>
      </c>
      <c r="R114" s="32">
        <v>93.9</v>
      </c>
      <c r="S114" s="32">
        <v>125.8</v>
      </c>
      <c r="T114" s="32">
        <v>66.8</v>
      </c>
      <c r="U114" s="32">
        <v>62.5</v>
      </c>
      <c r="V114" s="32">
        <v>136.30000000000001</v>
      </c>
      <c r="W114" s="32">
        <v>46.3</v>
      </c>
      <c r="X114" s="32">
        <v>38.200000000000003</v>
      </c>
      <c r="Y114" s="32">
        <v>53.7</v>
      </c>
      <c r="Z114" s="32">
        <v>70.8</v>
      </c>
      <c r="AA114" s="32">
        <v>84.4</v>
      </c>
      <c r="AB114" s="32">
        <v>75.599999999999994</v>
      </c>
      <c r="AC114" s="32">
        <v>66.599999999999994</v>
      </c>
      <c r="AD114" s="32">
        <v>107.9</v>
      </c>
      <c r="AE114" s="32">
        <v>121.3</v>
      </c>
      <c r="AF114" s="32">
        <v>121.3</v>
      </c>
      <c r="AG114" s="32">
        <v>65</v>
      </c>
      <c r="AH114" s="32">
        <v>65</v>
      </c>
      <c r="AI114" s="32">
        <v>210.3</v>
      </c>
      <c r="AJ114" s="32">
        <v>36</v>
      </c>
      <c r="AK114" s="32">
        <v>386.4</v>
      </c>
      <c r="AL114" s="32">
        <v>102.2</v>
      </c>
      <c r="AM114" s="32">
        <v>49.6</v>
      </c>
      <c r="AN114" s="32">
        <v>105.7</v>
      </c>
      <c r="AO114" s="32">
        <v>118</v>
      </c>
      <c r="AP114" s="32">
        <v>118</v>
      </c>
      <c r="AQ114" s="32">
        <v>107.7</v>
      </c>
      <c r="AR114" s="32">
        <v>100.2</v>
      </c>
      <c r="AS114" s="32">
        <v>120.9</v>
      </c>
      <c r="AT114" s="32">
        <v>125.9</v>
      </c>
      <c r="AU114" s="32">
        <v>116</v>
      </c>
      <c r="AV114" s="32">
        <v>105.9</v>
      </c>
      <c r="AW114" s="32">
        <v>150.9</v>
      </c>
      <c r="AX114" s="32">
        <v>83.8</v>
      </c>
      <c r="AY114" s="32">
        <v>388.5</v>
      </c>
      <c r="AZ114" s="32">
        <v>98.1</v>
      </c>
      <c r="BA114" s="32">
        <v>64.3</v>
      </c>
      <c r="BB114" s="32">
        <v>64.3</v>
      </c>
      <c r="BC114" s="32">
        <v>108</v>
      </c>
      <c r="BD114" s="32">
        <v>108</v>
      </c>
      <c r="BE114" s="32">
        <v>112</v>
      </c>
      <c r="BF114" s="32">
        <v>112</v>
      </c>
      <c r="BG114" s="32">
        <v>94.7</v>
      </c>
      <c r="BH114" s="32">
        <v>72</v>
      </c>
      <c r="BI114" s="32">
        <v>118.2</v>
      </c>
      <c r="BJ114" s="32">
        <v>44.9</v>
      </c>
      <c r="BK114" s="32">
        <v>160</v>
      </c>
      <c r="BL114" s="32">
        <v>44.7</v>
      </c>
      <c r="BM114" s="32">
        <v>92.2</v>
      </c>
      <c r="BN114" s="32">
        <v>96.6</v>
      </c>
      <c r="BO114" s="32">
        <v>89.9</v>
      </c>
      <c r="BP114" s="32">
        <v>103.2</v>
      </c>
      <c r="BQ114" s="32">
        <v>86.6</v>
      </c>
      <c r="BR114" s="32">
        <v>62.5</v>
      </c>
      <c r="BS114" s="32">
        <v>195.8</v>
      </c>
      <c r="BT114" s="32">
        <v>66.5</v>
      </c>
      <c r="BU114" s="32">
        <v>98.5</v>
      </c>
      <c r="BV114" s="32">
        <v>98.5</v>
      </c>
      <c r="BW114" s="32">
        <v>145.69999999999999</v>
      </c>
      <c r="BX114" s="32">
        <v>39.200000000000003</v>
      </c>
      <c r="BY114" s="32">
        <v>106.1</v>
      </c>
      <c r="BZ114" s="32">
        <v>100.5</v>
      </c>
      <c r="CA114" s="32">
        <v>109.1</v>
      </c>
      <c r="CB114" s="32">
        <v>120</v>
      </c>
      <c r="CC114" s="32">
        <v>105.3</v>
      </c>
      <c r="CD114" s="32">
        <v>34.6</v>
      </c>
      <c r="CE114" s="32">
        <v>97.8</v>
      </c>
      <c r="CF114" s="32">
        <v>78.900000000000006</v>
      </c>
      <c r="CG114" s="32">
        <v>92.1</v>
      </c>
      <c r="CH114" s="32">
        <v>92.8</v>
      </c>
      <c r="CI114" s="32">
        <v>98.1</v>
      </c>
      <c r="CJ114" s="32">
        <v>88.8</v>
      </c>
      <c r="CK114" s="32">
        <v>95</v>
      </c>
      <c r="CL114" s="32">
        <v>90.8</v>
      </c>
      <c r="CM114" s="32">
        <v>94.4</v>
      </c>
      <c r="CN114" s="32">
        <v>56.8</v>
      </c>
      <c r="CO114" s="32">
        <v>104.7</v>
      </c>
      <c r="CP114" s="32">
        <v>137.6</v>
      </c>
      <c r="CQ114" s="32">
        <v>27.8</v>
      </c>
      <c r="CR114" s="32">
        <v>87</v>
      </c>
      <c r="CS114" s="32">
        <v>125.8</v>
      </c>
      <c r="CT114" s="32">
        <v>93.3</v>
      </c>
      <c r="CU114" s="32">
        <v>75.8</v>
      </c>
      <c r="CV114" s="32">
        <v>101</v>
      </c>
      <c r="CW114" s="32">
        <v>35.1</v>
      </c>
      <c r="CX114" s="32">
        <v>88.7</v>
      </c>
      <c r="CY114" s="32">
        <v>102.7</v>
      </c>
      <c r="CZ114" s="32">
        <v>81.400000000000006</v>
      </c>
      <c r="DA114" s="32">
        <v>69</v>
      </c>
      <c r="DB114" s="32">
        <v>105.4</v>
      </c>
      <c r="DC114" s="32">
        <v>6.5</v>
      </c>
      <c r="DD114" s="32">
        <v>6.5</v>
      </c>
      <c r="DE114" s="32">
        <v>70.400000000000006</v>
      </c>
      <c r="DF114" s="32">
        <v>65.3</v>
      </c>
      <c r="DG114" s="32">
        <v>102.4</v>
      </c>
      <c r="DH114" s="32">
        <v>91.3</v>
      </c>
      <c r="DI114" s="32">
        <v>145.9</v>
      </c>
      <c r="DJ114" s="32">
        <v>72</v>
      </c>
      <c r="DK114" s="32">
        <v>72</v>
      </c>
      <c r="DL114" s="32">
        <v>39.299999999999997</v>
      </c>
      <c r="DM114" s="32">
        <v>72.900000000000006</v>
      </c>
      <c r="DN114" s="32">
        <v>51.7</v>
      </c>
      <c r="DO114" s="32">
        <v>82.6</v>
      </c>
      <c r="DP114" s="32">
        <v>46.3</v>
      </c>
      <c r="DQ114" s="32">
        <v>75.3</v>
      </c>
      <c r="DR114" s="32">
        <v>83.4</v>
      </c>
      <c r="DS114" s="32">
        <v>76.599999999999994</v>
      </c>
      <c r="DT114" s="32">
        <v>73.8</v>
      </c>
      <c r="DU114" s="32">
        <v>76.400000000000006</v>
      </c>
      <c r="DV114" s="32">
        <v>82.3</v>
      </c>
      <c r="DW114" s="32">
        <v>69.5</v>
      </c>
      <c r="DX114" s="32">
        <v>68.2</v>
      </c>
      <c r="DY114" s="32">
        <v>86</v>
      </c>
      <c r="DZ114" s="32">
        <v>132.5</v>
      </c>
      <c r="EA114" s="32">
        <v>132.5</v>
      </c>
      <c r="EB114" s="32">
        <v>88.8</v>
      </c>
      <c r="EC114" s="32">
        <v>97.2</v>
      </c>
      <c r="ED114" s="32">
        <v>78.099999999999994</v>
      </c>
      <c r="EE114" s="32">
        <v>83.3</v>
      </c>
      <c r="EF114" s="32">
        <v>64.3</v>
      </c>
      <c r="EG114" s="32">
        <v>64</v>
      </c>
      <c r="EH114" s="32">
        <v>76.5</v>
      </c>
      <c r="EI114" s="32">
        <v>59</v>
      </c>
      <c r="EJ114" s="32">
        <v>71.2</v>
      </c>
      <c r="EK114" s="32">
        <v>59.7</v>
      </c>
      <c r="EL114" s="32">
        <v>68.099999999999994</v>
      </c>
      <c r="EM114" s="32">
        <v>48.4</v>
      </c>
      <c r="EN114" s="32">
        <v>66</v>
      </c>
      <c r="EO114" s="32">
        <v>90.4</v>
      </c>
      <c r="EP114" s="32">
        <v>93.9</v>
      </c>
      <c r="EQ114" s="32">
        <v>93.9</v>
      </c>
      <c r="ER114" s="32">
        <v>91.9</v>
      </c>
      <c r="ES114" s="32">
        <v>91.9</v>
      </c>
      <c r="ET114" s="32">
        <v>87</v>
      </c>
      <c r="EU114" s="32">
        <v>85.4</v>
      </c>
      <c r="EV114" s="32">
        <v>85.4</v>
      </c>
      <c r="EW114" s="32">
        <v>91.3</v>
      </c>
      <c r="EX114" s="32">
        <v>102.9</v>
      </c>
      <c r="EY114" s="32">
        <v>82.2</v>
      </c>
      <c r="EZ114" s="32">
        <v>94</v>
      </c>
      <c r="FA114" s="32">
        <v>109.1</v>
      </c>
      <c r="FB114" s="32">
        <v>115.8</v>
      </c>
      <c r="FC114" s="32">
        <v>92.4</v>
      </c>
      <c r="FD114" s="32">
        <v>129</v>
      </c>
      <c r="FE114" s="32">
        <v>147.9</v>
      </c>
      <c r="FF114" s="32">
        <v>101.1</v>
      </c>
      <c r="FG114" s="32">
        <v>83.5</v>
      </c>
      <c r="FH114" s="32">
        <v>91.7</v>
      </c>
      <c r="FI114" s="32">
        <v>82.8</v>
      </c>
      <c r="FJ114" s="32">
        <v>80.2</v>
      </c>
      <c r="FK114" s="32">
        <v>83.5</v>
      </c>
      <c r="FL114" s="32">
        <v>83.5</v>
      </c>
    </row>
    <row r="115" spans="1:168" x14ac:dyDescent="0.2">
      <c r="A115" s="34" t="s">
        <v>1095</v>
      </c>
      <c r="B115" s="32">
        <v>83.1</v>
      </c>
      <c r="C115" s="32">
        <v>94.5</v>
      </c>
      <c r="D115" s="32">
        <v>101.7</v>
      </c>
      <c r="E115" s="32">
        <v>102.7</v>
      </c>
      <c r="F115" s="32">
        <v>223.1</v>
      </c>
      <c r="G115" s="32">
        <v>3566.9</v>
      </c>
      <c r="H115" s="32">
        <v>257.39999999999998</v>
      </c>
      <c r="I115" s="32">
        <v>75.2</v>
      </c>
      <c r="J115" s="32">
        <v>91.6</v>
      </c>
      <c r="K115" s="32">
        <v>98.2</v>
      </c>
      <c r="L115" s="32">
        <v>93.3</v>
      </c>
      <c r="M115" s="32">
        <v>75.7</v>
      </c>
      <c r="N115" s="32">
        <v>84.4</v>
      </c>
      <c r="O115" s="32">
        <v>82.8</v>
      </c>
      <c r="P115" s="32">
        <v>188.9</v>
      </c>
      <c r="Q115" s="32">
        <v>117.9</v>
      </c>
      <c r="R115" s="32">
        <v>97.3</v>
      </c>
      <c r="S115" s="32">
        <v>126</v>
      </c>
      <c r="T115" s="32">
        <v>69.2</v>
      </c>
      <c r="U115" s="32">
        <v>63.2</v>
      </c>
      <c r="V115" s="32">
        <v>139.9</v>
      </c>
      <c r="W115" s="32">
        <v>47.2</v>
      </c>
      <c r="X115" s="32">
        <v>38.4</v>
      </c>
      <c r="Y115" s="32">
        <v>55.4</v>
      </c>
      <c r="Z115" s="32">
        <v>76.099999999999994</v>
      </c>
      <c r="AA115" s="32">
        <v>82.9</v>
      </c>
      <c r="AB115" s="32">
        <v>74.099999999999994</v>
      </c>
      <c r="AC115" s="32">
        <v>67.2</v>
      </c>
      <c r="AD115" s="32">
        <v>104.8</v>
      </c>
      <c r="AE115" s="32">
        <v>120.9</v>
      </c>
      <c r="AF115" s="32">
        <v>120.9</v>
      </c>
      <c r="AG115" s="32">
        <v>65.5</v>
      </c>
      <c r="AH115" s="32">
        <v>65.5</v>
      </c>
      <c r="AI115" s="32">
        <v>210.8</v>
      </c>
      <c r="AJ115" s="32">
        <v>36</v>
      </c>
      <c r="AK115" s="32">
        <v>378.7</v>
      </c>
      <c r="AL115" s="32">
        <v>98.9</v>
      </c>
      <c r="AM115" s="32">
        <v>49.5</v>
      </c>
      <c r="AN115" s="32">
        <v>114.1</v>
      </c>
      <c r="AO115" s="32">
        <v>116.5</v>
      </c>
      <c r="AP115" s="32">
        <v>116.5</v>
      </c>
      <c r="AQ115" s="32">
        <v>105.3</v>
      </c>
      <c r="AR115" s="32">
        <v>98.5</v>
      </c>
      <c r="AS115" s="32">
        <v>117.3</v>
      </c>
      <c r="AT115" s="32">
        <v>125.9</v>
      </c>
      <c r="AU115" s="32">
        <v>109.2</v>
      </c>
      <c r="AV115" s="32">
        <v>102.8</v>
      </c>
      <c r="AW115" s="32">
        <v>148.1</v>
      </c>
      <c r="AX115" s="32">
        <v>90.4</v>
      </c>
      <c r="AY115" s="32">
        <v>355.4</v>
      </c>
      <c r="AZ115" s="32">
        <v>94.9</v>
      </c>
      <c r="BA115" s="32">
        <v>70.3</v>
      </c>
      <c r="BB115" s="32">
        <v>70.3</v>
      </c>
      <c r="BC115" s="32">
        <v>104</v>
      </c>
      <c r="BD115" s="32">
        <v>104</v>
      </c>
      <c r="BE115" s="32">
        <v>110.8</v>
      </c>
      <c r="BF115" s="32">
        <v>110.8</v>
      </c>
      <c r="BG115" s="32">
        <v>97.4</v>
      </c>
      <c r="BH115" s="32">
        <v>74.5</v>
      </c>
      <c r="BI115" s="32">
        <v>121</v>
      </c>
      <c r="BJ115" s="32">
        <v>46.5</v>
      </c>
      <c r="BK115" s="32">
        <v>163.80000000000001</v>
      </c>
      <c r="BL115" s="32">
        <v>45</v>
      </c>
      <c r="BM115" s="32">
        <v>95.3</v>
      </c>
      <c r="BN115" s="32">
        <v>100.5</v>
      </c>
      <c r="BO115" s="32">
        <v>94.9</v>
      </c>
      <c r="BP115" s="32">
        <v>106.2</v>
      </c>
      <c r="BQ115" s="32">
        <v>88.5</v>
      </c>
      <c r="BR115" s="32">
        <v>60.3</v>
      </c>
      <c r="BS115" s="32">
        <v>193.5</v>
      </c>
      <c r="BT115" s="32">
        <v>69.5</v>
      </c>
      <c r="BU115" s="32">
        <v>101.4</v>
      </c>
      <c r="BV115" s="32">
        <v>101.4</v>
      </c>
      <c r="BW115" s="32">
        <v>147.1</v>
      </c>
      <c r="BX115" s="32">
        <v>41.7</v>
      </c>
      <c r="BY115" s="32">
        <v>103.9</v>
      </c>
      <c r="BZ115" s="32">
        <v>97.7</v>
      </c>
      <c r="CA115" s="32">
        <v>107.3</v>
      </c>
      <c r="CB115" s="32">
        <v>120.6</v>
      </c>
      <c r="CC115" s="32">
        <v>100.8</v>
      </c>
      <c r="CD115" s="32">
        <v>33.5</v>
      </c>
      <c r="CE115" s="32">
        <v>98.2</v>
      </c>
      <c r="CF115" s="32">
        <v>78.8</v>
      </c>
      <c r="CG115" s="32">
        <v>92.1</v>
      </c>
      <c r="CH115" s="32">
        <v>93.2</v>
      </c>
      <c r="CI115" s="32">
        <v>98.1</v>
      </c>
      <c r="CJ115" s="32">
        <v>90</v>
      </c>
      <c r="CK115" s="32">
        <v>94.9</v>
      </c>
      <c r="CL115" s="32">
        <v>91.7</v>
      </c>
      <c r="CM115" s="32">
        <v>95.8</v>
      </c>
      <c r="CN115" s="32">
        <v>57.1</v>
      </c>
      <c r="CO115" s="32">
        <v>106.4</v>
      </c>
      <c r="CP115" s="32">
        <v>134</v>
      </c>
      <c r="CQ115" s="32">
        <v>29.6</v>
      </c>
      <c r="CR115" s="32">
        <v>86.2</v>
      </c>
      <c r="CS115" s="32">
        <v>128.30000000000001</v>
      </c>
      <c r="CT115" s="32">
        <v>90.3</v>
      </c>
      <c r="CU115" s="32">
        <v>71.2</v>
      </c>
      <c r="CV115" s="32">
        <v>98.7</v>
      </c>
      <c r="CW115" s="32">
        <v>34.9</v>
      </c>
      <c r="CX115" s="32">
        <v>88.6</v>
      </c>
      <c r="CY115" s="32">
        <v>102.7</v>
      </c>
      <c r="CZ115" s="32">
        <v>81.3</v>
      </c>
      <c r="DA115" s="32">
        <v>68.7</v>
      </c>
      <c r="DB115" s="32">
        <v>105.6</v>
      </c>
      <c r="DC115" s="32">
        <v>6.6</v>
      </c>
      <c r="DD115" s="32">
        <v>6.6</v>
      </c>
      <c r="DE115" s="32">
        <v>68.5</v>
      </c>
      <c r="DF115" s="32">
        <v>63.3</v>
      </c>
      <c r="DG115" s="32">
        <v>101.5</v>
      </c>
      <c r="DH115" s="32">
        <v>90.1</v>
      </c>
      <c r="DI115" s="32">
        <v>148.19999999999999</v>
      </c>
      <c r="DJ115" s="32">
        <v>65.2</v>
      </c>
      <c r="DK115" s="32">
        <v>65.2</v>
      </c>
      <c r="DL115" s="32">
        <v>38.9</v>
      </c>
      <c r="DM115" s="32">
        <v>73.2</v>
      </c>
      <c r="DN115" s="32">
        <v>51.4</v>
      </c>
      <c r="DO115" s="32">
        <v>83.1</v>
      </c>
      <c r="DP115" s="32">
        <v>45.4</v>
      </c>
      <c r="DQ115" s="32">
        <v>75.400000000000006</v>
      </c>
      <c r="DR115" s="32">
        <v>83.6</v>
      </c>
      <c r="DS115" s="32">
        <v>77</v>
      </c>
      <c r="DT115" s="32">
        <v>73.8</v>
      </c>
      <c r="DU115" s="32">
        <v>77</v>
      </c>
      <c r="DV115" s="32">
        <v>84.6</v>
      </c>
      <c r="DW115" s="32">
        <v>68.099999999999994</v>
      </c>
      <c r="DX115" s="32">
        <v>67.099999999999994</v>
      </c>
      <c r="DY115" s="32">
        <v>87.4</v>
      </c>
      <c r="DZ115" s="32">
        <v>128.4</v>
      </c>
      <c r="EA115" s="32">
        <v>128.4</v>
      </c>
      <c r="EB115" s="32">
        <v>89.7</v>
      </c>
      <c r="EC115" s="32">
        <v>97.4</v>
      </c>
      <c r="ED115" s="32">
        <v>80.099999999999994</v>
      </c>
      <c r="EE115" s="32">
        <v>86.2</v>
      </c>
      <c r="EF115" s="32">
        <v>63.9</v>
      </c>
      <c r="EG115" s="32">
        <v>63.9</v>
      </c>
      <c r="EH115" s="32">
        <v>75</v>
      </c>
      <c r="EI115" s="32">
        <v>60.5</v>
      </c>
      <c r="EJ115" s="32">
        <v>66.7</v>
      </c>
      <c r="EK115" s="32">
        <v>60.2</v>
      </c>
      <c r="EL115" s="32">
        <v>65.2</v>
      </c>
      <c r="EM115" s="32">
        <v>47.8</v>
      </c>
      <c r="EN115" s="32">
        <v>68</v>
      </c>
      <c r="EO115" s="32">
        <v>90.2</v>
      </c>
      <c r="EP115" s="32">
        <v>93.9</v>
      </c>
      <c r="EQ115" s="32">
        <v>93.9</v>
      </c>
      <c r="ER115" s="32">
        <v>91.3</v>
      </c>
      <c r="ES115" s="32">
        <v>91.3</v>
      </c>
      <c r="ET115" s="32">
        <v>87.1</v>
      </c>
      <c r="EU115" s="32">
        <v>85.4</v>
      </c>
      <c r="EV115" s="32">
        <v>85.4</v>
      </c>
      <c r="EW115" s="32">
        <v>91.3</v>
      </c>
      <c r="EX115" s="32">
        <v>103.1</v>
      </c>
      <c r="EY115" s="32">
        <v>82.1</v>
      </c>
      <c r="EZ115" s="32">
        <v>91.9</v>
      </c>
      <c r="FA115" s="32">
        <v>106.9</v>
      </c>
      <c r="FB115" s="32">
        <v>111.5</v>
      </c>
      <c r="FC115" s="32">
        <v>86.9</v>
      </c>
      <c r="FD115" s="32">
        <v>129.19999999999999</v>
      </c>
      <c r="FE115" s="32">
        <v>143.1</v>
      </c>
      <c r="FF115" s="32">
        <v>101.4</v>
      </c>
      <c r="FG115" s="32">
        <v>82.6</v>
      </c>
      <c r="FH115" s="32">
        <v>94.8</v>
      </c>
      <c r="FI115" s="32">
        <v>74.8</v>
      </c>
      <c r="FJ115" s="32">
        <v>78.7</v>
      </c>
      <c r="FK115" s="32">
        <v>70.8</v>
      </c>
      <c r="FL115" s="32">
        <v>70.8</v>
      </c>
    </row>
    <row r="116" spans="1:168" x14ac:dyDescent="0.2">
      <c r="A116" s="34" t="s">
        <v>1096</v>
      </c>
      <c r="B116" s="32">
        <v>83.5</v>
      </c>
      <c r="C116" s="32">
        <v>94.2</v>
      </c>
      <c r="D116" s="32">
        <v>102.7</v>
      </c>
      <c r="E116" s="32">
        <v>103.9</v>
      </c>
      <c r="F116" s="32">
        <v>218.6</v>
      </c>
      <c r="G116" s="32">
        <v>3440</v>
      </c>
      <c r="H116" s="32">
        <v>250.6</v>
      </c>
      <c r="I116" s="32">
        <v>76.7</v>
      </c>
      <c r="J116" s="32">
        <v>93</v>
      </c>
      <c r="K116" s="32">
        <v>99.8</v>
      </c>
      <c r="L116" s="32">
        <v>95.1</v>
      </c>
      <c r="M116" s="32">
        <v>78.7</v>
      </c>
      <c r="N116" s="32">
        <v>85.7</v>
      </c>
      <c r="O116" s="32">
        <v>77.7</v>
      </c>
      <c r="P116" s="32">
        <v>196.6</v>
      </c>
      <c r="Q116" s="32">
        <v>122</v>
      </c>
      <c r="R116" s="32">
        <v>97.3</v>
      </c>
      <c r="S116" s="32">
        <v>127.8</v>
      </c>
      <c r="T116" s="32">
        <v>70.599999999999994</v>
      </c>
      <c r="U116" s="32">
        <v>62.9</v>
      </c>
      <c r="V116" s="32">
        <v>140.6</v>
      </c>
      <c r="W116" s="32">
        <v>46.6</v>
      </c>
      <c r="X116" s="32">
        <v>38.700000000000003</v>
      </c>
      <c r="Y116" s="32">
        <v>52</v>
      </c>
      <c r="Z116" s="32">
        <v>81.2</v>
      </c>
      <c r="AA116" s="32">
        <v>85.9</v>
      </c>
      <c r="AB116" s="32">
        <v>79.400000000000006</v>
      </c>
      <c r="AC116" s="32">
        <v>67.400000000000006</v>
      </c>
      <c r="AD116" s="32">
        <v>108.8</v>
      </c>
      <c r="AE116" s="32">
        <v>109.9</v>
      </c>
      <c r="AF116" s="32">
        <v>109.9</v>
      </c>
      <c r="AG116" s="32">
        <v>65.8</v>
      </c>
      <c r="AH116" s="32">
        <v>65.8</v>
      </c>
      <c r="AI116" s="32">
        <v>222.3</v>
      </c>
      <c r="AJ116" s="32">
        <v>35.9</v>
      </c>
      <c r="AK116" s="32">
        <v>352.2</v>
      </c>
      <c r="AL116" s="32">
        <v>101</v>
      </c>
      <c r="AM116" s="32">
        <v>49.4</v>
      </c>
      <c r="AN116" s="32">
        <v>116.4</v>
      </c>
      <c r="AO116" s="32">
        <v>117.6</v>
      </c>
      <c r="AP116" s="32">
        <v>117.6</v>
      </c>
      <c r="AQ116" s="32">
        <v>105</v>
      </c>
      <c r="AR116" s="32">
        <v>98.7</v>
      </c>
      <c r="AS116" s="32">
        <v>116.3</v>
      </c>
      <c r="AT116" s="32">
        <v>125.9</v>
      </c>
      <c r="AU116" s="32">
        <v>107.3</v>
      </c>
      <c r="AV116" s="32">
        <v>104.5</v>
      </c>
      <c r="AW116" s="32">
        <v>152.4</v>
      </c>
      <c r="AX116" s="32">
        <v>99</v>
      </c>
      <c r="AY116" s="32">
        <v>345.5</v>
      </c>
      <c r="AZ116" s="32">
        <v>96.1</v>
      </c>
      <c r="BA116" s="32">
        <v>70.3</v>
      </c>
      <c r="BB116" s="32">
        <v>70.3</v>
      </c>
      <c r="BC116" s="32">
        <v>110.2</v>
      </c>
      <c r="BD116" s="32">
        <v>110.2</v>
      </c>
      <c r="BE116" s="32">
        <v>112.2</v>
      </c>
      <c r="BF116" s="32">
        <v>112.2</v>
      </c>
      <c r="BG116" s="32">
        <v>100.7</v>
      </c>
      <c r="BH116" s="32">
        <v>78.5</v>
      </c>
      <c r="BI116" s="32">
        <v>123.3</v>
      </c>
      <c r="BJ116" s="32">
        <v>47.4</v>
      </c>
      <c r="BK116" s="32">
        <v>166.3</v>
      </c>
      <c r="BL116" s="32">
        <v>47.6</v>
      </c>
      <c r="BM116" s="32">
        <v>98.2</v>
      </c>
      <c r="BN116" s="32">
        <v>102.3</v>
      </c>
      <c r="BO116" s="32">
        <v>98.2</v>
      </c>
      <c r="BP116" s="32">
        <v>106.6</v>
      </c>
      <c r="BQ116" s="32">
        <v>93.1</v>
      </c>
      <c r="BR116" s="32">
        <v>73.8</v>
      </c>
      <c r="BS116" s="32">
        <v>189.2</v>
      </c>
      <c r="BT116" s="32">
        <v>73.900000000000006</v>
      </c>
      <c r="BU116" s="32">
        <v>105.7</v>
      </c>
      <c r="BV116" s="32">
        <v>105.7</v>
      </c>
      <c r="BW116" s="32">
        <v>149.19999999999999</v>
      </c>
      <c r="BX116" s="32">
        <v>45.6</v>
      </c>
      <c r="BY116" s="32">
        <v>102.3</v>
      </c>
      <c r="BZ116" s="32">
        <v>99.9</v>
      </c>
      <c r="CA116" s="32">
        <v>103.5</v>
      </c>
      <c r="CB116" s="32">
        <v>118.1</v>
      </c>
      <c r="CC116" s="32">
        <v>95.6</v>
      </c>
      <c r="CD116" s="32">
        <v>31.2</v>
      </c>
      <c r="CE116" s="32">
        <v>98.6</v>
      </c>
      <c r="CF116" s="32">
        <v>79</v>
      </c>
      <c r="CG116" s="32">
        <v>93.2</v>
      </c>
      <c r="CH116" s="32">
        <v>94.4</v>
      </c>
      <c r="CI116" s="32">
        <v>96.7</v>
      </c>
      <c r="CJ116" s="32">
        <v>92.4</v>
      </c>
      <c r="CK116" s="32">
        <v>95.8</v>
      </c>
      <c r="CL116" s="32">
        <v>93</v>
      </c>
      <c r="CM116" s="32">
        <v>96.5</v>
      </c>
      <c r="CN116" s="32">
        <v>58.5</v>
      </c>
      <c r="CO116" s="32">
        <v>106.9</v>
      </c>
      <c r="CP116" s="32">
        <v>128.4</v>
      </c>
      <c r="CQ116" s="32">
        <v>30.9</v>
      </c>
      <c r="CR116" s="32">
        <v>89.7</v>
      </c>
      <c r="CS116" s="32">
        <v>128.69999999999999</v>
      </c>
      <c r="CT116" s="32">
        <v>90.5</v>
      </c>
      <c r="CU116" s="32">
        <v>72.2</v>
      </c>
      <c r="CV116" s="32">
        <v>98.5</v>
      </c>
      <c r="CW116" s="32">
        <v>34.700000000000003</v>
      </c>
      <c r="CX116" s="32">
        <v>86.2</v>
      </c>
      <c r="CY116" s="32">
        <v>101.6</v>
      </c>
      <c r="CZ116" s="32">
        <v>77.900000000000006</v>
      </c>
      <c r="DA116" s="32">
        <v>65.3</v>
      </c>
      <c r="DB116" s="32">
        <v>102.6</v>
      </c>
      <c r="DC116" s="32">
        <v>6.6</v>
      </c>
      <c r="DD116" s="32">
        <v>6.6</v>
      </c>
      <c r="DE116" s="32">
        <v>68.5</v>
      </c>
      <c r="DF116" s="32">
        <v>63.3</v>
      </c>
      <c r="DG116" s="32">
        <v>102</v>
      </c>
      <c r="DH116" s="32">
        <v>89.3</v>
      </c>
      <c r="DI116" s="32">
        <v>149.1</v>
      </c>
      <c r="DJ116" s="32">
        <v>59.7</v>
      </c>
      <c r="DK116" s="32">
        <v>59.7</v>
      </c>
      <c r="DL116" s="32">
        <v>40.299999999999997</v>
      </c>
      <c r="DM116" s="32">
        <v>73.7</v>
      </c>
      <c r="DN116" s="32">
        <v>51.7</v>
      </c>
      <c r="DO116" s="32">
        <v>83.8</v>
      </c>
      <c r="DP116" s="32">
        <v>44.6</v>
      </c>
      <c r="DQ116" s="32">
        <v>76</v>
      </c>
      <c r="DR116" s="32">
        <v>84.8</v>
      </c>
      <c r="DS116" s="32">
        <v>78.3</v>
      </c>
      <c r="DT116" s="32">
        <v>75.2</v>
      </c>
      <c r="DU116" s="32">
        <v>79.099999999999994</v>
      </c>
      <c r="DV116" s="32">
        <v>85</v>
      </c>
      <c r="DW116" s="32">
        <v>72.2</v>
      </c>
      <c r="DX116" s="32">
        <v>66.8</v>
      </c>
      <c r="DY116" s="32">
        <v>88.7</v>
      </c>
      <c r="DZ116" s="32">
        <v>128.4</v>
      </c>
      <c r="EA116" s="32">
        <v>128.4</v>
      </c>
      <c r="EB116" s="32">
        <v>90.7</v>
      </c>
      <c r="EC116" s="32">
        <v>98.9</v>
      </c>
      <c r="ED116" s="32">
        <v>80.400000000000006</v>
      </c>
      <c r="EE116" s="32">
        <v>86.5</v>
      </c>
      <c r="EF116" s="32">
        <v>64.099999999999994</v>
      </c>
      <c r="EG116" s="32">
        <v>63.8</v>
      </c>
      <c r="EH116" s="32">
        <v>74.5</v>
      </c>
      <c r="EI116" s="32">
        <v>60.5</v>
      </c>
      <c r="EJ116" s="32">
        <v>65.8</v>
      </c>
      <c r="EK116" s="32">
        <v>60.4</v>
      </c>
      <c r="EL116" s="32">
        <v>65.7</v>
      </c>
      <c r="EM116" s="32">
        <v>49.5</v>
      </c>
      <c r="EN116" s="32">
        <v>66.900000000000006</v>
      </c>
      <c r="EO116" s="32">
        <v>90</v>
      </c>
      <c r="EP116" s="32">
        <v>94.2</v>
      </c>
      <c r="EQ116" s="32">
        <v>94.2</v>
      </c>
      <c r="ER116" s="32">
        <v>91</v>
      </c>
      <c r="ES116" s="32">
        <v>91</v>
      </c>
      <c r="ET116" s="32">
        <v>86.5</v>
      </c>
      <c r="EU116" s="32">
        <v>84.8</v>
      </c>
      <c r="EV116" s="32">
        <v>84.8</v>
      </c>
      <c r="EW116" s="32">
        <v>90.8</v>
      </c>
      <c r="EX116" s="32">
        <v>102.7</v>
      </c>
      <c r="EY116" s="32">
        <v>81.5</v>
      </c>
      <c r="EZ116" s="32">
        <v>92.6</v>
      </c>
      <c r="FA116" s="32">
        <v>108.8</v>
      </c>
      <c r="FB116" s="32">
        <v>114.1</v>
      </c>
      <c r="FC116" s="32">
        <v>92.2</v>
      </c>
      <c r="FD116" s="32">
        <v>129.4</v>
      </c>
      <c r="FE116" s="32">
        <v>142.30000000000001</v>
      </c>
      <c r="FF116" s="32">
        <v>102.4</v>
      </c>
      <c r="FG116" s="32">
        <v>83.2</v>
      </c>
      <c r="FH116" s="32">
        <v>94.7</v>
      </c>
      <c r="FI116" s="32">
        <v>80.599999999999994</v>
      </c>
      <c r="FJ116" s="32">
        <v>78.8</v>
      </c>
      <c r="FK116" s="32">
        <v>65.7</v>
      </c>
      <c r="FL116" s="32">
        <v>65.7</v>
      </c>
    </row>
    <row r="117" spans="1:168" x14ac:dyDescent="0.2">
      <c r="A117" s="34" t="s">
        <v>1097</v>
      </c>
      <c r="B117" s="32">
        <v>83.3</v>
      </c>
      <c r="C117" s="32">
        <v>93.7</v>
      </c>
      <c r="D117" s="32">
        <v>102.8</v>
      </c>
      <c r="E117" s="32">
        <v>104.1</v>
      </c>
      <c r="F117" s="32">
        <v>214.4</v>
      </c>
      <c r="G117" s="32">
        <v>3672.7</v>
      </c>
      <c r="H117" s="32">
        <v>245.5</v>
      </c>
      <c r="I117" s="32">
        <v>75.8</v>
      </c>
      <c r="J117" s="32">
        <v>93.8</v>
      </c>
      <c r="K117" s="32">
        <v>100.4</v>
      </c>
      <c r="L117" s="32">
        <v>96.5</v>
      </c>
      <c r="M117" s="32">
        <v>78.400000000000006</v>
      </c>
      <c r="N117" s="32">
        <v>85.8</v>
      </c>
      <c r="O117" s="32">
        <v>70.099999999999994</v>
      </c>
      <c r="P117" s="32">
        <v>200</v>
      </c>
      <c r="Q117" s="32">
        <v>121.4</v>
      </c>
      <c r="R117" s="32">
        <v>98.6</v>
      </c>
      <c r="S117" s="32">
        <v>131.1</v>
      </c>
      <c r="T117" s="32">
        <v>75.8</v>
      </c>
      <c r="U117" s="32">
        <v>57.8</v>
      </c>
      <c r="V117" s="32">
        <v>139.30000000000001</v>
      </c>
      <c r="W117" s="32">
        <v>47.8</v>
      </c>
      <c r="X117" s="32">
        <v>39.4</v>
      </c>
      <c r="Y117" s="32">
        <v>54.5</v>
      </c>
      <c r="Z117" s="32">
        <v>79.8</v>
      </c>
      <c r="AA117" s="32">
        <v>83.9</v>
      </c>
      <c r="AB117" s="32">
        <v>80.5</v>
      </c>
      <c r="AC117" s="32">
        <v>65.3</v>
      </c>
      <c r="AD117" s="32">
        <v>104.9</v>
      </c>
      <c r="AE117" s="32">
        <v>115.1</v>
      </c>
      <c r="AF117" s="32">
        <v>115.1</v>
      </c>
      <c r="AG117" s="32">
        <v>66.099999999999994</v>
      </c>
      <c r="AH117" s="32">
        <v>66.099999999999994</v>
      </c>
      <c r="AI117" s="32">
        <v>245.7</v>
      </c>
      <c r="AJ117" s="32">
        <v>35.6</v>
      </c>
      <c r="AK117" s="32">
        <v>344.8</v>
      </c>
      <c r="AL117" s="32">
        <v>101.1</v>
      </c>
      <c r="AM117" s="32">
        <v>47.6</v>
      </c>
      <c r="AN117" s="32">
        <v>121.1</v>
      </c>
      <c r="AO117" s="32">
        <v>128</v>
      </c>
      <c r="AP117" s="32">
        <v>128</v>
      </c>
      <c r="AQ117" s="32">
        <v>103.9</v>
      </c>
      <c r="AR117" s="32">
        <v>98.6</v>
      </c>
      <c r="AS117" s="32">
        <v>113.6</v>
      </c>
      <c r="AT117" s="32">
        <v>120.9</v>
      </c>
      <c r="AU117" s="32">
        <v>106.7</v>
      </c>
      <c r="AV117" s="32">
        <v>104.8</v>
      </c>
      <c r="AW117" s="32">
        <v>146.19999999999999</v>
      </c>
      <c r="AX117" s="32">
        <v>92.9</v>
      </c>
      <c r="AY117" s="32">
        <v>337.4</v>
      </c>
      <c r="AZ117" s="32">
        <v>97.9</v>
      </c>
      <c r="BA117" s="32">
        <v>71.2</v>
      </c>
      <c r="BB117" s="32">
        <v>71.2</v>
      </c>
      <c r="BC117" s="32">
        <v>110.8</v>
      </c>
      <c r="BD117" s="32">
        <v>110.8</v>
      </c>
      <c r="BE117" s="32">
        <v>113.7</v>
      </c>
      <c r="BF117" s="32">
        <v>113.7</v>
      </c>
      <c r="BG117" s="32">
        <v>100</v>
      </c>
      <c r="BH117" s="32">
        <v>75</v>
      </c>
      <c r="BI117" s="32">
        <v>126.2</v>
      </c>
      <c r="BJ117" s="32">
        <v>49.7</v>
      </c>
      <c r="BK117" s="32">
        <v>169.8</v>
      </c>
      <c r="BL117" s="32">
        <v>48</v>
      </c>
      <c r="BM117" s="32">
        <v>99.6</v>
      </c>
      <c r="BN117" s="32">
        <v>105</v>
      </c>
      <c r="BO117" s="32">
        <v>102.2</v>
      </c>
      <c r="BP117" s="32">
        <v>108.1</v>
      </c>
      <c r="BQ117" s="32">
        <v>92.6</v>
      </c>
      <c r="BR117" s="32">
        <v>65.900000000000006</v>
      </c>
      <c r="BS117" s="32">
        <v>204.1</v>
      </c>
      <c r="BT117" s="32">
        <v>72.099999999999994</v>
      </c>
      <c r="BU117" s="32">
        <v>102.9</v>
      </c>
      <c r="BV117" s="32">
        <v>102.9</v>
      </c>
      <c r="BW117" s="32">
        <v>144.4</v>
      </c>
      <c r="BX117" s="32">
        <v>44.6</v>
      </c>
      <c r="BY117" s="32">
        <v>100.9</v>
      </c>
      <c r="BZ117" s="32">
        <v>97.3</v>
      </c>
      <c r="CA117" s="32">
        <v>102.9</v>
      </c>
      <c r="CB117" s="32">
        <v>118.8</v>
      </c>
      <c r="CC117" s="32">
        <v>93.5</v>
      </c>
      <c r="CD117" s="32">
        <v>30.5</v>
      </c>
      <c r="CE117" s="32">
        <v>98.7</v>
      </c>
      <c r="CF117" s="32">
        <v>78.7</v>
      </c>
      <c r="CG117" s="32">
        <v>93.1</v>
      </c>
      <c r="CH117" s="32">
        <v>93.8</v>
      </c>
      <c r="CI117" s="32">
        <v>97.5</v>
      </c>
      <c r="CJ117" s="32">
        <v>91.6</v>
      </c>
      <c r="CK117" s="32">
        <v>95</v>
      </c>
      <c r="CL117" s="32">
        <v>94</v>
      </c>
      <c r="CM117" s="32">
        <v>98</v>
      </c>
      <c r="CN117" s="32">
        <v>58.9</v>
      </c>
      <c r="CO117" s="32">
        <v>108.7</v>
      </c>
      <c r="CP117" s="32">
        <v>121.9</v>
      </c>
      <c r="CQ117" s="32">
        <v>31.4</v>
      </c>
      <c r="CR117" s="32">
        <v>94.4</v>
      </c>
      <c r="CS117" s="32">
        <v>123.6</v>
      </c>
      <c r="CT117" s="32">
        <v>90.6</v>
      </c>
      <c r="CU117" s="32">
        <v>73.5</v>
      </c>
      <c r="CV117" s="32">
        <v>98.1</v>
      </c>
      <c r="CW117" s="32">
        <v>34.299999999999997</v>
      </c>
      <c r="CX117" s="32">
        <v>83.5</v>
      </c>
      <c r="CY117" s="32">
        <v>97.4</v>
      </c>
      <c r="CZ117" s="32">
        <v>76.099999999999994</v>
      </c>
      <c r="DA117" s="32">
        <v>64.2</v>
      </c>
      <c r="DB117" s="32">
        <v>99.2</v>
      </c>
      <c r="DC117" s="32">
        <v>6.7</v>
      </c>
      <c r="DD117" s="32">
        <v>6.7</v>
      </c>
      <c r="DE117" s="32">
        <v>66.900000000000006</v>
      </c>
      <c r="DF117" s="32">
        <v>62.1</v>
      </c>
      <c r="DG117" s="32">
        <v>97.7</v>
      </c>
      <c r="DH117" s="32">
        <v>87.7</v>
      </c>
      <c r="DI117" s="32">
        <v>148.5</v>
      </c>
      <c r="DJ117" s="32">
        <v>54.3</v>
      </c>
      <c r="DK117" s="32">
        <v>54.3</v>
      </c>
      <c r="DL117" s="32">
        <v>40.799999999999997</v>
      </c>
      <c r="DM117" s="32">
        <v>73.900000000000006</v>
      </c>
      <c r="DN117" s="32">
        <v>51.7</v>
      </c>
      <c r="DO117" s="32">
        <v>84.1</v>
      </c>
      <c r="DP117" s="32">
        <v>44</v>
      </c>
      <c r="DQ117" s="32">
        <v>75.8</v>
      </c>
      <c r="DR117" s="32">
        <v>84.9</v>
      </c>
      <c r="DS117" s="32">
        <v>78.5</v>
      </c>
      <c r="DT117" s="32">
        <v>75.8</v>
      </c>
      <c r="DU117" s="32">
        <v>80.099999999999994</v>
      </c>
      <c r="DV117" s="32">
        <v>86.6</v>
      </c>
      <c r="DW117" s="32">
        <v>72.400000000000006</v>
      </c>
      <c r="DX117" s="32">
        <v>66.7</v>
      </c>
      <c r="DY117" s="32">
        <v>87.6</v>
      </c>
      <c r="DZ117" s="32">
        <v>127.7</v>
      </c>
      <c r="EA117" s="32">
        <v>127.7</v>
      </c>
      <c r="EB117" s="32">
        <v>90.8</v>
      </c>
      <c r="EC117" s="32">
        <v>100.2</v>
      </c>
      <c r="ED117" s="32">
        <v>78.7</v>
      </c>
      <c r="EE117" s="32">
        <v>84.3</v>
      </c>
      <c r="EF117" s="32">
        <v>63.9</v>
      </c>
      <c r="EG117" s="32">
        <v>63.1</v>
      </c>
      <c r="EH117" s="32">
        <v>74</v>
      </c>
      <c r="EI117" s="32">
        <v>59.3</v>
      </c>
      <c r="EJ117" s="32">
        <v>67.400000000000006</v>
      </c>
      <c r="EK117" s="32">
        <v>59.5</v>
      </c>
      <c r="EL117" s="32">
        <v>66.5</v>
      </c>
      <c r="EM117" s="32">
        <v>47.9</v>
      </c>
      <c r="EN117" s="32">
        <v>66.400000000000006</v>
      </c>
      <c r="EO117" s="32">
        <v>89.7</v>
      </c>
      <c r="EP117" s="32">
        <v>94.4</v>
      </c>
      <c r="EQ117" s="32">
        <v>94.4</v>
      </c>
      <c r="ER117" s="32">
        <v>90.3</v>
      </c>
      <c r="ES117" s="32">
        <v>90.3</v>
      </c>
      <c r="ET117" s="32">
        <v>86.1</v>
      </c>
      <c r="EU117" s="32">
        <v>84.5</v>
      </c>
      <c r="EV117" s="32">
        <v>84.5</v>
      </c>
      <c r="EW117" s="32">
        <v>90.1</v>
      </c>
      <c r="EX117" s="32">
        <v>102</v>
      </c>
      <c r="EY117" s="32">
        <v>80.7</v>
      </c>
      <c r="EZ117" s="32">
        <v>92.9</v>
      </c>
      <c r="FA117" s="32">
        <v>109.9</v>
      </c>
      <c r="FB117" s="32">
        <v>114.8</v>
      </c>
      <c r="FC117" s="32">
        <v>93.2</v>
      </c>
      <c r="FD117" s="32">
        <v>128.6</v>
      </c>
      <c r="FE117" s="32">
        <v>143.19999999999999</v>
      </c>
      <c r="FF117" s="32">
        <v>104.2</v>
      </c>
      <c r="FG117" s="32">
        <v>82.9</v>
      </c>
      <c r="FH117" s="32">
        <v>91</v>
      </c>
      <c r="FI117" s="32">
        <v>89.1</v>
      </c>
      <c r="FJ117" s="32">
        <v>78.8</v>
      </c>
      <c r="FK117" s="32">
        <v>65</v>
      </c>
      <c r="FL117" s="32">
        <v>65</v>
      </c>
    </row>
    <row r="118" spans="1:168" x14ac:dyDescent="0.2">
      <c r="A118" s="34" t="s">
        <v>1098</v>
      </c>
      <c r="B118" s="32">
        <v>83.6</v>
      </c>
      <c r="C118" s="32">
        <v>93.4</v>
      </c>
      <c r="D118" s="32">
        <v>103.5</v>
      </c>
      <c r="E118" s="32">
        <v>105</v>
      </c>
      <c r="F118" s="32">
        <v>205.5</v>
      </c>
      <c r="G118" s="32">
        <v>3691.2</v>
      </c>
      <c r="H118" s="32">
        <v>231.9</v>
      </c>
      <c r="I118" s="32">
        <v>78.7</v>
      </c>
      <c r="J118" s="32">
        <v>95.6</v>
      </c>
      <c r="K118" s="32">
        <v>101.3</v>
      </c>
      <c r="L118" s="32">
        <v>96.2</v>
      </c>
      <c r="M118" s="32">
        <v>82.6</v>
      </c>
      <c r="N118" s="32">
        <v>86.9</v>
      </c>
      <c r="O118" s="32">
        <v>66.099999999999994</v>
      </c>
      <c r="P118" s="32">
        <v>197.7</v>
      </c>
      <c r="Q118" s="32">
        <v>120.6</v>
      </c>
      <c r="R118" s="32">
        <v>98.5</v>
      </c>
      <c r="S118" s="32">
        <v>128.69999999999999</v>
      </c>
      <c r="T118" s="32">
        <v>69.8</v>
      </c>
      <c r="U118" s="32">
        <v>63.2</v>
      </c>
      <c r="V118" s="32">
        <v>145</v>
      </c>
      <c r="W118" s="32">
        <v>47.5</v>
      </c>
      <c r="X118" s="32">
        <v>40.4</v>
      </c>
      <c r="Y118" s="32">
        <v>50.8</v>
      </c>
      <c r="Z118" s="32">
        <v>83.3</v>
      </c>
      <c r="AA118" s="32">
        <v>85.2</v>
      </c>
      <c r="AB118" s="32">
        <v>80.099999999999994</v>
      </c>
      <c r="AC118" s="32">
        <v>66.900000000000006</v>
      </c>
      <c r="AD118" s="32">
        <v>107.1</v>
      </c>
      <c r="AE118" s="32">
        <v>127.4</v>
      </c>
      <c r="AF118" s="32">
        <v>127.4</v>
      </c>
      <c r="AG118" s="32">
        <v>67.400000000000006</v>
      </c>
      <c r="AH118" s="32">
        <v>67.400000000000006</v>
      </c>
      <c r="AI118" s="32">
        <v>266.8</v>
      </c>
      <c r="AJ118" s="32">
        <v>35.6</v>
      </c>
      <c r="AK118" s="32">
        <v>338.6</v>
      </c>
      <c r="AL118" s="32">
        <v>101.6</v>
      </c>
      <c r="AM118" s="32">
        <v>48.5</v>
      </c>
      <c r="AN118" s="32">
        <v>125.1</v>
      </c>
      <c r="AO118" s="32">
        <v>133.6</v>
      </c>
      <c r="AP118" s="32">
        <v>133.6</v>
      </c>
      <c r="AQ118" s="32">
        <v>104.6</v>
      </c>
      <c r="AR118" s="32">
        <v>99.3</v>
      </c>
      <c r="AS118" s="32">
        <v>114.3</v>
      </c>
      <c r="AT118" s="32">
        <v>120.2</v>
      </c>
      <c r="AU118" s="32">
        <v>108.7</v>
      </c>
      <c r="AV118" s="32">
        <v>104.4</v>
      </c>
      <c r="AW118" s="32">
        <v>149.6</v>
      </c>
      <c r="AX118" s="32">
        <v>100.4</v>
      </c>
      <c r="AY118" s="32">
        <v>328.4</v>
      </c>
      <c r="AZ118" s="32">
        <v>96.6</v>
      </c>
      <c r="BA118" s="32">
        <v>74.400000000000006</v>
      </c>
      <c r="BB118" s="32">
        <v>74.400000000000006</v>
      </c>
      <c r="BC118" s="32">
        <v>112</v>
      </c>
      <c r="BD118" s="32">
        <v>112</v>
      </c>
      <c r="BE118" s="32">
        <v>116.2</v>
      </c>
      <c r="BF118" s="32">
        <v>116.2</v>
      </c>
      <c r="BG118" s="32">
        <v>102.5</v>
      </c>
      <c r="BH118" s="32">
        <v>77.5</v>
      </c>
      <c r="BI118" s="32">
        <v>128.5</v>
      </c>
      <c r="BJ118" s="32">
        <v>50.4</v>
      </c>
      <c r="BK118" s="32">
        <v>172.8</v>
      </c>
      <c r="BL118" s="32">
        <v>49.8</v>
      </c>
      <c r="BM118" s="32">
        <v>102.4</v>
      </c>
      <c r="BN118" s="32">
        <v>108.4</v>
      </c>
      <c r="BO118" s="32">
        <v>99</v>
      </c>
      <c r="BP118" s="32">
        <v>117.6</v>
      </c>
      <c r="BQ118" s="32">
        <v>94.5</v>
      </c>
      <c r="BR118" s="32">
        <v>65.3</v>
      </c>
      <c r="BS118" s="32">
        <v>208.7</v>
      </c>
      <c r="BT118" s="32">
        <v>73.8</v>
      </c>
      <c r="BU118" s="32">
        <v>103</v>
      </c>
      <c r="BV118" s="32">
        <v>103</v>
      </c>
      <c r="BW118" s="32">
        <v>148.30000000000001</v>
      </c>
      <c r="BX118" s="32">
        <v>41.9</v>
      </c>
      <c r="BY118" s="32">
        <v>99.7</v>
      </c>
      <c r="BZ118" s="32">
        <v>95.1</v>
      </c>
      <c r="CA118" s="32">
        <v>102.2</v>
      </c>
      <c r="CB118" s="32">
        <v>118.7</v>
      </c>
      <c r="CC118" s="32">
        <v>92.2</v>
      </c>
      <c r="CD118" s="32">
        <v>29.3</v>
      </c>
      <c r="CE118" s="32">
        <v>98.7</v>
      </c>
      <c r="CF118" s="32">
        <v>79</v>
      </c>
      <c r="CG118" s="32">
        <v>93.8</v>
      </c>
      <c r="CH118" s="32">
        <v>94.7</v>
      </c>
      <c r="CI118" s="32">
        <v>97.8</v>
      </c>
      <c r="CJ118" s="32">
        <v>92.9</v>
      </c>
      <c r="CK118" s="32">
        <v>95.7</v>
      </c>
      <c r="CL118" s="32">
        <v>94.9</v>
      </c>
      <c r="CM118" s="32">
        <v>99.6</v>
      </c>
      <c r="CN118" s="32">
        <v>59.8</v>
      </c>
      <c r="CO118" s="32">
        <v>110.6</v>
      </c>
      <c r="CP118" s="32">
        <v>117.1</v>
      </c>
      <c r="CQ118" s="32">
        <v>32.1</v>
      </c>
      <c r="CR118" s="32">
        <v>95.8</v>
      </c>
      <c r="CS118" s="32">
        <v>123.5</v>
      </c>
      <c r="CT118" s="32">
        <v>90.7</v>
      </c>
      <c r="CU118" s="32">
        <v>73.5</v>
      </c>
      <c r="CV118" s="32">
        <v>98.3</v>
      </c>
      <c r="CW118" s="32">
        <v>34.799999999999997</v>
      </c>
      <c r="CX118" s="32">
        <v>85.2</v>
      </c>
      <c r="CY118" s="32">
        <v>101.2</v>
      </c>
      <c r="CZ118" s="32">
        <v>76.5</v>
      </c>
      <c r="DA118" s="32">
        <v>65.7</v>
      </c>
      <c r="DB118" s="32">
        <v>97.1</v>
      </c>
      <c r="DC118" s="32">
        <v>6.9</v>
      </c>
      <c r="DD118" s="32">
        <v>6.9</v>
      </c>
      <c r="DE118" s="32">
        <v>67</v>
      </c>
      <c r="DF118" s="32">
        <v>62.1</v>
      </c>
      <c r="DG118" s="32">
        <v>98.4</v>
      </c>
      <c r="DH118" s="32">
        <v>87.3</v>
      </c>
      <c r="DI118" s="32">
        <v>149.1</v>
      </c>
      <c r="DJ118" s="32">
        <v>50.5</v>
      </c>
      <c r="DK118" s="32">
        <v>50.5</v>
      </c>
      <c r="DL118" s="32">
        <v>42.2</v>
      </c>
      <c r="DM118" s="32">
        <v>74.099999999999994</v>
      </c>
      <c r="DN118" s="32">
        <v>51.8</v>
      </c>
      <c r="DO118" s="32">
        <v>84.4</v>
      </c>
      <c r="DP118" s="32">
        <v>43.6</v>
      </c>
      <c r="DQ118" s="32">
        <v>75.7</v>
      </c>
      <c r="DR118" s="32">
        <v>84.7</v>
      </c>
      <c r="DS118" s="32">
        <v>78.5</v>
      </c>
      <c r="DT118" s="32">
        <v>75</v>
      </c>
      <c r="DU118" s="32">
        <v>79</v>
      </c>
      <c r="DV118" s="32">
        <v>85</v>
      </c>
      <c r="DW118" s="32">
        <v>71.900000000000006</v>
      </c>
      <c r="DX118" s="32">
        <v>66.5</v>
      </c>
      <c r="DY118" s="32">
        <v>89.8</v>
      </c>
      <c r="DZ118" s="32">
        <v>129.4</v>
      </c>
      <c r="EA118" s="32">
        <v>129.4</v>
      </c>
      <c r="EB118" s="32">
        <v>89.5</v>
      </c>
      <c r="EC118" s="32">
        <v>98</v>
      </c>
      <c r="ED118" s="32">
        <v>78.8</v>
      </c>
      <c r="EE118" s="32">
        <v>84.5</v>
      </c>
      <c r="EF118" s="32">
        <v>63.8</v>
      </c>
      <c r="EG118" s="32">
        <v>63.3</v>
      </c>
      <c r="EH118" s="32">
        <v>73.5</v>
      </c>
      <c r="EI118" s="32">
        <v>60.1</v>
      </c>
      <c r="EJ118" s="32">
        <v>67.5</v>
      </c>
      <c r="EK118" s="32">
        <v>59.7</v>
      </c>
      <c r="EL118" s="32">
        <v>66.900000000000006</v>
      </c>
      <c r="EM118" s="32">
        <v>49.2</v>
      </c>
      <c r="EN118" s="32">
        <v>65.5</v>
      </c>
      <c r="EO118" s="32">
        <v>89.6</v>
      </c>
      <c r="EP118" s="32">
        <v>94.5</v>
      </c>
      <c r="EQ118" s="32">
        <v>94.5</v>
      </c>
      <c r="ER118" s="32">
        <v>90.7</v>
      </c>
      <c r="ES118" s="32">
        <v>90.7</v>
      </c>
      <c r="ET118" s="32">
        <v>85.6</v>
      </c>
      <c r="EU118" s="32">
        <v>84.1</v>
      </c>
      <c r="EV118" s="32">
        <v>84.1</v>
      </c>
      <c r="EW118" s="32">
        <v>89.5</v>
      </c>
      <c r="EX118" s="32">
        <v>101.5</v>
      </c>
      <c r="EY118" s="32">
        <v>80.2</v>
      </c>
      <c r="EZ118" s="32">
        <v>93.3</v>
      </c>
      <c r="FA118" s="32">
        <v>110.8</v>
      </c>
      <c r="FB118" s="32">
        <v>116.2</v>
      </c>
      <c r="FC118" s="32">
        <v>95.6</v>
      </c>
      <c r="FD118" s="32">
        <v>128.4</v>
      </c>
      <c r="FE118" s="32">
        <v>143.30000000000001</v>
      </c>
      <c r="FF118" s="32">
        <v>104.5</v>
      </c>
      <c r="FG118" s="32">
        <v>82.9</v>
      </c>
      <c r="FH118" s="32">
        <v>87.1</v>
      </c>
      <c r="FI118" s="32">
        <v>90.4</v>
      </c>
      <c r="FJ118" s="32">
        <v>80.2</v>
      </c>
      <c r="FK118" s="32">
        <v>66.400000000000006</v>
      </c>
      <c r="FL118" s="32">
        <v>66.400000000000006</v>
      </c>
    </row>
    <row r="119" spans="1:168" x14ac:dyDescent="0.2">
      <c r="A119" s="34" t="s">
        <v>1099</v>
      </c>
      <c r="B119" s="32">
        <v>83.9</v>
      </c>
      <c r="C119" s="32">
        <v>93.2</v>
      </c>
      <c r="D119" s="32">
        <v>103.9</v>
      </c>
      <c r="E119" s="32">
        <v>105.6</v>
      </c>
      <c r="F119" s="32">
        <v>200.1</v>
      </c>
      <c r="G119" s="32">
        <v>3370.4</v>
      </c>
      <c r="H119" s="32">
        <v>224.3</v>
      </c>
      <c r="I119" s="32">
        <v>79.5</v>
      </c>
      <c r="J119" s="32">
        <v>96</v>
      </c>
      <c r="K119" s="32">
        <v>104.1</v>
      </c>
      <c r="L119" s="32">
        <v>98.7</v>
      </c>
      <c r="M119" s="32">
        <v>83.7</v>
      </c>
      <c r="N119" s="32">
        <v>93.3</v>
      </c>
      <c r="O119" s="32">
        <v>63.8</v>
      </c>
      <c r="P119" s="32">
        <v>206.9</v>
      </c>
      <c r="Q119" s="32">
        <v>122.7</v>
      </c>
      <c r="R119" s="32">
        <v>100.5</v>
      </c>
      <c r="S119" s="32">
        <v>131.4</v>
      </c>
      <c r="T119" s="32">
        <v>67.5</v>
      </c>
      <c r="U119" s="32">
        <v>65.599999999999994</v>
      </c>
      <c r="V119" s="32">
        <v>150.19999999999999</v>
      </c>
      <c r="W119" s="32">
        <v>50</v>
      </c>
      <c r="X119" s="32">
        <v>40</v>
      </c>
      <c r="Y119" s="32">
        <v>60</v>
      </c>
      <c r="Z119" s="32">
        <v>79.900000000000006</v>
      </c>
      <c r="AA119" s="32">
        <v>86.9</v>
      </c>
      <c r="AB119" s="32">
        <v>86.8</v>
      </c>
      <c r="AC119" s="32">
        <v>66.8</v>
      </c>
      <c r="AD119" s="32">
        <v>107.5</v>
      </c>
      <c r="AE119" s="32">
        <v>129.19999999999999</v>
      </c>
      <c r="AF119" s="32">
        <v>129.19999999999999</v>
      </c>
      <c r="AG119" s="32">
        <v>67.7</v>
      </c>
      <c r="AH119" s="32">
        <v>67.7</v>
      </c>
      <c r="AI119" s="32">
        <v>266.89999999999998</v>
      </c>
      <c r="AJ119" s="32">
        <v>34.9</v>
      </c>
      <c r="AK119" s="32">
        <v>304.8</v>
      </c>
      <c r="AL119" s="32">
        <v>101.4</v>
      </c>
      <c r="AM119" s="32">
        <v>50</v>
      </c>
      <c r="AN119" s="32">
        <v>130.5</v>
      </c>
      <c r="AO119" s="32">
        <v>128.69999999999999</v>
      </c>
      <c r="AP119" s="32">
        <v>128.69999999999999</v>
      </c>
      <c r="AQ119" s="32">
        <v>102.3</v>
      </c>
      <c r="AR119" s="32">
        <v>97.6</v>
      </c>
      <c r="AS119" s="32">
        <v>111.1</v>
      </c>
      <c r="AT119" s="32">
        <v>119.3</v>
      </c>
      <c r="AU119" s="32">
        <v>103.4</v>
      </c>
      <c r="AV119" s="32">
        <v>105.3</v>
      </c>
      <c r="AW119" s="32">
        <v>143.1</v>
      </c>
      <c r="AX119" s="32">
        <v>94.8</v>
      </c>
      <c r="AY119" s="32">
        <v>317.5</v>
      </c>
      <c r="AZ119" s="32">
        <v>99.3</v>
      </c>
      <c r="BA119" s="32">
        <v>75.400000000000006</v>
      </c>
      <c r="BB119" s="32">
        <v>75.400000000000006</v>
      </c>
      <c r="BC119" s="32">
        <v>106.2</v>
      </c>
      <c r="BD119" s="32">
        <v>106.2</v>
      </c>
      <c r="BE119" s="32">
        <v>115.7</v>
      </c>
      <c r="BF119" s="32">
        <v>115.7</v>
      </c>
      <c r="BG119" s="32">
        <v>101.9</v>
      </c>
      <c r="BH119" s="32">
        <v>76.7</v>
      </c>
      <c r="BI119" s="32">
        <v>128.30000000000001</v>
      </c>
      <c r="BJ119" s="32">
        <v>51.5</v>
      </c>
      <c r="BK119" s="32">
        <v>172</v>
      </c>
      <c r="BL119" s="32">
        <v>49.8</v>
      </c>
      <c r="BM119" s="32">
        <v>103.9</v>
      </c>
      <c r="BN119" s="32">
        <v>108.5</v>
      </c>
      <c r="BO119" s="32">
        <v>103.5</v>
      </c>
      <c r="BP119" s="32">
        <v>113.6</v>
      </c>
      <c r="BQ119" s="32">
        <v>98.1</v>
      </c>
      <c r="BR119" s="32">
        <v>80.599999999999994</v>
      </c>
      <c r="BS119" s="32">
        <v>210.8</v>
      </c>
      <c r="BT119" s="32">
        <v>75.7</v>
      </c>
      <c r="BU119" s="32">
        <v>103.4</v>
      </c>
      <c r="BV119" s="32">
        <v>103.4</v>
      </c>
      <c r="BW119" s="32">
        <v>146</v>
      </c>
      <c r="BX119" s="32">
        <v>43.7</v>
      </c>
      <c r="BY119" s="32">
        <v>106.9</v>
      </c>
      <c r="BZ119" s="32">
        <v>98.1</v>
      </c>
      <c r="CA119" s="32">
        <v>111.6</v>
      </c>
      <c r="CB119" s="32">
        <v>132.4</v>
      </c>
      <c r="CC119" s="32">
        <v>97.8</v>
      </c>
      <c r="CD119" s="32">
        <v>32</v>
      </c>
      <c r="CE119" s="32">
        <v>98.6</v>
      </c>
      <c r="CF119" s="32">
        <v>79.2</v>
      </c>
      <c r="CG119" s="32">
        <v>93.9</v>
      </c>
      <c r="CH119" s="32">
        <v>93.8</v>
      </c>
      <c r="CI119" s="32">
        <v>96.2</v>
      </c>
      <c r="CJ119" s="32">
        <v>91</v>
      </c>
      <c r="CK119" s="32">
        <v>95.8</v>
      </c>
      <c r="CL119" s="32">
        <v>97.5</v>
      </c>
      <c r="CM119" s="32">
        <v>105</v>
      </c>
      <c r="CN119" s="32">
        <v>60.3</v>
      </c>
      <c r="CO119" s="32">
        <v>117.3</v>
      </c>
      <c r="CP119" s="32">
        <v>115.3</v>
      </c>
      <c r="CQ119" s="32">
        <v>32.799999999999997</v>
      </c>
      <c r="CR119" s="32">
        <v>97.6</v>
      </c>
      <c r="CS119" s="32">
        <v>123.4</v>
      </c>
      <c r="CT119" s="32">
        <v>90.8</v>
      </c>
      <c r="CU119" s="32">
        <v>73.5</v>
      </c>
      <c r="CV119" s="32">
        <v>98.5</v>
      </c>
      <c r="CW119" s="32">
        <v>35.200000000000003</v>
      </c>
      <c r="CX119" s="32">
        <v>83</v>
      </c>
      <c r="CY119" s="32">
        <v>97.6</v>
      </c>
      <c r="CZ119" s="32">
        <v>75.2</v>
      </c>
      <c r="DA119" s="32">
        <v>63.3</v>
      </c>
      <c r="DB119" s="32">
        <v>98.1</v>
      </c>
      <c r="DC119" s="32">
        <v>7.1</v>
      </c>
      <c r="DD119" s="32">
        <v>7.1</v>
      </c>
      <c r="DE119" s="32">
        <v>69.2</v>
      </c>
      <c r="DF119" s="32">
        <v>64.3</v>
      </c>
      <c r="DG119" s="32">
        <v>100.6</v>
      </c>
      <c r="DH119" s="32">
        <v>87.4</v>
      </c>
      <c r="DI119" s="32">
        <v>151.30000000000001</v>
      </c>
      <c r="DJ119" s="32">
        <v>47.8</v>
      </c>
      <c r="DK119" s="32">
        <v>47.8</v>
      </c>
      <c r="DL119" s="32">
        <v>42.3</v>
      </c>
      <c r="DM119" s="32">
        <v>74.3</v>
      </c>
      <c r="DN119" s="32">
        <v>51.8</v>
      </c>
      <c r="DO119" s="32">
        <v>84.8</v>
      </c>
      <c r="DP119" s="32">
        <v>43.7</v>
      </c>
      <c r="DQ119" s="32">
        <v>76.3</v>
      </c>
      <c r="DR119" s="32">
        <v>85.2</v>
      </c>
      <c r="DS119" s="32">
        <v>78.900000000000006</v>
      </c>
      <c r="DT119" s="32">
        <v>74.900000000000006</v>
      </c>
      <c r="DU119" s="32">
        <v>79.2</v>
      </c>
      <c r="DV119" s="32">
        <v>85</v>
      </c>
      <c r="DW119" s="32">
        <v>72.400000000000006</v>
      </c>
      <c r="DX119" s="32">
        <v>65.8</v>
      </c>
      <c r="DY119" s="32">
        <v>91.7</v>
      </c>
      <c r="DZ119" s="32">
        <v>130.80000000000001</v>
      </c>
      <c r="EA119" s="32">
        <v>130.80000000000001</v>
      </c>
      <c r="EB119" s="32">
        <v>90.3</v>
      </c>
      <c r="EC119" s="32">
        <v>99.5</v>
      </c>
      <c r="ED119" s="32">
        <v>78.5</v>
      </c>
      <c r="EE119" s="32">
        <v>84.1</v>
      </c>
      <c r="EF119" s="32">
        <v>63.7</v>
      </c>
      <c r="EG119" s="32">
        <v>63.9</v>
      </c>
      <c r="EH119" s="32">
        <v>72</v>
      </c>
      <c r="EI119" s="32">
        <v>63.3</v>
      </c>
      <c r="EJ119" s="32">
        <v>67.3</v>
      </c>
      <c r="EK119" s="32">
        <v>59.6</v>
      </c>
      <c r="EL119" s="32">
        <v>68.3</v>
      </c>
      <c r="EM119" s="32">
        <v>48.6</v>
      </c>
      <c r="EN119" s="32">
        <v>65.7</v>
      </c>
      <c r="EO119" s="32">
        <v>89.7</v>
      </c>
      <c r="EP119" s="32">
        <v>94.9</v>
      </c>
      <c r="EQ119" s="32">
        <v>94.9</v>
      </c>
      <c r="ER119" s="32">
        <v>90.2</v>
      </c>
      <c r="ES119" s="32">
        <v>90.2</v>
      </c>
      <c r="ET119" s="32">
        <v>86</v>
      </c>
      <c r="EU119" s="32">
        <v>84.6</v>
      </c>
      <c r="EV119" s="32">
        <v>84.6</v>
      </c>
      <c r="EW119" s="32">
        <v>89.4</v>
      </c>
      <c r="EX119" s="32">
        <v>101.4</v>
      </c>
      <c r="EY119" s="32">
        <v>80</v>
      </c>
      <c r="EZ119" s="32">
        <v>91.9</v>
      </c>
      <c r="FA119" s="32">
        <v>107.7</v>
      </c>
      <c r="FB119" s="32">
        <v>111.3</v>
      </c>
      <c r="FC119" s="32">
        <v>88.2</v>
      </c>
      <c r="FD119" s="32">
        <v>128</v>
      </c>
      <c r="FE119" s="32">
        <v>141</v>
      </c>
      <c r="FF119" s="32">
        <v>103.4</v>
      </c>
      <c r="FG119" s="32">
        <v>82.9</v>
      </c>
      <c r="FH119" s="32">
        <v>87.1</v>
      </c>
      <c r="FI119" s="32">
        <v>91.6</v>
      </c>
      <c r="FJ119" s="32">
        <v>80</v>
      </c>
      <c r="FK119" s="32">
        <v>64.8</v>
      </c>
      <c r="FL119" s="32">
        <v>64.8</v>
      </c>
    </row>
    <row r="120" spans="1:168" x14ac:dyDescent="0.2">
      <c r="A120" s="34" t="s">
        <v>1100</v>
      </c>
      <c r="B120" s="32">
        <v>83.4</v>
      </c>
      <c r="C120" s="32">
        <v>93</v>
      </c>
      <c r="D120" s="32">
        <v>103.1</v>
      </c>
      <c r="E120" s="32">
        <v>104.5</v>
      </c>
      <c r="F120" s="32">
        <v>198.7</v>
      </c>
      <c r="G120" s="32">
        <v>3031.6</v>
      </c>
      <c r="H120" s="32">
        <v>222.5</v>
      </c>
      <c r="I120" s="32">
        <v>79.900000000000006</v>
      </c>
      <c r="J120" s="32">
        <v>95.4</v>
      </c>
      <c r="K120" s="32">
        <v>103.3</v>
      </c>
      <c r="L120" s="32">
        <v>98.8</v>
      </c>
      <c r="M120" s="32">
        <v>88.2</v>
      </c>
      <c r="N120" s="32">
        <v>89</v>
      </c>
      <c r="O120" s="32">
        <v>59.7</v>
      </c>
      <c r="P120" s="32">
        <v>218.7</v>
      </c>
      <c r="Q120" s="32">
        <v>122.7</v>
      </c>
      <c r="R120" s="32">
        <v>99.8</v>
      </c>
      <c r="S120" s="32">
        <v>128.5</v>
      </c>
      <c r="T120" s="32">
        <v>71</v>
      </c>
      <c r="U120" s="32">
        <v>65.099999999999994</v>
      </c>
      <c r="V120" s="32">
        <v>143.80000000000001</v>
      </c>
      <c r="W120" s="32">
        <v>49.3</v>
      </c>
      <c r="X120" s="32">
        <v>39.700000000000003</v>
      </c>
      <c r="Y120" s="32">
        <v>58.5</v>
      </c>
      <c r="Z120" s="32">
        <v>81.099999999999994</v>
      </c>
      <c r="AA120" s="32">
        <v>85.5</v>
      </c>
      <c r="AB120" s="32">
        <v>77.2</v>
      </c>
      <c r="AC120" s="32">
        <v>66.2</v>
      </c>
      <c r="AD120" s="32">
        <v>109.8</v>
      </c>
      <c r="AE120" s="32">
        <v>127.3</v>
      </c>
      <c r="AF120" s="32">
        <v>127.3</v>
      </c>
      <c r="AG120" s="32">
        <v>67.900000000000006</v>
      </c>
      <c r="AH120" s="32">
        <v>67.900000000000006</v>
      </c>
      <c r="AI120" s="32">
        <v>271.7</v>
      </c>
      <c r="AJ120" s="32">
        <v>35.5</v>
      </c>
      <c r="AK120" s="32">
        <v>275.60000000000002</v>
      </c>
      <c r="AL120" s="32">
        <v>102.6</v>
      </c>
      <c r="AM120" s="32">
        <v>50</v>
      </c>
      <c r="AN120" s="32">
        <v>130.6</v>
      </c>
      <c r="AO120" s="32">
        <v>132.4</v>
      </c>
      <c r="AP120" s="32">
        <v>132.4</v>
      </c>
      <c r="AQ120" s="32">
        <v>102.3</v>
      </c>
      <c r="AR120" s="32">
        <v>97.7</v>
      </c>
      <c r="AS120" s="32">
        <v>110.8</v>
      </c>
      <c r="AT120" s="32">
        <v>116.7</v>
      </c>
      <c r="AU120" s="32">
        <v>105.3</v>
      </c>
      <c r="AV120" s="32">
        <v>100.7</v>
      </c>
      <c r="AW120" s="32">
        <v>144.80000000000001</v>
      </c>
      <c r="AX120" s="32">
        <v>100.2</v>
      </c>
      <c r="AY120" s="32">
        <v>307.7</v>
      </c>
      <c r="AZ120" s="32">
        <v>93.1</v>
      </c>
      <c r="BA120" s="32">
        <v>74</v>
      </c>
      <c r="BB120" s="32">
        <v>74</v>
      </c>
      <c r="BC120" s="32">
        <v>108.5</v>
      </c>
      <c r="BD120" s="32">
        <v>108.5</v>
      </c>
      <c r="BE120" s="32">
        <v>118</v>
      </c>
      <c r="BF120" s="32">
        <v>118</v>
      </c>
      <c r="BG120" s="32">
        <v>101.4</v>
      </c>
      <c r="BH120" s="32">
        <v>74.900000000000006</v>
      </c>
      <c r="BI120" s="32">
        <v>129.5</v>
      </c>
      <c r="BJ120" s="32">
        <v>53</v>
      </c>
      <c r="BK120" s="32">
        <v>173.7</v>
      </c>
      <c r="BL120" s="32">
        <v>48.5</v>
      </c>
      <c r="BM120" s="32">
        <v>103.6</v>
      </c>
      <c r="BN120" s="32">
        <v>106.9</v>
      </c>
      <c r="BO120" s="32">
        <v>99.9</v>
      </c>
      <c r="BP120" s="32">
        <v>113.8</v>
      </c>
      <c r="BQ120" s="32">
        <v>99.7</v>
      </c>
      <c r="BR120" s="32">
        <v>82.8</v>
      </c>
      <c r="BS120" s="32">
        <v>224.9</v>
      </c>
      <c r="BT120" s="32">
        <v>75.3</v>
      </c>
      <c r="BU120" s="32">
        <v>101</v>
      </c>
      <c r="BV120" s="32">
        <v>101</v>
      </c>
      <c r="BW120" s="32">
        <v>143.19999999999999</v>
      </c>
      <c r="BX120" s="32">
        <v>42.1</v>
      </c>
      <c r="BY120" s="32">
        <v>102.7</v>
      </c>
      <c r="BZ120" s="32">
        <v>101.6</v>
      </c>
      <c r="CA120" s="32">
        <v>103.4</v>
      </c>
      <c r="CB120" s="32">
        <v>119.6</v>
      </c>
      <c r="CC120" s="32">
        <v>93.6</v>
      </c>
      <c r="CD120" s="32">
        <v>29.5</v>
      </c>
      <c r="CE120" s="32">
        <v>98.6</v>
      </c>
      <c r="CF120" s="32">
        <v>78.8</v>
      </c>
      <c r="CG120" s="32">
        <v>92.5</v>
      </c>
      <c r="CH120" s="32">
        <v>93</v>
      </c>
      <c r="CI120" s="32">
        <v>95.2</v>
      </c>
      <c r="CJ120" s="32">
        <v>89.6</v>
      </c>
      <c r="CK120" s="32">
        <v>95.6</v>
      </c>
      <c r="CL120" s="32">
        <v>94.8</v>
      </c>
      <c r="CM120" s="32">
        <v>100.2</v>
      </c>
      <c r="CN120" s="32">
        <v>60.7</v>
      </c>
      <c r="CO120" s="32">
        <v>111.1</v>
      </c>
      <c r="CP120" s="32">
        <v>113.9</v>
      </c>
      <c r="CQ120" s="32">
        <v>32.5</v>
      </c>
      <c r="CR120" s="32">
        <v>96</v>
      </c>
      <c r="CS120" s="32">
        <v>121.1</v>
      </c>
      <c r="CT120" s="32">
        <v>88.9</v>
      </c>
      <c r="CU120" s="32">
        <v>73.5</v>
      </c>
      <c r="CV120" s="32">
        <v>95.6</v>
      </c>
      <c r="CW120" s="32">
        <v>35.1</v>
      </c>
      <c r="CX120" s="32">
        <v>84.4</v>
      </c>
      <c r="CY120" s="32">
        <v>100.3</v>
      </c>
      <c r="CZ120" s="32">
        <v>75.900000000000006</v>
      </c>
      <c r="DA120" s="32">
        <v>62.5</v>
      </c>
      <c r="DB120" s="32">
        <v>102.3</v>
      </c>
      <c r="DC120" s="32">
        <v>7.2</v>
      </c>
      <c r="DD120" s="32">
        <v>7.2</v>
      </c>
      <c r="DE120" s="32">
        <v>66.7</v>
      </c>
      <c r="DF120" s="32">
        <v>61.8</v>
      </c>
      <c r="DG120" s="32">
        <v>97.5</v>
      </c>
      <c r="DH120" s="32">
        <v>87.6</v>
      </c>
      <c r="DI120" s="32">
        <v>153.5</v>
      </c>
      <c r="DJ120" s="32">
        <v>46.8</v>
      </c>
      <c r="DK120" s="32">
        <v>46.8</v>
      </c>
      <c r="DL120" s="32">
        <v>40.700000000000003</v>
      </c>
      <c r="DM120" s="32">
        <v>74.099999999999994</v>
      </c>
      <c r="DN120" s="32">
        <v>51.5</v>
      </c>
      <c r="DO120" s="32">
        <v>84.5</v>
      </c>
      <c r="DP120" s="32">
        <v>43.4</v>
      </c>
      <c r="DQ120" s="32">
        <v>76</v>
      </c>
      <c r="DR120" s="32">
        <v>85.1</v>
      </c>
      <c r="DS120" s="32">
        <v>79.099999999999994</v>
      </c>
      <c r="DT120" s="32">
        <v>75.2</v>
      </c>
      <c r="DU120" s="32">
        <v>80.099999999999994</v>
      </c>
      <c r="DV120" s="32">
        <v>86.5</v>
      </c>
      <c r="DW120" s="32">
        <v>72.7</v>
      </c>
      <c r="DX120" s="32">
        <v>64.8</v>
      </c>
      <c r="DY120" s="32">
        <v>91.8</v>
      </c>
      <c r="DZ120" s="32">
        <v>133.9</v>
      </c>
      <c r="EA120" s="32">
        <v>133.9</v>
      </c>
      <c r="EB120" s="32">
        <v>88</v>
      </c>
      <c r="EC120" s="32">
        <v>94.1</v>
      </c>
      <c r="ED120" s="32">
        <v>80.400000000000006</v>
      </c>
      <c r="EE120" s="32">
        <v>86.7</v>
      </c>
      <c r="EF120" s="32">
        <v>63.7</v>
      </c>
      <c r="EG120" s="32">
        <v>63.5</v>
      </c>
      <c r="EH120" s="32">
        <v>72.2</v>
      </c>
      <c r="EI120" s="32">
        <v>59.9</v>
      </c>
      <c r="EJ120" s="32">
        <v>68.7</v>
      </c>
      <c r="EK120" s="32">
        <v>60.8</v>
      </c>
      <c r="EL120" s="32">
        <v>67.599999999999994</v>
      </c>
      <c r="EM120" s="32">
        <v>48.7</v>
      </c>
      <c r="EN120" s="32">
        <v>67.900000000000006</v>
      </c>
      <c r="EO120" s="32">
        <v>89.9</v>
      </c>
      <c r="EP120" s="32">
        <v>95</v>
      </c>
      <c r="EQ120" s="32">
        <v>95</v>
      </c>
      <c r="ER120" s="32">
        <v>90</v>
      </c>
      <c r="ES120" s="32">
        <v>90</v>
      </c>
      <c r="ET120" s="32">
        <v>86.5</v>
      </c>
      <c r="EU120" s="32">
        <v>85.2</v>
      </c>
      <c r="EV120" s="32">
        <v>85.2</v>
      </c>
      <c r="EW120" s="32">
        <v>89.6</v>
      </c>
      <c r="EX120" s="32">
        <v>101.6</v>
      </c>
      <c r="EY120" s="32">
        <v>80.2</v>
      </c>
      <c r="EZ120" s="32">
        <v>90.9</v>
      </c>
      <c r="FA120" s="32">
        <v>105.8</v>
      </c>
      <c r="FB120" s="32">
        <v>110.3</v>
      </c>
      <c r="FC120" s="32">
        <v>88.3</v>
      </c>
      <c r="FD120" s="32">
        <v>126.9</v>
      </c>
      <c r="FE120" s="32">
        <v>138</v>
      </c>
      <c r="FF120" s="32">
        <v>100.5</v>
      </c>
      <c r="FG120" s="32">
        <v>82.1</v>
      </c>
      <c r="FH120" s="32">
        <v>88.4</v>
      </c>
      <c r="FI120" s="32">
        <v>97.3</v>
      </c>
      <c r="FJ120" s="32">
        <v>77.599999999999994</v>
      </c>
      <c r="FK120" s="32">
        <v>66.3</v>
      </c>
      <c r="FL120" s="32">
        <v>66.3</v>
      </c>
    </row>
    <row r="121" spans="1:168" x14ac:dyDescent="0.2">
      <c r="A121" s="34" t="s">
        <v>1101</v>
      </c>
      <c r="B121" s="32">
        <v>83.7</v>
      </c>
      <c r="C121" s="32">
        <v>92.3</v>
      </c>
      <c r="D121" s="32">
        <v>103.7</v>
      </c>
      <c r="E121" s="32">
        <v>105.4</v>
      </c>
      <c r="F121" s="32">
        <v>202.7</v>
      </c>
      <c r="G121" s="32">
        <v>2611.6</v>
      </c>
      <c r="H121" s="32">
        <v>227.3</v>
      </c>
      <c r="I121" s="32">
        <v>81.5</v>
      </c>
      <c r="J121" s="32">
        <v>95.9</v>
      </c>
      <c r="K121" s="32">
        <v>103.7</v>
      </c>
      <c r="L121" s="32">
        <v>99.8</v>
      </c>
      <c r="M121" s="32">
        <v>90.2</v>
      </c>
      <c r="N121" s="32">
        <v>88.5</v>
      </c>
      <c r="O121" s="32">
        <v>59.8</v>
      </c>
      <c r="P121" s="32">
        <v>199.5</v>
      </c>
      <c r="Q121" s="32">
        <v>125.1</v>
      </c>
      <c r="R121" s="32">
        <v>100.8</v>
      </c>
      <c r="S121" s="32">
        <v>133.19999999999999</v>
      </c>
      <c r="T121" s="32">
        <v>73</v>
      </c>
      <c r="U121" s="32">
        <v>62.1</v>
      </c>
      <c r="V121" s="32">
        <v>142.19999999999999</v>
      </c>
      <c r="W121" s="32">
        <v>49.7</v>
      </c>
      <c r="X121" s="32">
        <v>41.4</v>
      </c>
      <c r="Y121" s="32">
        <v>55.4</v>
      </c>
      <c r="Z121" s="32">
        <v>84.6</v>
      </c>
      <c r="AA121" s="32">
        <v>88.8</v>
      </c>
      <c r="AB121" s="32">
        <v>80</v>
      </c>
      <c r="AC121" s="32">
        <v>68.099999999999994</v>
      </c>
      <c r="AD121" s="32">
        <v>114.5</v>
      </c>
      <c r="AE121" s="32">
        <v>130.30000000000001</v>
      </c>
      <c r="AF121" s="32">
        <v>130.30000000000001</v>
      </c>
      <c r="AG121" s="32">
        <v>68.900000000000006</v>
      </c>
      <c r="AH121" s="32">
        <v>68.900000000000006</v>
      </c>
      <c r="AI121" s="32">
        <v>268</v>
      </c>
      <c r="AJ121" s="32">
        <v>36</v>
      </c>
      <c r="AK121" s="32">
        <v>262</v>
      </c>
      <c r="AL121" s="32">
        <v>100</v>
      </c>
      <c r="AM121" s="32">
        <v>51.1</v>
      </c>
      <c r="AN121" s="32">
        <v>139</v>
      </c>
      <c r="AO121" s="32">
        <v>128.1</v>
      </c>
      <c r="AP121" s="32">
        <v>128.1</v>
      </c>
      <c r="AQ121" s="32">
        <v>103.2</v>
      </c>
      <c r="AR121" s="32">
        <v>97.6</v>
      </c>
      <c r="AS121" s="32">
        <v>113.3</v>
      </c>
      <c r="AT121" s="32">
        <v>123.8</v>
      </c>
      <c r="AU121" s="32">
        <v>103.5</v>
      </c>
      <c r="AV121" s="32">
        <v>102.5</v>
      </c>
      <c r="AW121" s="32">
        <v>145.5</v>
      </c>
      <c r="AX121" s="32">
        <v>103</v>
      </c>
      <c r="AY121" s="32">
        <v>301.5</v>
      </c>
      <c r="AZ121" s="32">
        <v>95.3</v>
      </c>
      <c r="BA121" s="32">
        <v>74</v>
      </c>
      <c r="BB121" s="32">
        <v>74</v>
      </c>
      <c r="BC121" s="32">
        <v>114</v>
      </c>
      <c r="BD121" s="32">
        <v>114</v>
      </c>
      <c r="BE121" s="32">
        <v>118.4</v>
      </c>
      <c r="BF121" s="32">
        <v>118.4</v>
      </c>
      <c r="BG121" s="32">
        <v>101.3</v>
      </c>
      <c r="BH121" s="32">
        <v>72.599999999999994</v>
      </c>
      <c r="BI121" s="32">
        <v>132.30000000000001</v>
      </c>
      <c r="BJ121" s="32">
        <v>53.6</v>
      </c>
      <c r="BK121" s="32">
        <v>177.4</v>
      </c>
      <c r="BL121" s="32">
        <v>50.7</v>
      </c>
      <c r="BM121" s="32">
        <v>102.1</v>
      </c>
      <c r="BN121" s="32">
        <v>105.9</v>
      </c>
      <c r="BO121" s="32">
        <v>101.1</v>
      </c>
      <c r="BP121" s="32">
        <v>110.8</v>
      </c>
      <c r="BQ121" s="32">
        <v>97.4</v>
      </c>
      <c r="BR121" s="32">
        <v>87.4</v>
      </c>
      <c r="BS121" s="32">
        <v>209.3</v>
      </c>
      <c r="BT121" s="32">
        <v>74.2</v>
      </c>
      <c r="BU121" s="32">
        <v>105.2</v>
      </c>
      <c r="BV121" s="32">
        <v>105.2</v>
      </c>
      <c r="BW121" s="32">
        <v>144.6</v>
      </c>
      <c r="BX121" s="32">
        <v>46.6</v>
      </c>
      <c r="BY121" s="32">
        <v>101.6</v>
      </c>
      <c r="BZ121" s="32">
        <v>94.7</v>
      </c>
      <c r="CA121" s="32">
        <v>105.3</v>
      </c>
      <c r="CB121" s="32">
        <v>122.5</v>
      </c>
      <c r="CC121" s="32">
        <v>94.8</v>
      </c>
      <c r="CD121" s="32">
        <v>30.2</v>
      </c>
      <c r="CE121" s="32">
        <v>98.6</v>
      </c>
      <c r="CF121" s="32">
        <v>79</v>
      </c>
      <c r="CG121" s="32">
        <v>92.7</v>
      </c>
      <c r="CH121" s="32">
        <v>93.5</v>
      </c>
      <c r="CI121" s="32">
        <v>96.9</v>
      </c>
      <c r="CJ121" s="32">
        <v>90.3</v>
      </c>
      <c r="CK121" s="32">
        <v>95.5</v>
      </c>
      <c r="CL121" s="32">
        <v>94.1</v>
      </c>
      <c r="CM121" s="32">
        <v>99.5</v>
      </c>
      <c r="CN121" s="32">
        <v>61</v>
      </c>
      <c r="CO121" s="32">
        <v>110</v>
      </c>
      <c r="CP121" s="32">
        <v>110.7</v>
      </c>
      <c r="CQ121" s="32">
        <v>32.1</v>
      </c>
      <c r="CR121" s="32">
        <v>94.8</v>
      </c>
      <c r="CS121" s="32">
        <v>122.6</v>
      </c>
      <c r="CT121" s="32">
        <v>89.7</v>
      </c>
      <c r="CU121" s="32">
        <v>73.5</v>
      </c>
      <c r="CV121" s="32">
        <v>96.8</v>
      </c>
      <c r="CW121" s="32">
        <v>36</v>
      </c>
      <c r="CX121" s="32">
        <v>85.3</v>
      </c>
      <c r="CY121" s="32">
        <v>99.9</v>
      </c>
      <c r="CZ121" s="32">
        <v>77.599999999999994</v>
      </c>
      <c r="DA121" s="32">
        <v>63.4</v>
      </c>
      <c r="DB121" s="32">
        <v>105.8</v>
      </c>
      <c r="DC121" s="32">
        <v>7.6</v>
      </c>
      <c r="DD121" s="32">
        <v>7.6</v>
      </c>
      <c r="DE121" s="32">
        <v>66.5</v>
      </c>
      <c r="DF121" s="32">
        <v>61.1</v>
      </c>
      <c r="DG121" s="32">
        <v>101.5</v>
      </c>
      <c r="DH121" s="32">
        <v>88.3</v>
      </c>
      <c r="DI121" s="32">
        <v>155.80000000000001</v>
      </c>
      <c r="DJ121" s="32">
        <v>47.3</v>
      </c>
      <c r="DK121" s="32">
        <v>47.3</v>
      </c>
      <c r="DL121" s="32">
        <v>39.5</v>
      </c>
      <c r="DM121" s="32">
        <v>74.2</v>
      </c>
      <c r="DN121" s="32">
        <v>51.7</v>
      </c>
      <c r="DO121" s="32">
        <v>84.6</v>
      </c>
      <c r="DP121" s="32">
        <v>43.7</v>
      </c>
      <c r="DQ121" s="32">
        <v>75.900000000000006</v>
      </c>
      <c r="DR121" s="32">
        <v>84.4</v>
      </c>
      <c r="DS121" s="32">
        <v>78</v>
      </c>
      <c r="DT121" s="32">
        <v>75.2</v>
      </c>
      <c r="DU121" s="32">
        <v>79.599999999999994</v>
      </c>
      <c r="DV121" s="32">
        <v>86</v>
      </c>
      <c r="DW121" s="32">
        <v>72.099999999999994</v>
      </c>
      <c r="DX121" s="32">
        <v>65.8</v>
      </c>
      <c r="DY121" s="32">
        <v>87.4</v>
      </c>
      <c r="DZ121" s="32">
        <v>132.1</v>
      </c>
      <c r="EA121" s="32">
        <v>132.1</v>
      </c>
      <c r="EB121" s="32">
        <v>88.9</v>
      </c>
      <c r="EC121" s="32">
        <v>97</v>
      </c>
      <c r="ED121" s="32">
        <v>78.7</v>
      </c>
      <c r="EE121" s="32">
        <v>84.4</v>
      </c>
      <c r="EF121" s="32">
        <v>63.6</v>
      </c>
      <c r="EG121" s="32">
        <v>64.099999999999994</v>
      </c>
      <c r="EH121" s="32">
        <v>73.900000000000006</v>
      </c>
      <c r="EI121" s="32">
        <v>60.5</v>
      </c>
      <c r="EJ121" s="32">
        <v>69.400000000000006</v>
      </c>
      <c r="EK121" s="32">
        <v>60.8</v>
      </c>
      <c r="EL121" s="32">
        <v>66.400000000000006</v>
      </c>
      <c r="EM121" s="32">
        <v>48.9</v>
      </c>
      <c r="EN121" s="32">
        <v>68</v>
      </c>
      <c r="EO121" s="32">
        <v>89.6</v>
      </c>
      <c r="EP121" s="32">
        <v>95.3</v>
      </c>
      <c r="EQ121" s="32">
        <v>95.3</v>
      </c>
      <c r="ER121" s="32">
        <v>88.9</v>
      </c>
      <c r="ES121" s="32">
        <v>88.9</v>
      </c>
      <c r="ET121" s="32">
        <v>86.4</v>
      </c>
      <c r="EU121" s="32">
        <v>85.1</v>
      </c>
      <c r="EV121" s="32">
        <v>85.1</v>
      </c>
      <c r="EW121" s="32">
        <v>89.7</v>
      </c>
      <c r="EX121" s="32">
        <v>101.8</v>
      </c>
      <c r="EY121" s="32">
        <v>80.2</v>
      </c>
      <c r="EZ121" s="32">
        <v>91.8</v>
      </c>
      <c r="FA121" s="32">
        <v>106.2</v>
      </c>
      <c r="FB121" s="32">
        <v>111.7</v>
      </c>
      <c r="FC121" s="32">
        <v>91.7</v>
      </c>
      <c r="FD121" s="32">
        <v>126.1</v>
      </c>
      <c r="FE121" s="32">
        <v>136.9</v>
      </c>
      <c r="FF121" s="32">
        <v>99.7</v>
      </c>
      <c r="FG121" s="32">
        <v>83.7</v>
      </c>
      <c r="FH121" s="32">
        <v>92.6</v>
      </c>
      <c r="FI121" s="32">
        <v>90.9</v>
      </c>
      <c r="FJ121" s="32">
        <v>79.099999999999994</v>
      </c>
      <c r="FK121" s="32">
        <v>65</v>
      </c>
      <c r="FL121" s="32">
        <v>65</v>
      </c>
    </row>
    <row r="122" spans="1:168" x14ac:dyDescent="0.2">
      <c r="A122" s="34" t="s">
        <v>1102</v>
      </c>
      <c r="B122" s="32">
        <v>84.1</v>
      </c>
      <c r="C122" s="32">
        <v>91.1</v>
      </c>
      <c r="D122" s="32">
        <v>104</v>
      </c>
      <c r="E122" s="32">
        <v>105.7</v>
      </c>
      <c r="F122" s="32">
        <v>201</v>
      </c>
      <c r="G122" s="32">
        <v>3152.8</v>
      </c>
      <c r="H122" s="32">
        <v>224.5</v>
      </c>
      <c r="I122" s="32">
        <v>82</v>
      </c>
      <c r="J122" s="32">
        <v>96.5</v>
      </c>
      <c r="K122" s="32">
        <v>104.3</v>
      </c>
      <c r="L122" s="32">
        <v>99.5</v>
      </c>
      <c r="M122" s="32">
        <v>93.8</v>
      </c>
      <c r="N122" s="32">
        <v>88.7</v>
      </c>
      <c r="O122" s="32">
        <v>61.6</v>
      </c>
      <c r="P122" s="32">
        <v>207.1</v>
      </c>
      <c r="Q122" s="32">
        <v>122.6</v>
      </c>
      <c r="R122" s="32">
        <v>100.9</v>
      </c>
      <c r="S122" s="32">
        <v>129.1</v>
      </c>
      <c r="T122" s="32">
        <v>70.5</v>
      </c>
      <c r="U122" s="32">
        <v>62.8</v>
      </c>
      <c r="V122" s="32">
        <v>148.5</v>
      </c>
      <c r="W122" s="32">
        <v>49</v>
      </c>
      <c r="X122" s="32">
        <v>40.700000000000003</v>
      </c>
      <c r="Y122" s="32">
        <v>54.2</v>
      </c>
      <c r="Z122" s="32">
        <v>87.7</v>
      </c>
      <c r="AA122" s="32">
        <v>88.5</v>
      </c>
      <c r="AB122" s="32">
        <v>79.2</v>
      </c>
      <c r="AC122" s="32">
        <v>69.3</v>
      </c>
      <c r="AD122" s="32">
        <v>113.5</v>
      </c>
      <c r="AE122" s="32">
        <v>124.8</v>
      </c>
      <c r="AF122" s="32">
        <v>124.8</v>
      </c>
      <c r="AG122" s="32">
        <v>67.8</v>
      </c>
      <c r="AH122" s="32">
        <v>67.8</v>
      </c>
      <c r="AI122" s="32">
        <v>272.39999999999998</v>
      </c>
      <c r="AJ122" s="32">
        <v>32.6</v>
      </c>
      <c r="AK122" s="32">
        <v>229</v>
      </c>
      <c r="AL122" s="32">
        <v>100.5</v>
      </c>
      <c r="AM122" s="32">
        <v>52.5</v>
      </c>
      <c r="AN122" s="32">
        <v>145.69999999999999</v>
      </c>
      <c r="AO122" s="32">
        <v>144.6</v>
      </c>
      <c r="AP122" s="32">
        <v>144.6</v>
      </c>
      <c r="AQ122" s="32">
        <v>103.2</v>
      </c>
      <c r="AR122" s="32">
        <v>98.1</v>
      </c>
      <c r="AS122" s="32">
        <v>112.6</v>
      </c>
      <c r="AT122" s="32">
        <v>123.1</v>
      </c>
      <c r="AU122" s="32">
        <v>102.9</v>
      </c>
      <c r="AV122" s="32">
        <v>99.9</v>
      </c>
      <c r="AW122" s="32">
        <v>142.1</v>
      </c>
      <c r="AX122" s="32">
        <v>97.6</v>
      </c>
      <c r="AY122" s="32">
        <v>304.3</v>
      </c>
      <c r="AZ122" s="32">
        <v>92.7</v>
      </c>
      <c r="BA122" s="32">
        <v>71.8</v>
      </c>
      <c r="BB122" s="32">
        <v>71.8</v>
      </c>
      <c r="BC122" s="32">
        <v>112.6</v>
      </c>
      <c r="BD122" s="32">
        <v>112.6</v>
      </c>
      <c r="BE122" s="32">
        <v>123</v>
      </c>
      <c r="BF122" s="32">
        <v>123</v>
      </c>
      <c r="BG122" s="32">
        <v>101.6</v>
      </c>
      <c r="BH122" s="32">
        <v>73.3</v>
      </c>
      <c r="BI122" s="32">
        <v>132.1</v>
      </c>
      <c r="BJ122" s="32">
        <v>53.3</v>
      </c>
      <c r="BK122" s="32">
        <v>177.4</v>
      </c>
      <c r="BL122" s="32">
        <v>49.5</v>
      </c>
      <c r="BM122" s="32">
        <v>101.9</v>
      </c>
      <c r="BN122" s="32">
        <v>105.2</v>
      </c>
      <c r="BO122" s="32">
        <v>100.9</v>
      </c>
      <c r="BP122" s="32">
        <v>109.7</v>
      </c>
      <c r="BQ122" s="32">
        <v>97.8</v>
      </c>
      <c r="BR122" s="32">
        <v>74.900000000000006</v>
      </c>
      <c r="BS122" s="32">
        <v>227.5</v>
      </c>
      <c r="BT122" s="32">
        <v>73.5</v>
      </c>
      <c r="BU122" s="32">
        <v>105.6</v>
      </c>
      <c r="BV122" s="32">
        <v>105.6</v>
      </c>
      <c r="BW122" s="32">
        <v>146.1</v>
      </c>
      <c r="BX122" s="32">
        <v>46.2</v>
      </c>
      <c r="BY122" s="32">
        <v>100.8</v>
      </c>
      <c r="BZ122" s="32">
        <v>94.1</v>
      </c>
      <c r="CA122" s="32">
        <v>104.3</v>
      </c>
      <c r="CB122" s="32">
        <v>119.7</v>
      </c>
      <c r="CC122" s="32">
        <v>95.6</v>
      </c>
      <c r="CD122" s="32">
        <v>29.9</v>
      </c>
      <c r="CE122" s="32">
        <v>98.9</v>
      </c>
      <c r="CF122" s="32">
        <v>79.400000000000006</v>
      </c>
      <c r="CG122" s="32">
        <v>93</v>
      </c>
      <c r="CH122" s="32">
        <v>93.9</v>
      </c>
      <c r="CI122" s="32">
        <v>96.4</v>
      </c>
      <c r="CJ122" s="32">
        <v>92.3</v>
      </c>
      <c r="CK122" s="32">
        <v>94.9</v>
      </c>
      <c r="CL122" s="32">
        <v>94.3</v>
      </c>
      <c r="CM122" s="32">
        <v>100.3</v>
      </c>
      <c r="CN122" s="32">
        <v>61.7</v>
      </c>
      <c r="CO122" s="32">
        <v>110.9</v>
      </c>
      <c r="CP122" s="32">
        <v>103.8</v>
      </c>
      <c r="CQ122" s="32">
        <v>34.9</v>
      </c>
      <c r="CR122" s="32">
        <v>94</v>
      </c>
      <c r="CS122" s="32">
        <v>120.8</v>
      </c>
      <c r="CT122" s="32">
        <v>89.7</v>
      </c>
      <c r="CU122" s="32">
        <v>74</v>
      </c>
      <c r="CV122" s="32">
        <v>96.5</v>
      </c>
      <c r="CW122" s="32">
        <v>36.200000000000003</v>
      </c>
      <c r="CX122" s="32">
        <v>84.4</v>
      </c>
      <c r="CY122" s="32">
        <v>102.2</v>
      </c>
      <c r="CZ122" s="32">
        <v>74.599999999999994</v>
      </c>
      <c r="DA122" s="32">
        <v>59.5</v>
      </c>
      <c r="DB122" s="32">
        <v>105.4</v>
      </c>
      <c r="DC122" s="32">
        <v>7.8</v>
      </c>
      <c r="DD122" s="32">
        <v>7.8</v>
      </c>
      <c r="DE122" s="32">
        <v>66.8</v>
      </c>
      <c r="DF122" s="32">
        <v>61.8</v>
      </c>
      <c r="DG122" s="32">
        <v>98.8</v>
      </c>
      <c r="DH122" s="32">
        <v>90.2</v>
      </c>
      <c r="DI122" s="32">
        <v>156.30000000000001</v>
      </c>
      <c r="DJ122" s="32">
        <v>49.6</v>
      </c>
      <c r="DK122" s="32">
        <v>49.6</v>
      </c>
      <c r="DL122" s="32">
        <v>43.3</v>
      </c>
      <c r="DM122" s="32">
        <v>74.2</v>
      </c>
      <c r="DN122" s="32">
        <v>51.5</v>
      </c>
      <c r="DO122" s="32">
        <v>84.6</v>
      </c>
      <c r="DP122" s="32">
        <v>44.7</v>
      </c>
      <c r="DQ122" s="32">
        <v>75.7</v>
      </c>
      <c r="DR122" s="32">
        <v>85</v>
      </c>
      <c r="DS122" s="32">
        <v>78.599999999999994</v>
      </c>
      <c r="DT122" s="32">
        <v>75.3</v>
      </c>
      <c r="DU122" s="32">
        <v>79.2</v>
      </c>
      <c r="DV122" s="32">
        <v>84.4</v>
      </c>
      <c r="DW122" s="32">
        <v>73.099999999999994</v>
      </c>
      <c r="DX122" s="32">
        <v>67</v>
      </c>
      <c r="DY122" s="32">
        <v>89.2</v>
      </c>
      <c r="DZ122" s="32">
        <v>138.80000000000001</v>
      </c>
      <c r="EA122" s="32">
        <v>138.80000000000001</v>
      </c>
      <c r="EB122" s="32">
        <v>87.8</v>
      </c>
      <c r="EC122" s="32">
        <v>97.6</v>
      </c>
      <c r="ED122" s="32">
        <v>75.400000000000006</v>
      </c>
      <c r="EE122" s="32">
        <v>79.7</v>
      </c>
      <c r="EF122" s="32">
        <v>64</v>
      </c>
      <c r="EG122" s="32">
        <v>62.8</v>
      </c>
      <c r="EH122" s="32">
        <v>73.400000000000006</v>
      </c>
      <c r="EI122" s="32">
        <v>59.1</v>
      </c>
      <c r="EJ122" s="32">
        <v>67.900000000000006</v>
      </c>
      <c r="EK122" s="32">
        <v>59</v>
      </c>
      <c r="EL122" s="32">
        <v>65.2</v>
      </c>
      <c r="EM122" s="32">
        <v>48.9</v>
      </c>
      <c r="EN122" s="32">
        <v>64.900000000000006</v>
      </c>
      <c r="EO122" s="32">
        <v>90.1</v>
      </c>
      <c r="EP122" s="32">
        <v>95.4</v>
      </c>
      <c r="EQ122" s="32">
        <v>95.4</v>
      </c>
      <c r="ER122" s="32">
        <v>90.6</v>
      </c>
      <c r="ES122" s="32">
        <v>90.6</v>
      </c>
      <c r="ET122" s="32">
        <v>86.2</v>
      </c>
      <c r="EU122" s="32">
        <v>84.9</v>
      </c>
      <c r="EV122" s="32">
        <v>84.9</v>
      </c>
      <c r="EW122" s="32">
        <v>89.5</v>
      </c>
      <c r="EX122" s="32">
        <v>101.7</v>
      </c>
      <c r="EY122" s="32">
        <v>80</v>
      </c>
      <c r="EZ122" s="32">
        <v>92.3</v>
      </c>
      <c r="FA122" s="32">
        <v>107.4</v>
      </c>
      <c r="FB122" s="32">
        <v>114.6</v>
      </c>
      <c r="FC122" s="32">
        <v>96.2</v>
      </c>
      <c r="FD122" s="32">
        <v>124.2</v>
      </c>
      <c r="FE122" s="32">
        <v>139.4</v>
      </c>
      <c r="FF122" s="32">
        <v>98.9</v>
      </c>
      <c r="FG122" s="32">
        <v>83.2</v>
      </c>
      <c r="FH122" s="32">
        <v>97.9</v>
      </c>
      <c r="FI122" s="32">
        <v>84.7</v>
      </c>
      <c r="FJ122" s="32">
        <v>77</v>
      </c>
      <c r="FK122" s="32">
        <v>69.400000000000006</v>
      </c>
      <c r="FL122" s="32">
        <v>69.400000000000006</v>
      </c>
    </row>
    <row r="123" spans="1:168" x14ac:dyDescent="0.2">
      <c r="A123" s="34" t="s">
        <v>1103</v>
      </c>
      <c r="B123" s="32">
        <v>83.7</v>
      </c>
      <c r="C123" s="32">
        <v>89.2</v>
      </c>
      <c r="D123" s="32">
        <v>103.3</v>
      </c>
      <c r="E123" s="32">
        <v>104.6</v>
      </c>
      <c r="F123" s="32">
        <v>197.6</v>
      </c>
      <c r="G123" s="32">
        <v>3503.8</v>
      </c>
      <c r="H123" s="32">
        <v>220.2</v>
      </c>
      <c r="I123" s="32">
        <v>81.3</v>
      </c>
      <c r="J123" s="32">
        <v>95.7</v>
      </c>
      <c r="K123" s="32">
        <v>105.3</v>
      </c>
      <c r="L123" s="32">
        <v>100.5</v>
      </c>
      <c r="M123" s="32">
        <v>97.7</v>
      </c>
      <c r="N123" s="32">
        <v>87.9</v>
      </c>
      <c r="O123" s="32">
        <v>62.9</v>
      </c>
      <c r="P123" s="32">
        <v>205.8</v>
      </c>
      <c r="Q123" s="32">
        <v>119.6</v>
      </c>
      <c r="R123" s="32">
        <v>100.5</v>
      </c>
      <c r="S123" s="32">
        <v>131.30000000000001</v>
      </c>
      <c r="T123" s="32">
        <v>72.099999999999994</v>
      </c>
      <c r="U123" s="32">
        <v>61</v>
      </c>
      <c r="V123" s="32">
        <v>150.30000000000001</v>
      </c>
      <c r="W123" s="32">
        <v>49.6</v>
      </c>
      <c r="X123" s="32">
        <v>41</v>
      </c>
      <c r="Y123" s="32">
        <v>55.6</v>
      </c>
      <c r="Z123" s="32">
        <v>89.6</v>
      </c>
      <c r="AA123" s="32">
        <v>92.5</v>
      </c>
      <c r="AB123" s="32">
        <v>90.4</v>
      </c>
      <c r="AC123" s="32">
        <v>71.900000000000006</v>
      </c>
      <c r="AD123" s="32">
        <v>114.8</v>
      </c>
      <c r="AE123" s="32">
        <v>122.5</v>
      </c>
      <c r="AF123" s="32">
        <v>122.5</v>
      </c>
      <c r="AG123" s="32">
        <v>67.400000000000006</v>
      </c>
      <c r="AH123" s="32">
        <v>67.400000000000006</v>
      </c>
      <c r="AI123" s="32">
        <v>271.3</v>
      </c>
      <c r="AJ123" s="32">
        <v>31.4</v>
      </c>
      <c r="AK123" s="32">
        <v>209.9</v>
      </c>
      <c r="AL123" s="32">
        <v>101.4</v>
      </c>
      <c r="AM123" s="32">
        <v>53.7</v>
      </c>
      <c r="AN123" s="32">
        <v>146.80000000000001</v>
      </c>
      <c r="AO123" s="32">
        <v>128.19999999999999</v>
      </c>
      <c r="AP123" s="32">
        <v>128.19999999999999</v>
      </c>
      <c r="AQ123" s="32">
        <v>101.6</v>
      </c>
      <c r="AR123" s="32">
        <v>97.7</v>
      </c>
      <c r="AS123" s="32">
        <v>109.2</v>
      </c>
      <c r="AT123" s="32">
        <v>120</v>
      </c>
      <c r="AU123" s="32">
        <v>99.2</v>
      </c>
      <c r="AV123" s="32">
        <v>99.1</v>
      </c>
      <c r="AW123" s="32">
        <v>144.4</v>
      </c>
      <c r="AX123" s="32">
        <v>99.4</v>
      </c>
      <c r="AY123" s="32">
        <v>309.5</v>
      </c>
      <c r="AZ123" s="32">
        <v>91.1</v>
      </c>
      <c r="BA123" s="32">
        <v>72.2</v>
      </c>
      <c r="BB123" s="32">
        <v>72.2</v>
      </c>
      <c r="BC123" s="32">
        <v>112.8</v>
      </c>
      <c r="BD123" s="32">
        <v>112.8</v>
      </c>
      <c r="BE123" s="32">
        <v>119.2</v>
      </c>
      <c r="BF123" s="32">
        <v>119.2</v>
      </c>
      <c r="BG123" s="32">
        <v>101.6</v>
      </c>
      <c r="BH123" s="32">
        <v>73.2</v>
      </c>
      <c r="BI123" s="32">
        <v>132.19999999999999</v>
      </c>
      <c r="BJ123" s="32">
        <v>53.8</v>
      </c>
      <c r="BK123" s="32">
        <v>177.4</v>
      </c>
      <c r="BL123" s="32">
        <v>49.6</v>
      </c>
      <c r="BM123" s="32">
        <v>102.3</v>
      </c>
      <c r="BN123" s="32">
        <v>107.2</v>
      </c>
      <c r="BO123" s="32">
        <v>104.4</v>
      </c>
      <c r="BP123" s="32">
        <v>110.5</v>
      </c>
      <c r="BQ123" s="32">
        <v>96</v>
      </c>
      <c r="BR123" s="32">
        <v>78.2</v>
      </c>
      <c r="BS123" s="32">
        <v>202.8</v>
      </c>
      <c r="BT123" s="32">
        <v>74.8</v>
      </c>
      <c r="BU123" s="32">
        <v>101.4</v>
      </c>
      <c r="BV123" s="32">
        <v>101.4</v>
      </c>
      <c r="BW123" s="32">
        <v>137.6</v>
      </c>
      <c r="BX123" s="32">
        <v>46.5</v>
      </c>
      <c r="BY123" s="32">
        <v>100.8</v>
      </c>
      <c r="BZ123" s="32">
        <v>93.8</v>
      </c>
      <c r="CA123" s="32">
        <v>104.6</v>
      </c>
      <c r="CB123" s="32">
        <v>119.5</v>
      </c>
      <c r="CC123" s="32">
        <v>96.5</v>
      </c>
      <c r="CD123" s="32">
        <v>29.8</v>
      </c>
      <c r="CE123" s="32">
        <v>99.3</v>
      </c>
      <c r="CF123" s="32">
        <v>79.099999999999994</v>
      </c>
      <c r="CG123" s="32">
        <v>92</v>
      </c>
      <c r="CH123" s="32">
        <v>93.7</v>
      </c>
      <c r="CI123" s="32">
        <v>93.7</v>
      </c>
      <c r="CJ123" s="32">
        <v>91.7</v>
      </c>
      <c r="CK123" s="32">
        <v>95.9</v>
      </c>
      <c r="CL123" s="32">
        <v>92.9</v>
      </c>
      <c r="CM123" s="32">
        <v>99.2</v>
      </c>
      <c r="CN123" s="32">
        <v>61.8</v>
      </c>
      <c r="CO123" s="32">
        <v>109.4</v>
      </c>
      <c r="CP123" s="32">
        <v>95.4</v>
      </c>
      <c r="CQ123" s="32">
        <v>34.200000000000003</v>
      </c>
      <c r="CR123" s="32">
        <v>92.3</v>
      </c>
      <c r="CS123" s="32">
        <v>121.9</v>
      </c>
      <c r="CT123" s="32">
        <v>85.6</v>
      </c>
      <c r="CU123" s="32">
        <v>70.900000000000006</v>
      </c>
      <c r="CV123" s="32">
        <v>91.9</v>
      </c>
      <c r="CW123" s="32">
        <v>36.299999999999997</v>
      </c>
      <c r="CX123" s="32">
        <v>86.7</v>
      </c>
      <c r="CY123" s="32">
        <v>101</v>
      </c>
      <c r="CZ123" s="32">
        <v>79.2</v>
      </c>
      <c r="DA123" s="32">
        <v>65.7</v>
      </c>
      <c r="DB123" s="32">
        <v>105.7</v>
      </c>
      <c r="DC123" s="32">
        <v>7.9</v>
      </c>
      <c r="DD123" s="32">
        <v>7.9</v>
      </c>
      <c r="DE123" s="32">
        <v>65.400000000000006</v>
      </c>
      <c r="DF123" s="32">
        <v>60.1</v>
      </c>
      <c r="DG123" s="32">
        <v>99.2</v>
      </c>
      <c r="DH123" s="32">
        <v>91.3</v>
      </c>
      <c r="DI123" s="32">
        <v>156.4</v>
      </c>
      <c r="DJ123" s="32">
        <v>51.8</v>
      </c>
      <c r="DK123" s="32">
        <v>51.8</v>
      </c>
      <c r="DL123" s="32">
        <v>46.1</v>
      </c>
      <c r="DM123" s="32">
        <v>73.400000000000006</v>
      </c>
      <c r="DN123" s="32">
        <v>50.6</v>
      </c>
      <c r="DO123" s="32">
        <v>83.8</v>
      </c>
      <c r="DP123" s="32">
        <v>46.1</v>
      </c>
      <c r="DQ123" s="32">
        <v>76.099999999999994</v>
      </c>
      <c r="DR123" s="32">
        <v>84.6</v>
      </c>
      <c r="DS123" s="32">
        <v>78.8</v>
      </c>
      <c r="DT123" s="32">
        <v>76.2</v>
      </c>
      <c r="DU123" s="32">
        <v>79.5</v>
      </c>
      <c r="DV123" s="32">
        <v>85.6</v>
      </c>
      <c r="DW123" s="32">
        <v>72.400000000000006</v>
      </c>
      <c r="DX123" s="32">
        <v>69.2</v>
      </c>
      <c r="DY123" s="32">
        <v>87.6</v>
      </c>
      <c r="DZ123" s="32">
        <v>128.69999999999999</v>
      </c>
      <c r="EA123" s="32">
        <v>128.69999999999999</v>
      </c>
      <c r="EB123" s="32">
        <v>88.1</v>
      </c>
      <c r="EC123" s="32">
        <v>97.2</v>
      </c>
      <c r="ED123" s="32">
        <v>76.599999999999994</v>
      </c>
      <c r="EE123" s="32">
        <v>81.3</v>
      </c>
      <c r="EF123" s="32">
        <v>64</v>
      </c>
      <c r="EG123" s="32">
        <v>64.2</v>
      </c>
      <c r="EH123" s="32">
        <v>74</v>
      </c>
      <c r="EI123" s="32">
        <v>61.9</v>
      </c>
      <c r="EJ123" s="32">
        <v>69.2</v>
      </c>
      <c r="EK123" s="32">
        <v>60</v>
      </c>
      <c r="EL123" s="32">
        <v>70.599999999999994</v>
      </c>
      <c r="EM123" s="32">
        <v>47.7</v>
      </c>
      <c r="EN123" s="32">
        <v>66.599999999999994</v>
      </c>
      <c r="EO123" s="32">
        <v>89.7</v>
      </c>
      <c r="EP123" s="32">
        <v>95.1</v>
      </c>
      <c r="EQ123" s="32">
        <v>95.1</v>
      </c>
      <c r="ER123" s="32">
        <v>90.2</v>
      </c>
      <c r="ES123" s="32">
        <v>90.2</v>
      </c>
      <c r="ET123" s="32">
        <v>85.7</v>
      </c>
      <c r="EU123" s="32">
        <v>84.3</v>
      </c>
      <c r="EV123" s="32">
        <v>84.3</v>
      </c>
      <c r="EW123" s="32">
        <v>89.1</v>
      </c>
      <c r="EX123" s="32">
        <v>101.3</v>
      </c>
      <c r="EY123" s="32">
        <v>79.599999999999994</v>
      </c>
      <c r="EZ123" s="32">
        <v>92.6</v>
      </c>
      <c r="FA123" s="32">
        <v>107.2</v>
      </c>
      <c r="FB123" s="32">
        <v>114.3</v>
      </c>
      <c r="FC123" s="32">
        <v>94.2</v>
      </c>
      <c r="FD123" s="32">
        <v>121.7</v>
      </c>
      <c r="FE123" s="32">
        <v>143.5</v>
      </c>
      <c r="FF123" s="32">
        <v>98.8</v>
      </c>
      <c r="FG123" s="32">
        <v>84.1</v>
      </c>
      <c r="FH123" s="32">
        <v>102</v>
      </c>
      <c r="FI123" s="32">
        <v>83.3</v>
      </c>
      <c r="FJ123" s="32">
        <v>76.900000000000006</v>
      </c>
      <c r="FK123" s="32">
        <v>67</v>
      </c>
      <c r="FL123" s="32">
        <v>67</v>
      </c>
    </row>
    <row r="124" spans="1:168" x14ac:dyDescent="0.2">
      <c r="A124" s="34" t="s">
        <v>1104</v>
      </c>
      <c r="B124" s="32">
        <v>84.1</v>
      </c>
      <c r="C124" s="32">
        <v>87.3</v>
      </c>
      <c r="D124" s="32">
        <v>103.9</v>
      </c>
      <c r="E124" s="32">
        <v>105.3</v>
      </c>
      <c r="F124" s="32">
        <v>196.7</v>
      </c>
      <c r="G124" s="32">
        <v>3520.7</v>
      </c>
      <c r="H124" s="32">
        <v>219.3</v>
      </c>
      <c r="I124" s="32">
        <v>80.599999999999994</v>
      </c>
      <c r="J124" s="32">
        <v>96.2</v>
      </c>
      <c r="K124" s="32">
        <v>106</v>
      </c>
      <c r="L124" s="32">
        <v>102.2</v>
      </c>
      <c r="M124" s="32">
        <v>104.8</v>
      </c>
      <c r="N124" s="32">
        <v>89.4</v>
      </c>
      <c r="O124" s="32">
        <v>65</v>
      </c>
      <c r="P124" s="32">
        <v>195.9</v>
      </c>
      <c r="Q124" s="32">
        <v>119.5</v>
      </c>
      <c r="R124" s="32">
        <v>100.8</v>
      </c>
      <c r="S124" s="32">
        <v>134.5</v>
      </c>
      <c r="T124" s="32">
        <v>71.400000000000006</v>
      </c>
      <c r="U124" s="32">
        <v>60.1</v>
      </c>
      <c r="V124" s="32">
        <v>146.19999999999999</v>
      </c>
      <c r="W124" s="32">
        <v>51.7</v>
      </c>
      <c r="X124" s="32">
        <v>44</v>
      </c>
      <c r="Y124" s="32">
        <v>55.4</v>
      </c>
      <c r="Z124" s="32">
        <v>90.1</v>
      </c>
      <c r="AA124" s="32">
        <v>92.6</v>
      </c>
      <c r="AB124" s="32">
        <v>96.6</v>
      </c>
      <c r="AC124" s="32">
        <v>73.900000000000006</v>
      </c>
      <c r="AD124" s="32">
        <v>110.4</v>
      </c>
      <c r="AE124" s="32">
        <v>128.30000000000001</v>
      </c>
      <c r="AF124" s="32">
        <v>128.30000000000001</v>
      </c>
      <c r="AG124" s="32">
        <v>68.099999999999994</v>
      </c>
      <c r="AH124" s="32">
        <v>68.099999999999994</v>
      </c>
      <c r="AI124" s="32">
        <v>277.7</v>
      </c>
      <c r="AJ124" s="32">
        <v>30.4</v>
      </c>
      <c r="AK124" s="32">
        <v>156.5</v>
      </c>
      <c r="AL124" s="32">
        <v>107.5</v>
      </c>
      <c r="AM124" s="32">
        <v>56.6</v>
      </c>
      <c r="AN124" s="32">
        <v>150.80000000000001</v>
      </c>
      <c r="AO124" s="32">
        <v>126.2</v>
      </c>
      <c r="AP124" s="32">
        <v>126.2</v>
      </c>
      <c r="AQ124" s="32">
        <v>101.7</v>
      </c>
      <c r="AR124" s="32">
        <v>97.5</v>
      </c>
      <c r="AS124" s="32">
        <v>109.7</v>
      </c>
      <c r="AT124" s="32">
        <v>119.8</v>
      </c>
      <c r="AU124" s="32">
        <v>100.4</v>
      </c>
      <c r="AV124" s="32">
        <v>98.6</v>
      </c>
      <c r="AW124" s="32">
        <v>149.69999999999999</v>
      </c>
      <c r="AX124" s="32">
        <v>99.3</v>
      </c>
      <c r="AY124" s="32">
        <v>330.6</v>
      </c>
      <c r="AZ124" s="32">
        <v>89.4</v>
      </c>
      <c r="BA124" s="32">
        <v>74.599999999999994</v>
      </c>
      <c r="BB124" s="32">
        <v>74.599999999999994</v>
      </c>
      <c r="BC124" s="32">
        <v>112.5</v>
      </c>
      <c r="BD124" s="32">
        <v>112.5</v>
      </c>
      <c r="BE124" s="32">
        <v>120.5</v>
      </c>
      <c r="BF124" s="32">
        <v>120.5</v>
      </c>
      <c r="BG124" s="32">
        <v>101.3</v>
      </c>
      <c r="BH124" s="32">
        <v>73.599999999999994</v>
      </c>
      <c r="BI124" s="32">
        <v>130.9</v>
      </c>
      <c r="BJ124" s="32">
        <v>55.3</v>
      </c>
      <c r="BK124" s="32">
        <v>175</v>
      </c>
      <c r="BL124" s="32">
        <v>48.6</v>
      </c>
      <c r="BM124" s="32">
        <v>104.4</v>
      </c>
      <c r="BN124" s="32">
        <v>108.2</v>
      </c>
      <c r="BO124" s="32">
        <v>109.2</v>
      </c>
      <c r="BP124" s="32">
        <v>107.7</v>
      </c>
      <c r="BQ124" s="32">
        <v>99.8</v>
      </c>
      <c r="BR124" s="32">
        <v>69.900000000000006</v>
      </c>
      <c r="BS124" s="32">
        <v>232.6</v>
      </c>
      <c r="BT124" s="32">
        <v>75.8</v>
      </c>
      <c r="BU124" s="32">
        <v>104.1</v>
      </c>
      <c r="BV124" s="32">
        <v>104.1</v>
      </c>
      <c r="BW124" s="32">
        <v>142.19999999999999</v>
      </c>
      <c r="BX124" s="32">
        <v>46.9</v>
      </c>
      <c r="BY124" s="32">
        <v>101.3</v>
      </c>
      <c r="BZ124" s="32">
        <v>93.6</v>
      </c>
      <c r="CA124" s="32">
        <v>105.5</v>
      </c>
      <c r="CB124" s="32">
        <v>120.1</v>
      </c>
      <c r="CC124" s="32">
        <v>97.6</v>
      </c>
      <c r="CD124" s="32">
        <v>30.1</v>
      </c>
      <c r="CE124" s="32">
        <v>99.6</v>
      </c>
      <c r="CF124" s="32">
        <v>79.400000000000006</v>
      </c>
      <c r="CG124" s="32">
        <v>92.2</v>
      </c>
      <c r="CH124" s="32">
        <v>93.4</v>
      </c>
      <c r="CI124" s="32">
        <v>93.4</v>
      </c>
      <c r="CJ124" s="32">
        <v>91.3</v>
      </c>
      <c r="CK124" s="32">
        <v>95.7</v>
      </c>
      <c r="CL124" s="32">
        <v>93</v>
      </c>
      <c r="CM124" s="32">
        <v>99.8</v>
      </c>
      <c r="CN124" s="32">
        <v>62.7</v>
      </c>
      <c r="CO124" s="32">
        <v>110</v>
      </c>
      <c r="CP124" s="32">
        <v>89.2</v>
      </c>
      <c r="CQ124" s="32">
        <v>35.200000000000003</v>
      </c>
      <c r="CR124" s="32">
        <v>92.8</v>
      </c>
      <c r="CS124" s="32">
        <v>121.3</v>
      </c>
      <c r="CT124" s="32">
        <v>87.9</v>
      </c>
      <c r="CU124" s="32">
        <v>73.5</v>
      </c>
      <c r="CV124" s="32">
        <v>94.1</v>
      </c>
      <c r="CW124" s="32">
        <v>36.4</v>
      </c>
      <c r="CX124" s="32">
        <v>86.2</v>
      </c>
      <c r="CY124" s="32">
        <v>99.1</v>
      </c>
      <c r="CZ124" s="32">
        <v>79.5</v>
      </c>
      <c r="DA124" s="32">
        <v>66.400000000000006</v>
      </c>
      <c r="DB124" s="32">
        <v>105.2</v>
      </c>
      <c r="DC124" s="32">
        <v>7.9</v>
      </c>
      <c r="DD124" s="32">
        <v>7.9</v>
      </c>
      <c r="DE124" s="32">
        <v>66</v>
      </c>
      <c r="DF124" s="32">
        <v>60.1</v>
      </c>
      <c r="DG124" s="32">
        <v>104.1</v>
      </c>
      <c r="DH124" s="32">
        <v>95.2</v>
      </c>
      <c r="DI124" s="32">
        <v>159</v>
      </c>
      <c r="DJ124" s="32">
        <v>56.4</v>
      </c>
      <c r="DK124" s="32">
        <v>56.4</v>
      </c>
      <c r="DL124" s="32">
        <v>50.5</v>
      </c>
      <c r="DM124" s="32">
        <v>73.3</v>
      </c>
      <c r="DN124" s="32">
        <v>50.6</v>
      </c>
      <c r="DO124" s="32">
        <v>83.5</v>
      </c>
      <c r="DP124" s="32">
        <v>48</v>
      </c>
      <c r="DQ124" s="32">
        <v>75.099999999999994</v>
      </c>
      <c r="DR124" s="32">
        <v>82.9</v>
      </c>
      <c r="DS124" s="32">
        <v>79.099999999999994</v>
      </c>
      <c r="DT124" s="32">
        <v>76.5</v>
      </c>
      <c r="DU124" s="32">
        <v>78.8</v>
      </c>
      <c r="DV124" s="32">
        <v>83.6</v>
      </c>
      <c r="DW124" s="32">
        <v>73.2</v>
      </c>
      <c r="DX124" s="32">
        <v>71.7</v>
      </c>
      <c r="DY124" s="32">
        <v>87.6</v>
      </c>
      <c r="DZ124" s="32">
        <v>112</v>
      </c>
      <c r="EA124" s="32">
        <v>112</v>
      </c>
      <c r="EB124" s="32">
        <v>85.1</v>
      </c>
      <c r="EC124" s="32">
        <v>90</v>
      </c>
      <c r="ED124" s="32">
        <v>79.2</v>
      </c>
      <c r="EE124" s="32">
        <v>84.6</v>
      </c>
      <c r="EF124" s="32">
        <v>64.599999999999994</v>
      </c>
      <c r="EG124" s="32">
        <v>64.3</v>
      </c>
      <c r="EH124" s="32">
        <v>75.599999999999994</v>
      </c>
      <c r="EI124" s="32">
        <v>59.3</v>
      </c>
      <c r="EJ124" s="32">
        <v>67.8</v>
      </c>
      <c r="EK124" s="32">
        <v>61.6</v>
      </c>
      <c r="EL124" s="32">
        <v>73</v>
      </c>
      <c r="EM124" s="32">
        <v>47.2</v>
      </c>
      <c r="EN124" s="32">
        <v>69.5</v>
      </c>
      <c r="EO124" s="32">
        <v>89.6</v>
      </c>
      <c r="EP124" s="32">
        <v>95.1</v>
      </c>
      <c r="EQ124" s="32">
        <v>95.1</v>
      </c>
      <c r="ER124" s="32">
        <v>90.4</v>
      </c>
      <c r="ES124" s="32">
        <v>90.4</v>
      </c>
      <c r="ET124" s="32">
        <v>85.5</v>
      </c>
      <c r="EU124" s="32">
        <v>84.2</v>
      </c>
      <c r="EV124" s="32">
        <v>84.2</v>
      </c>
      <c r="EW124" s="32">
        <v>88.7</v>
      </c>
      <c r="EX124" s="32">
        <v>100.8</v>
      </c>
      <c r="EY124" s="32">
        <v>79.3</v>
      </c>
      <c r="EZ124" s="32">
        <v>94.2</v>
      </c>
      <c r="FA124" s="32">
        <v>107.8</v>
      </c>
      <c r="FB124" s="32">
        <v>117.3</v>
      </c>
      <c r="FC124" s="32">
        <v>98.6</v>
      </c>
      <c r="FD124" s="32">
        <v>120.2</v>
      </c>
      <c r="FE124" s="32">
        <v>146.30000000000001</v>
      </c>
      <c r="FF124" s="32">
        <v>96.3</v>
      </c>
      <c r="FG124" s="32">
        <v>86.3</v>
      </c>
      <c r="FH124" s="32">
        <v>105</v>
      </c>
      <c r="FI124" s="32">
        <v>88</v>
      </c>
      <c r="FJ124" s="32">
        <v>78.5</v>
      </c>
      <c r="FK124" s="32">
        <v>70.099999999999994</v>
      </c>
      <c r="FL124" s="32">
        <v>70.099999999999994</v>
      </c>
    </row>
    <row r="125" spans="1:168" x14ac:dyDescent="0.2">
      <c r="A125" s="34" t="s">
        <v>1105</v>
      </c>
      <c r="B125" s="32">
        <v>84.7</v>
      </c>
      <c r="C125" s="32">
        <v>85.3</v>
      </c>
      <c r="D125" s="32">
        <v>103.6</v>
      </c>
      <c r="E125" s="32">
        <v>104.6</v>
      </c>
      <c r="F125" s="32">
        <v>185</v>
      </c>
      <c r="G125" s="32">
        <v>3252.9</v>
      </c>
      <c r="H125" s="32">
        <v>204.7</v>
      </c>
      <c r="I125" s="32">
        <v>79.400000000000006</v>
      </c>
      <c r="J125" s="32">
        <v>96.6</v>
      </c>
      <c r="K125" s="32">
        <v>107.1</v>
      </c>
      <c r="L125" s="32">
        <v>102.3</v>
      </c>
      <c r="M125" s="32">
        <v>101.9</v>
      </c>
      <c r="N125" s="32">
        <v>96.1</v>
      </c>
      <c r="O125" s="32">
        <v>71.5</v>
      </c>
      <c r="P125" s="32">
        <v>191.7</v>
      </c>
      <c r="Q125" s="32">
        <v>127.3</v>
      </c>
      <c r="R125" s="32">
        <v>98.2</v>
      </c>
      <c r="S125" s="32">
        <v>134.6</v>
      </c>
      <c r="T125" s="32">
        <v>72.400000000000006</v>
      </c>
      <c r="U125" s="32">
        <v>64.8</v>
      </c>
      <c r="V125" s="32">
        <v>151</v>
      </c>
      <c r="W125" s="32">
        <v>55.3</v>
      </c>
      <c r="X125" s="32">
        <v>46.3</v>
      </c>
      <c r="Y125" s="32">
        <v>61.6</v>
      </c>
      <c r="Z125" s="32">
        <v>91.3</v>
      </c>
      <c r="AA125" s="32">
        <v>92.9</v>
      </c>
      <c r="AB125" s="32">
        <v>85.4</v>
      </c>
      <c r="AC125" s="32">
        <v>75.900000000000006</v>
      </c>
      <c r="AD125" s="32">
        <v>115.7</v>
      </c>
      <c r="AE125" s="32">
        <v>123.6</v>
      </c>
      <c r="AF125" s="32">
        <v>123.6</v>
      </c>
      <c r="AG125" s="32">
        <v>68.5</v>
      </c>
      <c r="AH125" s="32">
        <v>68.5</v>
      </c>
      <c r="AI125" s="32">
        <v>302.39999999999998</v>
      </c>
      <c r="AJ125" s="32">
        <v>28.6</v>
      </c>
      <c r="AK125" s="32">
        <v>132.69999999999999</v>
      </c>
      <c r="AL125" s="32">
        <v>107.6</v>
      </c>
      <c r="AM125" s="32">
        <v>55.4</v>
      </c>
      <c r="AN125" s="32">
        <v>164.6</v>
      </c>
      <c r="AO125" s="32">
        <v>132.6</v>
      </c>
      <c r="AP125" s="32">
        <v>132.6</v>
      </c>
      <c r="AQ125" s="32">
        <v>100.8</v>
      </c>
      <c r="AR125" s="32">
        <v>97.1</v>
      </c>
      <c r="AS125" s="32">
        <v>108</v>
      </c>
      <c r="AT125" s="32">
        <v>118</v>
      </c>
      <c r="AU125" s="32">
        <v>98.7</v>
      </c>
      <c r="AV125" s="32">
        <v>99.6</v>
      </c>
      <c r="AW125" s="32">
        <v>146.9</v>
      </c>
      <c r="AX125" s="32">
        <v>98.4</v>
      </c>
      <c r="AY125" s="32">
        <v>322.10000000000002</v>
      </c>
      <c r="AZ125" s="32">
        <v>91.2</v>
      </c>
      <c r="BA125" s="32">
        <v>70.599999999999994</v>
      </c>
      <c r="BB125" s="32">
        <v>70.599999999999994</v>
      </c>
      <c r="BC125" s="32">
        <v>110.8</v>
      </c>
      <c r="BD125" s="32">
        <v>110.8</v>
      </c>
      <c r="BE125" s="32">
        <v>123.6</v>
      </c>
      <c r="BF125" s="32">
        <v>123.6</v>
      </c>
      <c r="BG125" s="32">
        <v>98.8</v>
      </c>
      <c r="BH125" s="32">
        <v>71.400000000000006</v>
      </c>
      <c r="BI125" s="32">
        <v>128.19999999999999</v>
      </c>
      <c r="BJ125" s="32">
        <v>56.1</v>
      </c>
      <c r="BK125" s="32">
        <v>170.9</v>
      </c>
      <c r="BL125" s="32">
        <v>46.4</v>
      </c>
      <c r="BM125" s="32">
        <v>105</v>
      </c>
      <c r="BN125" s="32">
        <v>109.1</v>
      </c>
      <c r="BO125" s="32">
        <v>114.4</v>
      </c>
      <c r="BP125" s="32">
        <v>104.5</v>
      </c>
      <c r="BQ125" s="32">
        <v>99.9</v>
      </c>
      <c r="BR125" s="32">
        <v>68</v>
      </c>
      <c r="BS125" s="32">
        <v>246.4</v>
      </c>
      <c r="BT125" s="32">
        <v>74</v>
      </c>
      <c r="BU125" s="32">
        <v>102.2</v>
      </c>
      <c r="BV125" s="32">
        <v>102.2</v>
      </c>
      <c r="BW125" s="32">
        <v>140.9</v>
      </c>
      <c r="BX125" s="32">
        <v>45.1</v>
      </c>
      <c r="BY125" s="32">
        <v>100.9</v>
      </c>
      <c r="BZ125" s="32">
        <v>92</v>
      </c>
      <c r="CA125" s="32">
        <v>105.6</v>
      </c>
      <c r="CB125" s="32">
        <v>118.2</v>
      </c>
      <c r="CC125" s="32">
        <v>99.4</v>
      </c>
      <c r="CD125" s="32">
        <v>30.6</v>
      </c>
      <c r="CE125" s="32">
        <v>99.9</v>
      </c>
      <c r="CF125" s="32">
        <v>80.3</v>
      </c>
      <c r="CG125" s="32">
        <v>92.3</v>
      </c>
      <c r="CH125" s="32">
        <v>93.5</v>
      </c>
      <c r="CI125" s="32">
        <v>95</v>
      </c>
      <c r="CJ125" s="32">
        <v>90.3</v>
      </c>
      <c r="CK125" s="32">
        <v>96.2</v>
      </c>
      <c r="CL125" s="32">
        <v>93.6</v>
      </c>
      <c r="CM125" s="32">
        <v>101</v>
      </c>
      <c r="CN125" s="32">
        <v>63.4</v>
      </c>
      <c r="CO125" s="32">
        <v>111.3</v>
      </c>
      <c r="CP125" s="32">
        <v>86.9</v>
      </c>
      <c r="CQ125" s="32">
        <v>36.299999999999997</v>
      </c>
      <c r="CR125" s="32">
        <v>92.2</v>
      </c>
      <c r="CS125" s="32">
        <v>122.9</v>
      </c>
      <c r="CT125" s="32">
        <v>87.3</v>
      </c>
      <c r="CU125" s="32">
        <v>71.099999999999994</v>
      </c>
      <c r="CV125" s="32">
        <v>94.4</v>
      </c>
      <c r="CW125" s="32">
        <v>36.799999999999997</v>
      </c>
      <c r="CX125" s="32">
        <v>88.7</v>
      </c>
      <c r="CY125" s="32">
        <v>104.4</v>
      </c>
      <c r="CZ125" s="32">
        <v>80.400000000000006</v>
      </c>
      <c r="DA125" s="32">
        <v>68.3</v>
      </c>
      <c r="DB125" s="32">
        <v>103.8</v>
      </c>
      <c r="DC125" s="32">
        <v>7.9</v>
      </c>
      <c r="DD125" s="32">
        <v>7.9</v>
      </c>
      <c r="DE125" s="32">
        <v>66.8</v>
      </c>
      <c r="DF125" s="32">
        <v>61.7</v>
      </c>
      <c r="DG125" s="32">
        <v>99.9</v>
      </c>
      <c r="DH125" s="32">
        <v>99.8</v>
      </c>
      <c r="DI125" s="32">
        <v>163.80000000000001</v>
      </c>
      <c r="DJ125" s="32">
        <v>61.1</v>
      </c>
      <c r="DK125" s="32">
        <v>61.1</v>
      </c>
      <c r="DL125" s="32">
        <v>53.7</v>
      </c>
      <c r="DM125" s="32">
        <v>73.400000000000006</v>
      </c>
      <c r="DN125" s="32">
        <v>51</v>
      </c>
      <c r="DO125" s="32">
        <v>83.3</v>
      </c>
      <c r="DP125" s="32">
        <v>51</v>
      </c>
      <c r="DQ125" s="32">
        <v>76.599999999999994</v>
      </c>
      <c r="DR125" s="32">
        <v>85.1</v>
      </c>
      <c r="DS125" s="32">
        <v>80.8</v>
      </c>
      <c r="DT125" s="32">
        <v>77.599999999999994</v>
      </c>
      <c r="DU125" s="32">
        <v>79.3</v>
      </c>
      <c r="DV125" s="32">
        <v>84.8</v>
      </c>
      <c r="DW125" s="32">
        <v>72.8</v>
      </c>
      <c r="DX125" s="32">
        <v>73.900000000000006</v>
      </c>
      <c r="DY125" s="32">
        <v>91.6</v>
      </c>
      <c r="DZ125" s="32">
        <v>133</v>
      </c>
      <c r="EA125" s="32">
        <v>133</v>
      </c>
      <c r="EB125" s="32">
        <v>82.9</v>
      </c>
      <c r="EC125" s="32">
        <v>85.1</v>
      </c>
      <c r="ED125" s="32">
        <v>80.400000000000006</v>
      </c>
      <c r="EE125" s="32">
        <v>86</v>
      </c>
      <c r="EF125" s="32">
        <v>65.599999999999994</v>
      </c>
      <c r="EG125" s="32">
        <v>64.7</v>
      </c>
      <c r="EH125" s="32">
        <v>75.599999999999994</v>
      </c>
      <c r="EI125" s="32">
        <v>59.5</v>
      </c>
      <c r="EJ125" s="32">
        <v>66.3</v>
      </c>
      <c r="EK125" s="32">
        <v>62.8</v>
      </c>
      <c r="EL125" s="32">
        <v>74.400000000000006</v>
      </c>
      <c r="EM125" s="32">
        <v>47.8</v>
      </c>
      <c r="EN125" s="32">
        <v>71.099999999999994</v>
      </c>
      <c r="EO125" s="32">
        <v>90.2</v>
      </c>
      <c r="EP125" s="32">
        <v>95.1</v>
      </c>
      <c r="EQ125" s="32">
        <v>95.1</v>
      </c>
      <c r="ER125" s="32">
        <v>91.6</v>
      </c>
      <c r="ES125" s="32">
        <v>91.6</v>
      </c>
      <c r="ET125" s="32">
        <v>86</v>
      </c>
      <c r="EU125" s="32">
        <v>85</v>
      </c>
      <c r="EV125" s="32">
        <v>85</v>
      </c>
      <c r="EW125" s="32">
        <v>88.4</v>
      </c>
      <c r="EX125" s="32">
        <v>100.3</v>
      </c>
      <c r="EY125" s="32">
        <v>79.099999999999994</v>
      </c>
      <c r="EZ125" s="32">
        <v>93.4</v>
      </c>
      <c r="FA125" s="32">
        <v>105.8</v>
      </c>
      <c r="FB125" s="32">
        <v>115.3</v>
      </c>
      <c r="FC125" s="32">
        <v>95.7</v>
      </c>
      <c r="FD125" s="32">
        <v>118.4</v>
      </c>
      <c r="FE125" s="32">
        <v>145.9</v>
      </c>
      <c r="FF125" s="32">
        <v>94.3</v>
      </c>
      <c r="FG125" s="32">
        <v>86.5</v>
      </c>
      <c r="FH125" s="32">
        <v>104.7</v>
      </c>
      <c r="FI125" s="32">
        <v>86.7</v>
      </c>
      <c r="FJ125" s="32">
        <v>79.2</v>
      </c>
      <c r="FK125" s="32">
        <v>68.2</v>
      </c>
      <c r="FL125" s="32">
        <v>68.2</v>
      </c>
    </row>
    <row r="126" spans="1:168" x14ac:dyDescent="0.2">
      <c r="A126" s="34" t="s">
        <v>1106</v>
      </c>
      <c r="B126" s="32">
        <v>84.7</v>
      </c>
      <c r="C126" s="32">
        <v>83</v>
      </c>
      <c r="D126" s="32">
        <v>103.7</v>
      </c>
      <c r="E126" s="32">
        <v>105</v>
      </c>
      <c r="F126" s="32">
        <v>191.2</v>
      </c>
      <c r="G126" s="32">
        <v>3419.4</v>
      </c>
      <c r="H126" s="32">
        <v>213.7</v>
      </c>
      <c r="I126" s="32">
        <v>77.3</v>
      </c>
      <c r="J126" s="32">
        <v>96.4</v>
      </c>
      <c r="K126" s="32">
        <v>103.9</v>
      </c>
      <c r="L126" s="32">
        <v>99.3</v>
      </c>
      <c r="M126" s="32">
        <v>107</v>
      </c>
      <c r="N126" s="32">
        <v>86.5</v>
      </c>
      <c r="O126" s="32">
        <v>72.2</v>
      </c>
      <c r="P126" s="32">
        <v>181.6</v>
      </c>
      <c r="Q126" s="32">
        <v>135</v>
      </c>
      <c r="R126" s="32">
        <v>97.7</v>
      </c>
      <c r="S126" s="32">
        <v>126.8</v>
      </c>
      <c r="T126" s="32">
        <v>69.3</v>
      </c>
      <c r="U126" s="32">
        <v>61.3</v>
      </c>
      <c r="V126" s="32">
        <v>147.1</v>
      </c>
      <c r="W126" s="32">
        <v>51.8</v>
      </c>
      <c r="X126" s="32">
        <v>45.5</v>
      </c>
      <c r="Y126" s="32">
        <v>53.5</v>
      </c>
      <c r="Z126" s="32">
        <v>82.2</v>
      </c>
      <c r="AA126" s="32">
        <v>91.4</v>
      </c>
      <c r="AB126" s="32">
        <v>84.4</v>
      </c>
      <c r="AC126" s="32">
        <v>78.5</v>
      </c>
      <c r="AD126" s="32">
        <v>111.1</v>
      </c>
      <c r="AE126" s="32">
        <v>107.4</v>
      </c>
      <c r="AF126" s="32">
        <v>107.4</v>
      </c>
      <c r="AG126" s="32">
        <v>65.5</v>
      </c>
      <c r="AH126" s="32">
        <v>65.5</v>
      </c>
      <c r="AI126" s="32">
        <v>325.89999999999998</v>
      </c>
      <c r="AJ126" s="32">
        <v>27.2</v>
      </c>
      <c r="AK126" s="32">
        <v>89.3</v>
      </c>
      <c r="AL126" s="32">
        <v>108.9</v>
      </c>
      <c r="AM126" s="32">
        <v>55.4</v>
      </c>
      <c r="AN126" s="32">
        <v>136.80000000000001</v>
      </c>
      <c r="AO126" s="32">
        <v>132</v>
      </c>
      <c r="AP126" s="32">
        <v>132</v>
      </c>
      <c r="AQ126" s="32">
        <v>100.9</v>
      </c>
      <c r="AR126" s="32">
        <v>97.4</v>
      </c>
      <c r="AS126" s="32">
        <v>107.7</v>
      </c>
      <c r="AT126" s="32">
        <v>118.7</v>
      </c>
      <c r="AU126" s="32">
        <v>97.6</v>
      </c>
      <c r="AV126" s="32">
        <v>103</v>
      </c>
      <c r="AW126" s="32">
        <v>147.1</v>
      </c>
      <c r="AX126" s="32">
        <v>105.6</v>
      </c>
      <c r="AY126" s="32">
        <v>305</v>
      </c>
      <c r="AZ126" s="32">
        <v>95.4</v>
      </c>
      <c r="BA126" s="32">
        <v>75.2</v>
      </c>
      <c r="BB126" s="32">
        <v>75.2</v>
      </c>
      <c r="BC126" s="32">
        <v>111.4</v>
      </c>
      <c r="BD126" s="32">
        <v>111.4</v>
      </c>
      <c r="BE126" s="32">
        <v>123.4</v>
      </c>
      <c r="BF126" s="32">
        <v>123.4</v>
      </c>
      <c r="BG126" s="32">
        <v>98.6</v>
      </c>
      <c r="BH126" s="32">
        <v>74.400000000000006</v>
      </c>
      <c r="BI126" s="32">
        <v>123.9</v>
      </c>
      <c r="BJ126" s="32">
        <v>57</v>
      </c>
      <c r="BK126" s="32">
        <v>163.9</v>
      </c>
      <c r="BL126" s="32">
        <v>45.7</v>
      </c>
      <c r="BM126" s="32">
        <v>106.9</v>
      </c>
      <c r="BN126" s="32">
        <v>114.6</v>
      </c>
      <c r="BO126" s="32">
        <v>105.5</v>
      </c>
      <c r="BP126" s="32">
        <v>123.7</v>
      </c>
      <c r="BQ126" s="32">
        <v>96.8</v>
      </c>
      <c r="BR126" s="32">
        <v>75.400000000000006</v>
      </c>
      <c r="BS126" s="32">
        <v>218.2</v>
      </c>
      <c r="BT126" s="32">
        <v>73.599999999999994</v>
      </c>
      <c r="BU126" s="32">
        <v>102.5</v>
      </c>
      <c r="BV126" s="32">
        <v>102.5</v>
      </c>
      <c r="BW126" s="32">
        <v>145.1</v>
      </c>
      <c r="BX126" s="32">
        <v>42.2</v>
      </c>
      <c r="BY126" s="32">
        <v>102.7</v>
      </c>
      <c r="BZ126" s="32">
        <v>90.7</v>
      </c>
      <c r="CA126" s="32">
        <v>109</v>
      </c>
      <c r="CB126" s="32">
        <v>120.1</v>
      </c>
      <c r="CC126" s="32">
        <v>104.4</v>
      </c>
      <c r="CD126" s="32">
        <v>31.3</v>
      </c>
      <c r="CE126" s="32">
        <v>99.7</v>
      </c>
      <c r="CF126" s="32">
        <v>80.400000000000006</v>
      </c>
      <c r="CG126" s="32">
        <v>91.5</v>
      </c>
      <c r="CH126" s="32">
        <v>92.9</v>
      </c>
      <c r="CI126" s="32">
        <v>94.1</v>
      </c>
      <c r="CJ126" s="32">
        <v>90.4</v>
      </c>
      <c r="CK126" s="32">
        <v>95.1</v>
      </c>
      <c r="CL126" s="32">
        <v>91.8</v>
      </c>
      <c r="CM126" s="32">
        <v>99.1</v>
      </c>
      <c r="CN126" s="32">
        <v>63.7</v>
      </c>
      <c r="CO126" s="32">
        <v>108.7</v>
      </c>
      <c r="CP126" s="32">
        <v>86.4</v>
      </c>
      <c r="CQ126" s="32">
        <v>37.4</v>
      </c>
      <c r="CR126" s="32">
        <v>93.1</v>
      </c>
      <c r="CS126" s="32">
        <v>112.1</v>
      </c>
      <c r="CT126" s="32">
        <v>87.5</v>
      </c>
      <c r="CU126" s="32">
        <v>72.099999999999994</v>
      </c>
      <c r="CV126" s="32">
        <v>94.3</v>
      </c>
      <c r="CW126" s="32">
        <v>37.299999999999997</v>
      </c>
      <c r="CX126" s="32">
        <v>88.3</v>
      </c>
      <c r="CY126" s="32">
        <v>104.2</v>
      </c>
      <c r="CZ126" s="32">
        <v>79.7</v>
      </c>
      <c r="DA126" s="32">
        <v>67.400000000000006</v>
      </c>
      <c r="DB126" s="32">
        <v>103.7</v>
      </c>
      <c r="DC126" s="32">
        <v>8.1</v>
      </c>
      <c r="DD126" s="32">
        <v>8.1</v>
      </c>
      <c r="DE126" s="32">
        <v>67.900000000000006</v>
      </c>
      <c r="DF126" s="32">
        <v>63</v>
      </c>
      <c r="DG126" s="32">
        <v>99.8</v>
      </c>
      <c r="DH126" s="32">
        <v>102.4</v>
      </c>
      <c r="DI126" s="32">
        <v>167.8</v>
      </c>
      <c r="DJ126" s="32">
        <v>67.8</v>
      </c>
      <c r="DK126" s="32">
        <v>67.8</v>
      </c>
      <c r="DL126" s="32">
        <v>47.5</v>
      </c>
      <c r="DM126" s="32">
        <v>73</v>
      </c>
      <c r="DN126" s="32">
        <v>50.3</v>
      </c>
      <c r="DO126" s="32">
        <v>82.9</v>
      </c>
      <c r="DP126" s="32">
        <v>54</v>
      </c>
      <c r="DQ126" s="32">
        <v>77.3</v>
      </c>
      <c r="DR126" s="32">
        <v>85</v>
      </c>
      <c r="DS126" s="32">
        <v>79.900000000000006</v>
      </c>
      <c r="DT126" s="32">
        <v>76.400000000000006</v>
      </c>
      <c r="DU126" s="32">
        <v>78.3</v>
      </c>
      <c r="DV126" s="32">
        <v>85.1</v>
      </c>
      <c r="DW126" s="32">
        <v>70.400000000000006</v>
      </c>
      <c r="DX126" s="32">
        <v>72.400000000000006</v>
      </c>
      <c r="DY126" s="32">
        <v>91.2</v>
      </c>
      <c r="DZ126" s="32">
        <v>124.1</v>
      </c>
      <c r="EA126" s="32">
        <v>124.1</v>
      </c>
      <c r="EB126" s="32">
        <v>88.5</v>
      </c>
      <c r="EC126" s="32">
        <v>95.1</v>
      </c>
      <c r="ED126" s="32">
        <v>80.2</v>
      </c>
      <c r="EE126" s="32">
        <v>85.2</v>
      </c>
      <c r="EF126" s="32">
        <v>66.7</v>
      </c>
      <c r="EG126" s="32">
        <v>66.5</v>
      </c>
      <c r="EH126" s="32">
        <v>73.400000000000006</v>
      </c>
      <c r="EI126" s="32">
        <v>68.400000000000006</v>
      </c>
      <c r="EJ126" s="32">
        <v>70.3</v>
      </c>
      <c r="EK126" s="32">
        <v>60.9</v>
      </c>
      <c r="EL126" s="32">
        <v>71.3</v>
      </c>
      <c r="EM126" s="32">
        <v>46.7</v>
      </c>
      <c r="EN126" s="32">
        <v>69</v>
      </c>
      <c r="EO126" s="32">
        <v>89.9</v>
      </c>
      <c r="EP126" s="32">
        <v>95.1</v>
      </c>
      <c r="EQ126" s="32">
        <v>95.1</v>
      </c>
      <c r="ER126" s="32">
        <v>89.9</v>
      </c>
      <c r="ES126" s="32">
        <v>89.9</v>
      </c>
      <c r="ET126" s="32">
        <v>86.5</v>
      </c>
      <c r="EU126" s="32">
        <v>85.8</v>
      </c>
      <c r="EV126" s="32">
        <v>85.8</v>
      </c>
      <c r="EW126" s="32">
        <v>88.1</v>
      </c>
      <c r="EX126" s="32">
        <v>99.5</v>
      </c>
      <c r="EY126" s="32">
        <v>79.099999999999994</v>
      </c>
      <c r="EZ126" s="32">
        <v>89.4</v>
      </c>
      <c r="FA126" s="32">
        <v>98.8</v>
      </c>
      <c r="FB126" s="32">
        <v>104.5</v>
      </c>
      <c r="FC126" s="32">
        <v>77.3</v>
      </c>
      <c r="FD126" s="32">
        <v>117.6</v>
      </c>
      <c r="FE126" s="32">
        <v>143.19999999999999</v>
      </c>
      <c r="FF126" s="32">
        <v>92.1</v>
      </c>
      <c r="FG126" s="32">
        <v>84</v>
      </c>
      <c r="FH126" s="32">
        <v>101.7</v>
      </c>
      <c r="FI126" s="32">
        <v>75.599999999999994</v>
      </c>
      <c r="FJ126" s="32">
        <v>77.8</v>
      </c>
      <c r="FK126" s="32">
        <v>70.900000000000006</v>
      </c>
      <c r="FL126" s="32">
        <v>70.900000000000006</v>
      </c>
    </row>
    <row r="127" spans="1:168" x14ac:dyDescent="0.2">
      <c r="A127" s="34" t="s">
        <v>1107</v>
      </c>
      <c r="B127" s="32">
        <v>85</v>
      </c>
      <c r="C127" s="32">
        <v>81.2</v>
      </c>
      <c r="D127" s="32">
        <v>102.8</v>
      </c>
      <c r="E127" s="32">
        <v>103.6</v>
      </c>
      <c r="F127" s="32">
        <v>195.6</v>
      </c>
      <c r="G127" s="32">
        <v>3169.7</v>
      </c>
      <c r="H127" s="32">
        <v>219.9</v>
      </c>
      <c r="I127" s="32">
        <v>76.8</v>
      </c>
      <c r="J127" s="32">
        <v>94.5</v>
      </c>
      <c r="K127" s="32">
        <v>102.7</v>
      </c>
      <c r="L127" s="32">
        <v>98.4</v>
      </c>
      <c r="M127" s="32">
        <v>106.8</v>
      </c>
      <c r="N127" s="32">
        <v>86.8</v>
      </c>
      <c r="O127" s="32">
        <v>73.900000000000006</v>
      </c>
      <c r="P127" s="32">
        <v>176.1</v>
      </c>
      <c r="Q127" s="32">
        <v>121.8</v>
      </c>
      <c r="R127" s="32">
        <v>97.2</v>
      </c>
      <c r="S127" s="32">
        <v>127</v>
      </c>
      <c r="T127" s="32">
        <v>68.599999999999994</v>
      </c>
      <c r="U127" s="32">
        <v>59.5</v>
      </c>
      <c r="V127" s="32">
        <v>144.4</v>
      </c>
      <c r="W127" s="32">
        <v>52.3</v>
      </c>
      <c r="X127" s="32">
        <v>46.1</v>
      </c>
      <c r="Y127" s="32">
        <v>55</v>
      </c>
      <c r="Z127" s="32">
        <v>70.099999999999994</v>
      </c>
      <c r="AA127" s="32">
        <v>89.9</v>
      </c>
      <c r="AB127" s="32">
        <v>81.3</v>
      </c>
      <c r="AC127" s="32">
        <v>79.3</v>
      </c>
      <c r="AD127" s="32">
        <v>108.7</v>
      </c>
      <c r="AE127" s="32">
        <v>94.8</v>
      </c>
      <c r="AF127" s="32">
        <v>94.8</v>
      </c>
      <c r="AG127" s="32">
        <v>64.2</v>
      </c>
      <c r="AH127" s="32">
        <v>64.2</v>
      </c>
      <c r="AI127" s="32">
        <v>320.5</v>
      </c>
      <c r="AJ127" s="32">
        <v>25.1</v>
      </c>
      <c r="AK127" s="32">
        <v>72</v>
      </c>
      <c r="AL127" s="32">
        <v>110.5</v>
      </c>
      <c r="AM127" s="32">
        <v>55.3</v>
      </c>
      <c r="AN127" s="32">
        <v>140.4</v>
      </c>
      <c r="AO127" s="32">
        <v>123.9</v>
      </c>
      <c r="AP127" s="32">
        <v>123.9</v>
      </c>
      <c r="AQ127" s="32">
        <v>99.9</v>
      </c>
      <c r="AR127" s="32">
        <v>98.2</v>
      </c>
      <c r="AS127" s="32">
        <v>104.2</v>
      </c>
      <c r="AT127" s="32">
        <v>116.8</v>
      </c>
      <c r="AU127" s="32">
        <v>92.7</v>
      </c>
      <c r="AV127" s="32">
        <v>100.9</v>
      </c>
      <c r="AW127" s="32">
        <v>153.30000000000001</v>
      </c>
      <c r="AX127" s="32">
        <v>107.2</v>
      </c>
      <c r="AY127" s="32">
        <v>325</v>
      </c>
      <c r="AZ127" s="32">
        <v>91.5</v>
      </c>
      <c r="BA127" s="32">
        <v>73.599999999999994</v>
      </c>
      <c r="BB127" s="32">
        <v>73.599999999999994</v>
      </c>
      <c r="BC127" s="32">
        <v>108.7</v>
      </c>
      <c r="BD127" s="32">
        <v>108.7</v>
      </c>
      <c r="BE127" s="32">
        <v>124.6</v>
      </c>
      <c r="BF127" s="32">
        <v>124.6</v>
      </c>
      <c r="BG127" s="32">
        <v>95.4</v>
      </c>
      <c r="BH127" s="32">
        <v>72.2</v>
      </c>
      <c r="BI127" s="32">
        <v>119.7</v>
      </c>
      <c r="BJ127" s="32">
        <v>58.6</v>
      </c>
      <c r="BK127" s="32">
        <v>157.4</v>
      </c>
      <c r="BL127" s="32">
        <v>42.6</v>
      </c>
      <c r="BM127" s="32">
        <v>104.4</v>
      </c>
      <c r="BN127" s="32">
        <v>112.6</v>
      </c>
      <c r="BO127" s="32">
        <v>107.1</v>
      </c>
      <c r="BP127" s="32">
        <v>118.2</v>
      </c>
      <c r="BQ127" s="32">
        <v>93.7</v>
      </c>
      <c r="BR127" s="32">
        <v>77.099999999999994</v>
      </c>
      <c r="BS127" s="32">
        <v>210.9</v>
      </c>
      <c r="BT127" s="32">
        <v>70.7</v>
      </c>
      <c r="BU127" s="32">
        <v>100.7</v>
      </c>
      <c r="BV127" s="32">
        <v>100.7</v>
      </c>
      <c r="BW127" s="32">
        <v>142.80000000000001</v>
      </c>
      <c r="BX127" s="32">
        <v>41.6</v>
      </c>
      <c r="BY127" s="32">
        <v>104.1</v>
      </c>
      <c r="BZ127" s="32">
        <v>91.2</v>
      </c>
      <c r="CA127" s="32">
        <v>110.7</v>
      </c>
      <c r="CB127" s="32">
        <v>121.3</v>
      </c>
      <c r="CC127" s="32">
        <v>106.7</v>
      </c>
      <c r="CD127" s="32">
        <v>31.7</v>
      </c>
      <c r="CE127" s="32">
        <v>99.5</v>
      </c>
      <c r="CF127" s="32">
        <v>81</v>
      </c>
      <c r="CG127" s="32">
        <v>92</v>
      </c>
      <c r="CH127" s="32">
        <v>93.1</v>
      </c>
      <c r="CI127" s="32">
        <v>94</v>
      </c>
      <c r="CJ127" s="32">
        <v>89.7</v>
      </c>
      <c r="CK127" s="32">
        <v>95.9</v>
      </c>
      <c r="CL127" s="32">
        <v>92.7</v>
      </c>
      <c r="CM127" s="32">
        <v>102.7</v>
      </c>
      <c r="CN127" s="32">
        <v>64</v>
      </c>
      <c r="CO127" s="32">
        <v>113.3</v>
      </c>
      <c r="CP127" s="32">
        <v>86.6</v>
      </c>
      <c r="CQ127" s="32">
        <v>39.1</v>
      </c>
      <c r="CR127" s="32">
        <v>91.4</v>
      </c>
      <c r="CS127" s="32">
        <v>109.8</v>
      </c>
      <c r="CT127" s="32">
        <v>88.4</v>
      </c>
      <c r="CU127" s="32">
        <v>72.5</v>
      </c>
      <c r="CV127" s="32">
        <v>95.3</v>
      </c>
      <c r="CW127" s="32">
        <v>37.299999999999997</v>
      </c>
      <c r="CX127" s="32">
        <v>87.3</v>
      </c>
      <c r="CY127" s="32">
        <v>103.6</v>
      </c>
      <c r="CZ127" s="32">
        <v>78.5</v>
      </c>
      <c r="DA127" s="32">
        <v>65.7</v>
      </c>
      <c r="DB127" s="32">
        <v>103.5</v>
      </c>
      <c r="DC127" s="32">
        <v>8.1</v>
      </c>
      <c r="DD127" s="32">
        <v>8.1</v>
      </c>
      <c r="DE127" s="32">
        <v>68.7</v>
      </c>
      <c r="DF127" s="32">
        <v>63.9</v>
      </c>
      <c r="DG127" s="32">
        <v>99.4</v>
      </c>
      <c r="DH127" s="32">
        <v>105</v>
      </c>
      <c r="DI127" s="32">
        <v>166.3</v>
      </c>
      <c r="DJ127" s="32">
        <v>72.3</v>
      </c>
      <c r="DK127" s="32">
        <v>72.3</v>
      </c>
      <c r="DL127" s="32">
        <v>52.6</v>
      </c>
      <c r="DM127" s="32">
        <v>72.8</v>
      </c>
      <c r="DN127" s="32">
        <v>50.2</v>
      </c>
      <c r="DO127" s="32">
        <v>82.5</v>
      </c>
      <c r="DP127" s="32">
        <v>56.7</v>
      </c>
      <c r="DQ127" s="32">
        <v>78.5</v>
      </c>
      <c r="DR127" s="32">
        <v>86.3</v>
      </c>
      <c r="DS127" s="32">
        <v>80.099999999999994</v>
      </c>
      <c r="DT127" s="32">
        <v>77</v>
      </c>
      <c r="DU127" s="32">
        <v>79</v>
      </c>
      <c r="DV127" s="32">
        <v>84.7</v>
      </c>
      <c r="DW127" s="32">
        <v>72.400000000000006</v>
      </c>
      <c r="DX127" s="32">
        <v>72.8</v>
      </c>
      <c r="DY127" s="32">
        <v>90.3</v>
      </c>
      <c r="DZ127" s="32">
        <v>133.4</v>
      </c>
      <c r="EA127" s="32">
        <v>133.4</v>
      </c>
      <c r="EB127" s="32">
        <v>90.2</v>
      </c>
      <c r="EC127" s="32">
        <v>97.8</v>
      </c>
      <c r="ED127" s="32">
        <v>80.7</v>
      </c>
      <c r="EE127" s="32">
        <v>85.9</v>
      </c>
      <c r="EF127" s="32">
        <v>67</v>
      </c>
      <c r="EG127" s="32">
        <v>67.5</v>
      </c>
      <c r="EH127" s="32">
        <v>74.5</v>
      </c>
      <c r="EI127" s="32">
        <v>68.7</v>
      </c>
      <c r="EJ127" s="32">
        <v>70.3</v>
      </c>
      <c r="EK127" s="32">
        <v>62.5</v>
      </c>
      <c r="EL127" s="32">
        <v>72.8</v>
      </c>
      <c r="EM127" s="32">
        <v>47.2</v>
      </c>
      <c r="EN127" s="32">
        <v>71.400000000000006</v>
      </c>
      <c r="EO127" s="32">
        <v>90.5</v>
      </c>
      <c r="EP127" s="32">
        <v>94.9</v>
      </c>
      <c r="EQ127" s="32">
        <v>94.9</v>
      </c>
      <c r="ER127" s="32">
        <v>91.3</v>
      </c>
      <c r="ES127" s="32">
        <v>91.3</v>
      </c>
      <c r="ET127" s="32">
        <v>87.2</v>
      </c>
      <c r="EU127" s="32">
        <v>86.9</v>
      </c>
      <c r="EV127" s="32">
        <v>86.9</v>
      </c>
      <c r="EW127" s="32">
        <v>87.7</v>
      </c>
      <c r="EX127" s="32">
        <v>98.9</v>
      </c>
      <c r="EY127" s="32">
        <v>79</v>
      </c>
      <c r="EZ127" s="32">
        <v>89.1</v>
      </c>
      <c r="FA127" s="32">
        <v>100.1</v>
      </c>
      <c r="FB127" s="32">
        <v>108.8</v>
      </c>
      <c r="FC127" s="32">
        <v>87.3</v>
      </c>
      <c r="FD127" s="32">
        <v>116.6</v>
      </c>
      <c r="FE127" s="32">
        <v>140.30000000000001</v>
      </c>
      <c r="FF127" s="32">
        <v>89.6</v>
      </c>
      <c r="FG127" s="32">
        <v>83.3</v>
      </c>
      <c r="FH127" s="32">
        <v>97</v>
      </c>
      <c r="FI127" s="32">
        <v>83.1</v>
      </c>
      <c r="FJ127" s="32">
        <v>77.8</v>
      </c>
      <c r="FK127" s="32">
        <v>63.1</v>
      </c>
      <c r="FL127" s="32">
        <v>63.1</v>
      </c>
    </row>
    <row r="128" spans="1:168" x14ac:dyDescent="0.2">
      <c r="A128" s="34" t="s">
        <v>1108</v>
      </c>
      <c r="B128" s="32">
        <v>85.3</v>
      </c>
      <c r="C128" s="32">
        <v>79.8</v>
      </c>
      <c r="D128" s="32">
        <v>102.5</v>
      </c>
      <c r="E128" s="32">
        <v>103.3</v>
      </c>
      <c r="F128" s="32">
        <v>195.5</v>
      </c>
      <c r="G128" s="32">
        <v>3048.6</v>
      </c>
      <c r="H128" s="32">
        <v>220.1</v>
      </c>
      <c r="I128" s="32">
        <v>76.400000000000006</v>
      </c>
      <c r="J128" s="32">
        <v>94.4</v>
      </c>
      <c r="K128" s="32">
        <v>103.3</v>
      </c>
      <c r="L128" s="32">
        <v>99.5</v>
      </c>
      <c r="M128" s="32">
        <v>108.1</v>
      </c>
      <c r="N128" s="32">
        <v>87.9</v>
      </c>
      <c r="O128" s="32">
        <v>74.900000000000006</v>
      </c>
      <c r="P128" s="32">
        <v>168.7</v>
      </c>
      <c r="Q128" s="32">
        <v>117.3</v>
      </c>
      <c r="R128" s="32">
        <v>97.4</v>
      </c>
      <c r="S128" s="32">
        <v>131.69999999999999</v>
      </c>
      <c r="T128" s="32">
        <v>67.599999999999994</v>
      </c>
      <c r="U128" s="32">
        <v>60.8</v>
      </c>
      <c r="V128" s="32">
        <v>142.30000000000001</v>
      </c>
      <c r="W128" s="32">
        <v>55.6</v>
      </c>
      <c r="X128" s="32">
        <v>48.2</v>
      </c>
      <c r="Y128" s="32">
        <v>60.6</v>
      </c>
      <c r="Z128" s="32">
        <v>71.599999999999994</v>
      </c>
      <c r="AA128" s="32">
        <v>89.7</v>
      </c>
      <c r="AB128" s="32">
        <v>85.2</v>
      </c>
      <c r="AC128" s="32">
        <v>81.900000000000006</v>
      </c>
      <c r="AD128" s="32">
        <v>104.4</v>
      </c>
      <c r="AE128" s="32">
        <v>86</v>
      </c>
      <c r="AF128" s="32">
        <v>86</v>
      </c>
      <c r="AG128" s="32">
        <v>64.5</v>
      </c>
      <c r="AH128" s="32">
        <v>64.5</v>
      </c>
      <c r="AI128" s="32">
        <v>323</v>
      </c>
      <c r="AJ128" s="32">
        <v>23.9</v>
      </c>
      <c r="AK128" s="32">
        <v>61.3</v>
      </c>
      <c r="AL128" s="32">
        <v>113.7</v>
      </c>
      <c r="AM128" s="32">
        <v>56</v>
      </c>
      <c r="AN128" s="32">
        <v>148</v>
      </c>
      <c r="AO128" s="32">
        <v>113.1</v>
      </c>
      <c r="AP128" s="32">
        <v>113.1</v>
      </c>
      <c r="AQ128" s="32">
        <v>100.2</v>
      </c>
      <c r="AR128" s="32">
        <v>97.6</v>
      </c>
      <c r="AS128" s="32">
        <v>105.6</v>
      </c>
      <c r="AT128" s="32">
        <v>120.4</v>
      </c>
      <c r="AU128" s="32">
        <v>92.4</v>
      </c>
      <c r="AV128" s="32">
        <v>101.2</v>
      </c>
      <c r="AW128" s="32">
        <v>151.30000000000001</v>
      </c>
      <c r="AX128" s="32">
        <v>100</v>
      </c>
      <c r="AY128" s="32">
        <v>335.6</v>
      </c>
      <c r="AZ128" s="32">
        <v>92.3</v>
      </c>
      <c r="BA128" s="32">
        <v>73.8</v>
      </c>
      <c r="BB128" s="32">
        <v>73.8</v>
      </c>
      <c r="BC128" s="32">
        <v>114.1</v>
      </c>
      <c r="BD128" s="32">
        <v>114.1</v>
      </c>
      <c r="BE128" s="32">
        <v>126.8</v>
      </c>
      <c r="BF128" s="32">
        <v>126.8</v>
      </c>
      <c r="BG128" s="32">
        <v>93.8</v>
      </c>
      <c r="BH128" s="32">
        <v>71.900000000000006</v>
      </c>
      <c r="BI128" s="32">
        <v>116.3</v>
      </c>
      <c r="BJ128" s="32">
        <v>59.2</v>
      </c>
      <c r="BK128" s="32">
        <v>151.6</v>
      </c>
      <c r="BL128" s="32">
        <v>43.5</v>
      </c>
      <c r="BM128" s="32">
        <v>106.6</v>
      </c>
      <c r="BN128" s="32">
        <v>117.2</v>
      </c>
      <c r="BO128" s="32">
        <v>118.4</v>
      </c>
      <c r="BP128" s="32">
        <v>116.4</v>
      </c>
      <c r="BQ128" s="32">
        <v>92.6</v>
      </c>
      <c r="BR128" s="32">
        <v>71.5</v>
      </c>
      <c r="BS128" s="32">
        <v>216.9</v>
      </c>
      <c r="BT128" s="32">
        <v>69.3</v>
      </c>
      <c r="BU128" s="32">
        <v>99.9</v>
      </c>
      <c r="BV128" s="32">
        <v>99.9</v>
      </c>
      <c r="BW128" s="32">
        <v>141.9</v>
      </c>
      <c r="BX128" s="32">
        <v>41.3</v>
      </c>
      <c r="BY128" s="32">
        <v>102.4</v>
      </c>
      <c r="BZ128" s="32">
        <v>90.1</v>
      </c>
      <c r="CA128" s="32">
        <v>108.7</v>
      </c>
      <c r="CB128" s="32">
        <v>119.3</v>
      </c>
      <c r="CC128" s="32">
        <v>104.6</v>
      </c>
      <c r="CD128" s="32">
        <v>31.2</v>
      </c>
      <c r="CE128" s="32">
        <v>99.3</v>
      </c>
      <c r="CF128" s="32">
        <v>81.3</v>
      </c>
      <c r="CG128" s="32">
        <v>92.7</v>
      </c>
      <c r="CH128" s="32">
        <v>93.6</v>
      </c>
      <c r="CI128" s="32">
        <v>99.1</v>
      </c>
      <c r="CJ128" s="32">
        <v>88.9</v>
      </c>
      <c r="CK128" s="32">
        <v>96.1</v>
      </c>
      <c r="CL128" s="32">
        <v>93.9</v>
      </c>
      <c r="CM128" s="32">
        <v>104</v>
      </c>
      <c r="CN128" s="32">
        <v>64.3</v>
      </c>
      <c r="CO128" s="32">
        <v>114.9</v>
      </c>
      <c r="CP128" s="32">
        <v>86.1</v>
      </c>
      <c r="CQ128" s="32">
        <v>40</v>
      </c>
      <c r="CR128" s="32">
        <v>93.1</v>
      </c>
      <c r="CS128" s="32">
        <v>110.3</v>
      </c>
      <c r="CT128" s="32">
        <v>89.6</v>
      </c>
      <c r="CU128" s="32">
        <v>71.900000000000006</v>
      </c>
      <c r="CV128" s="32">
        <v>97.5</v>
      </c>
      <c r="CW128" s="32">
        <v>38.200000000000003</v>
      </c>
      <c r="CX128" s="32">
        <v>93.2</v>
      </c>
      <c r="CY128" s="32">
        <v>110.3</v>
      </c>
      <c r="CZ128" s="32">
        <v>83.9</v>
      </c>
      <c r="DA128" s="32">
        <v>73.3</v>
      </c>
      <c r="DB128" s="32">
        <v>104</v>
      </c>
      <c r="DC128" s="32">
        <v>7.8</v>
      </c>
      <c r="DD128" s="32">
        <v>7.8</v>
      </c>
      <c r="DE128" s="32">
        <v>71.900000000000006</v>
      </c>
      <c r="DF128" s="32">
        <v>67</v>
      </c>
      <c r="DG128" s="32">
        <v>102.4</v>
      </c>
      <c r="DH128" s="32">
        <v>104.7</v>
      </c>
      <c r="DI128" s="32">
        <v>167.2</v>
      </c>
      <c r="DJ128" s="32">
        <v>76.7</v>
      </c>
      <c r="DK128" s="32">
        <v>76.7</v>
      </c>
      <c r="DL128" s="32">
        <v>43.3</v>
      </c>
      <c r="DM128" s="32">
        <v>72.900000000000006</v>
      </c>
      <c r="DN128" s="32">
        <v>49.8</v>
      </c>
      <c r="DO128" s="32">
        <v>82.7</v>
      </c>
      <c r="DP128" s="32">
        <v>58.5</v>
      </c>
      <c r="DQ128" s="32">
        <v>78.8</v>
      </c>
      <c r="DR128" s="32">
        <v>87.6</v>
      </c>
      <c r="DS128" s="32">
        <v>81.8</v>
      </c>
      <c r="DT128" s="32">
        <v>78.400000000000006</v>
      </c>
      <c r="DU128" s="32">
        <v>80.7</v>
      </c>
      <c r="DV128" s="32">
        <v>85.5</v>
      </c>
      <c r="DW128" s="32">
        <v>74.900000000000006</v>
      </c>
      <c r="DX128" s="32">
        <v>73.7</v>
      </c>
      <c r="DY128" s="32">
        <v>92.9</v>
      </c>
      <c r="DZ128" s="32">
        <v>140.19999999999999</v>
      </c>
      <c r="EA128" s="32">
        <v>140.19999999999999</v>
      </c>
      <c r="EB128" s="32">
        <v>88.4</v>
      </c>
      <c r="EC128" s="32">
        <v>96.3</v>
      </c>
      <c r="ED128" s="32">
        <v>78.400000000000006</v>
      </c>
      <c r="EE128" s="32">
        <v>82.2</v>
      </c>
      <c r="EF128" s="32">
        <v>68.2</v>
      </c>
      <c r="EG128" s="32">
        <v>66.7</v>
      </c>
      <c r="EH128" s="32">
        <v>74.3</v>
      </c>
      <c r="EI128" s="32">
        <v>68</v>
      </c>
      <c r="EJ128" s="32">
        <v>70.900000000000006</v>
      </c>
      <c r="EK128" s="32">
        <v>60.9</v>
      </c>
      <c r="EL128" s="32">
        <v>74.8</v>
      </c>
      <c r="EM128" s="32">
        <v>49.7</v>
      </c>
      <c r="EN128" s="32">
        <v>65.8</v>
      </c>
      <c r="EO128" s="32">
        <v>90.7</v>
      </c>
      <c r="EP128" s="32">
        <v>95.3</v>
      </c>
      <c r="EQ128" s="32">
        <v>95.3</v>
      </c>
      <c r="ER128" s="32">
        <v>91.6</v>
      </c>
      <c r="ES128" s="32">
        <v>91.6</v>
      </c>
      <c r="ET128" s="32">
        <v>87.1</v>
      </c>
      <c r="EU128" s="32">
        <v>86.9</v>
      </c>
      <c r="EV128" s="32">
        <v>86.9</v>
      </c>
      <c r="EW128" s="32">
        <v>87.3</v>
      </c>
      <c r="EX128" s="32">
        <v>98.3</v>
      </c>
      <c r="EY128" s="32">
        <v>78.7</v>
      </c>
      <c r="EZ128" s="32">
        <v>87.5</v>
      </c>
      <c r="FA128" s="32">
        <v>99.1</v>
      </c>
      <c r="FB128" s="32">
        <v>107.8</v>
      </c>
      <c r="FC128" s="32">
        <v>86.7</v>
      </c>
      <c r="FD128" s="32">
        <v>115.3</v>
      </c>
      <c r="FE128" s="32">
        <v>138.9</v>
      </c>
      <c r="FF128" s="32">
        <v>88.7</v>
      </c>
      <c r="FG128" s="32">
        <v>82.1</v>
      </c>
      <c r="FH128" s="32">
        <v>91.7</v>
      </c>
      <c r="FI128" s="32">
        <v>76.7</v>
      </c>
      <c r="FJ128" s="32">
        <v>78.8</v>
      </c>
      <c r="FK128" s="32">
        <v>55</v>
      </c>
      <c r="FL128" s="32">
        <v>55</v>
      </c>
    </row>
    <row r="129" spans="1:168" x14ac:dyDescent="0.2">
      <c r="A129" s="34" t="s">
        <v>1109</v>
      </c>
      <c r="B129" s="32">
        <v>85.4</v>
      </c>
      <c r="C129" s="32">
        <v>79</v>
      </c>
      <c r="D129" s="32">
        <v>101.3</v>
      </c>
      <c r="E129" s="32">
        <v>101.9</v>
      </c>
      <c r="F129" s="32">
        <v>192.1</v>
      </c>
      <c r="G129" s="32">
        <v>3385</v>
      </c>
      <c r="H129" s="32">
        <v>215.2</v>
      </c>
      <c r="I129" s="32">
        <v>76.8</v>
      </c>
      <c r="J129" s="32">
        <v>93.5</v>
      </c>
      <c r="K129" s="32">
        <v>103.4</v>
      </c>
      <c r="L129" s="32">
        <v>98.9</v>
      </c>
      <c r="M129" s="32">
        <v>116.6</v>
      </c>
      <c r="N129" s="32">
        <v>91.4</v>
      </c>
      <c r="O129" s="32">
        <v>83.9</v>
      </c>
      <c r="P129" s="32">
        <v>170.8</v>
      </c>
      <c r="Q129" s="32">
        <v>130.9</v>
      </c>
      <c r="R129" s="32">
        <v>98.3</v>
      </c>
      <c r="S129" s="32">
        <v>120.8</v>
      </c>
      <c r="T129" s="32">
        <v>63.7</v>
      </c>
      <c r="U129" s="32">
        <v>61.6</v>
      </c>
      <c r="V129" s="32">
        <v>145.6</v>
      </c>
      <c r="W129" s="32">
        <v>54.8</v>
      </c>
      <c r="X129" s="32">
        <v>48.1</v>
      </c>
      <c r="Y129" s="32">
        <v>58.5</v>
      </c>
      <c r="Z129" s="32">
        <v>70.2</v>
      </c>
      <c r="AA129" s="32">
        <v>87.6</v>
      </c>
      <c r="AB129" s="32">
        <v>78.2</v>
      </c>
      <c r="AC129" s="32">
        <v>81</v>
      </c>
      <c r="AD129" s="32">
        <v>103.9</v>
      </c>
      <c r="AE129" s="32">
        <v>92</v>
      </c>
      <c r="AF129" s="32">
        <v>92</v>
      </c>
      <c r="AG129" s="32">
        <v>64</v>
      </c>
      <c r="AH129" s="32">
        <v>64</v>
      </c>
      <c r="AI129" s="32">
        <v>336.6</v>
      </c>
      <c r="AJ129" s="32">
        <v>22.1</v>
      </c>
      <c r="AK129" s="32">
        <v>54.2</v>
      </c>
      <c r="AL129" s="32">
        <v>112.3</v>
      </c>
      <c r="AM129" s="32">
        <v>58</v>
      </c>
      <c r="AN129" s="32">
        <v>145</v>
      </c>
      <c r="AO129" s="32">
        <v>116.6</v>
      </c>
      <c r="AP129" s="32">
        <v>116.6</v>
      </c>
      <c r="AQ129" s="32">
        <v>98.9</v>
      </c>
      <c r="AR129" s="32">
        <v>97.1</v>
      </c>
      <c r="AS129" s="32">
        <v>103.3</v>
      </c>
      <c r="AT129" s="32">
        <v>118.8</v>
      </c>
      <c r="AU129" s="32">
        <v>89.4</v>
      </c>
      <c r="AV129" s="32">
        <v>98.3</v>
      </c>
      <c r="AW129" s="32">
        <v>151.6</v>
      </c>
      <c r="AX129" s="32">
        <v>100.3</v>
      </c>
      <c r="AY129" s="32">
        <v>336.1</v>
      </c>
      <c r="AZ129" s="32">
        <v>88.6</v>
      </c>
      <c r="BA129" s="32">
        <v>72.900000000000006</v>
      </c>
      <c r="BB129" s="32">
        <v>72.900000000000006</v>
      </c>
      <c r="BC129" s="32">
        <v>106.5</v>
      </c>
      <c r="BD129" s="32">
        <v>106.5</v>
      </c>
      <c r="BE129" s="32">
        <v>124</v>
      </c>
      <c r="BF129" s="32">
        <v>124</v>
      </c>
      <c r="BG129" s="32">
        <v>93.8</v>
      </c>
      <c r="BH129" s="32">
        <v>73.3</v>
      </c>
      <c r="BI129" s="32">
        <v>114.7</v>
      </c>
      <c r="BJ129" s="32">
        <v>61.1</v>
      </c>
      <c r="BK129" s="32">
        <v>149.1</v>
      </c>
      <c r="BL129" s="32">
        <v>40</v>
      </c>
      <c r="BM129" s="32">
        <v>105.6</v>
      </c>
      <c r="BN129" s="32">
        <v>112.5</v>
      </c>
      <c r="BO129" s="32">
        <v>106.5</v>
      </c>
      <c r="BP129" s="32">
        <v>118.6</v>
      </c>
      <c r="BQ129" s="32">
        <v>96.6</v>
      </c>
      <c r="BR129" s="32">
        <v>120</v>
      </c>
      <c r="BS129" s="32">
        <v>205.1</v>
      </c>
      <c r="BT129" s="32">
        <v>69</v>
      </c>
      <c r="BU129" s="32">
        <v>94.9</v>
      </c>
      <c r="BV129" s="32">
        <v>94.9</v>
      </c>
      <c r="BW129" s="32">
        <v>137.1</v>
      </c>
      <c r="BX129" s="32">
        <v>37.200000000000003</v>
      </c>
      <c r="BY129" s="32">
        <v>102.3</v>
      </c>
      <c r="BZ129" s="32">
        <v>92.5</v>
      </c>
      <c r="CA129" s="32">
        <v>107.4</v>
      </c>
      <c r="CB129" s="32">
        <v>116.5</v>
      </c>
      <c r="CC129" s="32">
        <v>104.6</v>
      </c>
      <c r="CD129" s="32">
        <v>30.4</v>
      </c>
      <c r="CE129" s="32">
        <v>98.8</v>
      </c>
      <c r="CF129" s="32">
        <v>81.7</v>
      </c>
      <c r="CG129" s="32">
        <v>92</v>
      </c>
      <c r="CH129" s="32">
        <v>92.9</v>
      </c>
      <c r="CI129" s="32">
        <v>93.8</v>
      </c>
      <c r="CJ129" s="32">
        <v>88.3</v>
      </c>
      <c r="CK129" s="32">
        <v>96.6</v>
      </c>
      <c r="CL129" s="32">
        <v>93.8</v>
      </c>
      <c r="CM129" s="32">
        <v>103.1</v>
      </c>
      <c r="CN129" s="32">
        <v>65.3</v>
      </c>
      <c r="CO129" s="32">
        <v>113.3</v>
      </c>
      <c r="CP129" s="32">
        <v>85.2</v>
      </c>
      <c r="CQ129" s="32">
        <v>40.799999999999997</v>
      </c>
      <c r="CR129" s="32">
        <v>92.6</v>
      </c>
      <c r="CS129" s="32">
        <v>112.6</v>
      </c>
      <c r="CT129" s="32">
        <v>87.9</v>
      </c>
      <c r="CU129" s="32">
        <v>69.900000000000006</v>
      </c>
      <c r="CV129" s="32">
        <v>95.8</v>
      </c>
      <c r="CW129" s="32">
        <v>39.1</v>
      </c>
      <c r="CX129" s="32">
        <v>89.8</v>
      </c>
      <c r="CY129" s="32">
        <v>110.9</v>
      </c>
      <c r="CZ129" s="32">
        <v>78.099999999999994</v>
      </c>
      <c r="DA129" s="32">
        <v>65.099999999999994</v>
      </c>
      <c r="DB129" s="32">
        <v>103.7</v>
      </c>
      <c r="DC129" s="32">
        <v>8.3000000000000007</v>
      </c>
      <c r="DD129" s="32">
        <v>8.3000000000000007</v>
      </c>
      <c r="DE129" s="32">
        <v>74.3</v>
      </c>
      <c r="DF129" s="32">
        <v>69.7</v>
      </c>
      <c r="DG129" s="32">
        <v>103.3</v>
      </c>
      <c r="DH129" s="32">
        <v>111.3</v>
      </c>
      <c r="DI129" s="32">
        <v>173</v>
      </c>
      <c r="DJ129" s="32">
        <v>82.6</v>
      </c>
      <c r="DK129" s="32">
        <v>82.6</v>
      </c>
      <c r="DL129" s="32">
        <v>50.8</v>
      </c>
      <c r="DM129" s="32">
        <v>73.099999999999994</v>
      </c>
      <c r="DN129" s="32">
        <v>50.5</v>
      </c>
      <c r="DO129" s="32">
        <v>82.6</v>
      </c>
      <c r="DP129" s="32">
        <v>60.8</v>
      </c>
      <c r="DQ129" s="32">
        <v>77.8</v>
      </c>
      <c r="DR129" s="32">
        <v>85.5</v>
      </c>
      <c r="DS129" s="32">
        <v>79.5</v>
      </c>
      <c r="DT129" s="32">
        <v>77.599999999999994</v>
      </c>
      <c r="DU129" s="32">
        <v>80.099999999999994</v>
      </c>
      <c r="DV129" s="32">
        <v>86.2</v>
      </c>
      <c r="DW129" s="32">
        <v>72.900000000000006</v>
      </c>
      <c r="DX129" s="32">
        <v>72.3</v>
      </c>
      <c r="DY129" s="32">
        <v>86.2</v>
      </c>
      <c r="DZ129" s="32">
        <v>135.69999999999999</v>
      </c>
      <c r="EA129" s="32">
        <v>135.69999999999999</v>
      </c>
      <c r="EB129" s="32">
        <v>87.8</v>
      </c>
      <c r="EC129" s="32">
        <v>94.1</v>
      </c>
      <c r="ED129" s="32">
        <v>79.900000000000006</v>
      </c>
      <c r="EE129" s="32">
        <v>84.4</v>
      </c>
      <c r="EF129" s="32">
        <v>67.900000000000006</v>
      </c>
      <c r="EG129" s="32">
        <v>67</v>
      </c>
      <c r="EH129" s="32">
        <v>75</v>
      </c>
      <c r="EI129" s="32">
        <v>65.400000000000006</v>
      </c>
      <c r="EJ129" s="32">
        <v>74.900000000000006</v>
      </c>
      <c r="EK129" s="32">
        <v>62.7</v>
      </c>
      <c r="EL129" s="32">
        <v>74.2</v>
      </c>
      <c r="EM129" s="32">
        <v>47.2</v>
      </c>
      <c r="EN129" s="32">
        <v>71.5</v>
      </c>
      <c r="EO129" s="32">
        <v>90.1</v>
      </c>
      <c r="EP129" s="32">
        <v>95</v>
      </c>
      <c r="EQ129" s="32">
        <v>95</v>
      </c>
      <c r="ER129" s="32">
        <v>90.4</v>
      </c>
      <c r="ES129" s="32">
        <v>90.4</v>
      </c>
      <c r="ET129" s="32">
        <v>86.7</v>
      </c>
      <c r="EU129" s="32">
        <v>86.5</v>
      </c>
      <c r="EV129" s="32">
        <v>86.5</v>
      </c>
      <c r="EW129" s="32">
        <v>86.9</v>
      </c>
      <c r="EX129" s="32">
        <v>97.8</v>
      </c>
      <c r="EY129" s="32">
        <v>78.400000000000006</v>
      </c>
      <c r="EZ129" s="32">
        <v>86.9</v>
      </c>
      <c r="FA129" s="32">
        <v>100.3</v>
      </c>
      <c r="FB129" s="32">
        <v>108.1</v>
      </c>
      <c r="FC129" s="32">
        <v>87.6</v>
      </c>
      <c r="FD129" s="32">
        <v>115.1</v>
      </c>
      <c r="FE129" s="32">
        <v>138.5</v>
      </c>
      <c r="FF129" s="32">
        <v>90.9</v>
      </c>
      <c r="FG129" s="32">
        <v>80.900000000000006</v>
      </c>
      <c r="FH129" s="32">
        <v>88</v>
      </c>
      <c r="FI129" s="32">
        <v>74.5</v>
      </c>
      <c r="FJ129" s="32">
        <v>78.7</v>
      </c>
      <c r="FK129" s="32">
        <v>47.8</v>
      </c>
      <c r="FL129" s="32">
        <v>47.8</v>
      </c>
    </row>
    <row r="130" spans="1:168" x14ac:dyDescent="0.2">
      <c r="A130" s="34" t="s">
        <v>1110</v>
      </c>
      <c r="B130" s="32">
        <v>85.8</v>
      </c>
      <c r="C130" s="32">
        <v>78.5</v>
      </c>
      <c r="D130" s="32">
        <v>102.6</v>
      </c>
      <c r="E130" s="32">
        <v>104</v>
      </c>
      <c r="F130" s="32">
        <v>197.7</v>
      </c>
      <c r="G130" s="32">
        <v>3569.5</v>
      </c>
      <c r="H130" s="32">
        <v>223.1</v>
      </c>
      <c r="I130" s="32">
        <v>75.5</v>
      </c>
      <c r="J130" s="32">
        <v>95.1</v>
      </c>
      <c r="K130" s="32">
        <v>103.9</v>
      </c>
      <c r="L130" s="32">
        <v>100.2</v>
      </c>
      <c r="M130" s="32">
        <v>114.7</v>
      </c>
      <c r="N130" s="32">
        <v>94.6</v>
      </c>
      <c r="O130" s="32">
        <v>107.5</v>
      </c>
      <c r="P130" s="32">
        <v>154.9</v>
      </c>
      <c r="Q130" s="32">
        <v>117.8</v>
      </c>
      <c r="R130" s="32">
        <v>99</v>
      </c>
      <c r="S130" s="32">
        <v>129.5</v>
      </c>
      <c r="T130" s="32">
        <v>62.9</v>
      </c>
      <c r="U130" s="32">
        <v>59.1</v>
      </c>
      <c r="V130" s="32">
        <v>143</v>
      </c>
      <c r="W130" s="32">
        <v>55.4</v>
      </c>
      <c r="X130" s="32">
        <v>48.7</v>
      </c>
      <c r="Y130" s="32">
        <v>59.2</v>
      </c>
      <c r="Z130" s="32">
        <v>67.900000000000006</v>
      </c>
      <c r="AA130" s="32">
        <v>88.6</v>
      </c>
      <c r="AB130" s="32">
        <v>75.900000000000006</v>
      </c>
      <c r="AC130" s="32">
        <v>83.2</v>
      </c>
      <c r="AD130" s="32">
        <v>105.9</v>
      </c>
      <c r="AE130" s="32">
        <v>94.6</v>
      </c>
      <c r="AF130" s="32">
        <v>94.6</v>
      </c>
      <c r="AG130" s="32">
        <v>61.3</v>
      </c>
      <c r="AH130" s="32">
        <v>61.3</v>
      </c>
      <c r="AI130" s="32">
        <v>323.8</v>
      </c>
      <c r="AJ130" s="32">
        <v>19.399999999999999</v>
      </c>
      <c r="AK130" s="32">
        <v>45.3</v>
      </c>
      <c r="AL130" s="32">
        <v>114.5</v>
      </c>
      <c r="AM130" s="32">
        <v>56.7</v>
      </c>
      <c r="AN130" s="32">
        <v>142.9</v>
      </c>
      <c r="AO130" s="32">
        <v>139.19999999999999</v>
      </c>
      <c r="AP130" s="32">
        <v>139.19999999999999</v>
      </c>
      <c r="AQ130" s="32">
        <v>101.8</v>
      </c>
      <c r="AR130" s="32">
        <v>100.7</v>
      </c>
      <c r="AS130" s="32">
        <v>105.2</v>
      </c>
      <c r="AT130" s="32">
        <v>122.1</v>
      </c>
      <c r="AU130" s="32">
        <v>90.2</v>
      </c>
      <c r="AV130" s="32">
        <v>100.1</v>
      </c>
      <c r="AW130" s="32">
        <v>156.9</v>
      </c>
      <c r="AX130" s="32">
        <v>103.6</v>
      </c>
      <c r="AY130" s="32">
        <v>348.6</v>
      </c>
      <c r="AZ130" s="32">
        <v>89.7</v>
      </c>
      <c r="BA130" s="32">
        <v>72.099999999999994</v>
      </c>
      <c r="BB130" s="32">
        <v>72.099999999999994</v>
      </c>
      <c r="BC130" s="32">
        <v>110.5</v>
      </c>
      <c r="BD130" s="32">
        <v>110.5</v>
      </c>
      <c r="BE130" s="32">
        <v>125.6</v>
      </c>
      <c r="BF130" s="32">
        <v>125.6</v>
      </c>
      <c r="BG130" s="32">
        <v>91.8</v>
      </c>
      <c r="BH130" s="32">
        <v>70.5</v>
      </c>
      <c r="BI130" s="32">
        <v>113.8</v>
      </c>
      <c r="BJ130" s="32">
        <v>61.9</v>
      </c>
      <c r="BK130" s="32">
        <v>147.30000000000001</v>
      </c>
      <c r="BL130" s="32">
        <v>40.700000000000003</v>
      </c>
      <c r="BM130" s="32">
        <v>104.4</v>
      </c>
      <c r="BN130" s="32">
        <v>109.7</v>
      </c>
      <c r="BO130" s="32">
        <v>105.9</v>
      </c>
      <c r="BP130" s="32">
        <v>113.6</v>
      </c>
      <c r="BQ130" s="32">
        <v>97.7</v>
      </c>
      <c r="BR130" s="32">
        <v>108.8</v>
      </c>
      <c r="BS130" s="32">
        <v>223.1</v>
      </c>
      <c r="BT130" s="32">
        <v>69.099999999999994</v>
      </c>
      <c r="BU130" s="32">
        <v>100.6</v>
      </c>
      <c r="BV130" s="32">
        <v>100.6</v>
      </c>
      <c r="BW130" s="32">
        <v>146.1</v>
      </c>
      <c r="BX130" s="32">
        <v>38.799999999999997</v>
      </c>
      <c r="BY130" s="32">
        <v>101.9</v>
      </c>
      <c r="BZ130" s="32">
        <v>90.7</v>
      </c>
      <c r="CA130" s="32">
        <v>107.7</v>
      </c>
      <c r="CB130" s="32">
        <v>118.2</v>
      </c>
      <c r="CC130" s="32">
        <v>103.7</v>
      </c>
      <c r="CD130" s="32">
        <v>30</v>
      </c>
      <c r="CE130" s="32">
        <v>98.1</v>
      </c>
      <c r="CF130" s="32">
        <v>81.900000000000006</v>
      </c>
      <c r="CG130" s="32">
        <v>92.1</v>
      </c>
      <c r="CH130" s="32">
        <v>92.6</v>
      </c>
      <c r="CI130" s="32">
        <v>97.1</v>
      </c>
      <c r="CJ130" s="32">
        <v>87.7</v>
      </c>
      <c r="CK130" s="32">
        <v>95.6</v>
      </c>
      <c r="CL130" s="32">
        <v>94.3</v>
      </c>
      <c r="CM130" s="32">
        <v>103.2</v>
      </c>
      <c r="CN130" s="32">
        <v>65.7</v>
      </c>
      <c r="CO130" s="32">
        <v>113.4</v>
      </c>
      <c r="CP130" s="32">
        <v>85.3</v>
      </c>
      <c r="CQ130" s="32">
        <v>42</v>
      </c>
      <c r="CR130" s="32">
        <v>92.2</v>
      </c>
      <c r="CS130" s="32">
        <v>115</v>
      </c>
      <c r="CT130" s="32">
        <v>88.6</v>
      </c>
      <c r="CU130" s="32">
        <v>71.400000000000006</v>
      </c>
      <c r="CV130" s="32">
        <v>96.2</v>
      </c>
      <c r="CW130" s="32">
        <v>40</v>
      </c>
      <c r="CX130" s="32">
        <v>92.7</v>
      </c>
      <c r="CY130" s="32">
        <v>113.5</v>
      </c>
      <c r="CZ130" s="32">
        <v>81.2</v>
      </c>
      <c r="DA130" s="32">
        <v>69.3</v>
      </c>
      <c r="DB130" s="32">
        <v>104.3</v>
      </c>
      <c r="DC130" s="32">
        <v>8.6</v>
      </c>
      <c r="DD130" s="32">
        <v>8.6</v>
      </c>
      <c r="DE130" s="32">
        <v>75</v>
      </c>
      <c r="DF130" s="32">
        <v>69.8</v>
      </c>
      <c r="DG130" s="32">
        <v>108.5</v>
      </c>
      <c r="DH130" s="32">
        <v>112.5</v>
      </c>
      <c r="DI130" s="32">
        <v>173.9</v>
      </c>
      <c r="DJ130" s="32">
        <v>86.7</v>
      </c>
      <c r="DK130" s="32">
        <v>86.7</v>
      </c>
      <c r="DL130" s="32">
        <v>47.7</v>
      </c>
      <c r="DM130" s="32">
        <v>72.900000000000006</v>
      </c>
      <c r="DN130" s="32">
        <v>50.4</v>
      </c>
      <c r="DO130" s="32">
        <v>82.3</v>
      </c>
      <c r="DP130" s="32">
        <v>61.7</v>
      </c>
      <c r="DQ130" s="32">
        <v>77.8</v>
      </c>
      <c r="DR130" s="32">
        <v>85.5</v>
      </c>
      <c r="DS130" s="32">
        <v>79.099999999999994</v>
      </c>
      <c r="DT130" s="32">
        <v>77.2</v>
      </c>
      <c r="DU130" s="32">
        <v>79.5</v>
      </c>
      <c r="DV130" s="32">
        <v>85.6</v>
      </c>
      <c r="DW130" s="32">
        <v>72.5</v>
      </c>
      <c r="DX130" s="32">
        <v>72.3</v>
      </c>
      <c r="DY130" s="32">
        <v>85.7</v>
      </c>
      <c r="DZ130" s="32">
        <v>136.30000000000001</v>
      </c>
      <c r="EA130" s="32">
        <v>136.30000000000001</v>
      </c>
      <c r="EB130" s="32">
        <v>89.2</v>
      </c>
      <c r="EC130" s="32">
        <v>96.5</v>
      </c>
      <c r="ED130" s="32">
        <v>80</v>
      </c>
      <c r="EE130" s="32">
        <v>84.6</v>
      </c>
      <c r="EF130" s="32">
        <v>67.8</v>
      </c>
      <c r="EG130" s="32">
        <v>66.900000000000006</v>
      </c>
      <c r="EH130" s="32">
        <v>77.3</v>
      </c>
      <c r="EI130" s="32">
        <v>63</v>
      </c>
      <c r="EJ130" s="32">
        <v>74.8</v>
      </c>
      <c r="EK130" s="32">
        <v>63</v>
      </c>
      <c r="EL130" s="32">
        <v>69</v>
      </c>
      <c r="EM130" s="32">
        <v>47.1</v>
      </c>
      <c r="EN130" s="32">
        <v>73.3</v>
      </c>
      <c r="EO130" s="32">
        <v>90</v>
      </c>
      <c r="EP130" s="32">
        <v>94.9</v>
      </c>
      <c r="EQ130" s="32">
        <v>94.9</v>
      </c>
      <c r="ER130" s="32">
        <v>91.1</v>
      </c>
      <c r="ES130" s="32">
        <v>91.1</v>
      </c>
      <c r="ET130" s="32">
        <v>86</v>
      </c>
      <c r="EU130" s="32">
        <v>85.7</v>
      </c>
      <c r="EV130" s="32">
        <v>85.7</v>
      </c>
      <c r="EW130" s="32">
        <v>86.6</v>
      </c>
      <c r="EX130" s="32">
        <v>97.5</v>
      </c>
      <c r="EY130" s="32">
        <v>78.099999999999994</v>
      </c>
      <c r="EZ130" s="32">
        <v>86.7</v>
      </c>
      <c r="FA130" s="32">
        <v>99.8</v>
      </c>
      <c r="FB130" s="32">
        <v>109.9</v>
      </c>
      <c r="FC130" s="32">
        <v>91.5</v>
      </c>
      <c r="FD130" s="32">
        <v>114.5</v>
      </c>
      <c r="FE130" s="32">
        <v>137.80000000000001</v>
      </c>
      <c r="FF130" s="32">
        <v>87.7</v>
      </c>
      <c r="FG130" s="32">
        <v>81</v>
      </c>
      <c r="FH130" s="32">
        <v>86.6</v>
      </c>
      <c r="FI130" s="32">
        <v>81.3</v>
      </c>
      <c r="FJ130" s="32">
        <v>78.599999999999994</v>
      </c>
      <c r="FK130" s="32">
        <v>46.6</v>
      </c>
      <c r="FL130" s="32">
        <v>46.6</v>
      </c>
    </row>
    <row r="131" spans="1:168" x14ac:dyDescent="0.2">
      <c r="A131" s="34" t="s">
        <v>1111</v>
      </c>
      <c r="B131" s="32">
        <v>85.9</v>
      </c>
      <c r="C131" s="32">
        <v>78.599999999999994</v>
      </c>
      <c r="D131" s="32">
        <v>101.1</v>
      </c>
      <c r="E131" s="32">
        <v>102.3</v>
      </c>
      <c r="F131" s="32">
        <v>186.4</v>
      </c>
      <c r="G131" s="32">
        <v>3782.7</v>
      </c>
      <c r="H131" s="32">
        <v>208.5</v>
      </c>
      <c r="I131" s="32">
        <v>74.099999999999994</v>
      </c>
      <c r="J131" s="32">
        <v>94.1</v>
      </c>
      <c r="K131" s="32">
        <v>102.2</v>
      </c>
      <c r="L131" s="32">
        <v>98.9</v>
      </c>
      <c r="M131" s="32">
        <v>112.8</v>
      </c>
      <c r="N131" s="32">
        <v>94.6</v>
      </c>
      <c r="O131" s="32">
        <v>94.3</v>
      </c>
      <c r="P131" s="32">
        <v>150.9</v>
      </c>
      <c r="Q131" s="32">
        <v>105.6</v>
      </c>
      <c r="R131" s="32">
        <v>98.4</v>
      </c>
      <c r="S131" s="32">
        <v>129</v>
      </c>
      <c r="T131" s="32">
        <v>64</v>
      </c>
      <c r="U131" s="32">
        <v>57.4</v>
      </c>
      <c r="V131" s="32">
        <v>139.5</v>
      </c>
      <c r="W131" s="32">
        <v>54.7</v>
      </c>
      <c r="X131" s="32">
        <v>49.3</v>
      </c>
      <c r="Y131" s="32">
        <v>55.2</v>
      </c>
      <c r="Z131" s="32">
        <v>74.2</v>
      </c>
      <c r="AA131" s="32">
        <v>87.6</v>
      </c>
      <c r="AB131" s="32">
        <v>77.099999999999994</v>
      </c>
      <c r="AC131" s="32">
        <v>84.7</v>
      </c>
      <c r="AD131" s="32">
        <v>102.1</v>
      </c>
      <c r="AE131" s="32">
        <v>82.9</v>
      </c>
      <c r="AF131" s="32">
        <v>82.9</v>
      </c>
      <c r="AG131" s="32">
        <v>68.099999999999994</v>
      </c>
      <c r="AH131" s="32">
        <v>68.099999999999994</v>
      </c>
      <c r="AI131" s="32">
        <v>298.5</v>
      </c>
      <c r="AJ131" s="32">
        <v>33</v>
      </c>
      <c r="AK131" s="32">
        <v>38.700000000000003</v>
      </c>
      <c r="AL131" s="32">
        <v>110.5</v>
      </c>
      <c r="AM131" s="32">
        <v>56.8</v>
      </c>
      <c r="AN131" s="32">
        <v>135</v>
      </c>
      <c r="AO131" s="32">
        <v>120.6</v>
      </c>
      <c r="AP131" s="32">
        <v>120.6</v>
      </c>
      <c r="AQ131" s="32">
        <v>97.7</v>
      </c>
      <c r="AR131" s="32">
        <v>95.5</v>
      </c>
      <c r="AS131" s="32">
        <v>102.8</v>
      </c>
      <c r="AT131" s="32">
        <v>119.4</v>
      </c>
      <c r="AU131" s="32">
        <v>88.1</v>
      </c>
      <c r="AV131" s="32">
        <v>98.8</v>
      </c>
      <c r="AW131" s="32">
        <v>155.69999999999999</v>
      </c>
      <c r="AX131" s="32">
        <v>98.7</v>
      </c>
      <c r="AY131" s="32">
        <v>356.9</v>
      </c>
      <c r="AZ131" s="32">
        <v>88.3</v>
      </c>
      <c r="BA131" s="32">
        <v>73.099999999999994</v>
      </c>
      <c r="BB131" s="32">
        <v>73.099999999999994</v>
      </c>
      <c r="BC131" s="32">
        <v>110.6</v>
      </c>
      <c r="BD131" s="32">
        <v>110.6</v>
      </c>
      <c r="BE131" s="32">
        <v>127.6</v>
      </c>
      <c r="BF131" s="32">
        <v>127.6</v>
      </c>
      <c r="BG131" s="32">
        <v>95.4</v>
      </c>
      <c r="BH131" s="32">
        <v>76.7</v>
      </c>
      <c r="BI131" s="32">
        <v>114</v>
      </c>
      <c r="BJ131" s="32">
        <v>62.1</v>
      </c>
      <c r="BK131" s="32">
        <v>148.4</v>
      </c>
      <c r="BL131" s="32">
        <v>37</v>
      </c>
      <c r="BM131" s="32">
        <v>102.4</v>
      </c>
      <c r="BN131" s="32">
        <v>108.7</v>
      </c>
      <c r="BO131" s="32">
        <v>105.9</v>
      </c>
      <c r="BP131" s="32">
        <v>111.7</v>
      </c>
      <c r="BQ131" s="32">
        <v>94.3</v>
      </c>
      <c r="BR131" s="32">
        <v>89.5</v>
      </c>
      <c r="BS131" s="32">
        <v>207.8</v>
      </c>
      <c r="BT131" s="32">
        <v>70.2</v>
      </c>
      <c r="BU131" s="32">
        <v>100.3</v>
      </c>
      <c r="BV131" s="32">
        <v>100.3</v>
      </c>
      <c r="BW131" s="32">
        <v>143.9</v>
      </c>
      <c r="BX131" s="32">
        <v>40.5</v>
      </c>
      <c r="BY131" s="32">
        <v>99.9</v>
      </c>
      <c r="BZ131" s="32">
        <v>89.6</v>
      </c>
      <c r="CA131" s="32">
        <v>105.3</v>
      </c>
      <c r="CB131" s="32">
        <v>114.4</v>
      </c>
      <c r="CC131" s="32">
        <v>102.3</v>
      </c>
      <c r="CD131" s="32">
        <v>29.2</v>
      </c>
      <c r="CE131" s="32">
        <v>97.1</v>
      </c>
      <c r="CF131" s="32">
        <v>82.4</v>
      </c>
      <c r="CG131" s="32">
        <v>93</v>
      </c>
      <c r="CH131" s="32">
        <v>93.1</v>
      </c>
      <c r="CI131" s="32">
        <v>99.2</v>
      </c>
      <c r="CJ131" s="32">
        <v>88.5</v>
      </c>
      <c r="CK131" s="32">
        <v>95.4</v>
      </c>
      <c r="CL131" s="32">
        <v>94.8</v>
      </c>
      <c r="CM131" s="32">
        <v>102.9</v>
      </c>
      <c r="CN131" s="32">
        <v>66.3</v>
      </c>
      <c r="CO131" s="32">
        <v>112.8</v>
      </c>
      <c r="CP131" s="32">
        <v>87.1</v>
      </c>
      <c r="CQ131" s="32">
        <v>43.1</v>
      </c>
      <c r="CR131" s="32">
        <v>92.5</v>
      </c>
      <c r="CS131" s="32">
        <v>116.2</v>
      </c>
      <c r="CT131" s="32">
        <v>91.5</v>
      </c>
      <c r="CU131" s="32">
        <v>73.5</v>
      </c>
      <c r="CV131" s="32">
        <v>99.4</v>
      </c>
      <c r="CW131" s="32">
        <v>40.4</v>
      </c>
      <c r="CX131" s="32">
        <v>90.8</v>
      </c>
      <c r="CY131" s="32">
        <v>112.3</v>
      </c>
      <c r="CZ131" s="32">
        <v>79</v>
      </c>
      <c r="DA131" s="32">
        <v>65.5</v>
      </c>
      <c r="DB131" s="32">
        <v>105.3</v>
      </c>
      <c r="DC131" s="32">
        <v>8.6999999999999993</v>
      </c>
      <c r="DD131" s="32">
        <v>8.6999999999999993</v>
      </c>
      <c r="DE131" s="32">
        <v>77</v>
      </c>
      <c r="DF131" s="32">
        <v>72</v>
      </c>
      <c r="DG131" s="32">
        <v>108.8</v>
      </c>
      <c r="DH131" s="32">
        <v>114.8</v>
      </c>
      <c r="DI131" s="32">
        <v>172.5</v>
      </c>
      <c r="DJ131" s="32">
        <v>89.8</v>
      </c>
      <c r="DK131" s="32">
        <v>89.8</v>
      </c>
      <c r="DL131" s="32">
        <v>53.7</v>
      </c>
      <c r="DM131" s="32">
        <v>72.7</v>
      </c>
      <c r="DN131" s="32">
        <v>50.3</v>
      </c>
      <c r="DO131" s="32">
        <v>82</v>
      </c>
      <c r="DP131" s="32">
        <v>63.3</v>
      </c>
      <c r="DQ131" s="32">
        <v>78.099999999999994</v>
      </c>
      <c r="DR131" s="32">
        <v>86</v>
      </c>
      <c r="DS131" s="32">
        <v>80.8</v>
      </c>
      <c r="DT131" s="32">
        <v>79</v>
      </c>
      <c r="DU131" s="32">
        <v>81.599999999999994</v>
      </c>
      <c r="DV131" s="32">
        <v>86.6</v>
      </c>
      <c r="DW131" s="32">
        <v>75.8</v>
      </c>
      <c r="DX131" s="32">
        <v>73.400000000000006</v>
      </c>
      <c r="DY131" s="32">
        <v>87.2</v>
      </c>
      <c r="DZ131" s="32">
        <v>135.19999999999999</v>
      </c>
      <c r="EA131" s="32">
        <v>135.19999999999999</v>
      </c>
      <c r="EB131" s="32">
        <v>86.4</v>
      </c>
      <c r="EC131" s="32">
        <v>92.9</v>
      </c>
      <c r="ED131" s="32">
        <v>78.3</v>
      </c>
      <c r="EE131" s="32">
        <v>82.1</v>
      </c>
      <c r="EF131" s="32">
        <v>68.3</v>
      </c>
      <c r="EG131" s="32">
        <v>67.099999999999994</v>
      </c>
      <c r="EH131" s="32">
        <v>77.900000000000006</v>
      </c>
      <c r="EI131" s="32">
        <v>62.2</v>
      </c>
      <c r="EJ131" s="32">
        <v>76.2</v>
      </c>
      <c r="EK131" s="32">
        <v>63.4</v>
      </c>
      <c r="EL131" s="32">
        <v>72.400000000000006</v>
      </c>
      <c r="EM131" s="32">
        <v>48.3</v>
      </c>
      <c r="EN131" s="32">
        <v>72.5</v>
      </c>
      <c r="EO131" s="32">
        <v>90</v>
      </c>
      <c r="EP131" s="32">
        <v>95.1</v>
      </c>
      <c r="EQ131" s="32">
        <v>95.1</v>
      </c>
      <c r="ER131" s="32">
        <v>90.7</v>
      </c>
      <c r="ES131" s="32">
        <v>90.7</v>
      </c>
      <c r="ET131" s="32">
        <v>86.2</v>
      </c>
      <c r="EU131" s="32">
        <v>85.9</v>
      </c>
      <c r="EV131" s="32">
        <v>85.9</v>
      </c>
      <c r="EW131" s="32">
        <v>86.6</v>
      </c>
      <c r="EX131" s="32">
        <v>97.6</v>
      </c>
      <c r="EY131" s="32">
        <v>78</v>
      </c>
      <c r="EZ131" s="32">
        <v>87.7</v>
      </c>
      <c r="FA131" s="32">
        <v>100.1</v>
      </c>
      <c r="FB131" s="32">
        <v>111.3</v>
      </c>
      <c r="FC131" s="32">
        <v>95</v>
      </c>
      <c r="FD131" s="32">
        <v>114.1</v>
      </c>
      <c r="FE131" s="32">
        <v>136.5</v>
      </c>
      <c r="FF131" s="32">
        <v>86.6</v>
      </c>
      <c r="FG131" s="32">
        <v>82.1</v>
      </c>
      <c r="FH131" s="32">
        <v>87.7</v>
      </c>
      <c r="FI131" s="32">
        <v>72.5</v>
      </c>
      <c r="FJ131" s="32">
        <v>81</v>
      </c>
      <c r="FK131" s="32">
        <v>51.8</v>
      </c>
      <c r="FL131" s="32">
        <v>51.8</v>
      </c>
    </row>
    <row r="132" spans="1:168" ht="15.75" customHeight="1" x14ac:dyDescent="0.2">
      <c r="A132" s="34" t="s">
        <v>1112</v>
      </c>
      <c r="B132" s="32">
        <v>85.9</v>
      </c>
      <c r="C132" s="32">
        <v>79</v>
      </c>
      <c r="D132" s="32">
        <v>100.5</v>
      </c>
      <c r="E132" s="32">
        <v>101.8</v>
      </c>
      <c r="F132" s="32">
        <v>191</v>
      </c>
      <c r="G132" s="32">
        <v>3977</v>
      </c>
      <c r="H132" s="32">
        <v>215</v>
      </c>
      <c r="I132" s="32">
        <v>73.3</v>
      </c>
      <c r="J132" s="32">
        <v>93.3</v>
      </c>
      <c r="K132" s="32">
        <v>102.3</v>
      </c>
      <c r="L132" s="32">
        <v>98.4</v>
      </c>
      <c r="M132" s="32">
        <v>111.9</v>
      </c>
      <c r="N132" s="32">
        <v>94.3</v>
      </c>
      <c r="O132" s="32">
        <v>97.3</v>
      </c>
      <c r="P132" s="32">
        <v>144.4</v>
      </c>
      <c r="Q132" s="32">
        <v>113.5</v>
      </c>
      <c r="R132" s="32">
        <v>98.1</v>
      </c>
      <c r="S132" s="32">
        <v>127.8</v>
      </c>
      <c r="T132" s="32">
        <v>64.5</v>
      </c>
      <c r="U132" s="32">
        <v>58</v>
      </c>
      <c r="V132" s="32">
        <v>142.69999999999999</v>
      </c>
      <c r="W132" s="32">
        <v>57.4</v>
      </c>
      <c r="X132" s="32">
        <v>50.6</v>
      </c>
      <c r="Y132" s="32">
        <v>60.8</v>
      </c>
      <c r="Z132" s="32">
        <v>74.8</v>
      </c>
      <c r="AA132" s="32">
        <v>89.6</v>
      </c>
      <c r="AB132" s="32">
        <v>78.7</v>
      </c>
      <c r="AC132" s="32">
        <v>86</v>
      </c>
      <c r="AD132" s="32">
        <v>104.9</v>
      </c>
      <c r="AE132" s="32">
        <v>76.400000000000006</v>
      </c>
      <c r="AF132" s="32">
        <v>76.400000000000006</v>
      </c>
      <c r="AG132" s="32">
        <v>64.900000000000006</v>
      </c>
      <c r="AH132" s="32">
        <v>64.900000000000006</v>
      </c>
      <c r="AI132" s="32">
        <v>294.5</v>
      </c>
      <c r="AJ132" s="32">
        <v>29.4</v>
      </c>
      <c r="AK132" s="32">
        <v>35.4</v>
      </c>
      <c r="AL132" s="32">
        <v>108.7</v>
      </c>
      <c r="AM132" s="32">
        <v>54.3</v>
      </c>
      <c r="AN132" s="32">
        <v>136.1</v>
      </c>
      <c r="AO132" s="32">
        <v>114.8</v>
      </c>
      <c r="AP132" s="32">
        <v>114.8</v>
      </c>
      <c r="AQ132" s="32">
        <v>96.3</v>
      </c>
      <c r="AR132" s="32">
        <v>94.5</v>
      </c>
      <c r="AS132" s="32">
        <v>100.6</v>
      </c>
      <c r="AT132" s="32">
        <v>118.5</v>
      </c>
      <c r="AU132" s="32">
        <v>84.8</v>
      </c>
      <c r="AV132" s="32">
        <v>99.4</v>
      </c>
      <c r="AW132" s="32">
        <v>155.30000000000001</v>
      </c>
      <c r="AX132" s="32">
        <v>93.4</v>
      </c>
      <c r="AY132" s="32">
        <v>369.1</v>
      </c>
      <c r="AZ132" s="32">
        <v>89.2</v>
      </c>
      <c r="BA132" s="32">
        <v>75.8</v>
      </c>
      <c r="BB132" s="32">
        <v>75.8</v>
      </c>
      <c r="BC132" s="32">
        <v>112.5</v>
      </c>
      <c r="BD132" s="32">
        <v>112.5</v>
      </c>
      <c r="BE132" s="32">
        <v>127.7</v>
      </c>
      <c r="BF132" s="32">
        <v>127.7</v>
      </c>
      <c r="BG132" s="32">
        <v>91.2</v>
      </c>
      <c r="BH132" s="32">
        <v>67.7</v>
      </c>
      <c r="BI132" s="32">
        <v>116</v>
      </c>
      <c r="BJ132" s="32">
        <v>63.2</v>
      </c>
      <c r="BK132" s="32">
        <v>150.30000000000001</v>
      </c>
      <c r="BL132" s="32">
        <v>40.5</v>
      </c>
      <c r="BM132" s="32">
        <v>99.7</v>
      </c>
      <c r="BN132" s="32">
        <v>108.8</v>
      </c>
      <c r="BO132" s="32">
        <v>109.8</v>
      </c>
      <c r="BP132" s="32">
        <v>108.3</v>
      </c>
      <c r="BQ132" s="32">
        <v>87.6</v>
      </c>
      <c r="BR132" s="32">
        <v>69.7</v>
      </c>
      <c r="BS132" s="32">
        <v>189.1</v>
      </c>
      <c r="BT132" s="32">
        <v>67.8</v>
      </c>
      <c r="BU132" s="32">
        <v>98.6</v>
      </c>
      <c r="BV132" s="32">
        <v>98.6</v>
      </c>
      <c r="BW132" s="32">
        <v>143.9</v>
      </c>
      <c r="BX132" s="32">
        <v>37.5</v>
      </c>
      <c r="BY132" s="32">
        <v>100.3</v>
      </c>
      <c r="BZ132" s="32">
        <v>89.2</v>
      </c>
      <c r="CA132" s="32">
        <v>106.1</v>
      </c>
      <c r="CB132" s="32">
        <v>114.6</v>
      </c>
      <c r="CC132" s="32">
        <v>103.7</v>
      </c>
      <c r="CD132" s="32">
        <v>28.9</v>
      </c>
      <c r="CE132" s="32">
        <v>96.1</v>
      </c>
      <c r="CF132" s="32">
        <v>82.5</v>
      </c>
      <c r="CG132" s="32">
        <v>92.4</v>
      </c>
      <c r="CH132" s="32">
        <v>93.1</v>
      </c>
      <c r="CI132" s="32">
        <v>98.1</v>
      </c>
      <c r="CJ132" s="32">
        <v>88.8</v>
      </c>
      <c r="CK132" s="32">
        <v>95.4</v>
      </c>
      <c r="CL132" s="32">
        <v>94.9</v>
      </c>
      <c r="CM132" s="32">
        <v>102.9</v>
      </c>
      <c r="CN132" s="32">
        <v>67.099999999999994</v>
      </c>
      <c r="CO132" s="32">
        <v>112.6</v>
      </c>
      <c r="CP132" s="32">
        <v>88.4</v>
      </c>
      <c r="CQ132" s="32">
        <v>42.5</v>
      </c>
      <c r="CR132" s="32">
        <v>91.1</v>
      </c>
      <c r="CS132" s="32">
        <v>120.1</v>
      </c>
      <c r="CT132" s="32">
        <v>87.8</v>
      </c>
      <c r="CU132" s="32">
        <v>70.400000000000006</v>
      </c>
      <c r="CV132" s="32">
        <v>95.4</v>
      </c>
      <c r="CW132" s="32">
        <v>40.799999999999997</v>
      </c>
      <c r="CX132" s="32">
        <v>93.7</v>
      </c>
      <c r="CY132" s="32">
        <v>113.6</v>
      </c>
      <c r="CZ132" s="32">
        <v>82.8</v>
      </c>
      <c r="DA132" s="32">
        <v>70.3</v>
      </c>
      <c r="DB132" s="32">
        <v>106.9</v>
      </c>
      <c r="DC132" s="32">
        <v>8.6999999999999993</v>
      </c>
      <c r="DD132" s="32">
        <v>8.6999999999999993</v>
      </c>
      <c r="DE132" s="32">
        <v>77.599999999999994</v>
      </c>
      <c r="DF132" s="32">
        <v>72.5</v>
      </c>
      <c r="DG132" s="32">
        <v>109.4</v>
      </c>
      <c r="DH132" s="32">
        <v>117.4</v>
      </c>
      <c r="DI132" s="32">
        <v>178.5</v>
      </c>
      <c r="DJ132" s="32">
        <v>92.7</v>
      </c>
      <c r="DK132" s="32">
        <v>92.7</v>
      </c>
      <c r="DL132" s="32">
        <v>51.1</v>
      </c>
      <c r="DM132" s="32">
        <v>72.7</v>
      </c>
      <c r="DN132" s="32">
        <v>51</v>
      </c>
      <c r="DO132" s="32">
        <v>81.5</v>
      </c>
      <c r="DP132" s="32">
        <v>64.2</v>
      </c>
      <c r="DQ132" s="32">
        <v>78.599999999999994</v>
      </c>
      <c r="DR132" s="32">
        <v>86.5</v>
      </c>
      <c r="DS132" s="32">
        <v>81.5</v>
      </c>
      <c r="DT132" s="32">
        <v>78.5</v>
      </c>
      <c r="DU132" s="32">
        <v>79.900000000000006</v>
      </c>
      <c r="DV132" s="32">
        <v>84.7</v>
      </c>
      <c r="DW132" s="32">
        <v>74.400000000000006</v>
      </c>
      <c r="DX132" s="32">
        <v>75.599999999999994</v>
      </c>
      <c r="DY132" s="32">
        <v>91.3</v>
      </c>
      <c r="DZ132" s="32">
        <v>127.6</v>
      </c>
      <c r="EA132" s="32">
        <v>127.6</v>
      </c>
      <c r="EB132" s="32">
        <v>88.9</v>
      </c>
      <c r="EC132" s="32">
        <v>95.4</v>
      </c>
      <c r="ED132" s="32">
        <v>80.900000000000006</v>
      </c>
      <c r="EE132" s="32">
        <v>85.4</v>
      </c>
      <c r="EF132" s="32">
        <v>69</v>
      </c>
      <c r="EG132" s="32">
        <v>67.400000000000006</v>
      </c>
      <c r="EH132" s="32">
        <v>78.099999999999994</v>
      </c>
      <c r="EI132" s="32">
        <v>60.5</v>
      </c>
      <c r="EJ132" s="32">
        <v>77.3</v>
      </c>
      <c r="EK132" s="32">
        <v>65.3</v>
      </c>
      <c r="EL132" s="32">
        <v>71.599999999999994</v>
      </c>
      <c r="EM132" s="32">
        <v>49.2</v>
      </c>
      <c r="EN132" s="32">
        <v>75.599999999999994</v>
      </c>
      <c r="EO132" s="32">
        <v>89.5</v>
      </c>
      <c r="EP132" s="32">
        <v>94.8</v>
      </c>
      <c r="EQ132" s="32">
        <v>94.8</v>
      </c>
      <c r="ER132" s="32">
        <v>89.2</v>
      </c>
      <c r="ES132" s="32">
        <v>89.2</v>
      </c>
      <c r="ET132" s="32">
        <v>86.3</v>
      </c>
      <c r="EU132" s="32">
        <v>86.1</v>
      </c>
      <c r="EV132" s="32">
        <v>86.1</v>
      </c>
      <c r="EW132" s="32">
        <v>86.8</v>
      </c>
      <c r="EX132" s="32">
        <v>97.9</v>
      </c>
      <c r="EY132" s="32">
        <v>78.099999999999994</v>
      </c>
      <c r="EZ132" s="32">
        <v>85.8</v>
      </c>
      <c r="FA132" s="32">
        <v>97</v>
      </c>
      <c r="FB132" s="32">
        <v>109.1</v>
      </c>
      <c r="FC132" s="32">
        <v>91.5</v>
      </c>
      <c r="FD132" s="32">
        <v>114.2</v>
      </c>
      <c r="FE132" s="32">
        <v>135.4</v>
      </c>
      <c r="FF132" s="32">
        <v>82.4</v>
      </c>
      <c r="FG132" s="32">
        <v>80.900000000000006</v>
      </c>
      <c r="FH132" s="32">
        <v>89.2</v>
      </c>
      <c r="FI132" s="32">
        <v>70</v>
      </c>
      <c r="FJ132" s="32">
        <v>78.8</v>
      </c>
      <c r="FK132" s="32">
        <v>51.7</v>
      </c>
      <c r="FL132" s="32">
        <v>51.7</v>
      </c>
    </row>
    <row r="133" spans="1:168" ht="15.75" customHeight="1" x14ac:dyDescent="0.2">
      <c r="A133" s="34" t="s">
        <v>1113</v>
      </c>
      <c r="B133" s="32">
        <v>86.4</v>
      </c>
      <c r="C133" s="32">
        <v>79.3</v>
      </c>
      <c r="D133" s="32">
        <v>101.2</v>
      </c>
      <c r="E133" s="32">
        <v>103.1</v>
      </c>
      <c r="F133" s="32">
        <v>183.8</v>
      </c>
      <c r="G133" s="32">
        <v>3039.4</v>
      </c>
      <c r="H133" s="32">
        <v>209.4</v>
      </c>
      <c r="I133" s="32">
        <v>66.7</v>
      </c>
      <c r="J133" s="32">
        <v>95.7</v>
      </c>
      <c r="K133" s="32">
        <v>100.6</v>
      </c>
      <c r="L133" s="32">
        <v>96.9</v>
      </c>
      <c r="M133" s="32">
        <v>101.6</v>
      </c>
      <c r="N133" s="32">
        <v>99.7</v>
      </c>
      <c r="O133" s="32">
        <v>90.9</v>
      </c>
      <c r="P133" s="32">
        <v>143.30000000000001</v>
      </c>
      <c r="Q133" s="32">
        <v>107.8</v>
      </c>
      <c r="R133" s="32">
        <v>96.9</v>
      </c>
      <c r="S133" s="32">
        <v>128.4</v>
      </c>
      <c r="T133" s="32">
        <v>61.8</v>
      </c>
      <c r="U133" s="32">
        <v>57.6</v>
      </c>
      <c r="V133" s="32">
        <v>139</v>
      </c>
      <c r="W133" s="32">
        <v>57.6</v>
      </c>
      <c r="X133" s="32">
        <v>49.4</v>
      </c>
      <c r="Y133" s="32">
        <v>63</v>
      </c>
      <c r="Z133" s="32">
        <v>83.6</v>
      </c>
      <c r="AA133" s="32">
        <v>91.5</v>
      </c>
      <c r="AB133" s="32">
        <v>79.599999999999994</v>
      </c>
      <c r="AC133" s="32">
        <v>85.9</v>
      </c>
      <c r="AD133" s="32">
        <v>108.7</v>
      </c>
      <c r="AE133" s="32">
        <v>77.099999999999994</v>
      </c>
      <c r="AF133" s="32">
        <v>77.099999999999994</v>
      </c>
      <c r="AG133" s="32">
        <v>64.3</v>
      </c>
      <c r="AH133" s="32">
        <v>64.3</v>
      </c>
      <c r="AI133" s="32">
        <v>281.8</v>
      </c>
      <c r="AJ133" s="32">
        <v>27.2</v>
      </c>
      <c r="AK133" s="32">
        <v>30.6</v>
      </c>
      <c r="AL133" s="32">
        <v>113.8</v>
      </c>
      <c r="AM133" s="32">
        <v>55.2</v>
      </c>
      <c r="AN133" s="32">
        <v>143.69999999999999</v>
      </c>
      <c r="AO133" s="32">
        <v>127.7</v>
      </c>
      <c r="AP133" s="32">
        <v>127.7</v>
      </c>
      <c r="AQ133" s="32">
        <v>99.5</v>
      </c>
      <c r="AR133" s="32">
        <v>94.8</v>
      </c>
      <c r="AS133" s="32">
        <v>108.2</v>
      </c>
      <c r="AT133" s="32">
        <v>116.3</v>
      </c>
      <c r="AU133" s="32">
        <v>100.7</v>
      </c>
      <c r="AV133" s="32">
        <v>99.8</v>
      </c>
      <c r="AW133" s="32">
        <v>159.19999999999999</v>
      </c>
      <c r="AX133" s="32">
        <v>94</v>
      </c>
      <c r="AY133" s="32">
        <v>383.4</v>
      </c>
      <c r="AZ133" s="32">
        <v>88.9</v>
      </c>
      <c r="BA133" s="32">
        <v>74</v>
      </c>
      <c r="BB133" s="32">
        <v>74</v>
      </c>
      <c r="BC133" s="32">
        <v>108.8</v>
      </c>
      <c r="BD133" s="32">
        <v>108.8</v>
      </c>
      <c r="BE133" s="32">
        <v>128.9</v>
      </c>
      <c r="BF133" s="32">
        <v>128.9</v>
      </c>
      <c r="BG133" s="32">
        <v>104.6</v>
      </c>
      <c r="BH133" s="32">
        <v>90.6</v>
      </c>
      <c r="BI133" s="32">
        <v>117.1</v>
      </c>
      <c r="BJ133" s="32">
        <v>63.4</v>
      </c>
      <c r="BK133" s="32">
        <v>151.4</v>
      </c>
      <c r="BL133" s="32">
        <v>42.7</v>
      </c>
      <c r="BM133" s="32">
        <v>101.2</v>
      </c>
      <c r="BN133" s="32">
        <v>108.3</v>
      </c>
      <c r="BO133" s="32">
        <v>106.1</v>
      </c>
      <c r="BP133" s="32">
        <v>110.8</v>
      </c>
      <c r="BQ133" s="32">
        <v>91.8</v>
      </c>
      <c r="BR133" s="32">
        <v>75.099999999999994</v>
      </c>
      <c r="BS133" s="32">
        <v>210.4</v>
      </c>
      <c r="BT133" s="32">
        <v>68.7</v>
      </c>
      <c r="BU133" s="32">
        <v>97.1</v>
      </c>
      <c r="BV133" s="32">
        <v>97.1</v>
      </c>
      <c r="BW133" s="32">
        <v>141.6</v>
      </c>
      <c r="BX133" s="32">
        <v>37.200000000000003</v>
      </c>
      <c r="BY133" s="32">
        <v>100.7</v>
      </c>
      <c r="BZ133" s="32">
        <v>93</v>
      </c>
      <c r="CA133" s="32">
        <v>104.7</v>
      </c>
      <c r="CB133" s="32">
        <v>113.4</v>
      </c>
      <c r="CC133" s="32">
        <v>102.2</v>
      </c>
      <c r="CD133" s="32">
        <v>28.3</v>
      </c>
      <c r="CE133" s="32">
        <v>95.4</v>
      </c>
      <c r="CF133" s="32">
        <v>83</v>
      </c>
      <c r="CG133" s="32">
        <v>93.7</v>
      </c>
      <c r="CH133" s="32">
        <v>94.2</v>
      </c>
      <c r="CI133" s="32">
        <v>101.3</v>
      </c>
      <c r="CJ133" s="32">
        <v>89.5</v>
      </c>
      <c r="CK133" s="32">
        <v>96.2</v>
      </c>
      <c r="CL133" s="32">
        <v>96.2</v>
      </c>
      <c r="CM133" s="32">
        <v>105.8</v>
      </c>
      <c r="CN133" s="32">
        <v>68.2</v>
      </c>
      <c r="CO133" s="32">
        <v>116.1</v>
      </c>
      <c r="CP133" s="32">
        <v>87</v>
      </c>
      <c r="CQ133" s="32">
        <v>41.9</v>
      </c>
      <c r="CR133" s="32">
        <v>92.2</v>
      </c>
      <c r="CS133" s="32">
        <v>121.3</v>
      </c>
      <c r="CT133" s="32">
        <v>90.1</v>
      </c>
      <c r="CU133" s="32">
        <v>71.8</v>
      </c>
      <c r="CV133" s="32">
        <v>98.2</v>
      </c>
      <c r="CW133" s="32">
        <v>40.799999999999997</v>
      </c>
      <c r="CX133" s="32">
        <v>92.3</v>
      </c>
      <c r="CY133" s="32">
        <v>112.6</v>
      </c>
      <c r="CZ133" s="32">
        <v>81.099999999999994</v>
      </c>
      <c r="DA133" s="32">
        <v>68.3</v>
      </c>
      <c r="DB133" s="32">
        <v>106.2</v>
      </c>
      <c r="DC133" s="32">
        <v>8.6</v>
      </c>
      <c r="DD133" s="32">
        <v>8.6</v>
      </c>
      <c r="DE133" s="32">
        <v>79.3</v>
      </c>
      <c r="DF133" s="32">
        <v>73.599999999999994</v>
      </c>
      <c r="DG133" s="32">
        <v>115.9</v>
      </c>
      <c r="DH133" s="32">
        <v>117.8</v>
      </c>
      <c r="DI133" s="32">
        <v>176.1</v>
      </c>
      <c r="DJ133" s="32">
        <v>94.2</v>
      </c>
      <c r="DK133" s="32">
        <v>94.2</v>
      </c>
      <c r="DL133" s="32">
        <v>53.7</v>
      </c>
      <c r="DM133" s="32">
        <v>72.900000000000006</v>
      </c>
      <c r="DN133" s="32">
        <v>51.7</v>
      </c>
      <c r="DO133" s="32">
        <v>81.7</v>
      </c>
      <c r="DP133" s="32">
        <v>64</v>
      </c>
      <c r="DQ133" s="32">
        <v>78.900000000000006</v>
      </c>
      <c r="DR133" s="32">
        <v>86.6</v>
      </c>
      <c r="DS133" s="32">
        <v>80.900000000000006</v>
      </c>
      <c r="DT133" s="32">
        <v>77.900000000000006</v>
      </c>
      <c r="DU133" s="32">
        <v>78.8</v>
      </c>
      <c r="DV133" s="32">
        <v>82.6</v>
      </c>
      <c r="DW133" s="32">
        <v>74.099999999999994</v>
      </c>
      <c r="DX133" s="32">
        <v>76.2</v>
      </c>
      <c r="DY133" s="32">
        <v>90.7</v>
      </c>
      <c r="DZ133" s="32">
        <v>137.69999999999999</v>
      </c>
      <c r="EA133" s="32">
        <v>137.69999999999999</v>
      </c>
      <c r="EB133" s="32">
        <v>87.9</v>
      </c>
      <c r="EC133" s="32">
        <v>92.6</v>
      </c>
      <c r="ED133" s="32">
        <v>82.1</v>
      </c>
      <c r="EE133" s="32">
        <v>87</v>
      </c>
      <c r="EF133" s="32">
        <v>69.3</v>
      </c>
      <c r="EG133" s="32">
        <v>68.099999999999994</v>
      </c>
      <c r="EH133" s="32">
        <v>78.8</v>
      </c>
      <c r="EI133" s="32">
        <v>59.8</v>
      </c>
      <c r="EJ133" s="32">
        <v>78.599999999999994</v>
      </c>
      <c r="EK133" s="32">
        <v>66.900000000000006</v>
      </c>
      <c r="EL133" s="32">
        <v>69.599999999999994</v>
      </c>
      <c r="EM133" s="32">
        <v>51</v>
      </c>
      <c r="EN133" s="32">
        <v>77.900000000000006</v>
      </c>
      <c r="EO133" s="32">
        <v>89.4</v>
      </c>
      <c r="EP133" s="32">
        <v>94.7</v>
      </c>
      <c r="EQ133" s="32">
        <v>94.7</v>
      </c>
      <c r="ER133" s="32">
        <v>88.4</v>
      </c>
      <c r="ES133" s="32">
        <v>88.4</v>
      </c>
      <c r="ET133" s="32">
        <v>86.5</v>
      </c>
      <c r="EU133" s="32">
        <v>86.3</v>
      </c>
      <c r="EV133" s="32">
        <v>86.3</v>
      </c>
      <c r="EW133" s="32">
        <v>87.1</v>
      </c>
      <c r="EX133" s="32">
        <v>98.3</v>
      </c>
      <c r="EY133" s="32">
        <v>78.400000000000006</v>
      </c>
      <c r="EZ133" s="32">
        <v>87.9</v>
      </c>
      <c r="FA133" s="32">
        <v>99.3</v>
      </c>
      <c r="FB133" s="32">
        <v>113.5</v>
      </c>
      <c r="FC133" s="32">
        <v>99.7</v>
      </c>
      <c r="FD133" s="32">
        <v>113.9</v>
      </c>
      <c r="FE133" s="32">
        <v>135.5</v>
      </c>
      <c r="FF133" s="32">
        <v>82.2</v>
      </c>
      <c r="FG133" s="32">
        <v>82.2</v>
      </c>
      <c r="FH133" s="32">
        <v>90.3</v>
      </c>
      <c r="FI133" s="32">
        <v>74.7</v>
      </c>
      <c r="FJ133" s="32">
        <v>79.8</v>
      </c>
      <c r="FK133" s="32">
        <v>59.1</v>
      </c>
      <c r="FL133" s="32">
        <v>59.1</v>
      </c>
    </row>
    <row r="134" spans="1:168" x14ac:dyDescent="0.2">
      <c r="A134" s="34" t="s">
        <v>1114</v>
      </c>
      <c r="B134" s="32">
        <v>86.5</v>
      </c>
      <c r="C134" s="32">
        <v>79.5</v>
      </c>
      <c r="D134" s="32">
        <v>100.2</v>
      </c>
      <c r="E134" s="32">
        <v>101.8</v>
      </c>
      <c r="F134" s="32">
        <v>177.9</v>
      </c>
      <c r="G134" s="32">
        <v>2864.4</v>
      </c>
      <c r="H134" s="32">
        <v>201.9</v>
      </c>
      <c r="I134" s="32">
        <v>66.599999999999994</v>
      </c>
      <c r="J134" s="32">
        <v>94.7</v>
      </c>
      <c r="K134" s="32">
        <v>98.3</v>
      </c>
      <c r="L134" s="32">
        <v>95.1</v>
      </c>
      <c r="M134" s="32">
        <v>100.7</v>
      </c>
      <c r="N134" s="32">
        <v>91.1</v>
      </c>
      <c r="O134" s="32">
        <v>89</v>
      </c>
      <c r="P134" s="32">
        <v>142.69999999999999</v>
      </c>
      <c r="Q134" s="32">
        <v>94.9</v>
      </c>
      <c r="R134" s="32">
        <v>97.6</v>
      </c>
      <c r="S134" s="32">
        <v>127.7</v>
      </c>
      <c r="T134" s="32">
        <v>61.9</v>
      </c>
      <c r="U134" s="32">
        <v>59.9</v>
      </c>
      <c r="V134" s="32">
        <v>131.9</v>
      </c>
      <c r="W134" s="32">
        <v>56.4</v>
      </c>
      <c r="X134" s="32">
        <v>49.1</v>
      </c>
      <c r="Y134" s="32">
        <v>60.2</v>
      </c>
      <c r="Z134" s="32">
        <v>82</v>
      </c>
      <c r="AA134" s="32">
        <v>92.2</v>
      </c>
      <c r="AB134" s="32">
        <v>85</v>
      </c>
      <c r="AC134" s="32">
        <v>84.5</v>
      </c>
      <c r="AD134" s="32">
        <v>108.5</v>
      </c>
      <c r="AE134" s="32">
        <v>76</v>
      </c>
      <c r="AF134" s="32">
        <v>76</v>
      </c>
      <c r="AG134" s="32">
        <v>62.4</v>
      </c>
      <c r="AH134" s="32">
        <v>62.4</v>
      </c>
      <c r="AI134" s="32">
        <v>291.3</v>
      </c>
      <c r="AJ134" s="32">
        <v>26.6</v>
      </c>
      <c r="AK134" s="32">
        <v>26.8</v>
      </c>
      <c r="AL134" s="32">
        <v>105.6</v>
      </c>
      <c r="AM134" s="32">
        <v>52.5</v>
      </c>
      <c r="AN134" s="32">
        <v>138.6</v>
      </c>
      <c r="AO134" s="32">
        <v>131.5</v>
      </c>
      <c r="AP134" s="32">
        <v>131.5</v>
      </c>
      <c r="AQ134" s="32">
        <v>97.8</v>
      </c>
      <c r="AR134" s="32">
        <v>93.8</v>
      </c>
      <c r="AS134" s="32">
        <v>105.6</v>
      </c>
      <c r="AT134" s="32">
        <v>111.5</v>
      </c>
      <c r="AU134" s="32">
        <v>99.9</v>
      </c>
      <c r="AV134" s="32">
        <v>99.3</v>
      </c>
      <c r="AW134" s="32">
        <v>151.19999999999999</v>
      </c>
      <c r="AX134" s="32">
        <v>85.6</v>
      </c>
      <c r="AY134" s="32">
        <v>374.1</v>
      </c>
      <c r="AZ134" s="32">
        <v>90</v>
      </c>
      <c r="BA134" s="32">
        <v>75.599999999999994</v>
      </c>
      <c r="BB134" s="32">
        <v>75.599999999999994</v>
      </c>
      <c r="BC134" s="32">
        <v>109.9</v>
      </c>
      <c r="BD134" s="32">
        <v>109.9</v>
      </c>
      <c r="BE134" s="32">
        <v>130.1</v>
      </c>
      <c r="BF134" s="32">
        <v>130.1</v>
      </c>
      <c r="BG134" s="32">
        <v>99.9</v>
      </c>
      <c r="BH134" s="32">
        <v>82.3</v>
      </c>
      <c r="BI134" s="32">
        <v>117.2</v>
      </c>
      <c r="BJ134" s="32">
        <v>63.9</v>
      </c>
      <c r="BK134" s="32">
        <v>151.4</v>
      </c>
      <c r="BL134" s="32">
        <v>42.7</v>
      </c>
      <c r="BM134" s="32">
        <v>99.1</v>
      </c>
      <c r="BN134" s="32">
        <v>104.4</v>
      </c>
      <c r="BO134" s="32">
        <v>98.3</v>
      </c>
      <c r="BP134" s="32">
        <v>110.6</v>
      </c>
      <c r="BQ134" s="32">
        <v>92.2</v>
      </c>
      <c r="BR134" s="32">
        <v>73.400000000000006</v>
      </c>
      <c r="BS134" s="32">
        <v>190.7</v>
      </c>
      <c r="BT134" s="32">
        <v>72.7</v>
      </c>
      <c r="BU134" s="32">
        <v>94.8</v>
      </c>
      <c r="BV134" s="32">
        <v>94.8</v>
      </c>
      <c r="BW134" s="32">
        <v>138.1</v>
      </c>
      <c r="BX134" s="32">
        <v>36.6</v>
      </c>
      <c r="BY134" s="32">
        <v>100.5</v>
      </c>
      <c r="BZ134" s="32">
        <v>93.2</v>
      </c>
      <c r="CA134" s="32">
        <v>104.3</v>
      </c>
      <c r="CB134" s="32">
        <v>113.4</v>
      </c>
      <c r="CC134" s="32">
        <v>101.4</v>
      </c>
      <c r="CD134" s="32">
        <v>28.1</v>
      </c>
      <c r="CE134" s="32">
        <v>95.3</v>
      </c>
      <c r="CF134" s="32">
        <v>83.3</v>
      </c>
      <c r="CG134" s="32">
        <v>94</v>
      </c>
      <c r="CH134" s="32">
        <v>95</v>
      </c>
      <c r="CI134" s="32">
        <v>101.2</v>
      </c>
      <c r="CJ134" s="32">
        <v>91.8</v>
      </c>
      <c r="CK134" s="32">
        <v>96.2</v>
      </c>
      <c r="CL134" s="32">
        <v>96.1</v>
      </c>
      <c r="CM134" s="32">
        <v>105.3</v>
      </c>
      <c r="CN134" s="32">
        <v>69.400000000000006</v>
      </c>
      <c r="CO134" s="32">
        <v>115</v>
      </c>
      <c r="CP134" s="32">
        <v>82.1</v>
      </c>
      <c r="CQ134" s="32">
        <v>42</v>
      </c>
      <c r="CR134" s="32">
        <v>93.4</v>
      </c>
      <c r="CS134" s="32">
        <v>121.4</v>
      </c>
      <c r="CT134" s="32">
        <v>89.2</v>
      </c>
      <c r="CU134" s="32">
        <v>70.5</v>
      </c>
      <c r="CV134" s="32">
        <v>97.5</v>
      </c>
      <c r="CW134" s="32">
        <v>41.4</v>
      </c>
      <c r="CX134" s="32">
        <v>90.9</v>
      </c>
      <c r="CY134" s="32">
        <v>111</v>
      </c>
      <c r="CZ134" s="32">
        <v>79.8</v>
      </c>
      <c r="DA134" s="32">
        <v>66.3</v>
      </c>
      <c r="DB134" s="32">
        <v>106.1</v>
      </c>
      <c r="DC134" s="32">
        <v>8.6</v>
      </c>
      <c r="DD134" s="32">
        <v>8.6</v>
      </c>
      <c r="DE134" s="32">
        <v>82</v>
      </c>
      <c r="DF134" s="32">
        <v>77.599999999999994</v>
      </c>
      <c r="DG134" s="32">
        <v>108.8</v>
      </c>
      <c r="DH134" s="32">
        <v>117.8</v>
      </c>
      <c r="DI134" s="32">
        <v>175.1</v>
      </c>
      <c r="DJ134" s="32">
        <v>95.7</v>
      </c>
      <c r="DK134" s="32">
        <v>95.7</v>
      </c>
      <c r="DL134" s="32">
        <v>52.8</v>
      </c>
      <c r="DM134" s="32">
        <v>73</v>
      </c>
      <c r="DN134" s="32">
        <v>52</v>
      </c>
      <c r="DO134" s="32">
        <v>81.599999999999994</v>
      </c>
      <c r="DP134" s="32">
        <v>63.9</v>
      </c>
      <c r="DQ134" s="32">
        <v>79.2</v>
      </c>
      <c r="DR134" s="32">
        <v>86.9</v>
      </c>
      <c r="DS134" s="32">
        <v>81.099999999999994</v>
      </c>
      <c r="DT134" s="32">
        <v>78.3</v>
      </c>
      <c r="DU134" s="32">
        <v>79.400000000000006</v>
      </c>
      <c r="DV134" s="32">
        <v>83.3</v>
      </c>
      <c r="DW134" s="32">
        <v>74.7</v>
      </c>
      <c r="DX134" s="32">
        <v>76.3</v>
      </c>
      <c r="DY134" s="32">
        <v>90.5</v>
      </c>
      <c r="DZ134" s="32">
        <v>140.69999999999999</v>
      </c>
      <c r="EA134" s="32">
        <v>140.69999999999999</v>
      </c>
      <c r="EB134" s="32">
        <v>87.6</v>
      </c>
      <c r="EC134" s="32">
        <v>92.2</v>
      </c>
      <c r="ED134" s="32">
        <v>82.1</v>
      </c>
      <c r="EE134" s="32">
        <v>86.8</v>
      </c>
      <c r="EF134" s="32">
        <v>69.5</v>
      </c>
      <c r="EG134" s="32">
        <v>68.2</v>
      </c>
      <c r="EH134" s="32">
        <v>79.3</v>
      </c>
      <c r="EI134" s="32">
        <v>61.3</v>
      </c>
      <c r="EJ134" s="32">
        <v>80.400000000000006</v>
      </c>
      <c r="EK134" s="32">
        <v>65.5</v>
      </c>
      <c r="EL134" s="32">
        <v>71.7</v>
      </c>
      <c r="EM134" s="32">
        <v>49.6</v>
      </c>
      <c r="EN134" s="32">
        <v>75.8</v>
      </c>
      <c r="EO134" s="32">
        <v>89.6</v>
      </c>
      <c r="EP134" s="32">
        <v>94</v>
      </c>
      <c r="EQ134" s="32">
        <v>94</v>
      </c>
      <c r="ER134" s="32">
        <v>89.5</v>
      </c>
      <c r="ES134" s="32">
        <v>89.5</v>
      </c>
      <c r="ET134" s="32">
        <v>86.9</v>
      </c>
      <c r="EU134" s="32">
        <v>86.7</v>
      </c>
      <c r="EV134" s="32">
        <v>86.7</v>
      </c>
      <c r="EW134" s="32">
        <v>87.5</v>
      </c>
      <c r="EX134" s="32">
        <v>98.6</v>
      </c>
      <c r="EY134" s="32">
        <v>78.8</v>
      </c>
      <c r="EZ134" s="32">
        <v>89.1</v>
      </c>
      <c r="FA134" s="32">
        <v>100.6</v>
      </c>
      <c r="FB134" s="32">
        <v>114.7</v>
      </c>
      <c r="FC134" s="32">
        <v>101.1</v>
      </c>
      <c r="FD134" s="32">
        <v>112.3</v>
      </c>
      <c r="FE134" s="32">
        <v>137.80000000000001</v>
      </c>
      <c r="FF134" s="32">
        <v>83.6</v>
      </c>
      <c r="FG134" s="32">
        <v>83.2</v>
      </c>
      <c r="FH134" s="32">
        <v>90.2</v>
      </c>
      <c r="FI134" s="32">
        <v>76.3</v>
      </c>
      <c r="FJ134" s="32">
        <v>81.2</v>
      </c>
      <c r="FK134" s="32">
        <v>62.1</v>
      </c>
      <c r="FL134" s="32">
        <v>62.1</v>
      </c>
    </row>
    <row r="135" spans="1:168" x14ac:dyDescent="0.2">
      <c r="A135" s="34" t="s">
        <v>1115</v>
      </c>
      <c r="B135" s="32">
        <v>86.2</v>
      </c>
      <c r="C135" s="32">
        <v>80.5</v>
      </c>
      <c r="D135" s="32">
        <v>100.7</v>
      </c>
      <c r="E135" s="32">
        <v>102.4</v>
      </c>
      <c r="F135" s="32">
        <v>186.3</v>
      </c>
      <c r="G135" s="32">
        <v>1749.4</v>
      </c>
      <c r="H135" s="32">
        <v>213.4</v>
      </c>
      <c r="I135" s="32">
        <v>67.7</v>
      </c>
      <c r="J135" s="32">
        <v>95</v>
      </c>
      <c r="K135" s="32">
        <v>99.1</v>
      </c>
      <c r="L135" s="32">
        <v>94.7</v>
      </c>
      <c r="M135" s="32">
        <v>101.7</v>
      </c>
      <c r="N135" s="32">
        <v>91.8</v>
      </c>
      <c r="O135" s="32">
        <v>82.6</v>
      </c>
      <c r="P135" s="32">
        <v>137.4</v>
      </c>
      <c r="Q135" s="32">
        <v>108.5</v>
      </c>
      <c r="R135" s="32">
        <v>95.1</v>
      </c>
      <c r="S135" s="32">
        <v>127.2</v>
      </c>
      <c r="T135" s="32">
        <v>59.5</v>
      </c>
      <c r="U135" s="32">
        <v>58.8</v>
      </c>
      <c r="V135" s="32">
        <v>140.5</v>
      </c>
      <c r="W135" s="32">
        <v>55.8</v>
      </c>
      <c r="X135" s="32">
        <v>49.2</v>
      </c>
      <c r="Y135" s="32">
        <v>58.4</v>
      </c>
      <c r="Z135" s="32">
        <v>78.400000000000006</v>
      </c>
      <c r="AA135" s="32">
        <v>97</v>
      </c>
      <c r="AB135" s="32">
        <v>90.2</v>
      </c>
      <c r="AC135" s="32">
        <v>85.1</v>
      </c>
      <c r="AD135" s="32">
        <v>116.6</v>
      </c>
      <c r="AE135" s="32">
        <v>79.900000000000006</v>
      </c>
      <c r="AF135" s="32">
        <v>79.900000000000006</v>
      </c>
      <c r="AG135" s="32">
        <v>61.5</v>
      </c>
      <c r="AH135" s="32">
        <v>61.5</v>
      </c>
      <c r="AI135" s="32">
        <v>279.89999999999998</v>
      </c>
      <c r="AJ135" s="32">
        <v>23.8</v>
      </c>
      <c r="AK135" s="32">
        <v>29</v>
      </c>
      <c r="AL135" s="32">
        <v>106.2</v>
      </c>
      <c r="AM135" s="32">
        <v>52.5</v>
      </c>
      <c r="AN135" s="32">
        <v>148</v>
      </c>
      <c r="AO135" s="32">
        <v>132</v>
      </c>
      <c r="AP135" s="32">
        <v>132</v>
      </c>
      <c r="AQ135" s="32">
        <v>97.1</v>
      </c>
      <c r="AR135" s="32">
        <v>92.2</v>
      </c>
      <c r="AS135" s="32">
        <v>106</v>
      </c>
      <c r="AT135" s="32">
        <v>113.9</v>
      </c>
      <c r="AU135" s="32">
        <v>98.6</v>
      </c>
      <c r="AV135" s="32">
        <v>100.7</v>
      </c>
      <c r="AW135" s="32">
        <v>156</v>
      </c>
      <c r="AX135" s="32">
        <v>86.4</v>
      </c>
      <c r="AY135" s="32">
        <v>388.9</v>
      </c>
      <c r="AZ135" s="32">
        <v>90.6</v>
      </c>
      <c r="BA135" s="32">
        <v>74.900000000000006</v>
      </c>
      <c r="BB135" s="32">
        <v>74.900000000000006</v>
      </c>
      <c r="BC135" s="32">
        <v>109.9</v>
      </c>
      <c r="BD135" s="32">
        <v>109.9</v>
      </c>
      <c r="BE135" s="32">
        <v>124.5</v>
      </c>
      <c r="BF135" s="32">
        <v>124.5</v>
      </c>
      <c r="BG135" s="32">
        <v>101</v>
      </c>
      <c r="BH135" s="32">
        <v>83.3</v>
      </c>
      <c r="BI135" s="32">
        <v>118.2</v>
      </c>
      <c r="BJ135" s="32">
        <v>63.7</v>
      </c>
      <c r="BK135" s="32">
        <v>152.6</v>
      </c>
      <c r="BL135" s="32">
        <v>44.3</v>
      </c>
      <c r="BM135" s="32">
        <v>98.8</v>
      </c>
      <c r="BN135" s="32">
        <v>105.2</v>
      </c>
      <c r="BO135" s="32">
        <v>102.5</v>
      </c>
      <c r="BP135" s="32">
        <v>108.1</v>
      </c>
      <c r="BQ135" s="32">
        <v>90.3</v>
      </c>
      <c r="BR135" s="32">
        <v>73.8</v>
      </c>
      <c r="BS135" s="32">
        <v>200.8</v>
      </c>
      <c r="BT135" s="32">
        <v>68.7</v>
      </c>
      <c r="BU135" s="32">
        <v>93.5</v>
      </c>
      <c r="BV135" s="32">
        <v>93.5</v>
      </c>
      <c r="BW135" s="32">
        <v>135.69999999999999</v>
      </c>
      <c r="BX135" s="32">
        <v>36.5</v>
      </c>
      <c r="BY135" s="32">
        <v>101.3</v>
      </c>
      <c r="BZ135" s="32">
        <v>93.4</v>
      </c>
      <c r="CA135" s="32">
        <v>105.5</v>
      </c>
      <c r="CB135" s="32">
        <v>115.3</v>
      </c>
      <c r="CC135" s="32">
        <v>102</v>
      </c>
      <c r="CD135" s="32">
        <v>27.7</v>
      </c>
      <c r="CE135" s="32">
        <v>95.5</v>
      </c>
      <c r="CF135" s="32">
        <v>82.9</v>
      </c>
      <c r="CG135" s="32">
        <v>94</v>
      </c>
      <c r="CH135" s="32">
        <v>94.7</v>
      </c>
      <c r="CI135" s="32">
        <v>100.4</v>
      </c>
      <c r="CJ135" s="32">
        <v>92</v>
      </c>
      <c r="CK135" s="32">
        <v>95.7</v>
      </c>
      <c r="CL135" s="32">
        <v>96</v>
      </c>
      <c r="CM135" s="32">
        <v>108.1</v>
      </c>
      <c r="CN135" s="32">
        <v>70.400000000000006</v>
      </c>
      <c r="CO135" s="32">
        <v>118.3</v>
      </c>
      <c r="CP135" s="32">
        <v>79.099999999999994</v>
      </c>
      <c r="CQ135" s="32">
        <v>42.5</v>
      </c>
      <c r="CR135" s="32">
        <v>94.5</v>
      </c>
      <c r="CS135" s="32">
        <v>112.6</v>
      </c>
      <c r="CT135" s="32">
        <v>90.2</v>
      </c>
      <c r="CU135" s="32">
        <v>71.2</v>
      </c>
      <c r="CV135" s="32">
        <v>98.6</v>
      </c>
      <c r="CW135" s="32">
        <v>40.700000000000003</v>
      </c>
      <c r="CX135" s="32">
        <v>93.5</v>
      </c>
      <c r="CY135" s="32">
        <v>113.9</v>
      </c>
      <c r="CZ135" s="32">
        <v>82.3</v>
      </c>
      <c r="DA135" s="32">
        <v>70.2</v>
      </c>
      <c r="DB135" s="32">
        <v>105.9</v>
      </c>
      <c r="DC135" s="32">
        <v>8.8000000000000007</v>
      </c>
      <c r="DD135" s="32">
        <v>8.8000000000000007</v>
      </c>
      <c r="DE135" s="32">
        <v>76.3</v>
      </c>
      <c r="DF135" s="32">
        <v>71.2</v>
      </c>
      <c r="DG135" s="32">
        <v>108.5</v>
      </c>
      <c r="DH135" s="32">
        <v>115.7</v>
      </c>
      <c r="DI135" s="32">
        <v>178.6</v>
      </c>
      <c r="DJ135" s="32">
        <v>95.3</v>
      </c>
      <c r="DK135" s="32">
        <v>95.3</v>
      </c>
      <c r="DL135" s="32">
        <v>43.1</v>
      </c>
      <c r="DM135" s="32">
        <v>73.599999999999994</v>
      </c>
      <c r="DN135" s="32">
        <v>53.4</v>
      </c>
      <c r="DO135" s="32">
        <v>81.900000000000006</v>
      </c>
      <c r="DP135" s="32">
        <v>63.1</v>
      </c>
      <c r="DQ135" s="32">
        <v>77.900000000000006</v>
      </c>
      <c r="DR135" s="32">
        <v>85.5</v>
      </c>
      <c r="DS135" s="32">
        <v>80</v>
      </c>
      <c r="DT135" s="32">
        <v>76.8</v>
      </c>
      <c r="DU135" s="32">
        <v>77.3</v>
      </c>
      <c r="DV135" s="32">
        <v>81.7</v>
      </c>
      <c r="DW135" s="32">
        <v>72.099999999999994</v>
      </c>
      <c r="DX135" s="32">
        <v>75.900000000000006</v>
      </c>
      <c r="DY135" s="32">
        <v>90.6</v>
      </c>
      <c r="DZ135" s="32">
        <v>140.69999999999999</v>
      </c>
      <c r="EA135" s="32">
        <v>140.69999999999999</v>
      </c>
      <c r="EB135" s="32">
        <v>84.6</v>
      </c>
      <c r="EC135" s="32">
        <v>91.7</v>
      </c>
      <c r="ED135" s="32">
        <v>75.8</v>
      </c>
      <c r="EE135" s="32">
        <v>78.400000000000006</v>
      </c>
      <c r="EF135" s="32">
        <v>68.8</v>
      </c>
      <c r="EG135" s="32">
        <v>67.099999999999994</v>
      </c>
      <c r="EH135" s="32">
        <v>78</v>
      </c>
      <c r="EI135" s="32">
        <v>60.6</v>
      </c>
      <c r="EJ135" s="32">
        <v>82.4</v>
      </c>
      <c r="EK135" s="32">
        <v>63.6</v>
      </c>
      <c r="EL135" s="32">
        <v>70.400000000000006</v>
      </c>
      <c r="EM135" s="32">
        <v>54.7</v>
      </c>
      <c r="EN135" s="32">
        <v>68.3</v>
      </c>
      <c r="EO135" s="32">
        <v>89.5</v>
      </c>
      <c r="EP135" s="32">
        <v>93.6</v>
      </c>
      <c r="EQ135" s="32">
        <v>93.6</v>
      </c>
      <c r="ER135" s="32">
        <v>89.3</v>
      </c>
      <c r="ES135" s="32">
        <v>89.3</v>
      </c>
      <c r="ET135" s="32">
        <v>87</v>
      </c>
      <c r="EU135" s="32">
        <v>86.6</v>
      </c>
      <c r="EV135" s="32">
        <v>86.6</v>
      </c>
      <c r="EW135" s="32">
        <v>87.8</v>
      </c>
      <c r="EX135" s="32">
        <v>98.8</v>
      </c>
      <c r="EY135" s="32">
        <v>79.2</v>
      </c>
      <c r="EZ135" s="32">
        <v>90.3</v>
      </c>
      <c r="FA135" s="32">
        <v>105</v>
      </c>
      <c r="FB135" s="32">
        <v>119.4</v>
      </c>
      <c r="FC135" s="32">
        <v>108.1</v>
      </c>
      <c r="FD135" s="32">
        <v>111</v>
      </c>
      <c r="FE135" s="32">
        <v>141.5</v>
      </c>
      <c r="FF135" s="32">
        <v>87.6</v>
      </c>
      <c r="FG135" s="32">
        <v>81.7</v>
      </c>
      <c r="FH135" s="32">
        <v>90.1</v>
      </c>
      <c r="FI135" s="32">
        <v>69.599999999999994</v>
      </c>
      <c r="FJ135" s="32">
        <v>79.8</v>
      </c>
      <c r="FK135" s="32">
        <v>65.400000000000006</v>
      </c>
      <c r="FL135" s="32">
        <v>65.400000000000006</v>
      </c>
    </row>
    <row r="136" spans="1:168" x14ac:dyDescent="0.2">
      <c r="A136" s="34" t="s">
        <v>1116</v>
      </c>
      <c r="B136" s="32">
        <v>86.7</v>
      </c>
      <c r="C136" s="32">
        <v>83.2</v>
      </c>
      <c r="D136" s="32">
        <v>101</v>
      </c>
      <c r="E136" s="32">
        <v>102.6</v>
      </c>
      <c r="F136" s="32">
        <v>182.9</v>
      </c>
      <c r="G136" s="32">
        <v>1134.5</v>
      </c>
      <c r="H136" s="32">
        <v>209.3</v>
      </c>
      <c r="I136" s="32">
        <v>68</v>
      </c>
      <c r="J136" s="32">
        <v>95.5</v>
      </c>
      <c r="K136" s="32">
        <v>99.1</v>
      </c>
      <c r="L136" s="32">
        <v>94.4</v>
      </c>
      <c r="M136" s="32">
        <v>94.8</v>
      </c>
      <c r="N136" s="32">
        <v>97</v>
      </c>
      <c r="O136" s="32">
        <v>88.3</v>
      </c>
      <c r="P136" s="32">
        <v>142.1</v>
      </c>
      <c r="Q136" s="32">
        <v>105.5</v>
      </c>
      <c r="R136" s="32">
        <v>93.7</v>
      </c>
      <c r="S136" s="32">
        <v>127.4</v>
      </c>
      <c r="T136" s="32">
        <v>59.8</v>
      </c>
      <c r="U136" s="32">
        <v>59.8</v>
      </c>
      <c r="V136" s="32">
        <v>141.4</v>
      </c>
      <c r="W136" s="32">
        <v>53.2</v>
      </c>
      <c r="X136" s="32">
        <v>46.8</v>
      </c>
      <c r="Y136" s="32">
        <v>54.9</v>
      </c>
      <c r="Z136" s="32">
        <v>81.900000000000006</v>
      </c>
      <c r="AA136" s="32">
        <v>98.3</v>
      </c>
      <c r="AB136" s="32">
        <v>91.6</v>
      </c>
      <c r="AC136" s="32">
        <v>84.1</v>
      </c>
      <c r="AD136" s="32">
        <v>119.4</v>
      </c>
      <c r="AE136" s="32">
        <v>78.7</v>
      </c>
      <c r="AF136" s="32">
        <v>78.7</v>
      </c>
      <c r="AG136" s="32">
        <v>61.9</v>
      </c>
      <c r="AH136" s="32">
        <v>61.9</v>
      </c>
      <c r="AI136" s="32">
        <v>263.2</v>
      </c>
      <c r="AJ136" s="32">
        <v>26.9</v>
      </c>
      <c r="AK136" s="32">
        <v>29.1</v>
      </c>
      <c r="AL136" s="32">
        <v>101.7</v>
      </c>
      <c r="AM136" s="32">
        <v>51.2</v>
      </c>
      <c r="AN136" s="32">
        <v>147.6</v>
      </c>
      <c r="AO136" s="32">
        <v>137.80000000000001</v>
      </c>
      <c r="AP136" s="32">
        <v>137.80000000000001</v>
      </c>
      <c r="AQ136" s="32">
        <v>96</v>
      </c>
      <c r="AR136" s="32">
        <v>92.3</v>
      </c>
      <c r="AS136" s="32">
        <v>103.2</v>
      </c>
      <c r="AT136" s="32">
        <v>110.7</v>
      </c>
      <c r="AU136" s="32">
        <v>96.1</v>
      </c>
      <c r="AV136" s="32">
        <v>100.6</v>
      </c>
      <c r="AW136" s="32">
        <v>152.19999999999999</v>
      </c>
      <c r="AX136" s="32">
        <v>76.400000000000006</v>
      </c>
      <c r="AY136" s="32">
        <v>404.9</v>
      </c>
      <c r="AZ136" s="32">
        <v>91.3</v>
      </c>
      <c r="BA136" s="32">
        <v>69.099999999999994</v>
      </c>
      <c r="BB136" s="32">
        <v>69.099999999999994</v>
      </c>
      <c r="BC136" s="32">
        <v>113.8</v>
      </c>
      <c r="BD136" s="32">
        <v>113.8</v>
      </c>
      <c r="BE136" s="32">
        <v>126.7</v>
      </c>
      <c r="BF136" s="32">
        <v>126.7</v>
      </c>
      <c r="BG136" s="32">
        <v>104.7</v>
      </c>
      <c r="BH136" s="32">
        <v>89.3</v>
      </c>
      <c r="BI136" s="32">
        <v>119.3</v>
      </c>
      <c r="BJ136" s="32">
        <v>63.5</v>
      </c>
      <c r="BK136" s="32">
        <v>153.80000000000001</v>
      </c>
      <c r="BL136" s="32">
        <v>47</v>
      </c>
      <c r="BM136" s="32">
        <v>100.3</v>
      </c>
      <c r="BN136" s="32">
        <v>109</v>
      </c>
      <c r="BO136" s="32">
        <v>108</v>
      </c>
      <c r="BP136" s="32">
        <v>110.3</v>
      </c>
      <c r="BQ136" s="32">
        <v>88.8</v>
      </c>
      <c r="BR136" s="32">
        <v>80.599999999999994</v>
      </c>
      <c r="BS136" s="32">
        <v>184.3</v>
      </c>
      <c r="BT136" s="32">
        <v>68.5</v>
      </c>
      <c r="BU136" s="32">
        <v>94.2</v>
      </c>
      <c r="BV136" s="32">
        <v>94.2</v>
      </c>
      <c r="BW136" s="32">
        <v>138.1</v>
      </c>
      <c r="BX136" s="32">
        <v>35.5</v>
      </c>
      <c r="BY136" s="32">
        <v>100.6</v>
      </c>
      <c r="BZ136" s="32">
        <v>95.1</v>
      </c>
      <c r="CA136" s="32">
        <v>103.6</v>
      </c>
      <c r="CB136" s="32">
        <v>115.6</v>
      </c>
      <c r="CC136" s="32">
        <v>98</v>
      </c>
      <c r="CD136" s="32">
        <v>26.6</v>
      </c>
      <c r="CE136" s="32">
        <v>95.9</v>
      </c>
      <c r="CF136" s="32">
        <v>83.4</v>
      </c>
      <c r="CG136" s="32">
        <v>94.7</v>
      </c>
      <c r="CH136" s="32">
        <v>95.3</v>
      </c>
      <c r="CI136" s="32">
        <v>103</v>
      </c>
      <c r="CJ136" s="32">
        <v>92.4</v>
      </c>
      <c r="CK136" s="32">
        <v>95.9</v>
      </c>
      <c r="CL136" s="32">
        <v>97.3</v>
      </c>
      <c r="CM136" s="32">
        <v>108.2</v>
      </c>
      <c r="CN136" s="32">
        <v>71.3</v>
      </c>
      <c r="CO136" s="32">
        <v>118.2</v>
      </c>
      <c r="CP136" s="32">
        <v>82.8</v>
      </c>
      <c r="CQ136" s="32">
        <v>41.5</v>
      </c>
      <c r="CR136" s="32">
        <v>97</v>
      </c>
      <c r="CS136" s="32">
        <v>115.7</v>
      </c>
      <c r="CT136" s="32">
        <v>90.4</v>
      </c>
      <c r="CU136" s="32">
        <v>69.7</v>
      </c>
      <c r="CV136" s="32">
        <v>99.6</v>
      </c>
      <c r="CW136" s="32">
        <v>41.2</v>
      </c>
      <c r="CX136" s="32">
        <v>91.4</v>
      </c>
      <c r="CY136" s="32">
        <v>112.8</v>
      </c>
      <c r="CZ136" s="32">
        <v>79.7</v>
      </c>
      <c r="DA136" s="32">
        <v>66.099999999999994</v>
      </c>
      <c r="DB136" s="32">
        <v>106.4</v>
      </c>
      <c r="DC136" s="32">
        <v>9.1</v>
      </c>
      <c r="DD136" s="32">
        <v>9.1</v>
      </c>
      <c r="DE136" s="32">
        <v>77.7</v>
      </c>
      <c r="DF136" s="32">
        <v>73.5</v>
      </c>
      <c r="DG136" s="32">
        <v>104</v>
      </c>
      <c r="DH136" s="32">
        <v>118.2</v>
      </c>
      <c r="DI136" s="32">
        <v>179.7</v>
      </c>
      <c r="DJ136" s="32">
        <v>95.4</v>
      </c>
      <c r="DK136" s="32">
        <v>95.4</v>
      </c>
      <c r="DL136" s="32">
        <v>49.2</v>
      </c>
      <c r="DM136" s="32">
        <v>73.8</v>
      </c>
      <c r="DN136" s="32">
        <v>54.2</v>
      </c>
      <c r="DO136" s="32">
        <v>82.1</v>
      </c>
      <c r="DP136" s="32">
        <v>60.6</v>
      </c>
      <c r="DQ136" s="32">
        <v>77.900000000000006</v>
      </c>
      <c r="DR136" s="32">
        <v>84.9</v>
      </c>
      <c r="DS136" s="32">
        <v>82.3</v>
      </c>
      <c r="DT136" s="32">
        <v>78.900000000000006</v>
      </c>
      <c r="DU136" s="32">
        <v>80.099999999999994</v>
      </c>
      <c r="DV136" s="32">
        <v>84.2</v>
      </c>
      <c r="DW136" s="32">
        <v>75.3</v>
      </c>
      <c r="DX136" s="32">
        <v>76.5</v>
      </c>
      <c r="DY136" s="32">
        <v>93.2</v>
      </c>
      <c r="DZ136" s="32">
        <v>123.6</v>
      </c>
      <c r="EA136" s="32">
        <v>123.6</v>
      </c>
      <c r="EB136" s="32">
        <v>80.8</v>
      </c>
      <c r="EC136" s="32">
        <v>85.6</v>
      </c>
      <c r="ED136" s="32">
        <v>74.900000000000006</v>
      </c>
      <c r="EE136" s="32">
        <v>77.2</v>
      </c>
      <c r="EF136" s="32">
        <v>68.7</v>
      </c>
      <c r="EG136" s="32">
        <v>68.099999999999994</v>
      </c>
      <c r="EH136" s="32">
        <v>77.599999999999994</v>
      </c>
      <c r="EI136" s="32">
        <v>62.8</v>
      </c>
      <c r="EJ136" s="32">
        <v>82.7</v>
      </c>
      <c r="EK136" s="32">
        <v>64.400000000000006</v>
      </c>
      <c r="EL136" s="32">
        <v>79.5</v>
      </c>
      <c r="EM136" s="32">
        <v>57.2</v>
      </c>
      <c r="EN136" s="32">
        <v>65.900000000000006</v>
      </c>
      <c r="EO136" s="32">
        <v>89.4</v>
      </c>
      <c r="EP136" s="32">
        <v>93.8</v>
      </c>
      <c r="EQ136" s="32">
        <v>93.8</v>
      </c>
      <c r="ER136" s="32">
        <v>88.7</v>
      </c>
      <c r="ES136" s="32">
        <v>88.7</v>
      </c>
      <c r="ET136" s="32">
        <v>87.2</v>
      </c>
      <c r="EU136" s="32">
        <v>86.8</v>
      </c>
      <c r="EV136" s="32">
        <v>86.8</v>
      </c>
      <c r="EW136" s="32">
        <v>88</v>
      </c>
      <c r="EX136" s="32">
        <v>99.1</v>
      </c>
      <c r="EY136" s="32">
        <v>79.400000000000006</v>
      </c>
      <c r="EZ136" s="32">
        <v>92.6</v>
      </c>
      <c r="FA136" s="32">
        <v>106.2</v>
      </c>
      <c r="FB136" s="32">
        <v>120.4</v>
      </c>
      <c r="FC136" s="32">
        <v>107.5</v>
      </c>
      <c r="FD136" s="32">
        <v>111.8</v>
      </c>
      <c r="FE136" s="32">
        <v>145.5</v>
      </c>
      <c r="FF136" s="32">
        <v>89</v>
      </c>
      <c r="FG136" s="32">
        <v>85.5</v>
      </c>
      <c r="FH136" s="32">
        <v>90</v>
      </c>
      <c r="FI136" s="32">
        <v>75.099999999999994</v>
      </c>
      <c r="FJ136" s="32">
        <v>84.9</v>
      </c>
      <c r="FK136" s="32">
        <v>61.4</v>
      </c>
      <c r="FL136" s="32">
        <v>61.4</v>
      </c>
    </row>
    <row r="137" spans="1:168" x14ac:dyDescent="0.2">
      <c r="A137" s="34" t="s">
        <v>1117</v>
      </c>
      <c r="B137" s="32">
        <v>87.1</v>
      </c>
      <c r="C137" s="32">
        <v>88.6</v>
      </c>
      <c r="D137" s="32">
        <v>100.7</v>
      </c>
      <c r="E137" s="32">
        <v>102.1</v>
      </c>
      <c r="F137" s="32">
        <v>184.7</v>
      </c>
      <c r="G137" s="32">
        <v>1680.9</v>
      </c>
      <c r="H137" s="32">
        <v>210.5</v>
      </c>
      <c r="I137" s="32">
        <v>69.400000000000006</v>
      </c>
      <c r="J137" s="32">
        <v>95.1</v>
      </c>
      <c r="K137" s="32">
        <v>97.3</v>
      </c>
      <c r="L137" s="32">
        <v>92</v>
      </c>
      <c r="M137" s="32">
        <v>87</v>
      </c>
      <c r="N137" s="32">
        <v>92.3</v>
      </c>
      <c r="O137" s="32">
        <v>81.400000000000006</v>
      </c>
      <c r="P137" s="32">
        <v>144.80000000000001</v>
      </c>
      <c r="Q137" s="32">
        <v>107</v>
      </c>
      <c r="R137" s="32">
        <v>93.6</v>
      </c>
      <c r="S137" s="32">
        <v>123.9</v>
      </c>
      <c r="T137" s="32">
        <v>60.8</v>
      </c>
      <c r="U137" s="32">
        <v>60</v>
      </c>
      <c r="V137" s="32">
        <v>142.30000000000001</v>
      </c>
      <c r="W137" s="32">
        <v>51.2</v>
      </c>
      <c r="X137" s="32">
        <v>45.1</v>
      </c>
      <c r="Y137" s="32">
        <v>51.5</v>
      </c>
      <c r="Z137" s="32">
        <v>88.7</v>
      </c>
      <c r="AA137" s="32">
        <v>95.8</v>
      </c>
      <c r="AB137" s="32">
        <v>97.8</v>
      </c>
      <c r="AC137" s="32">
        <v>79.400000000000006</v>
      </c>
      <c r="AD137" s="32">
        <v>112.9</v>
      </c>
      <c r="AE137" s="32">
        <v>73.8</v>
      </c>
      <c r="AF137" s="32">
        <v>73.8</v>
      </c>
      <c r="AG137" s="32">
        <v>63.1</v>
      </c>
      <c r="AH137" s="32">
        <v>63.1</v>
      </c>
      <c r="AI137" s="32">
        <v>230.8</v>
      </c>
      <c r="AJ137" s="32">
        <v>32.200000000000003</v>
      </c>
      <c r="AK137" s="32">
        <v>25.6</v>
      </c>
      <c r="AL137" s="32">
        <v>100</v>
      </c>
      <c r="AM137" s="32">
        <v>52.3</v>
      </c>
      <c r="AN137" s="32">
        <v>140.30000000000001</v>
      </c>
      <c r="AO137" s="32">
        <v>142</v>
      </c>
      <c r="AP137" s="32">
        <v>142</v>
      </c>
      <c r="AQ137" s="32">
        <v>93.6</v>
      </c>
      <c r="AR137" s="32">
        <v>90.5</v>
      </c>
      <c r="AS137" s="32">
        <v>100</v>
      </c>
      <c r="AT137" s="32">
        <v>104.5</v>
      </c>
      <c r="AU137" s="32">
        <v>95.6</v>
      </c>
      <c r="AV137" s="32">
        <v>99.8</v>
      </c>
      <c r="AW137" s="32">
        <v>154.69999999999999</v>
      </c>
      <c r="AX137" s="32">
        <v>80.400000000000006</v>
      </c>
      <c r="AY137" s="32">
        <v>404.3</v>
      </c>
      <c r="AZ137" s="32">
        <v>89.8</v>
      </c>
      <c r="BA137" s="32">
        <v>77.8</v>
      </c>
      <c r="BB137" s="32">
        <v>77.8</v>
      </c>
      <c r="BC137" s="32">
        <v>111.2</v>
      </c>
      <c r="BD137" s="32">
        <v>111.2</v>
      </c>
      <c r="BE137" s="32">
        <v>119.7</v>
      </c>
      <c r="BF137" s="32">
        <v>119.7</v>
      </c>
      <c r="BG137" s="32">
        <v>106.9</v>
      </c>
      <c r="BH137" s="32">
        <v>93.4</v>
      </c>
      <c r="BI137" s="32">
        <v>119.4</v>
      </c>
      <c r="BJ137" s="32">
        <v>63.3</v>
      </c>
      <c r="BK137" s="32">
        <v>153.69999999999999</v>
      </c>
      <c r="BL137" s="32">
        <v>48.6</v>
      </c>
      <c r="BM137" s="32">
        <v>97.6</v>
      </c>
      <c r="BN137" s="32">
        <v>105.9</v>
      </c>
      <c r="BO137" s="32">
        <v>101.4</v>
      </c>
      <c r="BP137" s="32">
        <v>110.6</v>
      </c>
      <c r="BQ137" s="32">
        <v>86.7</v>
      </c>
      <c r="BR137" s="32">
        <v>86.3</v>
      </c>
      <c r="BS137" s="32">
        <v>174.5</v>
      </c>
      <c r="BT137" s="32">
        <v>66.7</v>
      </c>
      <c r="BU137" s="32">
        <v>92</v>
      </c>
      <c r="BV137" s="32">
        <v>92</v>
      </c>
      <c r="BW137" s="32">
        <v>134.4</v>
      </c>
      <c r="BX137" s="32">
        <v>35.1</v>
      </c>
      <c r="BY137" s="32">
        <v>98.9</v>
      </c>
      <c r="BZ137" s="32">
        <v>94.2</v>
      </c>
      <c r="CA137" s="32">
        <v>101.4</v>
      </c>
      <c r="CB137" s="32">
        <v>109.5</v>
      </c>
      <c r="CC137" s="32">
        <v>99.3</v>
      </c>
      <c r="CD137" s="32">
        <v>25</v>
      </c>
      <c r="CE137" s="32">
        <v>96.3</v>
      </c>
      <c r="CF137" s="32">
        <v>83.9</v>
      </c>
      <c r="CG137" s="32">
        <v>94.8</v>
      </c>
      <c r="CH137" s="32">
        <v>95.7</v>
      </c>
      <c r="CI137" s="32">
        <v>102</v>
      </c>
      <c r="CJ137" s="32">
        <v>93.3</v>
      </c>
      <c r="CK137" s="32">
        <v>96.4</v>
      </c>
      <c r="CL137" s="32">
        <v>98.2</v>
      </c>
      <c r="CM137" s="32">
        <v>107.5</v>
      </c>
      <c r="CN137" s="32">
        <v>70.2</v>
      </c>
      <c r="CO137" s="32">
        <v>117.6</v>
      </c>
      <c r="CP137" s="32">
        <v>96.9</v>
      </c>
      <c r="CQ137" s="32">
        <v>40.4</v>
      </c>
      <c r="CR137" s="32">
        <v>98.3</v>
      </c>
      <c r="CS137" s="32">
        <v>114.9</v>
      </c>
      <c r="CT137" s="32">
        <v>88.2</v>
      </c>
      <c r="CU137" s="32">
        <v>70.2</v>
      </c>
      <c r="CV137" s="32">
        <v>96.2</v>
      </c>
      <c r="CW137" s="32">
        <v>41.8</v>
      </c>
      <c r="CX137" s="32">
        <v>91.8</v>
      </c>
      <c r="CY137" s="32">
        <v>109.4</v>
      </c>
      <c r="CZ137" s="32">
        <v>82.3</v>
      </c>
      <c r="DA137" s="32">
        <v>69.7</v>
      </c>
      <c r="DB137" s="32">
        <v>106.8</v>
      </c>
      <c r="DC137" s="32">
        <v>9.3000000000000007</v>
      </c>
      <c r="DD137" s="32">
        <v>9.3000000000000007</v>
      </c>
      <c r="DE137" s="32">
        <v>79</v>
      </c>
      <c r="DF137" s="32">
        <v>74.099999999999994</v>
      </c>
      <c r="DG137" s="32">
        <v>109.8</v>
      </c>
      <c r="DH137" s="32">
        <v>119.5</v>
      </c>
      <c r="DI137" s="32">
        <v>178.7</v>
      </c>
      <c r="DJ137" s="32">
        <v>94.5</v>
      </c>
      <c r="DK137" s="32">
        <v>94.5</v>
      </c>
      <c r="DL137" s="32">
        <v>55.5</v>
      </c>
      <c r="DM137" s="32">
        <v>74</v>
      </c>
      <c r="DN137" s="32">
        <v>54.8</v>
      </c>
      <c r="DO137" s="32">
        <v>82.3</v>
      </c>
      <c r="DP137" s="32">
        <v>59.1</v>
      </c>
      <c r="DQ137" s="32">
        <v>79.5</v>
      </c>
      <c r="DR137" s="32">
        <v>87.9</v>
      </c>
      <c r="DS137" s="32">
        <v>82.4</v>
      </c>
      <c r="DT137" s="32">
        <v>78.900000000000006</v>
      </c>
      <c r="DU137" s="32">
        <v>79.3</v>
      </c>
      <c r="DV137" s="32">
        <v>82.7</v>
      </c>
      <c r="DW137" s="32">
        <v>75.3</v>
      </c>
      <c r="DX137" s="32">
        <v>78.099999999999994</v>
      </c>
      <c r="DY137" s="32">
        <v>93.7</v>
      </c>
      <c r="DZ137" s="32">
        <v>160.80000000000001</v>
      </c>
      <c r="EA137" s="32">
        <v>160.80000000000001</v>
      </c>
      <c r="EB137" s="32">
        <v>81.2</v>
      </c>
      <c r="EC137" s="32">
        <v>86.7</v>
      </c>
      <c r="ED137" s="32">
        <v>74.3</v>
      </c>
      <c r="EE137" s="32">
        <v>76.599999999999994</v>
      </c>
      <c r="EF137" s="32">
        <v>68</v>
      </c>
      <c r="EG137" s="32">
        <v>67.8</v>
      </c>
      <c r="EH137" s="32">
        <v>74.2</v>
      </c>
      <c r="EI137" s="32">
        <v>62.6</v>
      </c>
      <c r="EJ137" s="32">
        <v>82.4</v>
      </c>
      <c r="EK137" s="32">
        <v>65.900000000000006</v>
      </c>
      <c r="EL137" s="32">
        <v>72.8</v>
      </c>
      <c r="EM137" s="32">
        <v>57.9</v>
      </c>
      <c r="EN137" s="32">
        <v>69.8</v>
      </c>
      <c r="EO137" s="32">
        <v>89.4</v>
      </c>
      <c r="EP137" s="32">
        <v>95.3</v>
      </c>
      <c r="EQ137" s="32">
        <v>95.3</v>
      </c>
      <c r="ER137" s="32">
        <v>87.2</v>
      </c>
      <c r="ES137" s="32">
        <v>87.2</v>
      </c>
      <c r="ET137" s="32">
        <v>87.2</v>
      </c>
      <c r="EU137" s="32">
        <v>86.7</v>
      </c>
      <c r="EV137" s="32">
        <v>86.7</v>
      </c>
      <c r="EW137" s="32">
        <v>88.2</v>
      </c>
      <c r="EX137" s="32">
        <v>99.4</v>
      </c>
      <c r="EY137" s="32">
        <v>79.400000000000006</v>
      </c>
      <c r="EZ137" s="32">
        <v>92.6</v>
      </c>
      <c r="FA137" s="32">
        <v>104.9</v>
      </c>
      <c r="FB137" s="32">
        <v>118.7</v>
      </c>
      <c r="FC137" s="32">
        <v>101.4</v>
      </c>
      <c r="FD137" s="32">
        <v>114.7</v>
      </c>
      <c r="FE137" s="32">
        <v>148.9</v>
      </c>
      <c r="FF137" s="32">
        <v>88.2</v>
      </c>
      <c r="FG137" s="32">
        <v>87.1</v>
      </c>
      <c r="FH137" s="32">
        <v>92.1</v>
      </c>
      <c r="FI137" s="32">
        <v>73.900000000000006</v>
      </c>
      <c r="FJ137" s="32">
        <v>86.6</v>
      </c>
      <c r="FK137" s="32">
        <v>56.2</v>
      </c>
      <c r="FL137" s="32">
        <v>56.2</v>
      </c>
    </row>
    <row r="138" spans="1:168" x14ac:dyDescent="0.2">
      <c r="A138" s="34" t="s">
        <v>1118</v>
      </c>
      <c r="B138" s="32">
        <v>87.2</v>
      </c>
      <c r="C138" s="32">
        <v>94.6</v>
      </c>
      <c r="D138" s="32">
        <v>100.6</v>
      </c>
      <c r="E138" s="32">
        <v>102</v>
      </c>
      <c r="F138" s="32">
        <v>175.2</v>
      </c>
      <c r="G138" s="32">
        <v>1971.1</v>
      </c>
      <c r="H138" s="32">
        <v>197.6</v>
      </c>
      <c r="I138" s="32">
        <v>69.5</v>
      </c>
      <c r="J138" s="32">
        <v>95.9</v>
      </c>
      <c r="K138" s="32">
        <v>98.3</v>
      </c>
      <c r="L138" s="32">
        <v>94.2</v>
      </c>
      <c r="M138" s="32">
        <v>96</v>
      </c>
      <c r="N138" s="32">
        <v>88.8</v>
      </c>
      <c r="O138" s="32">
        <v>80.599999999999994</v>
      </c>
      <c r="P138" s="32">
        <v>139.69999999999999</v>
      </c>
      <c r="Q138" s="32">
        <v>113.1</v>
      </c>
      <c r="R138" s="32">
        <v>94.8</v>
      </c>
      <c r="S138" s="32">
        <v>128.1</v>
      </c>
      <c r="T138" s="32">
        <v>60.6</v>
      </c>
      <c r="U138" s="32">
        <v>56.7</v>
      </c>
      <c r="V138" s="32">
        <v>138.1</v>
      </c>
      <c r="W138" s="32">
        <v>50.3</v>
      </c>
      <c r="X138" s="32">
        <v>44.9</v>
      </c>
      <c r="Y138" s="32">
        <v>48.9</v>
      </c>
      <c r="Z138" s="32">
        <v>88.8</v>
      </c>
      <c r="AA138" s="32">
        <v>90.5</v>
      </c>
      <c r="AB138" s="32">
        <v>75.5</v>
      </c>
      <c r="AC138" s="32">
        <v>81.5</v>
      </c>
      <c r="AD138" s="32">
        <v>112.2</v>
      </c>
      <c r="AE138" s="32">
        <v>76.400000000000006</v>
      </c>
      <c r="AF138" s="32">
        <v>76.400000000000006</v>
      </c>
      <c r="AG138" s="32">
        <v>64</v>
      </c>
      <c r="AH138" s="32">
        <v>64</v>
      </c>
      <c r="AI138" s="32">
        <v>203.1</v>
      </c>
      <c r="AJ138" s="32">
        <v>29.1</v>
      </c>
      <c r="AK138" s="32">
        <v>33.4</v>
      </c>
      <c r="AL138" s="32">
        <v>104.1</v>
      </c>
      <c r="AM138" s="32">
        <v>59.9</v>
      </c>
      <c r="AN138" s="32">
        <v>144.30000000000001</v>
      </c>
      <c r="AO138" s="32">
        <v>145.1</v>
      </c>
      <c r="AP138" s="32">
        <v>145.1</v>
      </c>
      <c r="AQ138" s="32">
        <v>93</v>
      </c>
      <c r="AR138" s="32">
        <v>90.7</v>
      </c>
      <c r="AS138" s="32">
        <v>98.2</v>
      </c>
      <c r="AT138" s="32">
        <v>104.8</v>
      </c>
      <c r="AU138" s="32">
        <v>91.9</v>
      </c>
      <c r="AV138" s="32">
        <v>100</v>
      </c>
      <c r="AW138" s="32">
        <v>148.80000000000001</v>
      </c>
      <c r="AX138" s="32">
        <v>70.900000000000006</v>
      </c>
      <c r="AY138" s="32">
        <v>409.5</v>
      </c>
      <c r="AZ138" s="32">
        <v>91.4</v>
      </c>
      <c r="BA138" s="32">
        <v>76.900000000000006</v>
      </c>
      <c r="BB138" s="32">
        <v>76.900000000000006</v>
      </c>
      <c r="BC138" s="32">
        <v>112.7</v>
      </c>
      <c r="BD138" s="32">
        <v>112.7</v>
      </c>
      <c r="BE138" s="32">
        <v>127.6</v>
      </c>
      <c r="BF138" s="32">
        <v>127.6</v>
      </c>
      <c r="BG138" s="32">
        <v>108.9</v>
      </c>
      <c r="BH138" s="32">
        <v>96.8</v>
      </c>
      <c r="BI138" s="32">
        <v>119.8</v>
      </c>
      <c r="BJ138" s="32">
        <v>61.9</v>
      </c>
      <c r="BK138" s="32">
        <v>154.4</v>
      </c>
      <c r="BL138" s="32">
        <v>50.7</v>
      </c>
      <c r="BM138" s="32">
        <v>99.7</v>
      </c>
      <c r="BN138" s="32">
        <v>110.2</v>
      </c>
      <c r="BO138" s="32">
        <v>103.3</v>
      </c>
      <c r="BP138" s="32">
        <v>117.1</v>
      </c>
      <c r="BQ138" s="32">
        <v>85.7</v>
      </c>
      <c r="BR138" s="32">
        <v>70.2</v>
      </c>
      <c r="BS138" s="32">
        <v>149.4</v>
      </c>
      <c r="BT138" s="32">
        <v>72</v>
      </c>
      <c r="BU138" s="32">
        <v>89.6</v>
      </c>
      <c r="BV138" s="32">
        <v>89.6</v>
      </c>
      <c r="BW138" s="32">
        <v>130.9</v>
      </c>
      <c r="BX138" s="32">
        <v>34</v>
      </c>
      <c r="BY138" s="32">
        <v>101.3</v>
      </c>
      <c r="BZ138" s="32">
        <v>95.5</v>
      </c>
      <c r="CA138" s="32">
        <v>104.4</v>
      </c>
      <c r="CB138" s="32">
        <v>115.2</v>
      </c>
      <c r="CC138" s="32">
        <v>100.2</v>
      </c>
      <c r="CD138" s="32">
        <v>25</v>
      </c>
      <c r="CE138" s="32">
        <v>96</v>
      </c>
      <c r="CF138" s="32">
        <v>84</v>
      </c>
      <c r="CG138" s="32">
        <v>94.7</v>
      </c>
      <c r="CH138" s="32">
        <v>94.7</v>
      </c>
      <c r="CI138" s="32">
        <v>103.6</v>
      </c>
      <c r="CJ138" s="32">
        <v>90</v>
      </c>
      <c r="CK138" s="32">
        <v>96.2</v>
      </c>
      <c r="CL138" s="32">
        <v>98.7</v>
      </c>
      <c r="CM138" s="32">
        <v>107.9</v>
      </c>
      <c r="CN138" s="32">
        <v>68.5</v>
      </c>
      <c r="CO138" s="32">
        <v>118.6</v>
      </c>
      <c r="CP138" s="32">
        <v>115.2</v>
      </c>
      <c r="CQ138" s="32">
        <v>39.5</v>
      </c>
      <c r="CR138" s="32">
        <v>97.3</v>
      </c>
      <c r="CS138" s="32">
        <v>111.5</v>
      </c>
      <c r="CT138" s="32">
        <v>91.1</v>
      </c>
      <c r="CU138" s="32">
        <v>68.5</v>
      </c>
      <c r="CV138" s="32">
        <v>101.3</v>
      </c>
      <c r="CW138" s="32">
        <v>39.799999999999997</v>
      </c>
      <c r="CX138" s="32">
        <v>94.9</v>
      </c>
      <c r="CY138" s="32">
        <v>108.5</v>
      </c>
      <c r="CZ138" s="32">
        <v>87.8</v>
      </c>
      <c r="DA138" s="32">
        <v>75.2</v>
      </c>
      <c r="DB138" s="32">
        <v>112</v>
      </c>
      <c r="DC138" s="32">
        <v>8.1999999999999993</v>
      </c>
      <c r="DD138" s="32">
        <v>8.1999999999999993</v>
      </c>
      <c r="DE138" s="32">
        <v>75.5</v>
      </c>
      <c r="DF138" s="32">
        <v>71.8</v>
      </c>
      <c r="DG138" s="32">
        <v>98.4</v>
      </c>
      <c r="DH138" s="32">
        <v>122.8</v>
      </c>
      <c r="DI138" s="32">
        <v>171.4</v>
      </c>
      <c r="DJ138" s="32">
        <v>98.4</v>
      </c>
      <c r="DK138" s="32">
        <v>98.4</v>
      </c>
      <c r="DL138" s="32">
        <v>71.3</v>
      </c>
      <c r="DM138" s="32">
        <v>73.900000000000006</v>
      </c>
      <c r="DN138" s="32">
        <v>54.6</v>
      </c>
      <c r="DO138" s="32">
        <v>82.1</v>
      </c>
      <c r="DP138" s="32">
        <v>59.8</v>
      </c>
      <c r="DQ138" s="32">
        <v>80.7</v>
      </c>
      <c r="DR138" s="32">
        <v>87.9</v>
      </c>
      <c r="DS138" s="32">
        <v>83</v>
      </c>
      <c r="DT138" s="32">
        <v>80.400000000000006</v>
      </c>
      <c r="DU138" s="32">
        <v>82.1</v>
      </c>
      <c r="DV138" s="32">
        <v>83.8</v>
      </c>
      <c r="DW138" s="32">
        <v>79.900000000000006</v>
      </c>
      <c r="DX138" s="32">
        <v>76.900000000000006</v>
      </c>
      <c r="DY138" s="32">
        <v>91.8</v>
      </c>
      <c r="DZ138" s="32">
        <v>149.19999999999999</v>
      </c>
      <c r="EA138" s="32">
        <v>149.19999999999999</v>
      </c>
      <c r="EB138" s="32">
        <v>82.9</v>
      </c>
      <c r="EC138" s="32">
        <v>87.1</v>
      </c>
      <c r="ED138" s="32">
        <v>77.900000000000006</v>
      </c>
      <c r="EE138" s="32">
        <v>81.900000000000006</v>
      </c>
      <c r="EF138" s="32">
        <v>67.099999999999994</v>
      </c>
      <c r="EG138" s="32">
        <v>70.5</v>
      </c>
      <c r="EH138" s="32">
        <v>78.599999999999994</v>
      </c>
      <c r="EI138" s="32">
        <v>66</v>
      </c>
      <c r="EJ138" s="32">
        <v>83.9</v>
      </c>
      <c r="EK138" s="32">
        <v>67.3</v>
      </c>
      <c r="EL138" s="32">
        <v>74.900000000000006</v>
      </c>
      <c r="EM138" s="32">
        <v>59.1</v>
      </c>
      <c r="EN138" s="32">
        <v>71.2</v>
      </c>
      <c r="EO138" s="32">
        <v>89.8</v>
      </c>
      <c r="EP138" s="32">
        <v>93.7</v>
      </c>
      <c r="EQ138" s="32">
        <v>93.7</v>
      </c>
      <c r="ER138" s="32">
        <v>90.2</v>
      </c>
      <c r="ES138" s="32">
        <v>90.2</v>
      </c>
      <c r="ET138" s="32">
        <v>86.9</v>
      </c>
      <c r="EU138" s="32">
        <v>86.3</v>
      </c>
      <c r="EV138" s="32">
        <v>86.3</v>
      </c>
      <c r="EW138" s="32">
        <v>88.3</v>
      </c>
      <c r="EX138" s="32">
        <v>99.6</v>
      </c>
      <c r="EY138" s="32">
        <v>79.3</v>
      </c>
      <c r="EZ138" s="32">
        <v>90.6</v>
      </c>
      <c r="FA138" s="32">
        <v>104.5</v>
      </c>
      <c r="FB138" s="32">
        <v>115.4</v>
      </c>
      <c r="FC138" s="32">
        <v>94.3</v>
      </c>
      <c r="FD138" s="32">
        <v>113.6</v>
      </c>
      <c r="FE138" s="32">
        <v>151</v>
      </c>
      <c r="FF138" s="32">
        <v>91.4</v>
      </c>
      <c r="FG138" s="32">
        <v>84.2</v>
      </c>
      <c r="FH138" s="32">
        <v>91.3</v>
      </c>
      <c r="FI138" s="32">
        <v>78.2</v>
      </c>
      <c r="FJ138" s="32">
        <v>82</v>
      </c>
      <c r="FK138" s="32">
        <v>51.3</v>
      </c>
      <c r="FL138" s="32">
        <v>51.3</v>
      </c>
    </row>
    <row r="139" spans="1:168" x14ac:dyDescent="0.2">
      <c r="A139" s="34" t="s">
        <v>1119</v>
      </c>
      <c r="B139" s="32">
        <v>87.6</v>
      </c>
      <c r="C139" s="32">
        <v>100.3</v>
      </c>
      <c r="D139" s="32">
        <v>101.4</v>
      </c>
      <c r="E139" s="32">
        <v>103.3</v>
      </c>
      <c r="F139" s="32">
        <v>176.6</v>
      </c>
      <c r="G139" s="32">
        <v>2039.1</v>
      </c>
      <c r="H139" s="32">
        <v>198.4</v>
      </c>
      <c r="I139" s="32">
        <v>71.5</v>
      </c>
      <c r="J139" s="32">
        <v>97.6</v>
      </c>
      <c r="K139" s="32">
        <v>97.6</v>
      </c>
      <c r="L139" s="32">
        <v>92</v>
      </c>
      <c r="M139" s="32">
        <v>90.3</v>
      </c>
      <c r="N139" s="32">
        <v>86.8</v>
      </c>
      <c r="O139" s="32">
        <v>84.8</v>
      </c>
      <c r="P139" s="32">
        <v>136.5</v>
      </c>
      <c r="Q139" s="32">
        <v>106.3</v>
      </c>
      <c r="R139" s="32">
        <v>94</v>
      </c>
      <c r="S139" s="32">
        <v>126</v>
      </c>
      <c r="T139" s="32">
        <v>61.1</v>
      </c>
      <c r="U139" s="32">
        <v>58.8</v>
      </c>
      <c r="V139" s="32">
        <v>144.80000000000001</v>
      </c>
      <c r="W139" s="32">
        <v>48.7</v>
      </c>
      <c r="X139" s="32">
        <v>44.8</v>
      </c>
      <c r="Y139" s="32">
        <v>42.6</v>
      </c>
      <c r="Z139" s="32">
        <v>101.5</v>
      </c>
      <c r="AA139" s="32">
        <v>91.6</v>
      </c>
      <c r="AB139" s="32">
        <v>79.900000000000006</v>
      </c>
      <c r="AC139" s="32">
        <v>79</v>
      </c>
      <c r="AD139" s="32">
        <v>113.6</v>
      </c>
      <c r="AE139" s="32">
        <v>80.599999999999994</v>
      </c>
      <c r="AF139" s="32">
        <v>80.599999999999994</v>
      </c>
      <c r="AG139" s="32">
        <v>63.1</v>
      </c>
      <c r="AH139" s="32">
        <v>63.1</v>
      </c>
      <c r="AI139" s="32">
        <v>168.3</v>
      </c>
      <c r="AJ139" s="32">
        <v>31.8</v>
      </c>
      <c r="AK139" s="32">
        <v>38.5</v>
      </c>
      <c r="AL139" s="32">
        <v>100.7</v>
      </c>
      <c r="AM139" s="32">
        <v>57</v>
      </c>
      <c r="AN139" s="32">
        <v>141.69999999999999</v>
      </c>
      <c r="AO139" s="32">
        <v>147.1</v>
      </c>
      <c r="AP139" s="32">
        <v>147.1</v>
      </c>
      <c r="AQ139" s="32">
        <v>94</v>
      </c>
      <c r="AR139" s="32">
        <v>90.4</v>
      </c>
      <c r="AS139" s="32">
        <v>101</v>
      </c>
      <c r="AT139" s="32">
        <v>106.8</v>
      </c>
      <c r="AU139" s="32">
        <v>95.4</v>
      </c>
      <c r="AV139" s="32">
        <v>103.2</v>
      </c>
      <c r="AW139" s="32">
        <v>143.5</v>
      </c>
      <c r="AX139" s="32">
        <v>65.2</v>
      </c>
      <c r="AY139" s="32">
        <v>406</v>
      </c>
      <c r="AZ139" s="32">
        <v>96.5</v>
      </c>
      <c r="BA139" s="32">
        <v>77.5</v>
      </c>
      <c r="BB139" s="32">
        <v>77.5</v>
      </c>
      <c r="BC139" s="32">
        <v>114.9</v>
      </c>
      <c r="BD139" s="32">
        <v>114.9</v>
      </c>
      <c r="BE139" s="32">
        <v>126.3</v>
      </c>
      <c r="BF139" s="32">
        <v>126.3</v>
      </c>
      <c r="BG139" s="32">
        <v>120</v>
      </c>
      <c r="BH139" s="32">
        <v>116.2</v>
      </c>
      <c r="BI139" s="32">
        <v>121.2</v>
      </c>
      <c r="BJ139" s="32">
        <v>62</v>
      </c>
      <c r="BK139" s="32">
        <v>155.5</v>
      </c>
      <c r="BL139" s="32">
        <v>54.9</v>
      </c>
      <c r="BM139" s="32">
        <v>100.5</v>
      </c>
      <c r="BN139" s="32">
        <v>111.1</v>
      </c>
      <c r="BO139" s="32">
        <v>105.2</v>
      </c>
      <c r="BP139" s="32">
        <v>117.1</v>
      </c>
      <c r="BQ139" s="32">
        <v>86.6</v>
      </c>
      <c r="BR139" s="32">
        <v>79.599999999999994</v>
      </c>
      <c r="BS139" s="32">
        <v>146.4</v>
      </c>
      <c r="BT139" s="32">
        <v>72.2</v>
      </c>
      <c r="BU139" s="32">
        <v>88.9</v>
      </c>
      <c r="BV139" s="32">
        <v>88.9</v>
      </c>
      <c r="BW139" s="32">
        <v>129.19999999999999</v>
      </c>
      <c r="BX139" s="32">
        <v>34.4</v>
      </c>
      <c r="BY139" s="32">
        <v>100.7</v>
      </c>
      <c r="BZ139" s="32">
        <v>96</v>
      </c>
      <c r="CA139" s="32">
        <v>103.2</v>
      </c>
      <c r="CB139" s="32">
        <v>111.9</v>
      </c>
      <c r="CC139" s="32">
        <v>100.8</v>
      </c>
      <c r="CD139" s="32">
        <v>23.3</v>
      </c>
      <c r="CE139" s="32">
        <v>96</v>
      </c>
      <c r="CF139" s="32">
        <v>84.2</v>
      </c>
      <c r="CG139" s="32">
        <v>96.7</v>
      </c>
      <c r="CH139" s="32">
        <v>96.8</v>
      </c>
      <c r="CI139" s="32">
        <v>105.4</v>
      </c>
      <c r="CJ139" s="32">
        <v>93.3</v>
      </c>
      <c r="CK139" s="32">
        <v>97.6</v>
      </c>
      <c r="CL139" s="32">
        <v>100.1</v>
      </c>
      <c r="CM139" s="32">
        <v>107.6</v>
      </c>
      <c r="CN139" s="32">
        <v>67.7</v>
      </c>
      <c r="CO139" s="32">
        <v>118.4</v>
      </c>
      <c r="CP139" s="32">
        <v>129.30000000000001</v>
      </c>
      <c r="CQ139" s="32">
        <v>40</v>
      </c>
      <c r="CR139" s="32">
        <v>99.5</v>
      </c>
      <c r="CS139" s="32">
        <v>110.3</v>
      </c>
      <c r="CT139" s="32">
        <v>93.1</v>
      </c>
      <c r="CU139" s="32">
        <v>70</v>
      </c>
      <c r="CV139" s="32">
        <v>103.5</v>
      </c>
      <c r="CW139" s="32">
        <v>40.700000000000003</v>
      </c>
      <c r="CX139" s="32">
        <v>100.2</v>
      </c>
      <c r="CY139" s="32">
        <v>110.1</v>
      </c>
      <c r="CZ139" s="32">
        <v>95.2</v>
      </c>
      <c r="DA139" s="32">
        <v>84.7</v>
      </c>
      <c r="DB139" s="32">
        <v>114.8</v>
      </c>
      <c r="DC139" s="32">
        <v>8.1999999999999993</v>
      </c>
      <c r="DD139" s="32">
        <v>8.1999999999999993</v>
      </c>
      <c r="DE139" s="32">
        <v>76.8</v>
      </c>
      <c r="DF139" s="32">
        <v>72.3</v>
      </c>
      <c r="DG139" s="32">
        <v>105.2</v>
      </c>
      <c r="DH139" s="32">
        <v>117.9</v>
      </c>
      <c r="DI139" s="32">
        <v>171</v>
      </c>
      <c r="DJ139" s="32">
        <v>97.2</v>
      </c>
      <c r="DK139" s="32">
        <v>97.2</v>
      </c>
      <c r="DL139" s="32">
        <v>58.4</v>
      </c>
      <c r="DM139" s="32">
        <v>74.3</v>
      </c>
      <c r="DN139" s="32">
        <v>56.7</v>
      </c>
      <c r="DO139" s="32">
        <v>82.1</v>
      </c>
      <c r="DP139" s="32">
        <v>55.8</v>
      </c>
      <c r="DQ139" s="32">
        <v>79.5</v>
      </c>
      <c r="DR139" s="32">
        <v>85.1</v>
      </c>
      <c r="DS139" s="32">
        <v>83.4</v>
      </c>
      <c r="DT139" s="32">
        <v>80.7</v>
      </c>
      <c r="DU139" s="32">
        <v>80.599999999999994</v>
      </c>
      <c r="DV139" s="32">
        <v>82.5</v>
      </c>
      <c r="DW139" s="32">
        <v>78.2</v>
      </c>
      <c r="DX139" s="32">
        <v>81</v>
      </c>
      <c r="DY139" s="32">
        <v>92.6</v>
      </c>
      <c r="DZ139" s="32">
        <v>120.9</v>
      </c>
      <c r="EA139" s="32">
        <v>120.9</v>
      </c>
      <c r="EB139" s="32">
        <v>79</v>
      </c>
      <c r="EC139" s="32">
        <v>79.3</v>
      </c>
      <c r="ED139" s="32">
        <v>79.099999999999994</v>
      </c>
      <c r="EE139" s="32">
        <v>83.8</v>
      </c>
      <c r="EF139" s="32">
        <v>66.599999999999994</v>
      </c>
      <c r="EG139" s="32">
        <v>71.3</v>
      </c>
      <c r="EH139" s="32">
        <v>75.599999999999994</v>
      </c>
      <c r="EI139" s="32">
        <v>67.900000000000006</v>
      </c>
      <c r="EJ139" s="32">
        <v>87.8</v>
      </c>
      <c r="EK139" s="32">
        <v>68.900000000000006</v>
      </c>
      <c r="EL139" s="32">
        <v>73.7</v>
      </c>
      <c r="EM139" s="32">
        <v>55.2</v>
      </c>
      <c r="EN139" s="32">
        <v>77.599999999999994</v>
      </c>
      <c r="EO139" s="32">
        <v>90.7</v>
      </c>
      <c r="EP139" s="32">
        <v>95.4</v>
      </c>
      <c r="EQ139" s="32">
        <v>95.4</v>
      </c>
      <c r="ER139" s="32">
        <v>91.5</v>
      </c>
      <c r="ES139" s="32">
        <v>91.5</v>
      </c>
      <c r="ET139" s="32">
        <v>86.9</v>
      </c>
      <c r="EU139" s="32">
        <v>86.1</v>
      </c>
      <c r="EV139" s="32">
        <v>86.1</v>
      </c>
      <c r="EW139" s="32">
        <v>88.9</v>
      </c>
      <c r="EX139" s="32">
        <v>100.2</v>
      </c>
      <c r="EY139" s="32">
        <v>80</v>
      </c>
      <c r="EZ139" s="32">
        <v>91</v>
      </c>
      <c r="FA139" s="32">
        <v>104.1</v>
      </c>
      <c r="FB139" s="32">
        <v>114.3</v>
      </c>
      <c r="FC139" s="32">
        <v>90.4</v>
      </c>
      <c r="FD139" s="32">
        <v>116.2</v>
      </c>
      <c r="FE139" s="32">
        <v>152.9</v>
      </c>
      <c r="FF139" s="32">
        <v>91.9</v>
      </c>
      <c r="FG139" s="32">
        <v>85.6</v>
      </c>
      <c r="FH139" s="32">
        <v>93.4</v>
      </c>
      <c r="FI139" s="32">
        <v>83.2</v>
      </c>
      <c r="FJ139" s="32">
        <v>82.7</v>
      </c>
      <c r="FK139" s="32">
        <v>49.1</v>
      </c>
      <c r="FL139" s="32">
        <v>49.1</v>
      </c>
    </row>
    <row r="140" spans="1:168" x14ac:dyDescent="0.2">
      <c r="A140" s="34" t="s">
        <v>1120</v>
      </c>
      <c r="B140" s="32">
        <v>87</v>
      </c>
      <c r="C140" s="32">
        <v>103.3</v>
      </c>
      <c r="D140" s="32">
        <v>99.3</v>
      </c>
      <c r="E140" s="32">
        <v>100.4</v>
      </c>
      <c r="F140" s="32">
        <v>171.6</v>
      </c>
      <c r="G140" s="32">
        <v>1674.8</v>
      </c>
      <c r="H140" s="32">
        <v>192.9</v>
      </c>
      <c r="I140" s="32">
        <v>69.7</v>
      </c>
      <c r="J140" s="32">
        <v>94.5</v>
      </c>
      <c r="K140" s="32">
        <v>94.4</v>
      </c>
      <c r="L140" s="32">
        <v>87.8</v>
      </c>
      <c r="M140" s="32">
        <v>81.599999999999994</v>
      </c>
      <c r="N140" s="32">
        <v>83.7</v>
      </c>
      <c r="O140" s="32">
        <v>62.5</v>
      </c>
      <c r="P140" s="32">
        <v>141.4</v>
      </c>
      <c r="Q140" s="32">
        <v>92.2</v>
      </c>
      <c r="R140" s="32">
        <v>92.4</v>
      </c>
      <c r="S140" s="32">
        <v>118.9</v>
      </c>
      <c r="T140" s="32">
        <v>62.6</v>
      </c>
      <c r="U140" s="32">
        <v>57.9</v>
      </c>
      <c r="V140" s="32">
        <v>146.6</v>
      </c>
      <c r="W140" s="32">
        <v>47.8</v>
      </c>
      <c r="X140" s="32">
        <v>43.4</v>
      </c>
      <c r="Y140" s="32">
        <v>42.9</v>
      </c>
      <c r="Z140" s="32">
        <v>99.3</v>
      </c>
      <c r="AA140" s="32">
        <v>90.8</v>
      </c>
      <c r="AB140" s="32">
        <v>80.599999999999994</v>
      </c>
      <c r="AC140" s="32">
        <v>76.599999999999994</v>
      </c>
      <c r="AD140" s="32">
        <v>113</v>
      </c>
      <c r="AE140" s="32">
        <v>81.400000000000006</v>
      </c>
      <c r="AF140" s="32">
        <v>81.400000000000006</v>
      </c>
      <c r="AG140" s="32">
        <v>61.3</v>
      </c>
      <c r="AH140" s="32">
        <v>61.3</v>
      </c>
      <c r="AI140" s="32">
        <v>149.30000000000001</v>
      </c>
      <c r="AJ140" s="32">
        <v>31.7</v>
      </c>
      <c r="AK140" s="32">
        <v>36.700000000000003</v>
      </c>
      <c r="AL140" s="32">
        <v>97.8</v>
      </c>
      <c r="AM140" s="32">
        <v>54.5</v>
      </c>
      <c r="AN140" s="32">
        <v>141.1</v>
      </c>
      <c r="AO140" s="32">
        <v>136.4</v>
      </c>
      <c r="AP140" s="32">
        <v>136.4</v>
      </c>
      <c r="AQ140" s="32">
        <v>86.7</v>
      </c>
      <c r="AR140" s="32">
        <v>83.1</v>
      </c>
      <c r="AS140" s="32">
        <v>93.6</v>
      </c>
      <c r="AT140" s="32">
        <v>99.6</v>
      </c>
      <c r="AU140" s="32">
        <v>87.8</v>
      </c>
      <c r="AV140" s="32">
        <v>100.7</v>
      </c>
      <c r="AW140" s="32">
        <v>145</v>
      </c>
      <c r="AX140" s="32">
        <v>62.7</v>
      </c>
      <c r="AY140" s="32">
        <v>420.7</v>
      </c>
      <c r="AZ140" s="32">
        <v>93</v>
      </c>
      <c r="BA140" s="32">
        <v>79.2</v>
      </c>
      <c r="BB140" s="32">
        <v>79.2</v>
      </c>
      <c r="BC140" s="32">
        <v>113.4</v>
      </c>
      <c r="BD140" s="32">
        <v>113.4</v>
      </c>
      <c r="BE140" s="32">
        <v>122.8</v>
      </c>
      <c r="BF140" s="32">
        <v>122.8</v>
      </c>
      <c r="BG140" s="32">
        <v>116</v>
      </c>
      <c r="BH140" s="32">
        <v>108.2</v>
      </c>
      <c r="BI140" s="32">
        <v>122</v>
      </c>
      <c r="BJ140" s="32">
        <v>62.9</v>
      </c>
      <c r="BK140" s="32">
        <v>156.30000000000001</v>
      </c>
      <c r="BL140" s="32">
        <v>56.1</v>
      </c>
      <c r="BM140" s="32">
        <v>98</v>
      </c>
      <c r="BN140" s="32">
        <v>108.4</v>
      </c>
      <c r="BO140" s="32">
        <v>102.2</v>
      </c>
      <c r="BP140" s="32">
        <v>114.7</v>
      </c>
      <c r="BQ140" s="32">
        <v>84.3</v>
      </c>
      <c r="BR140" s="32">
        <v>67</v>
      </c>
      <c r="BS140" s="32">
        <v>130</v>
      </c>
      <c r="BT140" s="32">
        <v>73.900000000000006</v>
      </c>
      <c r="BU140" s="32">
        <v>89.1</v>
      </c>
      <c r="BV140" s="32">
        <v>89.1</v>
      </c>
      <c r="BW140" s="32">
        <v>128.19999999999999</v>
      </c>
      <c r="BX140" s="32">
        <v>35.6</v>
      </c>
      <c r="BY140" s="32">
        <v>97.9</v>
      </c>
      <c r="BZ140" s="32">
        <v>96.6</v>
      </c>
      <c r="CA140" s="32">
        <v>98.7</v>
      </c>
      <c r="CB140" s="32">
        <v>109.8</v>
      </c>
      <c r="CC140" s="32">
        <v>93.9</v>
      </c>
      <c r="CD140" s="32">
        <v>22.3</v>
      </c>
      <c r="CE140" s="32">
        <v>95.6</v>
      </c>
      <c r="CF140" s="32">
        <v>83.9</v>
      </c>
      <c r="CG140" s="32">
        <v>95.9</v>
      </c>
      <c r="CH140" s="32">
        <v>96.6</v>
      </c>
      <c r="CI140" s="32">
        <v>107.8</v>
      </c>
      <c r="CJ140" s="32">
        <v>93.8</v>
      </c>
      <c r="CK140" s="32">
        <v>96.1</v>
      </c>
      <c r="CL140" s="32">
        <v>99.6</v>
      </c>
      <c r="CM140" s="32">
        <v>107</v>
      </c>
      <c r="CN140" s="32">
        <v>68.400000000000006</v>
      </c>
      <c r="CO140" s="32">
        <v>117.5</v>
      </c>
      <c r="CP140" s="32">
        <v>132.30000000000001</v>
      </c>
      <c r="CQ140" s="32">
        <v>37.5</v>
      </c>
      <c r="CR140" s="32">
        <v>96.9</v>
      </c>
      <c r="CS140" s="32">
        <v>114.8</v>
      </c>
      <c r="CT140" s="32">
        <v>89.2</v>
      </c>
      <c r="CU140" s="32">
        <v>68.099999999999994</v>
      </c>
      <c r="CV140" s="32">
        <v>98.6</v>
      </c>
      <c r="CW140" s="32">
        <v>40.6</v>
      </c>
      <c r="CX140" s="32">
        <v>97.5</v>
      </c>
      <c r="CY140" s="32">
        <v>104.2</v>
      </c>
      <c r="CZ140" s="32">
        <v>94.3</v>
      </c>
      <c r="DA140" s="32">
        <v>82.2</v>
      </c>
      <c r="DB140" s="32">
        <v>117.5</v>
      </c>
      <c r="DC140" s="32">
        <v>8.8000000000000007</v>
      </c>
      <c r="DD140" s="32">
        <v>8.8000000000000007</v>
      </c>
      <c r="DE140" s="32">
        <v>73.900000000000006</v>
      </c>
      <c r="DF140" s="32">
        <v>69.900000000000006</v>
      </c>
      <c r="DG140" s="32">
        <v>98.9</v>
      </c>
      <c r="DH140" s="32">
        <v>116.7</v>
      </c>
      <c r="DI140" s="32">
        <v>169.8</v>
      </c>
      <c r="DJ140" s="32">
        <v>96.1</v>
      </c>
      <c r="DK140" s="32">
        <v>96.1</v>
      </c>
      <c r="DL140" s="32">
        <v>57.4</v>
      </c>
      <c r="DM140" s="32">
        <v>74.3</v>
      </c>
      <c r="DN140" s="32">
        <v>57.3</v>
      </c>
      <c r="DO140" s="32">
        <v>82.1</v>
      </c>
      <c r="DP140" s="32">
        <v>54.4</v>
      </c>
      <c r="DQ140" s="32">
        <v>80.3</v>
      </c>
      <c r="DR140" s="32">
        <v>87.4</v>
      </c>
      <c r="DS140" s="32">
        <v>84.6</v>
      </c>
      <c r="DT140" s="32">
        <v>82.1</v>
      </c>
      <c r="DU140" s="32">
        <v>81.7</v>
      </c>
      <c r="DV140" s="32">
        <v>87.7</v>
      </c>
      <c r="DW140" s="32">
        <v>74.599999999999994</v>
      </c>
      <c r="DX140" s="32">
        <v>83.1</v>
      </c>
      <c r="DY140" s="32">
        <v>93</v>
      </c>
      <c r="DZ140" s="32">
        <v>139.1</v>
      </c>
      <c r="EA140" s="32">
        <v>139.1</v>
      </c>
      <c r="EB140" s="32">
        <v>79.599999999999994</v>
      </c>
      <c r="EC140" s="32">
        <v>79.400000000000006</v>
      </c>
      <c r="ED140" s="32">
        <v>80.3</v>
      </c>
      <c r="EE140" s="32">
        <v>83.8</v>
      </c>
      <c r="EF140" s="32">
        <v>70.599999999999994</v>
      </c>
      <c r="EG140" s="32">
        <v>70.099999999999994</v>
      </c>
      <c r="EH140" s="32">
        <v>74.3</v>
      </c>
      <c r="EI140" s="32">
        <v>66.2</v>
      </c>
      <c r="EJ140" s="32">
        <v>87.4</v>
      </c>
      <c r="EK140" s="32">
        <v>68</v>
      </c>
      <c r="EL140" s="32">
        <v>72.3</v>
      </c>
      <c r="EM140" s="32">
        <v>55.9</v>
      </c>
      <c r="EN140" s="32">
        <v>75.7</v>
      </c>
      <c r="EO140" s="32">
        <v>90.5</v>
      </c>
      <c r="EP140" s="32">
        <v>95.7</v>
      </c>
      <c r="EQ140" s="32">
        <v>95.7</v>
      </c>
      <c r="ER140" s="32">
        <v>89.5</v>
      </c>
      <c r="ES140" s="32">
        <v>89.5</v>
      </c>
      <c r="ET140" s="32">
        <v>88</v>
      </c>
      <c r="EU140" s="32">
        <v>87.1</v>
      </c>
      <c r="EV140" s="32">
        <v>87.1</v>
      </c>
      <c r="EW140" s="32">
        <v>90</v>
      </c>
      <c r="EX140" s="32">
        <v>100.8</v>
      </c>
      <c r="EY140" s="32">
        <v>81.5</v>
      </c>
      <c r="EZ140" s="32">
        <v>89.1</v>
      </c>
      <c r="FA140" s="32">
        <v>102.7</v>
      </c>
      <c r="FB140" s="32">
        <v>111.4</v>
      </c>
      <c r="FC140" s="32">
        <v>84.3</v>
      </c>
      <c r="FD140" s="32">
        <v>116.6</v>
      </c>
      <c r="FE140" s="32">
        <v>154</v>
      </c>
      <c r="FF140" s="32">
        <v>92.2</v>
      </c>
      <c r="FG140" s="32">
        <v>83</v>
      </c>
      <c r="FH140" s="32">
        <v>91.2</v>
      </c>
      <c r="FI140" s="32">
        <v>80.400000000000006</v>
      </c>
      <c r="FJ140" s="32">
        <v>79.900000000000006</v>
      </c>
      <c r="FK140" s="32">
        <v>50.3</v>
      </c>
      <c r="FL140" s="32">
        <v>50.3</v>
      </c>
    </row>
    <row r="141" spans="1:168" x14ac:dyDescent="0.2">
      <c r="A141" s="34" t="s">
        <v>1121</v>
      </c>
      <c r="B141" s="32">
        <v>87.5</v>
      </c>
      <c r="C141" s="32">
        <v>103.6</v>
      </c>
      <c r="D141" s="32">
        <v>100</v>
      </c>
      <c r="E141" s="32">
        <v>101.9</v>
      </c>
      <c r="F141" s="32">
        <v>169.4</v>
      </c>
      <c r="G141" s="32">
        <v>546.29999999999995</v>
      </c>
      <c r="H141" s="32">
        <v>191</v>
      </c>
      <c r="I141" s="32">
        <v>69.8</v>
      </c>
      <c r="J141" s="32">
        <v>95.8</v>
      </c>
      <c r="K141" s="32">
        <v>94.5</v>
      </c>
      <c r="L141" s="32">
        <v>88.4</v>
      </c>
      <c r="M141" s="32">
        <v>84.1</v>
      </c>
      <c r="N141" s="32">
        <v>75.8</v>
      </c>
      <c r="O141" s="32">
        <v>61.5</v>
      </c>
      <c r="P141" s="32">
        <v>138</v>
      </c>
      <c r="Q141" s="32">
        <v>104.5</v>
      </c>
      <c r="R141" s="32">
        <v>94.2</v>
      </c>
      <c r="S141" s="32">
        <v>120.5</v>
      </c>
      <c r="T141" s="32">
        <v>64.5</v>
      </c>
      <c r="U141" s="32">
        <v>55.5</v>
      </c>
      <c r="V141" s="32">
        <v>144.6</v>
      </c>
      <c r="W141" s="32">
        <v>50.2</v>
      </c>
      <c r="X141" s="32">
        <v>46</v>
      </c>
      <c r="Y141" s="32">
        <v>44.3</v>
      </c>
      <c r="Z141" s="32">
        <v>103.4</v>
      </c>
      <c r="AA141" s="32">
        <v>92.8</v>
      </c>
      <c r="AB141" s="32">
        <v>83.4</v>
      </c>
      <c r="AC141" s="32">
        <v>76.900000000000006</v>
      </c>
      <c r="AD141" s="32">
        <v>115.7</v>
      </c>
      <c r="AE141" s="32">
        <v>82.8</v>
      </c>
      <c r="AF141" s="32">
        <v>82.8</v>
      </c>
      <c r="AG141" s="32">
        <v>61.1</v>
      </c>
      <c r="AH141" s="32">
        <v>61.1</v>
      </c>
      <c r="AI141" s="32">
        <v>125.4</v>
      </c>
      <c r="AJ141" s="32">
        <v>33.5</v>
      </c>
      <c r="AK141" s="32">
        <v>39.4</v>
      </c>
      <c r="AL141" s="32">
        <v>92</v>
      </c>
      <c r="AM141" s="32">
        <v>55.3</v>
      </c>
      <c r="AN141" s="32">
        <v>136.5</v>
      </c>
      <c r="AO141" s="32">
        <v>140.4</v>
      </c>
      <c r="AP141" s="32">
        <v>140.4</v>
      </c>
      <c r="AQ141" s="32">
        <v>88.4</v>
      </c>
      <c r="AR141" s="32">
        <v>85</v>
      </c>
      <c r="AS141" s="32">
        <v>94.9</v>
      </c>
      <c r="AT141" s="32">
        <v>104.9</v>
      </c>
      <c r="AU141" s="32">
        <v>85.7</v>
      </c>
      <c r="AV141" s="32">
        <v>104.4</v>
      </c>
      <c r="AW141" s="32">
        <v>147.69999999999999</v>
      </c>
      <c r="AX141" s="32">
        <v>61.8</v>
      </c>
      <c r="AY141" s="32">
        <v>435.7</v>
      </c>
      <c r="AZ141" s="32">
        <v>97.1</v>
      </c>
      <c r="BA141" s="32">
        <v>80.3</v>
      </c>
      <c r="BB141" s="32">
        <v>80.3</v>
      </c>
      <c r="BC141" s="32">
        <v>113.9</v>
      </c>
      <c r="BD141" s="32">
        <v>113.9</v>
      </c>
      <c r="BE141" s="32">
        <v>124.4</v>
      </c>
      <c r="BF141" s="32">
        <v>124.4</v>
      </c>
      <c r="BG141" s="32">
        <v>116.8</v>
      </c>
      <c r="BH141" s="32">
        <v>110.7</v>
      </c>
      <c r="BI141" s="32">
        <v>120.9</v>
      </c>
      <c r="BJ141" s="32">
        <v>63.1</v>
      </c>
      <c r="BK141" s="32">
        <v>153.80000000000001</v>
      </c>
      <c r="BL141" s="32">
        <v>58.5</v>
      </c>
      <c r="BM141" s="32">
        <v>97.5</v>
      </c>
      <c r="BN141" s="32">
        <v>107.1</v>
      </c>
      <c r="BO141" s="32">
        <v>100.3</v>
      </c>
      <c r="BP141" s="32">
        <v>114</v>
      </c>
      <c r="BQ141" s="32">
        <v>84.9</v>
      </c>
      <c r="BR141" s="32">
        <v>56</v>
      </c>
      <c r="BS141" s="32">
        <v>138.19999999999999</v>
      </c>
      <c r="BT141" s="32">
        <v>74.900000000000006</v>
      </c>
      <c r="BU141" s="32">
        <v>92.8</v>
      </c>
      <c r="BV141" s="32">
        <v>92.8</v>
      </c>
      <c r="BW141" s="32">
        <v>129.80000000000001</v>
      </c>
      <c r="BX141" s="32">
        <v>40.5</v>
      </c>
      <c r="BY141" s="32">
        <v>100.8</v>
      </c>
      <c r="BZ141" s="32">
        <v>101</v>
      </c>
      <c r="CA141" s="32">
        <v>100.7</v>
      </c>
      <c r="CB141" s="32">
        <v>115.5</v>
      </c>
      <c r="CC141" s="32">
        <v>92.7</v>
      </c>
      <c r="CD141" s="32">
        <v>21.6</v>
      </c>
      <c r="CE141" s="32">
        <v>94.5</v>
      </c>
      <c r="CF141" s="32">
        <v>84.4</v>
      </c>
      <c r="CG141" s="32">
        <v>97</v>
      </c>
      <c r="CH141" s="32">
        <v>98</v>
      </c>
      <c r="CI141" s="32">
        <v>108.3</v>
      </c>
      <c r="CJ141" s="32">
        <v>98.6</v>
      </c>
      <c r="CK141" s="32">
        <v>95.1</v>
      </c>
      <c r="CL141" s="32">
        <v>101.9</v>
      </c>
      <c r="CM141" s="32">
        <v>109.1</v>
      </c>
      <c r="CN141" s="32">
        <v>68.8</v>
      </c>
      <c r="CO141" s="32">
        <v>120</v>
      </c>
      <c r="CP141" s="32">
        <v>127.4</v>
      </c>
      <c r="CQ141" s="32">
        <v>35.9</v>
      </c>
      <c r="CR141" s="32">
        <v>104</v>
      </c>
      <c r="CS141" s="32">
        <v>115.1</v>
      </c>
      <c r="CT141" s="32">
        <v>88</v>
      </c>
      <c r="CU141" s="32">
        <v>67.900000000000006</v>
      </c>
      <c r="CV141" s="32">
        <v>97</v>
      </c>
      <c r="CW141" s="32">
        <v>41.8</v>
      </c>
      <c r="CX141" s="32">
        <v>98.2</v>
      </c>
      <c r="CY141" s="32">
        <v>104.4</v>
      </c>
      <c r="CZ141" s="32">
        <v>95.3</v>
      </c>
      <c r="DA141" s="32">
        <v>83</v>
      </c>
      <c r="DB141" s="32">
        <v>118.7</v>
      </c>
      <c r="DC141" s="32">
        <v>9.1</v>
      </c>
      <c r="DD141" s="32">
        <v>9.1</v>
      </c>
      <c r="DE141" s="32">
        <v>77</v>
      </c>
      <c r="DF141" s="32">
        <v>72.5</v>
      </c>
      <c r="DG141" s="32">
        <v>105.4</v>
      </c>
      <c r="DH141" s="32">
        <v>116.8</v>
      </c>
      <c r="DI141" s="32">
        <v>168.4</v>
      </c>
      <c r="DJ141" s="32">
        <v>94.2</v>
      </c>
      <c r="DK141" s="32">
        <v>94.2</v>
      </c>
      <c r="DL141" s="32">
        <v>61.2</v>
      </c>
      <c r="DM141" s="32">
        <v>74.400000000000006</v>
      </c>
      <c r="DN141" s="32">
        <v>57.9</v>
      </c>
      <c r="DO141" s="32">
        <v>82.1</v>
      </c>
      <c r="DP141" s="32">
        <v>52.2</v>
      </c>
      <c r="DQ141" s="32">
        <v>79.7</v>
      </c>
      <c r="DR141" s="32">
        <v>86.2</v>
      </c>
      <c r="DS141" s="32">
        <v>83.3</v>
      </c>
      <c r="DT141" s="32">
        <v>79.900000000000006</v>
      </c>
      <c r="DU141" s="32">
        <v>79.599999999999994</v>
      </c>
      <c r="DV141" s="32">
        <v>82.2</v>
      </c>
      <c r="DW141" s="32">
        <v>76.400000000000006</v>
      </c>
      <c r="DX141" s="32">
        <v>80.7</v>
      </c>
      <c r="DY141" s="32">
        <v>94.5</v>
      </c>
      <c r="DZ141" s="32">
        <v>137.80000000000001</v>
      </c>
      <c r="EA141" s="32">
        <v>137.80000000000001</v>
      </c>
      <c r="EB141" s="32">
        <v>78.2</v>
      </c>
      <c r="EC141" s="32">
        <v>77.8</v>
      </c>
      <c r="ED141" s="32">
        <v>79.2</v>
      </c>
      <c r="EE141" s="32">
        <v>83</v>
      </c>
      <c r="EF141" s="32">
        <v>69</v>
      </c>
      <c r="EG141" s="32">
        <v>70.599999999999994</v>
      </c>
      <c r="EH141" s="32">
        <v>73</v>
      </c>
      <c r="EI141" s="32">
        <v>69.400000000000006</v>
      </c>
      <c r="EJ141" s="32">
        <v>83.5</v>
      </c>
      <c r="EK141" s="32">
        <v>68.2</v>
      </c>
      <c r="EL141" s="32">
        <v>74</v>
      </c>
      <c r="EM141" s="32">
        <v>59</v>
      </c>
      <c r="EN141" s="32">
        <v>73.2</v>
      </c>
      <c r="EO141" s="32">
        <v>90.4</v>
      </c>
      <c r="EP141" s="32">
        <v>95.2</v>
      </c>
      <c r="EQ141" s="32">
        <v>95.2</v>
      </c>
      <c r="ER141" s="32">
        <v>89</v>
      </c>
      <c r="ES141" s="32">
        <v>89</v>
      </c>
      <c r="ET141" s="32">
        <v>88.3</v>
      </c>
      <c r="EU141" s="32">
        <v>87.2</v>
      </c>
      <c r="EV141" s="32">
        <v>87.2</v>
      </c>
      <c r="EW141" s="32">
        <v>91</v>
      </c>
      <c r="EX141" s="32">
        <v>101.3</v>
      </c>
      <c r="EY141" s="32">
        <v>83</v>
      </c>
      <c r="EZ141" s="32">
        <v>92.4</v>
      </c>
      <c r="FA141" s="32">
        <v>106.8</v>
      </c>
      <c r="FB141" s="32">
        <v>118.7</v>
      </c>
      <c r="FC141" s="32">
        <v>98.3</v>
      </c>
      <c r="FD141" s="32">
        <v>116.9</v>
      </c>
      <c r="FE141" s="32">
        <v>153.1</v>
      </c>
      <c r="FF141" s="32">
        <v>92.4</v>
      </c>
      <c r="FG141" s="32">
        <v>85.3</v>
      </c>
      <c r="FH141" s="32">
        <v>88.7</v>
      </c>
      <c r="FI141" s="32">
        <v>89.6</v>
      </c>
      <c r="FJ141" s="32">
        <v>83.3</v>
      </c>
      <c r="FK141" s="32">
        <v>56.6</v>
      </c>
      <c r="FL141" s="32">
        <v>56.6</v>
      </c>
    </row>
    <row r="142" spans="1:168" x14ac:dyDescent="0.2">
      <c r="A142" s="34" t="s">
        <v>1122</v>
      </c>
      <c r="B142" s="32">
        <v>86.7</v>
      </c>
      <c r="C142" s="32">
        <v>103.3</v>
      </c>
      <c r="D142" s="32">
        <v>99.2</v>
      </c>
      <c r="E142" s="32">
        <v>101.1</v>
      </c>
      <c r="F142" s="32">
        <v>174.3</v>
      </c>
      <c r="G142" s="32">
        <v>585.20000000000005</v>
      </c>
      <c r="H142" s="32">
        <v>197.3</v>
      </c>
      <c r="I142" s="32">
        <v>70.099999999999994</v>
      </c>
      <c r="J142" s="32">
        <v>95.8</v>
      </c>
      <c r="K142" s="32">
        <v>95.8</v>
      </c>
      <c r="L142" s="32">
        <v>88.1</v>
      </c>
      <c r="M142" s="32">
        <v>75</v>
      </c>
      <c r="N142" s="32">
        <v>77.599999999999994</v>
      </c>
      <c r="O142" s="32">
        <v>58</v>
      </c>
      <c r="P142" s="32">
        <v>141.1</v>
      </c>
      <c r="Q142" s="32">
        <v>108</v>
      </c>
      <c r="R142" s="32">
        <v>94.3</v>
      </c>
      <c r="S142" s="32">
        <v>122.4</v>
      </c>
      <c r="T142" s="32">
        <v>61.1</v>
      </c>
      <c r="U142" s="32">
        <v>61.8</v>
      </c>
      <c r="V142" s="32">
        <v>152.4</v>
      </c>
      <c r="W142" s="32">
        <v>47.6</v>
      </c>
      <c r="X142" s="32">
        <v>42.7</v>
      </c>
      <c r="Y142" s="32">
        <v>42.7</v>
      </c>
      <c r="Z142" s="32">
        <v>107.2</v>
      </c>
      <c r="AA142" s="32">
        <v>94.2</v>
      </c>
      <c r="AB142" s="32">
        <v>86.1</v>
      </c>
      <c r="AC142" s="32">
        <v>74.8</v>
      </c>
      <c r="AD142" s="32">
        <v>118.8</v>
      </c>
      <c r="AE142" s="32">
        <v>84.5</v>
      </c>
      <c r="AF142" s="32">
        <v>84.5</v>
      </c>
      <c r="AG142" s="32">
        <v>63.2</v>
      </c>
      <c r="AH142" s="32">
        <v>63.2</v>
      </c>
      <c r="AI142" s="32">
        <v>119.4</v>
      </c>
      <c r="AJ142" s="32">
        <v>36.6</v>
      </c>
      <c r="AK142" s="32">
        <v>44.2</v>
      </c>
      <c r="AL142" s="32">
        <v>95.6</v>
      </c>
      <c r="AM142" s="32">
        <v>56.7</v>
      </c>
      <c r="AN142" s="32">
        <v>132.30000000000001</v>
      </c>
      <c r="AO142" s="32">
        <v>144.69999999999999</v>
      </c>
      <c r="AP142" s="32">
        <v>144.69999999999999</v>
      </c>
      <c r="AQ142" s="32">
        <v>84.8</v>
      </c>
      <c r="AR142" s="32">
        <v>82.5</v>
      </c>
      <c r="AS142" s="32">
        <v>89.6</v>
      </c>
      <c r="AT142" s="32">
        <v>99.1</v>
      </c>
      <c r="AU142" s="32">
        <v>81</v>
      </c>
      <c r="AV142" s="32">
        <v>100.5</v>
      </c>
      <c r="AW142" s="32">
        <v>138.69999999999999</v>
      </c>
      <c r="AX142" s="32">
        <v>57.1</v>
      </c>
      <c r="AY142" s="32">
        <v>412.2</v>
      </c>
      <c r="AZ142" s="32">
        <v>94.2</v>
      </c>
      <c r="BA142" s="32">
        <v>84.7</v>
      </c>
      <c r="BB142" s="32">
        <v>84.7</v>
      </c>
      <c r="BC142" s="32">
        <v>110.9</v>
      </c>
      <c r="BD142" s="32">
        <v>110.9</v>
      </c>
      <c r="BE142" s="32">
        <v>120.2</v>
      </c>
      <c r="BF142" s="32">
        <v>120.2</v>
      </c>
      <c r="BG142" s="32">
        <v>119.1</v>
      </c>
      <c r="BH142" s="32">
        <v>112.7</v>
      </c>
      <c r="BI142" s="32">
        <v>123.4</v>
      </c>
      <c r="BJ142" s="32">
        <v>63.8</v>
      </c>
      <c r="BK142" s="32">
        <v>156.9</v>
      </c>
      <c r="BL142" s="32">
        <v>60.6</v>
      </c>
      <c r="BM142" s="32">
        <v>95.4</v>
      </c>
      <c r="BN142" s="32">
        <v>104.9</v>
      </c>
      <c r="BO142" s="32">
        <v>100.3</v>
      </c>
      <c r="BP142" s="32">
        <v>109.7</v>
      </c>
      <c r="BQ142" s="32">
        <v>82.9</v>
      </c>
      <c r="BR142" s="32">
        <v>66.599999999999994</v>
      </c>
      <c r="BS142" s="32">
        <v>120.8</v>
      </c>
      <c r="BT142" s="32">
        <v>73.8</v>
      </c>
      <c r="BU142" s="32">
        <v>84.7</v>
      </c>
      <c r="BV142" s="32">
        <v>84.7</v>
      </c>
      <c r="BW142" s="32">
        <v>123.3</v>
      </c>
      <c r="BX142" s="32">
        <v>32.5</v>
      </c>
      <c r="BY142" s="32">
        <v>98.3</v>
      </c>
      <c r="BZ142" s="32">
        <v>100.9</v>
      </c>
      <c r="CA142" s="32">
        <v>97</v>
      </c>
      <c r="CB142" s="32">
        <v>109.4</v>
      </c>
      <c r="CC142" s="32">
        <v>91</v>
      </c>
      <c r="CD142" s="32">
        <v>19.899999999999999</v>
      </c>
      <c r="CE142" s="32">
        <v>93.7</v>
      </c>
      <c r="CF142" s="32">
        <v>83.6</v>
      </c>
      <c r="CG142" s="32">
        <v>95.5</v>
      </c>
      <c r="CH142" s="32">
        <v>96.4</v>
      </c>
      <c r="CI142" s="32">
        <v>104.3</v>
      </c>
      <c r="CJ142" s="32">
        <v>93.1</v>
      </c>
      <c r="CK142" s="32">
        <v>97.1</v>
      </c>
      <c r="CL142" s="32">
        <v>99.4</v>
      </c>
      <c r="CM142" s="32">
        <v>107.3</v>
      </c>
      <c r="CN142" s="32">
        <v>70.2</v>
      </c>
      <c r="CO142" s="32">
        <v>117.4</v>
      </c>
      <c r="CP142" s="32">
        <v>122.5</v>
      </c>
      <c r="CQ142" s="32">
        <v>33.299999999999997</v>
      </c>
      <c r="CR142" s="32">
        <v>101.1</v>
      </c>
      <c r="CS142" s="32">
        <v>113.4</v>
      </c>
      <c r="CT142" s="32">
        <v>88.3</v>
      </c>
      <c r="CU142" s="32">
        <v>65.900000000000006</v>
      </c>
      <c r="CV142" s="32">
        <v>98.4</v>
      </c>
      <c r="CW142" s="32">
        <v>41.4</v>
      </c>
      <c r="CX142" s="32">
        <v>95.7</v>
      </c>
      <c r="CY142" s="32">
        <v>101.3</v>
      </c>
      <c r="CZ142" s="32">
        <v>93.2</v>
      </c>
      <c r="DA142" s="32">
        <v>79.8</v>
      </c>
      <c r="DB142" s="32">
        <v>119</v>
      </c>
      <c r="DC142" s="32">
        <v>9.1999999999999993</v>
      </c>
      <c r="DD142" s="32">
        <v>9.1999999999999993</v>
      </c>
      <c r="DE142" s="32">
        <v>76</v>
      </c>
      <c r="DF142" s="32">
        <v>72.400000000000006</v>
      </c>
      <c r="DG142" s="32">
        <v>98.3</v>
      </c>
      <c r="DH142" s="32">
        <v>116.8</v>
      </c>
      <c r="DI142" s="32">
        <v>169.2</v>
      </c>
      <c r="DJ142" s="32">
        <v>93.6</v>
      </c>
      <c r="DK142" s="32">
        <v>93.6</v>
      </c>
      <c r="DL142" s="32">
        <v>61.2</v>
      </c>
      <c r="DM142" s="32">
        <v>74.099999999999994</v>
      </c>
      <c r="DN142" s="32">
        <v>57.5</v>
      </c>
      <c r="DO142" s="32">
        <v>82</v>
      </c>
      <c r="DP142" s="32">
        <v>50.5</v>
      </c>
      <c r="DQ142" s="32">
        <v>78.8</v>
      </c>
      <c r="DR142" s="32">
        <v>84.9</v>
      </c>
      <c r="DS142" s="32">
        <v>82.3</v>
      </c>
      <c r="DT142" s="32">
        <v>77.599999999999994</v>
      </c>
      <c r="DU142" s="32">
        <v>77.3</v>
      </c>
      <c r="DV142" s="32">
        <v>80</v>
      </c>
      <c r="DW142" s="32">
        <v>74</v>
      </c>
      <c r="DX142" s="32">
        <v>78.5</v>
      </c>
      <c r="DY142" s="32">
        <v>97.2</v>
      </c>
      <c r="DZ142" s="32">
        <v>134</v>
      </c>
      <c r="EA142" s="32">
        <v>134</v>
      </c>
      <c r="EB142" s="32">
        <v>77.099999999999994</v>
      </c>
      <c r="EC142" s="32">
        <v>76.7</v>
      </c>
      <c r="ED142" s="32">
        <v>78</v>
      </c>
      <c r="EE142" s="32">
        <v>81.599999999999994</v>
      </c>
      <c r="EF142" s="32">
        <v>68.3</v>
      </c>
      <c r="EG142" s="32">
        <v>70.099999999999994</v>
      </c>
      <c r="EH142" s="32">
        <v>69.8</v>
      </c>
      <c r="EI142" s="32">
        <v>69.599999999999994</v>
      </c>
      <c r="EJ142" s="32">
        <v>85.7</v>
      </c>
      <c r="EK142" s="32">
        <v>68.2</v>
      </c>
      <c r="EL142" s="32">
        <v>74.099999999999994</v>
      </c>
      <c r="EM142" s="32">
        <v>58.6</v>
      </c>
      <c r="EN142" s="32">
        <v>73.5</v>
      </c>
      <c r="EO142" s="32">
        <v>89.8</v>
      </c>
      <c r="EP142" s="32">
        <v>94.4</v>
      </c>
      <c r="EQ142" s="32">
        <v>94.4</v>
      </c>
      <c r="ER142" s="32">
        <v>87.4</v>
      </c>
      <c r="ES142" s="32">
        <v>87.4</v>
      </c>
      <c r="ET142" s="32">
        <v>88.8</v>
      </c>
      <c r="EU142" s="32">
        <v>87.5</v>
      </c>
      <c r="EV142" s="32">
        <v>87.5</v>
      </c>
      <c r="EW142" s="32">
        <v>91.8</v>
      </c>
      <c r="EX142" s="32">
        <v>101.8</v>
      </c>
      <c r="EY142" s="32">
        <v>84</v>
      </c>
      <c r="EZ142" s="32">
        <v>89.3</v>
      </c>
      <c r="FA142" s="32">
        <v>101.6</v>
      </c>
      <c r="FB142" s="32">
        <v>109.4</v>
      </c>
      <c r="FC142" s="32">
        <v>82.8</v>
      </c>
      <c r="FD142" s="32">
        <v>116.7</v>
      </c>
      <c r="FE142" s="32">
        <v>149.80000000000001</v>
      </c>
      <c r="FF142" s="32">
        <v>92.2</v>
      </c>
      <c r="FG142" s="32">
        <v>82.9</v>
      </c>
      <c r="FH142" s="32">
        <v>86</v>
      </c>
      <c r="FI142" s="32">
        <v>88.4</v>
      </c>
      <c r="FJ142" s="32">
        <v>80.900000000000006</v>
      </c>
      <c r="FK142" s="32">
        <v>61.3</v>
      </c>
      <c r="FL142" s="32">
        <v>61.3</v>
      </c>
    </row>
    <row r="143" spans="1:168" x14ac:dyDescent="0.2">
      <c r="A143" s="34" t="s">
        <v>1123</v>
      </c>
      <c r="B143" s="32">
        <v>86.6</v>
      </c>
      <c r="C143" s="32">
        <v>103.1</v>
      </c>
      <c r="D143" s="32">
        <v>98.6</v>
      </c>
      <c r="E143" s="32">
        <v>100.7</v>
      </c>
      <c r="F143" s="32">
        <v>174.1</v>
      </c>
      <c r="G143" s="32">
        <v>1064</v>
      </c>
      <c r="H143" s="32">
        <v>196.3</v>
      </c>
      <c r="I143" s="32">
        <v>70.900000000000006</v>
      </c>
      <c r="J143" s="32">
        <v>94.9</v>
      </c>
      <c r="K143" s="32">
        <v>93.9</v>
      </c>
      <c r="L143" s="32">
        <v>87.8</v>
      </c>
      <c r="M143" s="32">
        <v>75</v>
      </c>
      <c r="N143" s="32">
        <v>74.5</v>
      </c>
      <c r="O143" s="32">
        <v>58.4</v>
      </c>
      <c r="P143" s="32">
        <v>139.80000000000001</v>
      </c>
      <c r="Q143" s="32">
        <v>107.5</v>
      </c>
      <c r="R143" s="32">
        <v>95.4</v>
      </c>
      <c r="S143" s="32">
        <v>121.9</v>
      </c>
      <c r="T143" s="32">
        <v>62.1</v>
      </c>
      <c r="U143" s="32">
        <v>54.4</v>
      </c>
      <c r="V143" s="32">
        <v>144.69999999999999</v>
      </c>
      <c r="W143" s="32">
        <v>47.5</v>
      </c>
      <c r="X143" s="32">
        <v>43.6</v>
      </c>
      <c r="Y143" s="32">
        <v>40.799999999999997</v>
      </c>
      <c r="Z143" s="32">
        <v>103.5</v>
      </c>
      <c r="AA143" s="32">
        <v>91.3</v>
      </c>
      <c r="AB143" s="32">
        <v>80.3</v>
      </c>
      <c r="AC143" s="32">
        <v>71</v>
      </c>
      <c r="AD143" s="32">
        <v>118</v>
      </c>
      <c r="AE143" s="32">
        <v>95.1</v>
      </c>
      <c r="AF143" s="32">
        <v>95.1</v>
      </c>
      <c r="AG143" s="32">
        <v>62.6</v>
      </c>
      <c r="AH143" s="32">
        <v>62.6</v>
      </c>
      <c r="AI143" s="32">
        <v>116</v>
      </c>
      <c r="AJ143" s="32">
        <v>37</v>
      </c>
      <c r="AK143" s="32">
        <v>49.4</v>
      </c>
      <c r="AL143" s="32">
        <v>100.2</v>
      </c>
      <c r="AM143" s="32">
        <v>54.2</v>
      </c>
      <c r="AN143" s="32">
        <v>128.69999999999999</v>
      </c>
      <c r="AO143" s="32">
        <v>141.1</v>
      </c>
      <c r="AP143" s="32">
        <v>141.1</v>
      </c>
      <c r="AQ143" s="32">
        <v>85.1</v>
      </c>
      <c r="AR143" s="32">
        <v>82.4</v>
      </c>
      <c r="AS143" s="32">
        <v>90.7</v>
      </c>
      <c r="AT143" s="32">
        <v>98.7</v>
      </c>
      <c r="AU143" s="32">
        <v>83.2</v>
      </c>
      <c r="AV143" s="32">
        <v>101.9</v>
      </c>
      <c r="AW143" s="32">
        <v>142.69999999999999</v>
      </c>
      <c r="AX143" s="32">
        <v>59.7</v>
      </c>
      <c r="AY143" s="32">
        <v>421.6</v>
      </c>
      <c r="AZ143" s="32">
        <v>95</v>
      </c>
      <c r="BA143" s="32">
        <v>83.2</v>
      </c>
      <c r="BB143" s="32">
        <v>83.2</v>
      </c>
      <c r="BC143" s="32">
        <v>114.6</v>
      </c>
      <c r="BD143" s="32">
        <v>114.6</v>
      </c>
      <c r="BE143" s="32">
        <v>117.2</v>
      </c>
      <c r="BF143" s="32">
        <v>117.2</v>
      </c>
      <c r="BG143" s="32">
        <v>117.6</v>
      </c>
      <c r="BH143" s="32">
        <v>110.5</v>
      </c>
      <c r="BI143" s="32">
        <v>122.7</v>
      </c>
      <c r="BJ143" s="32">
        <v>64.599999999999994</v>
      </c>
      <c r="BK143" s="32">
        <v>155.1</v>
      </c>
      <c r="BL143" s="32">
        <v>62.3</v>
      </c>
      <c r="BM143" s="32">
        <v>95.1</v>
      </c>
      <c r="BN143" s="32">
        <v>103.2</v>
      </c>
      <c r="BO143" s="32">
        <v>96.6</v>
      </c>
      <c r="BP143" s="32">
        <v>109.9</v>
      </c>
      <c r="BQ143" s="32">
        <v>84.5</v>
      </c>
      <c r="BR143" s="32">
        <v>73.3</v>
      </c>
      <c r="BS143" s="32">
        <v>116.7</v>
      </c>
      <c r="BT143" s="32">
        <v>75.5</v>
      </c>
      <c r="BU143" s="32">
        <v>85.7</v>
      </c>
      <c r="BV143" s="32">
        <v>85.7</v>
      </c>
      <c r="BW143" s="32">
        <v>122.3</v>
      </c>
      <c r="BX143" s="32">
        <v>35.1</v>
      </c>
      <c r="BY143" s="32">
        <v>99.8</v>
      </c>
      <c r="BZ143" s="32">
        <v>98</v>
      </c>
      <c r="CA143" s="32">
        <v>100.8</v>
      </c>
      <c r="CB143" s="32">
        <v>111.9</v>
      </c>
      <c r="CC143" s="32">
        <v>96.3</v>
      </c>
      <c r="CD143" s="32">
        <v>20</v>
      </c>
      <c r="CE143" s="32">
        <v>92.8</v>
      </c>
      <c r="CF143" s="32">
        <v>83.6</v>
      </c>
      <c r="CG143" s="32">
        <v>94.9</v>
      </c>
      <c r="CH143" s="32">
        <v>95.7</v>
      </c>
      <c r="CI143" s="32">
        <v>102.5</v>
      </c>
      <c r="CJ143" s="32">
        <v>97.2</v>
      </c>
      <c r="CK143" s="32">
        <v>93</v>
      </c>
      <c r="CL143" s="32">
        <v>99.7</v>
      </c>
      <c r="CM143" s="32">
        <v>107</v>
      </c>
      <c r="CN143" s="32">
        <v>70.900000000000006</v>
      </c>
      <c r="CO143" s="32">
        <v>116.8</v>
      </c>
      <c r="CP143" s="32">
        <v>121.2</v>
      </c>
      <c r="CQ143" s="32">
        <v>34.6</v>
      </c>
      <c r="CR143" s="32">
        <v>101</v>
      </c>
      <c r="CS143" s="32">
        <v>116.2</v>
      </c>
      <c r="CT143" s="32">
        <v>86.8</v>
      </c>
      <c r="CU143" s="32">
        <v>65.5</v>
      </c>
      <c r="CV143" s="32">
        <v>96.4</v>
      </c>
      <c r="CW143" s="32">
        <v>41.7</v>
      </c>
      <c r="CX143" s="32">
        <v>98.8</v>
      </c>
      <c r="CY143" s="32">
        <v>104.2</v>
      </c>
      <c r="CZ143" s="32">
        <v>96.4</v>
      </c>
      <c r="DA143" s="32">
        <v>83.6</v>
      </c>
      <c r="DB143" s="32">
        <v>120.9</v>
      </c>
      <c r="DC143" s="32">
        <v>9.4</v>
      </c>
      <c r="DD143" s="32">
        <v>9.4</v>
      </c>
      <c r="DE143" s="32">
        <v>73.900000000000006</v>
      </c>
      <c r="DF143" s="32">
        <v>70.5</v>
      </c>
      <c r="DG143" s="32">
        <v>94.7</v>
      </c>
      <c r="DH143" s="32">
        <v>119.2</v>
      </c>
      <c r="DI143" s="32">
        <v>173.1</v>
      </c>
      <c r="DJ143" s="32">
        <v>93</v>
      </c>
      <c r="DK143" s="32">
        <v>93</v>
      </c>
      <c r="DL143" s="32">
        <v>64.2</v>
      </c>
      <c r="DM143" s="32">
        <v>74.599999999999994</v>
      </c>
      <c r="DN143" s="32">
        <v>59</v>
      </c>
      <c r="DO143" s="32">
        <v>82</v>
      </c>
      <c r="DP143" s="32">
        <v>51.1</v>
      </c>
      <c r="DQ143" s="32">
        <v>77.599999999999994</v>
      </c>
      <c r="DR143" s="32">
        <v>83.9</v>
      </c>
      <c r="DS143" s="32">
        <v>81.900000000000006</v>
      </c>
      <c r="DT143" s="32">
        <v>77.900000000000006</v>
      </c>
      <c r="DU143" s="32">
        <v>78.3</v>
      </c>
      <c r="DV143" s="32">
        <v>83.9</v>
      </c>
      <c r="DW143" s="32">
        <v>71.8</v>
      </c>
      <c r="DX143" s="32">
        <v>77</v>
      </c>
      <c r="DY143" s="32">
        <v>95.1</v>
      </c>
      <c r="DZ143" s="32">
        <v>124.2</v>
      </c>
      <c r="EA143" s="32">
        <v>124.2</v>
      </c>
      <c r="EB143" s="32">
        <v>77.099999999999994</v>
      </c>
      <c r="EC143" s="32">
        <v>77.099999999999994</v>
      </c>
      <c r="ED143" s="32">
        <v>77.5</v>
      </c>
      <c r="EE143" s="32">
        <v>80.5</v>
      </c>
      <c r="EF143" s="32">
        <v>69.400000000000006</v>
      </c>
      <c r="EG143" s="32">
        <v>68.599999999999994</v>
      </c>
      <c r="EH143" s="32">
        <v>68</v>
      </c>
      <c r="EI143" s="32">
        <v>68.3</v>
      </c>
      <c r="EJ143" s="32">
        <v>75.099999999999994</v>
      </c>
      <c r="EK143" s="32">
        <v>68.5</v>
      </c>
      <c r="EL143" s="32">
        <v>71.8</v>
      </c>
      <c r="EM143" s="32">
        <v>60.1</v>
      </c>
      <c r="EN143" s="32">
        <v>73.3</v>
      </c>
      <c r="EO143" s="32">
        <v>89.8</v>
      </c>
      <c r="EP143" s="32">
        <v>94.1</v>
      </c>
      <c r="EQ143" s="32">
        <v>94.1</v>
      </c>
      <c r="ER143" s="32">
        <v>87.5</v>
      </c>
      <c r="ES143" s="32">
        <v>87.5</v>
      </c>
      <c r="ET143" s="32">
        <v>88.8</v>
      </c>
      <c r="EU143" s="32">
        <v>87.5</v>
      </c>
      <c r="EV143" s="32">
        <v>87.5</v>
      </c>
      <c r="EW143" s="32">
        <v>91.9</v>
      </c>
      <c r="EX143" s="32">
        <v>102</v>
      </c>
      <c r="EY143" s="32">
        <v>83.9</v>
      </c>
      <c r="EZ143" s="32">
        <v>88.8</v>
      </c>
      <c r="FA143" s="32">
        <v>99.6</v>
      </c>
      <c r="FB143" s="32">
        <v>103.5</v>
      </c>
      <c r="FC143" s="32">
        <v>75.7</v>
      </c>
      <c r="FD143" s="32">
        <v>115.8</v>
      </c>
      <c r="FE143" s="32">
        <v>143.5</v>
      </c>
      <c r="FF143" s="32">
        <v>95</v>
      </c>
      <c r="FG143" s="32">
        <v>82.9</v>
      </c>
      <c r="FH143" s="32">
        <v>82.3</v>
      </c>
      <c r="FI143" s="32">
        <v>85.1</v>
      </c>
      <c r="FJ143" s="32">
        <v>82.8</v>
      </c>
      <c r="FK143" s="32">
        <v>66.900000000000006</v>
      </c>
      <c r="FL143" s="32">
        <v>66.900000000000006</v>
      </c>
    </row>
    <row r="144" spans="1:168" x14ac:dyDescent="0.2">
      <c r="A144" s="34" t="s">
        <v>1124</v>
      </c>
      <c r="B144" s="32">
        <v>86.1</v>
      </c>
      <c r="C144" s="32">
        <v>103.1</v>
      </c>
      <c r="D144" s="32">
        <v>98.9</v>
      </c>
      <c r="E144" s="32">
        <v>101.5</v>
      </c>
      <c r="F144" s="32">
        <v>166.6</v>
      </c>
      <c r="G144" s="32">
        <v>1684.4</v>
      </c>
      <c r="H144" s="32">
        <v>185.5</v>
      </c>
      <c r="I144" s="32">
        <v>71.5</v>
      </c>
      <c r="J144" s="32">
        <v>95.8</v>
      </c>
      <c r="K144" s="32">
        <v>93.2</v>
      </c>
      <c r="L144" s="32">
        <v>87.8</v>
      </c>
      <c r="M144" s="32">
        <v>76.3</v>
      </c>
      <c r="N144" s="32">
        <v>74.900000000000006</v>
      </c>
      <c r="O144" s="32">
        <v>67.099999999999994</v>
      </c>
      <c r="P144" s="32">
        <v>143.6</v>
      </c>
      <c r="Q144" s="32">
        <v>103.9</v>
      </c>
      <c r="R144" s="32">
        <v>94</v>
      </c>
      <c r="S144" s="32">
        <v>121.9</v>
      </c>
      <c r="T144" s="32">
        <v>61.2</v>
      </c>
      <c r="U144" s="32">
        <v>50.7</v>
      </c>
      <c r="V144" s="32">
        <v>141.30000000000001</v>
      </c>
      <c r="W144" s="32">
        <v>47.7</v>
      </c>
      <c r="X144" s="32">
        <v>44.2</v>
      </c>
      <c r="Y144" s="32">
        <v>41.4</v>
      </c>
      <c r="Z144" s="32">
        <v>96.5</v>
      </c>
      <c r="AA144" s="32">
        <v>90.7</v>
      </c>
      <c r="AB144" s="32">
        <v>81.099999999999994</v>
      </c>
      <c r="AC144" s="32">
        <v>72.900000000000006</v>
      </c>
      <c r="AD144" s="32">
        <v>115</v>
      </c>
      <c r="AE144" s="32">
        <v>89.6</v>
      </c>
      <c r="AF144" s="32">
        <v>89.6</v>
      </c>
      <c r="AG144" s="32">
        <v>65.900000000000006</v>
      </c>
      <c r="AH144" s="32">
        <v>65.900000000000006</v>
      </c>
      <c r="AI144" s="32">
        <v>110.7</v>
      </c>
      <c r="AJ144" s="32">
        <v>42.4</v>
      </c>
      <c r="AK144" s="32">
        <v>56.8</v>
      </c>
      <c r="AL144" s="32">
        <v>94.6</v>
      </c>
      <c r="AM144" s="32">
        <v>57.5</v>
      </c>
      <c r="AN144" s="32">
        <v>121.9</v>
      </c>
      <c r="AO144" s="32">
        <v>146.1</v>
      </c>
      <c r="AP144" s="32">
        <v>146.1</v>
      </c>
      <c r="AQ144" s="32">
        <v>82.7</v>
      </c>
      <c r="AR144" s="32">
        <v>81.900000000000006</v>
      </c>
      <c r="AS144" s="32">
        <v>85.3</v>
      </c>
      <c r="AT144" s="32">
        <v>93.4</v>
      </c>
      <c r="AU144" s="32">
        <v>77.7</v>
      </c>
      <c r="AV144" s="32">
        <v>103.8</v>
      </c>
      <c r="AW144" s="32">
        <v>143.1</v>
      </c>
      <c r="AX144" s="32">
        <v>65.7</v>
      </c>
      <c r="AY144" s="32">
        <v>404.9</v>
      </c>
      <c r="AZ144" s="32">
        <v>97.2</v>
      </c>
      <c r="BA144" s="32">
        <v>83.2</v>
      </c>
      <c r="BB144" s="32">
        <v>83.2</v>
      </c>
      <c r="BC144" s="32">
        <v>114.7</v>
      </c>
      <c r="BD144" s="32">
        <v>114.7</v>
      </c>
      <c r="BE144" s="32">
        <v>117</v>
      </c>
      <c r="BF144" s="32">
        <v>117</v>
      </c>
      <c r="BG144" s="32">
        <v>121.6</v>
      </c>
      <c r="BH144" s="32">
        <v>116.2</v>
      </c>
      <c r="BI144" s="32">
        <v>124.8</v>
      </c>
      <c r="BJ144" s="32">
        <v>66</v>
      </c>
      <c r="BK144" s="32">
        <v>156.9</v>
      </c>
      <c r="BL144" s="32">
        <v>66.099999999999994</v>
      </c>
      <c r="BM144" s="32">
        <v>96.7</v>
      </c>
      <c r="BN144" s="32">
        <v>103.6</v>
      </c>
      <c r="BO144" s="32">
        <v>94</v>
      </c>
      <c r="BP144" s="32">
        <v>113.3</v>
      </c>
      <c r="BQ144" s="32">
        <v>87.7</v>
      </c>
      <c r="BR144" s="32">
        <v>58.6</v>
      </c>
      <c r="BS144" s="32">
        <v>134.69999999999999</v>
      </c>
      <c r="BT144" s="32">
        <v>78.8</v>
      </c>
      <c r="BU144" s="32">
        <v>88.3</v>
      </c>
      <c r="BV144" s="32">
        <v>88.3</v>
      </c>
      <c r="BW144" s="32">
        <v>124.2</v>
      </c>
      <c r="BX144" s="32">
        <v>37.700000000000003</v>
      </c>
      <c r="BY144" s="32">
        <v>103.2</v>
      </c>
      <c r="BZ144" s="32">
        <v>100.1</v>
      </c>
      <c r="CA144" s="32">
        <v>104.8</v>
      </c>
      <c r="CB144" s="32">
        <v>115</v>
      </c>
      <c r="CC144" s="32">
        <v>101.4</v>
      </c>
      <c r="CD144" s="32">
        <v>20.5</v>
      </c>
      <c r="CE144" s="32">
        <v>91.8</v>
      </c>
      <c r="CF144" s="32">
        <v>83</v>
      </c>
      <c r="CG144" s="32">
        <v>93.1</v>
      </c>
      <c r="CH144" s="32">
        <v>93.4</v>
      </c>
      <c r="CI144" s="32">
        <v>95.6</v>
      </c>
      <c r="CJ144" s="32">
        <v>94.5</v>
      </c>
      <c r="CK144" s="32">
        <v>92.5</v>
      </c>
      <c r="CL144" s="32">
        <v>97.5</v>
      </c>
      <c r="CM144" s="32">
        <v>104.9</v>
      </c>
      <c r="CN144" s="32">
        <v>70.900000000000006</v>
      </c>
      <c r="CO144" s="32">
        <v>114.2</v>
      </c>
      <c r="CP144" s="32">
        <v>122.2</v>
      </c>
      <c r="CQ144" s="32">
        <v>32.299999999999997</v>
      </c>
      <c r="CR144" s="32">
        <v>97.1</v>
      </c>
      <c r="CS144" s="32">
        <v>116.4</v>
      </c>
      <c r="CT144" s="32">
        <v>86.9</v>
      </c>
      <c r="CU144" s="32">
        <v>64</v>
      </c>
      <c r="CV144" s="32">
        <v>97.2</v>
      </c>
      <c r="CW144" s="32">
        <v>42</v>
      </c>
      <c r="CX144" s="32">
        <v>96.1</v>
      </c>
      <c r="CY144" s="32">
        <v>100.4</v>
      </c>
      <c r="CZ144" s="32">
        <v>94.3</v>
      </c>
      <c r="DA144" s="32">
        <v>80.599999999999994</v>
      </c>
      <c r="DB144" s="32">
        <v>120.6</v>
      </c>
      <c r="DC144" s="32">
        <v>9.8000000000000007</v>
      </c>
      <c r="DD144" s="32">
        <v>9.8000000000000007</v>
      </c>
      <c r="DE144" s="32">
        <v>74.5</v>
      </c>
      <c r="DF144" s="32">
        <v>70.8</v>
      </c>
      <c r="DG144" s="32">
        <v>97.5</v>
      </c>
      <c r="DH144" s="32">
        <v>116.5</v>
      </c>
      <c r="DI144" s="32">
        <v>167.4</v>
      </c>
      <c r="DJ144" s="32">
        <v>91.6</v>
      </c>
      <c r="DK144" s="32">
        <v>91.6</v>
      </c>
      <c r="DL144" s="32">
        <v>64.099999999999994</v>
      </c>
      <c r="DM144" s="32">
        <v>74.099999999999994</v>
      </c>
      <c r="DN144" s="32">
        <v>59</v>
      </c>
      <c r="DO144" s="32">
        <v>81.5</v>
      </c>
      <c r="DP144" s="32">
        <v>48.3</v>
      </c>
      <c r="DQ144" s="32">
        <v>77.8</v>
      </c>
      <c r="DR144" s="32">
        <v>83.5</v>
      </c>
      <c r="DS144" s="32">
        <v>81.5</v>
      </c>
      <c r="DT144" s="32">
        <v>77.900000000000006</v>
      </c>
      <c r="DU144" s="32">
        <v>76.900000000000006</v>
      </c>
      <c r="DV144" s="32">
        <v>82.8</v>
      </c>
      <c r="DW144" s="32">
        <v>69.900000000000006</v>
      </c>
      <c r="DX144" s="32">
        <v>80.3</v>
      </c>
      <c r="DY144" s="32">
        <v>93.3</v>
      </c>
      <c r="DZ144" s="32">
        <v>128.6</v>
      </c>
      <c r="EA144" s="32">
        <v>128.6</v>
      </c>
      <c r="EB144" s="32">
        <v>75.099999999999994</v>
      </c>
      <c r="EC144" s="32">
        <v>75.900000000000006</v>
      </c>
      <c r="ED144" s="32">
        <v>74.599999999999994</v>
      </c>
      <c r="EE144" s="32">
        <v>77.099999999999994</v>
      </c>
      <c r="EF144" s="32">
        <v>67.900000000000006</v>
      </c>
      <c r="EG144" s="32">
        <v>69.599999999999994</v>
      </c>
      <c r="EH144" s="32">
        <v>74.2</v>
      </c>
      <c r="EI144" s="32">
        <v>68.7</v>
      </c>
      <c r="EJ144" s="32">
        <v>77.900000000000006</v>
      </c>
      <c r="EK144" s="32">
        <v>66.7</v>
      </c>
      <c r="EL144" s="32">
        <v>70.3</v>
      </c>
      <c r="EM144" s="32">
        <v>59.5</v>
      </c>
      <c r="EN144" s="32">
        <v>70.5</v>
      </c>
      <c r="EO144" s="32">
        <v>89.5</v>
      </c>
      <c r="EP144" s="32">
        <v>93.9</v>
      </c>
      <c r="EQ144" s="32">
        <v>93.9</v>
      </c>
      <c r="ER144" s="32">
        <v>87.6</v>
      </c>
      <c r="ES144" s="32">
        <v>87.6</v>
      </c>
      <c r="ET144" s="32">
        <v>88.2</v>
      </c>
      <c r="EU144" s="32">
        <v>86.9</v>
      </c>
      <c r="EV144" s="32">
        <v>86.9</v>
      </c>
      <c r="EW144" s="32">
        <v>91.4</v>
      </c>
      <c r="EX144" s="32">
        <v>102</v>
      </c>
      <c r="EY144" s="32">
        <v>83.1</v>
      </c>
      <c r="EZ144" s="32">
        <v>89.8</v>
      </c>
      <c r="FA144" s="32">
        <v>101.9</v>
      </c>
      <c r="FB144" s="32">
        <v>108.7</v>
      </c>
      <c r="FC144" s="32">
        <v>89.2</v>
      </c>
      <c r="FD144" s="32">
        <v>117.3</v>
      </c>
      <c r="FE144" s="32">
        <v>136.19999999999999</v>
      </c>
      <c r="FF144" s="32">
        <v>93.8</v>
      </c>
      <c r="FG144" s="32">
        <v>83.6</v>
      </c>
      <c r="FH144" s="32">
        <v>84.6</v>
      </c>
      <c r="FI144" s="32">
        <v>85.2</v>
      </c>
      <c r="FJ144" s="32">
        <v>82.9</v>
      </c>
      <c r="FK144" s="32">
        <v>61.5</v>
      </c>
      <c r="FL144" s="32">
        <v>61.5</v>
      </c>
    </row>
    <row r="145" spans="1:168" x14ac:dyDescent="0.2">
      <c r="A145" s="34" t="s">
        <v>1125</v>
      </c>
      <c r="B145" s="32">
        <v>85.8</v>
      </c>
      <c r="C145" s="32">
        <v>103.2</v>
      </c>
      <c r="D145" s="32">
        <v>98</v>
      </c>
      <c r="E145" s="32">
        <v>100.8</v>
      </c>
      <c r="F145" s="32">
        <v>168.1</v>
      </c>
      <c r="G145" s="32">
        <v>3313.5</v>
      </c>
      <c r="H145" s="32">
        <v>186.4</v>
      </c>
      <c r="I145" s="32">
        <v>70.599999999999994</v>
      </c>
      <c r="J145" s="32">
        <v>94.3</v>
      </c>
      <c r="K145" s="32">
        <v>94.7</v>
      </c>
      <c r="L145" s="32">
        <v>87.6</v>
      </c>
      <c r="M145" s="32">
        <v>76.5</v>
      </c>
      <c r="N145" s="32">
        <v>75.099999999999994</v>
      </c>
      <c r="O145" s="32">
        <v>70.5</v>
      </c>
      <c r="P145" s="32">
        <v>151.30000000000001</v>
      </c>
      <c r="Q145" s="32">
        <v>111.8</v>
      </c>
      <c r="R145" s="32">
        <v>92.6</v>
      </c>
      <c r="S145" s="32">
        <v>118.6</v>
      </c>
      <c r="T145" s="32">
        <v>61.6</v>
      </c>
      <c r="U145" s="32">
        <v>55.4</v>
      </c>
      <c r="V145" s="32">
        <v>150.80000000000001</v>
      </c>
      <c r="W145" s="32">
        <v>48</v>
      </c>
      <c r="X145" s="32">
        <v>43.3</v>
      </c>
      <c r="Y145" s="32">
        <v>44.2</v>
      </c>
      <c r="Z145" s="32">
        <v>97</v>
      </c>
      <c r="AA145" s="32">
        <v>89.5</v>
      </c>
      <c r="AB145" s="32">
        <v>80.2</v>
      </c>
      <c r="AC145" s="32">
        <v>72.400000000000006</v>
      </c>
      <c r="AD145" s="32">
        <v>112.8</v>
      </c>
      <c r="AE145" s="32">
        <v>92.9</v>
      </c>
      <c r="AF145" s="32">
        <v>92.9</v>
      </c>
      <c r="AG145" s="32">
        <v>64.7</v>
      </c>
      <c r="AH145" s="32">
        <v>64.7</v>
      </c>
      <c r="AI145" s="32">
        <v>105.3</v>
      </c>
      <c r="AJ145" s="32">
        <v>41.9</v>
      </c>
      <c r="AK145" s="32">
        <v>63.5</v>
      </c>
      <c r="AL145" s="32">
        <v>97.4</v>
      </c>
      <c r="AM145" s="32">
        <v>56.2</v>
      </c>
      <c r="AN145" s="32">
        <v>113.9</v>
      </c>
      <c r="AO145" s="32">
        <v>138.5</v>
      </c>
      <c r="AP145" s="32">
        <v>138.5</v>
      </c>
      <c r="AQ145" s="32">
        <v>80.7</v>
      </c>
      <c r="AR145" s="32">
        <v>80.7</v>
      </c>
      <c r="AS145" s="32">
        <v>82.3</v>
      </c>
      <c r="AT145" s="32">
        <v>88.4</v>
      </c>
      <c r="AU145" s="32">
        <v>76.5</v>
      </c>
      <c r="AV145" s="32">
        <v>99.8</v>
      </c>
      <c r="AW145" s="32">
        <v>133.30000000000001</v>
      </c>
      <c r="AX145" s="32">
        <v>57.6</v>
      </c>
      <c r="AY145" s="32">
        <v>388.5</v>
      </c>
      <c r="AZ145" s="32">
        <v>94.4</v>
      </c>
      <c r="BA145" s="32">
        <v>84.8</v>
      </c>
      <c r="BB145" s="32">
        <v>84.8</v>
      </c>
      <c r="BC145" s="32">
        <v>116.4</v>
      </c>
      <c r="BD145" s="32">
        <v>116.4</v>
      </c>
      <c r="BE145" s="32">
        <v>113.2</v>
      </c>
      <c r="BF145" s="32">
        <v>113.2</v>
      </c>
      <c r="BG145" s="32">
        <v>118.6</v>
      </c>
      <c r="BH145" s="32">
        <v>111.3</v>
      </c>
      <c r="BI145" s="32">
        <v>123.8</v>
      </c>
      <c r="BJ145" s="32">
        <v>67.7</v>
      </c>
      <c r="BK145" s="32">
        <v>154.30000000000001</v>
      </c>
      <c r="BL145" s="32">
        <v>67.099999999999994</v>
      </c>
      <c r="BM145" s="32">
        <v>94.2</v>
      </c>
      <c r="BN145" s="32">
        <v>102</v>
      </c>
      <c r="BO145" s="32">
        <v>92.1</v>
      </c>
      <c r="BP145" s="32">
        <v>112</v>
      </c>
      <c r="BQ145" s="32">
        <v>83.9</v>
      </c>
      <c r="BR145" s="32">
        <v>70.3</v>
      </c>
      <c r="BS145" s="32">
        <v>112</v>
      </c>
      <c r="BT145" s="32">
        <v>76</v>
      </c>
      <c r="BU145" s="32">
        <v>87.2</v>
      </c>
      <c r="BV145" s="32">
        <v>87.2</v>
      </c>
      <c r="BW145" s="32">
        <v>122.9</v>
      </c>
      <c r="BX145" s="32">
        <v>37</v>
      </c>
      <c r="BY145" s="32">
        <v>109.8</v>
      </c>
      <c r="BZ145" s="32">
        <v>97.4</v>
      </c>
      <c r="CA145" s="32">
        <v>116.3</v>
      </c>
      <c r="CB145" s="32">
        <v>127.5</v>
      </c>
      <c r="CC145" s="32">
        <v>112.6</v>
      </c>
      <c r="CD145" s="32">
        <v>23.4</v>
      </c>
      <c r="CE145" s="32">
        <v>90.4</v>
      </c>
      <c r="CF145" s="32">
        <v>82.8</v>
      </c>
      <c r="CG145" s="32">
        <v>92.6</v>
      </c>
      <c r="CH145" s="32">
        <v>92.7</v>
      </c>
      <c r="CI145" s="32">
        <v>94.1</v>
      </c>
      <c r="CJ145" s="32">
        <v>94.5</v>
      </c>
      <c r="CK145" s="32">
        <v>91.6</v>
      </c>
      <c r="CL145" s="32">
        <v>97</v>
      </c>
      <c r="CM145" s="32">
        <v>102.6</v>
      </c>
      <c r="CN145" s="32">
        <v>70.3</v>
      </c>
      <c r="CO145" s="32">
        <v>111.5</v>
      </c>
      <c r="CP145" s="32">
        <v>124</v>
      </c>
      <c r="CQ145" s="32">
        <v>31.6</v>
      </c>
      <c r="CR145" s="32">
        <v>97.5</v>
      </c>
      <c r="CS145" s="32">
        <v>117.7</v>
      </c>
      <c r="CT145" s="32">
        <v>87.5</v>
      </c>
      <c r="CU145" s="32">
        <v>63.7</v>
      </c>
      <c r="CV145" s="32">
        <v>98.2</v>
      </c>
      <c r="CW145" s="32">
        <v>42.4</v>
      </c>
      <c r="CX145" s="32">
        <v>97.8</v>
      </c>
      <c r="CY145" s="32">
        <v>101</v>
      </c>
      <c r="CZ145" s="32">
        <v>96.7</v>
      </c>
      <c r="DA145" s="32">
        <v>82</v>
      </c>
      <c r="DB145" s="32">
        <v>125.3</v>
      </c>
      <c r="DC145" s="32">
        <v>9.9</v>
      </c>
      <c r="DD145" s="32">
        <v>9.9</v>
      </c>
      <c r="DE145" s="32">
        <v>74</v>
      </c>
      <c r="DF145" s="32">
        <v>70.7</v>
      </c>
      <c r="DG145" s="32">
        <v>93.9</v>
      </c>
      <c r="DH145" s="32">
        <v>115</v>
      </c>
      <c r="DI145" s="32">
        <v>166.5</v>
      </c>
      <c r="DJ145" s="32">
        <v>89.2</v>
      </c>
      <c r="DK145" s="32">
        <v>89.2</v>
      </c>
      <c r="DL145" s="32">
        <v>63</v>
      </c>
      <c r="DM145" s="32">
        <v>74.599999999999994</v>
      </c>
      <c r="DN145" s="32">
        <v>59.4</v>
      </c>
      <c r="DO145" s="32">
        <v>82</v>
      </c>
      <c r="DP145" s="32">
        <v>48.8</v>
      </c>
      <c r="DQ145" s="32">
        <v>77.400000000000006</v>
      </c>
      <c r="DR145" s="32">
        <v>83.1</v>
      </c>
      <c r="DS145" s="32">
        <v>82</v>
      </c>
      <c r="DT145" s="32">
        <v>77.5</v>
      </c>
      <c r="DU145" s="32">
        <v>76.5</v>
      </c>
      <c r="DV145" s="32">
        <v>81</v>
      </c>
      <c r="DW145" s="32">
        <v>71.2</v>
      </c>
      <c r="DX145" s="32">
        <v>79.900000000000006</v>
      </c>
      <c r="DY145" s="32">
        <v>96.3</v>
      </c>
      <c r="DZ145" s="32">
        <v>124.7</v>
      </c>
      <c r="EA145" s="32">
        <v>124.7</v>
      </c>
      <c r="EB145" s="32">
        <v>73</v>
      </c>
      <c r="EC145" s="32">
        <v>73.7</v>
      </c>
      <c r="ED145" s="32">
        <v>72.5</v>
      </c>
      <c r="EE145" s="32">
        <v>73.400000000000006</v>
      </c>
      <c r="EF145" s="32">
        <v>70</v>
      </c>
      <c r="EG145" s="32">
        <v>69.2</v>
      </c>
      <c r="EH145" s="32">
        <v>72</v>
      </c>
      <c r="EI145" s="32">
        <v>68.599999999999994</v>
      </c>
      <c r="EJ145" s="32">
        <v>81.8</v>
      </c>
      <c r="EK145" s="32">
        <v>66.3</v>
      </c>
      <c r="EL145" s="32">
        <v>73.599999999999994</v>
      </c>
      <c r="EM145" s="32">
        <v>62.6</v>
      </c>
      <c r="EN145" s="32">
        <v>66.5</v>
      </c>
      <c r="EO145" s="32">
        <v>89.2</v>
      </c>
      <c r="EP145" s="32">
        <v>94.4</v>
      </c>
      <c r="EQ145" s="32">
        <v>94.4</v>
      </c>
      <c r="ER145" s="32">
        <v>86.6</v>
      </c>
      <c r="ES145" s="32">
        <v>86.6</v>
      </c>
      <c r="ET145" s="32">
        <v>88</v>
      </c>
      <c r="EU145" s="32">
        <v>86.8</v>
      </c>
      <c r="EV145" s="32">
        <v>86.8</v>
      </c>
      <c r="EW145" s="32">
        <v>90.8</v>
      </c>
      <c r="EX145" s="32">
        <v>101.9</v>
      </c>
      <c r="EY145" s="32">
        <v>82.1</v>
      </c>
      <c r="EZ145" s="32">
        <v>89</v>
      </c>
      <c r="FA145" s="32">
        <v>100.9</v>
      </c>
      <c r="FB145" s="32">
        <v>107.3</v>
      </c>
      <c r="FC145" s="32">
        <v>90</v>
      </c>
      <c r="FD145" s="32">
        <v>117.6</v>
      </c>
      <c r="FE145" s="32">
        <v>130.4</v>
      </c>
      <c r="FF145" s="32">
        <v>93.3</v>
      </c>
      <c r="FG145" s="32">
        <v>82.4</v>
      </c>
      <c r="FH145" s="32">
        <v>85.7</v>
      </c>
      <c r="FI145" s="32">
        <v>80.5</v>
      </c>
      <c r="FJ145" s="32">
        <v>81.3</v>
      </c>
      <c r="FK145" s="32">
        <v>64.400000000000006</v>
      </c>
      <c r="FL145" s="32">
        <v>64.400000000000006</v>
      </c>
    </row>
    <row r="146" spans="1:168" x14ac:dyDescent="0.2">
      <c r="A146" s="34" t="s">
        <v>1126</v>
      </c>
      <c r="B146" s="32">
        <v>84.8</v>
      </c>
      <c r="C146" s="32">
        <v>103.2</v>
      </c>
      <c r="D146" s="32">
        <v>97.1</v>
      </c>
      <c r="E146" s="32">
        <v>100.4</v>
      </c>
      <c r="F146" s="32">
        <v>177.6</v>
      </c>
      <c r="G146" s="32">
        <v>2683.7</v>
      </c>
      <c r="H146" s="32">
        <v>200.4</v>
      </c>
      <c r="I146" s="32">
        <v>69</v>
      </c>
      <c r="J146" s="32">
        <v>93.9</v>
      </c>
      <c r="K146" s="32">
        <v>95.7</v>
      </c>
      <c r="L146" s="32">
        <v>88.4</v>
      </c>
      <c r="M146" s="32">
        <v>81.3</v>
      </c>
      <c r="N146" s="32">
        <v>75.599999999999994</v>
      </c>
      <c r="O146" s="32">
        <v>74.5</v>
      </c>
      <c r="P146" s="32">
        <v>150.80000000000001</v>
      </c>
      <c r="Q146" s="32">
        <v>117.8</v>
      </c>
      <c r="R146" s="32">
        <v>91.6</v>
      </c>
      <c r="S146" s="32">
        <v>118.1</v>
      </c>
      <c r="T146" s="32">
        <v>64.3</v>
      </c>
      <c r="U146" s="32">
        <v>54</v>
      </c>
      <c r="V146" s="32">
        <v>154.69999999999999</v>
      </c>
      <c r="W146" s="32">
        <v>48.5</v>
      </c>
      <c r="X146" s="32">
        <v>44.3</v>
      </c>
      <c r="Y146" s="32">
        <v>43.7</v>
      </c>
      <c r="Z146" s="32">
        <v>95.4</v>
      </c>
      <c r="AA146" s="32">
        <v>89.8</v>
      </c>
      <c r="AB146" s="32">
        <v>76.599999999999994</v>
      </c>
      <c r="AC146" s="32">
        <v>72.8</v>
      </c>
      <c r="AD146" s="32">
        <v>115.5</v>
      </c>
      <c r="AE146" s="32">
        <v>98.2</v>
      </c>
      <c r="AF146" s="32">
        <v>98.2</v>
      </c>
      <c r="AG146" s="32">
        <v>64.900000000000006</v>
      </c>
      <c r="AH146" s="32">
        <v>64.900000000000006</v>
      </c>
      <c r="AI146" s="32">
        <v>105.9</v>
      </c>
      <c r="AJ146" s="32">
        <v>42.5</v>
      </c>
      <c r="AK146" s="32">
        <v>70.900000000000006</v>
      </c>
      <c r="AL146" s="32">
        <v>93.9</v>
      </c>
      <c r="AM146" s="32">
        <v>56.3</v>
      </c>
      <c r="AN146" s="32">
        <v>112</v>
      </c>
      <c r="AO146" s="32">
        <v>135</v>
      </c>
      <c r="AP146" s="32">
        <v>135</v>
      </c>
      <c r="AQ146" s="32">
        <v>79.900000000000006</v>
      </c>
      <c r="AR146" s="32">
        <v>79.900000000000006</v>
      </c>
      <c r="AS146" s="32">
        <v>81.5</v>
      </c>
      <c r="AT146" s="32">
        <v>89.3</v>
      </c>
      <c r="AU146" s="32">
        <v>74.400000000000006</v>
      </c>
      <c r="AV146" s="32">
        <v>99.5</v>
      </c>
      <c r="AW146" s="32">
        <v>132.6</v>
      </c>
      <c r="AX146" s="32">
        <v>64.099999999999994</v>
      </c>
      <c r="AY146" s="32">
        <v>365</v>
      </c>
      <c r="AZ146" s="32">
        <v>94.2</v>
      </c>
      <c r="BA146" s="32">
        <v>82</v>
      </c>
      <c r="BB146" s="32">
        <v>82</v>
      </c>
      <c r="BC146" s="32">
        <v>116.6</v>
      </c>
      <c r="BD146" s="32">
        <v>116.6</v>
      </c>
      <c r="BE146" s="32">
        <v>111.6</v>
      </c>
      <c r="BF146" s="32">
        <v>111.6</v>
      </c>
      <c r="BG146" s="32">
        <v>116.6</v>
      </c>
      <c r="BH146" s="32">
        <v>107.7</v>
      </c>
      <c r="BI146" s="32">
        <v>123.4</v>
      </c>
      <c r="BJ146" s="32">
        <v>67.8</v>
      </c>
      <c r="BK146" s="32">
        <v>153.19999999999999</v>
      </c>
      <c r="BL146" s="32">
        <v>68.8</v>
      </c>
      <c r="BM146" s="32">
        <v>96.7</v>
      </c>
      <c r="BN146" s="32">
        <v>104</v>
      </c>
      <c r="BO146" s="32">
        <v>94.3</v>
      </c>
      <c r="BP146" s="32">
        <v>113.8</v>
      </c>
      <c r="BQ146" s="32">
        <v>87.1</v>
      </c>
      <c r="BR146" s="32">
        <v>74.7</v>
      </c>
      <c r="BS146" s="32">
        <v>110.7</v>
      </c>
      <c r="BT146" s="32">
        <v>79.7</v>
      </c>
      <c r="BU146" s="32">
        <v>84.8</v>
      </c>
      <c r="BV146" s="32">
        <v>84.8</v>
      </c>
      <c r="BW146" s="32">
        <v>118.5</v>
      </c>
      <c r="BX146" s="32">
        <v>37</v>
      </c>
      <c r="BY146" s="32">
        <v>103.8</v>
      </c>
      <c r="BZ146" s="32">
        <v>94.9</v>
      </c>
      <c r="CA146" s="32">
        <v>108.5</v>
      </c>
      <c r="CB146" s="32">
        <v>119.9</v>
      </c>
      <c r="CC146" s="32">
        <v>104.1</v>
      </c>
      <c r="CD146" s="32">
        <v>22.7</v>
      </c>
      <c r="CE146" s="32">
        <v>88.6</v>
      </c>
      <c r="CF146" s="32">
        <v>81.8</v>
      </c>
      <c r="CG146" s="32">
        <v>90.1</v>
      </c>
      <c r="CH146" s="32">
        <v>89.1</v>
      </c>
      <c r="CI146" s="32">
        <v>84.1</v>
      </c>
      <c r="CJ146" s="32">
        <v>89.5</v>
      </c>
      <c r="CK146" s="32">
        <v>90.8</v>
      </c>
      <c r="CL146" s="32">
        <v>96.4</v>
      </c>
      <c r="CM146" s="32">
        <v>101.1</v>
      </c>
      <c r="CN146" s="32">
        <v>68.7</v>
      </c>
      <c r="CO146" s="32">
        <v>109.9</v>
      </c>
      <c r="CP146" s="32">
        <v>122.9</v>
      </c>
      <c r="CQ146" s="32">
        <v>30.8</v>
      </c>
      <c r="CR146" s="32">
        <v>97.3</v>
      </c>
      <c r="CS146" s="32">
        <v>119</v>
      </c>
      <c r="CT146" s="32">
        <v>86.7</v>
      </c>
      <c r="CU146" s="32">
        <v>63.7</v>
      </c>
      <c r="CV146" s="32">
        <v>97</v>
      </c>
      <c r="CW146" s="32">
        <v>41.9</v>
      </c>
      <c r="CX146" s="32">
        <v>92.4</v>
      </c>
      <c r="CY146" s="32">
        <v>103.1</v>
      </c>
      <c r="CZ146" s="32">
        <v>86.9</v>
      </c>
      <c r="DA146" s="32">
        <v>70.8</v>
      </c>
      <c r="DB146" s="32">
        <v>118.7</v>
      </c>
      <c r="DC146" s="32">
        <v>10.1</v>
      </c>
      <c r="DD146" s="32">
        <v>10.1</v>
      </c>
      <c r="DE146" s="32">
        <v>73.8</v>
      </c>
      <c r="DF146" s="32">
        <v>70.3</v>
      </c>
      <c r="DG146" s="32">
        <v>95.5</v>
      </c>
      <c r="DH146" s="32">
        <v>112.5</v>
      </c>
      <c r="DI146" s="32">
        <v>162.80000000000001</v>
      </c>
      <c r="DJ146" s="32">
        <v>85.6</v>
      </c>
      <c r="DK146" s="32">
        <v>85.6</v>
      </c>
      <c r="DL146" s="32">
        <v>63.3</v>
      </c>
      <c r="DM146" s="32">
        <v>74.5</v>
      </c>
      <c r="DN146" s="32">
        <v>59.6</v>
      </c>
      <c r="DO146" s="32">
        <v>81.7</v>
      </c>
      <c r="DP146" s="32">
        <v>48.4</v>
      </c>
      <c r="DQ146" s="32">
        <v>76.8</v>
      </c>
      <c r="DR146" s="32">
        <v>82.4</v>
      </c>
      <c r="DS146" s="32">
        <v>80.599999999999994</v>
      </c>
      <c r="DT146" s="32">
        <v>77.099999999999994</v>
      </c>
      <c r="DU146" s="32">
        <v>76.2</v>
      </c>
      <c r="DV146" s="32">
        <v>84</v>
      </c>
      <c r="DW146" s="32">
        <v>67.099999999999994</v>
      </c>
      <c r="DX146" s="32">
        <v>79.3</v>
      </c>
      <c r="DY146" s="32">
        <v>92.1</v>
      </c>
      <c r="DZ146" s="32">
        <v>129.69999999999999</v>
      </c>
      <c r="EA146" s="32">
        <v>129.69999999999999</v>
      </c>
      <c r="EB146" s="32">
        <v>72.7</v>
      </c>
      <c r="EC146" s="32">
        <v>71.3</v>
      </c>
      <c r="ED146" s="32">
        <v>75</v>
      </c>
      <c r="EE146" s="32">
        <v>77.2</v>
      </c>
      <c r="EF146" s="32">
        <v>68.900000000000006</v>
      </c>
      <c r="EG146" s="32">
        <v>68.599999999999994</v>
      </c>
      <c r="EH146" s="32">
        <v>72</v>
      </c>
      <c r="EI146" s="32">
        <v>68.7</v>
      </c>
      <c r="EJ146" s="32">
        <v>75.5</v>
      </c>
      <c r="EK146" s="32">
        <v>65.900000000000006</v>
      </c>
      <c r="EL146" s="32">
        <v>68.900000000000006</v>
      </c>
      <c r="EM146" s="32">
        <v>60</v>
      </c>
      <c r="EN146" s="32">
        <v>68.8</v>
      </c>
      <c r="EO146" s="32">
        <v>89.1</v>
      </c>
      <c r="EP146" s="32">
        <v>94.3</v>
      </c>
      <c r="EQ146" s="32">
        <v>94.3</v>
      </c>
      <c r="ER146" s="32">
        <v>86.5</v>
      </c>
      <c r="ES146" s="32">
        <v>86.5</v>
      </c>
      <c r="ET146" s="32">
        <v>87.7</v>
      </c>
      <c r="EU146" s="32">
        <v>86.6</v>
      </c>
      <c r="EV146" s="32">
        <v>86.6</v>
      </c>
      <c r="EW146" s="32">
        <v>90.4</v>
      </c>
      <c r="EX146" s="32">
        <v>102</v>
      </c>
      <c r="EY146" s="32">
        <v>81.400000000000006</v>
      </c>
      <c r="EZ146" s="32">
        <v>87.4</v>
      </c>
      <c r="FA146" s="32">
        <v>97.8</v>
      </c>
      <c r="FB146" s="32">
        <v>101.8</v>
      </c>
      <c r="FC146" s="32">
        <v>81.5</v>
      </c>
      <c r="FD146" s="32">
        <v>116.3</v>
      </c>
      <c r="FE146" s="32">
        <v>128.1</v>
      </c>
      <c r="FF146" s="32">
        <v>92.9</v>
      </c>
      <c r="FG146" s="32">
        <v>81.7</v>
      </c>
      <c r="FH146" s="32">
        <v>86.2</v>
      </c>
      <c r="FI146" s="32">
        <v>81</v>
      </c>
      <c r="FJ146" s="32">
        <v>80</v>
      </c>
      <c r="FK146" s="32">
        <v>64.8</v>
      </c>
      <c r="FL146" s="32">
        <v>64.8</v>
      </c>
    </row>
    <row r="147" spans="1:168" x14ac:dyDescent="0.2">
      <c r="A147" s="34" t="s">
        <v>1127</v>
      </c>
      <c r="B147" s="32">
        <v>84.6</v>
      </c>
      <c r="C147" s="32">
        <v>103.7</v>
      </c>
      <c r="D147" s="32">
        <v>96.6</v>
      </c>
      <c r="E147" s="32">
        <v>100.3</v>
      </c>
      <c r="F147" s="32">
        <v>166.4</v>
      </c>
      <c r="G147" s="32">
        <v>1956.2</v>
      </c>
      <c r="H147" s="32">
        <v>184.6</v>
      </c>
      <c r="I147" s="32">
        <v>69.5</v>
      </c>
      <c r="J147" s="32">
        <v>94.2</v>
      </c>
      <c r="K147" s="32">
        <v>97.6</v>
      </c>
      <c r="L147" s="32">
        <v>89.6</v>
      </c>
      <c r="M147" s="32">
        <v>82.8</v>
      </c>
      <c r="N147" s="32">
        <v>77</v>
      </c>
      <c r="O147" s="32">
        <v>84.9</v>
      </c>
      <c r="P147" s="32">
        <v>160.9</v>
      </c>
      <c r="Q147" s="32">
        <v>122.5</v>
      </c>
      <c r="R147" s="32">
        <v>94.9</v>
      </c>
      <c r="S147" s="32">
        <v>115.9</v>
      </c>
      <c r="T147" s="32">
        <v>65.2</v>
      </c>
      <c r="U147" s="32">
        <v>57.6</v>
      </c>
      <c r="V147" s="32">
        <v>158.9</v>
      </c>
      <c r="W147" s="32">
        <v>49</v>
      </c>
      <c r="X147" s="32">
        <v>44.2</v>
      </c>
      <c r="Y147" s="32">
        <v>45.2</v>
      </c>
      <c r="Z147" s="32">
        <v>97.4</v>
      </c>
      <c r="AA147" s="32">
        <v>86.9</v>
      </c>
      <c r="AB147" s="32">
        <v>76.2</v>
      </c>
      <c r="AC147" s="32">
        <v>70.599999999999994</v>
      </c>
      <c r="AD147" s="32">
        <v>110.4</v>
      </c>
      <c r="AE147" s="32">
        <v>107.1</v>
      </c>
      <c r="AF147" s="32">
        <v>107.1</v>
      </c>
      <c r="AG147" s="32">
        <v>59.3</v>
      </c>
      <c r="AH147" s="32">
        <v>59.3</v>
      </c>
      <c r="AI147" s="32">
        <v>109.1</v>
      </c>
      <c r="AJ147" s="32">
        <v>35.6</v>
      </c>
      <c r="AK147" s="32">
        <v>68.599999999999994</v>
      </c>
      <c r="AL147" s="32">
        <v>93.1</v>
      </c>
      <c r="AM147" s="32">
        <v>55.3</v>
      </c>
      <c r="AN147" s="32">
        <v>103</v>
      </c>
      <c r="AO147" s="32">
        <v>144.69999999999999</v>
      </c>
      <c r="AP147" s="32">
        <v>144.69999999999999</v>
      </c>
      <c r="AQ147" s="32">
        <v>81.400000000000006</v>
      </c>
      <c r="AR147" s="32">
        <v>83.2</v>
      </c>
      <c r="AS147" s="32">
        <v>80.5</v>
      </c>
      <c r="AT147" s="32">
        <v>86.2</v>
      </c>
      <c r="AU147" s="32">
        <v>75.099999999999994</v>
      </c>
      <c r="AV147" s="32">
        <v>96.6</v>
      </c>
      <c r="AW147" s="32">
        <v>129.69999999999999</v>
      </c>
      <c r="AX147" s="32">
        <v>65.2</v>
      </c>
      <c r="AY147" s="32">
        <v>342.4</v>
      </c>
      <c r="AZ147" s="32">
        <v>91.1</v>
      </c>
      <c r="BA147" s="32">
        <v>83.7</v>
      </c>
      <c r="BB147" s="32">
        <v>83.7</v>
      </c>
      <c r="BC147" s="32">
        <v>122.1</v>
      </c>
      <c r="BD147" s="32">
        <v>122.1</v>
      </c>
      <c r="BE147" s="32">
        <v>115.4</v>
      </c>
      <c r="BF147" s="32">
        <v>115.4</v>
      </c>
      <c r="BG147" s="32">
        <v>112</v>
      </c>
      <c r="BH147" s="32">
        <v>98.9</v>
      </c>
      <c r="BI147" s="32">
        <v>124.6</v>
      </c>
      <c r="BJ147" s="32">
        <v>69.5</v>
      </c>
      <c r="BK147" s="32">
        <v>154.5</v>
      </c>
      <c r="BL147" s="32">
        <v>69.099999999999994</v>
      </c>
      <c r="BM147" s="32">
        <v>97.8</v>
      </c>
      <c r="BN147" s="32">
        <v>102.7</v>
      </c>
      <c r="BO147" s="32">
        <v>88.6</v>
      </c>
      <c r="BP147" s="32">
        <v>116.8</v>
      </c>
      <c r="BQ147" s="32">
        <v>91.4</v>
      </c>
      <c r="BR147" s="32">
        <v>77.900000000000006</v>
      </c>
      <c r="BS147" s="32">
        <v>124</v>
      </c>
      <c r="BT147" s="32">
        <v>82.4</v>
      </c>
      <c r="BU147" s="32">
        <v>92.1</v>
      </c>
      <c r="BV147" s="32">
        <v>92.1</v>
      </c>
      <c r="BW147" s="32">
        <v>128.19999999999999</v>
      </c>
      <c r="BX147" s="32">
        <v>40.5</v>
      </c>
      <c r="BY147" s="32">
        <v>100.2</v>
      </c>
      <c r="BZ147" s="32">
        <v>98.7</v>
      </c>
      <c r="CA147" s="32">
        <v>101</v>
      </c>
      <c r="CB147" s="32">
        <v>116</v>
      </c>
      <c r="CC147" s="32">
        <v>92.7</v>
      </c>
      <c r="CD147" s="32">
        <v>22.5</v>
      </c>
      <c r="CE147" s="32">
        <v>87.3</v>
      </c>
      <c r="CF147" s="32">
        <v>81.5</v>
      </c>
      <c r="CG147" s="32">
        <v>88.4</v>
      </c>
      <c r="CH147" s="32">
        <v>87.4</v>
      </c>
      <c r="CI147" s="32">
        <v>82.8</v>
      </c>
      <c r="CJ147" s="32">
        <v>87.6</v>
      </c>
      <c r="CK147" s="32">
        <v>89.2</v>
      </c>
      <c r="CL147" s="32">
        <v>93.9</v>
      </c>
      <c r="CM147" s="32">
        <v>96.1</v>
      </c>
      <c r="CN147" s="32">
        <v>67.8</v>
      </c>
      <c r="CO147" s="32">
        <v>103.8</v>
      </c>
      <c r="CP147" s="32">
        <v>121.4</v>
      </c>
      <c r="CQ147" s="32">
        <v>29.1</v>
      </c>
      <c r="CR147" s="32">
        <v>96.9</v>
      </c>
      <c r="CS147" s="32">
        <v>119</v>
      </c>
      <c r="CT147" s="32">
        <v>86.1</v>
      </c>
      <c r="CU147" s="32">
        <v>63.3</v>
      </c>
      <c r="CV147" s="32">
        <v>96.3</v>
      </c>
      <c r="CW147" s="32">
        <v>42.6</v>
      </c>
      <c r="CX147" s="32">
        <v>92.4</v>
      </c>
      <c r="CY147" s="32">
        <v>101.2</v>
      </c>
      <c r="CZ147" s="32">
        <v>87.9</v>
      </c>
      <c r="DA147" s="32">
        <v>72.5</v>
      </c>
      <c r="DB147" s="32">
        <v>118.3</v>
      </c>
      <c r="DC147" s="32">
        <v>10.5</v>
      </c>
      <c r="DD147" s="32">
        <v>10.5</v>
      </c>
      <c r="DE147" s="32">
        <v>74.099999999999994</v>
      </c>
      <c r="DF147" s="32">
        <v>71.099999999999994</v>
      </c>
      <c r="DG147" s="32">
        <v>92.3</v>
      </c>
      <c r="DH147" s="32">
        <v>109.9</v>
      </c>
      <c r="DI147" s="32">
        <v>162.6</v>
      </c>
      <c r="DJ147" s="32">
        <v>82.1</v>
      </c>
      <c r="DK147" s="32">
        <v>82.1</v>
      </c>
      <c r="DL147" s="32">
        <v>59</v>
      </c>
      <c r="DM147" s="32">
        <v>74.099999999999994</v>
      </c>
      <c r="DN147" s="32">
        <v>59.1</v>
      </c>
      <c r="DO147" s="32">
        <v>81.400000000000006</v>
      </c>
      <c r="DP147" s="32">
        <v>48.7</v>
      </c>
      <c r="DQ147" s="32">
        <v>78.099999999999994</v>
      </c>
      <c r="DR147" s="32">
        <v>84.2</v>
      </c>
      <c r="DS147" s="32">
        <v>82.9</v>
      </c>
      <c r="DT147" s="32">
        <v>79</v>
      </c>
      <c r="DU147" s="32">
        <v>78.099999999999994</v>
      </c>
      <c r="DV147" s="32">
        <v>85.2</v>
      </c>
      <c r="DW147" s="32">
        <v>69.8</v>
      </c>
      <c r="DX147" s="32">
        <v>81.3</v>
      </c>
      <c r="DY147" s="32">
        <v>95.6</v>
      </c>
      <c r="DZ147" s="32">
        <v>134.9</v>
      </c>
      <c r="EA147" s="32">
        <v>134.9</v>
      </c>
      <c r="EB147" s="32">
        <v>71.8</v>
      </c>
      <c r="EC147" s="32">
        <v>70</v>
      </c>
      <c r="ED147" s="32">
        <v>74.7</v>
      </c>
      <c r="EE147" s="32">
        <v>77</v>
      </c>
      <c r="EF147" s="32">
        <v>68.5</v>
      </c>
      <c r="EG147" s="32">
        <v>69.3</v>
      </c>
      <c r="EH147" s="32">
        <v>74.3</v>
      </c>
      <c r="EI147" s="32">
        <v>70.599999999999994</v>
      </c>
      <c r="EJ147" s="32">
        <v>72.900000000000006</v>
      </c>
      <c r="EK147" s="32">
        <v>65.2</v>
      </c>
      <c r="EL147" s="32">
        <v>68.3</v>
      </c>
      <c r="EM147" s="32">
        <v>59.6</v>
      </c>
      <c r="EN147" s="32">
        <v>67.900000000000006</v>
      </c>
      <c r="EO147" s="32">
        <v>89.5</v>
      </c>
      <c r="EP147" s="32">
        <v>94.7</v>
      </c>
      <c r="EQ147" s="32">
        <v>94.7</v>
      </c>
      <c r="ER147" s="32">
        <v>87.2</v>
      </c>
      <c r="ES147" s="32">
        <v>87.2</v>
      </c>
      <c r="ET147" s="32">
        <v>88</v>
      </c>
      <c r="EU147" s="32">
        <v>86.9</v>
      </c>
      <c r="EV147" s="32">
        <v>86.9</v>
      </c>
      <c r="EW147" s="32">
        <v>90.7</v>
      </c>
      <c r="EX147" s="32">
        <v>102.6</v>
      </c>
      <c r="EY147" s="32">
        <v>81.400000000000006</v>
      </c>
      <c r="EZ147" s="32">
        <v>86.9</v>
      </c>
      <c r="FA147" s="32">
        <v>97.8</v>
      </c>
      <c r="FB147" s="32">
        <v>101</v>
      </c>
      <c r="FC147" s="32">
        <v>78.7</v>
      </c>
      <c r="FD147" s="32">
        <v>117.1</v>
      </c>
      <c r="FE147" s="32">
        <v>129.5</v>
      </c>
      <c r="FF147" s="32">
        <v>94.1</v>
      </c>
      <c r="FG147" s="32">
        <v>80.599999999999994</v>
      </c>
      <c r="FH147" s="32">
        <v>84.8</v>
      </c>
      <c r="FI147" s="32">
        <v>82.1</v>
      </c>
      <c r="FJ147" s="32">
        <v>78.599999999999994</v>
      </c>
      <c r="FK147" s="32">
        <v>68</v>
      </c>
      <c r="FL147" s="32">
        <v>68</v>
      </c>
    </row>
    <row r="148" spans="1:168" x14ac:dyDescent="0.2">
      <c r="A148" s="34" t="s">
        <v>1128</v>
      </c>
      <c r="B148" s="32">
        <v>83.4</v>
      </c>
      <c r="C148" s="32">
        <v>103.3</v>
      </c>
      <c r="D148" s="32">
        <v>93</v>
      </c>
      <c r="E148" s="32">
        <v>96.1</v>
      </c>
      <c r="F148" s="32">
        <v>162.4</v>
      </c>
      <c r="G148" s="32">
        <v>4484.7</v>
      </c>
      <c r="H148" s="32">
        <v>181.6</v>
      </c>
      <c r="I148" s="32">
        <v>62.1</v>
      </c>
      <c r="J148" s="32">
        <v>89.8</v>
      </c>
      <c r="K148" s="32">
        <v>97.1</v>
      </c>
      <c r="L148" s="32">
        <v>88.8</v>
      </c>
      <c r="M148" s="32">
        <v>86.2</v>
      </c>
      <c r="N148" s="32">
        <v>77.099999999999994</v>
      </c>
      <c r="O148" s="32">
        <v>95.2</v>
      </c>
      <c r="P148" s="32">
        <v>168.8</v>
      </c>
      <c r="Q148" s="32">
        <v>122.1</v>
      </c>
      <c r="R148" s="32">
        <v>94.5</v>
      </c>
      <c r="S148" s="32">
        <v>108.7</v>
      </c>
      <c r="T148" s="32">
        <v>67.099999999999994</v>
      </c>
      <c r="U148" s="32">
        <v>56.5</v>
      </c>
      <c r="V148" s="32">
        <v>161</v>
      </c>
      <c r="W148" s="32">
        <v>50.7</v>
      </c>
      <c r="X148" s="32">
        <v>45.1</v>
      </c>
      <c r="Y148" s="32">
        <v>49</v>
      </c>
      <c r="Z148" s="32">
        <v>96.7</v>
      </c>
      <c r="AA148" s="32">
        <v>85.5</v>
      </c>
      <c r="AB148" s="32">
        <v>71.599999999999994</v>
      </c>
      <c r="AC148" s="32">
        <v>68</v>
      </c>
      <c r="AD148" s="32">
        <v>111.8</v>
      </c>
      <c r="AE148" s="32">
        <v>106.9</v>
      </c>
      <c r="AF148" s="32">
        <v>106.9</v>
      </c>
      <c r="AG148" s="32">
        <v>54.9</v>
      </c>
      <c r="AH148" s="32">
        <v>54.9</v>
      </c>
      <c r="AI148" s="32">
        <v>113.2</v>
      </c>
      <c r="AJ148" s="32">
        <v>31.3</v>
      </c>
      <c r="AK148" s="32">
        <v>91.5</v>
      </c>
      <c r="AL148" s="32">
        <v>84.4</v>
      </c>
      <c r="AM148" s="32">
        <v>49.9</v>
      </c>
      <c r="AN148" s="32">
        <v>89.1</v>
      </c>
      <c r="AO148" s="32">
        <v>129</v>
      </c>
      <c r="AP148" s="32">
        <v>129</v>
      </c>
      <c r="AQ148" s="32">
        <v>79.7</v>
      </c>
      <c r="AR148" s="32">
        <v>79.8</v>
      </c>
      <c r="AS148" s="32">
        <v>81.099999999999994</v>
      </c>
      <c r="AT148" s="32">
        <v>79.599999999999994</v>
      </c>
      <c r="AU148" s="32">
        <v>81.599999999999994</v>
      </c>
      <c r="AV148" s="32">
        <v>89.1</v>
      </c>
      <c r="AW148" s="32">
        <v>109.8</v>
      </c>
      <c r="AX148" s="32">
        <v>50.3</v>
      </c>
      <c r="AY148" s="32">
        <v>309.89999999999998</v>
      </c>
      <c r="AZ148" s="32">
        <v>86.3</v>
      </c>
      <c r="BA148" s="32">
        <v>82.1</v>
      </c>
      <c r="BB148" s="32">
        <v>82.1</v>
      </c>
      <c r="BC148" s="32">
        <v>116.4</v>
      </c>
      <c r="BD148" s="32">
        <v>116.4</v>
      </c>
      <c r="BE148" s="32">
        <v>107.9</v>
      </c>
      <c r="BF148" s="32">
        <v>107.9</v>
      </c>
      <c r="BG148" s="32">
        <v>102.1</v>
      </c>
      <c r="BH148" s="32">
        <v>84.2</v>
      </c>
      <c r="BI148" s="32">
        <v>118.9</v>
      </c>
      <c r="BJ148" s="32">
        <v>69.099999999999994</v>
      </c>
      <c r="BK148" s="32">
        <v>146.69999999999999</v>
      </c>
      <c r="BL148" s="32">
        <v>63.4</v>
      </c>
      <c r="BM148" s="32">
        <v>94.7</v>
      </c>
      <c r="BN148" s="32">
        <v>97</v>
      </c>
      <c r="BO148" s="32">
        <v>85.4</v>
      </c>
      <c r="BP148" s="32">
        <v>108.6</v>
      </c>
      <c r="BQ148" s="32">
        <v>92</v>
      </c>
      <c r="BR148" s="32">
        <v>83.1</v>
      </c>
      <c r="BS148" s="32">
        <v>120.7</v>
      </c>
      <c r="BT148" s="32">
        <v>82.9</v>
      </c>
      <c r="BU148" s="32">
        <v>88.9</v>
      </c>
      <c r="BV148" s="32">
        <v>88.9</v>
      </c>
      <c r="BW148" s="32">
        <v>125.8</v>
      </c>
      <c r="BX148" s="32">
        <v>37.200000000000003</v>
      </c>
      <c r="BY148" s="32">
        <v>96.8</v>
      </c>
      <c r="BZ148" s="32">
        <v>96.5</v>
      </c>
      <c r="CA148" s="32">
        <v>97</v>
      </c>
      <c r="CB148" s="32">
        <v>111.5</v>
      </c>
      <c r="CC148" s="32">
        <v>88.9</v>
      </c>
      <c r="CD148" s="32">
        <v>22.2</v>
      </c>
      <c r="CE148" s="32">
        <v>84.9</v>
      </c>
      <c r="CF148" s="32">
        <v>81</v>
      </c>
      <c r="CG148" s="32">
        <v>86.6</v>
      </c>
      <c r="CH148" s="32">
        <v>85.5</v>
      </c>
      <c r="CI148" s="32">
        <v>77.599999999999994</v>
      </c>
      <c r="CJ148" s="32">
        <v>85.7</v>
      </c>
      <c r="CK148" s="32">
        <v>88.2</v>
      </c>
      <c r="CL148" s="32">
        <v>92</v>
      </c>
      <c r="CM148" s="32">
        <v>93.9</v>
      </c>
      <c r="CN148" s="32">
        <v>67.8</v>
      </c>
      <c r="CO148" s="32">
        <v>101.1</v>
      </c>
      <c r="CP148" s="32">
        <v>117</v>
      </c>
      <c r="CQ148" s="32">
        <v>29</v>
      </c>
      <c r="CR148" s="32">
        <v>95</v>
      </c>
      <c r="CS148" s="32">
        <v>116.8</v>
      </c>
      <c r="CT148" s="32">
        <v>84.7</v>
      </c>
      <c r="CU148" s="32">
        <v>64</v>
      </c>
      <c r="CV148" s="32">
        <v>94</v>
      </c>
      <c r="CW148" s="32">
        <v>43.7</v>
      </c>
      <c r="CX148" s="32">
        <v>94.9</v>
      </c>
      <c r="CY148" s="32">
        <v>102.1</v>
      </c>
      <c r="CZ148" s="32">
        <v>91.4</v>
      </c>
      <c r="DA148" s="32">
        <v>77.8</v>
      </c>
      <c r="DB148" s="32">
        <v>117.7</v>
      </c>
      <c r="DC148" s="32">
        <v>10.7</v>
      </c>
      <c r="DD148" s="32">
        <v>10.7</v>
      </c>
      <c r="DE148" s="32">
        <v>76.599999999999994</v>
      </c>
      <c r="DF148" s="32">
        <v>73.8</v>
      </c>
      <c r="DG148" s="32">
        <v>93.8</v>
      </c>
      <c r="DH148" s="32">
        <v>106.5</v>
      </c>
      <c r="DI148" s="32">
        <v>159.69999999999999</v>
      </c>
      <c r="DJ148" s="32">
        <v>79.7</v>
      </c>
      <c r="DK148" s="32">
        <v>79.7</v>
      </c>
      <c r="DL148" s="32">
        <v>54.1</v>
      </c>
      <c r="DM148" s="32">
        <v>74.7</v>
      </c>
      <c r="DN148" s="32">
        <v>60.4</v>
      </c>
      <c r="DO148" s="32">
        <v>81.7</v>
      </c>
      <c r="DP148" s="32">
        <v>50.5</v>
      </c>
      <c r="DQ148" s="32">
        <v>76.8</v>
      </c>
      <c r="DR148" s="32">
        <v>83.1</v>
      </c>
      <c r="DS148" s="32">
        <v>80.7</v>
      </c>
      <c r="DT148" s="32">
        <v>77.400000000000006</v>
      </c>
      <c r="DU148" s="32">
        <v>75.400000000000006</v>
      </c>
      <c r="DV148" s="32">
        <v>81.900000000000006</v>
      </c>
      <c r="DW148" s="32">
        <v>67.900000000000006</v>
      </c>
      <c r="DX148" s="32">
        <v>81.8</v>
      </c>
      <c r="DY148" s="32">
        <v>91.5</v>
      </c>
      <c r="DZ148" s="32">
        <v>139.69999999999999</v>
      </c>
      <c r="EA148" s="32">
        <v>139.69999999999999</v>
      </c>
      <c r="EB148" s="32">
        <v>71.900000000000006</v>
      </c>
      <c r="EC148" s="32">
        <v>70.900000000000006</v>
      </c>
      <c r="ED148" s="32">
        <v>73.599999999999994</v>
      </c>
      <c r="EE148" s="32">
        <v>74</v>
      </c>
      <c r="EF148" s="32">
        <v>72.400000000000006</v>
      </c>
      <c r="EG148" s="32">
        <v>67.8</v>
      </c>
      <c r="EH148" s="32">
        <v>72.3</v>
      </c>
      <c r="EI148" s="32">
        <v>70.5</v>
      </c>
      <c r="EJ148" s="32">
        <v>70.900000000000006</v>
      </c>
      <c r="EK148" s="32">
        <v>63</v>
      </c>
      <c r="EL148" s="32">
        <v>66.3</v>
      </c>
      <c r="EM148" s="32">
        <v>58.8</v>
      </c>
      <c r="EN148" s="32">
        <v>64.599999999999994</v>
      </c>
      <c r="EO148" s="32">
        <v>89.5</v>
      </c>
      <c r="EP148" s="32">
        <v>95.5</v>
      </c>
      <c r="EQ148" s="32">
        <v>95.5</v>
      </c>
      <c r="ER148" s="32">
        <v>86.8</v>
      </c>
      <c r="ES148" s="32">
        <v>86.8</v>
      </c>
      <c r="ET148" s="32">
        <v>87.8</v>
      </c>
      <c r="EU148" s="32">
        <v>86.7</v>
      </c>
      <c r="EV148" s="32">
        <v>86.7</v>
      </c>
      <c r="EW148" s="32">
        <v>90.4</v>
      </c>
      <c r="EX148" s="32">
        <v>102.7</v>
      </c>
      <c r="EY148" s="32">
        <v>80.8</v>
      </c>
      <c r="EZ148" s="32">
        <v>86.4</v>
      </c>
      <c r="FA148" s="32">
        <v>96.7</v>
      </c>
      <c r="FB148" s="32">
        <v>99.7</v>
      </c>
      <c r="FC148" s="32">
        <v>75.900000000000006</v>
      </c>
      <c r="FD148" s="32">
        <v>114.8</v>
      </c>
      <c r="FE148" s="32">
        <v>131.6</v>
      </c>
      <c r="FF148" s="32">
        <v>93.3</v>
      </c>
      <c r="FG148" s="32">
        <v>80.599999999999994</v>
      </c>
      <c r="FH148" s="32">
        <v>86.8</v>
      </c>
      <c r="FI148" s="32">
        <v>79.8</v>
      </c>
      <c r="FJ148" s="32">
        <v>78.2</v>
      </c>
      <c r="FK148" s="32">
        <v>64.900000000000006</v>
      </c>
      <c r="FL148" s="32">
        <v>64.900000000000006</v>
      </c>
    </row>
    <row r="149" spans="1:168" x14ac:dyDescent="0.2">
      <c r="A149" s="34" t="s">
        <v>1129</v>
      </c>
      <c r="B149" s="32">
        <v>83.2</v>
      </c>
      <c r="C149" s="32">
        <v>102.7</v>
      </c>
      <c r="D149" s="32">
        <v>92.2</v>
      </c>
      <c r="E149" s="32">
        <v>96.2</v>
      </c>
      <c r="F149" s="32">
        <v>162.1</v>
      </c>
      <c r="G149" s="32">
        <v>6788</v>
      </c>
      <c r="H149" s="32">
        <v>180.5</v>
      </c>
      <c r="I149" s="32">
        <v>61.6</v>
      </c>
      <c r="J149" s="32">
        <v>89.2</v>
      </c>
      <c r="K149" s="32">
        <v>94.2</v>
      </c>
      <c r="L149" s="32">
        <v>88.5</v>
      </c>
      <c r="M149" s="32">
        <v>90.1</v>
      </c>
      <c r="N149" s="32">
        <v>77.099999999999994</v>
      </c>
      <c r="O149" s="32">
        <v>90.3</v>
      </c>
      <c r="P149" s="32">
        <v>167</v>
      </c>
      <c r="Q149" s="32">
        <v>125.7</v>
      </c>
      <c r="R149" s="32">
        <v>96.5</v>
      </c>
      <c r="S149" s="32">
        <v>103.9</v>
      </c>
      <c r="T149" s="32">
        <v>68.400000000000006</v>
      </c>
      <c r="U149" s="32">
        <v>56</v>
      </c>
      <c r="V149" s="32">
        <v>141.6</v>
      </c>
      <c r="W149" s="32">
        <v>51.2</v>
      </c>
      <c r="X149" s="32">
        <v>46.2</v>
      </c>
      <c r="Y149" s="32">
        <v>49</v>
      </c>
      <c r="Z149" s="32">
        <v>89.7</v>
      </c>
      <c r="AA149" s="32">
        <v>88.8</v>
      </c>
      <c r="AB149" s="32">
        <v>79.3</v>
      </c>
      <c r="AC149" s="32">
        <v>69.900000000000006</v>
      </c>
      <c r="AD149" s="32">
        <v>113.8</v>
      </c>
      <c r="AE149" s="32">
        <v>115.1</v>
      </c>
      <c r="AF149" s="32">
        <v>115.1</v>
      </c>
      <c r="AG149" s="32">
        <v>54.4</v>
      </c>
      <c r="AH149" s="32">
        <v>54.4</v>
      </c>
      <c r="AI149" s="32">
        <v>109.2</v>
      </c>
      <c r="AJ149" s="32">
        <v>30.3</v>
      </c>
      <c r="AK149" s="32">
        <v>99</v>
      </c>
      <c r="AL149" s="32">
        <v>81.900000000000006</v>
      </c>
      <c r="AM149" s="32">
        <v>50.4</v>
      </c>
      <c r="AN149" s="32">
        <v>86.6</v>
      </c>
      <c r="AO149" s="32">
        <v>147.5</v>
      </c>
      <c r="AP149" s="32">
        <v>147.5</v>
      </c>
      <c r="AQ149" s="32">
        <v>78.599999999999994</v>
      </c>
      <c r="AR149" s="32">
        <v>77.099999999999994</v>
      </c>
      <c r="AS149" s="32">
        <v>82.2</v>
      </c>
      <c r="AT149" s="32">
        <v>82.5</v>
      </c>
      <c r="AU149" s="32">
        <v>81.3</v>
      </c>
      <c r="AV149" s="32">
        <v>83.4</v>
      </c>
      <c r="AW149" s="32">
        <v>90.5</v>
      </c>
      <c r="AX149" s="32">
        <v>35.700000000000003</v>
      </c>
      <c r="AY149" s="32">
        <v>278.5</v>
      </c>
      <c r="AZ149" s="32">
        <v>83.7</v>
      </c>
      <c r="BA149" s="32">
        <v>84.1</v>
      </c>
      <c r="BB149" s="32">
        <v>84.1</v>
      </c>
      <c r="BC149" s="32">
        <v>116</v>
      </c>
      <c r="BD149" s="32">
        <v>116</v>
      </c>
      <c r="BE149" s="32">
        <v>103.7</v>
      </c>
      <c r="BF149" s="32">
        <v>103.7</v>
      </c>
      <c r="BG149" s="32">
        <v>98.1</v>
      </c>
      <c r="BH149" s="32">
        <v>78</v>
      </c>
      <c r="BI149" s="32">
        <v>116.6</v>
      </c>
      <c r="BJ149" s="32">
        <v>70.3</v>
      </c>
      <c r="BK149" s="32">
        <v>142.80000000000001</v>
      </c>
      <c r="BL149" s="32">
        <v>61.8</v>
      </c>
      <c r="BM149" s="32">
        <v>91</v>
      </c>
      <c r="BN149" s="32">
        <v>94.9</v>
      </c>
      <c r="BO149" s="32">
        <v>80.400000000000006</v>
      </c>
      <c r="BP149" s="32">
        <v>109.4</v>
      </c>
      <c r="BQ149" s="32">
        <v>86</v>
      </c>
      <c r="BR149" s="32">
        <v>76.099999999999994</v>
      </c>
      <c r="BS149" s="32">
        <v>116.2</v>
      </c>
      <c r="BT149" s="32">
        <v>77.2</v>
      </c>
      <c r="BU149" s="32">
        <v>91.1</v>
      </c>
      <c r="BV149" s="32">
        <v>91.1</v>
      </c>
      <c r="BW149" s="32">
        <v>129.30000000000001</v>
      </c>
      <c r="BX149" s="32">
        <v>37.799999999999997</v>
      </c>
      <c r="BY149" s="32">
        <v>99.7</v>
      </c>
      <c r="BZ149" s="32">
        <v>95.9</v>
      </c>
      <c r="CA149" s="32">
        <v>101.7</v>
      </c>
      <c r="CB149" s="32">
        <v>112.5</v>
      </c>
      <c r="CC149" s="32">
        <v>97.4</v>
      </c>
      <c r="CD149" s="32">
        <v>23</v>
      </c>
      <c r="CE149" s="32">
        <v>82.3</v>
      </c>
      <c r="CF149" s="32">
        <v>80.900000000000006</v>
      </c>
      <c r="CG149" s="32">
        <v>85.3</v>
      </c>
      <c r="CH149" s="32">
        <v>84</v>
      </c>
      <c r="CI149" s="32">
        <v>78.099999999999994</v>
      </c>
      <c r="CJ149" s="32">
        <v>83.6</v>
      </c>
      <c r="CK149" s="32">
        <v>86.5</v>
      </c>
      <c r="CL149" s="32">
        <v>90.5</v>
      </c>
      <c r="CM149" s="32">
        <v>90</v>
      </c>
      <c r="CN149" s="32">
        <v>66.400000000000006</v>
      </c>
      <c r="CO149" s="32">
        <v>96.6</v>
      </c>
      <c r="CP149" s="32">
        <v>111.4</v>
      </c>
      <c r="CQ149" s="32">
        <v>28.8</v>
      </c>
      <c r="CR149" s="32">
        <v>94.6</v>
      </c>
      <c r="CS149" s="32">
        <v>120.2</v>
      </c>
      <c r="CT149" s="32">
        <v>84.9</v>
      </c>
      <c r="CU149" s="32">
        <v>64.3</v>
      </c>
      <c r="CV149" s="32">
        <v>94</v>
      </c>
      <c r="CW149" s="32">
        <v>44.1</v>
      </c>
      <c r="CX149" s="32">
        <v>96.6</v>
      </c>
      <c r="CY149" s="32">
        <v>102.1</v>
      </c>
      <c r="CZ149" s="32">
        <v>94.1</v>
      </c>
      <c r="DA149" s="32">
        <v>80.2</v>
      </c>
      <c r="DB149" s="32">
        <v>121.1</v>
      </c>
      <c r="DC149" s="32">
        <v>11.5</v>
      </c>
      <c r="DD149" s="32">
        <v>11.5</v>
      </c>
      <c r="DE149" s="32">
        <v>72.7</v>
      </c>
      <c r="DF149" s="32">
        <v>69.599999999999994</v>
      </c>
      <c r="DG149" s="32">
        <v>91.8</v>
      </c>
      <c r="DH149" s="32">
        <v>108.6</v>
      </c>
      <c r="DI149" s="32">
        <v>163.19999999999999</v>
      </c>
      <c r="DJ149" s="32">
        <v>80.099999999999994</v>
      </c>
      <c r="DK149" s="32">
        <v>80.099999999999994</v>
      </c>
      <c r="DL149" s="32">
        <v>55.7</v>
      </c>
      <c r="DM149" s="32">
        <v>74.7</v>
      </c>
      <c r="DN149" s="32">
        <v>61</v>
      </c>
      <c r="DO149" s="32">
        <v>81.400000000000006</v>
      </c>
      <c r="DP149" s="32">
        <v>51.5</v>
      </c>
      <c r="DQ149" s="32">
        <v>76.8</v>
      </c>
      <c r="DR149" s="32">
        <v>83.2</v>
      </c>
      <c r="DS149" s="32">
        <v>79.2</v>
      </c>
      <c r="DT149" s="32">
        <v>76.2</v>
      </c>
      <c r="DU149" s="32">
        <v>73.099999999999994</v>
      </c>
      <c r="DV149" s="32">
        <v>81.8</v>
      </c>
      <c r="DW149" s="32">
        <v>63.1</v>
      </c>
      <c r="DX149" s="32">
        <v>83</v>
      </c>
      <c r="DY149" s="32">
        <v>89</v>
      </c>
      <c r="DZ149" s="32">
        <v>160.6</v>
      </c>
      <c r="EA149" s="32">
        <v>160.6</v>
      </c>
      <c r="EB149" s="32">
        <v>70.099999999999994</v>
      </c>
      <c r="EC149" s="32">
        <v>67.5</v>
      </c>
      <c r="ED149" s="32">
        <v>74</v>
      </c>
      <c r="EE149" s="32">
        <v>74.7</v>
      </c>
      <c r="EF149" s="32">
        <v>71.8</v>
      </c>
      <c r="EG149" s="32">
        <v>67.5</v>
      </c>
      <c r="EH149" s="32">
        <v>71.7</v>
      </c>
      <c r="EI149" s="32">
        <v>68.099999999999994</v>
      </c>
      <c r="EJ149" s="32">
        <v>71.400000000000006</v>
      </c>
      <c r="EK149" s="32">
        <v>64.400000000000006</v>
      </c>
      <c r="EL149" s="32">
        <v>68.3</v>
      </c>
      <c r="EM149" s="32">
        <v>58.4</v>
      </c>
      <c r="EN149" s="32">
        <v>67.3</v>
      </c>
      <c r="EO149" s="32">
        <v>89.4</v>
      </c>
      <c r="EP149" s="32">
        <v>95.8</v>
      </c>
      <c r="EQ149" s="32">
        <v>95.8</v>
      </c>
      <c r="ER149" s="32">
        <v>87</v>
      </c>
      <c r="ES149" s="32">
        <v>87</v>
      </c>
      <c r="ET149" s="32">
        <v>87.1</v>
      </c>
      <c r="EU149" s="32">
        <v>85.9</v>
      </c>
      <c r="EV149" s="32">
        <v>85.9</v>
      </c>
      <c r="EW149" s="32">
        <v>90</v>
      </c>
      <c r="EX149" s="32">
        <v>102.9</v>
      </c>
      <c r="EY149" s="32">
        <v>79.900000000000006</v>
      </c>
      <c r="EZ149" s="32">
        <v>86.1</v>
      </c>
      <c r="FA149" s="32">
        <v>96.3</v>
      </c>
      <c r="FB149" s="32">
        <v>99.9</v>
      </c>
      <c r="FC149" s="32">
        <v>75</v>
      </c>
      <c r="FD149" s="32">
        <v>115</v>
      </c>
      <c r="FE149" s="32">
        <v>133.9</v>
      </c>
      <c r="FF149" s="32">
        <v>92</v>
      </c>
      <c r="FG149" s="32">
        <v>81.099999999999994</v>
      </c>
      <c r="FH149" s="32">
        <v>87.2</v>
      </c>
      <c r="FI149" s="32">
        <v>70.7</v>
      </c>
      <c r="FJ149" s="32">
        <v>79.900000000000006</v>
      </c>
      <c r="FK149" s="32">
        <v>58.6</v>
      </c>
      <c r="FL149" s="32">
        <v>58.6</v>
      </c>
    </row>
    <row r="150" spans="1:168" x14ac:dyDescent="0.2">
      <c r="A150" s="34" t="s">
        <v>1130</v>
      </c>
      <c r="B150" s="32">
        <v>82.4</v>
      </c>
      <c r="C150" s="32">
        <v>102.3</v>
      </c>
      <c r="D150" s="32">
        <v>89.7</v>
      </c>
      <c r="E150" s="32">
        <v>93.9</v>
      </c>
      <c r="F150" s="32">
        <v>162.6</v>
      </c>
      <c r="G150" s="32">
        <v>4529.1000000000004</v>
      </c>
      <c r="H150" s="32">
        <v>182.7</v>
      </c>
      <c r="I150" s="32">
        <v>61.3</v>
      </c>
      <c r="J150" s="32">
        <v>86.4</v>
      </c>
      <c r="K150" s="32">
        <v>98.5</v>
      </c>
      <c r="L150" s="32">
        <v>91.2</v>
      </c>
      <c r="M150" s="32">
        <v>95.3</v>
      </c>
      <c r="N150" s="32">
        <v>67.900000000000006</v>
      </c>
      <c r="O150" s="32">
        <v>87</v>
      </c>
      <c r="P150" s="32">
        <v>170.2</v>
      </c>
      <c r="Q150" s="32">
        <v>128.9</v>
      </c>
      <c r="R150" s="32">
        <v>106.1</v>
      </c>
      <c r="S150" s="32">
        <v>105.7</v>
      </c>
      <c r="T150" s="32">
        <v>76.099999999999994</v>
      </c>
      <c r="U150" s="32">
        <v>59.8</v>
      </c>
      <c r="V150" s="32">
        <v>155.5</v>
      </c>
      <c r="W150" s="32">
        <v>53.2</v>
      </c>
      <c r="X150" s="32">
        <v>47.8</v>
      </c>
      <c r="Y150" s="32">
        <v>50.5</v>
      </c>
      <c r="Z150" s="32">
        <v>98.1</v>
      </c>
      <c r="AA150" s="32">
        <v>85.8</v>
      </c>
      <c r="AB150" s="32">
        <v>68.099999999999994</v>
      </c>
      <c r="AC150" s="32">
        <v>63.3</v>
      </c>
      <c r="AD150" s="32">
        <v>118.5</v>
      </c>
      <c r="AE150" s="32">
        <v>113.9</v>
      </c>
      <c r="AF150" s="32">
        <v>113.9</v>
      </c>
      <c r="AG150" s="32">
        <v>55.8</v>
      </c>
      <c r="AH150" s="32">
        <v>55.8</v>
      </c>
      <c r="AI150" s="32">
        <v>117.2</v>
      </c>
      <c r="AJ150" s="32">
        <v>33.299999999999997</v>
      </c>
      <c r="AK150" s="32">
        <v>113.7</v>
      </c>
      <c r="AL150" s="32">
        <v>73.7</v>
      </c>
      <c r="AM150" s="32">
        <v>49.3</v>
      </c>
      <c r="AN150" s="32">
        <v>81</v>
      </c>
      <c r="AO150" s="32">
        <v>123.6</v>
      </c>
      <c r="AP150" s="32">
        <v>123.6</v>
      </c>
      <c r="AQ150" s="32">
        <v>74.7</v>
      </c>
      <c r="AR150" s="32">
        <v>74.8</v>
      </c>
      <c r="AS150" s="32">
        <v>76</v>
      </c>
      <c r="AT150" s="32">
        <v>78.900000000000006</v>
      </c>
      <c r="AU150" s="32">
        <v>72.900000000000006</v>
      </c>
      <c r="AV150" s="32">
        <v>81.599999999999994</v>
      </c>
      <c r="AW150" s="32">
        <v>88.4</v>
      </c>
      <c r="AX150" s="32">
        <v>45.9</v>
      </c>
      <c r="AY150" s="32">
        <v>223.3</v>
      </c>
      <c r="AZ150" s="32">
        <v>81.900000000000006</v>
      </c>
      <c r="BA150" s="32">
        <v>83.7</v>
      </c>
      <c r="BB150" s="32">
        <v>83.7</v>
      </c>
      <c r="BC150" s="32">
        <v>94.5</v>
      </c>
      <c r="BD150" s="32">
        <v>94.5</v>
      </c>
      <c r="BE150" s="32">
        <v>99.3</v>
      </c>
      <c r="BF150" s="32">
        <v>99.3</v>
      </c>
      <c r="BG150" s="32">
        <v>90.4</v>
      </c>
      <c r="BH150" s="32">
        <v>66.2</v>
      </c>
      <c r="BI150" s="32">
        <v>112.4</v>
      </c>
      <c r="BJ150" s="32">
        <v>68.5</v>
      </c>
      <c r="BK150" s="32">
        <v>138.80000000000001</v>
      </c>
      <c r="BL150" s="32">
        <v>51.9</v>
      </c>
      <c r="BM150" s="32">
        <v>91.8</v>
      </c>
      <c r="BN150" s="32">
        <v>94.8</v>
      </c>
      <c r="BO150" s="32">
        <v>83.6</v>
      </c>
      <c r="BP150" s="32">
        <v>106</v>
      </c>
      <c r="BQ150" s="32">
        <v>88.1</v>
      </c>
      <c r="BR150" s="32">
        <v>65.099999999999994</v>
      </c>
      <c r="BS150" s="32">
        <v>113.8</v>
      </c>
      <c r="BT150" s="32">
        <v>82.1</v>
      </c>
      <c r="BU150" s="32">
        <v>90.1</v>
      </c>
      <c r="BV150" s="32">
        <v>90.1</v>
      </c>
      <c r="BW150" s="32">
        <v>126</v>
      </c>
      <c r="BX150" s="32">
        <v>39.1</v>
      </c>
      <c r="BY150" s="32">
        <v>97</v>
      </c>
      <c r="BZ150" s="32">
        <v>94.4</v>
      </c>
      <c r="CA150" s="32">
        <v>98.4</v>
      </c>
      <c r="CB150" s="32">
        <v>109.8</v>
      </c>
      <c r="CC150" s="32">
        <v>93.3</v>
      </c>
      <c r="CD150" s="32">
        <v>22.2</v>
      </c>
      <c r="CE150" s="32">
        <v>79.400000000000006</v>
      </c>
      <c r="CF150" s="32">
        <v>80.5</v>
      </c>
      <c r="CG150" s="32">
        <v>85.3</v>
      </c>
      <c r="CH150" s="32">
        <v>84.4</v>
      </c>
      <c r="CI150" s="32">
        <v>78.400000000000006</v>
      </c>
      <c r="CJ150" s="32">
        <v>85.4</v>
      </c>
      <c r="CK150" s="32">
        <v>86</v>
      </c>
      <c r="CL150" s="32">
        <v>90.2</v>
      </c>
      <c r="CM150" s="32">
        <v>92.6</v>
      </c>
      <c r="CN150" s="32">
        <v>67</v>
      </c>
      <c r="CO150" s="32">
        <v>99.6</v>
      </c>
      <c r="CP150" s="32">
        <v>105.6</v>
      </c>
      <c r="CQ150" s="32">
        <v>26.1</v>
      </c>
      <c r="CR150" s="32">
        <v>92.2</v>
      </c>
      <c r="CS150" s="32">
        <v>123</v>
      </c>
      <c r="CT150" s="32">
        <v>83.4</v>
      </c>
      <c r="CU150" s="32">
        <v>61.4</v>
      </c>
      <c r="CV150" s="32">
        <v>93.2</v>
      </c>
      <c r="CW150" s="32">
        <v>43.2</v>
      </c>
      <c r="CX150" s="32">
        <v>96.8</v>
      </c>
      <c r="CY150" s="32">
        <v>100.9</v>
      </c>
      <c r="CZ150" s="32">
        <v>95.3</v>
      </c>
      <c r="DA150" s="32">
        <v>84.7</v>
      </c>
      <c r="DB150" s="32">
        <v>115</v>
      </c>
      <c r="DC150" s="32">
        <v>11.2</v>
      </c>
      <c r="DD150" s="32">
        <v>11.2</v>
      </c>
      <c r="DE150" s="32">
        <v>70.900000000000006</v>
      </c>
      <c r="DF150" s="32">
        <v>69.3</v>
      </c>
      <c r="DG150" s="32">
        <v>79.8</v>
      </c>
      <c r="DH150" s="32">
        <v>106.4</v>
      </c>
      <c r="DI150" s="32">
        <v>149.80000000000001</v>
      </c>
      <c r="DJ150" s="32">
        <v>83.1</v>
      </c>
      <c r="DK150" s="32">
        <v>83.1</v>
      </c>
      <c r="DL150" s="32">
        <v>63.4</v>
      </c>
      <c r="DM150" s="32">
        <v>75.599999999999994</v>
      </c>
      <c r="DN150" s="32">
        <v>61.8</v>
      </c>
      <c r="DO150" s="32">
        <v>82.2</v>
      </c>
      <c r="DP150" s="32">
        <v>54.5</v>
      </c>
      <c r="DQ150" s="32">
        <v>74.900000000000006</v>
      </c>
      <c r="DR150" s="32">
        <v>81.2</v>
      </c>
      <c r="DS150" s="32">
        <v>80.8</v>
      </c>
      <c r="DT150" s="32">
        <v>77.400000000000006</v>
      </c>
      <c r="DU150" s="32">
        <v>75.7</v>
      </c>
      <c r="DV150" s="32">
        <v>81.3</v>
      </c>
      <c r="DW150" s="32">
        <v>69.099999999999994</v>
      </c>
      <c r="DX150" s="32">
        <v>81.400000000000006</v>
      </c>
      <c r="DY150" s="32">
        <v>91.6</v>
      </c>
      <c r="DZ150" s="32">
        <v>122.3</v>
      </c>
      <c r="EA150" s="32">
        <v>122.3</v>
      </c>
      <c r="EB150" s="32">
        <v>69.099999999999994</v>
      </c>
      <c r="EC150" s="32">
        <v>67.8</v>
      </c>
      <c r="ED150" s="32">
        <v>71.2</v>
      </c>
      <c r="EE150" s="32">
        <v>72.3</v>
      </c>
      <c r="EF150" s="32">
        <v>68.2</v>
      </c>
      <c r="EG150" s="32">
        <v>65.900000000000006</v>
      </c>
      <c r="EH150" s="32">
        <v>73.099999999999994</v>
      </c>
      <c r="EI150" s="32">
        <v>64.3</v>
      </c>
      <c r="EJ150" s="32">
        <v>65.7</v>
      </c>
      <c r="EK150" s="32">
        <v>63.5</v>
      </c>
      <c r="EL150" s="32">
        <v>68</v>
      </c>
      <c r="EM150" s="32">
        <v>59.8</v>
      </c>
      <c r="EN150" s="32">
        <v>64.599999999999994</v>
      </c>
      <c r="EO150" s="32">
        <v>89.1</v>
      </c>
      <c r="EP150" s="32">
        <v>96.2</v>
      </c>
      <c r="EQ150" s="32">
        <v>96.2</v>
      </c>
      <c r="ER150" s="32">
        <v>86.7</v>
      </c>
      <c r="ES150" s="32">
        <v>86.7</v>
      </c>
      <c r="ET150" s="32">
        <v>86.4</v>
      </c>
      <c r="EU150" s="32">
        <v>85.2</v>
      </c>
      <c r="EV150" s="32">
        <v>85.2</v>
      </c>
      <c r="EW150" s="32">
        <v>89.2</v>
      </c>
      <c r="EX150" s="32">
        <v>102.7</v>
      </c>
      <c r="EY150" s="32">
        <v>78.5</v>
      </c>
      <c r="EZ150" s="32">
        <v>88.8</v>
      </c>
      <c r="FA150" s="32">
        <v>99.8</v>
      </c>
      <c r="FB150" s="32">
        <v>105.5</v>
      </c>
      <c r="FC150" s="32">
        <v>84.4</v>
      </c>
      <c r="FD150" s="32">
        <v>115.6</v>
      </c>
      <c r="FE150" s="32">
        <v>134.9</v>
      </c>
      <c r="FF150" s="32">
        <v>93.1</v>
      </c>
      <c r="FG150" s="32">
        <v>84</v>
      </c>
      <c r="FH150" s="32">
        <v>90.2</v>
      </c>
      <c r="FI150" s="32">
        <v>79.400000000000006</v>
      </c>
      <c r="FJ150" s="32">
        <v>82</v>
      </c>
      <c r="FK150" s="32">
        <v>54</v>
      </c>
      <c r="FL150" s="32">
        <v>54</v>
      </c>
    </row>
    <row r="151" spans="1:168" x14ac:dyDescent="0.2">
      <c r="A151" s="34" t="s">
        <v>1131</v>
      </c>
      <c r="B151" s="32">
        <v>82.3</v>
      </c>
      <c r="C151" s="32">
        <v>101.4</v>
      </c>
      <c r="D151" s="32">
        <v>89.1</v>
      </c>
      <c r="E151" s="32">
        <v>93.9</v>
      </c>
      <c r="F151" s="32">
        <v>162.1</v>
      </c>
      <c r="G151" s="32">
        <v>4752.3</v>
      </c>
      <c r="H151" s="32">
        <v>183</v>
      </c>
      <c r="I151" s="32">
        <v>59.5</v>
      </c>
      <c r="J151" s="32">
        <v>86.4</v>
      </c>
      <c r="K151" s="32">
        <v>98.4</v>
      </c>
      <c r="L151" s="32">
        <v>92.3</v>
      </c>
      <c r="M151" s="32">
        <v>97.3</v>
      </c>
      <c r="N151" s="32">
        <v>70</v>
      </c>
      <c r="O151" s="32">
        <v>102</v>
      </c>
      <c r="P151" s="32">
        <v>168.9</v>
      </c>
      <c r="Q151" s="32">
        <v>135</v>
      </c>
      <c r="R151" s="32">
        <v>104.3</v>
      </c>
      <c r="S151" s="32">
        <v>108.4</v>
      </c>
      <c r="T151" s="32">
        <v>72.2</v>
      </c>
      <c r="U151" s="32">
        <v>58.2</v>
      </c>
      <c r="V151" s="32">
        <v>149.80000000000001</v>
      </c>
      <c r="W151" s="32">
        <v>54.6</v>
      </c>
      <c r="X151" s="32">
        <v>50.2</v>
      </c>
      <c r="Y151" s="32">
        <v>50.4</v>
      </c>
      <c r="Z151" s="32">
        <v>92.1</v>
      </c>
      <c r="AA151" s="32">
        <v>84.1</v>
      </c>
      <c r="AB151" s="32">
        <v>66.5</v>
      </c>
      <c r="AC151" s="32">
        <v>67</v>
      </c>
      <c r="AD151" s="32">
        <v>112.4</v>
      </c>
      <c r="AE151" s="32">
        <v>129.1</v>
      </c>
      <c r="AF151" s="32">
        <v>129.1</v>
      </c>
      <c r="AG151" s="32">
        <v>56</v>
      </c>
      <c r="AH151" s="32">
        <v>56</v>
      </c>
      <c r="AI151" s="32">
        <v>133.4</v>
      </c>
      <c r="AJ151" s="32">
        <v>33.5</v>
      </c>
      <c r="AK151" s="32">
        <v>120.9</v>
      </c>
      <c r="AL151" s="32">
        <v>70.3</v>
      </c>
      <c r="AM151" s="32">
        <v>47.9</v>
      </c>
      <c r="AN151" s="32">
        <v>75.3</v>
      </c>
      <c r="AO151" s="32">
        <v>132.6</v>
      </c>
      <c r="AP151" s="32">
        <v>132.6</v>
      </c>
      <c r="AQ151" s="32">
        <v>72.5</v>
      </c>
      <c r="AR151" s="32">
        <v>74.2</v>
      </c>
      <c r="AS151" s="32">
        <v>71.5</v>
      </c>
      <c r="AT151" s="32">
        <v>75.8</v>
      </c>
      <c r="AU151" s="32">
        <v>67.400000000000006</v>
      </c>
      <c r="AV151" s="32">
        <v>79.3</v>
      </c>
      <c r="AW151" s="32">
        <v>84.8</v>
      </c>
      <c r="AX151" s="32">
        <v>45.8</v>
      </c>
      <c r="AY151" s="32">
        <v>205.5</v>
      </c>
      <c r="AZ151" s="32">
        <v>79.900000000000006</v>
      </c>
      <c r="BA151" s="32">
        <v>83.2</v>
      </c>
      <c r="BB151" s="32">
        <v>83.2</v>
      </c>
      <c r="BC151" s="32">
        <v>96.4</v>
      </c>
      <c r="BD151" s="32">
        <v>96.4</v>
      </c>
      <c r="BE151" s="32">
        <v>94.8</v>
      </c>
      <c r="BF151" s="32">
        <v>94.8</v>
      </c>
      <c r="BG151" s="32">
        <v>89.2</v>
      </c>
      <c r="BH151" s="32">
        <v>65</v>
      </c>
      <c r="BI151" s="32">
        <v>111</v>
      </c>
      <c r="BJ151" s="32">
        <v>67.5</v>
      </c>
      <c r="BK151" s="32">
        <v>137.80000000000001</v>
      </c>
      <c r="BL151" s="32">
        <v>47.7</v>
      </c>
      <c r="BM151" s="32">
        <v>93.6</v>
      </c>
      <c r="BN151" s="32">
        <v>97.2</v>
      </c>
      <c r="BO151" s="32">
        <v>87.9</v>
      </c>
      <c r="BP151" s="32">
        <v>106.5</v>
      </c>
      <c r="BQ151" s="32">
        <v>89.2</v>
      </c>
      <c r="BR151" s="32">
        <v>60</v>
      </c>
      <c r="BS151" s="32">
        <v>117.7</v>
      </c>
      <c r="BT151" s="32">
        <v>83.6</v>
      </c>
      <c r="BU151" s="32">
        <v>89.2</v>
      </c>
      <c r="BV151" s="32">
        <v>89.2</v>
      </c>
      <c r="BW151" s="32">
        <v>124.7</v>
      </c>
      <c r="BX151" s="32">
        <v>38.799999999999997</v>
      </c>
      <c r="BY151" s="32">
        <v>99</v>
      </c>
      <c r="BZ151" s="32">
        <v>92.4</v>
      </c>
      <c r="CA151" s="32">
        <v>102.4</v>
      </c>
      <c r="CB151" s="32">
        <v>109.1</v>
      </c>
      <c r="CC151" s="32">
        <v>102</v>
      </c>
      <c r="CD151" s="32">
        <v>22.6</v>
      </c>
      <c r="CE151" s="32">
        <v>77.400000000000006</v>
      </c>
      <c r="CF151" s="32">
        <v>80.5</v>
      </c>
      <c r="CG151" s="32">
        <v>83.8</v>
      </c>
      <c r="CH151" s="32">
        <v>83.3</v>
      </c>
      <c r="CI151" s="32">
        <v>79.599999999999994</v>
      </c>
      <c r="CJ151" s="32">
        <v>85.9</v>
      </c>
      <c r="CK151" s="32">
        <v>82.8</v>
      </c>
      <c r="CL151" s="32">
        <v>87.7</v>
      </c>
      <c r="CM151" s="32">
        <v>90.1</v>
      </c>
      <c r="CN151" s="32">
        <v>66.2</v>
      </c>
      <c r="CO151" s="32">
        <v>96.8</v>
      </c>
      <c r="CP151" s="32">
        <v>98.1</v>
      </c>
      <c r="CQ151" s="32">
        <v>25.5</v>
      </c>
      <c r="CR151" s="32">
        <v>89.2</v>
      </c>
      <c r="CS151" s="32">
        <v>122.3</v>
      </c>
      <c r="CT151" s="32">
        <v>82.2</v>
      </c>
      <c r="CU151" s="32">
        <v>59.7</v>
      </c>
      <c r="CV151" s="32">
        <v>92.4</v>
      </c>
      <c r="CW151" s="32">
        <v>43.7</v>
      </c>
      <c r="CX151" s="32">
        <v>96.7</v>
      </c>
      <c r="CY151" s="32">
        <v>106.4</v>
      </c>
      <c r="CZ151" s="32">
        <v>91.7</v>
      </c>
      <c r="DA151" s="32">
        <v>78.900000000000006</v>
      </c>
      <c r="DB151" s="32">
        <v>116.4</v>
      </c>
      <c r="DC151" s="32">
        <v>11.5</v>
      </c>
      <c r="DD151" s="32">
        <v>11.5</v>
      </c>
      <c r="DE151" s="32">
        <v>71.2</v>
      </c>
      <c r="DF151" s="32">
        <v>68.599999999999994</v>
      </c>
      <c r="DG151" s="32">
        <v>86.8</v>
      </c>
      <c r="DH151" s="32">
        <v>111.5</v>
      </c>
      <c r="DI151" s="32">
        <v>152.80000000000001</v>
      </c>
      <c r="DJ151" s="32">
        <v>83.7</v>
      </c>
      <c r="DK151" s="32">
        <v>83.7</v>
      </c>
      <c r="DL151" s="32">
        <v>74.7</v>
      </c>
      <c r="DM151" s="32">
        <v>75.400000000000006</v>
      </c>
      <c r="DN151" s="32">
        <v>61.8</v>
      </c>
      <c r="DO151" s="32">
        <v>81.8</v>
      </c>
      <c r="DP151" s="32">
        <v>57.1</v>
      </c>
      <c r="DQ151" s="32">
        <v>74.400000000000006</v>
      </c>
      <c r="DR151" s="32">
        <v>80.8</v>
      </c>
      <c r="DS151" s="32">
        <v>79.900000000000006</v>
      </c>
      <c r="DT151" s="32">
        <v>76.3</v>
      </c>
      <c r="DU151" s="32">
        <v>75.099999999999994</v>
      </c>
      <c r="DV151" s="32">
        <v>81.3</v>
      </c>
      <c r="DW151" s="32">
        <v>68</v>
      </c>
      <c r="DX151" s="32">
        <v>78.900000000000006</v>
      </c>
      <c r="DY151" s="32">
        <v>91.7</v>
      </c>
      <c r="DZ151" s="32">
        <v>126.9</v>
      </c>
      <c r="EA151" s="32">
        <v>126.9</v>
      </c>
      <c r="EB151" s="32">
        <v>68.5</v>
      </c>
      <c r="EC151" s="32">
        <v>67.7</v>
      </c>
      <c r="ED151" s="32">
        <v>70</v>
      </c>
      <c r="EE151" s="32">
        <v>70.099999999999994</v>
      </c>
      <c r="EF151" s="32">
        <v>69.5</v>
      </c>
      <c r="EG151" s="32">
        <v>65.3</v>
      </c>
      <c r="EH151" s="32">
        <v>72.599999999999994</v>
      </c>
      <c r="EI151" s="32">
        <v>62.8</v>
      </c>
      <c r="EJ151" s="32">
        <v>63.4</v>
      </c>
      <c r="EK151" s="32">
        <v>63.9</v>
      </c>
      <c r="EL151" s="32">
        <v>70.900000000000006</v>
      </c>
      <c r="EM151" s="32">
        <v>60.6</v>
      </c>
      <c r="EN151" s="32">
        <v>64.099999999999994</v>
      </c>
      <c r="EO151" s="32">
        <v>88.9</v>
      </c>
      <c r="EP151" s="32">
        <v>96.3</v>
      </c>
      <c r="EQ151" s="32">
        <v>96.3</v>
      </c>
      <c r="ER151" s="32">
        <v>86.6</v>
      </c>
      <c r="ES151" s="32">
        <v>86.6</v>
      </c>
      <c r="ET151" s="32">
        <v>85.9</v>
      </c>
      <c r="EU151" s="32">
        <v>84.7</v>
      </c>
      <c r="EV151" s="32">
        <v>84.7</v>
      </c>
      <c r="EW151" s="32">
        <v>88.6</v>
      </c>
      <c r="EX151" s="32">
        <v>102.6</v>
      </c>
      <c r="EY151" s="32">
        <v>77.599999999999994</v>
      </c>
      <c r="EZ151" s="32">
        <v>88.5</v>
      </c>
      <c r="FA151" s="32">
        <v>99.8</v>
      </c>
      <c r="FB151" s="32">
        <v>107.5</v>
      </c>
      <c r="FC151" s="32">
        <v>88</v>
      </c>
      <c r="FD151" s="32">
        <v>116.5</v>
      </c>
      <c r="FE151" s="32">
        <v>134.69999999999999</v>
      </c>
      <c r="FF151" s="32">
        <v>90.6</v>
      </c>
      <c r="FG151" s="32">
        <v>84</v>
      </c>
      <c r="FH151" s="32">
        <v>89.4</v>
      </c>
      <c r="FI151" s="32">
        <v>80.7</v>
      </c>
      <c r="FJ151" s="32">
        <v>82.2</v>
      </c>
      <c r="FK151" s="32">
        <v>49.5</v>
      </c>
      <c r="FL151" s="32">
        <v>49.5</v>
      </c>
    </row>
    <row r="152" spans="1:168" x14ac:dyDescent="0.2">
      <c r="A152" s="34" t="s">
        <v>1132</v>
      </c>
      <c r="B152" s="32">
        <v>81.5</v>
      </c>
      <c r="C152" s="32">
        <v>100.3</v>
      </c>
      <c r="D152" s="32">
        <v>88.2</v>
      </c>
      <c r="E152" s="32">
        <v>93.2</v>
      </c>
      <c r="F152" s="32">
        <v>156.19999999999999</v>
      </c>
      <c r="G152" s="32">
        <v>5435.1</v>
      </c>
      <c r="H152" s="32">
        <v>174.9</v>
      </c>
      <c r="I152" s="32">
        <v>60.1</v>
      </c>
      <c r="J152" s="32">
        <v>85.9</v>
      </c>
      <c r="K152" s="32">
        <v>100.4</v>
      </c>
      <c r="L152" s="32">
        <v>94.6</v>
      </c>
      <c r="M152" s="32">
        <v>103.2</v>
      </c>
      <c r="N152" s="32">
        <v>71.7</v>
      </c>
      <c r="O152" s="32">
        <v>115.7</v>
      </c>
      <c r="P152" s="32">
        <v>169</v>
      </c>
      <c r="Q152" s="32">
        <v>144.6</v>
      </c>
      <c r="R152" s="32">
        <v>104.1</v>
      </c>
      <c r="S152" s="32">
        <v>111.2</v>
      </c>
      <c r="T152" s="32">
        <v>72.8</v>
      </c>
      <c r="U152" s="32">
        <v>59.8</v>
      </c>
      <c r="V152" s="32">
        <v>149.6</v>
      </c>
      <c r="W152" s="32">
        <v>54</v>
      </c>
      <c r="X152" s="32">
        <v>50.6</v>
      </c>
      <c r="Y152" s="32">
        <v>47.3</v>
      </c>
      <c r="Z152" s="32">
        <v>94.4</v>
      </c>
      <c r="AA152" s="32">
        <v>84.2</v>
      </c>
      <c r="AB152" s="32">
        <v>62.2</v>
      </c>
      <c r="AC152" s="32">
        <v>65.2</v>
      </c>
      <c r="AD152" s="32">
        <v>116.7</v>
      </c>
      <c r="AE152" s="32">
        <v>120.2</v>
      </c>
      <c r="AF152" s="32">
        <v>120.2</v>
      </c>
      <c r="AG152" s="32">
        <v>57</v>
      </c>
      <c r="AH152" s="32">
        <v>57</v>
      </c>
      <c r="AI152" s="32">
        <v>158.1</v>
      </c>
      <c r="AJ152" s="32">
        <v>33.9</v>
      </c>
      <c r="AK152" s="32">
        <v>130.6</v>
      </c>
      <c r="AL152" s="32">
        <v>70.2</v>
      </c>
      <c r="AM152" s="32">
        <v>47.7</v>
      </c>
      <c r="AN152" s="32">
        <v>66</v>
      </c>
      <c r="AO152" s="32">
        <v>130.4</v>
      </c>
      <c r="AP152" s="32">
        <v>130.4</v>
      </c>
      <c r="AQ152" s="32">
        <v>71.3</v>
      </c>
      <c r="AR152" s="32">
        <v>71.400000000000006</v>
      </c>
      <c r="AS152" s="32">
        <v>72.599999999999994</v>
      </c>
      <c r="AT152" s="32">
        <v>73.5</v>
      </c>
      <c r="AU152" s="32">
        <v>71.3</v>
      </c>
      <c r="AV152" s="32">
        <v>76.7</v>
      </c>
      <c r="AW152" s="32">
        <v>83.1</v>
      </c>
      <c r="AX152" s="32">
        <v>48.6</v>
      </c>
      <c r="AY152" s="32">
        <v>184.8</v>
      </c>
      <c r="AZ152" s="32">
        <v>77</v>
      </c>
      <c r="BA152" s="32">
        <v>83.2</v>
      </c>
      <c r="BB152" s="32">
        <v>83.2</v>
      </c>
      <c r="BC152" s="32">
        <v>92.4</v>
      </c>
      <c r="BD152" s="32">
        <v>92.4</v>
      </c>
      <c r="BE152" s="32">
        <v>90.5</v>
      </c>
      <c r="BF152" s="32">
        <v>90.5</v>
      </c>
      <c r="BG152" s="32">
        <v>90.6</v>
      </c>
      <c r="BH152" s="32">
        <v>71.7</v>
      </c>
      <c r="BI152" s="32">
        <v>107.2</v>
      </c>
      <c r="BJ152" s="32">
        <v>65.3</v>
      </c>
      <c r="BK152" s="32">
        <v>133.9</v>
      </c>
      <c r="BL152" s="32">
        <v>42.2</v>
      </c>
      <c r="BM152" s="32">
        <v>92.7</v>
      </c>
      <c r="BN152" s="32">
        <v>95.4</v>
      </c>
      <c r="BO152" s="32">
        <v>80.7</v>
      </c>
      <c r="BP152" s="32">
        <v>110</v>
      </c>
      <c r="BQ152" s="32">
        <v>89.2</v>
      </c>
      <c r="BR152" s="32">
        <v>65.8</v>
      </c>
      <c r="BS152" s="32">
        <v>130.1</v>
      </c>
      <c r="BT152" s="32">
        <v>80.5</v>
      </c>
      <c r="BU152" s="32">
        <v>89</v>
      </c>
      <c r="BV152" s="32">
        <v>89</v>
      </c>
      <c r="BW152" s="32">
        <v>126.2</v>
      </c>
      <c r="BX152" s="32">
        <v>37.1</v>
      </c>
      <c r="BY152" s="32">
        <v>100.5</v>
      </c>
      <c r="BZ152" s="32">
        <v>89</v>
      </c>
      <c r="CA152" s="32">
        <v>106.6</v>
      </c>
      <c r="CB152" s="32">
        <v>111.6</v>
      </c>
      <c r="CC152" s="32">
        <v>108</v>
      </c>
      <c r="CD152" s="32">
        <v>23.6</v>
      </c>
      <c r="CE152" s="32">
        <v>76.099999999999994</v>
      </c>
      <c r="CF152" s="32">
        <v>79.8</v>
      </c>
      <c r="CG152" s="32">
        <v>81.7</v>
      </c>
      <c r="CH152" s="32">
        <v>80.7</v>
      </c>
      <c r="CI152" s="32">
        <v>70.900000000000006</v>
      </c>
      <c r="CJ152" s="32">
        <v>82.8</v>
      </c>
      <c r="CK152" s="32">
        <v>82.5</v>
      </c>
      <c r="CL152" s="32">
        <v>85.3</v>
      </c>
      <c r="CM152" s="32">
        <v>88.2</v>
      </c>
      <c r="CN152" s="32">
        <v>66.5</v>
      </c>
      <c r="CO152" s="32">
        <v>94.3</v>
      </c>
      <c r="CP152" s="32">
        <v>89.6</v>
      </c>
      <c r="CQ152" s="32">
        <v>24.6</v>
      </c>
      <c r="CR152" s="32">
        <v>87.2</v>
      </c>
      <c r="CS152" s="32">
        <v>119.2</v>
      </c>
      <c r="CT152" s="32">
        <v>82.2</v>
      </c>
      <c r="CU152" s="32">
        <v>60.6</v>
      </c>
      <c r="CV152" s="32">
        <v>92</v>
      </c>
      <c r="CW152" s="32">
        <v>43.8</v>
      </c>
      <c r="CX152" s="32">
        <v>95.7</v>
      </c>
      <c r="CY152" s="32">
        <v>106.8</v>
      </c>
      <c r="CZ152" s="32">
        <v>89.9</v>
      </c>
      <c r="DA152" s="32">
        <v>76.2</v>
      </c>
      <c r="DB152" s="32">
        <v>116.3</v>
      </c>
      <c r="DC152" s="32">
        <v>11.9</v>
      </c>
      <c r="DD152" s="32">
        <v>11.9</v>
      </c>
      <c r="DE152" s="32">
        <v>70.2</v>
      </c>
      <c r="DF152" s="32">
        <v>67.400000000000006</v>
      </c>
      <c r="DG152" s="32">
        <v>86.8</v>
      </c>
      <c r="DH152" s="32">
        <v>110.4</v>
      </c>
      <c r="DI152" s="32">
        <v>149.80000000000001</v>
      </c>
      <c r="DJ152" s="32">
        <v>82.7</v>
      </c>
      <c r="DK152" s="32">
        <v>82.7</v>
      </c>
      <c r="DL152" s="32">
        <v>75.8</v>
      </c>
      <c r="DM152" s="32">
        <v>75.099999999999994</v>
      </c>
      <c r="DN152" s="32">
        <v>61.5</v>
      </c>
      <c r="DO152" s="32">
        <v>81.400000000000006</v>
      </c>
      <c r="DP152" s="32">
        <v>58</v>
      </c>
      <c r="DQ152" s="32">
        <v>72.900000000000006</v>
      </c>
      <c r="DR152" s="32">
        <v>79.099999999999994</v>
      </c>
      <c r="DS152" s="32">
        <v>78.3</v>
      </c>
      <c r="DT152" s="32">
        <v>75.599999999999994</v>
      </c>
      <c r="DU152" s="32">
        <v>74.8</v>
      </c>
      <c r="DV152" s="32">
        <v>81.900000000000006</v>
      </c>
      <c r="DW152" s="32">
        <v>66.599999999999994</v>
      </c>
      <c r="DX152" s="32">
        <v>77.3</v>
      </c>
      <c r="DY152" s="32">
        <v>87.4</v>
      </c>
      <c r="DZ152" s="32">
        <v>120.3</v>
      </c>
      <c r="EA152" s="32">
        <v>120.3</v>
      </c>
      <c r="EB152" s="32">
        <v>68.400000000000006</v>
      </c>
      <c r="EC152" s="32">
        <v>66.900000000000006</v>
      </c>
      <c r="ED152" s="32">
        <v>70.7</v>
      </c>
      <c r="EE152" s="32">
        <v>71.2</v>
      </c>
      <c r="EF152" s="32">
        <v>69.400000000000006</v>
      </c>
      <c r="EG152" s="32">
        <v>64.099999999999994</v>
      </c>
      <c r="EH152" s="32">
        <v>70.599999999999994</v>
      </c>
      <c r="EI152" s="32">
        <v>62.9</v>
      </c>
      <c r="EJ152" s="32">
        <v>59.3</v>
      </c>
      <c r="EK152" s="32">
        <v>62.7</v>
      </c>
      <c r="EL152" s="32">
        <v>68.7</v>
      </c>
      <c r="EM152" s="32">
        <v>58.4</v>
      </c>
      <c r="EN152" s="32">
        <v>63.9</v>
      </c>
      <c r="EO152" s="32">
        <v>89.6</v>
      </c>
      <c r="EP152" s="32">
        <v>96.4</v>
      </c>
      <c r="EQ152" s="32">
        <v>96.4</v>
      </c>
      <c r="ER152" s="32">
        <v>88.8</v>
      </c>
      <c r="ES152" s="32">
        <v>88.8</v>
      </c>
      <c r="ET152" s="32">
        <v>85.7</v>
      </c>
      <c r="EU152" s="32">
        <v>84.7</v>
      </c>
      <c r="EV152" s="32">
        <v>84.7</v>
      </c>
      <c r="EW152" s="32">
        <v>88.2</v>
      </c>
      <c r="EX152" s="32">
        <v>102.4</v>
      </c>
      <c r="EY152" s="32">
        <v>77</v>
      </c>
      <c r="EZ152" s="32">
        <v>86.2</v>
      </c>
      <c r="FA152" s="32">
        <v>95.6</v>
      </c>
      <c r="FB152" s="32">
        <v>101.7</v>
      </c>
      <c r="FC152" s="32">
        <v>78.8</v>
      </c>
      <c r="FD152" s="32">
        <v>116</v>
      </c>
      <c r="FE152" s="32">
        <v>132.30000000000001</v>
      </c>
      <c r="FF152" s="32">
        <v>88.4</v>
      </c>
      <c r="FG152" s="32">
        <v>82.6</v>
      </c>
      <c r="FH152" s="32">
        <v>88.3</v>
      </c>
      <c r="FI152" s="32">
        <v>80.3</v>
      </c>
      <c r="FJ152" s="32">
        <v>80.5</v>
      </c>
      <c r="FK152" s="32">
        <v>50.8</v>
      </c>
      <c r="FL152" s="32">
        <v>50.8</v>
      </c>
    </row>
    <row r="153" spans="1:168" x14ac:dyDescent="0.2">
      <c r="A153" s="34" t="s">
        <v>1133</v>
      </c>
      <c r="B153" s="32">
        <v>82.3</v>
      </c>
      <c r="C153" s="32">
        <v>99.3</v>
      </c>
      <c r="D153" s="32">
        <v>89.1</v>
      </c>
      <c r="E153" s="32">
        <v>94.5</v>
      </c>
      <c r="F153" s="32">
        <v>162</v>
      </c>
      <c r="G153" s="32">
        <v>5095.5</v>
      </c>
      <c r="H153" s="32">
        <v>182.4</v>
      </c>
      <c r="I153" s="32">
        <v>60.8</v>
      </c>
      <c r="J153" s="32">
        <v>86.8</v>
      </c>
      <c r="K153" s="32">
        <v>98.7</v>
      </c>
      <c r="L153" s="32">
        <v>91</v>
      </c>
      <c r="M153" s="32">
        <v>106.4</v>
      </c>
      <c r="N153" s="32">
        <v>71.900000000000006</v>
      </c>
      <c r="O153" s="32">
        <v>131.4</v>
      </c>
      <c r="P153" s="32">
        <v>171.4</v>
      </c>
      <c r="Q153" s="32">
        <v>149.19999999999999</v>
      </c>
      <c r="R153" s="32">
        <v>99.2</v>
      </c>
      <c r="S153" s="32">
        <v>98.3</v>
      </c>
      <c r="T153" s="32">
        <v>70.400000000000006</v>
      </c>
      <c r="U153" s="32">
        <v>61.3</v>
      </c>
      <c r="V153" s="32">
        <v>157.30000000000001</v>
      </c>
      <c r="W153" s="32">
        <v>57.2</v>
      </c>
      <c r="X153" s="32">
        <v>55.1</v>
      </c>
      <c r="Y153" s="32">
        <v>46.5</v>
      </c>
      <c r="Z153" s="32">
        <v>99.4</v>
      </c>
      <c r="AA153" s="32">
        <v>83.9</v>
      </c>
      <c r="AB153" s="32">
        <v>59.2</v>
      </c>
      <c r="AC153" s="32">
        <v>67.2</v>
      </c>
      <c r="AD153" s="32">
        <v>116.3</v>
      </c>
      <c r="AE153" s="32">
        <v>112.1</v>
      </c>
      <c r="AF153" s="32">
        <v>112.1</v>
      </c>
      <c r="AG153" s="32">
        <v>57.9</v>
      </c>
      <c r="AH153" s="32">
        <v>57.9</v>
      </c>
      <c r="AI153" s="32">
        <v>158.6</v>
      </c>
      <c r="AJ153" s="32">
        <v>34.299999999999997</v>
      </c>
      <c r="AK153" s="32">
        <v>132.6</v>
      </c>
      <c r="AL153" s="32">
        <v>73.400000000000006</v>
      </c>
      <c r="AM153" s="32">
        <v>48.4</v>
      </c>
      <c r="AN153" s="32">
        <v>66.099999999999994</v>
      </c>
      <c r="AO153" s="32">
        <v>136.19999999999999</v>
      </c>
      <c r="AP153" s="32">
        <v>136.19999999999999</v>
      </c>
      <c r="AQ153" s="32">
        <v>75</v>
      </c>
      <c r="AR153" s="32">
        <v>75.8</v>
      </c>
      <c r="AS153" s="32">
        <v>75.3</v>
      </c>
      <c r="AT153" s="32">
        <v>78.5</v>
      </c>
      <c r="AU153" s="32">
        <v>72.099999999999994</v>
      </c>
      <c r="AV153" s="32">
        <v>75.5</v>
      </c>
      <c r="AW153" s="32">
        <v>82.8</v>
      </c>
      <c r="AX153" s="32">
        <v>49.9</v>
      </c>
      <c r="AY153" s="32">
        <v>177</v>
      </c>
      <c r="AZ153" s="32">
        <v>75.7</v>
      </c>
      <c r="BA153" s="32">
        <v>88.3</v>
      </c>
      <c r="BB153" s="32">
        <v>88.3</v>
      </c>
      <c r="BC153" s="32">
        <v>99.8</v>
      </c>
      <c r="BD153" s="32">
        <v>99.8</v>
      </c>
      <c r="BE153" s="32">
        <v>89.6</v>
      </c>
      <c r="BF153" s="32">
        <v>89.6</v>
      </c>
      <c r="BG153" s="32">
        <v>90.4</v>
      </c>
      <c r="BH153" s="32">
        <v>73.2</v>
      </c>
      <c r="BI153" s="32">
        <v>105.3</v>
      </c>
      <c r="BJ153" s="32">
        <v>62.1</v>
      </c>
      <c r="BK153" s="32">
        <v>132.80000000000001</v>
      </c>
      <c r="BL153" s="32">
        <v>39.6</v>
      </c>
      <c r="BM153" s="32">
        <v>93.5</v>
      </c>
      <c r="BN153" s="32">
        <v>95.5</v>
      </c>
      <c r="BO153" s="32">
        <v>84.3</v>
      </c>
      <c r="BP153" s="32">
        <v>106.7</v>
      </c>
      <c r="BQ153" s="32">
        <v>91</v>
      </c>
      <c r="BR153" s="32">
        <v>62</v>
      </c>
      <c r="BS153" s="32">
        <v>141.4</v>
      </c>
      <c r="BT153" s="32">
        <v>81.400000000000006</v>
      </c>
      <c r="BU153" s="32">
        <v>89.4</v>
      </c>
      <c r="BV153" s="32">
        <v>89.4</v>
      </c>
      <c r="BW153" s="32">
        <v>126.5</v>
      </c>
      <c r="BX153" s="32">
        <v>37.6</v>
      </c>
      <c r="BY153" s="32">
        <v>102.7</v>
      </c>
      <c r="BZ153" s="32">
        <v>91.5</v>
      </c>
      <c r="CA153" s="32">
        <v>108.5</v>
      </c>
      <c r="CB153" s="32">
        <v>112.1</v>
      </c>
      <c r="CC153" s="32">
        <v>111.4</v>
      </c>
      <c r="CD153" s="32">
        <v>24.8</v>
      </c>
      <c r="CE153" s="32">
        <v>75.900000000000006</v>
      </c>
      <c r="CF153" s="32">
        <v>80.599999999999994</v>
      </c>
      <c r="CG153" s="32">
        <v>82.1</v>
      </c>
      <c r="CH153" s="32">
        <v>81.5</v>
      </c>
      <c r="CI153" s="32">
        <v>73</v>
      </c>
      <c r="CJ153" s="32">
        <v>84.5</v>
      </c>
      <c r="CK153" s="32">
        <v>82.3</v>
      </c>
      <c r="CL153" s="32">
        <v>84</v>
      </c>
      <c r="CM153" s="32">
        <v>89</v>
      </c>
      <c r="CN153" s="32">
        <v>68.3</v>
      </c>
      <c r="CO153" s="32">
        <v>94.8</v>
      </c>
      <c r="CP153" s="32">
        <v>82.6</v>
      </c>
      <c r="CQ153" s="32">
        <v>25.5</v>
      </c>
      <c r="CR153" s="32">
        <v>89.3</v>
      </c>
      <c r="CS153" s="32">
        <v>105.9</v>
      </c>
      <c r="CT153" s="32">
        <v>83.3</v>
      </c>
      <c r="CU153" s="32">
        <v>58.5</v>
      </c>
      <c r="CV153" s="32">
        <v>94.5</v>
      </c>
      <c r="CW153" s="32">
        <v>44</v>
      </c>
      <c r="CX153" s="32">
        <v>99.7</v>
      </c>
      <c r="CY153" s="32">
        <v>110.9</v>
      </c>
      <c r="CZ153" s="32">
        <v>93.8</v>
      </c>
      <c r="DA153" s="32">
        <v>81.5</v>
      </c>
      <c r="DB153" s="32">
        <v>117.2</v>
      </c>
      <c r="DC153" s="32">
        <v>11.7</v>
      </c>
      <c r="DD153" s="32">
        <v>11.7</v>
      </c>
      <c r="DE153" s="32">
        <v>69.900000000000006</v>
      </c>
      <c r="DF153" s="32">
        <v>66.2</v>
      </c>
      <c r="DG153" s="32">
        <v>93.1</v>
      </c>
      <c r="DH153" s="32">
        <v>110.3</v>
      </c>
      <c r="DI153" s="32">
        <v>152.1</v>
      </c>
      <c r="DJ153" s="32">
        <v>81.3</v>
      </c>
      <c r="DK153" s="32">
        <v>81.3</v>
      </c>
      <c r="DL153" s="32">
        <v>73.900000000000006</v>
      </c>
      <c r="DM153" s="32">
        <v>76.400000000000006</v>
      </c>
      <c r="DN153" s="32">
        <v>63.3</v>
      </c>
      <c r="DO153" s="32">
        <v>82.4</v>
      </c>
      <c r="DP153" s="32">
        <v>62.2</v>
      </c>
      <c r="DQ153" s="32">
        <v>75.3</v>
      </c>
      <c r="DR153" s="32">
        <v>80.8</v>
      </c>
      <c r="DS153" s="32">
        <v>79.599999999999994</v>
      </c>
      <c r="DT153" s="32">
        <v>76.5</v>
      </c>
      <c r="DU153" s="32">
        <v>77</v>
      </c>
      <c r="DV153" s="32">
        <v>79.5</v>
      </c>
      <c r="DW153" s="32">
        <v>73.900000000000006</v>
      </c>
      <c r="DX153" s="32">
        <v>75.7</v>
      </c>
      <c r="DY153" s="32">
        <v>89.6</v>
      </c>
      <c r="DZ153" s="32">
        <v>124.5</v>
      </c>
      <c r="EA153" s="32">
        <v>124.5</v>
      </c>
      <c r="EB153" s="32">
        <v>70.400000000000006</v>
      </c>
      <c r="EC153" s="32">
        <v>67.8</v>
      </c>
      <c r="ED153" s="32">
        <v>74.2</v>
      </c>
      <c r="EE153" s="32">
        <v>75.900000000000006</v>
      </c>
      <c r="EF153" s="32">
        <v>69.8</v>
      </c>
      <c r="EG153" s="32">
        <v>67.3</v>
      </c>
      <c r="EH153" s="32">
        <v>76.099999999999994</v>
      </c>
      <c r="EI153" s="32">
        <v>64.400000000000006</v>
      </c>
      <c r="EJ153" s="32">
        <v>66.7</v>
      </c>
      <c r="EK153" s="32">
        <v>65.2</v>
      </c>
      <c r="EL153" s="32">
        <v>69.8</v>
      </c>
      <c r="EM153" s="32">
        <v>61.1</v>
      </c>
      <c r="EN153" s="32">
        <v>66.7</v>
      </c>
      <c r="EO153" s="32">
        <v>89.3</v>
      </c>
      <c r="EP153" s="32">
        <v>97.8</v>
      </c>
      <c r="EQ153" s="32">
        <v>97.8</v>
      </c>
      <c r="ER153" s="32">
        <v>86.5</v>
      </c>
      <c r="ES153" s="32">
        <v>86.5</v>
      </c>
      <c r="ET153" s="32">
        <v>85.8</v>
      </c>
      <c r="EU153" s="32">
        <v>84.9</v>
      </c>
      <c r="EV153" s="32">
        <v>84.9</v>
      </c>
      <c r="EW153" s="32">
        <v>88.1</v>
      </c>
      <c r="EX153" s="32">
        <v>102.2</v>
      </c>
      <c r="EY153" s="32">
        <v>76.900000000000006</v>
      </c>
      <c r="EZ153" s="32">
        <v>89</v>
      </c>
      <c r="FA153" s="32">
        <v>100.5</v>
      </c>
      <c r="FB153" s="32">
        <v>111</v>
      </c>
      <c r="FC153" s="32">
        <v>97.3</v>
      </c>
      <c r="FD153" s="32">
        <v>117.2</v>
      </c>
      <c r="FE153" s="32">
        <v>129.1</v>
      </c>
      <c r="FF153" s="32">
        <v>87.8</v>
      </c>
      <c r="FG153" s="32">
        <v>83.8</v>
      </c>
      <c r="FH153" s="32">
        <v>90.3</v>
      </c>
      <c r="FI153" s="32">
        <v>72.900000000000006</v>
      </c>
      <c r="FJ153" s="32">
        <v>82.4</v>
      </c>
      <c r="FK153" s="32">
        <v>55.6</v>
      </c>
      <c r="FL153" s="32">
        <v>55.6</v>
      </c>
    </row>
    <row r="154" spans="1:168" x14ac:dyDescent="0.2">
      <c r="A154" s="34" t="s">
        <v>1134</v>
      </c>
      <c r="B154" s="32">
        <v>81.3</v>
      </c>
      <c r="C154" s="32">
        <v>97.8</v>
      </c>
      <c r="D154" s="32">
        <v>88.1</v>
      </c>
      <c r="E154" s="32">
        <v>93.1</v>
      </c>
      <c r="F154" s="32">
        <v>160.19999999999999</v>
      </c>
      <c r="G154" s="32">
        <v>4856.8999999999996</v>
      </c>
      <c r="H154" s="32">
        <v>181.6</v>
      </c>
      <c r="I154" s="32">
        <v>58.1</v>
      </c>
      <c r="J154" s="32">
        <v>84.9</v>
      </c>
      <c r="K154" s="32">
        <v>98.3</v>
      </c>
      <c r="L154" s="32">
        <v>91.7</v>
      </c>
      <c r="M154" s="32">
        <v>108.9</v>
      </c>
      <c r="N154" s="32">
        <v>70.5</v>
      </c>
      <c r="O154" s="32">
        <v>134.19999999999999</v>
      </c>
      <c r="P154" s="32">
        <v>170.1</v>
      </c>
      <c r="Q154" s="32">
        <v>153</v>
      </c>
      <c r="R154" s="32">
        <v>101.5</v>
      </c>
      <c r="S154" s="32">
        <v>95.8</v>
      </c>
      <c r="T154" s="32">
        <v>81.5</v>
      </c>
      <c r="U154" s="32">
        <v>62.8</v>
      </c>
      <c r="V154" s="32">
        <v>149.80000000000001</v>
      </c>
      <c r="W154" s="32">
        <v>57</v>
      </c>
      <c r="X154" s="32">
        <v>54.1</v>
      </c>
      <c r="Y154" s="32">
        <v>47.7</v>
      </c>
      <c r="Z154" s="32">
        <v>104.2</v>
      </c>
      <c r="AA154" s="32">
        <v>80</v>
      </c>
      <c r="AB154" s="32">
        <v>58</v>
      </c>
      <c r="AC154" s="32">
        <v>65.599999999999994</v>
      </c>
      <c r="AD154" s="32">
        <v>108.8</v>
      </c>
      <c r="AE154" s="32">
        <v>119.4</v>
      </c>
      <c r="AF154" s="32">
        <v>119.4</v>
      </c>
      <c r="AG154" s="32">
        <v>58</v>
      </c>
      <c r="AH154" s="32">
        <v>58</v>
      </c>
      <c r="AI154" s="32">
        <v>158.1</v>
      </c>
      <c r="AJ154" s="32">
        <v>35.700000000000003</v>
      </c>
      <c r="AK154" s="32">
        <v>135.6</v>
      </c>
      <c r="AL154" s="32">
        <v>69.5</v>
      </c>
      <c r="AM154" s="32">
        <v>47.1</v>
      </c>
      <c r="AN154" s="32">
        <v>63.2</v>
      </c>
      <c r="AO154" s="32">
        <v>123.3</v>
      </c>
      <c r="AP154" s="32">
        <v>123.3</v>
      </c>
      <c r="AQ154" s="32">
        <v>75.7</v>
      </c>
      <c r="AR154" s="32">
        <v>78.2</v>
      </c>
      <c r="AS154" s="32">
        <v>73.599999999999994</v>
      </c>
      <c r="AT154" s="32">
        <v>75.599999999999994</v>
      </c>
      <c r="AU154" s="32">
        <v>71.400000000000006</v>
      </c>
      <c r="AV154" s="32">
        <v>74</v>
      </c>
      <c r="AW154" s="32">
        <v>81.5</v>
      </c>
      <c r="AX154" s="32">
        <v>53.4</v>
      </c>
      <c r="AY154" s="32">
        <v>155.9</v>
      </c>
      <c r="AZ154" s="32">
        <v>74.2</v>
      </c>
      <c r="BA154" s="32">
        <v>84.4</v>
      </c>
      <c r="BB154" s="32">
        <v>84.4</v>
      </c>
      <c r="BC154" s="32">
        <v>92.2</v>
      </c>
      <c r="BD154" s="32">
        <v>92.2</v>
      </c>
      <c r="BE154" s="32">
        <v>86.7</v>
      </c>
      <c r="BF154" s="32">
        <v>86.7</v>
      </c>
      <c r="BG154" s="32">
        <v>89.9</v>
      </c>
      <c r="BH154" s="32">
        <v>74.8</v>
      </c>
      <c r="BI154" s="32">
        <v>102.9</v>
      </c>
      <c r="BJ154" s="32">
        <v>63.7</v>
      </c>
      <c r="BK154" s="32">
        <v>129.30000000000001</v>
      </c>
      <c r="BL154" s="32">
        <v>35.299999999999997</v>
      </c>
      <c r="BM154" s="32">
        <v>94</v>
      </c>
      <c r="BN154" s="32">
        <v>99.3</v>
      </c>
      <c r="BO154" s="32">
        <v>89.6</v>
      </c>
      <c r="BP154" s="32">
        <v>109.1</v>
      </c>
      <c r="BQ154" s="32">
        <v>87.2</v>
      </c>
      <c r="BR154" s="32">
        <v>52.9</v>
      </c>
      <c r="BS154" s="32">
        <v>147.6</v>
      </c>
      <c r="BT154" s="32">
        <v>76.599999999999994</v>
      </c>
      <c r="BU154" s="32">
        <v>89.8</v>
      </c>
      <c r="BV154" s="32">
        <v>89.8</v>
      </c>
      <c r="BW154" s="32">
        <v>126.2</v>
      </c>
      <c r="BX154" s="32">
        <v>38.6</v>
      </c>
      <c r="BY154" s="32">
        <v>102.1</v>
      </c>
      <c r="BZ154" s="32">
        <v>89</v>
      </c>
      <c r="CA154" s="32">
        <v>108.8</v>
      </c>
      <c r="CB154" s="32">
        <v>112.8</v>
      </c>
      <c r="CC154" s="32">
        <v>111.3</v>
      </c>
      <c r="CD154" s="32">
        <v>25.5</v>
      </c>
      <c r="CE154" s="32">
        <v>76.099999999999994</v>
      </c>
      <c r="CF154" s="32">
        <v>79.599999999999994</v>
      </c>
      <c r="CG154" s="32">
        <v>80.900000000000006</v>
      </c>
      <c r="CH154" s="32">
        <v>80.3</v>
      </c>
      <c r="CI154" s="32">
        <v>69.5</v>
      </c>
      <c r="CJ154" s="32">
        <v>84</v>
      </c>
      <c r="CK154" s="32">
        <v>81.3</v>
      </c>
      <c r="CL154" s="32">
        <v>82</v>
      </c>
      <c r="CM154" s="32">
        <v>87.1</v>
      </c>
      <c r="CN154" s="32">
        <v>69.400000000000006</v>
      </c>
      <c r="CO154" s="32">
        <v>92.2</v>
      </c>
      <c r="CP154" s="32">
        <v>75.900000000000006</v>
      </c>
      <c r="CQ154" s="32">
        <v>25.6</v>
      </c>
      <c r="CR154" s="32">
        <v>87.4</v>
      </c>
      <c r="CS154" s="32">
        <v>103.6</v>
      </c>
      <c r="CT154" s="32">
        <v>83.2</v>
      </c>
      <c r="CU154" s="32">
        <v>58.6</v>
      </c>
      <c r="CV154" s="32">
        <v>94.3</v>
      </c>
      <c r="CW154" s="32">
        <v>43.1</v>
      </c>
      <c r="CX154" s="32">
        <v>98.2</v>
      </c>
      <c r="CY154" s="32">
        <v>109.9</v>
      </c>
      <c r="CZ154" s="32">
        <v>92</v>
      </c>
      <c r="DA154" s="32">
        <v>78.5</v>
      </c>
      <c r="DB154" s="32">
        <v>118</v>
      </c>
      <c r="DC154" s="32">
        <v>11.4</v>
      </c>
      <c r="DD154" s="32">
        <v>11.4</v>
      </c>
      <c r="DE154" s="32">
        <v>68.900000000000006</v>
      </c>
      <c r="DF154" s="32">
        <v>65.900000000000006</v>
      </c>
      <c r="DG154" s="32">
        <v>87.5</v>
      </c>
      <c r="DH154" s="32">
        <v>107</v>
      </c>
      <c r="DI154" s="32">
        <v>147.30000000000001</v>
      </c>
      <c r="DJ154" s="32">
        <v>80.900000000000006</v>
      </c>
      <c r="DK154" s="32">
        <v>80.900000000000006</v>
      </c>
      <c r="DL154" s="32">
        <v>70</v>
      </c>
      <c r="DM154" s="32">
        <v>75.900000000000006</v>
      </c>
      <c r="DN154" s="32">
        <v>61.4</v>
      </c>
      <c r="DO154" s="32">
        <v>82.3</v>
      </c>
      <c r="DP154" s="32">
        <v>65.7</v>
      </c>
      <c r="DQ154" s="32">
        <v>74.400000000000006</v>
      </c>
      <c r="DR154" s="32">
        <v>79.8</v>
      </c>
      <c r="DS154" s="32">
        <v>78.5</v>
      </c>
      <c r="DT154" s="32">
        <v>75.8</v>
      </c>
      <c r="DU154" s="32">
        <v>77.2</v>
      </c>
      <c r="DV154" s="32">
        <v>83.7</v>
      </c>
      <c r="DW154" s="32">
        <v>69.599999999999994</v>
      </c>
      <c r="DX154" s="32">
        <v>72.900000000000006</v>
      </c>
      <c r="DY154" s="32">
        <v>87.5</v>
      </c>
      <c r="DZ154" s="32">
        <v>127.4</v>
      </c>
      <c r="EA154" s="32">
        <v>127.4</v>
      </c>
      <c r="EB154" s="32">
        <v>68.2</v>
      </c>
      <c r="EC154" s="32">
        <v>64.099999999999994</v>
      </c>
      <c r="ED154" s="32">
        <v>74</v>
      </c>
      <c r="EE154" s="32">
        <v>74.599999999999994</v>
      </c>
      <c r="EF154" s="32">
        <v>72.099999999999994</v>
      </c>
      <c r="EG154" s="32">
        <v>66.7</v>
      </c>
      <c r="EH154" s="32">
        <v>76.5</v>
      </c>
      <c r="EI154" s="32">
        <v>62.8</v>
      </c>
      <c r="EJ154" s="32">
        <v>64.7</v>
      </c>
      <c r="EK154" s="32">
        <v>65</v>
      </c>
      <c r="EL154" s="32">
        <v>74.2</v>
      </c>
      <c r="EM154" s="32">
        <v>60.2</v>
      </c>
      <c r="EN154" s="32">
        <v>65.8</v>
      </c>
      <c r="EO154" s="32">
        <v>89.3</v>
      </c>
      <c r="EP154" s="32">
        <v>98.1</v>
      </c>
      <c r="EQ154" s="32">
        <v>98.1</v>
      </c>
      <c r="ER154" s="32">
        <v>86.2</v>
      </c>
      <c r="ES154" s="32">
        <v>86.2</v>
      </c>
      <c r="ET154" s="32">
        <v>85.9</v>
      </c>
      <c r="EU154" s="32">
        <v>85.1</v>
      </c>
      <c r="EV154" s="32">
        <v>85.1</v>
      </c>
      <c r="EW154" s="32">
        <v>88</v>
      </c>
      <c r="EX154" s="32">
        <v>101.8</v>
      </c>
      <c r="EY154" s="32">
        <v>77.099999999999994</v>
      </c>
      <c r="EZ154" s="32">
        <v>86.2</v>
      </c>
      <c r="FA154" s="32">
        <v>92.4</v>
      </c>
      <c r="FB154" s="32">
        <v>98.1</v>
      </c>
      <c r="FC154" s="32">
        <v>75.400000000000006</v>
      </c>
      <c r="FD154" s="32">
        <v>117.5</v>
      </c>
      <c r="FE154" s="32">
        <v>126</v>
      </c>
      <c r="FF154" s="32">
        <v>85.5</v>
      </c>
      <c r="FG154" s="32">
        <v>84.3</v>
      </c>
      <c r="FH154" s="32">
        <v>91</v>
      </c>
      <c r="FI154" s="32">
        <v>71.3</v>
      </c>
      <c r="FJ154" s="32">
        <v>83</v>
      </c>
      <c r="FK154" s="32">
        <v>57.3</v>
      </c>
      <c r="FL154" s="32">
        <v>57.3</v>
      </c>
    </row>
    <row r="155" spans="1:168" x14ac:dyDescent="0.2">
      <c r="A155" s="34" t="s">
        <v>1135</v>
      </c>
      <c r="B155" s="32">
        <v>81.599999999999994</v>
      </c>
      <c r="C155" s="32">
        <v>96.1</v>
      </c>
      <c r="D155" s="32">
        <v>88.7</v>
      </c>
      <c r="E155" s="32">
        <v>93.6</v>
      </c>
      <c r="F155" s="32">
        <v>162.9</v>
      </c>
      <c r="G155" s="32">
        <v>4739.3</v>
      </c>
      <c r="H155" s="32">
        <v>184.2</v>
      </c>
      <c r="I155" s="32">
        <v>60.5</v>
      </c>
      <c r="J155" s="32">
        <v>84.7</v>
      </c>
      <c r="K155" s="32">
        <v>98</v>
      </c>
      <c r="L155" s="32">
        <v>90.5</v>
      </c>
      <c r="M155" s="32">
        <v>111.4</v>
      </c>
      <c r="N155" s="32">
        <v>71.2</v>
      </c>
      <c r="O155" s="32">
        <v>124.2</v>
      </c>
      <c r="P155" s="32">
        <v>169.9</v>
      </c>
      <c r="Q155" s="32">
        <v>154.19999999999999</v>
      </c>
      <c r="R155" s="32">
        <v>97.2</v>
      </c>
      <c r="S155" s="32">
        <v>91.3</v>
      </c>
      <c r="T155" s="32">
        <v>90.5</v>
      </c>
      <c r="U155" s="32">
        <v>65.900000000000006</v>
      </c>
      <c r="V155" s="32">
        <v>153.30000000000001</v>
      </c>
      <c r="W155" s="32">
        <v>58.7</v>
      </c>
      <c r="X155" s="32">
        <v>55.3</v>
      </c>
      <c r="Y155" s="32">
        <v>49.8</v>
      </c>
      <c r="Z155" s="32">
        <v>109.2</v>
      </c>
      <c r="AA155" s="32">
        <v>81.7</v>
      </c>
      <c r="AB155" s="32">
        <v>59</v>
      </c>
      <c r="AC155" s="32">
        <v>68</v>
      </c>
      <c r="AD155" s="32">
        <v>110.5</v>
      </c>
      <c r="AE155" s="32">
        <v>123</v>
      </c>
      <c r="AF155" s="32">
        <v>123</v>
      </c>
      <c r="AG155" s="32">
        <v>60.3</v>
      </c>
      <c r="AH155" s="32">
        <v>60.3</v>
      </c>
      <c r="AI155" s="32">
        <v>172.9</v>
      </c>
      <c r="AJ155" s="32">
        <v>38.299999999999997</v>
      </c>
      <c r="AK155" s="32">
        <v>139.4</v>
      </c>
      <c r="AL155" s="32">
        <v>71.2</v>
      </c>
      <c r="AM155" s="32">
        <v>46.7</v>
      </c>
      <c r="AN155" s="32">
        <v>62.6</v>
      </c>
      <c r="AO155" s="32">
        <v>117.3</v>
      </c>
      <c r="AP155" s="32">
        <v>117.3</v>
      </c>
      <c r="AQ155" s="32">
        <v>76.2</v>
      </c>
      <c r="AR155" s="32">
        <v>78.099999999999994</v>
      </c>
      <c r="AS155" s="32">
        <v>74.900000000000006</v>
      </c>
      <c r="AT155" s="32">
        <v>76.5</v>
      </c>
      <c r="AU155" s="32">
        <v>72.900000000000006</v>
      </c>
      <c r="AV155" s="32">
        <v>71.900000000000006</v>
      </c>
      <c r="AW155" s="32">
        <v>83.4</v>
      </c>
      <c r="AX155" s="32">
        <v>57.2</v>
      </c>
      <c r="AY155" s="32">
        <v>148.69999999999999</v>
      </c>
      <c r="AZ155" s="32">
        <v>71</v>
      </c>
      <c r="BA155" s="32">
        <v>87.6</v>
      </c>
      <c r="BB155" s="32">
        <v>87.6</v>
      </c>
      <c r="BC155" s="32">
        <v>93.8</v>
      </c>
      <c r="BD155" s="32">
        <v>93.8</v>
      </c>
      <c r="BE155" s="32">
        <v>84.2</v>
      </c>
      <c r="BF155" s="32">
        <v>84.2</v>
      </c>
      <c r="BG155" s="32">
        <v>89.6</v>
      </c>
      <c r="BH155" s="32">
        <v>78.900000000000006</v>
      </c>
      <c r="BI155" s="32">
        <v>98.5</v>
      </c>
      <c r="BJ155" s="32">
        <v>62.7</v>
      </c>
      <c r="BK155" s="32">
        <v>123.6</v>
      </c>
      <c r="BL155" s="32">
        <v>31.8</v>
      </c>
      <c r="BM155" s="32">
        <v>92.6</v>
      </c>
      <c r="BN155" s="32">
        <v>95.7</v>
      </c>
      <c r="BO155" s="32">
        <v>81.599999999999994</v>
      </c>
      <c r="BP155" s="32">
        <v>109.8</v>
      </c>
      <c r="BQ155" s="32">
        <v>88.5</v>
      </c>
      <c r="BR155" s="32">
        <v>52.6</v>
      </c>
      <c r="BS155" s="32">
        <v>157.9</v>
      </c>
      <c r="BT155" s="32">
        <v>76.599999999999994</v>
      </c>
      <c r="BU155" s="32">
        <v>92.2</v>
      </c>
      <c r="BV155" s="32">
        <v>92.2</v>
      </c>
      <c r="BW155" s="32">
        <v>129.30000000000001</v>
      </c>
      <c r="BX155" s="32">
        <v>39.700000000000003</v>
      </c>
      <c r="BY155" s="32">
        <v>104.3</v>
      </c>
      <c r="BZ155" s="32">
        <v>88.8</v>
      </c>
      <c r="CA155" s="32">
        <v>112.4</v>
      </c>
      <c r="CB155" s="32">
        <v>116.4</v>
      </c>
      <c r="CC155" s="32">
        <v>115</v>
      </c>
      <c r="CD155" s="32">
        <v>26.8</v>
      </c>
      <c r="CE155" s="32">
        <v>76.7</v>
      </c>
      <c r="CF155" s="32">
        <v>79.8</v>
      </c>
      <c r="CG155" s="32">
        <v>81</v>
      </c>
      <c r="CH155" s="32">
        <v>80.400000000000006</v>
      </c>
      <c r="CI155" s="32">
        <v>71.8</v>
      </c>
      <c r="CJ155" s="32">
        <v>82.9</v>
      </c>
      <c r="CK155" s="32">
        <v>81.5</v>
      </c>
      <c r="CL155" s="32">
        <v>83.5</v>
      </c>
      <c r="CM155" s="32">
        <v>90.4</v>
      </c>
      <c r="CN155" s="32">
        <v>71</v>
      </c>
      <c r="CO155" s="32">
        <v>96</v>
      </c>
      <c r="CP155" s="32">
        <v>71.7</v>
      </c>
      <c r="CQ155" s="32">
        <v>26.4</v>
      </c>
      <c r="CR155" s="32">
        <v>88.7</v>
      </c>
      <c r="CS155" s="32">
        <v>103.8</v>
      </c>
      <c r="CT155" s="32">
        <v>81.8</v>
      </c>
      <c r="CU155" s="32">
        <v>58.8</v>
      </c>
      <c r="CV155" s="32">
        <v>92.1</v>
      </c>
      <c r="CW155" s="32">
        <v>43.4</v>
      </c>
      <c r="CX155" s="32">
        <v>99</v>
      </c>
      <c r="CY155" s="32">
        <v>111.5</v>
      </c>
      <c r="CZ155" s="32">
        <v>92.3</v>
      </c>
      <c r="DA155" s="32">
        <v>78.5</v>
      </c>
      <c r="DB155" s="32">
        <v>119.1</v>
      </c>
      <c r="DC155" s="32">
        <v>11.7</v>
      </c>
      <c r="DD155" s="32">
        <v>11.7</v>
      </c>
      <c r="DE155" s="32">
        <v>67.7</v>
      </c>
      <c r="DF155" s="32">
        <v>64.7</v>
      </c>
      <c r="DG155" s="32">
        <v>85.5</v>
      </c>
      <c r="DH155" s="32">
        <v>105.6</v>
      </c>
      <c r="DI155" s="32">
        <v>144.69999999999999</v>
      </c>
      <c r="DJ155" s="32">
        <v>81.5</v>
      </c>
      <c r="DK155" s="32">
        <v>81.5</v>
      </c>
      <c r="DL155" s="32">
        <v>68.599999999999994</v>
      </c>
      <c r="DM155" s="32">
        <v>75.900000000000006</v>
      </c>
      <c r="DN155" s="32">
        <v>61.4</v>
      </c>
      <c r="DO155" s="32">
        <v>82.3</v>
      </c>
      <c r="DP155" s="32">
        <v>65.5</v>
      </c>
      <c r="DQ155" s="32">
        <v>75.599999999999994</v>
      </c>
      <c r="DR155" s="32">
        <v>82.1</v>
      </c>
      <c r="DS155" s="32">
        <v>80.7</v>
      </c>
      <c r="DT155" s="32">
        <v>79</v>
      </c>
      <c r="DU155" s="32">
        <v>77.3</v>
      </c>
      <c r="DV155" s="32">
        <v>83.5</v>
      </c>
      <c r="DW155" s="32">
        <v>69.900000000000006</v>
      </c>
      <c r="DX155" s="32">
        <v>82.8</v>
      </c>
      <c r="DY155" s="32">
        <v>86.7</v>
      </c>
      <c r="DZ155" s="32">
        <v>138.19999999999999</v>
      </c>
      <c r="EA155" s="32">
        <v>138.19999999999999</v>
      </c>
      <c r="EB155" s="32">
        <v>68</v>
      </c>
      <c r="EC155" s="32">
        <v>63.8</v>
      </c>
      <c r="ED155" s="32">
        <v>74</v>
      </c>
      <c r="EE155" s="32">
        <v>74.7</v>
      </c>
      <c r="EF155" s="32">
        <v>71.900000000000006</v>
      </c>
      <c r="EG155" s="32">
        <v>66.3</v>
      </c>
      <c r="EH155" s="32">
        <v>75.900000000000006</v>
      </c>
      <c r="EI155" s="32">
        <v>63.3</v>
      </c>
      <c r="EJ155" s="32">
        <v>65.599999999999994</v>
      </c>
      <c r="EK155" s="32">
        <v>64</v>
      </c>
      <c r="EL155" s="32">
        <v>67.2</v>
      </c>
      <c r="EM155" s="32">
        <v>59.9</v>
      </c>
      <c r="EN155" s="32">
        <v>65.599999999999994</v>
      </c>
      <c r="EO155" s="32">
        <v>89.8</v>
      </c>
      <c r="EP155" s="32">
        <v>98.5</v>
      </c>
      <c r="EQ155" s="32">
        <v>98.5</v>
      </c>
      <c r="ER155" s="32">
        <v>87.7</v>
      </c>
      <c r="ES155" s="32">
        <v>87.7</v>
      </c>
      <c r="ET155" s="32">
        <v>85.7</v>
      </c>
      <c r="EU155" s="32">
        <v>84.7</v>
      </c>
      <c r="EV155" s="32">
        <v>84.7</v>
      </c>
      <c r="EW155" s="32">
        <v>88.2</v>
      </c>
      <c r="EX155" s="32">
        <v>101.4</v>
      </c>
      <c r="EY155" s="32">
        <v>77.8</v>
      </c>
      <c r="EZ155" s="32">
        <v>84.9</v>
      </c>
      <c r="FA155" s="32">
        <v>92.6</v>
      </c>
      <c r="FB155" s="32">
        <v>98.3</v>
      </c>
      <c r="FC155" s="32">
        <v>77</v>
      </c>
      <c r="FD155" s="32">
        <v>116.9</v>
      </c>
      <c r="FE155" s="32">
        <v>124.1</v>
      </c>
      <c r="FF155" s="32">
        <v>85.7</v>
      </c>
      <c r="FG155" s="32">
        <v>82.2</v>
      </c>
      <c r="FH155" s="32">
        <v>92.2</v>
      </c>
      <c r="FI155" s="32">
        <v>73.3</v>
      </c>
      <c r="FJ155" s="32">
        <v>79.099999999999994</v>
      </c>
      <c r="FK155" s="32">
        <v>54.1</v>
      </c>
      <c r="FL155" s="32">
        <v>54.1</v>
      </c>
    </row>
    <row r="156" spans="1:168" x14ac:dyDescent="0.2">
      <c r="A156" s="34" t="s">
        <v>1136</v>
      </c>
      <c r="B156" s="32">
        <v>82.1</v>
      </c>
      <c r="C156" s="32">
        <v>94.5</v>
      </c>
      <c r="D156" s="32">
        <v>89.5</v>
      </c>
      <c r="E156" s="32">
        <v>94.5</v>
      </c>
      <c r="F156" s="32">
        <v>166.4</v>
      </c>
      <c r="G156" s="32">
        <v>4390.2</v>
      </c>
      <c r="H156" s="32">
        <v>188.9</v>
      </c>
      <c r="I156" s="32">
        <v>60.9</v>
      </c>
      <c r="J156" s="32">
        <v>84.8</v>
      </c>
      <c r="K156" s="32">
        <v>98.8</v>
      </c>
      <c r="L156" s="32">
        <v>90.7</v>
      </c>
      <c r="M156" s="32">
        <v>111.6</v>
      </c>
      <c r="N156" s="32">
        <v>72.7</v>
      </c>
      <c r="O156" s="32">
        <v>126.9</v>
      </c>
      <c r="P156" s="32">
        <v>163.69999999999999</v>
      </c>
      <c r="Q156" s="32">
        <v>157.5</v>
      </c>
      <c r="R156" s="32">
        <v>96.6</v>
      </c>
      <c r="S156" s="32">
        <v>92.3</v>
      </c>
      <c r="T156" s="32">
        <v>91.1</v>
      </c>
      <c r="U156" s="32">
        <v>64.900000000000006</v>
      </c>
      <c r="V156" s="32">
        <v>158.19999999999999</v>
      </c>
      <c r="W156" s="32">
        <v>59.6</v>
      </c>
      <c r="X156" s="32">
        <v>56.3</v>
      </c>
      <c r="Y156" s="32">
        <v>49.8</v>
      </c>
      <c r="Z156" s="32">
        <v>114.7</v>
      </c>
      <c r="AA156" s="32">
        <v>80.599999999999994</v>
      </c>
      <c r="AB156" s="32">
        <v>59</v>
      </c>
      <c r="AC156" s="32">
        <v>69.3</v>
      </c>
      <c r="AD156" s="32">
        <v>106.7</v>
      </c>
      <c r="AE156" s="32">
        <v>131.19999999999999</v>
      </c>
      <c r="AF156" s="32">
        <v>131.19999999999999</v>
      </c>
      <c r="AG156" s="32">
        <v>60.5</v>
      </c>
      <c r="AH156" s="32">
        <v>60.5</v>
      </c>
      <c r="AI156" s="32">
        <v>171.6</v>
      </c>
      <c r="AJ156" s="32">
        <v>36.9</v>
      </c>
      <c r="AK156" s="32">
        <v>130.19999999999999</v>
      </c>
      <c r="AL156" s="32">
        <v>73.7</v>
      </c>
      <c r="AM156" s="32">
        <v>48.3</v>
      </c>
      <c r="AN156" s="32">
        <v>70.2</v>
      </c>
      <c r="AO156" s="32">
        <v>116.7</v>
      </c>
      <c r="AP156" s="32">
        <v>116.7</v>
      </c>
      <c r="AQ156" s="32">
        <v>77.900000000000006</v>
      </c>
      <c r="AR156" s="32">
        <v>79.599999999999994</v>
      </c>
      <c r="AS156" s="32">
        <v>77</v>
      </c>
      <c r="AT156" s="32">
        <v>82.6</v>
      </c>
      <c r="AU156" s="32">
        <v>71.7</v>
      </c>
      <c r="AV156" s="32">
        <v>72.900000000000006</v>
      </c>
      <c r="AW156" s="32">
        <v>89.6</v>
      </c>
      <c r="AX156" s="32">
        <v>65.7</v>
      </c>
      <c r="AY156" s="32">
        <v>142.30000000000001</v>
      </c>
      <c r="AZ156" s="32">
        <v>70.900000000000006</v>
      </c>
      <c r="BA156" s="32">
        <v>85.8</v>
      </c>
      <c r="BB156" s="32">
        <v>85.8</v>
      </c>
      <c r="BC156" s="32">
        <v>90.5</v>
      </c>
      <c r="BD156" s="32">
        <v>90.5</v>
      </c>
      <c r="BE156" s="32">
        <v>83.8</v>
      </c>
      <c r="BF156" s="32">
        <v>83.8</v>
      </c>
      <c r="BG156" s="32">
        <v>89.1</v>
      </c>
      <c r="BH156" s="32">
        <v>82</v>
      </c>
      <c r="BI156" s="32">
        <v>94.7</v>
      </c>
      <c r="BJ156" s="32">
        <v>62.8</v>
      </c>
      <c r="BK156" s="32">
        <v>117.9</v>
      </c>
      <c r="BL156" s="32">
        <v>30.4</v>
      </c>
      <c r="BM156" s="32">
        <v>92.5</v>
      </c>
      <c r="BN156" s="32">
        <v>94.8</v>
      </c>
      <c r="BO156" s="32">
        <v>81.900000000000006</v>
      </c>
      <c r="BP156" s="32">
        <v>107.6</v>
      </c>
      <c r="BQ156" s="32">
        <v>89.7</v>
      </c>
      <c r="BR156" s="32">
        <v>64.2</v>
      </c>
      <c r="BS156" s="32">
        <v>157.5</v>
      </c>
      <c r="BT156" s="32">
        <v>76.3</v>
      </c>
      <c r="BU156" s="32">
        <v>95.4</v>
      </c>
      <c r="BV156" s="32">
        <v>95.4</v>
      </c>
      <c r="BW156" s="32">
        <v>135.9</v>
      </c>
      <c r="BX156" s="32">
        <v>39.200000000000003</v>
      </c>
      <c r="BY156" s="32">
        <v>105.9</v>
      </c>
      <c r="BZ156" s="32">
        <v>88.4</v>
      </c>
      <c r="CA156" s="32">
        <v>115</v>
      </c>
      <c r="CB156" s="32">
        <v>117.3</v>
      </c>
      <c r="CC156" s="32">
        <v>119.4</v>
      </c>
      <c r="CD156" s="32">
        <v>28.1</v>
      </c>
      <c r="CE156" s="32">
        <v>77.5</v>
      </c>
      <c r="CF156" s="32">
        <v>80.3</v>
      </c>
      <c r="CG156" s="32">
        <v>81.5</v>
      </c>
      <c r="CH156" s="32">
        <v>80.900000000000006</v>
      </c>
      <c r="CI156" s="32">
        <v>75.2</v>
      </c>
      <c r="CJ156" s="32">
        <v>83</v>
      </c>
      <c r="CK156" s="32">
        <v>81.5</v>
      </c>
      <c r="CL156" s="32">
        <v>84.7</v>
      </c>
      <c r="CM156" s="32">
        <v>91.2</v>
      </c>
      <c r="CN156" s="32">
        <v>73</v>
      </c>
      <c r="CO156" s="32">
        <v>96.5</v>
      </c>
      <c r="CP156" s="32">
        <v>69.599999999999994</v>
      </c>
      <c r="CQ156" s="32">
        <v>26.5</v>
      </c>
      <c r="CR156" s="32">
        <v>91</v>
      </c>
      <c r="CS156" s="32">
        <v>106.8</v>
      </c>
      <c r="CT156" s="32">
        <v>80.8</v>
      </c>
      <c r="CU156" s="32">
        <v>56.3</v>
      </c>
      <c r="CV156" s="32">
        <v>91.8</v>
      </c>
      <c r="CW156" s="32">
        <v>43.8</v>
      </c>
      <c r="CX156" s="32">
        <v>100.5</v>
      </c>
      <c r="CY156" s="32">
        <v>111.7</v>
      </c>
      <c r="CZ156" s="32">
        <v>94.6</v>
      </c>
      <c r="DA156" s="32">
        <v>81.7</v>
      </c>
      <c r="DB156" s="32">
        <v>119.4</v>
      </c>
      <c r="DC156" s="32">
        <v>11.9</v>
      </c>
      <c r="DD156" s="32">
        <v>11.9</v>
      </c>
      <c r="DE156" s="32">
        <v>68.3</v>
      </c>
      <c r="DF156" s="32">
        <v>65.400000000000006</v>
      </c>
      <c r="DG156" s="32">
        <v>85.5</v>
      </c>
      <c r="DH156" s="32">
        <v>106.7</v>
      </c>
      <c r="DI156" s="32">
        <v>144.30000000000001</v>
      </c>
      <c r="DJ156" s="32">
        <v>83.2</v>
      </c>
      <c r="DK156" s="32">
        <v>83.2</v>
      </c>
      <c r="DL156" s="32">
        <v>71.2</v>
      </c>
      <c r="DM156" s="32">
        <v>76.400000000000006</v>
      </c>
      <c r="DN156" s="32">
        <v>62.5</v>
      </c>
      <c r="DO156" s="32">
        <v>82.5</v>
      </c>
      <c r="DP156" s="32">
        <v>66.7</v>
      </c>
      <c r="DQ156" s="32">
        <v>75.599999999999994</v>
      </c>
      <c r="DR156" s="32">
        <v>82.2</v>
      </c>
      <c r="DS156" s="32">
        <v>82.3</v>
      </c>
      <c r="DT156" s="32">
        <v>80.400000000000006</v>
      </c>
      <c r="DU156" s="32">
        <v>78</v>
      </c>
      <c r="DV156" s="32">
        <v>84.4</v>
      </c>
      <c r="DW156" s="32">
        <v>70.599999999999994</v>
      </c>
      <c r="DX156" s="32">
        <v>85.6</v>
      </c>
      <c r="DY156" s="32">
        <v>88.8</v>
      </c>
      <c r="DZ156" s="32">
        <v>128.19999999999999</v>
      </c>
      <c r="EA156" s="32">
        <v>128.19999999999999</v>
      </c>
      <c r="EB156" s="32">
        <v>67.2</v>
      </c>
      <c r="EC156" s="32">
        <v>64.900000000000006</v>
      </c>
      <c r="ED156" s="32">
        <v>70.7</v>
      </c>
      <c r="EE156" s="32">
        <v>70.3</v>
      </c>
      <c r="EF156" s="32">
        <v>71.5</v>
      </c>
      <c r="EG156" s="32">
        <v>66</v>
      </c>
      <c r="EH156" s="32">
        <v>74.8</v>
      </c>
      <c r="EI156" s="32">
        <v>64.400000000000006</v>
      </c>
      <c r="EJ156" s="32">
        <v>65.7</v>
      </c>
      <c r="EK156" s="32">
        <v>62.8</v>
      </c>
      <c r="EL156" s="32">
        <v>67.2</v>
      </c>
      <c r="EM156" s="32">
        <v>59.6</v>
      </c>
      <c r="EN156" s="32">
        <v>63.7</v>
      </c>
      <c r="EO156" s="32">
        <v>89.6</v>
      </c>
      <c r="EP156" s="32">
        <v>99.3</v>
      </c>
      <c r="EQ156" s="32">
        <v>99.3</v>
      </c>
      <c r="ER156" s="32">
        <v>86.8</v>
      </c>
      <c r="ES156" s="32">
        <v>86.8</v>
      </c>
      <c r="ET156" s="32">
        <v>85.4</v>
      </c>
      <c r="EU156" s="32">
        <v>84.1</v>
      </c>
      <c r="EV156" s="32">
        <v>84.1</v>
      </c>
      <c r="EW156" s="32">
        <v>88.6</v>
      </c>
      <c r="EX156" s="32">
        <v>101.1</v>
      </c>
      <c r="EY156" s="32">
        <v>78.7</v>
      </c>
      <c r="EZ156" s="32">
        <v>88.2</v>
      </c>
      <c r="FA156" s="32">
        <v>97.2</v>
      </c>
      <c r="FB156" s="32">
        <v>107.4</v>
      </c>
      <c r="FC156" s="32">
        <v>93.6</v>
      </c>
      <c r="FD156" s="32">
        <v>119.2</v>
      </c>
      <c r="FE156" s="32">
        <v>122.8</v>
      </c>
      <c r="FF156" s="32">
        <v>84.9</v>
      </c>
      <c r="FG156" s="32">
        <v>84.8</v>
      </c>
      <c r="FH156" s="32">
        <v>95.3</v>
      </c>
      <c r="FI156" s="32">
        <v>71</v>
      </c>
      <c r="FJ156" s="32">
        <v>82</v>
      </c>
      <c r="FK156" s="32">
        <v>54.6</v>
      </c>
      <c r="FL156" s="32">
        <v>54.6</v>
      </c>
    </row>
    <row r="157" spans="1:168" x14ac:dyDescent="0.2">
      <c r="A157" s="34" t="s">
        <v>1137</v>
      </c>
      <c r="B157" s="32">
        <v>81.599999999999994</v>
      </c>
      <c r="C157" s="32">
        <v>92.9</v>
      </c>
      <c r="D157" s="32">
        <v>88.3</v>
      </c>
      <c r="E157" s="32">
        <v>92.6</v>
      </c>
      <c r="F157" s="32">
        <v>149.1</v>
      </c>
      <c r="G157" s="32">
        <v>4314.7</v>
      </c>
      <c r="H157" s="32">
        <v>165.3</v>
      </c>
      <c r="I157" s="32">
        <v>62.9</v>
      </c>
      <c r="J157" s="32">
        <v>84.8</v>
      </c>
      <c r="K157" s="32">
        <v>95.8</v>
      </c>
      <c r="L157" s="32">
        <v>89.7</v>
      </c>
      <c r="M157" s="32">
        <v>108.1</v>
      </c>
      <c r="N157" s="32">
        <v>73.7</v>
      </c>
      <c r="O157" s="32">
        <v>141.80000000000001</v>
      </c>
      <c r="P157" s="32">
        <v>155.19999999999999</v>
      </c>
      <c r="Q157" s="32">
        <v>163.4</v>
      </c>
      <c r="R157" s="32">
        <v>97.2</v>
      </c>
      <c r="S157" s="32">
        <v>90.1</v>
      </c>
      <c r="T157" s="32">
        <v>89.2</v>
      </c>
      <c r="U157" s="32">
        <v>67.3</v>
      </c>
      <c r="V157" s="32">
        <v>141.9</v>
      </c>
      <c r="W157" s="32">
        <v>62.8</v>
      </c>
      <c r="X157" s="32">
        <v>59.4</v>
      </c>
      <c r="Y157" s="32">
        <v>53.4</v>
      </c>
      <c r="Z157" s="32">
        <v>110.2</v>
      </c>
      <c r="AA157" s="32">
        <v>81.2</v>
      </c>
      <c r="AB157" s="32">
        <v>59.6</v>
      </c>
      <c r="AC157" s="32">
        <v>70.599999999999994</v>
      </c>
      <c r="AD157" s="32">
        <v>106.7</v>
      </c>
      <c r="AE157" s="32">
        <v>128.5</v>
      </c>
      <c r="AF157" s="32">
        <v>128.5</v>
      </c>
      <c r="AG157" s="32">
        <v>61.4</v>
      </c>
      <c r="AH157" s="32">
        <v>61.4</v>
      </c>
      <c r="AI157" s="32">
        <v>192.4</v>
      </c>
      <c r="AJ157" s="32">
        <v>37.5</v>
      </c>
      <c r="AK157" s="32">
        <v>120.4</v>
      </c>
      <c r="AL157" s="32">
        <v>76.900000000000006</v>
      </c>
      <c r="AM157" s="32">
        <v>47.9</v>
      </c>
      <c r="AN157" s="32">
        <v>69</v>
      </c>
      <c r="AO157" s="32">
        <v>110.2</v>
      </c>
      <c r="AP157" s="32">
        <v>110.2</v>
      </c>
      <c r="AQ157" s="32">
        <v>78.099999999999994</v>
      </c>
      <c r="AR157" s="32">
        <v>79.7</v>
      </c>
      <c r="AS157" s="32">
        <v>77.2</v>
      </c>
      <c r="AT157" s="32">
        <v>82.9</v>
      </c>
      <c r="AU157" s="32">
        <v>71.8</v>
      </c>
      <c r="AV157" s="32">
        <v>75.599999999999994</v>
      </c>
      <c r="AW157" s="32">
        <v>88.8</v>
      </c>
      <c r="AX157" s="32">
        <v>64.400000000000006</v>
      </c>
      <c r="AY157" s="32">
        <v>145.6</v>
      </c>
      <c r="AZ157" s="32">
        <v>74.599999999999994</v>
      </c>
      <c r="BA157" s="32">
        <v>85.2</v>
      </c>
      <c r="BB157" s="32">
        <v>85.2</v>
      </c>
      <c r="BC157" s="32">
        <v>90.1</v>
      </c>
      <c r="BD157" s="32">
        <v>90.1</v>
      </c>
      <c r="BE157" s="32">
        <v>90</v>
      </c>
      <c r="BF157" s="32">
        <v>90</v>
      </c>
      <c r="BG157" s="32">
        <v>87.3</v>
      </c>
      <c r="BH157" s="32">
        <v>82.7</v>
      </c>
      <c r="BI157" s="32">
        <v>90.7</v>
      </c>
      <c r="BJ157" s="32">
        <v>63.2</v>
      </c>
      <c r="BK157" s="32">
        <v>112</v>
      </c>
      <c r="BL157" s="32">
        <v>27.4</v>
      </c>
      <c r="BM157" s="32">
        <v>94.3</v>
      </c>
      <c r="BN157" s="32">
        <v>95.7</v>
      </c>
      <c r="BO157" s="32">
        <v>83.6</v>
      </c>
      <c r="BP157" s="32">
        <v>107.8</v>
      </c>
      <c r="BQ157" s="32">
        <v>92.6</v>
      </c>
      <c r="BR157" s="32">
        <v>55.6</v>
      </c>
      <c r="BS157" s="32">
        <v>166.3</v>
      </c>
      <c r="BT157" s="32">
        <v>79.7</v>
      </c>
      <c r="BU157" s="32">
        <v>92.1</v>
      </c>
      <c r="BV157" s="32">
        <v>92.1</v>
      </c>
      <c r="BW157" s="32">
        <v>127.7</v>
      </c>
      <c r="BX157" s="32">
        <v>40.9</v>
      </c>
      <c r="BY157" s="32">
        <v>104.3</v>
      </c>
      <c r="BZ157" s="32">
        <v>89.2</v>
      </c>
      <c r="CA157" s="32">
        <v>112.1</v>
      </c>
      <c r="CB157" s="32">
        <v>111.4</v>
      </c>
      <c r="CC157" s="32">
        <v>119.1</v>
      </c>
      <c r="CD157" s="32">
        <v>27.9</v>
      </c>
      <c r="CE157" s="32">
        <v>77.599999999999994</v>
      </c>
      <c r="CF157" s="32">
        <v>80</v>
      </c>
      <c r="CG157" s="32">
        <v>81.599999999999994</v>
      </c>
      <c r="CH157" s="32">
        <v>81.3</v>
      </c>
      <c r="CI157" s="32">
        <v>75</v>
      </c>
      <c r="CJ157" s="32">
        <v>83.9</v>
      </c>
      <c r="CK157" s="32">
        <v>81.8</v>
      </c>
      <c r="CL157" s="32">
        <v>85.5</v>
      </c>
      <c r="CM157" s="32">
        <v>91.2</v>
      </c>
      <c r="CN157" s="32">
        <v>75.099999999999994</v>
      </c>
      <c r="CO157" s="32">
        <v>96</v>
      </c>
      <c r="CP157" s="32">
        <v>68.5</v>
      </c>
      <c r="CQ157" s="32">
        <v>26.9</v>
      </c>
      <c r="CR157" s="32">
        <v>92.3</v>
      </c>
      <c r="CS157" s="32">
        <v>109.5</v>
      </c>
      <c r="CT157" s="32">
        <v>78.599999999999994</v>
      </c>
      <c r="CU157" s="32">
        <v>56.3</v>
      </c>
      <c r="CV157" s="32">
        <v>88.7</v>
      </c>
      <c r="CW157" s="32">
        <v>43.6</v>
      </c>
      <c r="CX157" s="32">
        <v>98.1</v>
      </c>
      <c r="CY157" s="32">
        <v>112.5</v>
      </c>
      <c r="CZ157" s="32">
        <v>90.3</v>
      </c>
      <c r="DA157" s="32">
        <v>75.599999999999994</v>
      </c>
      <c r="DB157" s="32">
        <v>118.9</v>
      </c>
      <c r="DC157" s="32">
        <v>11.7</v>
      </c>
      <c r="DD157" s="32">
        <v>11.7</v>
      </c>
      <c r="DE157" s="32">
        <v>69.099999999999994</v>
      </c>
      <c r="DF157" s="32">
        <v>66.099999999999994</v>
      </c>
      <c r="DG157" s="32">
        <v>87.5</v>
      </c>
      <c r="DH157" s="32">
        <v>106.5</v>
      </c>
      <c r="DI157" s="32">
        <v>141.69999999999999</v>
      </c>
      <c r="DJ157" s="32">
        <v>85.3</v>
      </c>
      <c r="DK157" s="32">
        <v>85.3</v>
      </c>
      <c r="DL157" s="32">
        <v>71.900000000000006</v>
      </c>
      <c r="DM157" s="32">
        <v>76.400000000000006</v>
      </c>
      <c r="DN157" s="32">
        <v>62.5</v>
      </c>
      <c r="DO157" s="32">
        <v>82.4</v>
      </c>
      <c r="DP157" s="32">
        <v>67.8</v>
      </c>
      <c r="DQ157" s="32">
        <v>74.400000000000006</v>
      </c>
      <c r="DR157" s="32">
        <v>80.8</v>
      </c>
      <c r="DS157" s="32">
        <v>80.7</v>
      </c>
      <c r="DT157" s="32">
        <v>78.7</v>
      </c>
      <c r="DU157" s="32">
        <v>79.2</v>
      </c>
      <c r="DV157" s="32">
        <v>86.3</v>
      </c>
      <c r="DW157" s="32">
        <v>71</v>
      </c>
      <c r="DX157" s="32">
        <v>77.599999999999994</v>
      </c>
      <c r="DY157" s="32">
        <v>87.8</v>
      </c>
      <c r="DZ157" s="32">
        <v>124.6</v>
      </c>
      <c r="EA157" s="32">
        <v>124.6</v>
      </c>
      <c r="EB157" s="32">
        <v>66.7</v>
      </c>
      <c r="EC157" s="32">
        <v>64.5</v>
      </c>
      <c r="ED157" s="32">
        <v>70</v>
      </c>
      <c r="EE157" s="32">
        <v>68.099999999999994</v>
      </c>
      <c r="EF157" s="32">
        <v>74.400000000000006</v>
      </c>
      <c r="EG157" s="32">
        <v>65.2</v>
      </c>
      <c r="EH157" s="32">
        <v>74</v>
      </c>
      <c r="EI157" s="32">
        <v>63.7</v>
      </c>
      <c r="EJ157" s="32">
        <v>63.6</v>
      </c>
      <c r="EK157" s="32">
        <v>62.1</v>
      </c>
      <c r="EL157" s="32">
        <v>67.8</v>
      </c>
      <c r="EM157" s="32">
        <v>58.1</v>
      </c>
      <c r="EN157" s="32">
        <v>63.3</v>
      </c>
      <c r="EO157" s="32">
        <v>89.6</v>
      </c>
      <c r="EP157" s="32">
        <v>99.5</v>
      </c>
      <c r="EQ157" s="32">
        <v>99.5</v>
      </c>
      <c r="ER157" s="32">
        <v>86.6</v>
      </c>
      <c r="ES157" s="32">
        <v>86.6</v>
      </c>
      <c r="ET157" s="32">
        <v>85.3</v>
      </c>
      <c r="EU157" s="32">
        <v>83.9</v>
      </c>
      <c r="EV157" s="32">
        <v>83.9</v>
      </c>
      <c r="EW157" s="32">
        <v>88.9</v>
      </c>
      <c r="EX157" s="32">
        <v>100.8</v>
      </c>
      <c r="EY157" s="32">
        <v>79.599999999999994</v>
      </c>
      <c r="EZ157" s="32">
        <v>87.4</v>
      </c>
      <c r="FA157" s="32">
        <v>93.8</v>
      </c>
      <c r="FB157" s="32">
        <v>100.7</v>
      </c>
      <c r="FC157" s="32">
        <v>82.5</v>
      </c>
      <c r="FD157" s="32">
        <v>119.4</v>
      </c>
      <c r="FE157" s="32">
        <v>120.6</v>
      </c>
      <c r="FF157" s="32">
        <v>85.7</v>
      </c>
      <c r="FG157" s="32">
        <v>86.6</v>
      </c>
      <c r="FH157" s="32">
        <v>96.3</v>
      </c>
      <c r="FI157" s="32">
        <v>77.7</v>
      </c>
      <c r="FJ157" s="32">
        <v>83.5</v>
      </c>
      <c r="FK157" s="32">
        <v>48.6</v>
      </c>
      <c r="FL157" s="32">
        <v>48.6</v>
      </c>
    </row>
    <row r="158" spans="1:168" x14ac:dyDescent="0.2">
      <c r="A158" s="34" t="s">
        <v>1138</v>
      </c>
      <c r="B158" s="32">
        <v>81.7</v>
      </c>
      <c r="C158" s="32">
        <v>91.4</v>
      </c>
      <c r="D158" s="32">
        <v>88.1</v>
      </c>
      <c r="E158" s="32">
        <v>92.6</v>
      </c>
      <c r="F158" s="32">
        <v>144.6</v>
      </c>
      <c r="G158" s="32">
        <v>4165.2</v>
      </c>
      <c r="H158" s="32">
        <v>159.6</v>
      </c>
      <c r="I158" s="32">
        <v>62.9</v>
      </c>
      <c r="J158" s="32">
        <v>85</v>
      </c>
      <c r="K158" s="32">
        <v>97.4</v>
      </c>
      <c r="L158" s="32">
        <v>90.4</v>
      </c>
      <c r="M158" s="32">
        <v>111.3</v>
      </c>
      <c r="N158" s="32">
        <v>71.900000000000006</v>
      </c>
      <c r="O158" s="32">
        <v>140.6</v>
      </c>
      <c r="P158" s="32">
        <v>150.1</v>
      </c>
      <c r="Q158" s="32">
        <v>169.9</v>
      </c>
      <c r="R158" s="32">
        <v>96.4</v>
      </c>
      <c r="S158" s="32">
        <v>91.6</v>
      </c>
      <c r="T158" s="32">
        <v>93.4</v>
      </c>
      <c r="U158" s="32">
        <v>70.599999999999994</v>
      </c>
      <c r="V158" s="32">
        <v>148.19999999999999</v>
      </c>
      <c r="W158" s="32">
        <v>66.099999999999994</v>
      </c>
      <c r="X158" s="32">
        <v>60.6</v>
      </c>
      <c r="Y158" s="32">
        <v>61.9</v>
      </c>
      <c r="Z158" s="32">
        <v>110.2</v>
      </c>
      <c r="AA158" s="32">
        <v>81.8</v>
      </c>
      <c r="AB158" s="32">
        <v>56.8</v>
      </c>
      <c r="AC158" s="32">
        <v>72.8</v>
      </c>
      <c r="AD158" s="32">
        <v>108.2</v>
      </c>
      <c r="AE158" s="32">
        <v>129.6</v>
      </c>
      <c r="AF158" s="32">
        <v>129.6</v>
      </c>
      <c r="AG158" s="32">
        <v>61.4</v>
      </c>
      <c r="AH158" s="32">
        <v>61.4</v>
      </c>
      <c r="AI158" s="32">
        <v>186.4</v>
      </c>
      <c r="AJ158" s="32">
        <v>36.9</v>
      </c>
      <c r="AK158" s="32">
        <v>120.8</v>
      </c>
      <c r="AL158" s="32">
        <v>82</v>
      </c>
      <c r="AM158" s="32">
        <v>47.7</v>
      </c>
      <c r="AN158" s="32">
        <v>69.7</v>
      </c>
      <c r="AO158" s="32">
        <v>111.1</v>
      </c>
      <c r="AP158" s="32">
        <v>111.1</v>
      </c>
      <c r="AQ158" s="32">
        <v>77.599999999999994</v>
      </c>
      <c r="AR158" s="32">
        <v>79.400000000000006</v>
      </c>
      <c r="AS158" s="32">
        <v>76.599999999999994</v>
      </c>
      <c r="AT158" s="32">
        <v>81.5</v>
      </c>
      <c r="AU158" s="32">
        <v>71.900000000000006</v>
      </c>
      <c r="AV158" s="32">
        <v>73.5</v>
      </c>
      <c r="AW158" s="32">
        <v>94</v>
      </c>
      <c r="AX158" s="32">
        <v>73.5</v>
      </c>
      <c r="AY158" s="32">
        <v>133.4</v>
      </c>
      <c r="AZ158" s="32">
        <v>70.7</v>
      </c>
      <c r="BA158" s="32">
        <v>90.6</v>
      </c>
      <c r="BB158" s="32">
        <v>90.6</v>
      </c>
      <c r="BC158" s="32">
        <v>92</v>
      </c>
      <c r="BD158" s="32">
        <v>92</v>
      </c>
      <c r="BE158" s="32">
        <v>80.7</v>
      </c>
      <c r="BF158" s="32">
        <v>80.7</v>
      </c>
      <c r="BG158" s="32">
        <v>85.8</v>
      </c>
      <c r="BH158" s="32">
        <v>83.6</v>
      </c>
      <c r="BI158" s="32">
        <v>86.9</v>
      </c>
      <c r="BJ158" s="32">
        <v>64.8</v>
      </c>
      <c r="BK158" s="32">
        <v>105.7</v>
      </c>
      <c r="BL158" s="32">
        <v>26.4</v>
      </c>
      <c r="BM158" s="32">
        <v>96.9</v>
      </c>
      <c r="BN158" s="32">
        <v>100.7</v>
      </c>
      <c r="BO158" s="32">
        <v>92.2</v>
      </c>
      <c r="BP158" s="32">
        <v>109.2</v>
      </c>
      <c r="BQ158" s="32">
        <v>92</v>
      </c>
      <c r="BR158" s="32">
        <v>68.7</v>
      </c>
      <c r="BS158" s="32">
        <v>158.69999999999999</v>
      </c>
      <c r="BT158" s="32">
        <v>78.3</v>
      </c>
      <c r="BU158" s="32">
        <v>91.9</v>
      </c>
      <c r="BV158" s="32">
        <v>91.9</v>
      </c>
      <c r="BW158" s="32">
        <v>126.9</v>
      </c>
      <c r="BX158" s="32">
        <v>41.2</v>
      </c>
      <c r="BY158" s="32">
        <v>106.2</v>
      </c>
      <c r="BZ158" s="32">
        <v>90.1</v>
      </c>
      <c r="CA158" s="32">
        <v>114.6</v>
      </c>
      <c r="CB158" s="32">
        <v>113.9</v>
      </c>
      <c r="CC158" s="32">
        <v>121.6</v>
      </c>
      <c r="CD158" s="32">
        <v>29.4</v>
      </c>
      <c r="CE158" s="32">
        <v>77</v>
      </c>
      <c r="CF158" s="32">
        <v>80.099999999999994</v>
      </c>
      <c r="CG158" s="32">
        <v>82.8</v>
      </c>
      <c r="CH158" s="32">
        <v>82.5</v>
      </c>
      <c r="CI158" s="32">
        <v>78.099999999999994</v>
      </c>
      <c r="CJ158" s="32">
        <v>85.5</v>
      </c>
      <c r="CK158" s="32">
        <v>82</v>
      </c>
      <c r="CL158" s="32">
        <v>87.2</v>
      </c>
      <c r="CM158" s="32">
        <v>92.5</v>
      </c>
      <c r="CN158" s="32">
        <v>77.599999999999994</v>
      </c>
      <c r="CO158" s="32">
        <v>97</v>
      </c>
      <c r="CP158" s="32">
        <v>67.5</v>
      </c>
      <c r="CQ158" s="32">
        <v>26.9</v>
      </c>
      <c r="CR158" s="32">
        <v>96</v>
      </c>
      <c r="CS158" s="32">
        <v>111.4</v>
      </c>
      <c r="CT158" s="32">
        <v>79.099999999999994</v>
      </c>
      <c r="CU158" s="32">
        <v>56</v>
      </c>
      <c r="CV158" s="32">
        <v>89.6</v>
      </c>
      <c r="CW158" s="32">
        <v>43.7</v>
      </c>
      <c r="CX158" s="32">
        <v>99</v>
      </c>
      <c r="CY158" s="32">
        <v>112.8</v>
      </c>
      <c r="CZ158" s="32">
        <v>91.5</v>
      </c>
      <c r="DA158" s="32">
        <v>77.599999999999994</v>
      </c>
      <c r="DB158" s="32">
        <v>118.7</v>
      </c>
      <c r="DC158" s="32">
        <v>11.9</v>
      </c>
      <c r="DD158" s="32">
        <v>11.9</v>
      </c>
      <c r="DE158" s="32">
        <v>68.400000000000006</v>
      </c>
      <c r="DF158" s="32">
        <v>65.7</v>
      </c>
      <c r="DG158" s="32">
        <v>85.3</v>
      </c>
      <c r="DH158" s="32">
        <v>107.9</v>
      </c>
      <c r="DI158" s="32">
        <v>143.1</v>
      </c>
      <c r="DJ158" s="32">
        <v>86.9</v>
      </c>
      <c r="DK158" s="32">
        <v>86.9</v>
      </c>
      <c r="DL158" s="32">
        <v>73.3</v>
      </c>
      <c r="DM158" s="32">
        <v>76.400000000000006</v>
      </c>
      <c r="DN158" s="32">
        <v>62.5</v>
      </c>
      <c r="DO158" s="32">
        <v>82.3</v>
      </c>
      <c r="DP158" s="32">
        <v>69.900000000000006</v>
      </c>
      <c r="DQ158" s="32">
        <v>73.2</v>
      </c>
      <c r="DR158" s="32">
        <v>78.7</v>
      </c>
      <c r="DS158" s="32">
        <v>78</v>
      </c>
      <c r="DT158" s="32">
        <v>75.3</v>
      </c>
      <c r="DU158" s="32">
        <v>78.900000000000006</v>
      </c>
      <c r="DV158" s="32">
        <v>85.7</v>
      </c>
      <c r="DW158" s="32">
        <v>71.099999999999994</v>
      </c>
      <c r="DX158" s="32">
        <v>67.8</v>
      </c>
      <c r="DY158" s="32">
        <v>86.9</v>
      </c>
      <c r="DZ158" s="32">
        <v>117.9</v>
      </c>
      <c r="EA158" s="32">
        <v>117.9</v>
      </c>
      <c r="EB158" s="32">
        <v>68.2</v>
      </c>
      <c r="EC158" s="32">
        <v>66.599999999999994</v>
      </c>
      <c r="ED158" s="32">
        <v>70.599999999999994</v>
      </c>
      <c r="EE158" s="32">
        <v>69.7</v>
      </c>
      <c r="EF158" s="32">
        <v>72.900000000000006</v>
      </c>
      <c r="EG158" s="32">
        <v>65.2</v>
      </c>
      <c r="EH158" s="32">
        <v>73.8</v>
      </c>
      <c r="EI158" s="32">
        <v>62.3</v>
      </c>
      <c r="EJ158" s="32">
        <v>65</v>
      </c>
      <c r="EK158" s="32">
        <v>63.2</v>
      </c>
      <c r="EL158" s="32">
        <v>69</v>
      </c>
      <c r="EM158" s="32">
        <v>58.3</v>
      </c>
      <c r="EN158" s="32">
        <v>64.900000000000006</v>
      </c>
      <c r="EO158" s="32">
        <v>89.4</v>
      </c>
      <c r="EP158" s="32">
        <v>99.4</v>
      </c>
      <c r="EQ158" s="32">
        <v>99.4</v>
      </c>
      <c r="ER158" s="32">
        <v>86.4</v>
      </c>
      <c r="ES158" s="32">
        <v>86.4</v>
      </c>
      <c r="ET158" s="32">
        <v>85.2</v>
      </c>
      <c r="EU158" s="32">
        <v>83.6</v>
      </c>
      <c r="EV158" s="32">
        <v>83.6</v>
      </c>
      <c r="EW158" s="32">
        <v>89.2</v>
      </c>
      <c r="EX158" s="32">
        <v>100.6</v>
      </c>
      <c r="EY158" s="32">
        <v>80.2</v>
      </c>
      <c r="EZ158" s="32">
        <v>87.5</v>
      </c>
      <c r="FA158" s="32">
        <v>91.4</v>
      </c>
      <c r="FB158" s="32">
        <v>95.4</v>
      </c>
      <c r="FC158" s="32">
        <v>75.599999999999994</v>
      </c>
      <c r="FD158" s="32">
        <v>117.4</v>
      </c>
      <c r="FE158" s="32">
        <v>116.8</v>
      </c>
      <c r="FF158" s="32">
        <v>86.5</v>
      </c>
      <c r="FG158" s="32">
        <v>88.8</v>
      </c>
      <c r="FH158" s="32">
        <v>96.7</v>
      </c>
      <c r="FI158" s="32">
        <v>80.2</v>
      </c>
      <c r="FJ158" s="32">
        <v>86.6</v>
      </c>
      <c r="FK158" s="32">
        <v>45</v>
      </c>
      <c r="FL158" s="32">
        <v>45</v>
      </c>
    </row>
    <row r="159" spans="1:168" x14ac:dyDescent="0.2">
      <c r="A159" s="34" t="s">
        <v>1139</v>
      </c>
      <c r="B159" s="32">
        <v>81.900000000000006</v>
      </c>
      <c r="C159" s="32">
        <v>89.7</v>
      </c>
      <c r="D159" s="32">
        <v>87.9</v>
      </c>
      <c r="E159" s="32">
        <v>92.8</v>
      </c>
      <c r="F159" s="32">
        <v>152.80000000000001</v>
      </c>
      <c r="G159" s="32">
        <v>3710.3</v>
      </c>
      <c r="H159" s="32">
        <v>171</v>
      </c>
      <c r="I159" s="32">
        <v>61.4</v>
      </c>
      <c r="J159" s="32">
        <v>85.1</v>
      </c>
      <c r="K159" s="32">
        <v>96</v>
      </c>
      <c r="L159" s="32">
        <v>89.3</v>
      </c>
      <c r="M159" s="32">
        <v>103.4</v>
      </c>
      <c r="N159" s="32">
        <v>77</v>
      </c>
      <c r="O159" s="32">
        <v>143.80000000000001</v>
      </c>
      <c r="P159" s="32">
        <v>141</v>
      </c>
      <c r="Q159" s="32">
        <v>178.4</v>
      </c>
      <c r="R159" s="32">
        <v>95</v>
      </c>
      <c r="S159" s="32">
        <v>91.5</v>
      </c>
      <c r="T159" s="32">
        <v>91</v>
      </c>
      <c r="U159" s="32">
        <v>72.099999999999994</v>
      </c>
      <c r="V159" s="32">
        <v>143.4</v>
      </c>
      <c r="W159" s="32">
        <v>65.7</v>
      </c>
      <c r="X159" s="32">
        <v>61.9</v>
      </c>
      <c r="Y159" s="32">
        <v>57.2</v>
      </c>
      <c r="Z159" s="32">
        <v>111.7</v>
      </c>
      <c r="AA159" s="32">
        <v>78.900000000000006</v>
      </c>
      <c r="AB159" s="32">
        <v>52.3</v>
      </c>
      <c r="AC159" s="32">
        <v>74.5</v>
      </c>
      <c r="AD159" s="32">
        <v>102.5</v>
      </c>
      <c r="AE159" s="32">
        <v>122</v>
      </c>
      <c r="AF159" s="32">
        <v>122</v>
      </c>
      <c r="AG159" s="32">
        <v>62.4</v>
      </c>
      <c r="AH159" s="32">
        <v>62.4</v>
      </c>
      <c r="AI159" s="32">
        <v>198.1</v>
      </c>
      <c r="AJ159" s="32">
        <v>36.299999999999997</v>
      </c>
      <c r="AK159" s="32">
        <v>115.6</v>
      </c>
      <c r="AL159" s="32">
        <v>82.4</v>
      </c>
      <c r="AM159" s="32">
        <v>49.5</v>
      </c>
      <c r="AN159" s="32">
        <v>77</v>
      </c>
      <c r="AO159" s="32">
        <v>108.1</v>
      </c>
      <c r="AP159" s="32">
        <v>108.1</v>
      </c>
      <c r="AQ159" s="32">
        <v>77.900000000000006</v>
      </c>
      <c r="AR159" s="32">
        <v>79.7</v>
      </c>
      <c r="AS159" s="32">
        <v>76.7</v>
      </c>
      <c r="AT159" s="32">
        <v>82.5</v>
      </c>
      <c r="AU159" s="32">
        <v>71.3</v>
      </c>
      <c r="AV159" s="32">
        <v>77.2</v>
      </c>
      <c r="AW159" s="32">
        <v>95.8</v>
      </c>
      <c r="AX159" s="32">
        <v>76.5</v>
      </c>
      <c r="AY159" s="32">
        <v>127.2</v>
      </c>
      <c r="AZ159" s="32">
        <v>74.8</v>
      </c>
      <c r="BA159" s="32">
        <v>91.9</v>
      </c>
      <c r="BB159" s="32">
        <v>91.9</v>
      </c>
      <c r="BC159" s="32">
        <v>88.5</v>
      </c>
      <c r="BD159" s="32">
        <v>88.5</v>
      </c>
      <c r="BE159" s="32">
        <v>82.9</v>
      </c>
      <c r="BF159" s="32">
        <v>82.9</v>
      </c>
      <c r="BG159" s="32">
        <v>84.1</v>
      </c>
      <c r="BH159" s="32">
        <v>82.9</v>
      </c>
      <c r="BI159" s="32">
        <v>84.3</v>
      </c>
      <c r="BJ159" s="32">
        <v>66.7</v>
      </c>
      <c r="BK159" s="32">
        <v>100.7</v>
      </c>
      <c r="BL159" s="32">
        <v>26</v>
      </c>
      <c r="BM159" s="32">
        <v>100.6</v>
      </c>
      <c r="BN159" s="32">
        <v>102.4</v>
      </c>
      <c r="BO159" s="32">
        <v>90.9</v>
      </c>
      <c r="BP159" s="32">
        <v>113.7</v>
      </c>
      <c r="BQ159" s="32">
        <v>98.4</v>
      </c>
      <c r="BR159" s="32">
        <v>84.4</v>
      </c>
      <c r="BS159" s="32">
        <v>194.3</v>
      </c>
      <c r="BT159" s="32">
        <v>77.599999999999994</v>
      </c>
      <c r="BU159" s="32">
        <v>88.6</v>
      </c>
      <c r="BV159" s="32">
        <v>88.6</v>
      </c>
      <c r="BW159" s="32">
        <v>122.2</v>
      </c>
      <c r="BX159" s="32">
        <v>39.799999999999997</v>
      </c>
      <c r="BY159" s="32">
        <v>106.1</v>
      </c>
      <c r="BZ159" s="32">
        <v>90.6</v>
      </c>
      <c r="CA159" s="32">
        <v>114.2</v>
      </c>
      <c r="CB159" s="32">
        <v>117.1</v>
      </c>
      <c r="CC159" s="32">
        <v>118.2</v>
      </c>
      <c r="CD159" s="32">
        <v>30.9</v>
      </c>
      <c r="CE159" s="32">
        <v>75.900000000000006</v>
      </c>
      <c r="CF159" s="32">
        <v>80.400000000000006</v>
      </c>
      <c r="CG159" s="32">
        <v>83.4</v>
      </c>
      <c r="CH159" s="32">
        <v>83.1</v>
      </c>
      <c r="CI159" s="32">
        <v>81.8</v>
      </c>
      <c r="CJ159" s="32">
        <v>84.7</v>
      </c>
      <c r="CK159" s="32">
        <v>82.7</v>
      </c>
      <c r="CL159" s="32">
        <v>87.8</v>
      </c>
      <c r="CM159" s="32">
        <v>92.9</v>
      </c>
      <c r="CN159" s="32">
        <v>80.2</v>
      </c>
      <c r="CO159" s="32">
        <v>96.9</v>
      </c>
      <c r="CP159" s="32">
        <v>66.900000000000006</v>
      </c>
      <c r="CQ159" s="32">
        <v>25.4</v>
      </c>
      <c r="CR159" s="32">
        <v>94.7</v>
      </c>
      <c r="CS159" s="32">
        <v>119</v>
      </c>
      <c r="CT159" s="32">
        <v>79.8</v>
      </c>
      <c r="CU159" s="32">
        <v>55.7</v>
      </c>
      <c r="CV159" s="32">
        <v>90.8</v>
      </c>
      <c r="CW159" s="32">
        <v>44.8</v>
      </c>
      <c r="CX159" s="32">
        <v>101.4</v>
      </c>
      <c r="CY159" s="32">
        <v>112.1</v>
      </c>
      <c r="CZ159" s="32">
        <v>95.8</v>
      </c>
      <c r="DA159" s="32">
        <v>81.599999999999994</v>
      </c>
      <c r="DB159" s="32">
        <v>123.2</v>
      </c>
      <c r="DC159" s="32">
        <v>12</v>
      </c>
      <c r="DD159" s="32">
        <v>12</v>
      </c>
      <c r="DE159" s="32">
        <v>71.2</v>
      </c>
      <c r="DF159" s="32">
        <v>68.5</v>
      </c>
      <c r="DG159" s="32">
        <v>87.6</v>
      </c>
      <c r="DH159" s="32">
        <v>107.3</v>
      </c>
      <c r="DI159" s="32">
        <v>142.30000000000001</v>
      </c>
      <c r="DJ159" s="32">
        <v>86.4</v>
      </c>
      <c r="DK159" s="32">
        <v>86.4</v>
      </c>
      <c r="DL159" s="32">
        <v>73.3</v>
      </c>
      <c r="DM159" s="32">
        <v>76.400000000000006</v>
      </c>
      <c r="DN159" s="32">
        <v>63.8</v>
      </c>
      <c r="DO159" s="32">
        <v>81.900000000000006</v>
      </c>
      <c r="DP159" s="32">
        <v>69.2</v>
      </c>
      <c r="DQ159" s="32">
        <v>73.7</v>
      </c>
      <c r="DR159" s="32">
        <v>79.8</v>
      </c>
      <c r="DS159" s="32">
        <v>78.3</v>
      </c>
      <c r="DT159" s="32">
        <v>74.7</v>
      </c>
      <c r="DU159" s="32">
        <v>82.2</v>
      </c>
      <c r="DV159" s="32">
        <v>88.8</v>
      </c>
      <c r="DW159" s="32">
        <v>74.5</v>
      </c>
      <c r="DX159" s="32">
        <v>58.8</v>
      </c>
      <c r="DY159" s="32">
        <v>90</v>
      </c>
      <c r="DZ159" s="32">
        <v>125.9</v>
      </c>
      <c r="EA159" s="32">
        <v>125.9</v>
      </c>
      <c r="EB159" s="32">
        <v>69.3</v>
      </c>
      <c r="EC159" s="32">
        <v>66.7</v>
      </c>
      <c r="ED159" s="32">
        <v>72.900000000000006</v>
      </c>
      <c r="EE159" s="32">
        <v>72.8</v>
      </c>
      <c r="EF159" s="32">
        <v>73.099999999999994</v>
      </c>
      <c r="EG159" s="32">
        <v>65.099999999999994</v>
      </c>
      <c r="EH159" s="32">
        <v>72.599999999999994</v>
      </c>
      <c r="EI159" s="32">
        <v>61.9</v>
      </c>
      <c r="EJ159" s="32">
        <v>64.599999999999994</v>
      </c>
      <c r="EK159" s="32">
        <v>63.9</v>
      </c>
      <c r="EL159" s="32">
        <v>69.5</v>
      </c>
      <c r="EM159" s="32">
        <v>58.1</v>
      </c>
      <c r="EN159" s="32">
        <v>66.3</v>
      </c>
      <c r="EO159" s="32">
        <v>89.1</v>
      </c>
      <c r="EP159" s="32">
        <v>98.4</v>
      </c>
      <c r="EQ159" s="32">
        <v>98.4</v>
      </c>
      <c r="ER159" s="32">
        <v>86.3</v>
      </c>
      <c r="ES159" s="32">
        <v>86.3</v>
      </c>
      <c r="ET159" s="32">
        <v>85.3</v>
      </c>
      <c r="EU159" s="32">
        <v>83.6</v>
      </c>
      <c r="EV159" s="32">
        <v>83.6</v>
      </c>
      <c r="EW159" s="32">
        <v>89.3</v>
      </c>
      <c r="EX159" s="32">
        <v>100.3</v>
      </c>
      <c r="EY159" s="32">
        <v>80.599999999999994</v>
      </c>
      <c r="EZ159" s="32">
        <v>87.6</v>
      </c>
      <c r="FA159" s="32">
        <v>92.4</v>
      </c>
      <c r="FB159" s="32">
        <v>95.6</v>
      </c>
      <c r="FC159" s="32">
        <v>78.599999999999994</v>
      </c>
      <c r="FD159" s="32">
        <v>117.5</v>
      </c>
      <c r="FE159" s="32">
        <v>111.9</v>
      </c>
      <c r="FF159" s="32">
        <v>88.6</v>
      </c>
      <c r="FG159" s="32">
        <v>88.1</v>
      </c>
      <c r="FH159" s="32">
        <v>90.4</v>
      </c>
      <c r="FI159" s="32">
        <v>84.3</v>
      </c>
      <c r="FJ159" s="32">
        <v>87.6</v>
      </c>
      <c r="FK159" s="32">
        <v>46.7</v>
      </c>
      <c r="FL159" s="32">
        <v>46.7</v>
      </c>
    </row>
    <row r="160" spans="1:168" x14ac:dyDescent="0.2">
      <c r="A160" s="34" t="s">
        <v>1140</v>
      </c>
      <c r="B160" s="32">
        <v>81.900000000000006</v>
      </c>
      <c r="C160" s="32">
        <v>88</v>
      </c>
      <c r="D160" s="32">
        <v>87.7</v>
      </c>
      <c r="E160" s="32">
        <v>92.6</v>
      </c>
      <c r="F160" s="32">
        <v>150.19999999999999</v>
      </c>
      <c r="G160" s="32">
        <v>3052.2</v>
      </c>
      <c r="H160" s="32">
        <v>169.7</v>
      </c>
      <c r="I160" s="32">
        <v>58.5</v>
      </c>
      <c r="J160" s="32">
        <v>85.4</v>
      </c>
      <c r="K160" s="32">
        <v>95.4</v>
      </c>
      <c r="L160" s="32">
        <v>88.2</v>
      </c>
      <c r="M160" s="32">
        <v>99.7</v>
      </c>
      <c r="N160" s="32">
        <v>71.5</v>
      </c>
      <c r="O160" s="32">
        <v>141.1</v>
      </c>
      <c r="P160" s="32">
        <v>129</v>
      </c>
      <c r="Q160" s="32">
        <v>181.8</v>
      </c>
      <c r="R160" s="32">
        <v>93.8</v>
      </c>
      <c r="S160" s="32">
        <v>95</v>
      </c>
      <c r="T160" s="32">
        <v>88.4</v>
      </c>
      <c r="U160" s="32">
        <v>75.7</v>
      </c>
      <c r="V160" s="32">
        <v>143.6</v>
      </c>
      <c r="W160" s="32">
        <v>65.900000000000006</v>
      </c>
      <c r="X160" s="32">
        <v>59.9</v>
      </c>
      <c r="Y160" s="32">
        <v>63</v>
      </c>
      <c r="Z160" s="32">
        <v>107.1</v>
      </c>
      <c r="AA160" s="32">
        <v>81.2</v>
      </c>
      <c r="AB160" s="32">
        <v>55.6</v>
      </c>
      <c r="AC160" s="32">
        <v>75.900000000000006</v>
      </c>
      <c r="AD160" s="32">
        <v>105.1</v>
      </c>
      <c r="AE160" s="32">
        <v>127.1</v>
      </c>
      <c r="AF160" s="32">
        <v>127.1</v>
      </c>
      <c r="AG160" s="32">
        <v>62.9</v>
      </c>
      <c r="AH160" s="32">
        <v>62.9</v>
      </c>
      <c r="AI160" s="32">
        <v>196.3</v>
      </c>
      <c r="AJ160" s="32">
        <v>34.299999999999997</v>
      </c>
      <c r="AK160" s="32">
        <v>108.1</v>
      </c>
      <c r="AL160" s="32">
        <v>87.5</v>
      </c>
      <c r="AM160" s="32">
        <v>51.9</v>
      </c>
      <c r="AN160" s="32">
        <v>82.3</v>
      </c>
      <c r="AO160" s="32">
        <v>111.5</v>
      </c>
      <c r="AP160" s="32">
        <v>111.5</v>
      </c>
      <c r="AQ160" s="32">
        <v>77.599999999999994</v>
      </c>
      <c r="AR160" s="32">
        <v>78.5</v>
      </c>
      <c r="AS160" s="32">
        <v>77.900000000000006</v>
      </c>
      <c r="AT160" s="32">
        <v>84.9</v>
      </c>
      <c r="AU160" s="32">
        <v>71.5</v>
      </c>
      <c r="AV160" s="32">
        <v>76.400000000000006</v>
      </c>
      <c r="AW160" s="32">
        <v>98.7</v>
      </c>
      <c r="AX160" s="32">
        <v>80.599999999999994</v>
      </c>
      <c r="AY160" s="32">
        <v>131.5</v>
      </c>
      <c r="AZ160" s="32">
        <v>73.2</v>
      </c>
      <c r="BA160" s="32">
        <v>93</v>
      </c>
      <c r="BB160" s="32">
        <v>93</v>
      </c>
      <c r="BC160" s="32">
        <v>88.2</v>
      </c>
      <c r="BD160" s="32">
        <v>88.2</v>
      </c>
      <c r="BE160" s="32">
        <v>83.1</v>
      </c>
      <c r="BF160" s="32">
        <v>83.1</v>
      </c>
      <c r="BG160" s="32">
        <v>83.3</v>
      </c>
      <c r="BH160" s="32">
        <v>83.4</v>
      </c>
      <c r="BI160" s="32">
        <v>82.4</v>
      </c>
      <c r="BJ160" s="32">
        <v>67.900000000000006</v>
      </c>
      <c r="BK160" s="32">
        <v>97.8</v>
      </c>
      <c r="BL160" s="32">
        <v>24.4</v>
      </c>
      <c r="BM160" s="32">
        <v>101.4</v>
      </c>
      <c r="BN160" s="32">
        <v>101.1</v>
      </c>
      <c r="BO160" s="32">
        <v>85.7</v>
      </c>
      <c r="BP160" s="32">
        <v>116.4</v>
      </c>
      <c r="BQ160" s="32">
        <v>101.9</v>
      </c>
      <c r="BR160" s="32">
        <v>62.1</v>
      </c>
      <c r="BS160" s="32">
        <v>233.8</v>
      </c>
      <c r="BT160" s="32">
        <v>77.400000000000006</v>
      </c>
      <c r="BU160" s="32">
        <v>86.4</v>
      </c>
      <c r="BV160" s="32">
        <v>86.4</v>
      </c>
      <c r="BW160" s="32">
        <v>120.4</v>
      </c>
      <c r="BX160" s="32">
        <v>37.700000000000003</v>
      </c>
      <c r="BY160" s="32">
        <v>106.4</v>
      </c>
      <c r="BZ160" s="32">
        <v>91.7</v>
      </c>
      <c r="CA160" s="32">
        <v>114.1</v>
      </c>
      <c r="CB160" s="32">
        <v>119.9</v>
      </c>
      <c r="CC160" s="32">
        <v>114.6</v>
      </c>
      <c r="CD160" s="32">
        <v>32.1</v>
      </c>
      <c r="CE160" s="32">
        <v>75.8</v>
      </c>
      <c r="CF160" s="32">
        <v>80.5</v>
      </c>
      <c r="CG160" s="32">
        <v>84.6</v>
      </c>
      <c r="CH160" s="32">
        <v>84.7</v>
      </c>
      <c r="CI160" s="32">
        <v>83.7</v>
      </c>
      <c r="CJ160" s="32">
        <v>87.8</v>
      </c>
      <c r="CK160" s="32">
        <v>83.1</v>
      </c>
      <c r="CL160" s="32">
        <v>88.2</v>
      </c>
      <c r="CM160" s="32">
        <v>93.4</v>
      </c>
      <c r="CN160" s="32">
        <v>83.1</v>
      </c>
      <c r="CO160" s="32">
        <v>96.9</v>
      </c>
      <c r="CP160" s="32">
        <v>67.2</v>
      </c>
      <c r="CQ160" s="32">
        <v>26.2</v>
      </c>
      <c r="CR160" s="32">
        <v>97.2</v>
      </c>
      <c r="CS160" s="32">
        <v>114</v>
      </c>
      <c r="CT160" s="32">
        <v>80.900000000000006</v>
      </c>
      <c r="CU160" s="32">
        <v>58</v>
      </c>
      <c r="CV160" s="32">
        <v>91.2</v>
      </c>
      <c r="CW160" s="32">
        <v>45.3</v>
      </c>
      <c r="CX160" s="32">
        <v>100.5</v>
      </c>
      <c r="CY160" s="32">
        <v>112.7</v>
      </c>
      <c r="CZ160" s="32">
        <v>94.1</v>
      </c>
      <c r="DA160" s="32">
        <v>79</v>
      </c>
      <c r="DB160" s="32">
        <v>123.6</v>
      </c>
      <c r="DC160" s="32">
        <v>12.1</v>
      </c>
      <c r="DD160" s="32">
        <v>12.1</v>
      </c>
      <c r="DE160" s="32">
        <v>73.2</v>
      </c>
      <c r="DF160" s="32">
        <v>70.400000000000006</v>
      </c>
      <c r="DG160" s="32">
        <v>90.2</v>
      </c>
      <c r="DH160" s="32">
        <v>106.6</v>
      </c>
      <c r="DI160" s="32">
        <v>142.1</v>
      </c>
      <c r="DJ160" s="32">
        <v>88.6</v>
      </c>
      <c r="DK160" s="32">
        <v>88.6</v>
      </c>
      <c r="DL160" s="32">
        <v>68.8</v>
      </c>
      <c r="DM160" s="32">
        <v>76.7</v>
      </c>
      <c r="DN160" s="32">
        <v>64.5</v>
      </c>
      <c r="DO160" s="32">
        <v>82</v>
      </c>
      <c r="DP160" s="32">
        <v>70.900000000000006</v>
      </c>
      <c r="DQ160" s="32">
        <v>72.599999999999994</v>
      </c>
      <c r="DR160" s="32">
        <v>78</v>
      </c>
      <c r="DS160" s="32">
        <v>75.8</v>
      </c>
      <c r="DT160" s="32">
        <v>71.099999999999994</v>
      </c>
      <c r="DU160" s="32">
        <v>80.900000000000006</v>
      </c>
      <c r="DV160" s="32">
        <v>89.3</v>
      </c>
      <c r="DW160" s="32">
        <v>71.2</v>
      </c>
      <c r="DX160" s="32">
        <v>50.3</v>
      </c>
      <c r="DY160" s="32">
        <v>90.9</v>
      </c>
      <c r="DZ160" s="32">
        <v>119</v>
      </c>
      <c r="EA160" s="32">
        <v>119</v>
      </c>
      <c r="EB160" s="32">
        <v>71.8</v>
      </c>
      <c r="EC160" s="32">
        <v>71.099999999999994</v>
      </c>
      <c r="ED160" s="32">
        <v>73.2</v>
      </c>
      <c r="EE160" s="32">
        <v>72.7</v>
      </c>
      <c r="EF160" s="32">
        <v>74.400000000000006</v>
      </c>
      <c r="EG160" s="32">
        <v>64.900000000000006</v>
      </c>
      <c r="EH160" s="32">
        <v>71.400000000000006</v>
      </c>
      <c r="EI160" s="32">
        <v>61.6</v>
      </c>
      <c r="EJ160" s="32">
        <v>63.3</v>
      </c>
      <c r="EK160" s="32">
        <v>64.599999999999994</v>
      </c>
      <c r="EL160" s="32">
        <v>65.5</v>
      </c>
      <c r="EM160" s="32">
        <v>59.2</v>
      </c>
      <c r="EN160" s="32">
        <v>67.7</v>
      </c>
      <c r="EO160" s="32">
        <v>89.3</v>
      </c>
      <c r="EP160" s="32">
        <v>98</v>
      </c>
      <c r="EQ160" s="32">
        <v>98</v>
      </c>
      <c r="ER160" s="32">
        <v>86.6</v>
      </c>
      <c r="ES160" s="32">
        <v>86.6</v>
      </c>
      <c r="ET160" s="32">
        <v>85.5</v>
      </c>
      <c r="EU160" s="32">
        <v>84</v>
      </c>
      <c r="EV160" s="32">
        <v>84</v>
      </c>
      <c r="EW160" s="32">
        <v>89.4</v>
      </c>
      <c r="EX160" s="32">
        <v>100.1</v>
      </c>
      <c r="EY160" s="32">
        <v>81.099999999999994</v>
      </c>
      <c r="EZ160" s="32">
        <v>85.5</v>
      </c>
      <c r="FA160" s="32">
        <v>89.4</v>
      </c>
      <c r="FB160" s="32">
        <v>89.3</v>
      </c>
      <c r="FC160" s="32">
        <v>69.8</v>
      </c>
      <c r="FD160" s="32">
        <v>116.3</v>
      </c>
      <c r="FE160" s="32">
        <v>107.8</v>
      </c>
      <c r="FF160" s="32">
        <v>89.5</v>
      </c>
      <c r="FG160" s="32">
        <v>86</v>
      </c>
      <c r="FH160" s="32">
        <v>90.6</v>
      </c>
      <c r="FI160" s="32">
        <v>78.900000000000006</v>
      </c>
      <c r="FJ160" s="32">
        <v>84.9</v>
      </c>
      <c r="FK160" s="32">
        <v>51.9</v>
      </c>
      <c r="FL160" s="32">
        <v>51.9</v>
      </c>
    </row>
    <row r="161" spans="1:168" x14ac:dyDescent="0.2">
      <c r="A161" s="34" t="s">
        <v>1141</v>
      </c>
      <c r="B161" s="32">
        <v>82.4</v>
      </c>
      <c r="C161" s="32">
        <v>85.9</v>
      </c>
      <c r="D161" s="32">
        <v>88</v>
      </c>
      <c r="E161" s="32">
        <v>92.7</v>
      </c>
      <c r="F161" s="32">
        <v>146.9</v>
      </c>
      <c r="G161" s="32">
        <v>2870.7</v>
      </c>
      <c r="H161" s="32">
        <v>162.9</v>
      </c>
      <c r="I161" s="32">
        <v>62.4</v>
      </c>
      <c r="J161" s="32">
        <v>85.3</v>
      </c>
      <c r="K161" s="32">
        <v>93.7</v>
      </c>
      <c r="L161" s="32">
        <v>86.7</v>
      </c>
      <c r="M161" s="32">
        <v>91.4</v>
      </c>
      <c r="N161" s="32">
        <v>71.3</v>
      </c>
      <c r="O161" s="32">
        <v>142.30000000000001</v>
      </c>
      <c r="P161" s="32">
        <v>117</v>
      </c>
      <c r="Q161" s="32">
        <v>185.8</v>
      </c>
      <c r="R161" s="32">
        <v>94.5</v>
      </c>
      <c r="S161" s="32">
        <v>95.5</v>
      </c>
      <c r="T161" s="32">
        <v>85.7</v>
      </c>
      <c r="U161" s="32">
        <v>80</v>
      </c>
      <c r="V161" s="32">
        <v>138.80000000000001</v>
      </c>
      <c r="W161" s="32">
        <v>68.7</v>
      </c>
      <c r="X161" s="32">
        <v>61.8</v>
      </c>
      <c r="Y161" s="32">
        <v>68.599999999999994</v>
      </c>
      <c r="Z161" s="32">
        <v>103.8</v>
      </c>
      <c r="AA161" s="32">
        <v>80.7</v>
      </c>
      <c r="AB161" s="32">
        <v>58.2</v>
      </c>
      <c r="AC161" s="32">
        <v>79.2</v>
      </c>
      <c r="AD161" s="32">
        <v>99.4</v>
      </c>
      <c r="AE161" s="32">
        <v>128.1</v>
      </c>
      <c r="AF161" s="32">
        <v>128.1</v>
      </c>
      <c r="AG161" s="32">
        <v>64.099999999999994</v>
      </c>
      <c r="AH161" s="32">
        <v>64.099999999999994</v>
      </c>
      <c r="AI161" s="32">
        <v>189.3</v>
      </c>
      <c r="AJ161" s="32">
        <v>32.6</v>
      </c>
      <c r="AK161" s="32">
        <v>87</v>
      </c>
      <c r="AL161" s="32">
        <v>95.1</v>
      </c>
      <c r="AM161" s="32">
        <v>53.3</v>
      </c>
      <c r="AN161" s="32">
        <v>102.9</v>
      </c>
      <c r="AO161" s="32">
        <v>109</v>
      </c>
      <c r="AP161" s="32">
        <v>109</v>
      </c>
      <c r="AQ161" s="32">
        <v>79</v>
      </c>
      <c r="AR161" s="32">
        <v>79.8</v>
      </c>
      <c r="AS161" s="32">
        <v>79.400000000000006</v>
      </c>
      <c r="AT161" s="32">
        <v>86.8</v>
      </c>
      <c r="AU161" s="32">
        <v>72.599999999999994</v>
      </c>
      <c r="AV161" s="32">
        <v>78.3</v>
      </c>
      <c r="AW161" s="32">
        <v>108.9</v>
      </c>
      <c r="AX161" s="32">
        <v>94.4</v>
      </c>
      <c r="AY161" s="32">
        <v>141.6</v>
      </c>
      <c r="AZ161" s="32">
        <v>73.3</v>
      </c>
      <c r="BA161" s="32">
        <v>91.5</v>
      </c>
      <c r="BB161" s="32">
        <v>91.5</v>
      </c>
      <c r="BC161" s="32">
        <v>87.5</v>
      </c>
      <c r="BD161" s="32">
        <v>87.5</v>
      </c>
      <c r="BE161" s="32">
        <v>81.599999999999994</v>
      </c>
      <c r="BF161" s="32">
        <v>81.599999999999994</v>
      </c>
      <c r="BG161" s="32">
        <v>83.2</v>
      </c>
      <c r="BH161" s="32">
        <v>84.7</v>
      </c>
      <c r="BI161" s="32">
        <v>80.900000000000006</v>
      </c>
      <c r="BJ161" s="32">
        <v>70</v>
      </c>
      <c r="BK161" s="32">
        <v>94.6</v>
      </c>
      <c r="BL161" s="32">
        <v>26.5</v>
      </c>
      <c r="BM161" s="32">
        <v>102.2</v>
      </c>
      <c r="BN161" s="32">
        <v>106.4</v>
      </c>
      <c r="BO161" s="32">
        <v>87</v>
      </c>
      <c r="BP161" s="32">
        <v>125.9</v>
      </c>
      <c r="BQ161" s="32">
        <v>97.1</v>
      </c>
      <c r="BR161" s="32">
        <v>62</v>
      </c>
      <c r="BS161" s="32">
        <v>201.9</v>
      </c>
      <c r="BT161" s="32">
        <v>77.5</v>
      </c>
      <c r="BU161" s="32">
        <v>88.6</v>
      </c>
      <c r="BV161" s="32">
        <v>88.6</v>
      </c>
      <c r="BW161" s="32">
        <v>119.4</v>
      </c>
      <c r="BX161" s="32">
        <v>42.3</v>
      </c>
      <c r="BY161" s="32">
        <v>107.1</v>
      </c>
      <c r="BZ161" s="32">
        <v>94.3</v>
      </c>
      <c r="CA161" s="32">
        <v>113.6</v>
      </c>
      <c r="CB161" s="32">
        <v>119.6</v>
      </c>
      <c r="CC161" s="32">
        <v>113.6</v>
      </c>
      <c r="CD161" s="32">
        <v>33.9</v>
      </c>
      <c r="CE161" s="32">
        <v>76.400000000000006</v>
      </c>
      <c r="CF161" s="32">
        <v>81.099999999999994</v>
      </c>
      <c r="CG161" s="32">
        <v>86.5</v>
      </c>
      <c r="CH161" s="32">
        <v>87.1</v>
      </c>
      <c r="CI161" s="32">
        <v>91.9</v>
      </c>
      <c r="CJ161" s="32">
        <v>91.3</v>
      </c>
      <c r="CK161" s="32">
        <v>83.3</v>
      </c>
      <c r="CL161" s="32">
        <v>89.4</v>
      </c>
      <c r="CM161" s="32">
        <v>95</v>
      </c>
      <c r="CN161" s="32">
        <v>86.5</v>
      </c>
      <c r="CO161" s="32">
        <v>98.1</v>
      </c>
      <c r="CP161" s="32">
        <v>68.400000000000006</v>
      </c>
      <c r="CQ161" s="32">
        <v>26.9</v>
      </c>
      <c r="CR161" s="32">
        <v>100.2</v>
      </c>
      <c r="CS161" s="32">
        <v>111.3</v>
      </c>
      <c r="CT161" s="32">
        <v>81.400000000000006</v>
      </c>
      <c r="CU161" s="32">
        <v>58.6</v>
      </c>
      <c r="CV161" s="32">
        <v>91.7</v>
      </c>
      <c r="CW161" s="32">
        <v>44.9</v>
      </c>
      <c r="CX161" s="32">
        <v>100.2</v>
      </c>
      <c r="CY161" s="32">
        <v>113.5</v>
      </c>
      <c r="CZ161" s="32">
        <v>93.1</v>
      </c>
      <c r="DA161" s="32">
        <v>77.900000000000006</v>
      </c>
      <c r="DB161" s="32">
        <v>122.9</v>
      </c>
      <c r="DC161" s="32">
        <v>12.4</v>
      </c>
      <c r="DD161" s="32">
        <v>12.4</v>
      </c>
      <c r="DE161" s="32">
        <v>70.599999999999994</v>
      </c>
      <c r="DF161" s="32">
        <v>68.599999999999994</v>
      </c>
      <c r="DG161" s="32">
        <v>82.1</v>
      </c>
      <c r="DH161" s="32">
        <v>106.8</v>
      </c>
      <c r="DI161" s="32">
        <v>139.4</v>
      </c>
      <c r="DJ161" s="32">
        <v>91.4</v>
      </c>
      <c r="DK161" s="32">
        <v>91.4</v>
      </c>
      <c r="DL161" s="32">
        <v>71</v>
      </c>
      <c r="DM161" s="32">
        <v>76.599999999999994</v>
      </c>
      <c r="DN161" s="32">
        <v>63.9</v>
      </c>
      <c r="DO161" s="32">
        <v>82.1</v>
      </c>
      <c r="DP161" s="32">
        <v>70.3</v>
      </c>
      <c r="DQ161" s="32">
        <v>74</v>
      </c>
      <c r="DR161" s="32">
        <v>80.2</v>
      </c>
      <c r="DS161" s="32">
        <v>78.8</v>
      </c>
      <c r="DT161" s="32">
        <v>74.5</v>
      </c>
      <c r="DU161" s="32">
        <v>81.2</v>
      </c>
      <c r="DV161" s="32">
        <v>89.5</v>
      </c>
      <c r="DW161" s="32">
        <v>71.7</v>
      </c>
      <c r="DX161" s="32">
        <v>60.3</v>
      </c>
      <c r="DY161" s="32">
        <v>92.6</v>
      </c>
      <c r="DZ161" s="32">
        <v>121.1</v>
      </c>
      <c r="EA161" s="32">
        <v>121.1</v>
      </c>
      <c r="EB161" s="32">
        <v>71.400000000000006</v>
      </c>
      <c r="EC161" s="32">
        <v>71.099999999999994</v>
      </c>
      <c r="ED161" s="32">
        <v>72.3</v>
      </c>
      <c r="EE161" s="32">
        <v>71.599999999999994</v>
      </c>
      <c r="EF161" s="32">
        <v>74</v>
      </c>
      <c r="EG161" s="32">
        <v>65.2</v>
      </c>
      <c r="EH161" s="32">
        <v>70.900000000000006</v>
      </c>
      <c r="EI161" s="32">
        <v>61.9</v>
      </c>
      <c r="EJ161" s="32">
        <v>63.5</v>
      </c>
      <c r="EK161" s="32">
        <v>65.400000000000006</v>
      </c>
      <c r="EL161" s="32">
        <v>67.400000000000006</v>
      </c>
      <c r="EM161" s="32">
        <v>60.1</v>
      </c>
      <c r="EN161" s="32">
        <v>68.2</v>
      </c>
      <c r="EO161" s="32">
        <v>89.4</v>
      </c>
      <c r="EP161" s="32">
        <v>97.6</v>
      </c>
      <c r="EQ161" s="32">
        <v>97.6</v>
      </c>
      <c r="ER161" s="32">
        <v>86.9</v>
      </c>
      <c r="ES161" s="32">
        <v>86.9</v>
      </c>
      <c r="ET161" s="32">
        <v>85.9</v>
      </c>
      <c r="EU161" s="32">
        <v>84.4</v>
      </c>
      <c r="EV161" s="32">
        <v>84.4</v>
      </c>
      <c r="EW161" s="32">
        <v>89.6</v>
      </c>
      <c r="EX161" s="32">
        <v>99.8</v>
      </c>
      <c r="EY161" s="32">
        <v>81.7</v>
      </c>
      <c r="EZ161" s="32">
        <v>85.4</v>
      </c>
      <c r="FA161" s="32">
        <v>86.7</v>
      </c>
      <c r="FB161" s="32">
        <v>88.7</v>
      </c>
      <c r="FC161" s="32">
        <v>70.599999999999994</v>
      </c>
      <c r="FD161" s="32">
        <v>115.2</v>
      </c>
      <c r="FE161" s="32">
        <v>104.9</v>
      </c>
      <c r="FF161" s="32">
        <v>84.4</v>
      </c>
      <c r="FG161" s="32">
        <v>86.6</v>
      </c>
      <c r="FH161" s="32">
        <v>91.3</v>
      </c>
      <c r="FI161" s="32">
        <v>67.8</v>
      </c>
      <c r="FJ161" s="32">
        <v>86.9</v>
      </c>
      <c r="FK161" s="32">
        <v>62.3</v>
      </c>
      <c r="FL161" s="32">
        <v>62.3</v>
      </c>
    </row>
    <row r="162" spans="1:168" x14ac:dyDescent="0.2">
      <c r="A162" s="34" t="s">
        <v>1142</v>
      </c>
      <c r="B162" s="32">
        <v>81.900000000000006</v>
      </c>
      <c r="C162" s="32">
        <v>83.4</v>
      </c>
      <c r="D162" s="32">
        <v>87.9</v>
      </c>
      <c r="E162" s="32">
        <v>92.2</v>
      </c>
      <c r="F162" s="32">
        <v>150.1</v>
      </c>
      <c r="G162" s="32">
        <v>2168.3000000000002</v>
      </c>
      <c r="H162" s="32">
        <v>166.9</v>
      </c>
      <c r="I162" s="32">
        <v>63.9</v>
      </c>
      <c r="J162" s="32">
        <v>84.1</v>
      </c>
      <c r="K162" s="32">
        <v>92.6</v>
      </c>
      <c r="L162" s="32">
        <v>84.7</v>
      </c>
      <c r="M162" s="32">
        <v>90.8</v>
      </c>
      <c r="N162" s="32">
        <v>70.2</v>
      </c>
      <c r="O162" s="32">
        <v>140.1</v>
      </c>
      <c r="P162" s="32">
        <v>104.5</v>
      </c>
      <c r="Q162" s="32">
        <v>178.1</v>
      </c>
      <c r="R162" s="32">
        <v>85.3</v>
      </c>
      <c r="S162" s="32">
        <v>99.8</v>
      </c>
      <c r="T162" s="32">
        <v>75.599999999999994</v>
      </c>
      <c r="U162" s="32">
        <v>90.1</v>
      </c>
      <c r="V162" s="32">
        <v>138.19999999999999</v>
      </c>
      <c r="W162" s="32">
        <v>67</v>
      </c>
      <c r="X162" s="32">
        <v>57</v>
      </c>
      <c r="Y162" s="32">
        <v>74</v>
      </c>
      <c r="Z162" s="32">
        <v>109.4</v>
      </c>
      <c r="AA162" s="32">
        <v>80.900000000000006</v>
      </c>
      <c r="AB162" s="32">
        <v>55</v>
      </c>
      <c r="AC162" s="32">
        <v>80.2</v>
      </c>
      <c r="AD162" s="32">
        <v>100.8</v>
      </c>
      <c r="AE162" s="32">
        <v>117.1</v>
      </c>
      <c r="AF162" s="32">
        <v>117.1</v>
      </c>
      <c r="AG162" s="32">
        <v>64.3</v>
      </c>
      <c r="AH162" s="32">
        <v>64.3</v>
      </c>
      <c r="AI162" s="32">
        <v>203.6</v>
      </c>
      <c r="AJ162" s="32">
        <v>29.3</v>
      </c>
      <c r="AK162" s="32">
        <v>71.7</v>
      </c>
      <c r="AL162" s="32">
        <v>117.3</v>
      </c>
      <c r="AM162" s="32">
        <v>55.4</v>
      </c>
      <c r="AN162" s="32">
        <v>96</v>
      </c>
      <c r="AO162" s="32">
        <v>115.3</v>
      </c>
      <c r="AP162" s="32">
        <v>115.3</v>
      </c>
      <c r="AQ162" s="32">
        <v>74.599999999999994</v>
      </c>
      <c r="AR162" s="32">
        <v>77.099999999999994</v>
      </c>
      <c r="AS162" s="32">
        <v>72.5</v>
      </c>
      <c r="AT162" s="32">
        <v>85.8</v>
      </c>
      <c r="AU162" s="32">
        <v>60.7</v>
      </c>
      <c r="AV162" s="32">
        <v>76.8</v>
      </c>
      <c r="AW162" s="32">
        <v>99.7</v>
      </c>
      <c r="AX162" s="32">
        <v>82.9</v>
      </c>
      <c r="AY162" s="32">
        <v>141.30000000000001</v>
      </c>
      <c r="AZ162" s="32">
        <v>73.5</v>
      </c>
      <c r="BA162" s="32">
        <v>81.2</v>
      </c>
      <c r="BB162" s="32">
        <v>81.2</v>
      </c>
      <c r="BC162" s="32">
        <v>77.900000000000006</v>
      </c>
      <c r="BD162" s="32">
        <v>77.900000000000006</v>
      </c>
      <c r="BE162" s="32">
        <v>96.4</v>
      </c>
      <c r="BF162" s="32">
        <v>96.4</v>
      </c>
      <c r="BG162" s="32">
        <v>79.3</v>
      </c>
      <c r="BH162" s="32">
        <v>79.099999999999994</v>
      </c>
      <c r="BI162" s="32">
        <v>78.8</v>
      </c>
      <c r="BJ162" s="32">
        <v>71.3</v>
      </c>
      <c r="BK162" s="32">
        <v>90.4</v>
      </c>
      <c r="BL162" s="32">
        <v>28.7</v>
      </c>
      <c r="BM162" s="32">
        <v>101.2</v>
      </c>
      <c r="BN162" s="32">
        <v>96.6</v>
      </c>
      <c r="BO162" s="32">
        <v>88.1</v>
      </c>
      <c r="BP162" s="32">
        <v>104.9</v>
      </c>
      <c r="BQ162" s="32">
        <v>107</v>
      </c>
      <c r="BR162" s="32">
        <v>88.2</v>
      </c>
      <c r="BS162" s="32">
        <v>231.4</v>
      </c>
      <c r="BT162" s="32">
        <v>80.099999999999994</v>
      </c>
      <c r="BU162" s="32">
        <v>93.2</v>
      </c>
      <c r="BV162" s="32">
        <v>93.2</v>
      </c>
      <c r="BW162" s="32">
        <v>127.2</v>
      </c>
      <c r="BX162" s="32">
        <v>43.2</v>
      </c>
      <c r="BY162" s="32">
        <v>100.6</v>
      </c>
      <c r="BZ162" s="32">
        <v>84.9</v>
      </c>
      <c r="CA162" s="32">
        <v>108.7</v>
      </c>
      <c r="CB162" s="32">
        <v>118.4</v>
      </c>
      <c r="CC162" s="32">
        <v>104.7</v>
      </c>
      <c r="CD162" s="32">
        <v>24.7</v>
      </c>
      <c r="CE162" s="32">
        <v>77.3</v>
      </c>
      <c r="CF162" s="32">
        <v>80.5</v>
      </c>
      <c r="CG162" s="32">
        <v>84.5</v>
      </c>
      <c r="CH162" s="32">
        <v>85.5</v>
      </c>
      <c r="CI162" s="32">
        <v>89.3</v>
      </c>
      <c r="CJ162" s="32">
        <v>89.4</v>
      </c>
      <c r="CK162" s="32">
        <v>82.2</v>
      </c>
      <c r="CL162" s="32">
        <v>85.6</v>
      </c>
      <c r="CM162" s="32">
        <v>93.2</v>
      </c>
      <c r="CN162" s="32">
        <v>90</v>
      </c>
      <c r="CO162" s="32">
        <v>95</v>
      </c>
      <c r="CP162" s="32">
        <v>68.599999999999994</v>
      </c>
      <c r="CQ162" s="32">
        <v>30.8</v>
      </c>
      <c r="CR162" s="32">
        <v>88.8</v>
      </c>
      <c r="CS162" s="32">
        <v>108</v>
      </c>
      <c r="CT162" s="32">
        <v>80</v>
      </c>
      <c r="CU162" s="32">
        <v>59.8</v>
      </c>
      <c r="CV162" s="32">
        <v>89.1</v>
      </c>
      <c r="CW162" s="32">
        <v>45.2</v>
      </c>
      <c r="CX162" s="32">
        <v>97.3</v>
      </c>
      <c r="CY162" s="32">
        <v>112</v>
      </c>
      <c r="CZ162" s="32">
        <v>89.5</v>
      </c>
      <c r="DA162" s="32">
        <v>77.2</v>
      </c>
      <c r="DB162" s="32">
        <v>113.1</v>
      </c>
      <c r="DC162" s="32">
        <v>12.6</v>
      </c>
      <c r="DD162" s="32">
        <v>12.6</v>
      </c>
      <c r="DE162" s="32">
        <v>71.7</v>
      </c>
      <c r="DF162" s="32">
        <v>68.5</v>
      </c>
      <c r="DG162" s="32">
        <v>91.4</v>
      </c>
      <c r="DH162" s="32">
        <v>103.9</v>
      </c>
      <c r="DI162" s="32">
        <v>130.4</v>
      </c>
      <c r="DJ162" s="32">
        <v>94.4</v>
      </c>
      <c r="DK162" s="32">
        <v>94.4</v>
      </c>
      <c r="DL162" s="32">
        <v>71.7</v>
      </c>
      <c r="DM162" s="32">
        <v>76.8</v>
      </c>
      <c r="DN162" s="32">
        <v>64.599999999999994</v>
      </c>
      <c r="DO162" s="32">
        <v>82.2</v>
      </c>
      <c r="DP162" s="32">
        <v>68.2</v>
      </c>
      <c r="DQ162" s="32">
        <v>74.8</v>
      </c>
      <c r="DR162" s="32">
        <v>79.2</v>
      </c>
      <c r="DS162" s="32">
        <v>77.099999999999994</v>
      </c>
      <c r="DT162" s="32">
        <v>74.5</v>
      </c>
      <c r="DU162" s="32">
        <v>80.400000000000006</v>
      </c>
      <c r="DV162" s="32">
        <v>87.5</v>
      </c>
      <c r="DW162" s="32">
        <v>72.2</v>
      </c>
      <c r="DX162" s="32">
        <v>61.9</v>
      </c>
      <c r="DY162" s="32">
        <v>85.9</v>
      </c>
      <c r="DZ162" s="32">
        <v>131.4</v>
      </c>
      <c r="EA162" s="32">
        <v>131.4</v>
      </c>
      <c r="EB162" s="32">
        <v>68.400000000000006</v>
      </c>
      <c r="EC162" s="32">
        <v>69.599999999999994</v>
      </c>
      <c r="ED162" s="32">
        <v>67.2</v>
      </c>
      <c r="EE162" s="32">
        <v>64.8</v>
      </c>
      <c r="EF162" s="32">
        <v>73.5</v>
      </c>
      <c r="EG162" s="32">
        <v>68.5</v>
      </c>
      <c r="EH162" s="32">
        <v>73.900000000000006</v>
      </c>
      <c r="EI162" s="32">
        <v>69.2</v>
      </c>
      <c r="EJ162" s="32">
        <v>60.3</v>
      </c>
      <c r="EK162" s="32">
        <v>67.2</v>
      </c>
      <c r="EL162" s="32">
        <v>67.8</v>
      </c>
      <c r="EM162" s="32">
        <v>61.1</v>
      </c>
      <c r="EN162" s="32">
        <v>70.8</v>
      </c>
      <c r="EO162" s="32">
        <v>89</v>
      </c>
      <c r="EP162" s="32">
        <v>96</v>
      </c>
      <c r="EQ162" s="32">
        <v>96</v>
      </c>
      <c r="ER162" s="32">
        <v>86.7</v>
      </c>
      <c r="ES162" s="32">
        <v>86.7</v>
      </c>
      <c r="ET162" s="32">
        <v>86.2</v>
      </c>
      <c r="EU162" s="32">
        <v>84.6</v>
      </c>
      <c r="EV162" s="32">
        <v>84.6</v>
      </c>
      <c r="EW162" s="32">
        <v>90.2</v>
      </c>
      <c r="EX162" s="32">
        <v>99.6</v>
      </c>
      <c r="EY162" s="32">
        <v>82.8</v>
      </c>
      <c r="EZ162" s="32">
        <v>84.7</v>
      </c>
      <c r="FA162" s="32">
        <v>89.5</v>
      </c>
      <c r="FB162" s="32">
        <v>92.3</v>
      </c>
      <c r="FC162" s="32">
        <v>77.400000000000006</v>
      </c>
      <c r="FD162" s="32">
        <v>119</v>
      </c>
      <c r="FE162" s="32">
        <v>102.6</v>
      </c>
      <c r="FF162" s="32">
        <v>86.1</v>
      </c>
      <c r="FG162" s="32">
        <v>83.4</v>
      </c>
      <c r="FH162" s="32">
        <v>90.9</v>
      </c>
      <c r="FI162" s="32">
        <v>83.5</v>
      </c>
      <c r="FJ162" s="32">
        <v>80.2</v>
      </c>
      <c r="FK162" s="32">
        <v>61</v>
      </c>
      <c r="FL162" s="32">
        <v>61</v>
      </c>
    </row>
    <row r="163" spans="1:168" x14ac:dyDescent="0.2">
      <c r="A163" s="34" t="s">
        <v>1143</v>
      </c>
      <c r="B163" s="32">
        <v>83.1</v>
      </c>
      <c r="C163" s="32">
        <v>81.2</v>
      </c>
      <c r="D163" s="32">
        <v>89.6</v>
      </c>
      <c r="E163" s="32">
        <v>93.1</v>
      </c>
      <c r="F163" s="32">
        <v>147</v>
      </c>
      <c r="G163" s="32">
        <v>2142.1</v>
      </c>
      <c r="H163" s="32">
        <v>161.30000000000001</v>
      </c>
      <c r="I163" s="32">
        <v>66</v>
      </c>
      <c r="J163" s="32">
        <v>85.6</v>
      </c>
      <c r="K163" s="32">
        <v>91.6</v>
      </c>
      <c r="L163" s="32">
        <v>84.3</v>
      </c>
      <c r="M163" s="32">
        <v>86.9</v>
      </c>
      <c r="N163" s="32">
        <v>69.099999999999994</v>
      </c>
      <c r="O163" s="32">
        <v>140.4</v>
      </c>
      <c r="P163" s="32">
        <v>97.5</v>
      </c>
      <c r="Q163" s="32">
        <v>182.3</v>
      </c>
      <c r="R163" s="32">
        <v>85.1</v>
      </c>
      <c r="S163" s="32">
        <v>102.7</v>
      </c>
      <c r="T163" s="32">
        <v>68.5</v>
      </c>
      <c r="U163" s="32">
        <v>85.8</v>
      </c>
      <c r="V163" s="32">
        <v>135.19999999999999</v>
      </c>
      <c r="W163" s="32">
        <v>74.900000000000006</v>
      </c>
      <c r="X163" s="32">
        <v>62.6</v>
      </c>
      <c r="Y163" s="32">
        <v>86.8</v>
      </c>
      <c r="Z163" s="32">
        <v>112.9</v>
      </c>
      <c r="AA163" s="32">
        <v>83.2</v>
      </c>
      <c r="AB163" s="32">
        <v>60.1</v>
      </c>
      <c r="AC163" s="32">
        <v>84</v>
      </c>
      <c r="AD163" s="32">
        <v>100.2</v>
      </c>
      <c r="AE163" s="32">
        <v>116</v>
      </c>
      <c r="AF163" s="32">
        <v>116</v>
      </c>
      <c r="AG163" s="32">
        <v>65.900000000000006</v>
      </c>
      <c r="AH163" s="32">
        <v>65.900000000000006</v>
      </c>
      <c r="AI163" s="32">
        <v>230.9</v>
      </c>
      <c r="AJ163" s="32">
        <v>26.8</v>
      </c>
      <c r="AK163" s="32">
        <v>57.1</v>
      </c>
      <c r="AL163" s="32">
        <v>124.7</v>
      </c>
      <c r="AM163" s="32">
        <v>57.2</v>
      </c>
      <c r="AN163" s="32">
        <v>104.7</v>
      </c>
      <c r="AO163" s="32">
        <v>114.6</v>
      </c>
      <c r="AP163" s="32">
        <v>114.6</v>
      </c>
      <c r="AQ163" s="32">
        <v>79</v>
      </c>
      <c r="AR163" s="32">
        <v>78</v>
      </c>
      <c r="AS163" s="32">
        <v>81.900000000000006</v>
      </c>
      <c r="AT163" s="32">
        <v>87.5</v>
      </c>
      <c r="AU163" s="32">
        <v>76.5</v>
      </c>
      <c r="AV163" s="32">
        <v>76.8</v>
      </c>
      <c r="AW163" s="32">
        <v>93.3</v>
      </c>
      <c r="AX163" s="32">
        <v>75.900000000000006</v>
      </c>
      <c r="AY163" s="32">
        <v>139.80000000000001</v>
      </c>
      <c r="AZ163" s="32">
        <v>74.900000000000006</v>
      </c>
      <c r="BA163" s="32">
        <v>86.5</v>
      </c>
      <c r="BB163" s="32">
        <v>86.5</v>
      </c>
      <c r="BC163" s="32">
        <v>80</v>
      </c>
      <c r="BD163" s="32">
        <v>80</v>
      </c>
      <c r="BE163" s="32">
        <v>96.2</v>
      </c>
      <c r="BF163" s="32">
        <v>96.2</v>
      </c>
      <c r="BG163" s="32">
        <v>79.099999999999994</v>
      </c>
      <c r="BH163" s="32">
        <v>78.8</v>
      </c>
      <c r="BI163" s="32">
        <v>78.7</v>
      </c>
      <c r="BJ163" s="32">
        <v>72.099999999999994</v>
      </c>
      <c r="BK163" s="32">
        <v>89.7</v>
      </c>
      <c r="BL163" s="32">
        <v>30.7</v>
      </c>
      <c r="BM163" s="32">
        <v>104.7</v>
      </c>
      <c r="BN163" s="32">
        <v>102.1</v>
      </c>
      <c r="BO163" s="32">
        <v>91.3</v>
      </c>
      <c r="BP163" s="32">
        <v>112.7</v>
      </c>
      <c r="BQ163" s="32">
        <v>108.1</v>
      </c>
      <c r="BR163" s="32">
        <v>59.4</v>
      </c>
      <c r="BS163" s="32">
        <v>247.4</v>
      </c>
      <c r="BT163" s="32">
        <v>82.8</v>
      </c>
      <c r="BU163" s="32">
        <v>91</v>
      </c>
      <c r="BV163" s="32">
        <v>91</v>
      </c>
      <c r="BW163" s="32">
        <v>124.2</v>
      </c>
      <c r="BX163" s="32">
        <v>42.1</v>
      </c>
      <c r="BY163" s="32">
        <v>104.7</v>
      </c>
      <c r="BZ163" s="32">
        <v>83</v>
      </c>
      <c r="CA163" s="32">
        <v>116.2</v>
      </c>
      <c r="CB163" s="32">
        <v>131</v>
      </c>
      <c r="CC163" s="32">
        <v>106.4</v>
      </c>
      <c r="CD163" s="32">
        <v>28.1</v>
      </c>
      <c r="CE163" s="32">
        <v>80.8</v>
      </c>
      <c r="CF163" s="32">
        <v>81.599999999999994</v>
      </c>
      <c r="CG163" s="32">
        <v>86.8</v>
      </c>
      <c r="CH163" s="32">
        <v>87.3</v>
      </c>
      <c r="CI163" s="32">
        <v>91.9</v>
      </c>
      <c r="CJ163" s="32">
        <v>88.3</v>
      </c>
      <c r="CK163" s="32">
        <v>85.8</v>
      </c>
      <c r="CL163" s="32">
        <v>88.9</v>
      </c>
      <c r="CM163" s="32">
        <v>96.2</v>
      </c>
      <c r="CN163" s="32">
        <v>93.2</v>
      </c>
      <c r="CO163" s="32">
        <v>97.9</v>
      </c>
      <c r="CP163" s="32">
        <v>72.900000000000006</v>
      </c>
      <c r="CQ163" s="32">
        <v>33.1</v>
      </c>
      <c r="CR163" s="32">
        <v>93.2</v>
      </c>
      <c r="CS163" s="32">
        <v>109.8</v>
      </c>
      <c r="CT163" s="32">
        <v>83.7</v>
      </c>
      <c r="CU163" s="32">
        <v>65.8</v>
      </c>
      <c r="CV163" s="32">
        <v>91.6</v>
      </c>
      <c r="CW163" s="32">
        <v>45.7</v>
      </c>
      <c r="CX163" s="32">
        <v>95.1</v>
      </c>
      <c r="CY163" s="32">
        <v>109.9</v>
      </c>
      <c r="CZ163" s="32">
        <v>87.3</v>
      </c>
      <c r="DA163" s="32">
        <v>77.5</v>
      </c>
      <c r="DB163" s="32">
        <v>105.7</v>
      </c>
      <c r="DC163" s="32">
        <v>12.9</v>
      </c>
      <c r="DD163" s="32">
        <v>12.9</v>
      </c>
      <c r="DE163" s="32">
        <v>73.599999999999994</v>
      </c>
      <c r="DF163" s="32">
        <v>70.3</v>
      </c>
      <c r="DG163" s="32">
        <v>94.3</v>
      </c>
      <c r="DH163" s="32">
        <v>105.5</v>
      </c>
      <c r="DI163" s="32">
        <v>133</v>
      </c>
      <c r="DJ163" s="32">
        <v>96.1</v>
      </c>
      <c r="DK163" s="32">
        <v>96.1</v>
      </c>
      <c r="DL163" s="32">
        <v>71.400000000000006</v>
      </c>
      <c r="DM163" s="32">
        <v>77</v>
      </c>
      <c r="DN163" s="32">
        <v>65.099999999999994</v>
      </c>
      <c r="DO163" s="32">
        <v>82.3</v>
      </c>
      <c r="DP163" s="32">
        <v>67</v>
      </c>
      <c r="DQ163" s="32">
        <v>77.099999999999994</v>
      </c>
      <c r="DR163" s="32">
        <v>82.9</v>
      </c>
      <c r="DS163" s="32">
        <v>80.400000000000006</v>
      </c>
      <c r="DT163" s="32">
        <v>77.2</v>
      </c>
      <c r="DU163" s="32">
        <v>81.8</v>
      </c>
      <c r="DV163" s="32">
        <v>88.1</v>
      </c>
      <c r="DW163" s="32">
        <v>74.400000000000006</v>
      </c>
      <c r="DX163" s="32">
        <v>67.5</v>
      </c>
      <c r="DY163" s="32">
        <v>91</v>
      </c>
      <c r="DZ163" s="32">
        <v>144.80000000000001</v>
      </c>
      <c r="EA163" s="32">
        <v>144.80000000000001</v>
      </c>
      <c r="EB163" s="32">
        <v>70.3</v>
      </c>
      <c r="EC163" s="32">
        <v>70.400000000000006</v>
      </c>
      <c r="ED163" s="32">
        <v>70.599999999999994</v>
      </c>
      <c r="EE163" s="32">
        <v>69.599999999999994</v>
      </c>
      <c r="EF163" s="32">
        <v>73.099999999999994</v>
      </c>
      <c r="EG163" s="32">
        <v>68.8</v>
      </c>
      <c r="EH163" s="32">
        <v>77</v>
      </c>
      <c r="EI163" s="32">
        <v>68.400000000000006</v>
      </c>
      <c r="EJ163" s="32">
        <v>60.7</v>
      </c>
      <c r="EK163" s="32">
        <v>66.7</v>
      </c>
      <c r="EL163" s="32">
        <v>65.900000000000006</v>
      </c>
      <c r="EM163" s="32">
        <v>61.9</v>
      </c>
      <c r="EN163" s="32">
        <v>69.8</v>
      </c>
      <c r="EO163" s="32">
        <v>88.8</v>
      </c>
      <c r="EP163" s="32">
        <v>95.6</v>
      </c>
      <c r="EQ163" s="32">
        <v>95.6</v>
      </c>
      <c r="ER163" s="32">
        <v>86.3</v>
      </c>
      <c r="ES163" s="32">
        <v>86.3</v>
      </c>
      <c r="ET163" s="32">
        <v>86.2</v>
      </c>
      <c r="EU163" s="32">
        <v>84.3</v>
      </c>
      <c r="EV163" s="32">
        <v>84.3</v>
      </c>
      <c r="EW163" s="32">
        <v>91.2</v>
      </c>
      <c r="EX163" s="32">
        <v>100</v>
      </c>
      <c r="EY163" s="32">
        <v>84.4</v>
      </c>
      <c r="EZ163" s="32">
        <v>87.8</v>
      </c>
      <c r="FA163" s="32">
        <v>92.3</v>
      </c>
      <c r="FB163" s="32">
        <v>93.6</v>
      </c>
      <c r="FC163" s="32">
        <v>80.5</v>
      </c>
      <c r="FD163" s="32">
        <v>119.2</v>
      </c>
      <c r="FE163" s="32">
        <v>101.2</v>
      </c>
      <c r="FF163" s="32">
        <v>90.9</v>
      </c>
      <c r="FG163" s="32">
        <v>86.1</v>
      </c>
      <c r="FH163" s="32">
        <v>90.6</v>
      </c>
      <c r="FI163" s="32">
        <v>82.7</v>
      </c>
      <c r="FJ163" s="32">
        <v>84.7</v>
      </c>
      <c r="FK163" s="32">
        <v>68.599999999999994</v>
      </c>
      <c r="FL163" s="32">
        <v>68.599999999999994</v>
      </c>
    </row>
    <row r="164" spans="1:168" x14ac:dyDescent="0.2">
      <c r="A164" s="34" t="s">
        <v>1144</v>
      </c>
      <c r="B164" s="32">
        <v>83.8</v>
      </c>
      <c r="C164" s="32">
        <v>79.400000000000006</v>
      </c>
      <c r="D164" s="32">
        <v>90.5</v>
      </c>
      <c r="E164" s="32">
        <v>94.2</v>
      </c>
      <c r="F164" s="32">
        <v>153.1</v>
      </c>
      <c r="G164" s="32">
        <v>2192.6</v>
      </c>
      <c r="H164" s="32">
        <v>169.7</v>
      </c>
      <c r="I164" s="32">
        <v>65.900000000000006</v>
      </c>
      <c r="J164" s="32">
        <v>87</v>
      </c>
      <c r="K164" s="32">
        <v>91.5</v>
      </c>
      <c r="L164" s="32">
        <v>84.9</v>
      </c>
      <c r="M164" s="32">
        <v>82.9</v>
      </c>
      <c r="N164" s="32">
        <v>78.900000000000006</v>
      </c>
      <c r="O164" s="32">
        <v>122.6</v>
      </c>
      <c r="P164" s="32">
        <v>85.9</v>
      </c>
      <c r="Q164" s="32">
        <v>179.5</v>
      </c>
      <c r="R164" s="32">
        <v>88.2</v>
      </c>
      <c r="S164" s="32">
        <v>100.9</v>
      </c>
      <c r="T164" s="32">
        <v>82</v>
      </c>
      <c r="U164" s="32">
        <v>77.2</v>
      </c>
      <c r="V164" s="32">
        <v>135.19999999999999</v>
      </c>
      <c r="W164" s="32">
        <v>75.8</v>
      </c>
      <c r="X164" s="32">
        <v>64.099999999999994</v>
      </c>
      <c r="Y164" s="32">
        <v>85.9</v>
      </c>
      <c r="Z164" s="32">
        <v>115.3</v>
      </c>
      <c r="AA164" s="32">
        <v>84.8</v>
      </c>
      <c r="AB164" s="32">
        <v>67</v>
      </c>
      <c r="AC164" s="32">
        <v>84</v>
      </c>
      <c r="AD164" s="32">
        <v>99.9</v>
      </c>
      <c r="AE164" s="32">
        <v>122.5</v>
      </c>
      <c r="AF164" s="32">
        <v>122.5</v>
      </c>
      <c r="AG164" s="32">
        <v>65.900000000000006</v>
      </c>
      <c r="AH164" s="32">
        <v>65.900000000000006</v>
      </c>
      <c r="AI164" s="32">
        <v>223.3</v>
      </c>
      <c r="AJ164" s="32">
        <v>26.2</v>
      </c>
      <c r="AK164" s="32">
        <v>54.2</v>
      </c>
      <c r="AL164" s="32">
        <v>121.5</v>
      </c>
      <c r="AM164" s="32">
        <v>57.4</v>
      </c>
      <c r="AN164" s="32">
        <v>114.9</v>
      </c>
      <c r="AO164" s="32">
        <v>122.5</v>
      </c>
      <c r="AP164" s="32">
        <v>122.5</v>
      </c>
      <c r="AQ164" s="32">
        <v>81.400000000000006</v>
      </c>
      <c r="AR164" s="32">
        <v>79.2</v>
      </c>
      <c r="AS164" s="32">
        <v>86.3</v>
      </c>
      <c r="AT164" s="32">
        <v>91.4</v>
      </c>
      <c r="AU164" s="32">
        <v>81.5</v>
      </c>
      <c r="AV164" s="32">
        <v>78.2</v>
      </c>
      <c r="AW164" s="32">
        <v>95.7</v>
      </c>
      <c r="AX164" s="32">
        <v>81.900000000000006</v>
      </c>
      <c r="AY164" s="32">
        <v>141</v>
      </c>
      <c r="AZ164" s="32">
        <v>76.099999999999994</v>
      </c>
      <c r="BA164" s="32">
        <v>86</v>
      </c>
      <c r="BB164" s="32">
        <v>86</v>
      </c>
      <c r="BC164" s="32">
        <v>84.1</v>
      </c>
      <c r="BD164" s="32">
        <v>84.1</v>
      </c>
      <c r="BE164" s="32">
        <v>99</v>
      </c>
      <c r="BF164" s="32">
        <v>99</v>
      </c>
      <c r="BG164" s="32">
        <v>79.599999999999994</v>
      </c>
      <c r="BH164" s="32">
        <v>79.3</v>
      </c>
      <c r="BI164" s="32">
        <v>79.099999999999994</v>
      </c>
      <c r="BJ164" s="32">
        <v>72.2</v>
      </c>
      <c r="BK164" s="32">
        <v>88.4</v>
      </c>
      <c r="BL164" s="32">
        <v>40.299999999999997</v>
      </c>
      <c r="BM164" s="32">
        <v>105</v>
      </c>
      <c r="BN164" s="32">
        <v>105</v>
      </c>
      <c r="BO164" s="32">
        <v>93</v>
      </c>
      <c r="BP164" s="32">
        <v>116.9</v>
      </c>
      <c r="BQ164" s="32">
        <v>105</v>
      </c>
      <c r="BR164" s="32">
        <v>67.400000000000006</v>
      </c>
      <c r="BS164" s="32">
        <v>224.9</v>
      </c>
      <c r="BT164" s="32">
        <v>82</v>
      </c>
      <c r="BU164" s="32">
        <v>87.8</v>
      </c>
      <c r="BV164" s="32">
        <v>87.8</v>
      </c>
      <c r="BW164" s="32">
        <v>120.4</v>
      </c>
      <c r="BX164" s="32">
        <v>40.200000000000003</v>
      </c>
      <c r="BY164" s="32">
        <v>106.1</v>
      </c>
      <c r="BZ164" s="32">
        <v>84.3</v>
      </c>
      <c r="CA164" s="32">
        <v>117.7</v>
      </c>
      <c r="CB164" s="32">
        <v>134.69999999999999</v>
      </c>
      <c r="CC164" s="32">
        <v>105.1</v>
      </c>
      <c r="CD164" s="32">
        <v>30.2</v>
      </c>
      <c r="CE164" s="32">
        <v>81.2</v>
      </c>
      <c r="CF164" s="32">
        <v>82.2</v>
      </c>
      <c r="CG164" s="32">
        <v>88.6</v>
      </c>
      <c r="CH164" s="32">
        <v>89.4</v>
      </c>
      <c r="CI164" s="32">
        <v>99</v>
      </c>
      <c r="CJ164" s="32">
        <v>90.7</v>
      </c>
      <c r="CK164" s="32">
        <v>86.6</v>
      </c>
      <c r="CL164" s="32">
        <v>90.1</v>
      </c>
      <c r="CM164" s="32">
        <v>98.4</v>
      </c>
      <c r="CN164" s="32">
        <v>96.9</v>
      </c>
      <c r="CO164" s="32">
        <v>99.9</v>
      </c>
      <c r="CP164" s="32">
        <v>77.8</v>
      </c>
      <c r="CQ164" s="32">
        <v>32.299999999999997</v>
      </c>
      <c r="CR164" s="32">
        <v>95.2</v>
      </c>
      <c r="CS164" s="32">
        <v>106.9</v>
      </c>
      <c r="CT164" s="32">
        <v>84.7</v>
      </c>
      <c r="CU164" s="32">
        <v>66.400000000000006</v>
      </c>
      <c r="CV164" s="32">
        <v>92.8</v>
      </c>
      <c r="CW164" s="32">
        <v>46</v>
      </c>
      <c r="CX164" s="32">
        <v>97.1</v>
      </c>
      <c r="CY164" s="32">
        <v>110.7</v>
      </c>
      <c r="CZ164" s="32">
        <v>89.9</v>
      </c>
      <c r="DA164" s="32">
        <v>76.3</v>
      </c>
      <c r="DB164" s="32">
        <v>116.5</v>
      </c>
      <c r="DC164" s="32">
        <v>13</v>
      </c>
      <c r="DD164" s="32">
        <v>13</v>
      </c>
      <c r="DE164" s="32">
        <v>73.400000000000006</v>
      </c>
      <c r="DF164" s="32">
        <v>70</v>
      </c>
      <c r="DG164" s="32">
        <v>94.1</v>
      </c>
      <c r="DH164" s="32">
        <v>105.7</v>
      </c>
      <c r="DI164" s="32">
        <v>133</v>
      </c>
      <c r="DJ164" s="32">
        <v>97.3</v>
      </c>
      <c r="DK164" s="32">
        <v>97.3</v>
      </c>
      <c r="DL164" s="32">
        <v>70.900000000000006</v>
      </c>
      <c r="DM164" s="32">
        <v>77.3</v>
      </c>
      <c r="DN164" s="32">
        <v>65.400000000000006</v>
      </c>
      <c r="DO164" s="32">
        <v>82.6</v>
      </c>
      <c r="DP164" s="32">
        <v>67.7</v>
      </c>
      <c r="DQ164" s="32">
        <v>77.5</v>
      </c>
      <c r="DR164" s="32">
        <v>83.6</v>
      </c>
      <c r="DS164" s="32">
        <v>77.5</v>
      </c>
      <c r="DT164" s="32">
        <v>72.099999999999994</v>
      </c>
      <c r="DU164" s="32">
        <v>78.2</v>
      </c>
      <c r="DV164" s="32">
        <v>80.900000000000006</v>
      </c>
      <c r="DW164" s="32">
        <v>74.900000000000006</v>
      </c>
      <c r="DX164" s="32">
        <v>59.4</v>
      </c>
      <c r="DY164" s="32">
        <v>94.8</v>
      </c>
      <c r="DZ164" s="32">
        <v>170.6</v>
      </c>
      <c r="EA164" s="32">
        <v>170.6</v>
      </c>
      <c r="EB164" s="32">
        <v>73.900000000000006</v>
      </c>
      <c r="EC164" s="32">
        <v>77</v>
      </c>
      <c r="ED164" s="32">
        <v>70.3</v>
      </c>
      <c r="EE164" s="32">
        <v>69.599999999999994</v>
      </c>
      <c r="EF164" s="32">
        <v>71.900000000000006</v>
      </c>
      <c r="EG164" s="32">
        <v>68.900000000000006</v>
      </c>
      <c r="EH164" s="32">
        <v>73.2</v>
      </c>
      <c r="EI164" s="32">
        <v>69.900000000000006</v>
      </c>
      <c r="EJ164" s="32">
        <v>58.9</v>
      </c>
      <c r="EK164" s="32">
        <v>68.099999999999994</v>
      </c>
      <c r="EL164" s="32">
        <v>65.900000000000006</v>
      </c>
      <c r="EM164" s="32">
        <v>63.4</v>
      </c>
      <c r="EN164" s="32">
        <v>71.400000000000006</v>
      </c>
      <c r="EO164" s="32">
        <v>88.8</v>
      </c>
      <c r="EP164" s="32">
        <v>95.4</v>
      </c>
      <c r="EQ164" s="32">
        <v>95.4</v>
      </c>
      <c r="ER164" s="32">
        <v>85.8</v>
      </c>
      <c r="ES164" s="32">
        <v>85.8</v>
      </c>
      <c r="ET164" s="32">
        <v>86.7</v>
      </c>
      <c r="EU164" s="32">
        <v>84.3</v>
      </c>
      <c r="EV164" s="32">
        <v>84.3</v>
      </c>
      <c r="EW164" s="32">
        <v>92.8</v>
      </c>
      <c r="EX164" s="32">
        <v>101</v>
      </c>
      <c r="EY164" s="32">
        <v>86.6</v>
      </c>
      <c r="EZ164" s="32">
        <v>89.3</v>
      </c>
      <c r="FA164" s="32">
        <v>93</v>
      </c>
      <c r="FB164" s="32">
        <v>94.4</v>
      </c>
      <c r="FC164" s="32">
        <v>82.5</v>
      </c>
      <c r="FD164" s="32">
        <v>119.6</v>
      </c>
      <c r="FE164" s="32">
        <v>100.2</v>
      </c>
      <c r="FF164" s="32">
        <v>91.4</v>
      </c>
      <c r="FG164" s="32">
        <v>88.1</v>
      </c>
      <c r="FH164" s="32">
        <v>90.4</v>
      </c>
      <c r="FI164" s="32">
        <v>81.3</v>
      </c>
      <c r="FJ164" s="32">
        <v>87.9</v>
      </c>
      <c r="FK164" s="32">
        <v>71.2</v>
      </c>
      <c r="FL164" s="32">
        <v>71.2</v>
      </c>
    </row>
    <row r="165" spans="1:168" x14ac:dyDescent="0.2">
      <c r="A165" s="34" t="s">
        <v>1145</v>
      </c>
      <c r="B165" s="32">
        <v>83.6</v>
      </c>
      <c r="C165" s="32">
        <v>78.099999999999994</v>
      </c>
      <c r="D165" s="32">
        <v>89.5</v>
      </c>
      <c r="E165" s="32">
        <v>92.2</v>
      </c>
      <c r="F165" s="32">
        <v>149.5</v>
      </c>
      <c r="G165" s="32">
        <v>2151.4</v>
      </c>
      <c r="H165" s="32">
        <v>165</v>
      </c>
      <c r="I165" s="32">
        <v>65.7</v>
      </c>
      <c r="J165" s="32">
        <v>85.4</v>
      </c>
      <c r="K165" s="32">
        <v>88.1</v>
      </c>
      <c r="L165" s="32">
        <v>81.400000000000006</v>
      </c>
      <c r="M165" s="32">
        <v>78.8</v>
      </c>
      <c r="N165" s="32">
        <v>80.900000000000006</v>
      </c>
      <c r="O165" s="32">
        <v>125.9</v>
      </c>
      <c r="P165" s="32">
        <v>77.099999999999994</v>
      </c>
      <c r="Q165" s="32">
        <v>181.5</v>
      </c>
      <c r="R165" s="32">
        <v>80.5</v>
      </c>
      <c r="S165" s="32">
        <v>96.8</v>
      </c>
      <c r="T165" s="32">
        <v>80.400000000000006</v>
      </c>
      <c r="U165" s="32">
        <v>83.4</v>
      </c>
      <c r="V165" s="32">
        <v>128.30000000000001</v>
      </c>
      <c r="W165" s="32">
        <v>75.3</v>
      </c>
      <c r="X165" s="32">
        <v>62.8</v>
      </c>
      <c r="Y165" s="32">
        <v>88.1</v>
      </c>
      <c r="Z165" s="32">
        <v>110.9</v>
      </c>
      <c r="AA165" s="32">
        <v>84.4</v>
      </c>
      <c r="AB165" s="32">
        <v>64.8</v>
      </c>
      <c r="AC165" s="32">
        <v>86.5</v>
      </c>
      <c r="AD165" s="32">
        <v>98</v>
      </c>
      <c r="AE165" s="32">
        <v>110.3</v>
      </c>
      <c r="AF165" s="32">
        <v>110.3</v>
      </c>
      <c r="AG165" s="32">
        <v>65</v>
      </c>
      <c r="AH165" s="32">
        <v>65</v>
      </c>
      <c r="AI165" s="32">
        <v>256.10000000000002</v>
      </c>
      <c r="AJ165" s="32">
        <v>24.7</v>
      </c>
      <c r="AK165" s="32">
        <v>43.3</v>
      </c>
      <c r="AL165" s="32">
        <v>125.6</v>
      </c>
      <c r="AM165" s="32">
        <v>55.4</v>
      </c>
      <c r="AN165" s="32">
        <v>106.7</v>
      </c>
      <c r="AO165" s="32">
        <v>119.5</v>
      </c>
      <c r="AP165" s="32">
        <v>119.5</v>
      </c>
      <c r="AQ165" s="32">
        <v>82.4</v>
      </c>
      <c r="AR165" s="32">
        <v>80.3</v>
      </c>
      <c r="AS165" s="32">
        <v>87.2</v>
      </c>
      <c r="AT165" s="32">
        <v>88.5</v>
      </c>
      <c r="AU165" s="32">
        <v>85.5</v>
      </c>
      <c r="AV165" s="32">
        <v>80.099999999999994</v>
      </c>
      <c r="AW165" s="32">
        <v>97.9</v>
      </c>
      <c r="AX165" s="32">
        <v>87.2</v>
      </c>
      <c r="AY165" s="32">
        <v>142.1</v>
      </c>
      <c r="AZ165" s="32">
        <v>78</v>
      </c>
      <c r="BA165" s="32">
        <v>82.1</v>
      </c>
      <c r="BB165" s="32">
        <v>82.1</v>
      </c>
      <c r="BC165" s="32">
        <v>81.2</v>
      </c>
      <c r="BD165" s="32">
        <v>81.2</v>
      </c>
      <c r="BE165" s="32">
        <v>99</v>
      </c>
      <c r="BF165" s="32">
        <v>99</v>
      </c>
      <c r="BG165" s="32">
        <v>79.8</v>
      </c>
      <c r="BH165" s="32">
        <v>78.2</v>
      </c>
      <c r="BI165" s="32">
        <v>80.400000000000006</v>
      </c>
      <c r="BJ165" s="32">
        <v>71.599999999999994</v>
      </c>
      <c r="BK165" s="32">
        <v>89.2</v>
      </c>
      <c r="BL165" s="32">
        <v>46.8</v>
      </c>
      <c r="BM165" s="32">
        <v>98.3</v>
      </c>
      <c r="BN165" s="32">
        <v>101.3</v>
      </c>
      <c r="BO165" s="32">
        <v>89.1</v>
      </c>
      <c r="BP165" s="32">
        <v>113.5</v>
      </c>
      <c r="BQ165" s="32">
        <v>94.5</v>
      </c>
      <c r="BR165" s="32">
        <v>69.099999999999994</v>
      </c>
      <c r="BS165" s="32">
        <v>155.4</v>
      </c>
      <c r="BT165" s="32">
        <v>82.2</v>
      </c>
      <c r="BU165" s="32">
        <v>85.5</v>
      </c>
      <c r="BV165" s="32">
        <v>85.5</v>
      </c>
      <c r="BW165" s="32">
        <v>117</v>
      </c>
      <c r="BX165" s="32">
        <v>39.4</v>
      </c>
      <c r="BY165" s="32">
        <v>103.8</v>
      </c>
      <c r="BZ165" s="32">
        <v>81</v>
      </c>
      <c r="CA165" s="32">
        <v>116</v>
      </c>
      <c r="CB165" s="32">
        <v>132.30000000000001</v>
      </c>
      <c r="CC165" s="32">
        <v>104</v>
      </c>
      <c r="CD165" s="32">
        <v>31.9</v>
      </c>
      <c r="CE165" s="32">
        <v>82.4</v>
      </c>
      <c r="CF165" s="32">
        <v>82.3</v>
      </c>
      <c r="CG165" s="32">
        <v>88.3</v>
      </c>
      <c r="CH165" s="32">
        <v>88.6</v>
      </c>
      <c r="CI165" s="32">
        <v>95.7</v>
      </c>
      <c r="CJ165" s="32">
        <v>87.9</v>
      </c>
      <c r="CK165" s="32">
        <v>87.9</v>
      </c>
      <c r="CL165" s="32">
        <v>90.7</v>
      </c>
      <c r="CM165" s="32">
        <v>96.1</v>
      </c>
      <c r="CN165" s="32">
        <v>98.1</v>
      </c>
      <c r="CO165" s="32">
        <v>96.7</v>
      </c>
      <c r="CP165" s="32">
        <v>80.599999999999994</v>
      </c>
      <c r="CQ165" s="32">
        <v>28.8</v>
      </c>
      <c r="CR165" s="32">
        <v>95.5</v>
      </c>
      <c r="CS165" s="32">
        <v>119</v>
      </c>
      <c r="CT165" s="32">
        <v>85</v>
      </c>
      <c r="CU165" s="32">
        <v>65.099999999999994</v>
      </c>
      <c r="CV165" s="32">
        <v>93.9</v>
      </c>
      <c r="CW165" s="32">
        <v>45.4</v>
      </c>
      <c r="CX165" s="32">
        <v>97.5</v>
      </c>
      <c r="CY165" s="32">
        <v>108.2</v>
      </c>
      <c r="CZ165" s="32">
        <v>91.9</v>
      </c>
      <c r="DA165" s="32">
        <v>79.2</v>
      </c>
      <c r="DB165" s="32">
        <v>116.3</v>
      </c>
      <c r="DC165" s="32">
        <v>13.3</v>
      </c>
      <c r="DD165" s="32">
        <v>13.3</v>
      </c>
      <c r="DE165" s="32">
        <v>69.599999999999994</v>
      </c>
      <c r="DF165" s="32">
        <v>66.900000000000006</v>
      </c>
      <c r="DG165" s="32">
        <v>86.2</v>
      </c>
      <c r="DH165" s="32">
        <v>104.1</v>
      </c>
      <c r="DI165" s="32">
        <v>130.69999999999999</v>
      </c>
      <c r="DJ165" s="32">
        <v>97.3</v>
      </c>
      <c r="DK165" s="32">
        <v>97.3</v>
      </c>
      <c r="DL165" s="32">
        <v>68.599999999999994</v>
      </c>
      <c r="DM165" s="32">
        <v>78.2</v>
      </c>
      <c r="DN165" s="32">
        <v>67.2</v>
      </c>
      <c r="DO165" s="32">
        <v>83.2</v>
      </c>
      <c r="DP165" s="32">
        <v>67.7</v>
      </c>
      <c r="DQ165" s="32">
        <v>77.7</v>
      </c>
      <c r="DR165" s="32">
        <v>85</v>
      </c>
      <c r="DS165" s="32">
        <v>83.1</v>
      </c>
      <c r="DT165" s="32">
        <v>80.3</v>
      </c>
      <c r="DU165" s="32">
        <v>81.3</v>
      </c>
      <c r="DV165" s="32">
        <v>86.7</v>
      </c>
      <c r="DW165" s="32">
        <v>74.900000000000006</v>
      </c>
      <c r="DX165" s="32">
        <v>78.099999999999994</v>
      </c>
      <c r="DY165" s="32">
        <v>92.6</v>
      </c>
      <c r="DZ165" s="32">
        <v>148.4</v>
      </c>
      <c r="EA165" s="32">
        <v>148.4</v>
      </c>
      <c r="EB165" s="32">
        <v>70.2</v>
      </c>
      <c r="EC165" s="32">
        <v>71.599999999999994</v>
      </c>
      <c r="ED165" s="32">
        <v>68.7</v>
      </c>
      <c r="EE165" s="32">
        <v>67.400000000000006</v>
      </c>
      <c r="EF165" s="32">
        <v>71.8</v>
      </c>
      <c r="EG165" s="32">
        <v>67.3</v>
      </c>
      <c r="EH165" s="32">
        <v>70.5</v>
      </c>
      <c r="EI165" s="32">
        <v>66.900000000000006</v>
      </c>
      <c r="EJ165" s="32">
        <v>59.8</v>
      </c>
      <c r="EK165" s="32">
        <v>67.7</v>
      </c>
      <c r="EL165" s="32">
        <v>64.5</v>
      </c>
      <c r="EM165" s="32">
        <v>62.7</v>
      </c>
      <c r="EN165" s="32">
        <v>71.3</v>
      </c>
      <c r="EO165" s="32">
        <v>89.7</v>
      </c>
      <c r="EP165" s="32">
        <v>95.8</v>
      </c>
      <c r="EQ165" s="32">
        <v>95.8</v>
      </c>
      <c r="ER165" s="32">
        <v>87.2</v>
      </c>
      <c r="ES165" s="32">
        <v>87.2</v>
      </c>
      <c r="ET165" s="32">
        <v>87.7</v>
      </c>
      <c r="EU165" s="32">
        <v>85</v>
      </c>
      <c r="EV165" s="32">
        <v>85</v>
      </c>
      <c r="EW165" s="32">
        <v>94.7</v>
      </c>
      <c r="EX165" s="32">
        <v>102.3</v>
      </c>
      <c r="EY165" s="32">
        <v>89</v>
      </c>
      <c r="EZ165" s="32">
        <v>88.1</v>
      </c>
      <c r="FA165" s="32">
        <v>90.2</v>
      </c>
      <c r="FB165" s="32">
        <v>90.7</v>
      </c>
      <c r="FC165" s="32">
        <v>77.5</v>
      </c>
      <c r="FD165" s="32">
        <v>114.6</v>
      </c>
      <c r="FE165" s="32">
        <v>99.4</v>
      </c>
      <c r="FF165" s="32">
        <v>89.6</v>
      </c>
      <c r="FG165" s="32">
        <v>87.7</v>
      </c>
      <c r="FH165" s="32">
        <v>91.7</v>
      </c>
      <c r="FI165" s="32">
        <v>82.5</v>
      </c>
      <c r="FJ165" s="32">
        <v>86.7</v>
      </c>
      <c r="FK165" s="32">
        <v>74.099999999999994</v>
      </c>
      <c r="FL165" s="32">
        <v>74.099999999999994</v>
      </c>
    </row>
    <row r="166" spans="1:168" x14ac:dyDescent="0.2">
      <c r="A166" s="34" t="s">
        <v>1146</v>
      </c>
      <c r="B166" s="32">
        <v>84</v>
      </c>
      <c r="C166" s="32">
        <v>77.5</v>
      </c>
      <c r="D166" s="32">
        <v>90.1</v>
      </c>
      <c r="E166" s="32">
        <v>92.2</v>
      </c>
      <c r="F166" s="32">
        <v>147.19999999999999</v>
      </c>
      <c r="G166" s="32">
        <v>2297.6999999999998</v>
      </c>
      <c r="H166" s="32">
        <v>162.30000000000001</v>
      </c>
      <c r="I166" s="32">
        <v>64.5</v>
      </c>
      <c r="J166" s="32">
        <v>86</v>
      </c>
      <c r="K166" s="32">
        <v>88.6</v>
      </c>
      <c r="L166" s="32">
        <v>82.1</v>
      </c>
      <c r="M166" s="32">
        <v>72.900000000000006</v>
      </c>
      <c r="N166" s="32">
        <v>79.900000000000006</v>
      </c>
      <c r="O166" s="32">
        <v>114.1</v>
      </c>
      <c r="P166" s="32">
        <v>69.400000000000006</v>
      </c>
      <c r="Q166" s="32">
        <v>171.4</v>
      </c>
      <c r="R166" s="32">
        <v>91.2</v>
      </c>
      <c r="S166" s="32">
        <v>99.7</v>
      </c>
      <c r="T166" s="32">
        <v>72.8</v>
      </c>
      <c r="U166" s="32">
        <v>82.8</v>
      </c>
      <c r="V166" s="32">
        <v>128.19999999999999</v>
      </c>
      <c r="W166" s="32">
        <v>78.7</v>
      </c>
      <c r="X166" s="32">
        <v>65.400000000000006</v>
      </c>
      <c r="Y166" s="32">
        <v>93.9</v>
      </c>
      <c r="Z166" s="32">
        <v>109.7</v>
      </c>
      <c r="AA166" s="32">
        <v>84.9</v>
      </c>
      <c r="AB166" s="32">
        <v>65.400000000000006</v>
      </c>
      <c r="AC166" s="32">
        <v>88.4</v>
      </c>
      <c r="AD166" s="32">
        <v>97.2</v>
      </c>
      <c r="AE166" s="32">
        <v>111.2</v>
      </c>
      <c r="AF166" s="32">
        <v>111.2</v>
      </c>
      <c r="AG166" s="32">
        <v>63.9</v>
      </c>
      <c r="AH166" s="32">
        <v>63.9</v>
      </c>
      <c r="AI166" s="32">
        <v>230.8</v>
      </c>
      <c r="AJ166" s="32">
        <v>21.8</v>
      </c>
      <c r="AK166" s="32">
        <v>37.6</v>
      </c>
      <c r="AL166" s="32">
        <v>127.4</v>
      </c>
      <c r="AM166" s="32">
        <v>59.2</v>
      </c>
      <c r="AN166" s="32">
        <v>116.1</v>
      </c>
      <c r="AO166" s="32">
        <v>115.1</v>
      </c>
      <c r="AP166" s="32">
        <v>115.1</v>
      </c>
      <c r="AQ166" s="32">
        <v>81</v>
      </c>
      <c r="AR166" s="32">
        <v>77.599999999999994</v>
      </c>
      <c r="AS166" s="32">
        <v>87.6</v>
      </c>
      <c r="AT166" s="32">
        <v>88.7</v>
      </c>
      <c r="AU166" s="32">
        <v>86.1</v>
      </c>
      <c r="AV166" s="32">
        <v>79.2</v>
      </c>
      <c r="AW166" s="32">
        <v>95.7</v>
      </c>
      <c r="AX166" s="32">
        <v>84.2</v>
      </c>
      <c r="AY166" s="32">
        <v>142.9</v>
      </c>
      <c r="AZ166" s="32">
        <v>77.3</v>
      </c>
      <c r="BA166" s="32">
        <v>85.4</v>
      </c>
      <c r="BB166" s="32">
        <v>85.4</v>
      </c>
      <c r="BC166" s="32">
        <v>83</v>
      </c>
      <c r="BD166" s="32">
        <v>83</v>
      </c>
      <c r="BE166" s="32">
        <v>97.4</v>
      </c>
      <c r="BF166" s="32">
        <v>97.4</v>
      </c>
      <c r="BG166" s="32">
        <v>80.3</v>
      </c>
      <c r="BH166" s="32">
        <v>78.3</v>
      </c>
      <c r="BI166" s="32">
        <v>81.2</v>
      </c>
      <c r="BJ166" s="32">
        <v>71</v>
      </c>
      <c r="BK166" s="32">
        <v>91.1</v>
      </c>
      <c r="BL166" s="32">
        <v>45.7</v>
      </c>
      <c r="BM166" s="32">
        <v>107.4</v>
      </c>
      <c r="BN166" s="32">
        <v>103.9</v>
      </c>
      <c r="BO166" s="32">
        <v>91.5</v>
      </c>
      <c r="BP166" s="32">
        <v>116.2</v>
      </c>
      <c r="BQ166" s="32">
        <v>112</v>
      </c>
      <c r="BR166" s="32">
        <v>78.900000000000006</v>
      </c>
      <c r="BS166" s="32">
        <v>203.5</v>
      </c>
      <c r="BT166" s="32">
        <v>93.7</v>
      </c>
      <c r="BU166" s="32">
        <v>85</v>
      </c>
      <c r="BV166" s="32">
        <v>85</v>
      </c>
      <c r="BW166" s="32">
        <v>114</v>
      </c>
      <c r="BX166" s="32">
        <v>41.1</v>
      </c>
      <c r="BY166" s="32">
        <v>100.7</v>
      </c>
      <c r="BZ166" s="32">
        <v>78.599999999999994</v>
      </c>
      <c r="CA166" s="32">
        <v>112.6</v>
      </c>
      <c r="CB166" s="32">
        <v>131.4</v>
      </c>
      <c r="CC166" s="32">
        <v>97.3</v>
      </c>
      <c r="CD166" s="32">
        <v>30.2</v>
      </c>
      <c r="CE166" s="32">
        <v>84.2</v>
      </c>
      <c r="CF166" s="32">
        <v>82.6</v>
      </c>
      <c r="CG166" s="32">
        <v>89.1</v>
      </c>
      <c r="CH166" s="32">
        <v>90.1</v>
      </c>
      <c r="CI166" s="32">
        <v>101.4</v>
      </c>
      <c r="CJ166" s="32">
        <v>88.2</v>
      </c>
      <c r="CK166" s="32">
        <v>89</v>
      </c>
      <c r="CL166" s="32">
        <v>91.3</v>
      </c>
      <c r="CM166" s="32">
        <v>94.7</v>
      </c>
      <c r="CN166" s="32">
        <v>100.3</v>
      </c>
      <c r="CO166" s="32">
        <v>94.5</v>
      </c>
      <c r="CP166" s="32">
        <v>83.8</v>
      </c>
      <c r="CQ166" s="32">
        <v>34.4</v>
      </c>
      <c r="CR166" s="32">
        <v>96.3</v>
      </c>
      <c r="CS166" s="32">
        <v>117.9</v>
      </c>
      <c r="CT166" s="32">
        <v>83.4</v>
      </c>
      <c r="CU166" s="32">
        <v>64.900000000000006</v>
      </c>
      <c r="CV166" s="32">
        <v>91.6</v>
      </c>
      <c r="CW166" s="32">
        <v>45.5</v>
      </c>
      <c r="CX166" s="32">
        <v>95.5</v>
      </c>
      <c r="CY166" s="32">
        <v>111.1</v>
      </c>
      <c r="CZ166" s="32">
        <v>87.3</v>
      </c>
      <c r="DA166" s="32">
        <v>72.8</v>
      </c>
      <c r="DB166" s="32">
        <v>115.5</v>
      </c>
      <c r="DC166" s="32">
        <v>13.5</v>
      </c>
      <c r="DD166" s="32">
        <v>13.5</v>
      </c>
      <c r="DE166" s="32">
        <v>69.7</v>
      </c>
      <c r="DF166" s="32">
        <v>66.7</v>
      </c>
      <c r="DG166" s="32">
        <v>87.9</v>
      </c>
      <c r="DH166" s="32">
        <v>106.4</v>
      </c>
      <c r="DI166" s="32">
        <v>131.80000000000001</v>
      </c>
      <c r="DJ166" s="32">
        <v>97</v>
      </c>
      <c r="DK166" s="32">
        <v>97</v>
      </c>
      <c r="DL166" s="32">
        <v>75.900000000000006</v>
      </c>
      <c r="DM166" s="32">
        <v>78.5</v>
      </c>
      <c r="DN166" s="32">
        <v>67.7</v>
      </c>
      <c r="DO166" s="32">
        <v>83.2</v>
      </c>
      <c r="DP166" s="32">
        <v>70.099999999999994</v>
      </c>
      <c r="DQ166" s="32">
        <v>76.7</v>
      </c>
      <c r="DR166" s="32">
        <v>83.3</v>
      </c>
      <c r="DS166" s="32">
        <v>80</v>
      </c>
      <c r="DT166" s="32">
        <v>76.7</v>
      </c>
      <c r="DU166" s="32">
        <v>79</v>
      </c>
      <c r="DV166" s="32">
        <v>82.4</v>
      </c>
      <c r="DW166" s="32">
        <v>74.900000000000006</v>
      </c>
      <c r="DX166" s="32">
        <v>71.8</v>
      </c>
      <c r="DY166" s="32">
        <v>91.1</v>
      </c>
      <c r="DZ166" s="32">
        <v>151</v>
      </c>
      <c r="EA166" s="32">
        <v>151</v>
      </c>
      <c r="EB166" s="32">
        <v>71.3</v>
      </c>
      <c r="EC166" s="32">
        <v>71.3</v>
      </c>
      <c r="ED166" s="32">
        <v>71.8</v>
      </c>
      <c r="EE166" s="32">
        <v>71</v>
      </c>
      <c r="EF166" s="32">
        <v>73.400000000000006</v>
      </c>
      <c r="EG166" s="32">
        <v>67.3</v>
      </c>
      <c r="EH166" s="32">
        <v>71.400000000000006</v>
      </c>
      <c r="EI166" s="32">
        <v>67.7</v>
      </c>
      <c r="EJ166" s="32">
        <v>61.9</v>
      </c>
      <c r="EK166" s="32">
        <v>66.099999999999994</v>
      </c>
      <c r="EL166" s="32">
        <v>64.3</v>
      </c>
      <c r="EM166" s="32">
        <v>62.9</v>
      </c>
      <c r="EN166" s="32">
        <v>68.3</v>
      </c>
      <c r="EO166" s="32">
        <v>90</v>
      </c>
      <c r="EP166" s="32">
        <v>95.4</v>
      </c>
      <c r="EQ166" s="32">
        <v>95.4</v>
      </c>
      <c r="ER166" s="32">
        <v>88</v>
      </c>
      <c r="ES166" s="32">
        <v>88</v>
      </c>
      <c r="ET166" s="32">
        <v>88</v>
      </c>
      <c r="EU166" s="32">
        <v>84.9</v>
      </c>
      <c r="EV166" s="32">
        <v>84.9</v>
      </c>
      <c r="EW166" s="32">
        <v>96.3</v>
      </c>
      <c r="EX166" s="32">
        <v>103.6</v>
      </c>
      <c r="EY166" s="32">
        <v>90.8</v>
      </c>
      <c r="EZ166" s="32">
        <v>88.2</v>
      </c>
      <c r="FA166" s="32">
        <v>91.6</v>
      </c>
      <c r="FB166" s="32">
        <v>91.8</v>
      </c>
      <c r="FC166" s="32">
        <v>79.900000000000006</v>
      </c>
      <c r="FD166" s="32">
        <v>114.3</v>
      </c>
      <c r="FE166" s="32">
        <v>99</v>
      </c>
      <c r="FF166" s="32">
        <v>91.3</v>
      </c>
      <c r="FG166" s="32">
        <v>86.9</v>
      </c>
      <c r="FH166" s="32">
        <v>92</v>
      </c>
      <c r="FI166" s="32">
        <v>80.7</v>
      </c>
      <c r="FJ166" s="32">
        <v>85.5</v>
      </c>
      <c r="FK166" s="32">
        <v>72.8</v>
      </c>
      <c r="FL166" s="32">
        <v>72.8</v>
      </c>
    </row>
    <row r="167" spans="1:168" x14ac:dyDescent="0.2">
      <c r="A167" s="34" t="s">
        <v>1147</v>
      </c>
      <c r="B167" s="32">
        <v>84</v>
      </c>
      <c r="C167" s="32">
        <v>77.8</v>
      </c>
      <c r="D167" s="32">
        <v>89.5</v>
      </c>
      <c r="E167" s="32">
        <v>90.9</v>
      </c>
      <c r="F167" s="32">
        <v>132.5</v>
      </c>
      <c r="G167" s="32">
        <v>2376.5</v>
      </c>
      <c r="H167" s="32">
        <v>142.80000000000001</v>
      </c>
      <c r="I167" s="32">
        <v>63.4</v>
      </c>
      <c r="J167" s="32">
        <v>85.9</v>
      </c>
      <c r="K167" s="32">
        <v>91</v>
      </c>
      <c r="L167" s="32">
        <v>82.7</v>
      </c>
      <c r="M167" s="32">
        <v>69.900000000000006</v>
      </c>
      <c r="N167" s="32">
        <v>83.9</v>
      </c>
      <c r="O167" s="32">
        <v>116.7</v>
      </c>
      <c r="P167" s="32">
        <v>63.6</v>
      </c>
      <c r="Q167" s="32">
        <v>176.4</v>
      </c>
      <c r="R167" s="32">
        <v>88.5</v>
      </c>
      <c r="S167" s="32">
        <v>103.8</v>
      </c>
      <c r="T167" s="32">
        <v>68.2</v>
      </c>
      <c r="U167" s="32">
        <v>82</v>
      </c>
      <c r="V167" s="32">
        <v>142</v>
      </c>
      <c r="W167" s="32">
        <v>77</v>
      </c>
      <c r="X167" s="32">
        <v>64.3</v>
      </c>
      <c r="Y167" s="32">
        <v>91.7</v>
      </c>
      <c r="Z167" s="32">
        <v>104.8</v>
      </c>
      <c r="AA167" s="32">
        <v>85.5</v>
      </c>
      <c r="AB167" s="32">
        <v>69.2</v>
      </c>
      <c r="AC167" s="32">
        <v>88.8</v>
      </c>
      <c r="AD167" s="32">
        <v>96</v>
      </c>
      <c r="AE167" s="32">
        <v>112.1</v>
      </c>
      <c r="AF167" s="32">
        <v>112.1</v>
      </c>
      <c r="AG167" s="32">
        <v>61.4</v>
      </c>
      <c r="AH167" s="32">
        <v>61.4</v>
      </c>
      <c r="AI167" s="32">
        <v>195</v>
      </c>
      <c r="AJ167" s="32">
        <v>21</v>
      </c>
      <c r="AK167" s="32">
        <v>36</v>
      </c>
      <c r="AL167" s="32">
        <v>128.5</v>
      </c>
      <c r="AM167" s="32">
        <v>58.6</v>
      </c>
      <c r="AN167" s="32">
        <v>119</v>
      </c>
      <c r="AO167" s="32">
        <v>115.7</v>
      </c>
      <c r="AP167" s="32">
        <v>115.7</v>
      </c>
      <c r="AQ167" s="32">
        <v>82</v>
      </c>
      <c r="AR167" s="32">
        <v>79.2</v>
      </c>
      <c r="AS167" s="32">
        <v>87.6</v>
      </c>
      <c r="AT167" s="32">
        <v>90.7</v>
      </c>
      <c r="AU167" s="32">
        <v>84.5</v>
      </c>
      <c r="AV167" s="32">
        <v>80.5</v>
      </c>
      <c r="AW167" s="32">
        <v>95.4</v>
      </c>
      <c r="AX167" s="32">
        <v>84</v>
      </c>
      <c r="AY167" s="32">
        <v>144</v>
      </c>
      <c r="AZ167" s="32">
        <v>79.099999999999994</v>
      </c>
      <c r="BA167" s="32">
        <v>82.5</v>
      </c>
      <c r="BB167" s="32">
        <v>82.5</v>
      </c>
      <c r="BC167" s="32">
        <v>80.099999999999994</v>
      </c>
      <c r="BD167" s="32">
        <v>80.099999999999994</v>
      </c>
      <c r="BE167" s="32">
        <v>98.6</v>
      </c>
      <c r="BF167" s="32">
        <v>98.6</v>
      </c>
      <c r="BG167" s="32">
        <v>81.599999999999994</v>
      </c>
      <c r="BH167" s="32">
        <v>79.2</v>
      </c>
      <c r="BI167" s="32">
        <v>83</v>
      </c>
      <c r="BJ167" s="32">
        <v>69.5</v>
      </c>
      <c r="BK167" s="32">
        <v>93.6</v>
      </c>
      <c r="BL167" s="32">
        <v>49.3</v>
      </c>
      <c r="BM167" s="32">
        <v>101.6</v>
      </c>
      <c r="BN167" s="32">
        <v>103.8</v>
      </c>
      <c r="BO167" s="32">
        <v>91.6</v>
      </c>
      <c r="BP167" s="32">
        <v>115.9</v>
      </c>
      <c r="BQ167" s="32">
        <v>98.9</v>
      </c>
      <c r="BR167" s="32">
        <v>70</v>
      </c>
      <c r="BS167" s="32">
        <v>177.4</v>
      </c>
      <c r="BT167" s="32">
        <v>83.2</v>
      </c>
      <c r="BU167" s="32">
        <v>82.1</v>
      </c>
      <c r="BV167" s="32">
        <v>82.1</v>
      </c>
      <c r="BW167" s="32">
        <v>110.9</v>
      </c>
      <c r="BX167" s="32">
        <v>39.200000000000003</v>
      </c>
      <c r="BY167" s="32">
        <v>101.5</v>
      </c>
      <c r="BZ167" s="32">
        <v>97</v>
      </c>
      <c r="CA167" s="32">
        <v>103.3</v>
      </c>
      <c r="CB167" s="32">
        <v>116.5</v>
      </c>
      <c r="CC167" s="32">
        <v>94</v>
      </c>
      <c r="CD167" s="32">
        <v>30</v>
      </c>
      <c r="CE167" s="32">
        <v>85.3</v>
      </c>
      <c r="CF167" s="32">
        <v>82.8</v>
      </c>
      <c r="CG167" s="32">
        <v>90.5</v>
      </c>
      <c r="CH167" s="32">
        <v>91.8</v>
      </c>
      <c r="CI167" s="32">
        <v>100.8</v>
      </c>
      <c r="CJ167" s="32">
        <v>92.6</v>
      </c>
      <c r="CK167" s="32">
        <v>89.4</v>
      </c>
      <c r="CL167" s="32">
        <v>92.8</v>
      </c>
      <c r="CM167" s="32">
        <v>95.7</v>
      </c>
      <c r="CN167" s="32">
        <v>102.5</v>
      </c>
      <c r="CO167" s="32">
        <v>95.2</v>
      </c>
      <c r="CP167" s="32">
        <v>86.2</v>
      </c>
      <c r="CQ167" s="32">
        <v>35.700000000000003</v>
      </c>
      <c r="CR167" s="32">
        <v>98.9</v>
      </c>
      <c r="CS167" s="32">
        <v>117.5</v>
      </c>
      <c r="CT167" s="32">
        <v>83.6</v>
      </c>
      <c r="CU167" s="32">
        <v>63.5</v>
      </c>
      <c r="CV167" s="32">
        <v>92.5</v>
      </c>
      <c r="CW167" s="32">
        <v>46.5</v>
      </c>
      <c r="CX167" s="32">
        <v>98.4</v>
      </c>
      <c r="CY167" s="32">
        <v>110.8</v>
      </c>
      <c r="CZ167" s="32">
        <v>91.9</v>
      </c>
      <c r="DA167" s="32">
        <v>77.099999999999994</v>
      </c>
      <c r="DB167" s="32">
        <v>120.6</v>
      </c>
      <c r="DC167" s="32">
        <v>13.7</v>
      </c>
      <c r="DD167" s="32">
        <v>13.7</v>
      </c>
      <c r="DE167" s="32">
        <v>71.5</v>
      </c>
      <c r="DF167" s="32">
        <v>68.400000000000006</v>
      </c>
      <c r="DG167" s="32">
        <v>90.3</v>
      </c>
      <c r="DH167" s="32">
        <v>106.2</v>
      </c>
      <c r="DI167" s="32">
        <v>136.4</v>
      </c>
      <c r="DJ167" s="32">
        <v>97.3</v>
      </c>
      <c r="DK167" s="32">
        <v>97.3</v>
      </c>
      <c r="DL167" s="32">
        <v>67.3</v>
      </c>
      <c r="DM167" s="32">
        <v>78.7</v>
      </c>
      <c r="DN167" s="32">
        <v>68.400000000000006</v>
      </c>
      <c r="DO167" s="32">
        <v>83.4</v>
      </c>
      <c r="DP167" s="32">
        <v>68.599999999999994</v>
      </c>
      <c r="DQ167" s="32">
        <v>76.900000000000006</v>
      </c>
      <c r="DR167" s="32">
        <v>83.5</v>
      </c>
      <c r="DS167" s="32">
        <v>80.8</v>
      </c>
      <c r="DT167" s="32">
        <v>77.7</v>
      </c>
      <c r="DU167" s="32">
        <v>80.599999999999994</v>
      </c>
      <c r="DV167" s="32">
        <v>85.1</v>
      </c>
      <c r="DW167" s="32">
        <v>75.3</v>
      </c>
      <c r="DX167" s="32">
        <v>71.8</v>
      </c>
      <c r="DY167" s="32">
        <v>90.9</v>
      </c>
      <c r="DZ167" s="32">
        <v>143</v>
      </c>
      <c r="EA167" s="32">
        <v>143</v>
      </c>
      <c r="EB167" s="32">
        <v>72.400000000000006</v>
      </c>
      <c r="EC167" s="32">
        <v>71.3</v>
      </c>
      <c r="ED167" s="32">
        <v>74.3</v>
      </c>
      <c r="EE167" s="32">
        <v>75.099999999999994</v>
      </c>
      <c r="EF167" s="32">
        <v>71.900000000000006</v>
      </c>
      <c r="EG167" s="32">
        <v>67.5</v>
      </c>
      <c r="EH167" s="32">
        <v>70.900000000000006</v>
      </c>
      <c r="EI167" s="32">
        <v>67</v>
      </c>
      <c r="EJ167" s="32">
        <v>61.5</v>
      </c>
      <c r="EK167" s="32">
        <v>67.599999999999994</v>
      </c>
      <c r="EL167" s="32">
        <v>65.400000000000006</v>
      </c>
      <c r="EM167" s="32">
        <v>62.8</v>
      </c>
      <c r="EN167" s="32">
        <v>70.8</v>
      </c>
      <c r="EO167" s="32">
        <v>88.7</v>
      </c>
      <c r="EP167" s="32">
        <v>95.1</v>
      </c>
      <c r="EQ167" s="32">
        <v>95.1</v>
      </c>
      <c r="ER167" s="32">
        <v>84.2</v>
      </c>
      <c r="ES167" s="32">
        <v>84.2</v>
      </c>
      <c r="ET167" s="32">
        <v>88.2</v>
      </c>
      <c r="EU167" s="32">
        <v>84.7</v>
      </c>
      <c r="EV167" s="32">
        <v>84.7</v>
      </c>
      <c r="EW167" s="32">
        <v>97.1</v>
      </c>
      <c r="EX167" s="32">
        <v>104.4</v>
      </c>
      <c r="EY167" s="32">
        <v>91.7</v>
      </c>
      <c r="EZ167" s="32">
        <v>87.7</v>
      </c>
      <c r="FA167" s="32">
        <v>91.1</v>
      </c>
      <c r="FB167" s="32">
        <v>93.8</v>
      </c>
      <c r="FC167" s="32">
        <v>83.2</v>
      </c>
      <c r="FD167" s="32">
        <v>115.4</v>
      </c>
      <c r="FE167" s="32">
        <v>98.9</v>
      </c>
      <c r="FF167" s="32">
        <v>87.9</v>
      </c>
      <c r="FG167" s="32">
        <v>86.2</v>
      </c>
      <c r="FH167" s="32">
        <v>91.8</v>
      </c>
      <c r="FI167" s="32">
        <v>80.7</v>
      </c>
      <c r="FJ167" s="32">
        <v>84.5</v>
      </c>
      <c r="FK167" s="32">
        <v>74.2</v>
      </c>
      <c r="FL167" s="32">
        <v>74.2</v>
      </c>
    </row>
    <row r="168" spans="1:168" x14ac:dyDescent="0.2">
      <c r="A168" s="34" t="s">
        <v>1148</v>
      </c>
      <c r="B168" s="32">
        <v>84.1</v>
      </c>
      <c r="C168" s="32">
        <v>78</v>
      </c>
      <c r="D168" s="32">
        <v>88.6</v>
      </c>
      <c r="E168" s="32">
        <v>90.1</v>
      </c>
      <c r="F168" s="32">
        <v>136.6</v>
      </c>
      <c r="G168" s="32">
        <v>2377.1</v>
      </c>
      <c r="H168" s="32">
        <v>148.80000000000001</v>
      </c>
      <c r="I168" s="32">
        <v>62.9</v>
      </c>
      <c r="J168" s="32">
        <v>85.1</v>
      </c>
      <c r="K168" s="32">
        <v>83.4</v>
      </c>
      <c r="L168" s="32">
        <v>78.099999999999994</v>
      </c>
      <c r="M168" s="32">
        <v>64.599999999999994</v>
      </c>
      <c r="N168" s="32">
        <v>76.099999999999994</v>
      </c>
      <c r="O168" s="32">
        <v>109.7</v>
      </c>
      <c r="P168" s="32">
        <v>59</v>
      </c>
      <c r="Q168" s="32">
        <v>158.5</v>
      </c>
      <c r="R168" s="32">
        <v>89.4</v>
      </c>
      <c r="S168" s="32">
        <v>97.4</v>
      </c>
      <c r="T168" s="32">
        <v>72</v>
      </c>
      <c r="U168" s="32">
        <v>80.2</v>
      </c>
      <c r="V168" s="32">
        <v>115.1</v>
      </c>
      <c r="W168" s="32">
        <v>81.7</v>
      </c>
      <c r="X168" s="32">
        <v>66.3</v>
      </c>
      <c r="Y168" s="32">
        <v>102</v>
      </c>
      <c r="Z168" s="32">
        <v>110.7</v>
      </c>
      <c r="AA168" s="32">
        <v>84.3</v>
      </c>
      <c r="AB168" s="32">
        <v>67.5</v>
      </c>
      <c r="AC168" s="32">
        <v>88.1</v>
      </c>
      <c r="AD168" s="32">
        <v>94.8</v>
      </c>
      <c r="AE168" s="32">
        <v>108.5</v>
      </c>
      <c r="AF168" s="32">
        <v>108.5</v>
      </c>
      <c r="AG168" s="32">
        <v>60.8</v>
      </c>
      <c r="AH168" s="32">
        <v>60.8</v>
      </c>
      <c r="AI168" s="32">
        <v>229.9</v>
      </c>
      <c r="AJ168" s="32">
        <v>20.2</v>
      </c>
      <c r="AK168" s="32">
        <v>35.9</v>
      </c>
      <c r="AL168" s="32">
        <v>119.9</v>
      </c>
      <c r="AM168" s="32">
        <v>55</v>
      </c>
      <c r="AN168" s="32">
        <v>118.1</v>
      </c>
      <c r="AO168" s="32">
        <v>114.9</v>
      </c>
      <c r="AP168" s="32">
        <v>114.9</v>
      </c>
      <c r="AQ168" s="32">
        <v>82.2</v>
      </c>
      <c r="AR168" s="32">
        <v>79.5</v>
      </c>
      <c r="AS168" s="32">
        <v>87.7</v>
      </c>
      <c r="AT168" s="32">
        <v>88.8</v>
      </c>
      <c r="AU168" s="32">
        <v>86.1</v>
      </c>
      <c r="AV168" s="32">
        <v>84.6</v>
      </c>
      <c r="AW168" s="32">
        <v>91.4</v>
      </c>
      <c r="AX168" s="32">
        <v>80.599999999999994</v>
      </c>
      <c r="AY168" s="32">
        <v>139</v>
      </c>
      <c r="AZ168" s="32">
        <v>85.1</v>
      </c>
      <c r="BA168" s="32">
        <v>81.8</v>
      </c>
      <c r="BB168" s="32">
        <v>81.8</v>
      </c>
      <c r="BC168" s="32">
        <v>84.8</v>
      </c>
      <c r="BD168" s="32">
        <v>84.8</v>
      </c>
      <c r="BE168" s="32">
        <v>98.6</v>
      </c>
      <c r="BF168" s="32">
        <v>98.6</v>
      </c>
      <c r="BG168" s="32">
        <v>78.8</v>
      </c>
      <c r="BH168" s="32">
        <v>71.7</v>
      </c>
      <c r="BI168" s="32">
        <v>84.6</v>
      </c>
      <c r="BJ168" s="32">
        <v>67.7</v>
      </c>
      <c r="BK168" s="32">
        <v>97.1</v>
      </c>
      <c r="BL168" s="32">
        <v>47.5</v>
      </c>
      <c r="BM168" s="32">
        <v>103.6</v>
      </c>
      <c r="BN168" s="32">
        <v>107.4</v>
      </c>
      <c r="BO168" s="32">
        <v>93.6</v>
      </c>
      <c r="BP168" s="32">
        <v>121.2</v>
      </c>
      <c r="BQ168" s="32">
        <v>98.9</v>
      </c>
      <c r="BR168" s="32">
        <v>76.2</v>
      </c>
      <c r="BS168" s="32">
        <v>174.6</v>
      </c>
      <c r="BT168" s="32">
        <v>82.7</v>
      </c>
      <c r="BU168" s="32">
        <v>80</v>
      </c>
      <c r="BV168" s="32">
        <v>80</v>
      </c>
      <c r="BW168" s="32">
        <v>109</v>
      </c>
      <c r="BX168" s="32">
        <v>37.299999999999997</v>
      </c>
      <c r="BY168" s="32">
        <v>99.8</v>
      </c>
      <c r="BZ168" s="32">
        <v>98.9</v>
      </c>
      <c r="CA168" s="32">
        <v>99.8</v>
      </c>
      <c r="CB168" s="32">
        <v>111.8</v>
      </c>
      <c r="CC168" s="32">
        <v>91.4</v>
      </c>
      <c r="CD168" s="32">
        <v>30</v>
      </c>
      <c r="CE168" s="32">
        <v>84.2</v>
      </c>
      <c r="CF168" s="32">
        <v>83.2</v>
      </c>
      <c r="CG168" s="32">
        <v>91.4</v>
      </c>
      <c r="CH168" s="32">
        <v>92.5</v>
      </c>
      <c r="CI168" s="32">
        <v>101.3</v>
      </c>
      <c r="CJ168" s="32">
        <v>93.1</v>
      </c>
      <c r="CK168" s="32">
        <v>90.3</v>
      </c>
      <c r="CL168" s="32">
        <v>93.6</v>
      </c>
      <c r="CM168" s="32">
        <v>97.6</v>
      </c>
      <c r="CN168" s="32">
        <v>104.2</v>
      </c>
      <c r="CO168" s="32">
        <v>97.2</v>
      </c>
      <c r="CP168" s="32">
        <v>87.6</v>
      </c>
      <c r="CQ168" s="32">
        <v>37.700000000000003</v>
      </c>
      <c r="CR168" s="32">
        <v>99</v>
      </c>
      <c r="CS168" s="32">
        <v>115.4</v>
      </c>
      <c r="CT168" s="32">
        <v>85</v>
      </c>
      <c r="CU168" s="32">
        <v>64.2</v>
      </c>
      <c r="CV168" s="32">
        <v>94.2</v>
      </c>
      <c r="CW168" s="32">
        <v>46.5</v>
      </c>
      <c r="CX168" s="32">
        <v>97.2</v>
      </c>
      <c r="CY168" s="32">
        <v>110.8</v>
      </c>
      <c r="CZ168" s="32">
        <v>90</v>
      </c>
      <c r="DA168" s="32">
        <v>76.099999999999994</v>
      </c>
      <c r="DB168" s="32">
        <v>117.1</v>
      </c>
      <c r="DC168" s="32">
        <v>13.7</v>
      </c>
      <c r="DD168" s="32">
        <v>13.7</v>
      </c>
      <c r="DE168" s="32">
        <v>72</v>
      </c>
      <c r="DF168" s="32">
        <v>68.8</v>
      </c>
      <c r="DG168" s="32">
        <v>91.3</v>
      </c>
      <c r="DH168" s="32">
        <v>105.6</v>
      </c>
      <c r="DI168" s="32">
        <v>137.1</v>
      </c>
      <c r="DJ168" s="32">
        <v>96.8</v>
      </c>
      <c r="DK168" s="32">
        <v>96.8</v>
      </c>
      <c r="DL168" s="32">
        <v>64.3</v>
      </c>
      <c r="DM168" s="32">
        <v>79.400000000000006</v>
      </c>
      <c r="DN168" s="32">
        <v>69.400000000000006</v>
      </c>
      <c r="DO168" s="32">
        <v>83.6</v>
      </c>
      <c r="DP168" s="32">
        <v>75.8</v>
      </c>
      <c r="DQ168" s="32">
        <v>76.5</v>
      </c>
      <c r="DR168" s="32">
        <v>83.2</v>
      </c>
      <c r="DS168" s="32">
        <v>81.599999999999994</v>
      </c>
      <c r="DT168" s="32">
        <v>78.599999999999994</v>
      </c>
      <c r="DU168" s="32">
        <v>79.8</v>
      </c>
      <c r="DV168" s="32">
        <v>85.1</v>
      </c>
      <c r="DW168" s="32">
        <v>73.599999999999994</v>
      </c>
      <c r="DX168" s="32">
        <v>76.099999999999994</v>
      </c>
      <c r="DY168" s="32">
        <v>91.7</v>
      </c>
      <c r="DZ168" s="32">
        <v>144.69999999999999</v>
      </c>
      <c r="EA168" s="32">
        <v>144.69999999999999</v>
      </c>
      <c r="EB168" s="32">
        <v>68.099999999999994</v>
      </c>
      <c r="EC168" s="32">
        <v>66.400000000000006</v>
      </c>
      <c r="ED168" s="32">
        <v>70.8</v>
      </c>
      <c r="EE168" s="32">
        <v>69.900000000000006</v>
      </c>
      <c r="EF168" s="32">
        <v>72.8</v>
      </c>
      <c r="EG168" s="32">
        <v>66.900000000000006</v>
      </c>
      <c r="EH168" s="32">
        <v>71.2</v>
      </c>
      <c r="EI168" s="32">
        <v>64.3</v>
      </c>
      <c r="EJ168" s="32">
        <v>61.9</v>
      </c>
      <c r="EK168" s="32">
        <v>67.8</v>
      </c>
      <c r="EL168" s="32">
        <v>65.3</v>
      </c>
      <c r="EM168" s="32">
        <v>63.1</v>
      </c>
      <c r="EN168" s="32">
        <v>71.099999999999994</v>
      </c>
      <c r="EO168" s="32">
        <v>89.3</v>
      </c>
      <c r="EP168" s="32">
        <v>94.8</v>
      </c>
      <c r="EQ168" s="32">
        <v>94.8</v>
      </c>
      <c r="ER168" s="32">
        <v>84.8</v>
      </c>
      <c r="ES168" s="32">
        <v>84.8</v>
      </c>
      <c r="ET168" s="32">
        <v>89.3</v>
      </c>
      <c r="EU168" s="32">
        <v>86.2</v>
      </c>
      <c r="EV168" s="32">
        <v>86.2</v>
      </c>
      <c r="EW168" s="32">
        <v>97.3</v>
      </c>
      <c r="EX168" s="32">
        <v>104.8</v>
      </c>
      <c r="EY168" s="32">
        <v>91.7</v>
      </c>
      <c r="EZ168" s="32">
        <v>89.5</v>
      </c>
      <c r="FA168" s="32">
        <v>94.7</v>
      </c>
      <c r="FB168" s="32">
        <v>91</v>
      </c>
      <c r="FC168" s="32">
        <v>78.8</v>
      </c>
      <c r="FD168" s="32">
        <v>112.3</v>
      </c>
      <c r="FE168" s="32">
        <v>99.2</v>
      </c>
      <c r="FF168" s="32">
        <v>99.2</v>
      </c>
      <c r="FG168" s="32">
        <v>87</v>
      </c>
      <c r="FH168" s="32">
        <v>92.8</v>
      </c>
      <c r="FI168" s="32">
        <v>79.7</v>
      </c>
      <c r="FJ168" s="32">
        <v>85.4</v>
      </c>
      <c r="FK168" s="32">
        <v>74.5</v>
      </c>
      <c r="FL168" s="32">
        <v>74.5</v>
      </c>
    </row>
    <row r="169" spans="1:168" x14ac:dyDescent="0.2">
      <c r="A169" s="34" t="s">
        <v>1149</v>
      </c>
      <c r="B169" s="32">
        <v>84.4</v>
      </c>
      <c r="C169" s="32">
        <v>78.099999999999994</v>
      </c>
      <c r="D169" s="32">
        <v>89.6</v>
      </c>
      <c r="E169" s="32">
        <v>90</v>
      </c>
      <c r="F169" s="32">
        <v>135.5</v>
      </c>
      <c r="G169" s="32">
        <v>2307.1</v>
      </c>
      <c r="H169" s="32">
        <v>148</v>
      </c>
      <c r="I169" s="32">
        <v>61.8</v>
      </c>
      <c r="J169" s="32">
        <v>85.5</v>
      </c>
      <c r="K169" s="32">
        <v>85</v>
      </c>
      <c r="L169" s="32">
        <v>78.7</v>
      </c>
      <c r="M169" s="32">
        <v>63.3</v>
      </c>
      <c r="N169" s="32">
        <v>77.5</v>
      </c>
      <c r="O169" s="32">
        <v>95</v>
      </c>
      <c r="P169" s="32">
        <v>55.3</v>
      </c>
      <c r="Q169" s="32">
        <v>151.80000000000001</v>
      </c>
      <c r="R169" s="32">
        <v>93.1</v>
      </c>
      <c r="S169" s="32">
        <v>98</v>
      </c>
      <c r="T169" s="32">
        <v>77.400000000000006</v>
      </c>
      <c r="U169" s="32">
        <v>76.5</v>
      </c>
      <c r="V169" s="32">
        <v>124.6</v>
      </c>
      <c r="W169" s="32">
        <v>75.7</v>
      </c>
      <c r="X169" s="32">
        <v>61.9</v>
      </c>
      <c r="Y169" s="32">
        <v>92.2</v>
      </c>
      <c r="Z169" s="32">
        <v>110.5</v>
      </c>
      <c r="AA169" s="32">
        <v>83.3</v>
      </c>
      <c r="AB169" s="32">
        <v>69</v>
      </c>
      <c r="AC169" s="32">
        <v>86.9</v>
      </c>
      <c r="AD169" s="32">
        <v>92.3</v>
      </c>
      <c r="AE169" s="32">
        <v>102.5</v>
      </c>
      <c r="AF169" s="32">
        <v>102.5</v>
      </c>
      <c r="AG169" s="32">
        <v>56.9</v>
      </c>
      <c r="AH169" s="32">
        <v>56.9</v>
      </c>
      <c r="AI169" s="32">
        <v>216.6</v>
      </c>
      <c r="AJ169" s="32">
        <v>17.600000000000001</v>
      </c>
      <c r="AK169" s="32">
        <v>35.700000000000003</v>
      </c>
      <c r="AL169" s="32">
        <v>109.8</v>
      </c>
      <c r="AM169" s="32">
        <v>53.5</v>
      </c>
      <c r="AN169" s="32">
        <v>113</v>
      </c>
      <c r="AO169" s="32">
        <v>123.1</v>
      </c>
      <c r="AP169" s="32">
        <v>123.1</v>
      </c>
      <c r="AQ169" s="32">
        <v>82.4</v>
      </c>
      <c r="AR169" s="32">
        <v>81.2</v>
      </c>
      <c r="AS169" s="32">
        <v>85.8</v>
      </c>
      <c r="AT169" s="32">
        <v>86.3</v>
      </c>
      <c r="AU169" s="32">
        <v>84.8</v>
      </c>
      <c r="AV169" s="32">
        <v>82.1</v>
      </c>
      <c r="AW169" s="32">
        <v>93.6</v>
      </c>
      <c r="AX169" s="32">
        <v>83.1</v>
      </c>
      <c r="AY169" s="32">
        <v>142.6</v>
      </c>
      <c r="AZ169" s="32">
        <v>81.400000000000006</v>
      </c>
      <c r="BA169" s="32">
        <v>84.6</v>
      </c>
      <c r="BB169" s="32">
        <v>84.6</v>
      </c>
      <c r="BC169" s="32">
        <v>81.099999999999994</v>
      </c>
      <c r="BD169" s="32">
        <v>81.099999999999994</v>
      </c>
      <c r="BE169" s="32">
        <v>100</v>
      </c>
      <c r="BF169" s="32">
        <v>100</v>
      </c>
      <c r="BG169" s="32">
        <v>84</v>
      </c>
      <c r="BH169" s="32">
        <v>79.2</v>
      </c>
      <c r="BI169" s="32">
        <v>87.5</v>
      </c>
      <c r="BJ169" s="32">
        <v>65.7</v>
      </c>
      <c r="BK169" s="32">
        <v>101</v>
      </c>
      <c r="BL169" s="32">
        <v>53.2</v>
      </c>
      <c r="BM169" s="32">
        <v>100.8</v>
      </c>
      <c r="BN169" s="32">
        <v>102.5</v>
      </c>
      <c r="BO169" s="32">
        <v>91.1</v>
      </c>
      <c r="BP169" s="32">
        <v>113.9</v>
      </c>
      <c r="BQ169" s="32">
        <v>98.6</v>
      </c>
      <c r="BR169" s="32">
        <v>73.2</v>
      </c>
      <c r="BS169" s="32">
        <v>178.6</v>
      </c>
      <c r="BT169" s="32">
        <v>82</v>
      </c>
      <c r="BU169" s="32">
        <v>79.099999999999994</v>
      </c>
      <c r="BV169" s="32">
        <v>79.099999999999994</v>
      </c>
      <c r="BW169" s="32">
        <v>106.8</v>
      </c>
      <c r="BX169" s="32">
        <v>37.700000000000003</v>
      </c>
      <c r="BY169" s="32">
        <v>97.9</v>
      </c>
      <c r="BZ169" s="32">
        <v>96</v>
      </c>
      <c r="CA169" s="32">
        <v>98.4</v>
      </c>
      <c r="CB169" s="32">
        <v>109.8</v>
      </c>
      <c r="CC169" s="32">
        <v>90.5</v>
      </c>
      <c r="CD169" s="32">
        <v>30.6</v>
      </c>
      <c r="CE169" s="32">
        <v>87.5</v>
      </c>
      <c r="CF169" s="32">
        <v>83.3</v>
      </c>
      <c r="CG169" s="32">
        <v>90.9</v>
      </c>
      <c r="CH169" s="32">
        <v>92.1</v>
      </c>
      <c r="CI169" s="32">
        <v>99</v>
      </c>
      <c r="CJ169" s="32">
        <v>92.3</v>
      </c>
      <c r="CK169" s="32">
        <v>90.9</v>
      </c>
      <c r="CL169" s="32">
        <v>93</v>
      </c>
      <c r="CM169" s="32">
        <v>97.1</v>
      </c>
      <c r="CN169" s="32">
        <v>105.2</v>
      </c>
      <c r="CO169" s="32">
        <v>96.3</v>
      </c>
      <c r="CP169" s="32">
        <v>89.1</v>
      </c>
      <c r="CQ169" s="32">
        <v>37.799999999999997</v>
      </c>
      <c r="CR169" s="32">
        <v>97.6</v>
      </c>
      <c r="CS169" s="32">
        <v>114.5</v>
      </c>
      <c r="CT169" s="32">
        <v>84.2</v>
      </c>
      <c r="CU169" s="32">
        <v>63.6</v>
      </c>
      <c r="CV169" s="32">
        <v>93.3</v>
      </c>
      <c r="CW169" s="32">
        <v>46.7</v>
      </c>
      <c r="CX169" s="32">
        <v>96.4</v>
      </c>
      <c r="CY169" s="32">
        <v>106.3</v>
      </c>
      <c r="CZ169" s="32">
        <v>91.2</v>
      </c>
      <c r="DA169" s="32">
        <v>77.2</v>
      </c>
      <c r="DB169" s="32">
        <v>118.5</v>
      </c>
      <c r="DC169" s="32">
        <v>14</v>
      </c>
      <c r="DD169" s="32">
        <v>14</v>
      </c>
      <c r="DE169" s="32">
        <v>71.599999999999994</v>
      </c>
      <c r="DF169" s="32">
        <v>69.400000000000006</v>
      </c>
      <c r="DG169" s="32">
        <v>84.7</v>
      </c>
      <c r="DH169" s="32">
        <v>106</v>
      </c>
      <c r="DI169" s="32">
        <v>136.80000000000001</v>
      </c>
      <c r="DJ169" s="32">
        <v>96.7</v>
      </c>
      <c r="DK169" s="32">
        <v>96.7</v>
      </c>
      <c r="DL169" s="32">
        <v>66.2</v>
      </c>
      <c r="DM169" s="32">
        <v>79.5</v>
      </c>
      <c r="DN169" s="32">
        <v>69.900000000000006</v>
      </c>
      <c r="DO169" s="32">
        <v>83.7</v>
      </c>
      <c r="DP169" s="32">
        <v>72.7</v>
      </c>
      <c r="DQ169" s="32">
        <v>77.2</v>
      </c>
      <c r="DR169" s="32">
        <v>84.5</v>
      </c>
      <c r="DS169" s="32">
        <v>81.7</v>
      </c>
      <c r="DT169" s="32">
        <v>79.2</v>
      </c>
      <c r="DU169" s="32">
        <v>80</v>
      </c>
      <c r="DV169" s="32">
        <v>85.4</v>
      </c>
      <c r="DW169" s="32">
        <v>73.7</v>
      </c>
      <c r="DX169" s="32">
        <v>77.7</v>
      </c>
      <c r="DY169" s="32">
        <v>89.7</v>
      </c>
      <c r="DZ169" s="32">
        <v>154.19999999999999</v>
      </c>
      <c r="EA169" s="32">
        <v>154.19999999999999</v>
      </c>
      <c r="EB169" s="32">
        <v>70.5</v>
      </c>
      <c r="EC169" s="32">
        <v>69</v>
      </c>
      <c r="ED169" s="32">
        <v>72.8</v>
      </c>
      <c r="EE169" s="32">
        <v>72.5</v>
      </c>
      <c r="EF169" s="32">
        <v>73.2</v>
      </c>
      <c r="EG169" s="32">
        <v>66.900000000000006</v>
      </c>
      <c r="EH169" s="32">
        <v>70</v>
      </c>
      <c r="EI169" s="32">
        <v>64.099999999999994</v>
      </c>
      <c r="EJ169" s="32">
        <v>63</v>
      </c>
      <c r="EK169" s="32">
        <v>68.400000000000006</v>
      </c>
      <c r="EL169" s="32">
        <v>64.7</v>
      </c>
      <c r="EM169" s="32">
        <v>64.099999999999994</v>
      </c>
      <c r="EN169" s="32">
        <v>71.599999999999994</v>
      </c>
      <c r="EO169" s="32">
        <v>89.6</v>
      </c>
      <c r="EP169" s="32">
        <v>94.5</v>
      </c>
      <c r="EQ169" s="32">
        <v>94.5</v>
      </c>
      <c r="ER169" s="32">
        <v>85.9</v>
      </c>
      <c r="ES169" s="32">
        <v>85.9</v>
      </c>
      <c r="ET169" s="32">
        <v>89.3</v>
      </c>
      <c r="EU169" s="32">
        <v>86.2</v>
      </c>
      <c r="EV169" s="32">
        <v>86.2</v>
      </c>
      <c r="EW169" s="32">
        <v>97.4</v>
      </c>
      <c r="EX169" s="32">
        <v>105.2</v>
      </c>
      <c r="EY169" s="32">
        <v>91.6</v>
      </c>
      <c r="EZ169" s="32">
        <v>88</v>
      </c>
      <c r="FA169" s="32">
        <v>91.9</v>
      </c>
      <c r="FB169" s="32">
        <v>91.1</v>
      </c>
      <c r="FC169" s="32">
        <v>78.400000000000006</v>
      </c>
      <c r="FD169" s="32">
        <v>112.2</v>
      </c>
      <c r="FE169" s="32">
        <v>100.4</v>
      </c>
      <c r="FF169" s="32">
        <v>93</v>
      </c>
      <c r="FG169" s="32">
        <v>86.4</v>
      </c>
      <c r="FH169" s="32">
        <v>95.4</v>
      </c>
      <c r="FI169" s="32">
        <v>81.3</v>
      </c>
      <c r="FJ169" s="32">
        <v>83.2</v>
      </c>
      <c r="FK169" s="32">
        <v>72.7</v>
      </c>
      <c r="FL169" s="32">
        <v>72.7</v>
      </c>
    </row>
    <row r="170" spans="1:168" x14ac:dyDescent="0.2">
      <c r="A170" s="34" t="s">
        <v>1150</v>
      </c>
      <c r="B170" s="32">
        <v>84.5</v>
      </c>
      <c r="C170" s="32">
        <v>77.3</v>
      </c>
      <c r="D170" s="32">
        <v>88.5</v>
      </c>
      <c r="E170" s="32">
        <v>89.2</v>
      </c>
      <c r="F170" s="32">
        <v>131.19999999999999</v>
      </c>
      <c r="G170" s="32">
        <v>2509.6</v>
      </c>
      <c r="H170" s="32">
        <v>141.19999999999999</v>
      </c>
      <c r="I170" s="32">
        <v>63.1</v>
      </c>
      <c r="J170" s="32">
        <v>84.8</v>
      </c>
      <c r="K170" s="32">
        <v>85</v>
      </c>
      <c r="L170" s="32">
        <v>79.599999999999994</v>
      </c>
      <c r="M170" s="32">
        <v>63.1</v>
      </c>
      <c r="N170" s="32">
        <v>81.099999999999994</v>
      </c>
      <c r="O170" s="32">
        <v>91.2</v>
      </c>
      <c r="P170" s="32">
        <v>57.1</v>
      </c>
      <c r="Q170" s="32">
        <v>148</v>
      </c>
      <c r="R170" s="32">
        <v>92.7</v>
      </c>
      <c r="S170" s="32">
        <v>99.8</v>
      </c>
      <c r="T170" s="32">
        <v>76.7</v>
      </c>
      <c r="U170" s="32">
        <v>77.3</v>
      </c>
      <c r="V170" s="32">
        <v>119.2</v>
      </c>
      <c r="W170" s="32">
        <v>72.599999999999994</v>
      </c>
      <c r="X170" s="32">
        <v>59.7</v>
      </c>
      <c r="Y170" s="32">
        <v>88.1</v>
      </c>
      <c r="Z170" s="32">
        <v>103.7</v>
      </c>
      <c r="AA170" s="32">
        <v>82</v>
      </c>
      <c r="AB170" s="32">
        <v>68</v>
      </c>
      <c r="AC170" s="32">
        <v>87.4</v>
      </c>
      <c r="AD170" s="32">
        <v>89.2</v>
      </c>
      <c r="AE170" s="32">
        <v>96</v>
      </c>
      <c r="AF170" s="32">
        <v>96</v>
      </c>
      <c r="AG170" s="32">
        <v>56</v>
      </c>
      <c r="AH170" s="32">
        <v>56</v>
      </c>
      <c r="AI170" s="32">
        <v>212.7</v>
      </c>
      <c r="AJ170" s="32">
        <v>16.100000000000001</v>
      </c>
      <c r="AK170" s="32">
        <v>37.5</v>
      </c>
      <c r="AL170" s="32">
        <v>104.8</v>
      </c>
      <c r="AM170" s="32">
        <v>54.8</v>
      </c>
      <c r="AN170" s="32">
        <v>112.8</v>
      </c>
      <c r="AO170" s="32">
        <v>119.8</v>
      </c>
      <c r="AP170" s="32">
        <v>119.8</v>
      </c>
      <c r="AQ170" s="32">
        <v>81</v>
      </c>
      <c r="AR170" s="32">
        <v>78.8</v>
      </c>
      <c r="AS170" s="32">
        <v>85.9</v>
      </c>
      <c r="AT170" s="32">
        <v>86.6</v>
      </c>
      <c r="AU170" s="32">
        <v>84.7</v>
      </c>
      <c r="AV170" s="32">
        <v>82.2</v>
      </c>
      <c r="AW170" s="32">
        <v>98.2</v>
      </c>
      <c r="AX170" s="32">
        <v>91</v>
      </c>
      <c r="AY170" s="32">
        <v>143.9</v>
      </c>
      <c r="AZ170" s="32">
        <v>80.5</v>
      </c>
      <c r="BA170" s="32">
        <v>80.900000000000006</v>
      </c>
      <c r="BB170" s="32">
        <v>80.900000000000006</v>
      </c>
      <c r="BC170" s="32">
        <v>81.2</v>
      </c>
      <c r="BD170" s="32">
        <v>81.2</v>
      </c>
      <c r="BE170" s="32">
        <v>103.1</v>
      </c>
      <c r="BF170" s="32">
        <v>103.1</v>
      </c>
      <c r="BG170" s="32">
        <v>87.4</v>
      </c>
      <c r="BH170" s="32">
        <v>81.900000000000006</v>
      </c>
      <c r="BI170" s="32">
        <v>91.5</v>
      </c>
      <c r="BJ170" s="32">
        <v>63.5</v>
      </c>
      <c r="BK170" s="32">
        <v>106.5</v>
      </c>
      <c r="BL170" s="32">
        <v>60</v>
      </c>
      <c r="BM170" s="32">
        <v>97.5</v>
      </c>
      <c r="BN170" s="32">
        <v>101.6</v>
      </c>
      <c r="BO170" s="32">
        <v>91.7</v>
      </c>
      <c r="BP170" s="32">
        <v>111.4</v>
      </c>
      <c r="BQ170" s="32">
        <v>92.4</v>
      </c>
      <c r="BR170" s="32">
        <v>63.5</v>
      </c>
      <c r="BS170" s="32">
        <v>171</v>
      </c>
      <c r="BT170" s="32">
        <v>76.900000000000006</v>
      </c>
      <c r="BU170" s="32">
        <v>79.3</v>
      </c>
      <c r="BV170" s="32">
        <v>79.3</v>
      </c>
      <c r="BW170" s="32">
        <v>108.2</v>
      </c>
      <c r="BX170" s="32">
        <v>36.799999999999997</v>
      </c>
      <c r="BY170" s="32">
        <v>96.6</v>
      </c>
      <c r="BZ170" s="32">
        <v>95.8</v>
      </c>
      <c r="CA170" s="32">
        <v>96.6</v>
      </c>
      <c r="CB170" s="32">
        <v>108.7</v>
      </c>
      <c r="CC170" s="32">
        <v>87.7</v>
      </c>
      <c r="CD170" s="32">
        <v>30.2</v>
      </c>
      <c r="CE170" s="32">
        <v>85.9</v>
      </c>
      <c r="CF170" s="32">
        <v>83.6</v>
      </c>
      <c r="CG170" s="32">
        <v>91.5</v>
      </c>
      <c r="CH170" s="32">
        <v>92</v>
      </c>
      <c r="CI170" s="32">
        <v>101.6</v>
      </c>
      <c r="CJ170" s="32">
        <v>91.8</v>
      </c>
      <c r="CK170" s="32">
        <v>90.1</v>
      </c>
      <c r="CL170" s="32">
        <v>93.9</v>
      </c>
      <c r="CM170" s="32">
        <v>98.7</v>
      </c>
      <c r="CN170" s="32">
        <v>105.2</v>
      </c>
      <c r="CO170" s="32">
        <v>98.3</v>
      </c>
      <c r="CP170" s="32">
        <v>90.9</v>
      </c>
      <c r="CQ170" s="32">
        <v>38</v>
      </c>
      <c r="CR170" s="32">
        <v>98.1</v>
      </c>
      <c r="CS170" s="32">
        <v>114.2</v>
      </c>
      <c r="CT170" s="32">
        <v>87.5</v>
      </c>
      <c r="CU170" s="32">
        <v>66.400000000000006</v>
      </c>
      <c r="CV170" s="32">
        <v>96.9</v>
      </c>
      <c r="CW170" s="32">
        <v>47.3</v>
      </c>
      <c r="CX170" s="32">
        <v>99</v>
      </c>
      <c r="CY170" s="32">
        <v>111.4</v>
      </c>
      <c r="CZ170" s="32">
        <v>92.5</v>
      </c>
      <c r="DA170" s="32">
        <v>77.8</v>
      </c>
      <c r="DB170" s="32">
        <v>121</v>
      </c>
      <c r="DC170" s="32">
        <v>14.2</v>
      </c>
      <c r="DD170" s="32">
        <v>14.2</v>
      </c>
      <c r="DE170" s="32">
        <v>72.2</v>
      </c>
      <c r="DF170" s="32">
        <v>70.3</v>
      </c>
      <c r="DG170" s="32">
        <v>83.9</v>
      </c>
      <c r="DH170" s="32">
        <v>105.7</v>
      </c>
      <c r="DI170" s="32">
        <v>136.5</v>
      </c>
      <c r="DJ170" s="32">
        <v>96.1</v>
      </c>
      <c r="DK170" s="32">
        <v>96.1</v>
      </c>
      <c r="DL170" s="32">
        <v>66.400000000000006</v>
      </c>
      <c r="DM170" s="32">
        <v>79.599999999999994</v>
      </c>
      <c r="DN170" s="32">
        <v>70</v>
      </c>
      <c r="DO170" s="32">
        <v>83.9</v>
      </c>
      <c r="DP170" s="32">
        <v>70</v>
      </c>
      <c r="DQ170" s="32">
        <v>78.3</v>
      </c>
      <c r="DR170" s="32">
        <v>86.2</v>
      </c>
      <c r="DS170" s="32">
        <v>82.9</v>
      </c>
      <c r="DT170" s="32">
        <v>80.3</v>
      </c>
      <c r="DU170" s="32">
        <v>81.3</v>
      </c>
      <c r="DV170" s="32">
        <v>85.7</v>
      </c>
      <c r="DW170" s="32">
        <v>76.099999999999994</v>
      </c>
      <c r="DX170" s="32">
        <v>78.3</v>
      </c>
      <c r="DY170" s="32">
        <v>91.6</v>
      </c>
      <c r="DZ170" s="32">
        <v>172.7</v>
      </c>
      <c r="EA170" s="32">
        <v>172.7</v>
      </c>
      <c r="EB170" s="32">
        <v>68</v>
      </c>
      <c r="EC170" s="32">
        <v>66.099999999999994</v>
      </c>
      <c r="ED170" s="32">
        <v>70.900000000000006</v>
      </c>
      <c r="EE170" s="32">
        <v>70.3</v>
      </c>
      <c r="EF170" s="32">
        <v>72.400000000000006</v>
      </c>
      <c r="EG170" s="32">
        <v>67</v>
      </c>
      <c r="EH170" s="32">
        <v>69.8</v>
      </c>
      <c r="EI170" s="32">
        <v>64.5</v>
      </c>
      <c r="EJ170" s="32">
        <v>62.3</v>
      </c>
      <c r="EK170" s="32">
        <v>68.5</v>
      </c>
      <c r="EL170" s="32">
        <v>67.599999999999994</v>
      </c>
      <c r="EM170" s="32">
        <v>64.599999999999994</v>
      </c>
      <c r="EN170" s="32">
        <v>70.8</v>
      </c>
      <c r="EO170" s="32">
        <v>89.8</v>
      </c>
      <c r="EP170" s="32">
        <v>94.5</v>
      </c>
      <c r="EQ170" s="32">
        <v>94.5</v>
      </c>
      <c r="ER170" s="32">
        <v>85.9</v>
      </c>
      <c r="ES170" s="32">
        <v>85.9</v>
      </c>
      <c r="ET170" s="32">
        <v>89.8</v>
      </c>
      <c r="EU170" s="32">
        <v>86.8</v>
      </c>
      <c r="EV170" s="32">
        <v>86.8</v>
      </c>
      <c r="EW170" s="32">
        <v>97.6</v>
      </c>
      <c r="EX170" s="32">
        <v>105.6</v>
      </c>
      <c r="EY170" s="32">
        <v>91.6</v>
      </c>
      <c r="EZ170" s="32">
        <v>87.2</v>
      </c>
      <c r="FA170" s="32">
        <v>92.2</v>
      </c>
      <c r="FB170" s="32">
        <v>94.4</v>
      </c>
      <c r="FC170" s="32">
        <v>82.6</v>
      </c>
      <c r="FD170" s="32">
        <v>114.1</v>
      </c>
      <c r="FE170" s="32">
        <v>102.5</v>
      </c>
      <c r="FF170" s="32">
        <v>89.6</v>
      </c>
      <c r="FG170" s="32">
        <v>85.4</v>
      </c>
      <c r="FH170" s="32">
        <v>95.3</v>
      </c>
      <c r="FI170" s="32">
        <v>79.099999999999994</v>
      </c>
      <c r="FJ170" s="32">
        <v>81.900000000000006</v>
      </c>
      <c r="FK170" s="32">
        <v>65.900000000000006</v>
      </c>
      <c r="FL170" s="32">
        <v>65.900000000000006</v>
      </c>
    </row>
    <row r="171" spans="1:168" x14ac:dyDescent="0.2">
      <c r="A171" s="34" t="s">
        <v>1151</v>
      </c>
      <c r="B171" s="32">
        <v>84.8</v>
      </c>
      <c r="C171" s="32">
        <v>77.7</v>
      </c>
      <c r="D171" s="32">
        <v>89.5</v>
      </c>
      <c r="E171" s="32">
        <v>90.8</v>
      </c>
      <c r="F171" s="32">
        <v>127.7</v>
      </c>
      <c r="G171" s="32">
        <v>2880.7</v>
      </c>
      <c r="H171" s="32">
        <v>135.30000000000001</v>
      </c>
      <c r="I171" s="32">
        <v>63.5</v>
      </c>
      <c r="J171" s="32">
        <v>87</v>
      </c>
      <c r="K171" s="32">
        <v>86.8</v>
      </c>
      <c r="L171" s="32">
        <v>80.3</v>
      </c>
      <c r="M171" s="32">
        <v>65.400000000000006</v>
      </c>
      <c r="N171" s="32">
        <v>88.3</v>
      </c>
      <c r="O171" s="32">
        <v>79.3</v>
      </c>
      <c r="P171" s="32">
        <v>59.5</v>
      </c>
      <c r="Q171" s="32">
        <v>126.3</v>
      </c>
      <c r="R171" s="32">
        <v>89.8</v>
      </c>
      <c r="S171" s="32">
        <v>101.8</v>
      </c>
      <c r="T171" s="32">
        <v>80.099999999999994</v>
      </c>
      <c r="U171" s="32">
        <v>75</v>
      </c>
      <c r="V171" s="32">
        <v>128.80000000000001</v>
      </c>
      <c r="W171" s="32">
        <v>70.5</v>
      </c>
      <c r="X171" s="32">
        <v>56.5</v>
      </c>
      <c r="Y171" s="32">
        <v>89.3</v>
      </c>
      <c r="Z171" s="32">
        <v>100.1</v>
      </c>
      <c r="AA171" s="32">
        <v>85.4</v>
      </c>
      <c r="AB171" s="32">
        <v>68.900000000000006</v>
      </c>
      <c r="AC171" s="32">
        <v>86.4</v>
      </c>
      <c r="AD171" s="32">
        <v>97.8</v>
      </c>
      <c r="AE171" s="32">
        <v>96.3</v>
      </c>
      <c r="AF171" s="32">
        <v>96.3</v>
      </c>
      <c r="AG171" s="32">
        <v>53.3</v>
      </c>
      <c r="AH171" s="32">
        <v>53.3</v>
      </c>
      <c r="AI171" s="32">
        <v>224.1</v>
      </c>
      <c r="AJ171" s="32">
        <v>11.3</v>
      </c>
      <c r="AK171" s="32">
        <v>40.200000000000003</v>
      </c>
      <c r="AL171" s="32">
        <v>98.9</v>
      </c>
      <c r="AM171" s="32">
        <v>55.4</v>
      </c>
      <c r="AN171" s="32">
        <v>102</v>
      </c>
      <c r="AO171" s="32">
        <v>124.4</v>
      </c>
      <c r="AP171" s="32">
        <v>124.4</v>
      </c>
      <c r="AQ171" s="32">
        <v>82.5</v>
      </c>
      <c r="AR171" s="32">
        <v>81.7</v>
      </c>
      <c r="AS171" s="32">
        <v>85.3</v>
      </c>
      <c r="AT171" s="32">
        <v>87.5</v>
      </c>
      <c r="AU171" s="32">
        <v>83.1</v>
      </c>
      <c r="AV171" s="32">
        <v>82.2</v>
      </c>
      <c r="AW171" s="32">
        <v>91.7</v>
      </c>
      <c r="AX171" s="32">
        <v>79.5</v>
      </c>
      <c r="AY171" s="32">
        <v>143.4</v>
      </c>
      <c r="AZ171" s="32">
        <v>81.900000000000006</v>
      </c>
      <c r="BA171" s="32">
        <v>83.8</v>
      </c>
      <c r="BB171" s="32">
        <v>83.8</v>
      </c>
      <c r="BC171" s="32">
        <v>84.6</v>
      </c>
      <c r="BD171" s="32">
        <v>84.6</v>
      </c>
      <c r="BE171" s="32">
        <v>111.9</v>
      </c>
      <c r="BF171" s="32">
        <v>111.9</v>
      </c>
      <c r="BG171" s="32">
        <v>92.4</v>
      </c>
      <c r="BH171" s="32">
        <v>87</v>
      </c>
      <c r="BI171" s="32">
        <v>96.1</v>
      </c>
      <c r="BJ171" s="32">
        <v>61.7</v>
      </c>
      <c r="BK171" s="32">
        <v>114.3</v>
      </c>
      <c r="BL171" s="32">
        <v>59.6</v>
      </c>
      <c r="BM171" s="32">
        <v>99.5</v>
      </c>
      <c r="BN171" s="32">
        <v>102.2</v>
      </c>
      <c r="BO171" s="32">
        <v>92</v>
      </c>
      <c r="BP171" s="32">
        <v>112.2</v>
      </c>
      <c r="BQ171" s="32">
        <v>96.2</v>
      </c>
      <c r="BR171" s="32">
        <v>77.2</v>
      </c>
      <c r="BS171" s="32">
        <v>157.19999999999999</v>
      </c>
      <c r="BT171" s="32">
        <v>82.7</v>
      </c>
      <c r="BU171" s="32">
        <v>81.5</v>
      </c>
      <c r="BV171" s="32">
        <v>81.5</v>
      </c>
      <c r="BW171" s="32">
        <v>112.1</v>
      </c>
      <c r="BX171" s="32">
        <v>37.200000000000003</v>
      </c>
      <c r="BY171" s="32">
        <v>92.2</v>
      </c>
      <c r="BZ171" s="32">
        <v>96</v>
      </c>
      <c r="CA171" s="32">
        <v>89.6</v>
      </c>
      <c r="CB171" s="32">
        <v>95.1</v>
      </c>
      <c r="CC171" s="32">
        <v>87.5</v>
      </c>
      <c r="CD171" s="32">
        <v>30.4</v>
      </c>
      <c r="CE171" s="32">
        <v>85.6</v>
      </c>
      <c r="CF171" s="32">
        <v>83.8</v>
      </c>
      <c r="CG171" s="32">
        <v>92.2</v>
      </c>
      <c r="CH171" s="32">
        <v>93.3</v>
      </c>
      <c r="CI171" s="32">
        <v>102.1</v>
      </c>
      <c r="CJ171" s="32">
        <v>94</v>
      </c>
      <c r="CK171" s="32">
        <v>91.1</v>
      </c>
      <c r="CL171" s="32">
        <v>93.7</v>
      </c>
      <c r="CM171" s="32">
        <v>99.1</v>
      </c>
      <c r="CN171" s="32">
        <v>105.1</v>
      </c>
      <c r="CO171" s="32">
        <v>98.8</v>
      </c>
      <c r="CP171" s="32">
        <v>93.7</v>
      </c>
      <c r="CQ171" s="32">
        <v>39.4</v>
      </c>
      <c r="CR171" s="32">
        <v>98.2</v>
      </c>
      <c r="CS171" s="32">
        <v>109.1</v>
      </c>
      <c r="CT171" s="32">
        <v>86.7</v>
      </c>
      <c r="CU171" s="32">
        <v>64.099999999999994</v>
      </c>
      <c r="CV171" s="32">
        <v>96.8</v>
      </c>
      <c r="CW171" s="32">
        <v>47.5</v>
      </c>
      <c r="CX171" s="32">
        <v>98.2</v>
      </c>
      <c r="CY171" s="32">
        <v>113.1</v>
      </c>
      <c r="CZ171" s="32">
        <v>90.4</v>
      </c>
      <c r="DA171" s="32">
        <v>74.7</v>
      </c>
      <c r="DB171" s="32">
        <v>121.2</v>
      </c>
      <c r="DC171" s="32">
        <v>14.7</v>
      </c>
      <c r="DD171" s="32">
        <v>14.7</v>
      </c>
      <c r="DE171" s="32">
        <v>70.900000000000006</v>
      </c>
      <c r="DF171" s="32">
        <v>68.7</v>
      </c>
      <c r="DG171" s="32">
        <v>84.4</v>
      </c>
      <c r="DH171" s="32">
        <v>107.9</v>
      </c>
      <c r="DI171" s="32">
        <v>137.9</v>
      </c>
      <c r="DJ171" s="32">
        <v>96.5</v>
      </c>
      <c r="DK171" s="32">
        <v>96.5</v>
      </c>
      <c r="DL171" s="32">
        <v>72.3</v>
      </c>
      <c r="DM171" s="32">
        <v>80.7</v>
      </c>
      <c r="DN171" s="32">
        <v>72</v>
      </c>
      <c r="DO171" s="32">
        <v>84.7</v>
      </c>
      <c r="DP171" s="32">
        <v>72.7</v>
      </c>
      <c r="DQ171" s="32">
        <v>75.7</v>
      </c>
      <c r="DR171" s="32">
        <v>83.6</v>
      </c>
      <c r="DS171" s="32">
        <v>82.6</v>
      </c>
      <c r="DT171" s="32">
        <v>79.3</v>
      </c>
      <c r="DU171" s="32">
        <v>79.5</v>
      </c>
      <c r="DV171" s="32">
        <v>85.9</v>
      </c>
      <c r="DW171" s="32">
        <v>72</v>
      </c>
      <c r="DX171" s="32">
        <v>79.2</v>
      </c>
      <c r="DY171" s="32">
        <v>93.5</v>
      </c>
      <c r="DZ171" s="32">
        <v>141.80000000000001</v>
      </c>
      <c r="EA171" s="32">
        <v>141.80000000000001</v>
      </c>
      <c r="EB171" s="32">
        <v>67.7</v>
      </c>
      <c r="EC171" s="32">
        <v>66</v>
      </c>
      <c r="ED171" s="32">
        <v>70.5</v>
      </c>
      <c r="EE171" s="32">
        <v>68.7</v>
      </c>
      <c r="EF171" s="32">
        <v>74.7</v>
      </c>
      <c r="EG171" s="32">
        <v>64.599999999999994</v>
      </c>
      <c r="EH171" s="32">
        <v>70</v>
      </c>
      <c r="EI171" s="32">
        <v>57.8</v>
      </c>
      <c r="EJ171" s="32">
        <v>65.5</v>
      </c>
      <c r="EK171" s="32">
        <v>66.8</v>
      </c>
      <c r="EL171" s="32">
        <v>68.7</v>
      </c>
      <c r="EM171" s="32">
        <v>65.2</v>
      </c>
      <c r="EN171" s="32">
        <v>67.099999999999994</v>
      </c>
      <c r="EO171" s="32">
        <v>89.9</v>
      </c>
      <c r="EP171" s="32">
        <v>95.6</v>
      </c>
      <c r="EQ171" s="32">
        <v>95.6</v>
      </c>
      <c r="ER171" s="32">
        <v>86</v>
      </c>
      <c r="ES171" s="32">
        <v>86</v>
      </c>
      <c r="ET171" s="32">
        <v>89.2</v>
      </c>
      <c r="EU171" s="32">
        <v>85.8</v>
      </c>
      <c r="EV171" s="32">
        <v>85.8</v>
      </c>
      <c r="EW171" s="32">
        <v>98.1</v>
      </c>
      <c r="EX171" s="32">
        <v>106.4</v>
      </c>
      <c r="EY171" s="32">
        <v>91.9</v>
      </c>
      <c r="EZ171" s="32">
        <v>86.2</v>
      </c>
      <c r="FA171" s="32">
        <v>89.6</v>
      </c>
      <c r="FB171" s="32">
        <v>93.3</v>
      </c>
      <c r="FC171" s="32">
        <v>78.2</v>
      </c>
      <c r="FD171" s="32">
        <v>113.8</v>
      </c>
      <c r="FE171" s="32">
        <v>107</v>
      </c>
      <c r="FF171" s="32">
        <v>85.3</v>
      </c>
      <c r="FG171" s="32">
        <v>85.6</v>
      </c>
      <c r="FH171" s="32">
        <v>92.3</v>
      </c>
      <c r="FI171" s="32">
        <v>82.6</v>
      </c>
      <c r="FJ171" s="32">
        <v>83.1</v>
      </c>
      <c r="FK171" s="32">
        <v>64.8</v>
      </c>
      <c r="FL171" s="32">
        <v>64.8</v>
      </c>
    </row>
    <row r="172" spans="1:168" x14ac:dyDescent="0.2">
      <c r="A172" s="34" t="s">
        <v>1152</v>
      </c>
      <c r="B172" s="32">
        <v>84.6</v>
      </c>
      <c r="C172" s="32">
        <v>79.599999999999994</v>
      </c>
      <c r="D172" s="32">
        <v>88.1</v>
      </c>
      <c r="E172" s="32">
        <v>89</v>
      </c>
      <c r="F172" s="32">
        <v>123</v>
      </c>
      <c r="G172" s="32">
        <v>2434.1</v>
      </c>
      <c r="H172" s="32">
        <v>130.30000000000001</v>
      </c>
      <c r="I172" s="32">
        <v>62.9</v>
      </c>
      <c r="J172" s="32">
        <v>85.2</v>
      </c>
      <c r="K172" s="32">
        <v>85.4</v>
      </c>
      <c r="L172" s="32">
        <v>79</v>
      </c>
      <c r="M172" s="32">
        <v>62.9</v>
      </c>
      <c r="N172" s="32">
        <v>78.400000000000006</v>
      </c>
      <c r="O172" s="32">
        <v>74.400000000000006</v>
      </c>
      <c r="P172" s="32">
        <v>61.8</v>
      </c>
      <c r="Q172" s="32">
        <v>125.9</v>
      </c>
      <c r="R172" s="32">
        <v>91.6</v>
      </c>
      <c r="S172" s="32">
        <v>101.2</v>
      </c>
      <c r="T172" s="32">
        <v>81.7</v>
      </c>
      <c r="U172" s="32">
        <v>73.7</v>
      </c>
      <c r="V172" s="32">
        <v>126.5</v>
      </c>
      <c r="W172" s="32">
        <v>68.5</v>
      </c>
      <c r="X172" s="32">
        <v>55.1</v>
      </c>
      <c r="Y172" s="32">
        <v>85.6</v>
      </c>
      <c r="Z172" s="32">
        <v>100.8</v>
      </c>
      <c r="AA172" s="32">
        <v>82.4</v>
      </c>
      <c r="AB172" s="32">
        <v>69.3</v>
      </c>
      <c r="AC172" s="32">
        <v>84.6</v>
      </c>
      <c r="AD172" s="32">
        <v>91.7</v>
      </c>
      <c r="AE172" s="32">
        <v>89.8</v>
      </c>
      <c r="AF172" s="32">
        <v>89.8</v>
      </c>
      <c r="AG172" s="32">
        <v>52.7</v>
      </c>
      <c r="AH172" s="32">
        <v>52.7</v>
      </c>
      <c r="AI172" s="32">
        <v>216.4</v>
      </c>
      <c r="AJ172" s="32">
        <v>11</v>
      </c>
      <c r="AK172" s="32">
        <v>42.3</v>
      </c>
      <c r="AL172" s="32">
        <v>93.2</v>
      </c>
      <c r="AM172" s="32">
        <v>55.4</v>
      </c>
      <c r="AN172" s="32">
        <v>106.5</v>
      </c>
      <c r="AO172" s="32">
        <v>106.8</v>
      </c>
      <c r="AP172" s="32">
        <v>106.8</v>
      </c>
      <c r="AQ172" s="32">
        <v>81.3</v>
      </c>
      <c r="AR172" s="32">
        <v>81.400000000000006</v>
      </c>
      <c r="AS172" s="32">
        <v>82.8</v>
      </c>
      <c r="AT172" s="32">
        <v>87.7</v>
      </c>
      <c r="AU172" s="32">
        <v>78.099999999999994</v>
      </c>
      <c r="AV172" s="32">
        <v>84.9</v>
      </c>
      <c r="AW172" s="32">
        <v>90.8</v>
      </c>
      <c r="AX172" s="32">
        <v>79</v>
      </c>
      <c r="AY172" s="32">
        <v>141.1</v>
      </c>
      <c r="AZ172" s="32">
        <v>85.7</v>
      </c>
      <c r="BA172" s="32">
        <v>81.5</v>
      </c>
      <c r="BB172" s="32">
        <v>81.5</v>
      </c>
      <c r="BC172" s="32">
        <v>88.5</v>
      </c>
      <c r="BD172" s="32">
        <v>88.5</v>
      </c>
      <c r="BE172" s="32">
        <v>107</v>
      </c>
      <c r="BF172" s="32">
        <v>107</v>
      </c>
      <c r="BG172" s="32">
        <v>95.2</v>
      </c>
      <c r="BH172" s="32">
        <v>88.2</v>
      </c>
      <c r="BI172" s="32">
        <v>100.8</v>
      </c>
      <c r="BJ172" s="32">
        <v>59.7</v>
      </c>
      <c r="BK172" s="32">
        <v>118.7</v>
      </c>
      <c r="BL172" s="32">
        <v>76.2</v>
      </c>
      <c r="BM172" s="32">
        <v>98.1</v>
      </c>
      <c r="BN172" s="32">
        <v>101</v>
      </c>
      <c r="BO172" s="32">
        <v>92.5</v>
      </c>
      <c r="BP172" s="32">
        <v>109.3</v>
      </c>
      <c r="BQ172" s="32">
        <v>94.5</v>
      </c>
      <c r="BR172" s="32">
        <v>54</v>
      </c>
      <c r="BS172" s="32">
        <v>149.80000000000001</v>
      </c>
      <c r="BT172" s="32">
        <v>85.8</v>
      </c>
      <c r="BU172" s="32">
        <v>82.2</v>
      </c>
      <c r="BV172" s="32">
        <v>82.2</v>
      </c>
      <c r="BW172" s="32">
        <v>112.5</v>
      </c>
      <c r="BX172" s="32">
        <v>38</v>
      </c>
      <c r="BY172" s="32">
        <v>91</v>
      </c>
      <c r="BZ172" s="32">
        <v>91.8</v>
      </c>
      <c r="CA172" s="32">
        <v>90.2</v>
      </c>
      <c r="CB172" s="32">
        <v>96.1</v>
      </c>
      <c r="CC172" s="32">
        <v>87.5</v>
      </c>
      <c r="CD172" s="32">
        <v>30.4</v>
      </c>
      <c r="CE172" s="32">
        <v>85.4</v>
      </c>
      <c r="CF172" s="32">
        <v>83.8</v>
      </c>
      <c r="CG172" s="32">
        <v>91.8</v>
      </c>
      <c r="CH172" s="32">
        <v>93.9</v>
      </c>
      <c r="CI172" s="32">
        <v>106.5</v>
      </c>
      <c r="CJ172" s="32">
        <v>94.4</v>
      </c>
      <c r="CK172" s="32">
        <v>90.9</v>
      </c>
      <c r="CL172" s="32">
        <v>91.9</v>
      </c>
      <c r="CM172" s="32">
        <v>98.1</v>
      </c>
      <c r="CN172" s="32">
        <v>104.9</v>
      </c>
      <c r="CO172" s="32">
        <v>97.7</v>
      </c>
      <c r="CP172" s="32">
        <v>96.9</v>
      </c>
      <c r="CQ172" s="32">
        <v>38.5</v>
      </c>
      <c r="CR172" s="32">
        <v>95.4</v>
      </c>
      <c r="CS172" s="32">
        <v>104.5</v>
      </c>
      <c r="CT172" s="32">
        <v>84.6</v>
      </c>
      <c r="CU172" s="32">
        <v>62.7</v>
      </c>
      <c r="CV172" s="32">
        <v>94.4</v>
      </c>
      <c r="CW172" s="32">
        <v>47.9</v>
      </c>
      <c r="CX172" s="32">
        <v>98.8</v>
      </c>
      <c r="CY172" s="32">
        <v>111.7</v>
      </c>
      <c r="CZ172" s="32">
        <v>92</v>
      </c>
      <c r="DA172" s="32">
        <v>76.8</v>
      </c>
      <c r="DB172" s="32">
        <v>121.7</v>
      </c>
      <c r="DC172" s="32">
        <v>15.2</v>
      </c>
      <c r="DD172" s="32">
        <v>15.2</v>
      </c>
      <c r="DE172" s="32">
        <v>70.3</v>
      </c>
      <c r="DF172" s="32">
        <v>68.599999999999994</v>
      </c>
      <c r="DG172" s="32">
        <v>80.599999999999994</v>
      </c>
      <c r="DH172" s="32">
        <v>107</v>
      </c>
      <c r="DI172" s="32">
        <v>139.30000000000001</v>
      </c>
      <c r="DJ172" s="32">
        <v>94.4</v>
      </c>
      <c r="DK172" s="32">
        <v>94.4</v>
      </c>
      <c r="DL172" s="32">
        <v>68.2</v>
      </c>
      <c r="DM172" s="32">
        <v>80.5</v>
      </c>
      <c r="DN172" s="32">
        <v>72.599999999999994</v>
      </c>
      <c r="DO172" s="32">
        <v>84.4</v>
      </c>
      <c r="DP172" s="32">
        <v>63.9</v>
      </c>
      <c r="DQ172" s="32">
        <v>76.5</v>
      </c>
      <c r="DR172" s="32">
        <v>83.8</v>
      </c>
      <c r="DS172" s="32">
        <v>82</v>
      </c>
      <c r="DT172" s="32">
        <v>80.099999999999994</v>
      </c>
      <c r="DU172" s="32">
        <v>81.2</v>
      </c>
      <c r="DV172" s="32">
        <v>88.4</v>
      </c>
      <c r="DW172" s="32">
        <v>72.8</v>
      </c>
      <c r="DX172" s="32">
        <v>77.900000000000006</v>
      </c>
      <c r="DY172" s="32">
        <v>88.7</v>
      </c>
      <c r="DZ172" s="32">
        <v>149.6</v>
      </c>
      <c r="EA172" s="32">
        <v>149.6</v>
      </c>
      <c r="EB172" s="32">
        <v>67.900000000000006</v>
      </c>
      <c r="EC172" s="32">
        <v>65.8</v>
      </c>
      <c r="ED172" s="32">
        <v>70.900000000000006</v>
      </c>
      <c r="EE172" s="32">
        <v>69.900000000000006</v>
      </c>
      <c r="EF172" s="32">
        <v>73.3</v>
      </c>
      <c r="EG172" s="32">
        <v>66.2</v>
      </c>
      <c r="EH172" s="32">
        <v>70.7</v>
      </c>
      <c r="EI172" s="32">
        <v>60</v>
      </c>
      <c r="EJ172" s="32">
        <v>66.400000000000006</v>
      </c>
      <c r="EK172" s="32">
        <v>68.5</v>
      </c>
      <c r="EL172" s="32">
        <v>70.3</v>
      </c>
      <c r="EM172" s="32">
        <v>65.099999999999994</v>
      </c>
      <c r="EN172" s="32">
        <v>70</v>
      </c>
      <c r="EO172" s="32">
        <v>89.9</v>
      </c>
      <c r="EP172" s="32">
        <v>95.6</v>
      </c>
      <c r="EQ172" s="32">
        <v>95.6</v>
      </c>
      <c r="ER172" s="32">
        <v>86.6</v>
      </c>
      <c r="ES172" s="32">
        <v>86.6</v>
      </c>
      <c r="ET172" s="32">
        <v>88.7</v>
      </c>
      <c r="EU172" s="32">
        <v>85</v>
      </c>
      <c r="EV172" s="32">
        <v>85</v>
      </c>
      <c r="EW172" s="32">
        <v>98.5</v>
      </c>
      <c r="EX172" s="32">
        <v>107.2</v>
      </c>
      <c r="EY172" s="32">
        <v>91.9</v>
      </c>
      <c r="EZ172" s="32">
        <v>87.4</v>
      </c>
      <c r="FA172" s="32">
        <v>95</v>
      </c>
      <c r="FB172" s="32">
        <v>101.5</v>
      </c>
      <c r="FC172" s="32">
        <v>88.7</v>
      </c>
      <c r="FD172" s="32">
        <v>117.6</v>
      </c>
      <c r="FE172" s="32">
        <v>113.3</v>
      </c>
      <c r="FF172" s="32">
        <v>87.1</v>
      </c>
      <c r="FG172" s="32">
        <v>84.3</v>
      </c>
      <c r="FH172" s="32">
        <v>91.4</v>
      </c>
      <c r="FI172" s="32">
        <v>81.400000000000006</v>
      </c>
      <c r="FJ172" s="32">
        <v>81.7</v>
      </c>
      <c r="FK172" s="32">
        <v>60.6</v>
      </c>
      <c r="FL172" s="32">
        <v>60.6</v>
      </c>
    </row>
    <row r="173" spans="1:168" x14ac:dyDescent="0.2">
      <c r="A173" s="34" t="s">
        <v>1153</v>
      </c>
      <c r="B173" s="32">
        <v>83.9</v>
      </c>
      <c r="C173" s="32">
        <v>85.1</v>
      </c>
      <c r="D173" s="32">
        <v>86.8</v>
      </c>
      <c r="E173" s="32">
        <v>88.2</v>
      </c>
      <c r="F173" s="32">
        <v>117.1</v>
      </c>
      <c r="G173" s="32">
        <v>2517.6</v>
      </c>
      <c r="H173" s="32">
        <v>123.2</v>
      </c>
      <c r="I173" s="32">
        <v>61.7</v>
      </c>
      <c r="J173" s="32">
        <v>83.5</v>
      </c>
      <c r="K173" s="32">
        <v>85</v>
      </c>
      <c r="L173" s="32">
        <v>78.7</v>
      </c>
      <c r="M173" s="32">
        <v>60.8</v>
      </c>
      <c r="N173" s="32">
        <v>87.4</v>
      </c>
      <c r="O173" s="32">
        <v>69.8</v>
      </c>
      <c r="P173" s="32">
        <v>65.5</v>
      </c>
      <c r="Q173" s="32">
        <v>110.9</v>
      </c>
      <c r="R173" s="32">
        <v>91.9</v>
      </c>
      <c r="S173" s="32">
        <v>97.6</v>
      </c>
      <c r="T173" s="32">
        <v>83.1</v>
      </c>
      <c r="U173" s="32">
        <v>67.900000000000006</v>
      </c>
      <c r="V173" s="32">
        <v>127.8</v>
      </c>
      <c r="W173" s="32">
        <v>65.099999999999994</v>
      </c>
      <c r="X173" s="32">
        <v>49.7</v>
      </c>
      <c r="Y173" s="32">
        <v>86</v>
      </c>
      <c r="Z173" s="32">
        <v>105.1</v>
      </c>
      <c r="AA173" s="32">
        <v>80.7</v>
      </c>
      <c r="AB173" s="32">
        <v>60</v>
      </c>
      <c r="AC173" s="32">
        <v>82.6</v>
      </c>
      <c r="AD173" s="32">
        <v>94.9</v>
      </c>
      <c r="AE173" s="32">
        <v>83.2</v>
      </c>
      <c r="AF173" s="32">
        <v>83.2</v>
      </c>
      <c r="AG173" s="32">
        <v>47.3</v>
      </c>
      <c r="AH173" s="32">
        <v>47.3</v>
      </c>
      <c r="AI173" s="32">
        <v>181.2</v>
      </c>
      <c r="AJ173" s="32">
        <v>9</v>
      </c>
      <c r="AK173" s="32">
        <v>47.3</v>
      </c>
      <c r="AL173" s="32">
        <v>78.7</v>
      </c>
      <c r="AM173" s="32">
        <v>52.7</v>
      </c>
      <c r="AN173" s="32">
        <v>96.7</v>
      </c>
      <c r="AO173" s="32">
        <v>98.1</v>
      </c>
      <c r="AP173" s="32">
        <v>98.1</v>
      </c>
      <c r="AQ173" s="32">
        <v>73.5</v>
      </c>
      <c r="AR173" s="32">
        <v>76.599999999999994</v>
      </c>
      <c r="AS173" s="32">
        <v>70</v>
      </c>
      <c r="AT173" s="32">
        <v>82.2</v>
      </c>
      <c r="AU173" s="32">
        <v>58.9</v>
      </c>
      <c r="AV173" s="32">
        <v>83.9</v>
      </c>
      <c r="AW173" s="32">
        <v>91.4</v>
      </c>
      <c r="AX173" s="32">
        <v>79.8</v>
      </c>
      <c r="AY173" s="32">
        <v>140.69999999999999</v>
      </c>
      <c r="AZ173" s="32">
        <v>84.4</v>
      </c>
      <c r="BA173" s="32">
        <v>82.3</v>
      </c>
      <c r="BB173" s="32">
        <v>82.3</v>
      </c>
      <c r="BC173" s="32">
        <v>90.5</v>
      </c>
      <c r="BD173" s="32">
        <v>90.5</v>
      </c>
      <c r="BE173" s="32">
        <v>102.3</v>
      </c>
      <c r="BF173" s="32">
        <v>102.3</v>
      </c>
      <c r="BG173" s="32">
        <v>99.1</v>
      </c>
      <c r="BH173" s="32">
        <v>90.1</v>
      </c>
      <c r="BI173" s="32">
        <v>107.2</v>
      </c>
      <c r="BJ173" s="32">
        <v>58.1</v>
      </c>
      <c r="BK173" s="32">
        <v>128.30000000000001</v>
      </c>
      <c r="BL173" s="32">
        <v>78.900000000000006</v>
      </c>
      <c r="BM173" s="32">
        <v>100.4</v>
      </c>
      <c r="BN173" s="32">
        <v>107</v>
      </c>
      <c r="BO173" s="32">
        <v>108.9</v>
      </c>
      <c r="BP173" s="32">
        <v>105.2</v>
      </c>
      <c r="BQ173" s="32">
        <v>92.1</v>
      </c>
      <c r="BR173" s="32">
        <v>71.8</v>
      </c>
      <c r="BS173" s="32">
        <v>151.69999999999999</v>
      </c>
      <c r="BT173" s="32">
        <v>79.400000000000006</v>
      </c>
      <c r="BU173" s="32">
        <v>89.8</v>
      </c>
      <c r="BV173" s="32">
        <v>89.8</v>
      </c>
      <c r="BW173" s="32">
        <v>120</v>
      </c>
      <c r="BX173" s="32">
        <v>43.8</v>
      </c>
      <c r="BY173" s="32">
        <v>91.9</v>
      </c>
      <c r="BZ173" s="32">
        <v>98.5</v>
      </c>
      <c r="CA173" s="32">
        <v>88</v>
      </c>
      <c r="CB173" s="32">
        <v>99.6</v>
      </c>
      <c r="CC173" s="32">
        <v>80.3</v>
      </c>
      <c r="CD173" s="32">
        <v>25.8</v>
      </c>
      <c r="CE173" s="32">
        <v>82.9</v>
      </c>
      <c r="CF173" s="32">
        <v>83.2</v>
      </c>
      <c r="CG173" s="32">
        <v>89.6</v>
      </c>
      <c r="CH173" s="32">
        <v>91.1</v>
      </c>
      <c r="CI173" s="32">
        <v>99.7</v>
      </c>
      <c r="CJ173" s="32">
        <v>92</v>
      </c>
      <c r="CK173" s="32">
        <v>88.7</v>
      </c>
      <c r="CL173" s="32">
        <v>92</v>
      </c>
      <c r="CM173" s="32">
        <v>97.7</v>
      </c>
      <c r="CN173" s="32">
        <v>105.5</v>
      </c>
      <c r="CO173" s="32">
        <v>97</v>
      </c>
      <c r="CP173" s="32">
        <v>100.8</v>
      </c>
      <c r="CQ173" s="32">
        <v>34.9</v>
      </c>
      <c r="CR173" s="32">
        <v>94.5</v>
      </c>
      <c r="CS173" s="32">
        <v>109.8</v>
      </c>
      <c r="CT173" s="32">
        <v>81.2</v>
      </c>
      <c r="CU173" s="32">
        <v>62.3</v>
      </c>
      <c r="CV173" s="32">
        <v>89.6</v>
      </c>
      <c r="CW173" s="32">
        <v>49.7</v>
      </c>
      <c r="CX173" s="32">
        <v>96.6</v>
      </c>
      <c r="CY173" s="32">
        <v>113.5</v>
      </c>
      <c r="CZ173" s="32">
        <v>87.8</v>
      </c>
      <c r="DA173" s="32">
        <v>72</v>
      </c>
      <c r="DB173" s="32">
        <v>118.9</v>
      </c>
      <c r="DC173" s="32">
        <v>16.2</v>
      </c>
      <c r="DD173" s="32">
        <v>16.2</v>
      </c>
      <c r="DE173" s="32">
        <v>74.599999999999994</v>
      </c>
      <c r="DF173" s="32">
        <v>73.900000000000006</v>
      </c>
      <c r="DG173" s="32">
        <v>78.3</v>
      </c>
      <c r="DH173" s="32">
        <v>106.3</v>
      </c>
      <c r="DI173" s="32">
        <v>141.69999999999999</v>
      </c>
      <c r="DJ173" s="32">
        <v>91.7</v>
      </c>
      <c r="DK173" s="32">
        <v>91.7</v>
      </c>
      <c r="DL173" s="32">
        <v>63.7</v>
      </c>
      <c r="DM173" s="32">
        <v>80.2</v>
      </c>
      <c r="DN173" s="32">
        <v>72.7</v>
      </c>
      <c r="DO173" s="32">
        <v>83.9</v>
      </c>
      <c r="DP173" s="32">
        <v>65.599999999999994</v>
      </c>
      <c r="DQ173" s="32">
        <v>76</v>
      </c>
      <c r="DR173" s="32">
        <v>81.8</v>
      </c>
      <c r="DS173" s="32">
        <v>80.7</v>
      </c>
      <c r="DT173" s="32">
        <v>79</v>
      </c>
      <c r="DU173" s="32">
        <v>79.2</v>
      </c>
      <c r="DV173" s="32">
        <v>85.7</v>
      </c>
      <c r="DW173" s="32">
        <v>71.5</v>
      </c>
      <c r="DX173" s="32">
        <v>78.599999999999994</v>
      </c>
      <c r="DY173" s="32">
        <v>86.7</v>
      </c>
      <c r="DZ173" s="32">
        <v>131.80000000000001</v>
      </c>
      <c r="EA173" s="32">
        <v>131.80000000000001</v>
      </c>
      <c r="EB173" s="32">
        <v>68.7</v>
      </c>
      <c r="EC173" s="32">
        <v>66.400000000000006</v>
      </c>
      <c r="ED173" s="32">
        <v>72.099999999999994</v>
      </c>
      <c r="EE173" s="32">
        <v>71.5</v>
      </c>
      <c r="EF173" s="32">
        <v>73.3</v>
      </c>
      <c r="EG173" s="32">
        <v>67.599999999999994</v>
      </c>
      <c r="EH173" s="32">
        <v>71.599999999999994</v>
      </c>
      <c r="EI173" s="32">
        <v>60.8</v>
      </c>
      <c r="EJ173" s="32">
        <v>69</v>
      </c>
      <c r="EK173" s="32">
        <v>70.5</v>
      </c>
      <c r="EL173" s="32">
        <v>71.2</v>
      </c>
      <c r="EM173" s="32">
        <v>65.900000000000006</v>
      </c>
      <c r="EN173" s="32">
        <v>73.099999999999994</v>
      </c>
      <c r="EO173" s="32">
        <v>89.6</v>
      </c>
      <c r="EP173" s="32">
        <v>95.8</v>
      </c>
      <c r="EQ173" s="32">
        <v>95.8</v>
      </c>
      <c r="ER173" s="32">
        <v>86.6</v>
      </c>
      <c r="ES173" s="32">
        <v>86.6</v>
      </c>
      <c r="ET173" s="32">
        <v>88</v>
      </c>
      <c r="EU173" s="32">
        <v>83.9</v>
      </c>
      <c r="EV173" s="32">
        <v>83.9</v>
      </c>
      <c r="EW173" s="32">
        <v>98.7</v>
      </c>
      <c r="EX173" s="32">
        <v>108</v>
      </c>
      <c r="EY173" s="32">
        <v>91.6</v>
      </c>
      <c r="EZ173" s="32">
        <v>82.6</v>
      </c>
      <c r="FA173" s="32">
        <v>94.5</v>
      </c>
      <c r="FB173" s="32">
        <v>103.9</v>
      </c>
      <c r="FC173" s="32">
        <v>88.8</v>
      </c>
      <c r="FD173" s="32">
        <v>113.9</v>
      </c>
      <c r="FE173" s="32">
        <v>122.6</v>
      </c>
      <c r="FF173" s="32">
        <v>83.1</v>
      </c>
      <c r="FG173" s="32">
        <v>75.3</v>
      </c>
      <c r="FH173" s="32">
        <v>90.2</v>
      </c>
      <c r="FI173" s="32">
        <v>70.099999999999994</v>
      </c>
      <c r="FJ173" s="32">
        <v>69.599999999999994</v>
      </c>
      <c r="FK173" s="32">
        <v>64.900000000000006</v>
      </c>
      <c r="FL173" s="32">
        <v>64.900000000000006</v>
      </c>
    </row>
    <row r="174" spans="1:168" x14ac:dyDescent="0.2">
      <c r="A174" s="34" t="s">
        <v>1154</v>
      </c>
      <c r="B174" s="32">
        <v>84.3</v>
      </c>
      <c r="C174" s="32">
        <v>92.4</v>
      </c>
      <c r="D174" s="32">
        <v>88.3</v>
      </c>
      <c r="E174" s="32">
        <v>89.1</v>
      </c>
      <c r="F174" s="32">
        <v>122.7</v>
      </c>
      <c r="G174" s="32">
        <v>2619.6</v>
      </c>
      <c r="H174" s="32">
        <v>129.80000000000001</v>
      </c>
      <c r="I174" s="32">
        <v>62.8</v>
      </c>
      <c r="J174" s="32">
        <v>84.6</v>
      </c>
      <c r="K174" s="32">
        <v>83.4</v>
      </c>
      <c r="L174" s="32">
        <v>78.099999999999994</v>
      </c>
      <c r="M174" s="32">
        <v>64.7</v>
      </c>
      <c r="N174" s="32">
        <v>90.1</v>
      </c>
      <c r="O174" s="32">
        <v>62.3</v>
      </c>
      <c r="P174" s="32">
        <v>65.5</v>
      </c>
      <c r="Q174" s="32">
        <v>98.6</v>
      </c>
      <c r="R174" s="32">
        <v>88.1</v>
      </c>
      <c r="S174" s="32">
        <v>95.2</v>
      </c>
      <c r="T174" s="32">
        <v>90.5</v>
      </c>
      <c r="U174" s="32">
        <v>71.900000000000006</v>
      </c>
      <c r="V174" s="32">
        <v>117.7</v>
      </c>
      <c r="W174" s="32">
        <v>61.2</v>
      </c>
      <c r="X174" s="32">
        <v>49.6</v>
      </c>
      <c r="Y174" s="32">
        <v>74.099999999999994</v>
      </c>
      <c r="Z174" s="32">
        <v>98.1</v>
      </c>
      <c r="AA174" s="32">
        <v>78.099999999999994</v>
      </c>
      <c r="AB174" s="32">
        <v>65.900000000000006</v>
      </c>
      <c r="AC174" s="32">
        <v>78.8</v>
      </c>
      <c r="AD174" s="32">
        <v>87.9</v>
      </c>
      <c r="AE174" s="32">
        <v>77.900000000000006</v>
      </c>
      <c r="AF174" s="32">
        <v>77.900000000000006</v>
      </c>
      <c r="AG174" s="32">
        <v>47.5</v>
      </c>
      <c r="AH174" s="32">
        <v>47.5</v>
      </c>
      <c r="AI174" s="32">
        <v>186</v>
      </c>
      <c r="AJ174" s="32">
        <v>7.2</v>
      </c>
      <c r="AK174" s="32">
        <v>54.2</v>
      </c>
      <c r="AL174" s="32">
        <v>88.9</v>
      </c>
      <c r="AM174" s="32">
        <v>50.6</v>
      </c>
      <c r="AN174" s="32">
        <v>107.7</v>
      </c>
      <c r="AO174" s="32">
        <v>111.9</v>
      </c>
      <c r="AP174" s="32">
        <v>111.9</v>
      </c>
      <c r="AQ174" s="32">
        <v>84.8</v>
      </c>
      <c r="AR174" s="32">
        <v>85.5</v>
      </c>
      <c r="AS174" s="32">
        <v>85.3</v>
      </c>
      <c r="AT174" s="32">
        <v>88.4</v>
      </c>
      <c r="AU174" s="32">
        <v>82</v>
      </c>
      <c r="AV174" s="32">
        <v>82.5</v>
      </c>
      <c r="AW174" s="32">
        <v>84.3</v>
      </c>
      <c r="AX174" s="32">
        <v>86.4</v>
      </c>
      <c r="AY174" s="32">
        <v>104.1</v>
      </c>
      <c r="AZ174" s="32">
        <v>84.5</v>
      </c>
      <c r="BA174" s="32">
        <v>85.5</v>
      </c>
      <c r="BB174" s="32">
        <v>85.5</v>
      </c>
      <c r="BC174" s="32">
        <v>89.6</v>
      </c>
      <c r="BD174" s="32">
        <v>89.6</v>
      </c>
      <c r="BE174" s="32">
        <v>107.6</v>
      </c>
      <c r="BF174" s="32">
        <v>107.6</v>
      </c>
      <c r="BG174" s="32">
        <v>98.7</v>
      </c>
      <c r="BH174" s="32">
        <v>88.6</v>
      </c>
      <c r="BI174" s="32">
        <v>108.7</v>
      </c>
      <c r="BJ174" s="32">
        <v>56.7</v>
      </c>
      <c r="BK174" s="32">
        <v>133.69999999999999</v>
      </c>
      <c r="BL174" s="32">
        <v>65.7</v>
      </c>
      <c r="BM174" s="32">
        <v>95.6</v>
      </c>
      <c r="BN174" s="32">
        <v>98.4</v>
      </c>
      <c r="BO174" s="32">
        <v>88</v>
      </c>
      <c r="BP174" s="32">
        <v>108.6</v>
      </c>
      <c r="BQ174" s="32">
        <v>92.1</v>
      </c>
      <c r="BR174" s="32">
        <v>69.2</v>
      </c>
      <c r="BS174" s="32">
        <v>161</v>
      </c>
      <c r="BT174" s="32">
        <v>77.7</v>
      </c>
      <c r="BU174" s="32">
        <v>80.3</v>
      </c>
      <c r="BV174" s="32">
        <v>80.3</v>
      </c>
      <c r="BW174" s="32">
        <v>109.9</v>
      </c>
      <c r="BX174" s="32">
        <v>36.9</v>
      </c>
      <c r="BY174" s="32">
        <v>101</v>
      </c>
      <c r="BZ174" s="32">
        <v>94.3</v>
      </c>
      <c r="CA174" s="32">
        <v>104.2</v>
      </c>
      <c r="CB174" s="32">
        <v>128.9</v>
      </c>
      <c r="CC174" s="32">
        <v>84.6</v>
      </c>
      <c r="CD174" s="32">
        <v>27.8</v>
      </c>
      <c r="CE174" s="32">
        <v>85.8</v>
      </c>
      <c r="CF174" s="32">
        <v>83.3</v>
      </c>
      <c r="CG174" s="32">
        <v>91.1</v>
      </c>
      <c r="CH174" s="32">
        <v>92</v>
      </c>
      <c r="CI174" s="32">
        <v>94.1</v>
      </c>
      <c r="CJ174" s="32">
        <v>93.8</v>
      </c>
      <c r="CK174" s="32">
        <v>90.8</v>
      </c>
      <c r="CL174" s="32">
        <v>92.8</v>
      </c>
      <c r="CM174" s="32">
        <v>98.5</v>
      </c>
      <c r="CN174" s="32">
        <v>106.1</v>
      </c>
      <c r="CO174" s="32">
        <v>97.9</v>
      </c>
      <c r="CP174" s="32">
        <v>105</v>
      </c>
      <c r="CQ174" s="32">
        <v>30.4</v>
      </c>
      <c r="CR174" s="32">
        <v>96.8</v>
      </c>
      <c r="CS174" s="32">
        <v>111.3</v>
      </c>
      <c r="CT174" s="32">
        <v>86.5</v>
      </c>
      <c r="CU174" s="32">
        <v>65.900000000000006</v>
      </c>
      <c r="CV174" s="32">
        <v>95.6</v>
      </c>
      <c r="CW174" s="32">
        <v>48.3</v>
      </c>
      <c r="CX174" s="32">
        <v>95.3</v>
      </c>
      <c r="CY174" s="32">
        <v>109.5</v>
      </c>
      <c r="CZ174" s="32">
        <v>87.8</v>
      </c>
      <c r="DA174" s="32">
        <v>73.8</v>
      </c>
      <c r="DB174" s="32">
        <v>115.3</v>
      </c>
      <c r="DC174" s="32">
        <v>15.8</v>
      </c>
      <c r="DD174" s="32">
        <v>15.8</v>
      </c>
      <c r="DE174" s="32">
        <v>71.7</v>
      </c>
      <c r="DF174" s="32">
        <v>70.599999999999994</v>
      </c>
      <c r="DG174" s="32">
        <v>77.900000000000006</v>
      </c>
      <c r="DH174" s="32">
        <v>100</v>
      </c>
      <c r="DI174" s="32">
        <v>132.4</v>
      </c>
      <c r="DJ174" s="32">
        <v>88.5</v>
      </c>
      <c r="DK174" s="32">
        <v>88.5</v>
      </c>
      <c r="DL174" s="32">
        <v>59.4</v>
      </c>
      <c r="DM174" s="32">
        <v>79.7</v>
      </c>
      <c r="DN174" s="32">
        <v>73.8</v>
      </c>
      <c r="DO174" s="32">
        <v>82.6</v>
      </c>
      <c r="DP174" s="32">
        <v>66.7</v>
      </c>
      <c r="DQ174" s="32">
        <v>78.3</v>
      </c>
      <c r="DR174" s="32">
        <v>83.5</v>
      </c>
      <c r="DS174" s="32">
        <v>79.900000000000006</v>
      </c>
      <c r="DT174" s="32">
        <v>78</v>
      </c>
      <c r="DU174" s="32">
        <v>77.400000000000006</v>
      </c>
      <c r="DV174" s="32">
        <v>78.3</v>
      </c>
      <c r="DW174" s="32">
        <v>76.2</v>
      </c>
      <c r="DX174" s="32">
        <v>79.3</v>
      </c>
      <c r="DY174" s="32">
        <v>86</v>
      </c>
      <c r="DZ174" s="32">
        <v>144.80000000000001</v>
      </c>
      <c r="EA174" s="32">
        <v>144.80000000000001</v>
      </c>
      <c r="EB174" s="32">
        <v>74.8</v>
      </c>
      <c r="EC174" s="32">
        <v>71.2</v>
      </c>
      <c r="ED174" s="32">
        <v>79.900000000000006</v>
      </c>
      <c r="EE174" s="32">
        <v>82.6</v>
      </c>
      <c r="EF174" s="32">
        <v>72.7</v>
      </c>
      <c r="EG174" s="32">
        <v>70.7</v>
      </c>
      <c r="EH174" s="32">
        <v>71.900000000000006</v>
      </c>
      <c r="EI174" s="32">
        <v>68</v>
      </c>
      <c r="EJ174" s="32">
        <v>65.7</v>
      </c>
      <c r="EK174" s="32">
        <v>73.5</v>
      </c>
      <c r="EL174" s="32">
        <v>69.5</v>
      </c>
      <c r="EM174" s="32">
        <v>64.400000000000006</v>
      </c>
      <c r="EN174" s="32">
        <v>80</v>
      </c>
      <c r="EO174" s="32">
        <v>90</v>
      </c>
      <c r="EP174" s="32">
        <v>95</v>
      </c>
      <c r="EQ174" s="32">
        <v>95</v>
      </c>
      <c r="ER174" s="32">
        <v>86.8</v>
      </c>
      <c r="ES174" s="32">
        <v>86.8</v>
      </c>
      <c r="ET174" s="32">
        <v>89.3</v>
      </c>
      <c r="EU174" s="32">
        <v>85.8</v>
      </c>
      <c r="EV174" s="32">
        <v>85.8</v>
      </c>
      <c r="EW174" s="32">
        <v>98.7</v>
      </c>
      <c r="EX174" s="32">
        <v>108.9</v>
      </c>
      <c r="EY174" s="32">
        <v>90.9</v>
      </c>
      <c r="EZ174" s="32">
        <v>89.7</v>
      </c>
      <c r="FA174" s="32">
        <v>99.3</v>
      </c>
      <c r="FB174" s="32">
        <v>108.9</v>
      </c>
      <c r="FC174" s="32">
        <v>92</v>
      </c>
      <c r="FD174" s="32">
        <v>114.6</v>
      </c>
      <c r="FE174" s="32">
        <v>132.6</v>
      </c>
      <c r="FF174" s="32">
        <v>87.7</v>
      </c>
      <c r="FG174" s="32">
        <v>84.9</v>
      </c>
      <c r="FH174" s="32">
        <v>93</v>
      </c>
      <c r="FI174" s="32">
        <v>94.2</v>
      </c>
      <c r="FJ174" s="32">
        <v>80.400000000000006</v>
      </c>
      <c r="FK174" s="32">
        <v>64.099999999999994</v>
      </c>
      <c r="FL174" s="32">
        <v>64.099999999999994</v>
      </c>
    </row>
    <row r="175" spans="1:168" x14ac:dyDescent="0.2">
      <c r="A175" s="34" t="s">
        <v>1155</v>
      </c>
      <c r="B175" s="32">
        <v>84.7</v>
      </c>
      <c r="C175" s="32">
        <v>98.9</v>
      </c>
      <c r="D175" s="32">
        <v>86.7</v>
      </c>
      <c r="E175" s="32">
        <v>86.6</v>
      </c>
      <c r="F175" s="32">
        <v>108</v>
      </c>
      <c r="G175" s="32">
        <v>2767.7</v>
      </c>
      <c r="H175" s="32">
        <v>113.1</v>
      </c>
      <c r="I175" s="32">
        <v>57.4</v>
      </c>
      <c r="J175" s="32">
        <v>84.1</v>
      </c>
      <c r="K175" s="32">
        <v>84.6</v>
      </c>
      <c r="L175" s="32">
        <v>78.3</v>
      </c>
      <c r="M175" s="32">
        <v>63.9</v>
      </c>
      <c r="N175" s="32">
        <v>90.1</v>
      </c>
      <c r="O175" s="32">
        <v>55.9</v>
      </c>
      <c r="P175" s="32">
        <v>68.7</v>
      </c>
      <c r="Q175" s="32">
        <v>113.2</v>
      </c>
      <c r="R175" s="32">
        <v>84.8</v>
      </c>
      <c r="S175" s="32">
        <v>96</v>
      </c>
      <c r="T175" s="32">
        <v>88.4</v>
      </c>
      <c r="U175" s="32">
        <v>69.2</v>
      </c>
      <c r="V175" s="32">
        <v>126.7</v>
      </c>
      <c r="W175" s="32">
        <v>56.1</v>
      </c>
      <c r="X175" s="32">
        <v>47.5</v>
      </c>
      <c r="Y175" s="32">
        <v>62.3</v>
      </c>
      <c r="Z175" s="32">
        <v>94.3</v>
      </c>
      <c r="AA175" s="32">
        <v>75.8</v>
      </c>
      <c r="AB175" s="32">
        <v>64.8</v>
      </c>
      <c r="AC175" s="32">
        <v>75.7</v>
      </c>
      <c r="AD175" s="32">
        <v>85.5</v>
      </c>
      <c r="AE175" s="32">
        <v>69.7</v>
      </c>
      <c r="AF175" s="32">
        <v>69.7</v>
      </c>
      <c r="AG175" s="32">
        <v>43.7</v>
      </c>
      <c r="AH175" s="32">
        <v>43.7</v>
      </c>
      <c r="AI175" s="32">
        <v>170.9</v>
      </c>
      <c r="AJ175" s="32">
        <v>5.6</v>
      </c>
      <c r="AK175" s="32">
        <v>58.4</v>
      </c>
      <c r="AL175" s="32">
        <v>82.7</v>
      </c>
      <c r="AM175" s="32">
        <v>47.5</v>
      </c>
      <c r="AN175" s="32">
        <v>98.1</v>
      </c>
      <c r="AO175" s="32">
        <v>102.7</v>
      </c>
      <c r="AP175" s="32">
        <v>102.7</v>
      </c>
      <c r="AQ175" s="32">
        <v>82</v>
      </c>
      <c r="AR175" s="32">
        <v>82.2</v>
      </c>
      <c r="AS175" s="32">
        <v>83.2</v>
      </c>
      <c r="AT175" s="32">
        <v>82.3</v>
      </c>
      <c r="AU175" s="32">
        <v>83.6</v>
      </c>
      <c r="AV175" s="32">
        <v>81.7</v>
      </c>
      <c r="AW175" s="32">
        <v>83.9</v>
      </c>
      <c r="AX175" s="32">
        <v>84.8</v>
      </c>
      <c r="AY175" s="32">
        <v>104.9</v>
      </c>
      <c r="AZ175" s="32">
        <v>83.6</v>
      </c>
      <c r="BA175" s="32">
        <v>89.7</v>
      </c>
      <c r="BB175" s="32">
        <v>89.7</v>
      </c>
      <c r="BC175" s="32">
        <v>88.1</v>
      </c>
      <c r="BD175" s="32">
        <v>88.1</v>
      </c>
      <c r="BE175" s="32">
        <v>109.8</v>
      </c>
      <c r="BF175" s="32">
        <v>109.8</v>
      </c>
      <c r="BG175" s="32">
        <v>100.9</v>
      </c>
      <c r="BH175" s="32">
        <v>90.4</v>
      </c>
      <c r="BI175" s="32">
        <v>111.4</v>
      </c>
      <c r="BJ175" s="32">
        <v>55.8</v>
      </c>
      <c r="BK175" s="32">
        <v>137.19999999999999</v>
      </c>
      <c r="BL175" s="32">
        <v>70</v>
      </c>
      <c r="BM175" s="32">
        <v>97.5</v>
      </c>
      <c r="BN175" s="32">
        <v>101.5</v>
      </c>
      <c r="BO175" s="32">
        <v>92.2</v>
      </c>
      <c r="BP175" s="32">
        <v>110.6</v>
      </c>
      <c r="BQ175" s="32">
        <v>92.5</v>
      </c>
      <c r="BR175" s="32">
        <v>76.400000000000006</v>
      </c>
      <c r="BS175" s="32">
        <v>159.30000000000001</v>
      </c>
      <c r="BT175" s="32">
        <v>77.599999999999994</v>
      </c>
      <c r="BU175" s="32">
        <v>76.3</v>
      </c>
      <c r="BV175" s="32">
        <v>76.3</v>
      </c>
      <c r="BW175" s="32">
        <v>106.5</v>
      </c>
      <c r="BX175" s="32">
        <v>33.4</v>
      </c>
      <c r="BY175" s="32">
        <v>95.1</v>
      </c>
      <c r="BZ175" s="32">
        <v>91.8</v>
      </c>
      <c r="CA175" s="32">
        <v>96.5</v>
      </c>
      <c r="CB175" s="32">
        <v>120.1</v>
      </c>
      <c r="CC175" s="32">
        <v>77.7</v>
      </c>
      <c r="CD175" s="32">
        <v>25.5</v>
      </c>
      <c r="CE175" s="32">
        <v>86.7</v>
      </c>
      <c r="CF175" s="32">
        <v>84.2</v>
      </c>
      <c r="CG175" s="32">
        <v>91.9</v>
      </c>
      <c r="CH175" s="32">
        <v>92.3</v>
      </c>
      <c r="CI175" s="32">
        <v>94.3</v>
      </c>
      <c r="CJ175" s="32">
        <v>95.6</v>
      </c>
      <c r="CK175" s="32">
        <v>90.1</v>
      </c>
      <c r="CL175" s="32">
        <v>94.4</v>
      </c>
      <c r="CM175" s="32">
        <v>98.3</v>
      </c>
      <c r="CN175" s="32">
        <v>106.4</v>
      </c>
      <c r="CO175" s="32">
        <v>97.6</v>
      </c>
      <c r="CP175" s="32">
        <v>110.3</v>
      </c>
      <c r="CQ175" s="32">
        <v>39.1</v>
      </c>
      <c r="CR175" s="32">
        <v>98.7</v>
      </c>
      <c r="CS175" s="32">
        <v>108.2</v>
      </c>
      <c r="CT175" s="32">
        <v>87.9</v>
      </c>
      <c r="CU175" s="32">
        <v>67.8</v>
      </c>
      <c r="CV175" s="32">
        <v>96.8</v>
      </c>
      <c r="CW175" s="32">
        <v>49.6</v>
      </c>
      <c r="CX175" s="32">
        <v>95.5</v>
      </c>
      <c r="CY175" s="32">
        <v>107.5</v>
      </c>
      <c r="CZ175" s="32">
        <v>89.3</v>
      </c>
      <c r="DA175" s="32">
        <v>77.3</v>
      </c>
      <c r="DB175" s="32">
        <v>112.4</v>
      </c>
      <c r="DC175" s="32">
        <v>16.399999999999999</v>
      </c>
      <c r="DD175" s="32">
        <v>16.399999999999999</v>
      </c>
      <c r="DE175" s="32">
        <v>74.099999999999994</v>
      </c>
      <c r="DF175" s="32">
        <v>74</v>
      </c>
      <c r="DG175" s="32">
        <v>73.7</v>
      </c>
      <c r="DH175" s="32">
        <v>101.9</v>
      </c>
      <c r="DI175" s="32">
        <v>134.4</v>
      </c>
      <c r="DJ175" s="32">
        <v>85.7</v>
      </c>
      <c r="DK175" s="32">
        <v>85.7</v>
      </c>
      <c r="DL175" s="32">
        <v>64.599999999999994</v>
      </c>
      <c r="DM175" s="32">
        <v>80.3</v>
      </c>
      <c r="DN175" s="32">
        <v>75.099999999999994</v>
      </c>
      <c r="DO175" s="32">
        <v>82.8</v>
      </c>
      <c r="DP175" s="32">
        <v>71.2</v>
      </c>
      <c r="DQ175" s="32">
        <v>78.5</v>
      </c>
      <c r="DR175" s="32">
        <v>84.1</v>
      </c>
      <c r="DS175" s="32">
        <v>81.7</v>
      </c>
      <c r="DT175" s="32">
        <v>80.3</v>
      </c>
      <c r="DU175" s="32">
        <v>80.099999999999994</v>
      </c>
      <c r="DV175" s="32">
        <v>85.4</v>
      </c>
      <c r="DW175" s="32">
        <v>74</v>
      </c>
      <c r="DX175" s="32">
        <v>80.5</v>
      </c>
      <c r="DY175" s="32">
        <v>86.4</v>
      </c>
      <c r="DZ175" s="32">
        <v>136.6</v>
      </c>
      <c r="EA175" s="32">
        <v>136.6</v>
      </c>
      <c r="EB175" s="32">
        <v>74.599999999999994</v>
      </c>
      <c r="EC175" s="32">
        <v>73.7</v>
      </c>
      <c r="ED175" s="32">
        <v>76.2</v>
      </c>
      <c r="EE175" s="32">
        <v>77.3</v>
      </c>
      <c r="EF175" s="32">
        <v>73.3</v>
      </c>
      <c r="EG175" s="32">
        <v>70.5</v>
      </c>
      <c r="EH175" s="32">
        <v>74.900000000000006</v>
      </c>
      <c r="EI175" s="32">
        <v>66.400000000000006</v>
      </c>
      <c r="EJ175" s="32">
        <v>65.7</v>
      </c>
      <c r="EK175" s="32">
        <v>72.400000000000006</v>
      </c>
      <c r="EL175" s="32">
        <v>71.599999999999994</v>
      </c>
      <c r="EM175" s="32">
        <v>68.099999999999994</v>
      </c>
      <c r="EN175" s="32">
        <v>75</v>
      </c>
      <c r="EO175" s="32">
        <v>90.9</v>
      </c>
      <c r="EP175" s="32">
        <v>95.8</v>
      </c>
      <c r="EQ175" s="32">
        <v>95.8</v>
      </c>
      <c r="ER175" s="32">
        <v>88.3</v>
      </c>
      <c r="ES175" s="32">
        <v>88.3</v>
      </c>
      <c r="ET175" s="32">
        <v>89.8</v>
      </c>
      <c r="EU175" s="32">
        <v>86.4</v>
      </c>
      <c r="EV175" s="32">
        <v>86.4</v>
      </c>
      <c r="EW175" s="32">
        <v>98.5</v>
      </c>
      <c r="EX175" s="32">
        <v>109.7</v>
      </c>
      <c r="EY175" s="32">
        <v>89.7</v>
      </c>
      <c r="EZ175" s="32">
        <v>89.6</v>
      </c>
      <c r="FA175" s="32">
        <v>99.5</v>
      </c>
      <c r="FB175" s="32">
        <v>108.9</v>
      </c>
      <c r="FC175" s="32">
        <v>89.3</v>
      </c>
      <c r="FD175" s="32">
        <v>112.2</v>
      </c>
      <c r="FE175" s="32">
        <v>138.6</v>
      </c>
      <c r="FF175" s="32">
        <v>88.1</v>
      </c>
      <c r="FG175" s="32">
        <v>83.8</v>
      </c>
      <c r="FH175" s="32">
        <v>90.5</v>
      </c>
      <c r="FI175" s="32">
        <v>95.2</v>
      </c>
      <c r="FJ175" s="32">
        <v>79.7</v>
      </c>
      <c r="FK175" s="32">
        <v>71.400000000000006</v>
      </c>
      <c r="FL175" s="32">
        <v>71.400000000000006</v>
      </c>
    </row>
    <row r="176" spans="1:168" x14ac:dyDescent="0.2">
      <c r="A176" s="34" t="s">
        <v>1156</v>
      </c>
      <c r="B176" s="32">
        <v>84.9</v>
      </c>
      <c r="C176" s="32">
        <v>102.3</v>
      </c>
      <c r="D176" s="32">
        <v>86.6</v>
      </c>
      <c r="E176" s="32">
        <v>86.1</v>
      </c>
      <c r="F176" s="32">
        <v>106.8</v>
      </c>
      <c r="G176" s="32">
        <v>2583.1</v>
      </c>
      <c r="H176" s="32">
        <v>111.7</v>
      </c>
      <c r="I176" s="32">
        <v>57.9</v>
      </c>
      <c r="J176" s="32">
        <v>83.4</v>
      </c>
      <c r="K176" s="32">
        <v>83.8</v>
      </c>
      <c r="L176" s="32">
        <v>78.2</v>
      </c>
      <c r="M176" s="32">
        <v>65.2</v>
      </c>
      <c r="N176" s="32">
        <v>88.9</v>
      </c>
      <c r="O176" s="32">
        <v>51.7</v>
      </c>
      <c r="P176" s="32">
        <v>71.7</v>
      </c>
      <c r="Q176" s="32">
        <v>77.7</v>
      </c>
      <c r="R176" s="32">
        <v>84.2</v>
      </c>
      <c r="S176" s="32">
        <v>99.8</v>
      </c>
      <c r="T176" s="32">
        <v>91.7</v>
      </c>
      <c r="U176" s="32">
        <v>70</v>
      </c>
      <c r="V176" s="32">
        <v>121</v>
      </c>
      <c r="W176" s="32">
        <v>55.5</v>
      </c>
      <c r="X176" s="32">
        <v>44.7</v>
      </c>
      <c r="Y176" s="32">
        <v>67</v>
      </c>
      <c r="Z176" s="32">
        <v>91.7</v>
      </c>
      <c r="AA176" s="32">
        <v>75.900000000000006</v>
      </c>
      <c r="AB176" s="32">
        <v>63.6</v>
      </c>
      <c r="AC176" s="32">
        <v>73.400000000000006</v>
      </c>
      <c r="AD176" s="32">
        <v>88.5</v>
      </c>
      <c r="AE176" s="32">
        <v>57</v>
      </c>
      <c r="AF176" s="32">
        <v>57</v>
      </c>
      <c r="AG176" s="32">
        <v>40.1</v>
      </c>
      <c r="AH176" s="32">
        <v>40.1</v>
      </c>
      <c r="AI176" s="32">
        <v>151.69999999999999</v>
      </c>
      <c r="AJ176" s="32">
        <v>4.7</v>
      </c>
      <c r="AK176" s="32">
        <v>57.1</v>
      </c>
      <c r="AL176" s="32">
        <v>73.7</v>
      </c>
      <c r="AM176" s="32">
        <v>46.7</v>
      </c>
      <c r="AN176" s="32">
        <v>84.2</v>
      </c>
      <c r="AO176" s="32">
        <v>106</v>
      </c>
      <c r="AP176" s="32">
        <v>106</v>
      </c>
      <c r="AQ176" s="32">
        <v>79.5</v>
      </c>
      <c r="AR176" s="32">
        <v>79.2</v>
      </c>
      <c r="AS176" s="32">
        <v>81.3</v>
      </c>
      <c r="AT176" s="32">
        <v>82.6</v>
      </c>
      <c r="AU176" s="32">
        <v>79.8</v>
      </c>
      <c r="AV176" s="32">
        <v>81.7</v>
      </c>
      <c r="AW176" s="32">
        <v>80.400000000000006</v>
      </c>
      <c r="AX176" s="32">
        <v>84.7</v>
      </c>
      <c r="AY176" s="32">
        <v>93.1</v>
      </c>
      <c r="AZ176" s="32">
        <v>84.6</v>
      </c>
      <c r="BA176" s="32">
        <v>88.7</v>
      </c>
      <c r="BB176" s="32">
        <v>88.7</v>
      </c>
      <c r="BC176" s="32">
        <v>88.3</v>
      </c>
      <c r="BD176" s="32">
        <v>88.3</v>
      </c>
      <c r="BE176" s="32">
        <v>108.5</v>
      </c>
      <c r="BF176" s="32">
        <v>108.5</v>
      </c>
      <c r="BG176" s="32">
        <v>99.4</v>
      </c>
      <c r="BH176" s="32">
        <v>88.9</v>
      </c>
      <c r="BI176" s="32">
        <v>110.1</v>
      </c>
      <c r="BJ176" s="32">
        <v>55.1</v>
      </c>
      <c r="BK176" s="32">
        <v>134.6</v>
      </c>
      <c r="BL176" s="32">
        <v>74.2</v>
      </c>
      <c r="BM176" s="32">
        <v>99.6</v>
      </c>
      <c r="BN176" s="32">
        <v>104.7</v>
      </c>
      <c r="BO176" s="32">
        <v>97.7</v>
      </c>
      <c r="BP176" s="32">
        <v>111.7</v>
      </c>
      <c r="BQ176" s="32">
        <v>93</v>
      </c>
      <c r="BR176" s="32">
        <v>65.2</v>
      </c>
      <c r="BS176" s="32">
        <v>168.5</v>
      </c>
      <c r="BT176" s="32">
        <v>78.099999999999994</v>
      </c>
      <c r="BU176" s="32">
        <v>77.099999999999994</v>
      </c>
      <c r="BV176" s="32">
        <v>77.099999999999994</v>
      </c>
      <c r="BW176" s="32">
        <v>106.7</v>
      </c>
      <c r="BX176" s="32">
        <v>34.5</v>
      </c>
      <c r="BY176" s="32">
        <v>95.2</v>
      </c>
      <c r="BZ176" s="32">
        <v>89.4</v>
      </c>
      <c r="CA176" s="32">
        <v>98</v>
      </c>
      <c r="CB176" s="32">
        <v>115.3</v>
      </c>
      <c r="CC176" s="32">
        <v>84.8</v>
      </c>
      <c r="CD176" s="32">
        <v>28.3</v>
      </c>
      <c r="CE176" s="32">
        <v>87.6</v>
      </c>
      <c r="CF176" s="32">
        <v>84.4</v>
      </c>
      <c r="CG176" s="32">
        <v>92.3</v>
      </c>
      <c r="CH176" s="32">
        <v>92.6</v>
      </c>
      <c r="CI176" s="32">
        <v>94</v>
      </c>
      <c r="CJ176" s="32">
        <v>96.7</v>
      </c>
      <c r="CK176" s="32">
        <v>89.9</v>
      </c>
      <c r="CL176" s="32">
        <v>95.8</v>
      </c>
      <c r="CM176" s="32">
        <v>98</v>
      </c>
      <c r="CN176" s="32">
        <v>105.6</v>
      </c>
      <c r="CO176" s="32">
        <v>97.4</v>
      </c>
      <c r="CP176" s="32">
        <v>112.6</v>
      </c>
      <c r="CQ176" s="32">
        <v>38.799999999999997</v>
      </c>
      <c r="CR176" s="32">
        <v>103.2</v>
      </c>
      <c r="CS176" s="32">
        <v>108.6</v>
      </c>
      <c r="CT176" s="32">
        <v>87.3</v>
      </c>
      <c r="CU176" s="32">
        <v>67.599999999999994</v>
      </c>
      <c r="CV176" s="32">
        <v>96.1</v>
      </c>
      <c r="CW176" s="32">
        <v>50.7</v>
      </c>
      <c r="CX176" s="32">
        <v>99.5</v>
      </c>
      <c r="CY176" s="32">
        <v>112.1</v>
      </c>
      <c r="CZ176" s="32">
        <v>92.8</v>
      </c>
      <c r="DA176" s="32">
        <v>84.4</v>
      </c>
      <c r="DB176" s="32">
        <v>108.4</v>
      </c>
      <c r="DC176" s="32">
        <v>16.5</v>
      </c>
      <c r="DD176" s="32">
        <v>16.5</v>
      </c>
      <c r="DE176" s="32">
        <v>75.8</v>
      </c>
      <c r="DF176" s="32">
        <v>75.400000000000006</v>
      </c>
      <c r="DG176" s="32">
        <v>77.099999999999994</v>
      </c>
      <c r="DH176" s="32">
        <v>103.3</v>
      </c>
      <c r="DI176" s="32">
        <v>137.69999999999999</v>
      </c>
      <c r="DJ176" s="32">
        <v>83</v>
      </c>
      <c r="DK176" s="32">
        <v>83</v>
      </c>
      <c r="DL176" s="32">
        <v>66.099999999999994</v>
      </c>
      <c r="DM176" s="32">
        <v>80.099999999999994</v>
      </c>
      <c r="DN176" s="32">
        <v>75.2</v>
      </c>
      <c r="DO176" s="32">
        <v>82.3</v>
      </c>
      <c r="DP176" s="32">
        <v>73.7</v>
      </c>
      <c r="DQ176" s="32">
        <v>78.599999999999994</v>
      </c>
      <c r="DR176" s="32">
        <v>84.9</v>
      </c>
      <c r="DS176" s="32">
        <v>82.2</v>
      </c>
      <c r="DT176" s="32">
        <v>80.3</v>
      </c>
      <c r="DU176" s="32">
        <v>80.400000000000006</v>
      </c>
      <c r="DV176" s="32">
        <v>84.6</v>
      </c>
      <c r="DW176" s="32">
        <v>75.5</v>
      </c>
      <c r="DX176" s="32">
        <v>80.2</v>
      </c>
      <c r="DY176" s="32">
        <v>88.6</v>
      </c>
      <c r="DZ176" s="32">
        <v>141.6</v>
      </c>
      <c r="EA176" s="32">
        <v>141.6</v>
      </c>
      <c r="EB176" s="32">
        <v>74.5</v>
      </c>
      <c r="EC176" s="32">
        <v>73.400000000000006</v>
      </c>
      <c r="ED176" s="32">
        <v>76.400000000000006</v>
      </c>
      <c r="EE176" s="32">
        <v>78</v>
      </c>
      <c r="EF176" s="32">
        <v>72</v>
      </c>
      <c r="EG176" s="32">
        <v>69.7</v>
      </c>
      <c r="EH176" s="32">
        <v>72.3</v>
      </c>
      <c r="EI176" s="32">
        <v>65.8</v>
      </c>
      <c r="EJ176" s="32">
        <v>66</v>
      </c>
      <c r="EK176" s="32">
        <v>72.3</v>
      </c>
      <c r="EL176" s="32">
        <v>75.7</v>
      </c>
      <c r="EM176" s="32">
        <v>67.3</v>
      </c>
      <c r="EN176" s="32">
        <v>74.5</v>
      </c>
      <c r="EO176" s="32">
        <v>90.6</v>
      </c>
      <c r="EP176" s="32">
        <v>95.5</v>
      </c>
      <c r="EQ176" s="32">
        <v>95.5</v>
      </c>
      <c r="ER176" s="32">
        <v>88.1</v>
      </c>
      <c r="ES176" s="32">
        <v>88.1</v>
      </c>
      <c r="ET176" s="32">
        <v>89.3</v>
      </c>
      <c r="EU176" s="32">
        <v>86</v>
      </c>
      <c r="EV176" s="32">
        <v>86</v>
      </c>
      <c r="EW176" s="32">
        <v>97.9</v>
      </c>
      <c r="EX176" s="32">
        <v>110.3</v>
      </c>
      <c r="EY176" s="32">
        <v>88.2</v>
      </c>
      <c r="EZ176" s="32">
        <v>88.7</v>
      </c>
      <c r="FA176" s="32">
        <v>100.5</v>
      </c>
      <c r="FB176" s="32">
        <v>110.7</v>
      </c>
      <c r="FC176" s="32">
        <v>93.4</v>
      </c>
      <c r="FD176" s="32">
        <v>110</v>
      </c>
      <c r="FE176" s="32">
        <v>138.30000000000001</v>
      </c>
      <c r="FF176" s="32">
        <v>88.1</v>
      </c>
      <c r="FG176" s="32">
        <v>81.599999999999994</v>
      </c>
      <c r="FH176" s="32">
        <v>88.2</v>
      </c>
      <c r="FI176" s="32">
        <v>92.2</v>
      </c>
      <c r="FJ176" s="32">
        <v>77.5</v>
      </c>
      <c r="FK176" s="32">
        <v>70.900000000000006</v>
      </c>
      <c r="FL176" s="32">
        <v>70.900000000000006</v>
      </c>
    </row>
    <row r="177" spans="1:168" x14ac:dyDescent="0.2">
      <c r="A177" s="34" t="s">
        <v>1157</v>
      </c>
      <c r="B177" s="32">
        <v>84.2</v>
      </c>
      <c r="C177" s="32">
        <v>103.4</v>
      </c>
      <c r="D177" s="32">
        <v>86.5</v>
      </c>
      <c r="E177" s="32">
        <v>85.5</v>
      </c>
      <c r="F177" s="32">
        <v>107.4</v>
      </c>
      <c r="G177" s="32">
        <v>2463</v>
      </c>
      <c r="H177" s="32">
        <v>112.7</v>
      </c>
      <c r="I177" s="32">
        <v>58</v>
      </c>
      <c r="J177" s="32">
        <v>84</v>
      </c>
      <c r="K177" s="32">
        <v>86</v>
      </c>
      <c r="L177" s="32">
        <v>78.8</v>
      </c>
      <c r="M177" s="32">
        <v>66.5</v>
      </c>
      <c r="N177" s="32">
        <v>95.1</v>
      </c>
      <c r="O177" s="32">
        <v>53.3</v>
      </c>
      <c r="P177" s="32">
        <v>78.2</v>
      </c>
      <c r="Q177" s="32">
        <v>80.3</v>
      </c>
      <c r="R177" s="32">
        <v>81.7</v>
      </c>
      <c r="S177" s="32">
        <v>96.6</v>
      </c>
      <c r="T177" s="32">
        <v>92.6</v>
      </c>
      <c r="U177" s="32">
        <v>76.3</v>
      </c>
      <c r="V177" s="32">
        <v>130.9</v>
      </c>
      <c r="W177" s="32">
        <v>53.2</v>
      </c>
      <c r="X177" s="32">
        <v>44</v>
      </c>
      <c r="Y177" s="32">
        <v>60.6</v>
      </c>
      <c r="Z177" s="32">
        <v>94.5</v>
      </c>
      <c r="AA177" s="32">
        <v>76.099999999999994</v>
      </c>
      <c r="AB177" s="32">
        <v>65.3</v>
      </c>
      <c r="AC177" s="32">
        <v>70.599999999999994</v>
      </c>
      <c r="AD177" s="32">
        <v>90.2</v>
      </c>
      <c r="AE177" s="32">
        <v>60.9</v>
      </c>
      <c r="AF177" s="32">
        <v>60.9</v>
      </c>
      <c r="AG177" s="32">
        <v>42.3</v>
      </c>
      <c r="AH177" s="32">
        <v>42.3</v>
      </c>
      <c r="AI177" s="32">
        <v>137.4</v>
      </c>
      <c r="AJ177" s="32">
        <v>6</v>
      </c>
      <c r="AK177" s="32">
        <v>65.400000000000006</v>
      </c>
      <c r="AL177" s="32">
        <v>65.7</v>
      </c>
      <c r="AM177" s="32">
        <v>52.6</v>
      </c>
      <c r="AN177" s="32">
        <v>85.3</v>
      </c>
      <c r="AO177" s="32">
        <v>105.8</v>
      </c>
      <c r="AP177" s="32">
        <v>105.8</v>
      </c>
      <c r="AQ177" s="32">
        <v>79.400000000000006</v>
      </c>
      <c r="AR177" s="32">
        <v>79.2</v>
      </c>
      <c r="AS177" s="32">
        <v>81.099999999999994</v>
      </c>
      <c r="AT177" s="32">
        <v>81.5</v>
      </c>
      <c r="AU177" s="32">
        <v>80.3</v>
      </c>
      <c r="AV177" s="32">
        <v>81.8</v>
      </c>
      <c r="AW177" s="32">
        <v>82.3</v>
      </c>
      <c r="AX177" s="32">
        <v>88.5</v>
      </c>
      <c r="AY177" s="32">
        <v>91.5</v>
      </c>
      <c r="AZ177" s="32">
        <v>84.2</v>
      </c>
      <c r="BA177" s="32">
        <v>89.8</v>
      </c>
      <c r="BB177" s="32">
        <v>89.8</v>
      </c>
      <c r="BC177" s="32">
        <v>87.6</v>
      </c>
      <c r="BD177" s="32">
        <v>87.6</v>
      </c>
      <c r="BE177" s="32">
        <v>108.4</v>
      </c>
      <c r="BF177" s="32">
        <v>108.4</v>
      </c>
      <c r="BG177" s="32">
        <v>99.3</v>
      </c>
      <c r="BH177" s="32">
        <v>87.3</v>
      </c>
      <c r="BI177" s="32">
        <v>111.9</v>
      </c>
      <c r="BJ177" s="32">
        <v>54.9</v>
      </c>
      <c r="BK177" s="32">
        <v>136.6</v>
      </c>
      <c r="BL177" s="32">
        <v>78.599999999999994</v>
      </c>
      <c r="BM177" s="32">
        <v>100</v>
      </c>
      <c r="BN177" s="32">
        <v>106.6</v>
      </c>
      <c r="BO177" s="32">
        <v>99.1</v>
      </c>
      <c r="BP177" s="32">
        <v>114.1</v>
      </c>
      <c r="BQ177" s="32">
        <v>91.7</v>
      </c>
      <c r="BR177" s="32">
        <v>73.099999999999994</v>
      </c>
      <c r="BS177" s="32">
        <v>142.69999999999999</v>
      </c>
      <c r="BT177" s="32">
        <v>80.8</v>
      </c>
      <c r="BU177" s="32">
        <v>72.2</v>
      </c>
      <c r="BV177" s="32">
        <v>72.2</v>
      </c>
      <c r="BW177" s="32">
        <v>101.7</v>
      </c>
      <c r="BX177" s="32">
        <v>30.7</v>
      </c>
      <c r="BY177" s="32">
        <v>89.2</v>
      </c>
      <c r="BZ177" s="32">
        <v>89.4</v>
      </c>
      <c r="CA177" s="32">
        <v>88.9</v>
      </c>
      <c r="CB177" s="32">
        <v>97.5</v>
      </c>
      <c r="CC177" s="32">
        <v>83.5</v>
      </c>
      <c r="CD177" s="32">
        <v>26.3</v>
      </c>
      <c r="CE177" s="32">
        <v>88.8</v>
      </c>
      <c r="CF177" s="32">
        <v>83.5</v>
      </c>
      <c r="CG177" s="32">
        <v>92.1</v>
      </c>
      <c r="CH177" s="32">
        <v>92.6</v>
      </c>
      <c r="CI177" s="32">
        <v>92.2</v>
      </c>
      <c r="CJ177" s="32">
        <v>95.6</v>
      </c>
      <c r="CK177" s="32">
        <v>91.2</v>
      </c>
      <c r="CL177" s="32">
        <v>94.2</v>
      </c>
      <c r="CM177" s="32">
        <v>100.4</v>
      </c>
      <c r="CN177" s="32">
        <v>102.6</v>
      </c>
      <c r="CO177" s="32">
        <v>101</v>
      </c>
      <c r="CP177" s="32">
        <v>115</v>
      </c>
      <c r="CQ177" s="32">
        <v>39.299999999999997</v>
      </c>
      <c r="CR177" s="32">
        <v>96.4</v>
      </c>
      <c r="CS177" s="32">
        <v>104</v>
      </c>
      <c r="CT177" s="32">
        <v>88.7</v>
      </c>
      <c r="CU177" s="32">
        <v>68.8</v>
      </c>
      <c r="CV177" s="32">
        <v>97.5</v>
      </c>
      <c r="CW177" s="32">
        <v>49.5</v>
      </c>
      <c r="CX177" s="32">
        <v>98.4</v>
      </c>
      <c r="CY177" s="32">
        <v>109.5</v>
      </c>
      <c r="CZ177" s="32">
        <v>92.5</v>
      </c>
      <c r="DA177" s="32">
        <v>82.9</v>
      </c>
      <c r="DB177" s="32">
        <v>110.6</v>
      </c>
      <c r="DC177" s="32">
        <v>16.7</v>
      </c>
      <c r="DD177" s="32">
        <v>16.7</v>
      </c>
      <c r="DE177" s="32">
        <v>71.400000000000006</v>
      </c>
      <c r="DF177" s="32">
        <v>70.099999999999994</v>
      </c>
      <c r="DG177" s="32">
        <v>78.7</v>
      </c>
      <c r="DH177" s="32">
        <v>96.7</v>
      </c>
      <c r="DI177" s="32">
        <v>128.30000000000001</v>
      </c>
      <c r="DJ177" s="32">
        <v>81.3</v>
      </c>
      <c r="DK177" s="32">
        <v>81.3</v>
      </c>
      <c r="DL177" s="32">
        <v>59.9</v>
      </c>
      <c r="DM177" s="32">
        <v>80.5</v>
      </c>
      <c r="DN177" s="32">
        <v>76.599999999999994</v>
      </c>
      <c r="DO177" s="32">
        <v>82.1</v>
      </c>
      <c r="DP177" s="32">
        <v>79</v>
      </c>
      <c r="DQ177" s="32">
        <v>76.8</v>
      </c>
      <c r="DR177" s="32">
        <v>81.599999999999994</v>
      </c>
      <c r="DS177" s="32">
        <v>79.5</v>
      </c>
      <c r="DT177" s="32">
        <v>77.8</v>
      </c>
      <c r="DU177" s="32">
        <v>78.2</v>
      </c>
      <c r="DV177" s="32">
        <v>83.1</v>
      </c>
      <c r="DW177" s="32">
        <v>72.400000000000006</v>
      </c>
      <c r="DX177" s="32">
        <v>77</v>
      </c>
      <c r="DY177" s="32">
        <v>85.1</v>
      </c>
      <c r="DZ177" s="32">
        <v>131.69999999999999</v>
      </c>
      <c r="EA177" s="32">
        <v>131.69999999999999</v>
      </c>
      <c r="EB177" s="32">
        <v>71.599999999999994</v>
      </c>
      <c r="EC177" s="32">
        <v>71.3</v>
      </c>
      <c r="ED177" s="32">
        <v>72.400000000000006</v>
      </c>
      <c r="EE177" s="32">
        <v>72.400000000000006</v>
      </c>
      <c r="EF177" s="32">
        <v>72.3</v>
      </c>
      <c r="EG177" s="32">
        <v>69.900000000000006</v>
      </c>
      <c r="EH177" s="32">
        <v>73.900000000000006</v>
      </c>
      <c r="EI177" s="32">
        <v>66.400000000000006</v>
      </c>
      <c r="EJ177" s="32">
        <v>71</v>
      </c>
      <c r="EK177" s="32">
        <v>70.2</v>
      </c>
      <c r="EL177" s="32">
        <v>75.2</v>
      </c>
      <c r="EM177" s="32">
        <v>67.900000000000006</v>
      </c>
      <c r="EN177" s="32">
        <v>70.2</v>
      </c>
      <c r="EO177" s="32">
        <v>91.1</v>
      </c>
      <c r="EP177" s="32">
        <v>96.1</v>
      </c>
      <c r="EQ177" s="32">
        <v>96.1</v>
      </c>
      <c r="ER177" s="32">
        <v>89.2</v>
      </c>
      <c r="ES177" s="32">
        <v>89.2</v>
      </c>
      <c r="ET177" s="32">
        <v>89.3</v>
      </c>
      <c r="EU177" s="32">
        <v>86.2</v>
      </c>
      <c r="EV177" s="32">
        <v>86.2</v>
      </c>
      <c r="EW177" s="32">
        <v>97.5</v>
      </c>
      <c r="EX177" s="32">
        <v>110.8</v>
      </c>
      <c r="EY177" s="32">
        <v>87</v>
      </c>
      <c r="EZ177" s="32">
        <v>88.6</v>
      </c>
      <c r="FA177" s="32">
        <v>99.7</v>
      </c>
      <c r="FB177" s="32">
        <v>106</v>
      </c>
      <c r="FC177" s="32">
        <v>87.8</v>
      </c>
      <c r="FD177" s="32">
        <v>106.5</v>
      </c>
      <c r="FE177" s="32">
        <v>134.80000000000001</v>
      </c>
      <c r="FF177" s="32">
        <v>92.2</v>
      </c>
      <c r="FG177" s="32">
        <v>81.2</v>
      </c>
      <c r="FH177" s="32">
        <v>86.7</v>
      </c>
      <c r="FI177" s="32">
        <v>94</v>
      </c>
      <c r="FJ177" s="32">
        <v>77.400000000000006</v>
      </c>
      <c r="FK177" s="32">
        <v>75.7</v>
      </c>
      <c r="FL177" s="32">
        <v>75.7</v>
      </c>
    </row>
    <row r="178" spans="1:168" x14ac:dyDescent="0.2">
      <c r="A178" s="34" t="s">
        <v>1158</v>
      </c>
      <c r="B178" s="32">
        <v>85</v>
      </c>
      <c r="C178" s="32">
        <v>102.9</v>
      </c>
      <c r="D178" s="32">
        <v>86.8</v>
      </c>
      <c r="E178" s="32">
        <v>86.3</v>
      </c>
      <c r="F178" s="32">
        <v>98.3</v>
      </c>
      <c r="G178" s="32">
        <v>2172.1999999999998</v>
      </c>
      <c r="H178" s="32">
        <v>101.3</v>
      </c>
      <c r="I178" s="32">
        <v>58.7</v>
      </c>
      <c r="J178" s="32">
        <v>85.3</v>
      </c>
      <c r="K178" s="32">
        <v>83.4</v>
      </c>
      <c r="L178" s="32">
        <v>78.400000000000006</v>
      </c>
      <c r="M178" s="32">
        <v>66.2</v>
      </c>
      <c r="N178" s="32">
        <v>93.4</v>
      </c>
      <c r="O178" s="32">
        <v>50.5</v>
      </c>
      <c r="P178" s="32">
        <v>79.099999999999994</v>
      </c>
      <c r="Q178" s="32">
        <v>68.400000000000006</v>
      </c>
      <c r="R178" s="32">
        <v>81.7</v>
      </c>
      <c r="S178" s="32">
        <v>97.3</v>
      </c>
      <c r="T178" s="32">
        <v>96.6</v>
      </c>
      <c r="U178" s="32">
        <v>70.5</v>
      </c>
      <c r="V178" s="32">
        <v>116.6</v>
      </c>
      <c r="W178" s="32">
        <v>50.4</v>
      </c>
      <c r="X178" s="32">
        <v>40.6</v>
      </c>
      <c r="Y178" s="32">
        <v>60.3</v>
      </c>
      <c r="Z178" s="32">
        <v>86.1</v>
      </c>
      <c r="AA178" s="32">
        <v>75.900000000000006</v>
      </c>
      <c r="AB178" s="32">
        <v>66.599999999999994</v>
      </c>
      <c r="AC178" s="32">
        <v>71.400000000000006</v>
      </c>
      <c r="AD178" s="32">
        <v>88.4</v>
      </c>
      <c r="AE178" s="32">
        <v>55.5</v>
      </c>
      <c r="AF178" s="32">
        <v>55.5</v>
      </c>
      <c r="AG178" s="32">
        <v>40.1</v>
      </c>
      <c r="AH178" s="32">
        <v>40.1</v>
      </c>
      <c r="AI178" s="32">
        <v>133</v>
      </c>
      <c r="AJ178" s="32">
        <v>6.9</v>
      </c>
      <c r="AK178" s="32">
        <v>69.8</v>
      </c>
      <c r="AL178" s="32">
        <v>59.2</v>
      </c>
      <c r="AM178" s="32">
        <v>46.5</v>
      </c>
      <c r="AN178" s="32">
        <v>79.400000000000006</v>
      </c>
      <c r="AO178" s="32">
        <v>120.7</v>
      </c>
      <c r="AP178" s="32">
        <v>120.7</v>
      </c>
      <c r="AQ178" s="32">
        <v>80.400000000000006</v>
      </c>
      <c r="AR178" s="32">
        <v>80.8</v>
      </c>
      <c r="AS178" s="32">
        <v>81.3</v>
      </c>
      <c r="AT178" s="32">
        <v>83.3</v>
      </c>
      <c r="AU178" s="32">
        <v>79</v>
      </c>
      <c r="AV178" s="32">
        <v>85.2</v>
      </c>
      <c r="AW178" s="32">
        <v>83</v>
      </c>
      <c r="AX178" s="32">
        <v>86.6</v>
      </c>
      <c r="AY178" s="32">
        <v>96.7</v>
      </c>
      <c r="AZ178" s="32">
        <v>88.5</v>
      </c>
      <c r="BA178" s="32">
        <v>88.8</v>
      </c>
      <c r="BB178" s="32">
        <v>88.8</v>
      </c>
      <c r="BC178" s="32">
        <v>88.2</v>
      </c>
      <c r="BD178" s="32">
        <v>88.2</v>
      </c>
      <c r="BE178" s="32">
        <v>114.7</v>
      </c>
      <c r="BF178" s="32">
        <v>114.7</v>
      </c>
      <c r="BG178" s="32">
        <v>101.8</v>
      </c>
      <c r="BH178" s="32">
        <v>92.2</v>
      </c>
      <c r="BI178" s="32">
        <v>111.4</v>
      </c>
      <c r="BJ178" s="32">
        <v>54.5</v>
      </c>
      <c r="BK178" s="32">
        <v>135.6</v>
      </c>
      <c r="BL178" s="32">
        <v>80.099999999999994</v>
      </c>
      <c r="BM178" s="32">
        <v>99.8</v>
      </c>
      <c r="BN178" s="32">
        <v>104.7</v>
      </c>
      <c r="BO178" s="32">
        <v>98.9</v>
      </c>
      <c r="BP178" s="32">
        <v>110.6</v>
      </c>
      <c r="BQ178" s="32">
        <v>93.6</v>
      </c>
      <c r="BR178" s="32">
        <v>70.2</v>
      </c>
      <c r="BS178" s="32">
        <v>142.9</v>
      </c>
      <c r="BT178" s="32">
        <v>83.9</v>
      </c>
      <c r="BU178" s="32">
        <v>76.599999999999994</v>
      </c>
      <c r="BV178" s="32">
        <v>76.599999999999994</v>
      </c>
      <c r="BW178" s="32">
        <v>106.5</v>
      </c>
      <c r="BX178" s="32">
        <v>33.799999999999997</v>
      </c>
      <c r="BY178" s="32">
        <v>90</v>
      </c>
      <c r="BZ178" s="32">
        <v>88</v>
      </c>
      <c r="CA178" s="32">
        <v>90.9</v>
      </c>
      <c r="CB178" s="32">
        <v>100.6</v>
      </c>
      <c r="CC178" s="32">
        <v>84.4</v>
      </c>
      <c r="CD178" s="32">
        <v>28.5</v>
      </c>
      <c r="CE178" s="32">
        <v>87.7</v>
      </c>
      <c r="CF178" s="32">
        <v>84.4</v>
      </c>
      <c r="CG178" s="32">
        <v>91.5</v>
      </c>
      <c r="CH178" s="32">
        <v>91.4</v>
      </c>
      <c r="CI178" s="32">
        <v>95</v>
      </c>
      <c r="CJ178" s="32">
        <v>93.9</v>
      </c>
      <c r="CK178" s="32">
        <v>89.3</v>
      </c>
      <c r="CL178" s="32">
        <v>95.2</v>
      </c>
      <c r="CM178" s="32">
        <v>100.9</v>
      </c>
      <c r="CN178" s="32">
        <v>101.6</v>
      </c>
      <c r="CO178" s="32">
        <v>101.8</v>
      </c>
      <c r="CP178" s="32">
        <v>114</v>
      </c>
      <c r="CQ178" s="32">
        <v>38.5</v>
      </c>
      <c r="CR178" s="32">
        <v>98.7</v>
      </c>
      <c r="CS178" s="32">
        <v>106</v>
      </c>
      <c r="CT178" s="32">
        <v>87.7</v>
      </c>
      <c r="CU178" s="32">
        <v>71.8</v>
      </c>
      <c r="CV178" s="32">
        <v>94.7</v>
      </c>
      <c r="CW178" s="32">
        <v>53.2</v>
      </c>
      <c r="CX178" s="32">
        <v>101</v>
      </c>
      <c r="CY178" s="32">
        <v>108.8</v>
      </c>
      <c r="CZ178" s="32">
        <v>96.9</v>
      </c>
      <c r="DA178" s="32">
        <v>85.9</v>
      </c>
      <c r="DB178" s="32">
        <v>117.6</v>
      </c>
      <c r="DC178" s="32">
        <v>17.7</v>
      </c>
      <c r="DD178" s="32">
        <v>17.7</v>
      </c>
      <c r="DE178" s="32">
        <v>80.2</v>
      </c>
      <c r="DF178" s="32">
        <v>77.099999999999994</v>
      </c>
      <c r="DG178" s="32">
        <v>98.6</v>
      </c>
      <c r="DH178" s="32">
        <v>100.2</v>
      </c>
      <c r="DI178" s="32">
        <v>133</v>
      </c>
      <c r="DJ178" s="32">
        <v>79.599999999999994</v>
      </c>
      <c r="DK178" s="32">
        <v>79.599999999999994</v>
      </c>
      <c r="DL178" s="32">
        <v>65.8</v>
      </c>
      <c r="DM178" s="32">
        <v>80.099999999999994</v>
      </c>
      <c r="DN178" s="32">
        <v>76.900000000000006</v>
      </c>
      <c r="DO178" s="32">
        <v>81.7</v>
      </c>
      <c r="DP178" s="32">
        <v>69.400000000000006</v>
      </c>
      <c r="DQ178" s="32">
        <v>78.7</v>
      </c>
      <c r="DR178" s="32">
        <v>84.1</v>
      </c>
      <c r="DS178" s="32">
        <v>81.3</v>
      </c>
      <c r="DT178" s="32">
        <v>80.599999999999994</v>
      </c>
      <c r="DU178" s="32">
        <v>81.5</v>
      </c>
      <c r="DV178" s="32">
        <v>87.2</v>
      </c>
      <c r="DW178" s="32">
        <v>74.900000000000006</v>
      </c>
      <c r="DX178" s="32">
        <v>78.5</v>
      </c>
      <c r="DY178" s="32">
        <v>83.8</v>
      </c>
      <c r="DZ178" s="32">
        <v>132.1</v>
      </c>
      <c r="EA178" s="32">
        <v>132.1</v>
      </c>
      <c r="EB178" s="32">
        <v>77.2</v>
      </c>
      <c r="EC178" s="32">
        <v>81.2</v>
      </c>
      <c r="ED178" s="32">
        <v>72.599999999999994</v>
      </c>
      <c r="EE178" s="32">
        <v>72.900000000000006</v>
      </c>
      <c r="EF178" s="32">
        <v>71.7</v>
      </c>
      <c r="EG178" s="32">
        <v>71</v>
      </c>
      <c r="EH178" s="32">
        <v>71.2</v>
      </c>
      <c r="EI178" s="32">
        <v>66.5</v>
      </c>
      <c r="EJ178" s="32">
        <v>69.7</v>
      </c>
      <c r="EK178" s="32">
        <v>74.8</v>
      </c>
      <c r="EL178" s="32">
        <v>76.5</v>
      </c>
      <c r="EM178" s="32">
        <v>70.599999999999994</v>
      </c>
      <c r="EN178" s="32">
        <v>76.7</v>
      </c>
      <c r="EO178" s="32">
        <v>91.1</v>
      </c>
      <c r="EP178" s="32">
        <v>95.5</v>
      </c>
      <c r="EQ178" s="32">
        <v>95.5</v>
      </c>
      <c r="ER178" s="32">
        <v>89.6</v>
      </c>
      <c r="ES178" s="32">
        <v>89.6</v>
      </c>
      <c r="ET178" s="32">
        <v>89.3</v>
      </c>
      <c r="EU178" s="32">
        <v>86.4</v>
      </c>
      <c r="EV178" s="32">
        <v>86.4</v>
      </c>
      <c r="EW178" s="32">
        <v>96.9</v>
      </c>
      <c r="EX178" s="32">
        <v>110.7</v>
      </c>
      <c r="EY178" s="32">
        <v>85.9</v>
      </c>
      <c r="EZ178" s="32">
        <v>88.7</v>
      </c>
      <c r="FA178" s="32">
        <v>101.2</v>
      </c>
      <c r="FB178" s="32">
        <v>106.5</v>
      </c>
      <c r="FC178" s="32">
        <v>89.4</v>
      </c>
      <c r="FD178" s="32">
        <v>109</v>
      </c>
      <c r="FE178" s="32">
        <v>132.19999999999999</v>
      </c>
      <c r="FF178" s="32">
        <v>94.7</v>
      </c>
      <c r="FG178" s="32">
        <v>81.2</v>
      </c>
      <c r="FH178" s="32">
        <v>85.9</v>
      </c>
      <c r="FI178" s="32">
        <v>97.5</v>
      </c>
      <c r="FJ178" s="32">
        <v>77.400000000000006</v>
      </c>
      <c r="FK178" s="32">
        <v>68.599999999999994</v>
      </c>
      <c r="FL178" s="32">
        <v>68.599999999999994</v>
      </c>
    </row>
    <row r="179" spans="1:168" x14ac:dyDescent="0.2">
      <c r="A179" s="34" t="s">
        <v>1159</v>
      </c>
      <c r="B179" s="32">
        <v>85</v>
      </c>
      <c r="C179" s="32">
        <v>102.4</v>
      </c>
      <c r="D179" s="32">
        <v>87.4</v>
      </c>
      <c r="E179" s="32">
        <v>86.5</v>
      </c>
      <c r="F179" s="32">
        <v>98.4</v>
      </c>
      <c r="G179" s="32">
        <v>2326</v>
      </c>
      <c r="H179" s="32">
        <v>100.7</v>
      </c>
      <c r="I179" s="32">
        <v>60.8</v>
      </c>
      <c r="J179" s="32">
        <v>85.1</v>
      </c>
      <c r="K179" s="32">
        <v>83.2</v>
      </c>
      <c r="L179" s="32">
        <v>78.099999999999994</v>
      </c>
      <c r="M179" s="32">
        <v>67.7</v>
      </c>
      <c r="N179" s="32">
        <v>92.9</v>
      </c>
      <c r="O179" s="32">
        <v>50.1</v>
      </c>
      <c r="P179" s="32">
        <v>83.3</v>
      </c>
      <c r="Q179" s="32">
        <v>64.099999999999994</v>
      </c>
      <c r="R179" s="32">
        <v>80.3</v>
      </c>
      <c r="S179" s="32">
        <v>95</v>
      </c>
      <c r="T179" s="32">
        <v>97.3</v>
      </c>
      <c r="U179" s="32">
        <v>66.7</v>
      </c>
      <c r="V179" s="32">
        <v>118.6</v>
      </c>
      <c r="W179" s="32">
        <v>50.6</v>
      </c>
      <c r="X179" s="32">
        <v>40.6</v>
      </c>
      <c r="Y179" s="32">
        <v>60.7</v>
      </c>
      <c r="Z179" s="32">
        <v>88.8</v>
      </c>
      <c r="AA179" s="32">
        <v>76.900000000000006</v>
      </c>
      <c r="AB179" s="32">
        <v>67.099999999999994</v>
      </c>
      <c r="AC179" s="32">
        <v>70.099999999999994</v>
      </c>
      <c r="AD179" s="32">
        <v>91.7</v>
      </c>
      <c r="AE179" s="32">
        <v>48.6</v>
      </c>
      <c r="AF179" s="32">
        <v>48.6</v>
      </c>
      <c r="AG179" s="32">
        <v>41.7</v>
      </c>
      <c r="AH179" s="32">
        <v>41.7</v>
      </c>
      <c r="AI179" s="32">
        <v>129.30000000000001</v>
      </c>
      <c r="AJ179" s="32">
        <v>8.8000000000000007</v>
      </c>
      <c r="AK179" s="32">
        <v>79.2</v>
      </c>
      <c r="AL179" s="32">
        <v>53.7</v>
      </c>
      <c r="AM179" s="32">
        <v>47.4</v>
      </c>
      <c r="AN179" s="32">
        <v>78.400000000000006</v>
      </c>
      <c r="AO179" s="32">
        <v>117.2</v>
      </c>
      <c r="AP179" s="32">
        <v>117.2</v>
      </c>
      <c r="AQ179" s="32">
        <v>79.5</v>
      </c>
      <c r="AR179" s="32">
        <v>79.8</v>
      </c>
      <c r="AS179" s="32">
        <v>80.599999999999994</v>
      </c>
      <c r="AT179" s="32">
        <v>81.099999999999994</v>
      </c>
      <c r="AU179" s="32">
        <v>79.7</v>
      </c>
      <c r="AV179" s="32">
        <v>85.7</v>
      </c>
      <c r="AW179" s="32">
        <v>87.1</v>
      </c>
      <c r="AX179" s="32">
        <v>95.1</v>
      </c>
      <c r="AY179" s="32">
        <v>93.1</v>
      </c>
      <c r="AZ179" s="32">
        <v>88.1</v>
      </c>
      <c r="BA179" s="32">
        <v>93.5</v>
      </c>
      <c r="BB179" s="32">
        <v>93.5</v>
      </c>
      <c r="BC179" s="32">
        <v>90.6</v>
      </c>
      <c r="BD179" s="32">
        <v>90.6</v>
      </c>
      <c r="BE179" s="32">
        <v>113.9</v>
      </c>
      <c r="BF179" s="32">
        <v>113.9</v>
      </c>
      <c r="BG179" s="32">
        <v>98.7</v>
      </c>
      <c r="BH179" s="32">
        <v>85.6</v>
      </c>
      <c r="BI179" s="32">
        <v>113.1</v>
      </c>
      <c r="BJ179" s="32">
        <v>54.1</v>
      </c>
      <c r="BK179" s="32">
        <v>137.4</v>
      </c>
      <c r="BL179" s="32">
        <v>84.2</v>
      </c>
      <c r="BM179" s="32">
        <v>98.1</v>
      </c>
      <c r="BN179" s="32">
        <v>101.7</v>
      </c>
      <c r="BO179" s="32">
        <v>90.5</v>
      </c>
      <c r="BP179" s="32">
        <v>112.8</v>
      </c>
      <c r="BQ179" s="32">
        <v>93.7</v>
      </c>
      <c r="BR179" s="32">
        <v>69.5</v>
      </c>
      <c r="BS179" s="32">
        <v>158.80000000000001</v>
      </c>
      <c r="BT179" s="32">
        <v>80.5</v>
      </c>
      <c r="BU179" s="32">
        <v>79.599999999999994</v>
      </c>
      <c r="BV179" s="32">
        <v>79.599999999999994</v>
      </c>
      <c r="BW179" s="32">
        <v>109.7</v>
      </c>
      <c r="BX179" s="32">
        <v>35.9</v>
      </c>
      <c r="BY179" s="32">
        <v>90.8</v>
      </c>
      <c r="BZ179" s="32">
        <v>86.8</v>
      </c>
      <c r="CA179" s="32">
        <v>92.8</v>
      </c>
      <c r="CB179" s="32">
        <v>102.4</v>
      </c>
      <c r="CC179" s="32">
        <v>86.4</v>
      </c>
      <c r="CD179" s="32">
        <v>28.8</v>
      </c>
      <c r="CE179" s="32">
        <v>89.6</v>
      </c>
      <c r="CF179" s="32">
        <v>84.3</v>
      </c>
      <c r="CG179" s="32">
        <v>91.8</v>
      </c>
      <c r="CH179" s="32">
        <v>91.4</v>
      </c>
      <c r="CI179" s="32">
        <v>89.2</v>
      </c>
      <c r="CJ179" s="32">
        <v>96.7</v>
      </c>
      <c r="CK179" s="32">
        <v>88.8</v>
      </c>
      <c r="CL179" s="32">
        <v>94</v>
      </c>
      <c r="CM179" s="32">
        <v>99.9</v>
      </c>
      <c r="CN179" s="32">
        <v>101.4</v>
      </c>
      <c r="CO179" s="32">
        <v>100.6</v>
      </c>
      <c r="CP179" s="32">
        <v>113.4</v>
      </c>
      <c r="CQ179" s="32">
        <v>38.200000000000003</v>
      </c>
      <c r="CR179" s="32">
        <v>98.6</v>
      </c>
      <c r="CS179" s="32">
        <v>101.8</v>
      </c>
      <c r="CT179" s="32">
        <v>91.4</v>
      </c>
      <c r="CU179" s="32">
        <v>73.900000000000006</v>
      </c>
      <c r="CV179" s="32">
        <v>99.2</v>
      </c>
      <c r="CW179" s="32">
        <v>52.2</v>
      </c>
      <c r="CX179" s="32">
        <v>105.8</v>
      </c>
      <c r="CY179" s="32">
        <v>108.3</v>
      </c>
      <c r="CZ179" s="32">
        <v>104.4</v>
      </c>
      <c r="DA179" s="32">
        <v>91</v>
      </c>
      <c r="DB179" s="32">
        <v>130</v>
      </c>
      <c r="DC179" s="32">
        <v>17.600000000000001</v>
      </c>
      <c r="DD179" s="32">
        <v>17.600000000000001</v>
      </c>
      <c r="DE179" s="32">
        <v>74.599999999999994</v>
      </c>
      <c r="DF179" s="32">
        <v>73.2</v>
      </c>
      <c r="DG179" s="32">
        <v>83.3</v>
      </c>
      <c r="DH179" s="32">
        <v>98.6</v>
      </c>
      <c r="DI179" s="32">
        <v>132</v>
      </c>
      <c r="DJ179" s="32">
        <v>78.7</v>
      </c>
      <c r="DK179" s="32">
        <v>78.7</v>
      </c>
      <c r="DL179" s="32">
        <v>62.2</v>
      </c>
      <c r="DM179" s="32">
        <v>80.3</v>
      </c>
      <c r="DN179" s="32">
        <v>77.3</v>
      </c>
      <c r="DO179" s="32">
        <v>81.7</v>
      </c>
      <c r="DP179" s="32">
        <v>73.099999999999994</v>
      </c>
      <c r="DQ179" s="32">
        <v>79.2</v>
      </c>
      <c r="DR179" s="32">
        <v>84.4</v>
      </c>
      <c r="DS179" s="32">
        <v>82.8</v>
      </c>
      <c r="DT179" s="32">
        <v>81.8</v>
      </c>
      <c r="DU179" s="32">
        <v>81.8</v>
      </c>
      <c r="DV179" s="32">
        <v>88.3</v>
      </c>
      <c r="DW179" s="32">
        <v>74.2</v>
      </c>
      <c r="DX179" s="32">
        <v>81.8</v>
      </c>
      <c r="DY179" s="32">
        <v>86.1</v>
      </c>
      <c r="DZ179" s="32">
        <v>134.80000000000001</v>
      </c>
      <c r="EA179" s="32">
        <v>134.80000000000001</v>
      </c>
      <c r="EB179" s="32">
        <v>72.7</v>
      </c>
      <c r="EC179" s="32">
        <v>75.2</v>
      </c>
      <c r="ED179" s="32">
        <v>69.900000000000006</v>
      </c>
      <c r="EE179" s="32">
        <v>68</v>
      </c>
      <c r="EF179" s="32">
        <v>74.5</v>
      </c>
      <c r="EG179" s="32">
        <v>71.8</v>
      </c>
      <c r="EH179" s="32">
        <v>70.400000000000006</v>
      </c>
      <c r="EI179" s="32">
        <v>67.7</v>
      </c>
      <c r="EJ179" s="32">
        <v>71</v>
      </c>
      <c r="EK179" s="32">
        <v>76.099999999999994</v>
      </c>
      <c r="EL179" s="32">
        <v>75.5</v>
      </c>
      <c r="EM179" s="32">
        <v>70.900000000000006</v>
      </c>
      <c r="EN179" s="32">
        <v>79.3</v>
      </c>
      <c r="EO179" s="32">
        <v>91.2</v>
      </c>
      <c r="EP179" s="32">
        <v>95.3</v>
      </c>
      <c r="EQ179" s="32">
        <v>95.3</v>
      </c>
      <c r="ER179" s="32">
        <v>90.1</v>
      </c>
      <c r="ES179" s="32">
        <v>90.1</v>
      </c>
      <c r="ET179" s="32">
        <v>89.3</v>
      </c>
      <c r="EU179" s="32">
        <v>86.5</v>
      </c>
      <c r="EV179" s="32">
        <v>86.5</v>
      </c>
      <c r="EW179" s="32">
        <v>96.5</v>
      </c>
      <c r="EX179" s="32">
        <v>110.2</v>
      </c>
      <c r="EY179" s="32">
        <v>85.7</v>
      </c>
      <c r="EZ179" s="32">
        <v>89.2</v>
      </c>
      <c r="FA179" s="32">
        <v>102.5</v>
      </c>
      <c r="FB179" s="32">
        <v>107.5</v>
      </c>
      <c r="FC179" s="32">
        <v>89.8</v>
      </c>
      <c r="FD179" s="32">
        <v>109.9</v>
      </c>
      <c r="FE179" s="32">
        <v>134.1</v>
      </c>
      <c r="FF179" s="32">
        <v>96.6</v>
      </c>
      <c r="FG179" s="32">
        <v>81.7</v>
      </c>
      <c r="FH179" s="32">
        <v>86.1</v>
      </c>
      <c r="FI179" s="32">
        <v>92.4</v>
      </c>
      <c r="FJ179" s="32">
        <v>78.7</v>
      </c>
      <c r="FK179" s="32">
        <v>63.4</v>
      </c>
      <c r="FL179" s="32">
        <v>63.4</v>
      </c>
    </row>
    <row r="180" spans="1:168" x14ac:dyDescent="0.2">
      <c r="A180" s="34" t="s">
        <v>1160</v>
      </c>
      <c r="B180" s="32">
        <v>85.1</v>
      </c>
      <c r="C180" s="32">
        <v>102.1</v>
      </c>
      <c r="D180" s="32">
        <v>86.9</v>
      </c>
      <c r="E180" s="32">
        <v>86.2</v>
      </c>
      <c r="F180" s="32">
        <v>99.1</v>
      </c>
      <c r="G180" s="32">
        <v>2246.3000000000002</v>
      </c>
      <c r="H180" s="32">
        <v>101.9</v>
      </c>
      <c r="I180" s="32">
        <v>60.3</v>
      </c>
      <c r="J180" s="32">
        <v>84.9</v>
      </c>
      <c r="K180" s="32">
        <v>81.5</v>
      </c>
      <c r="L180" s="32">
        <v>76.3</v>
      </c>
      <c r="M180" s="32">
        <v>69.099999999999994</v>
      </c>
      <c r="N180" s="32">
        <v>91.7</v>
      </c>
      <c r="O180" s="32">
        <v>46.5</v>
      </c>
      <c r="P180" s="32">
        <v>84.4</v>
      </c>
      <c r="Q180" s="32">
        <v>60.5</v>
      </c>
      <c r="R180" s="32">
        <v>81.099999999999994</v>
      </c>
      <c r="S180" s="32">
        <v>86.9</v>
      </c>
      <c r="T180" s="32">
        <v>98.4</v>
      </c>
      <c r="U180" s="32">
        <v>67.7</v>
      </c>
      <c r="V180" s="32">
        <v>116.1</v>
      </c>
      <c r="W180" s="32">
        <v>48.9</v>
      </c>
      <c r="X180" s="32">
        <v>39.1</v>
      </c>
      <c r="Y180" s="32">
        <v>58.6</v>
      </c>
      <c r="Z180" s="32">
        <v>88.1</v>
      </c>
      <c r="AA180" s="32">
        <v>78.2</v>
      </c>
      <c r="AB180" s="32">
        <v>67.599999999999994</v>
      </c>
      <c r="AC180" s="32">
        <v>70.400000000000006</v>
      </c>
      <c r="AD180" s="32">
        <v>94.4</v>
      </c>
      <c r="AE180" s="32">
        <v>40.200000000000003</v>
      </c>
      <c r="AF180" s="32">
        <v>40.200000000000003</v>
      </c>
      <c r="AG180" s="32">
        <v>50.3</v>
      </c>
      <c r="AH180" s="32">
        <v>50.3</v>
      </c>
      <c r="AI180" s="32">
        <v>127.2</v>
      </c>
      <c r="AJ180" s="32">
        <v>11.7</v>
      </c>
      <c r="AK180" s="32">
        <v>96.1</v>
      </c>
      <c r="AL180" s="32">
        <v>54.2</v>
      </c>
      <c r="AM180" s="32">
        <v>67.7</v>
      </c>
      <c r="AN180" s="32">
        <v>72.8</v>
      </c>
      <c r="AO180" s="32">
        <v>113.7</v>
      </c>
      <c r="AP180" s="32">
        <v>113.7</v>
      </c>
      <c r="AQ180" s="32">
        <v>79.8</v>
      </c>
      <c r="AR180" s="32">
        <v>79.2</v>
      </c>
      <c r="AS180" s="32">
        <v>82</v>
      </c>
      <c r="AT180" s="32">
        <v>82.4</v>
      </c>
      <c r="AU180" s="32">
        <v>81.3</v>
      </c>
      <c r="AV180" s="32">
        <v>84</v>
      </c>
      <c r="AW180" s="32">
        <v>85.7</v>
      </c>
      <c r="AX180" s="32">
        <v>91.2</v>
      </c>
      <c r="AY180" s="32">
        <v>95.8</v>
      </c>
      <c r="AZ180" s="32">
        <v>86.2</v>
      </c>
      <c r="BA180" s="32">
        <v>91.8</v>
      </c>
      <c r="BB180" s="32">
        <v>91.8</v>
      </c>
      <c r="BC180" s="32">
        <v>93.2</v>
      </c>
      <c r="BD180" s="32">
        <v>93.2</v>
      </c>
      <c r="BE180" s="32">
        <v>110.7</v>
      </c>
      <c r="BF180" s="32">
        <v>110.7</v>
      </c>
      <c r="BG180" s="32">
        <v>101.8</v>
      </c>
      <c r="BH180" s="32">
        <v>91.1</v>
      </c>
      <c r="BI180" s="32">
        <v>113.1</v>
      </c>
      <c r="BJ180" s="32">
        <v>53.4</v>
      </c>
      <c r="BK180" s="32">
        <v>137.5</v>
      </c>
      <c r="BL180" s="32">
        <v>84.9</v>
      </c>
      <c r="BM180" s="32">
        <v>96.9</v>
      </c>
      <c r="BN180" s="32">
        <v>102.2</v>
      </c>
      <c r="BO180" s="32">
        <v>89.8</v>
      </c>
      <c r="BP180" s="32">
        <v>114.4</v>
      </c>
      <c r="BQ180" s="32">
        <v>90.3</v>
      </c>
      <c r="BR180" s="32">
        <v>80.3</v>
      </c>
      <c r="BS180" s="32">
        <v>132.19999999999999</v>
      </c>
      <c r="BT180" s="32">
        <v>80.099999999999994</v>
      </c>
      <c r="BU180" s="32">
        <v>78.7</v>
      </c>
      <c r="BV180" s="32">
        <v>78.7</v>
      </c>
      <c r="BW180" s="32">
        <v>105.9</v>
      </c>
      <c r="BX180" s="32">
        <v>37.799999999999997</v>
      </c>
      <c r="BY180" s="32">
        <v>88.9</v>
      </c>
      <c r="BZ180" s="32">
        <v>85.1</v>
      </c>
      <c r="CA180" s="32">
        <v>90.7</v>
      </c>
      <c r="CB180" s="32">
        <v>99.5</v>
      </c>
      <c r="CC180" s="32">
        <v>85</v>
      </c>
      <c r="CD180" s="32">
        <v>28.2</v>
      </c>
      <c r="CE180" s="32">
        <v>88.6</v>
      </c>
      <c r="CF180" s="32">
        <v>84.6</v>
      </c>
      <c r="CG180" s="32">
        <v>91.4</v>
      </c>
      <c r="CH180" s="32">
        <v>91.6</v>
      </c>
      <c r="CI180" s="32">
        <v>88.8</v>
      </c>
      <c r="CJ180" s="32">
        <v>97.3</v>
      </c>
      <c r="CK180" s="32">
        <v>88.8</v>
      </c>
      <c r="CL180" s="32">
        <v>93.1</v>
      </c>
      <c r="CM180" s="32">
        <v>99.4</v>
      </c>
      <c r="CN180" s="32">
        <v>100.5</v>
      </c>
      <c r="CO180" s="32">
        <v>100.2</v>
      </c>
      <c r="CP180" s="32">
        <v>112.7</v>
      </c>
      <c r="CQ180" s="32">
        <v>38.700000000000003</v>
      </c>
      <c r="CR180" s="32">
        <v>95.3</v>
      </c>
      <c r="CS180" s="32">
        <v>103</v>
      </c>
      <c r="CT180" s="32">
        <v>89.9</v>
      </c>
      <c r="CU180" s="32">
        <v>74.2</v>
      </c>
      <c r="CV180" s="32">
        <v>96.8</v>
      </c>
      <c r="CW180" s="32">
        <v>52.3</v>
      </c>
      <c r="CX180" s="32">
        <v>98.7</v>
      </c>
      <c r="CY180" s="32">
        <v>107.5</v>
      </c>
      <c r="CZ180" s="32">
        <v>94</v>
      </c>
      <c r="DA180" s="32">
        <v>81</v>
      </c>
      <c r="DB180" s="32">
        <v>118.9</v>
      </c>
      <c r="DC180" s="32">
        <v>18.100000000000001</v>
      </c>
      <c r="DD180" s="32">
        <v>18.100000000000001</v>
      </c>
      <c r="DE180" s="32">
        <v>76.8</v>
      </c>
      <c r="DF180" s="32">
        <v>75.3</v>
      </c>
      <c r="DG180" s="32">
        <v>85.6</v>
      </c>
      <c r="DH180" s="32">
        <v>103.4</v>
      </c>
      <c r="DI180" s="32">
        <v>139.6</v>
      </c>
      <c r="DJ180" s="32">
        <v>78.599999999999994</v>
      </c>
      <c r="DK180" s="32">
        <v>78.599999999999994</v>
      </c>
      <c r="DL180" s="32">
        <v>66.400000000000006</v>
      </c>
      <c r="DM180" s="32">
        <v>81.099999999999994</v>
      </c>
      <c r="DN180" s="32">
        <v>78.7</v>
      </c>
      <c r="DO180" s="32">
        <v>82.3</v>
      </c>
      <c r="DP180" s="32">
        <v>74.7</v>
      </c>
      <c r="DQ180" s="32">
        <v>77.400000000000006</v>
      </c>
      <c r="DR180" s="32">
        <v>81.8</v>
      </c>
      <c r="DS180" s="32">
        <v>78.400000000000006</v>
      </c>
      <c r="DT180" s="32">
        <v>76.900000000000006</v>
      </c>
      <c r="DU180" s="32">
        <v>82.3</v>
      </c>
      <c r="DV180" s="32">
        <v>89</v>
      </c>
      <c r="DW180" s="32">
        <v>74.400000000000006</v>
      </c>
      <c r="DX180" s="32">
        <v>65.900000000000006</v>
      </c>
      <c r="DY180" s="32">
        <v>83.4</v>
      </c>
      <c r="DZ180" s="32">
        <v>136.1</v>
      </c>
      <c r="EA180" s="32">
        <v>136.1</v>
      </c>
      <c r="EB180" s="32">
        <v>74.400000000000006</v>
      </c>
      <c r="EC180" s="32">
        <v>75.400000000000006</v>
      </c>
      <c r="ED180" s="32">
        <v>73.599999999999994</v>
      </c>
      <c r="EE180" s="32">
        <v>73.8</v>
      </c>
      <c r="EF180" s="32">
        <v>72.599999999999994</v>
      </c>
      <c r="EG180" s="32">
        <v>71.2</v>
      </c>
      <c r="EH180" s="32">
        <v>74.099999999999994</v>
      </c>
      <c r="EI180" s="32">
        <v>68.5</v>
      </c>
      <c r="EJ180" s="32">
        <v>72.2</v>
      </c>
      <c r="EK180" s="32">
        <v>71.5</v>
      </c>
      <c r="EL180" s="32">
        <v>76.599999999999994</v>
      </c>
      <c r="EM180" s="32">
        <v>70.400000000000006</v>
      </c>
      <c r="EN180" s="32">
        <v>70.7</v>
      </c>
      <c r="EO180" s="32">
        <v>91</v>
      </c>
      <c r="EP180" s="32">
        <v>95.2</v>
      </c>
      <c r="EQ180" s="32">
        <v>95.2</v>
      </c>
      <c r="ER180" s="32">
        <v>89.5</v>
      </c>
      <c r="ES180" s="32">
        <v>89.5</v>
      </c>
      <c r="ET180" s="32">
        <v>89.5</v>
      </c>
      <c r="EU180" s="32">
        <v>86.9</v>
      </c>
      <c r="EV180" s="32">
        <v>86.9</v>
      </c>
      <c r="EW180" s="32">
        <v>96</v>
      </c>
      <c r="EX180" s="32">
        <v>109.2</v>
      </c>
      <c r="EY180" s="32">
        <v>85.7</v>
      </c>
      <c r="EZ180" s="32">
        <v>88.8</v>
      </c>
      <c r="FA180" s="32">
        <v>99.7</v>
      </c>
      <c r="FB180" s="32">
        <v>102.6</v>
      </c>
      <c r="FC180" s="32">
        <v>79.5</v>
      </c>
      <c r="FD180" s="32">
        <v>106.9</v>
      </c>
      <c r="FE180" s="32">
        <v>138.1</v>
      </c>
      <c r="FF180" s="32">
        <v>96.3</v>
      </c>
      <c r="FG180" s="32">
        <v>82.9</v>
      </c>
      <c r="FH180" s="32">
        <v>86.6</v>
      </c>
      <c r="FI180" s="32">
        <v>103.4</v>
      </c>
      <c r="FJ180" s="32">
        <v>79</v>
      </c>
      <c r="FK180" s="32">
        <v>63.8</v>
      </c>
      <c r="FL180" s="32">
        <v>63.8</v>
      </c>
    </row>
    <row r="181" spans="1:168" x14ac:dyDescent="0.2">
      <c r="A181" s="34" t="s">
        <v>1161</v>
      </c>
      <c r="B181" s="32">
        <v>84.9</v>
      </c>
      <c r="C181" s="32">
        <v>102.6</v>
      </c>
      <c r="D181" s="32">
        <v>86.6</v>
      </c>
      <c r="E181" s="32">
        <v>86.2</v>
      </c>
      <c r="F181" s="32">
        <v>96.5</v>
      </c>
      <c r="G181" s="32">
        <v>2392.3000000000002</v>
      </c>
      <c r="H181" s="32">
        <v>97.5</v>
      </c>
      <c r="I181" s="32">
        <v>63</v>
      </c>
      <c r="J181" s="32">
        <v>85.3</v>
      </c>
      <c r="K181" s="32">
        <v>81.2</v>
      </c>
      <c r="L181" s="32">
        <v>75.2</v>
      </c>
      <c r="M181" s="32">
        <v>69.3</v>
      </c>
      <c r="N181" s="32">
        <v>90.9</v>
      </c>
      <c r="O181" s="32">
        <v>46.3</v>
      </c>
      <c r="P181" s="32">
        <v>90.9</v>
      </c>
      <c r="Q181" s="32">
        <v>57.8</v>
      </c>
      <c r="R181" s="32">
        <v>74</v>
      </c>
      <c r="S181" s="32">
        <v>85.6</v>
      </c>
      <c r="T181" s="32">
        <v>97.8</v>
      </c>
      <c r="U181" s="32">
        <v>69.099999999999994</v>
      </c>
      <c r="V181" s="32">
        <v>119.9</v>
      </c>
      <c r="W181" s="32">
        <v>46.7</v>
      </c>
      <c r="X181" s="32">
        <v>39.4</v>
      </c>
      <c r="Y181" s="32">
        <v>51.7</v>
      </c>
      <c r="Z181" s="32">
        <v>80.8</v>
      </c>
      <c r="AA181" s="32">
        <v>76</v>
      </c>
      <c r="AB181" s="32">
        <v>61.4</v>
      </c>
      <c r="AC181" s="32">
        <v>70.5</v>
      </c>
      <c r="AD181" s="32">
        <v>92.6</v>
      </c>
      <c r="AE181" s="32">
        <v>36.1</v>
      </c>
      <c r="AF181" s="32">
        <v>36.1</v>
      </c>
      <c r="AG181" s="32">
        <v>52.3</v>
      </c>
      <c r="AH181" s="32">
        <v>52.3</v>
      </c>
      <c r="AI181" s="32">
        <v>118.5</v>
      </c>
      <c r="AJ181" s="32">
        <v>16.100000000000001</v>
      </c>
      <c r="AK181" s="32">
        <v>91.3</v>
      </c>
      <c r="AL181" s="32">
        <v>52.8</v>
      </c>
      <c r="AM181" s="32">
        <v>66.8</v>
      </c>
      <c r="AN181" s="32">
        <v>74</v>
      </c>
      <c r="AO181" s="32">
        <v>119.9</v>
      </c>
      <c r="AP181" s="32">
        <v>119.9</v>
      </c>
      <c r="AQ181" s="32">
        <v>80.599999999999994</v>
      </c>
      <c r="AR181" s="32">
        <v>80.2</v>
      </c>
      <c r="AS181" s="32">
        <v>82.7</v>
      </c>
      <c r="AT181" s="32">
        <v>83.7</v>
      </c>
      <c r="AU181" s="32">
        <v>81.400000000000006</v>
      </c>
      <c r="AV181" s="32">
        <v>84.2</v>
      </c>
      <c r="AW181" s="32">
        <v>87.9</v>
      </c>
      <c r="AX181" s="32">
        <v>94.2</v>
      </c>
      <c r="AY181" s="32">
        <v>97.1</v>
      </c>
      <c r="AZ181" s="32">
        <v>86</v>
      </c>
      <c r="BA181" s="32">
        <v>88.8</v>
      </c>
      <c r="BB181" s="32">
        <v>88.8</v>
      </c>
      <c r="BC181" s="32">
        <v>92.1</v>
      </c>
      <c r="BD181" s="32">
        <v>92.1</v>
      </c>
      <c r="BE181" s="32">
        <v>112.9</v>
      </c>
      <c r="BF181" s="32">
        <v>112.9</v>
      </c>
      <c r="BG181" s="32">
        <v>103.2</v>
      </c>
      <c r="BH181" s="32">
        <v>92.2</v>
      </c>
      <c r="BI181" s="32">
        <v>114.8</v>
      </c>
      <c r="BJ181" s="32">
        <v>53</v>
      </c>
      <c r="BK181" s="32">
        <v>139.4</v>
      </c>
      <c r="BL181" s="32">
        <v>88.6</v>
      </c>
      <c r="BM181" s="32">
        <v>97.3</v>
      </c>
      <c r="BN181" s="32">
        <v>102.9</v>
      </c>
      <c r="BO181" s="32">
        <v>86.9</v>
      </c>
      <c r="BP181" s="32">
        <v>118.6</v>
      </c>
      <c r="BQ181" s="32">
        <v>90.1</v>
      </c>
      <c r="BR181" s="32">
        <v>79.400000000000006</v>
      </c>
      <c r="BS181" s="32">
        <v>132.4</v>
      </c>
      <c r="BT181" s="32">
        <v>80</v>
      </c>
      <c r="BU181" s="32">
        <v>79.599999999999994</v>
      </c>
      <c r="BV181" s="32">
        <v>79.599999999999994</v>
      </c>
      <c r="BW181" s="32">
        <v>107.5</v>
      </c>
      <c r="BX181" s="32">
        <v>37.799999999999997</v>
      </c>
      <c r="BY181" s="32">
        <v>87.9</v>
      </c>
      <c r="BZ181" s="32">
        <v>84.3</v>
      </c>
      <c r="CA181" s="32">
        <v>89.6</v>
      </c>
      <c r="CB181" s="32">
        <v>102.2</v>
      </c>
      <c r="CC181" s="32">
        <v>80.099999999999994</v>
      </c>
      <c r="CD181" s="32">
        <v>29.5</v>
      </c>
      <c r="CE181" s="32">
        <v>87.4</v>
      </c>
      <c r="CF181" s="32">
        <v>84.4</v>
      </c>
      <c r="CG181" s="32">
        <v>91.3</v>
      </c>
      <c r="CH181" s="32">
        <v>91.3</v>
      </c>
      <c r="CI181" s="32">
        <v>90.2</v>
      </c>
      <c r="CJ181" s="32">
        <v>96.2</v>
      </c>
      <c r="CK181" s="32">
        <v>88.8</v>
      </c>
      <c r="CL181" s="32">
        <v>93.6</v>
      </c>
      <c r="CM181" s="32">
        <v>98.9</v>
      </c>
      <c r="CN181" s="32">
        <v>100.9</v>
      </c>
      <c r="CO181" s="32">
        <v>99.6</v>
      </c>
      <c r="CP181" s="32">
        <v>113.5</v>
      </c>
      <c r="CQ181" s="32">
        <v>38.299999999999997</v>
      </c>
      <c r="CR181" s="32">
        <v>96.9</v>
      </c>
      <c r="CS181" s="32">
        <v>104.6</v>
      </c>
      <c r="CT181" s="32">
        <v>89.2</v>
      </c>
      <c r="CU181" s="32">
        <v>73.7</v>
      </c>
      <c r="CV181" s="32">
        <v>96</v>
      </c>
      <c r="CW181" s="32">
        <v>54</v>
      </c>
      <c r="CX181" s="32">
        <v>104</v>
      </c>
      <c r="CY181" s="32">
        <v>109.1</v>
      </c>
      <c r="CZ181" s="32">
        <v>101.2</v>
      </c>
      <c r="DA181" s="32">
        <v>91.6</v>
      </c>
      <c r="DB181" s="32">
        <v>119</v>
      </c>
      <c r="DC181" s="32">
        <v>19.2</v>
      </c>
      <c r="DD181" s="32">
        <v>19.2</v>
      </c>
      <c r="DE181" s="32">
        <v>76.5</v>
      </c>
      <c r="DF181" s="32">
        <v>74.099999999999994</v>
      </c>
      <c r="DG181" s="32">
        <v>91</v>
      </c>
      <c r="DH181" s="32">
        <v>100.5</v>
      </c>
      <c r="DI181" s="32">
        <v>131.19999999999999</v>
      </c>
      <c r="DJ181" s="32">
        <v>79</v>
      </c>
      <c r="DK181" s="32">
        <v>79</v>
      </c>
      <c r="DL181" s="32">
        <v>70.2</v>
      </c>
      <c r="DM181" s="32">
        <v>81</v>
      </c>
      <c r="DN181" s="32">
        <v>78.900000000000006</v>
      </c>
      <c r="DO181" s="32">
        <v>82</v>
      </c>
      <c r="DP181" s="32">
        <v>75.400000000000006</v>
      </c>
      <c r="DQ181" s="32">
        <v>77</v>
      </c>
      <c r="DR181" s="32">
        <v>81.8</v>
      </c>
      <c r="DS181" s="32">
        <v>79.7</v>
      </c>
      <c r="DT181" s="32">
        <v>78.8</v>
      </c>
      <c r="DU181" s="32">
        <v>82</v>
      </c>
      <c r="DV181" s="32">
        <v>88.8</v>
      </c>
      <c r="DW181" s="32">
        <v>74.099999999999994</v>
      </c>
      <c r="DX181" s="32">
        <v>72</v>
      </c>
      <c r="DY181" s="32">
        <v>83.1</v>
      </c>
      <c r="DZ181" s="32">
        <v>127.2</v>
      </c>
      <c r="EA181" s="32">
        <v>127.2</v>
      </c>
      <c r="EB181" s="32">
        <v>73.400000000000006</v>
      </c>
      <c r="EC181" s="32">
        <v>75.7</v>
      </c>
      <c r="ED181" s="32">
        <v>70.8</v>
      </c>
      <c r="EE181" s="32">
        <v>70.900000000000006</v>
      </c>
      <c r="EF181" s="32">
        <v>70.599999999999994</v>
      </c>
      <c r="EG181" s="32">
        <v>70</v>
      </c>
      <c r="EH181" s="32">
        <v>69.5</v>
      </c>
      <c r="EI181" s="32">
        <v>67.7</v>
      </c>
      <c r="EJ181" s="32">
        <v>72.099999999999994</v>
      </c>
      <c r="EK181" s="32">
        <v>71.8</v>
      </c>
      <c r="EL181" s="32">
        <v>74.8</v>
      </c>
      <c r="EM181" s="32">
        <v>70.3</v>
      </c>
      <c r="EN181" s="32">
        <v>71.7</v>
      </c>
      <c r="EO181" s="32">
        <v>91.2</v>
      </c>
      <c r="EP181" s="32">
        <v>95.4</v>
      </c>
      <c r="EQ181" s="32">
        <v>95.4</v>
      </c>
      <c r="ER181" s="32">
        <v>89.4</v>
      </c>
      <c r="ES181" s="32">
        <v>89.4</v>
      </c>
      <c r="ET181" s="32">
        <v>89.7</v>
      </c>
      <c r="EU181" s="32">
        <v>87.3</v>
      </c>
      <c r="EV181" s="32">
        <v>87.3</v>
      </c>
      <c r="EW181" s="32">
        <v>95.6</v>
      </c>
      <c r="EX181" s="32">
        <v>108.4</v>
      </c>
      <c r="EY181" s="32">
        <v>85.7</v>
      </c>
      <c r="EZ181" s="32">
        <v>88.4</v>
      </c>
      <c r="FA181" s="32">
        <v>99.5</v>
      </c>
      <c r="FB181" s="32">
        <v>104.4</v>
      </c>
      <c r="FC181" s="32">
        <v>82.8</v>
      </c>
      <c r="FD181" s="32">
        <v>102.5</v>
      </c>
      <c r="FE181" s="32">
        <v>140.30000000000001</v>
      </c>
      <c r="FF181" s="32">
        <v>93.5</v>
      </c>
      <c r="FG181" s="32">
        <v>82.1</v>
      </c>
      <c r="FH181" s="32">
        <v>87.1</v>
      </c>
      <c r="FI181" s="32">
        <v>90.5</v>
      </c>
      <c r="FJ181" s="32">
        <v>79</v>
      </c>
      <c r="FK181" s="32">
        <v>67.3</v>
      </c>
      <c r="FL181" s="32">
        <v>67.3</v>
      </c>
    </row>
    <row r="182" spans="1:168" x14ac:dyDescent="0.2">
      <c r="A182" s="34" t="s">
        <v>1162</v>
      </c>
      <c r="B182" s="32">
        <v>85.1</v>
      </c>
      <c r="C182" s="32">
        <v>103.4</v>
      </c>
      <c r="D182" s="32">
        <v>87.1</v>
      </c>
      <c r="E182" s="32">
        <v>86.5</v>
      </c>
      <c r="F182" s="32">
        <v>95.5</v>
      </c>
      <c r="G182" s="32">
        <v>2338.9</v>
      </c>
      <c r="H182" s="32">
        <v>95.6</v>
      </c>
      <c r="I182" s="32">
        <v>65.400000000000006</v>
      </c>
      <c r="J182" s="32">
        <v>85.8</v>
      </c>
      <c r="K182" s="32">
        <v>81.5</v>
      </c>
      <c r="L182" s="32">
        <v>75.599999999999994</v>
      </c>
      <c r="M182" s="32">
        <v>70.2</v>
      </c>
      <c r="N182" s="32">
        <v>91.2</v>
      </c>
      <c r="O182" s="32">
        <v>46.3</v>
      </c>
      <c r="P182" s="32">
        <v>90.9</v>
      </c>
      <c r="Q182" s="32">
        <v>55</v>
      </c>
      <c r="R182" s="32">
        <v>71.5</v>
      </c>
      <c r="S182" s="32">
        <v>89.6</v>
      </c>
      <c r="T182" s="32">
        <v>94.8</v>
      </c>
      <c r="U182" s="32">
        <v>69.5</v>
      </c>
      <c r="V182" s="32">
        <v>119.7</v>
      </c>
      <c r="W182" s="32">
        <v>49.2</v>
      </c>
      <c r="X182" s="32">
        <v>40.200000000000003</v>
      </c>
      <c r="Y182" s="32">
        <v>56.2</v>
      </c>
      <c r="Z182" s="32">
        <v>90.8</v>
      </c>
      <c r="AA182" s="32">
        <v>76.8</v>
      </c>
      <c r="AB182" s="32">
        <v>66.900000000000006</v>
      </c>
      <c r="AC182" s="32">
        <v>71.099999999999994</v>
      </c>
      <c r="AD182" s="32">
        <v>90.8</v>
      </c>
      <c r="AE182" s="32">
        <v>33.200000000000003</v>
      </c>
      <c r="AF182" s="32">
        <v>33.200000000000003</v>
      </c>
      <c r="AG182" s="32">
        <v>55.6</v>
      </c>
      <c r="AH182" s="32">
        <v>55.6</v>
      </c>
      <c r="AI182" s="32">
        <v>119.2</v>
      </c>
      <c r="AJ182" s="32">
        <v>21.4</v>
      </c>
      <c r="AK182" s="32">
        <v>91.9</v>
      </c>
      <c r="AL182" s="32">
        <v>54.5</v>
      </c>
      <c r="AM182" s="32">
        <v>66.3</v>
      </c>
      <c r="AN182" s="32">
        <v>70.599999999999994</v>
      </c>
      <c r="AO182" s="32">
        <v>110.2</v>
      </c>
      <c r="AP182" s="32">
        <v>110.2</v>
      </c>
      <c r="AQ182" s="32">
        <v>81.5</v>
      </c>
      <c r="AR182" s="32">
        <v>81.3</v>
      </c>
      <c r="AS182" s="32">
        <v>83.2</v>
      </c>
      <c r="AT182" s="32">
        <v>83.5</v>
      </c>
      <c r="AU182" s="32">
        <v>82.4</v>
      </c>
      <c r="AV182" s="32">
        <v>86.2</v>
      </c>
      <c r="AW182" s="32">
        <v>87</v>
      </c>
      <c r="AX182" s="32">
        <v>89.8</v>
      </c>
      <c r="AY182" s="32">
        <v>102.6</v>
      </c>
      <c r="AZ182" s="32">
        <v>88.8</v>
      </c>
      <c r="BA182" s="32">
        <v>82.7</v>
      </c>
      <c r="BB182" s="32">
        <v>82.7</v>
      </c>
      <c r="BC182" s="32">
        <v>92.4</v>
      </c>
      <c r="BD182" s="32">
        <v>92.4</v>
      </c>
      <c r="BE182" s="32">
        <v>119.1</v>
      </c>
      <c r="BF182" s="32">
        <v>119.1</v>
      </c>
      <c r="BG182" s="32">
        <v>107.8</v>
      </c>
      <c r="BH182" s="32">
        <v>99</v>
      </c>
      <c r="BI182" s="32">
        <v>116.4</v>
      </c>
      <c r="BJ182" s="32">
        <v>52.4</v>
      </c>
      <c r="BK182" s="32">
        <v>143</v>
      </c>
      <c r="BL182" s="32">
        <v>84.2</v>
      </c>
      <c r="BM182" s="32">
        <v>96.5</v>
      </c>
      <c r="BN182" s="32">
        <v>102.2</v>
      </c>
      <c r="BO182" s="32">
        <v>86.3</v>
      </c>
      <c r="BP182" s="32">
        <v>118</v>
      </c>
      <c r="BQ182" s="32">
        <v>89.2</v>
      </c>
      <c r="BR182" s="32">
        <v>82.3</v>
      </c>
      <c r="BS182" s="32">
        <v>141.6</v>
      </c>
      <c r="BT182" s="32">
        <v>76.3</v>
      </c>
      <c r="BU182" s="32">
        <v>78.7</v>
      </c>
      <c r="BV182" s="32">
        <v>78.7</v>
      </c>
      <c r="BW182" s="32">
        <v>106.9</v>
      </c>
      <c r="BX182" s="32">
        <v>37</v>
      </c>
      <c r="BY182" s="32">
        <v>88.9</v>
      </c>
      <c r="BZ182" s="32">
        <v>84.2</v>
      </c>
      <c r="CA182" s="32">
        <v>91.2</v>
      </c>
      <c r="CB182" s="32">
        <v>105</v>
      </c>
      <c r="CC182" s="32">
        <v>80.599999999999994</v>
      </c>
      <c r="CD182" s="32">
        <v>30.5</v>
      </c>
      <c r="CE182" s="32">
        <v>88.3</v>
      </c>
      <c r="CF182" s="32">
        <v>84.5</v>
      </c>
      <c r="CG182" s="32">
        <v>91.4</v>
      </c>
      <c r="CH182" s="32">
        <v>91.2</v>
      </c>
      <c r="CI182" s="32">
        <v>90.7</v>
      </c>
      <c r="CJ182" s="32">
        <v>95.4</v>
      </c>
      <c r="CK182" s="32">
        <v>88.9</v>
      </c>
      <c r="CL182" s="32">
        <v>94.6</v>
      </c>
      <c r="CM182" s="32">
        <v>98.4</v>
      </c>
      <c r="CN182" s="32">
        <v>101</v>
      </c>
      <c r="CO182" s="32">
        <v>98.9</v>
      </c>
      <c r="CP182" s="32">
        <v>115</v>
      </c>
      <c r="CQ182" s="32">
        <v>38.700000000000003</v>
      </c>
      <c r="CR182" s="32">
        <v>98.6</v>
      </c>
      <c r="CS182" s="32">
        <v>108.2</v>
      </c>
      <c r="CT182" s="32">
        <v>89.3</v>
      </c>
      <c r="CU182" s="32">
        <v>74.099999999999994</v>
      </c>
      <c r="CV182" s="32">
        <v>96.1</v>
      </c>
      <c r="CW182" s="32">
        <v>54</v>
      </c>
      <c r="CX182" s="32">
        <v>99.7</v>
      </c>
      <c r="CY182" s="32">
        <v>103.4</v>
      </c>
      <c r="CZ182" s="32">
        <v>97.6</v>
      </c>
      <c r="DA182" s="32">
        <v>87.7</v>
      </c>
      <c r="DB182" s="32">
        <v>116.2</v>
      </c>
      <c r="DC182" s="32">
        <v>19.600000000000001</v>
      </c>
      <c r="DD182" s="32">
        <v>19.600000000000001</v>
      </c>
      <c r="DE182" s="32">
        <v>77.2</v>
      </c>
      <c r="DF182" s="32">
        <v>74.2</v>
      </c>
      <c r="DG182" s="32">
        <v>95.1</v>
      </c>
      <c r="DH182" s="32">
        <v>99</v>
      </c>
      <c r="DI182" s="32">
        <v>129.5</v>
      </c>
      <c r="DJ182" s="32">
        <v>79.400000000000006</v>
      </c>
      <c r="DK182" s="32">
        <v>79.400000000000006</v>
      </c>
      <c r="DL182" s="32">
        <v>67.599999999999994</v>
      </c>
      <c r="DM182" s="32">
        <v>81.400000000000006</v>
      </c>
      <c r="DN182" s="32">
        <v>79.8</v>
      </c>
      <c r="DO182" s="32">
        <v>81.900000000000006</v>
      </c>
      <c r="DP182" s="32">
        <v>81.7</v>
      </c>
      <c r="DQ182" s="32">
        <v>78.599999999999994</v>
      </c>
      <c r="DR182" s="32">
        <v>83.4</v>
      </c>
      <c r="DS182" s="32">
        <v>80.900000000000006</v>
      </c>
      <c r="DT182" s="32">
        <v>79.7</v>
      </c>
      <c r="DU182" s="32">
        <v>84.1</v>
      </c>
      <c r="DV182" s="32">
        <v>92.2</v>
      </c>
      <c r="DW182" s="32">
        <v>74.599999999999994</v>
      </c>
      <c r="DX182" s="32">
        <v>70.8</v>
      </c>
      <c r="DY182" s="32">
        <v>84.9</v>
      </c>
      <c r="DZ182" s="32">
        <v>136.4</v>
      </c>
      <c r="EA182" s="32">
        <v>136.4</v>
      </c>
      <c r="EB182" s="32">
        <v>73.900000000000006</v>
      </c>
      <c r="EC182" s="32">
        <v>75.599999999999994</v>
      </c>
      <c r="ED182" s="32">
        <v>72.099999999999994</v>
      </c>
      <c r="EE182" s="32">
        <v>72.3</v>
      </c>
      <c r="EF182" s="32">
        <v>71.3</v>
      </c>
      <c r="EG182" s="32">
        <v>71.5</v>
      </c>
      <c r="EH182" s="32">
        <v>69.599999999999994</v>
      </c>
      <c r="EI182" s="32">
        <v>70.099999999999994</v>
      </c>
      <c r="EJ182" s="32">
        <v>74.3</v>
      </c>
      <c r="EK182" s="32">
        <v>73.099999999999994</v>
      </c>
      <c r="EL182" s="32">
        <v>75</v>
      </c>
      <c r="EM182" s="32">
        <v>70.099999999999994</v>
      </c>
      <c r="EN182" s="32">
        <v>74.2</v>
      </c>
      <c r="EO182" s="32">
        <v>90.8</v>
      </c>
      <c r="EP182" s="32">
        <v>95.5</v>
      </c>
      <c r="EQ182" s="32">
        <v>95.5</v>
      </c>
      <c r="ER182" s="32">
        <v>88.2</v>
      </c>
      <c r="ES182" s="32">
        <v>88.2</v>
      </c>
      <c r="ET182" s="32">
        <v>89.7</v>
      </c>
      <c r="EU182" s="32">
        <v>87.6</v>
      </c>
      <c r="EV182" s="32">
        <v>87.6</v>
      </c>
      <c r="EW182" s="32">
        <v>95.1</v>
      </c>
      <c r="EX182" s="32">
        <v>107.9</v>
      </c>
      <c r="EY182" s="32">
        <v>85.1</v>
      </c>
      <c r="EZ182" s="32">
        <v>88.1</v>
      </c>
      <c r="FA182" s="32">
        <v>98.1</v>
      </c>
      <c r="FB182" s="32">
        <v>105</v>
      </c>
      <c r="FC182" s="32">
        <v>84.7</v>
      </c>
      <c r="FD182" s="32">
        <v>104.9</v>
      </c>
      <c r="FE182" s="32">
        <v>137.69999999999999</v>
      </c>
      <c r="FF182" s="32">
        <v>89.8</v>
      </c>
      <c r="FG182" s="32">
        <v>82.1</v>
      </c>
      <c r="FH182" s="32">
        <v>87</v>
      </c>
      <c r="FI182" s="32">
        <v>94.8</v>
      </c>
      <c r="FJ182" s="32">
        <v>78.5</v>
      </c>
      <c r="FK182" s="32">
        <v>71</v>
      </c>
      <c r="FL182" s="32">
        <v>71</v>
      </c>
    </row>
    <row r="183" spans="1:168" x14ac:dyDescent="0.2">
      <c r="A183" s="34" t="s">
        <v>1163</v>
      </c>
      <c r="B183" s="32">
        <v>84.2</v>
      </c>
      <c r="C183" s="32">
        <v>103.7</v>
      </c>
      <c r="D183" s="32">
        <v>86.6</v>
      </c>
      <c r="E183" s="32">
        <v>86.2</v>
      </c>
      <c r="F183" s="32">
        <v>99</v>
      </c>
      <c r="G183" s="32">
        <v>2207</v>
      </c>
      <c r="H183" s="32">
        <v>99</v>
      </c>
      <c r="I183" s="32">
        <v>67.900000000000006</v>
      </c>
      <c r="J183" s="32">
        <v>85</v>
      </c>
      <c r="K183" s="32">
        <v>81.900000000000006</v>
      </c>
      <c r="L183" s="32">
        <v>74.3</v>
      </c>
      <c r="M183" s="32">
        <v>65.7</v>
      </c>
      <c r="N183" s="32">
        <v>90</v>
      </c>
      <c r="O183" s="32">
        <v>45.6</v>
      </c>
      <c r="P183" s="32">
        <v>90.5</v>
      </c>
      <c r="Q183" s="32">
        <v>54.9</v>
      </c>
      <c r="R183" s="32">
        <v>71.2</v>
      </c>
      <c r="S183" s="32">
        <v>89.9</v>
      </c>
      <c r="T183" s="32">
        <v>91.3</v>
      </c>
      <c r="U183" s="32">
        <v>71.2</v>
      </c>
      <c r="V183" s="32">
        <v>129.69999999999999</v>
      </c>
      <c r="W183" s="32">
        <v>50.2</v>
      </c>
      <c r="X183" s="32">
        <v>41.5</v>
      </c>
      <c r="Y183" s="32">
        <v>55.8</v>
      </c>
      <c r="Z183" s="32">
        <v>95.5</v>
      </c>
      <c r="AA183" s="32">
        <v>78</v>
      </c>
      <c r="AB183" s="32">
        <v>64.8</v>
      </c>
      <c r="AC183" s="32">
        <v>70.3</v>
      </c>
      <c r="AD183" s="32">
        <v>96</v>
      </c>
      <c r="AE183" s="32">
        <v>28.6</v>
      </c>
      <c r="AF183" s="32">
        <v>28.6</v>
      </c>
      <c r="AG183" s="32">
        <v>59.6</v>
      </c>
      <c r="AH183" s="32">
        <v>59.6</v>
      </c>
      <c r="AI183" s="32">
        <v>111</v>
      </c>
      <c r="AJ183" s="32">
        <v>25.3</v>
      </c>
      <c r="AK183" s="32">
        <v>98.2</v>
      </c>
      <c r="AL183" s="32">
        <v>58.2</v>
      </c>
      <c r="AM183" s="32">
        <v>66.7</v>
      </c>
      <c r="AN183" s="32">
        <v>73.3</v>
      </c>
      <c r="AO183" s="32">
        <v>110.2</v>
      </c>
      <c r="AP183" s="32">
        <v>110.2</v>
      </c>
      <c r="AQ183" s="32">
        <v>81.8</v>
      </c>
      <c r="AR183" s="32">
        <v>80</v>
      </c>
      <c r="AS183" s="32">
        <v>85.9</v>
      </c>
      <c r="AT183" s="32">
        <v>84.2</v>
      </c>
      <c r="AU183" s="32">
        <v>87</v>
      </c>
      <c r="AV183" s="32">
        <v>82.9</v>
      </c>
      <c r="AW183" s="32">
        <v>88.5</v>
      </c>
      <c r="AX183" s="32">
        <v>91</v>
      </c>
      <c r="AY183" s="32">
        <v>104.9</v>
      </c>
      <c r="AZ183" s="32">
        <v>84.1</v>
      </c>
      <c r="BA183" s="32">
        <v>83.6</v>
      </c>
      <c r="BB183" s="32">
        <v>83.6</v>
      </c>
      <c r="BC183" s="32">
        <v>91</v>
      </c>
      <c r="BD183" s="32">
        <v>91</v>
      </c>
      <c r="BE183" s="32">
        <v>113.6</v>
      </c>
      <c r="BF183" s="32">
        <v>113.6</v>
      </c>
      <c r="BG183" s="32">
        <v>105.3</v>
      </c>
      <c r="BH183" s="32">
        <v>95.3</v>
      </c>
      <c r="BI183" s="32">
        <v>115.5</v>
      </c>
      <c r="BJ183" s="32">
        <v>51.2</v>
      </c>
      <c r="BK183" s="32">
        <v>142.19999999999999</v>
      </c>
      <c r="BL183" s="32">
        <v>83.3</v>
      </c>
      <c r="BM183" s="32">
        <v>95.5</v>
      </c>
      <c r="BN183" s="32">
        <v>99.7</v>
      </c>
      <c r="BO183" s="32">
        <v>85.2</v>
      </c>
      <c r="BP183" s="32">
        <v>114</v>
      </c>
      <c r="BQ183" s="32">
        <v>90.2</v>
      </c>
      <c r="BR183" s="32">
        <v>76.900000000000006</v>
      </c>
      <c r="BS183" s="32">
        <v>123.3</v>
      </c>
      <c r="BT183" s="32">
        <v>82.6</v>
      </c>
      <c r="BU183" s="32">
        <v>75</v>
      </c>
      <c r="BV183" s="32">
        <v>75</v>
      </c>
      <c r="BW183" s="32">
        <v>102.5</v>
      </c>
      <c r="BX183" s="32">
        <v>34.700000000000003</v>
      </c>
      <c r="BY183" s="32">
        <v>93.4</v>
      </c>
      <c r="BZ183" s="32">
        <v>84.8</v>
      </c>
      <c r="CA183" s="32">
        <v>97.8</v>
      </c>
      <c r="CB183" s="32">
        <v>110.7</v>
      </c>
      <c r="CC183" s="32">
        <v>87.9</v>
      </c>
      <c r="CD183" s="32">
        <v>31.6</v>
      </c>
      <c r="CE183" s="32">
        <v>87.2</v>
      </c>
      <c r="CF183" s="32">
        <v>83.6</v>
      </c>
      <c r="CG183" s="32">
        <v>90.9</v>
      </c>
      <c r="CH183" s="32">
        <v>91.7</v>
      </c>
      <c r="CI183" s="32">
        <v>91.5</v>
      </c>
      <c r="CJ183" s="32">
        <v>95.5</v>
      </c>
      <c r="CK183" s="32">
        <v>89.6</v>
      </c>
      <c r="CL183" s="32">
        <v>91.7</v>
      </c>
      <c r="CM183" s="32">
        <v>96.3</v>
      </c>
      <c r="CN183" s="32">
        <v>101.9</v>
      </c>
      <c r="CO183" s="32">
        <v>96.1</v>
      </c>
      <c r="CP183" s="32">
        <v>115.7</v>
      </c>
      <c r="CQ183" s="32">
        <v>38.200000000000003</v>
      </c>
      <c r="CR183" s="32">
        <v>92.1</v>
      </c>
      <c r="CS183" s="32">
        <v>107.6</v>
      </c>
      <c r="CT183" s="32">
        <v>87.7</v>
      </c>
      <c r="CU183" s="32">
        <v>76.7</v>
      </c>
      <c r="CV183" s="32">
        <v>92.5</v>
      </c>
      <c r="CW183" s="32">
        <v>52.9</v>
      </c>
      <c r="CX183" s="32">
        <v>94.2</v>
      </c>
      <c r="CY183" s="32">
        <v>104.5</v>
      </c>
      <c r="CZ183" s="32">
        <v>88.8</v>
      </c>
      <c r="DA183" s="32">
        <v>73.900000000000006</v>
      </c>
      <c r="DB183" s="32">
        <v>117.7</v>
      </c>
      <c r="DC183" s="32">
        <v>19.5</v>
      </c>
      <c r="DD183" s="32">
        <v>19.5</v>
      </c>
      <c r="DE183" s="32">
        <v>76</v>
      </c>
      <c r="DF183" s="32">
        <v>73.400000000000006</v>
      </c>
      <c r="DG183" s="32">
        <v>92.1</v>
      </c>
      <c r="DH183" s="32">
        <v>97.1</v>
      </c>
      <c r="DI183" s="32">
        <v>127.3</v>
      </c>
      <c r="DJ183" s="32">
        <v>80</v>
      </c>
      <c r="DK183" s="32">
        <v>80</v>
      </c>
      <c r="DL183" s="32">
        <v>63.7</v>
      </c>
      <c r="DM183" s="32">
        <v>81.400000000000006</v>
      </c>
      <c r="DN183" s="32">
        <v>79.8</v>
      </c>
      <c r="DO183" s="32">
        <v>82.1</v>
      </c>
      <c r="DP183" s="32">
        <v>77.599999999999994</v>
      </c>
      <c r="DQ183" s="32">
        <v>75.900000000000006</v>
      </c>
      <c r="DR183" s="32">
        <v>80.3</v>
      </c>
      <c r="DS183" s="32">
        <v>78.900000000000006</v>
      </c>
      <c r="DT183" s="32">
        <v>76.900000000000006</v>
      </c>
      <c r="DU183" s="32">
        <v>79.8</v>
      </c>
      <c r="DV183" s="32">
        <v>87.9</v>
      </c>
      <c r="DW183" s="32">
        <v>70.400000000000006</v>
      </c>
      <c r="DX183" s="32">
        <v>70.900000000000006</v>
      </c>
      <c r="DY183" s="32">
        <v>85.7</v>
      </c>
      <c r="DZ183" s="32">
        <v>127</v>
      </c>
      <c r="EA183" s="32">
        <v>127</v>
      </c>
      <c r="EB183" s="32">
        <v>69.3</v>
      </c>
      <c r="EC183" s="32">
        <v>70.2</v>
      </c>
      <c r="ED183" s="32">
        <v>68.5</v>
      </c>
      <c r="EE183" s="32">
        <v>68.099999999999994</v>
      </c>
      <c r="EF183" s="32">
        <v>69.5</v>
      </c>
      <c r="EG183" s="32">
        <v>69.599999999999994</v>
      </c>
      <c r="EH183" s="32">
        <v>68.5</v>
      </c>
      <c r="EI183" s="32">
        <v>65.099999999999994</v>
      </c>
      <c r="EJ183" s="32">
        <v>72.2</v>
      </c>
      <c r="EK183" s="32">
        <v>73.099999999999994</v>
      </c>
      <c r="EL183" s="32">
        <v>73.900000000000006</v>
      </c>
      <c r="EM183" s="32">
        <v>71</v>
      </c>
      <c r="EN183" s="32">
        <v>73.8</v>
      </c>
      <c r="EO183" s="32">
        <v>90.9</v>
      </c>
      <c r="EP183" s="32">
        <v>94.9</v>
      </c>
      <c r="EQ183" s="32">
        <v>94.9</v>
      </c>
      <c r="ER183" s="32">
        <v>90.2</v>
      </c>
      <c r="ES183" s="32">
        <v>90.2</v>
      </c>
      <c r="ET183" s="32">
        <v>88.8</v>
      </c>
      <c r="EU183" s="32">
        <v>86.6</v>
      </c>
      <c r="EV183" s="32">
        <v>86.6</v>
      </c>
      <c r="EW183" s="32">
        <v>94.3</v>
      </c>
      <c r="EX183" s="32">
        <v>107.7</v>
      </c>
      <c r="EY183" s="32">
        <v>83.8</v>
      </c>
      <c r="EZ183" s="32">
        <v>85.7</v>
      </c>
      <c r="FA183" s="32">
        <v>96.8</v>
      </c>
      <c r="FB183" s="32">
        <v>102.4</v>
      </c>
      <c r="FC183" s="32">
        <v>84.5</v>
      </c>
      <c r="FD183" s="32">
        <v>100.8</v>
      </c>
      <c r="FE183" s="32">
        <v>131.6</v>
      </c>
      <c r="FF183" s="32">
        <v>90</v>
      </c>
      <c r="FG183" s="32">
        <v>79.599999999999994</v>
      </c>
      <c r="FH183" s="32">
        <v>86.3</v>
      </c>
      <c r="FI183" s="32">
        <v>94.7</v>
      </c>
      <c r="FJ183" s="32">
        <v>75</v>
      </c>
      <c r="FK183" s="32">
        <v>62.3</v>
      </c>
      <c r="FL183" s="32">
        <v>62.3</v>
      </c>
    </row>
    <row r="184" spans="1:168" x14ac:dyDescent="0.2">
      <c r="A184" s="34" t="s">
        <v>1164</v>
      </c>
      <c r="B184" s="32">
        <v>85.3</v>
      </c>
      <c r="C184" s="32">
        <v>101.9</v>
      </c>
      <c r="D184" s="32">
        <v>87.3</v>
      </c>
      <c r="E184" s="32">
        <v>86.6</v>
      </c>
      <c r="F184" s="32">
        <v>97.9</v>
      </c>
      <c r="G184" s="32">
        <v>1992.5</v>
      </c>
      <c r="H184" s="32">
        <v>97.8</v>
      </c>
      <c r="I184" s="32">
        <v>69.400000000000006</v>
      </c>
      <c r="J184" s="32">
        <v>85.8</v>
      </c>
      <c r="K184" s="32">
        <v>82.7</v>
      </c>
      <c r="L184" s="32">
        <v>75.400000000000006</v>
      </c>
      <c r="M184" s="32">
        <v>70.8</v>
      </c>
      <c r="N184" s="32">
        <v>86.7</v>
      </c>
      <c r="O184" s="32">
        <v>45.5</v>
      </c>
      <c r="P184" s="32">
        <v>93</v>
      </c>
      <c r="Q184" s="32">
        <v>59.4</v>
      </c>
      <c r="R184" s="32">
        <v>71.400000000000006</v>
      </c>
      <c r="S184" s="32">
        <v>90</v>
      </c>
      <c r="T184" s="32">
        <v>91</v>
      </c>
      <c r="U184" s="32">
        <v>71.5</v>
      </c>
      <c r="V184" s="32">
        <v>128.9</v>
      </c>
      <c r="W184" s="32">
        <v>51.3</v>
      </c>
      <c r="X184" s="32">
        <v>43.9</v>
      </c>
      <c r="Y184" s="32">
        <v>53.5</v>
      </c>
      <c r="Z184" s="32">
        <v>98.9</v>
      </c>
      <c r="AA184" s="32">
        <v>77.8</v>
      </c>
      <c r="AB184" s="32">
        <v>67.8</v>
      </c>
      <c r="AC184" s="32">
        <v>70</v>
      </c>
      <c r="AD184" s="32">
        <v>93.7</v>
      </c>
      <c r="AE184" s="32">
        <v>25.9</v>
      </c>
      <c r="AF184" s="32">
        <v>25.9</v>
      </c>
      <c r="AG184" s="32">
        <v>62.2</v>
      </c>
      <c r="AH184" s="32">
        <v>62.2</v>
      </c>
      <c r="AI184" s="32">
        <v>100.4</v>
      </c>
      <c r="AJ184" s="32">
        <v>32.799999999999997</v>
      </c>
      <c r="AK184" s="32">
        <v>93.3</v>
      </c>
      <c r="AL184" s="32">
        <v>57.7</v>
      </c>
      <c r="AM184" s="32">
        <v>63.5</v>
      </c>
      <c r="AN184" s="32">
        <v>73</v>
      </c>
      <c r="AO184" s="32">
        <v>109.2</v>
      </c>
      <c r="AP184" s="32">
        <v>109.2</v>
      </c>
      <c r="AQ184" s="32">
        <v>81.599999999999994</v>
      </c>
      <c r="AR184" s="32">
        <v>79.8</v>
      </c>
      <c r="AS184" s="32">
        <v>85.9</v>
      </c>
      <c r="AT184" s="32">
        <v>84</v>
      </c>
      <c r="AU184" s="32">
        <v>87.3</v>
      </c>
      <c r="AV184" s="32">
        <v>84.8</v>
      </c>
      <c r="AW184" s="32">
        <v>95.3</v>
      </c>
      <c r="AX184" s="32">
        <v>98</v>
      </c>
      <c r="AY184" s="32">
        <v>113</v>
      </c>
      <c r="AZ184" s="32">
        <v>84.7</v>
      </c>
      <c r="BA184" s="32">
        <v>82.4</v>
      </c>
      <c r="BB184" s="32">
        <v>82.4</v>
      </c>
      <c r="BC184" s="32">
        <v>92.2</v>
      </c>
      <c r="BD184" s="32">
        <v>92.2</v>
      </c>
      <c r="BE184" s="32">
        <v>113.3</v>
      </c>
      <c r="BF184" s="32">
        <v>113.3</v>
      </c>
      <c r="BG184" s="32">
        <v>103.8</v>
      </c>
      <c r="BH184" s="32">
        <v>92.8</v>
      </c>
      <c r="BI184" s="32">
        <v>115.1</v>
      </c>
      <c r="BJ184" s="32">
        <v>50.6</v>
      </c>
      <c r="BK184" s="32">
        <v>141.69999999999999</v>
      </c>
      <c r="BL184" s="32">
        <v>84</v>
      </c>
      <c r="BM184" s="32">
        <v>101</v>
      </c>
      <c r="BN184" s="32">
        <v>106.4</v>
      </c>
      <c r="BO184" s="32">
        <v>89.3</v>
      </c>
      <c r="BP184" s="32">
        <v>123.4</v>
      </c>
      <c r="BQ184" s="32">
        <v>94.1</v>
      </c>
      <c r="BR184" s="32">
        <v>89.9</v>
      </c>
      <c r="BS184" s="32">
        <v>135.4</v>
      </c>
      <c r="BT184" s="32">
        <v>82.9</v>
      </c>
      <c r="BU184" s="32">
        <v>73.5</v>
      </c>
      <c r="BV184" s="32">
        <v>73.5</v>
      </c>
      <c r="BW184" s="32">
        <v>104.3</v>
      </c>
      <c r="BX184" s="32">
        <v>30.6</v>
      </c>
      <c r="BY184" s="32">
        <v>94</v>
      </c>
      <c r="BZ184" s="32">
        <v>83.5</v>
      </c>
      <c r="CA184" s="32">
        <v>99.4</v>
      </c>
      <c r="CB184" s="32">
        <v>118.9</v>
      </c>
      <c r="CC184" s="32">
        <v>84</v>
      </c>
      <c r="CD184" s="32">
        <v>32.200000000000003</v>
      </c>
      <c r="CE184" s="32">
        <v>89</v>
      </c>
      <c r="CF184" s="32">
        <v>84.8</v>
      </c>
      <c r="CG184" s="32">
        <v>90.9</v>
      </c>
      <c r="CH184" s="32">
        <v>91</v>
      </c>
      <c r="CI184" s="32">
        <v>90.7</v>
      </c>
      <c r="CJ184" s="32">
        <v>94.7</v>
      </c>
      <c r="CK184" s="32">
        <v>89</v>
      </c>
      <c r="CL184" s="32">
        <v>94.2</v>
      </c>
      <c r="CM184" s="32">
        <v>97.6</v>
      </c>
      <c r="CN184" s="32">
        <v>103.2</v>
      </c>
      <c r="CO184" s="32">
        <v>97.4</v>
      </c>
      <c r="CP184" s="32">
        <v>117.8</v>
      </c>
      <c r="CQ184" s="32">
        <v>38</v>
      </c>
      <c r="CR184" s="32">
        <v>94.9</v>
      </c>
      <c r="CS184" s="32">
        <v>114.3</v>
      </c>
      <c r="CT184" s="32">
        <v>87.2</v>
      </c>
      <c r="CU184" s="32">
        <v>74.599999999999994</v>
      </c>
      <c r="CV184" s="32">
        <v>92.8</v>
      </c>
      <c r="CW184" s="32">
        <v>54.4</v>
      </c>
      <c r="CX184" s="32">
        <v>94.9</v>
      </c>
      <c r="CY184" s="32">
        <v>112.2</v>
      </c>
      <c r="CZ184" s="32">
        <v>85.6</v>
      </c>
      <c r="DA184" s="32">
        <v>70.099999999999994</v>
      </c>
      <c r="DB184" s="32">
        <v>115.7</v>
      </c>
      <c r="DC184" s="32">
        <v>20.3</v>
      </c>
      <c r="DD184" s="32">
        <v>20.3</v>
      </c>
      <c r="DE184" s="32">
        <v>78.599999999999994</v>
      </c>
      <c r="DF184" s="32">
        <v>75.7</v>
      </c>
      <c r="DG184" s="32">
        <v>96.3</v>
      </c>
      <c r="DH184" s="32">
        <v>100.9</v>
      </c>
      <c r="DI184" s="32">
        <v>132.30000000000001</v>
      </c>
      <c r="DJ184" s="32">
        <v>81</v>
      </c>
      <c r="DK184" s="32">
        <v>81</v>
      </c>
      <c r="DL184" s="32">
        <v>68.400000000000006</v>
      </c>
      <c r="DM184" s="32">
        <v>82.5</v>
      </c>
      <c r="DN184" s="32">
        <v>82.1</v>
      </c>
      <c r="DO184" s="32">
        <v>82.8</v>
      </c>
      <c r="DP184" s="32">
        <v>77.5</v>
      </c>
      <c r="DQ184" s="32">
        <v>78</v>
      </c>
      <c r="DR184" s="32">
        <v>82.3</v>
      </c>
      <c r="DS184" s="32">
        <v>80.2</v>
      </c>
      <c r="DT184" s="32">
        <v>78.5</v>
      </c>
      <c r="DU184" s="32">
        <v>80.5</v>
      </c>
      <c r="DV184" s="32">
        <v>85.6</v>
      </c>
      <c r="DW184" s="32">
        <v>74.5</v>
      </c>
      <c r="DX184" s="32">
        <v>74.3</v>
      </c>
      <c r="DY184" s="32">
        <v>86.1</v>
      </c>
      <c r="DZ184" s="32">
        <v>129.9</v>
      </c>
      <c r="EA184" s="32">
        <v>129.9</v>
      </c>
      <c r="EB184" s="32">
        <v>73</v>
      </c>
      <c r="EC184" s="32">
        <v>76.5</v>
      </c>
      <c r="ED184" s="32">
        <v>69</v>
      </c>
      <c r="EE184" s="32">
        <v>67.599999999999994</v>
      </c>
      <c r="EF184" s="32">
        <v>72.3</v>
      </c>
      <c r="EG184" s="32">
        <v>71.7</v>
      </c>
      <c r="EH184" s="32">
        <v>70</v>
      </c>
      <c r="EI184" s="32">
        <v>68.900000000000006</v>
      </c>
      <c r="EJ184" s="32">
        <v>74.900000000000006</v>
      </c>
      <c r="EK184" s="32">
        <v>74.2</v>
      </c>
      <c r="EL184" s="32">
        <v>71.2</v>
      </c>
      <c r="EM184" s="32">
        <v>70.400000000000006</v>
      </c>
      <c r="EN184" s="32">
        <v>76.900000000000006</v>
      </c>
      <c r="EO184" s="32">
        <v>91.3</v>
      </c>
      <c r="EP184" s="32">
        <v>94.7</v>
      </c>
      <c r="EQ184" s="32">
        <v>94.7</v>
      </c>
      <c r="ER184" s="32">
        <v>90.4</v>
      </c>
      <c r="ES184" s="32">
        <v>90.4</v>
      </c>
      <c r="ET184" s="32">
        <v>89.8</v>
      </c>
      <c r="EU184" s="32">
        <v>88.1</v>
      </c>
      <c r="EV184" s="32">
        <v>88.1</v>
      </c>
      <c r="EW184" s="32">
        <v>93.8</v>
      </c>
      <c r="EX184" s="32">
        <v>107.8</v>
      </c>
      <c r="EY184" s="32">
        <v>82.9</v>
      </c>
      <c r="EZ184" s="32">
        <v>86.8</v>
      </c>
      <c r="FA184" s="32">
        <v>95.5</v>
      </c>
      <c r="FB184" s="32">
        <v>101.6</v>
      </c>
      <c r="FC184" s="32">
        <v>85.8</v>
      </c>
      <c r="FD184" s="32">
        <v>101.7</v>
      </c>
      <c r="FE184" s="32">
        <v>126.2</v>
      </c>
      <c r="FF184" s="32">
        <v>88.2</v>
      </c>
      <c r="FG184" s="32">
        <v>82.4</v>
      </c>
      <c r="FH184" s="32">
        <v>85.9</v>
      </c>
      <c r="FI184" s="32">
        <v>93.5</v>
      </c>
      <c r="FJ184" s="32">
        <v>79.599999999999994</v>
      </c>
      <c r="FK184" s="32">
        <v>64.2</v>
      </c>
      <c r="FL184" s="32">
        <v>64.2</v>
      </c>
    </row>
    <row r="185" spans="1:168" x14ac:dyDescent="0.2">
      <c r="A185" s="34" t="s">
        <v>1165</v>
      </c>
      <c r="B185" s="32">
        <v>86.1</v>
      </c>
      <c r="C185" s="32">
        <v>97.8</v>
      </c>
      <c r="D185" s="32">
        <v>88.9</v>
      </c>
      <c r="E185" s="32">
        <v>87.4</v>
      </c>
      <c r="F185" s="32">
        <v>94</v>
      </c>
      <c r="G185" s="32">
        <v>1920.4</v>
      </c>
      <c r="H185" s="32">
        <v>92.8</v>
      </c>
      <c r="I185" s="32">
        <v>72.2</v>
      </c>
      <c r="J185" s="32">
        <v>87.1</v>
      </c>
      <c r="K185" s="32">
        <v>84.3</v>
      </c>
      <c r="L185" s="32">
        <v>76.7</v>
      </c>
      <c r="M185" s="32">
        <v>67.8</v>
      </c>
      <c r="N185" s="32">
        <v>84.3</v>
      </c>
      <c r="O185" s="32">
        <v>49</v>
      </c>
      <c r="P185" s="32">
        <v>98</v>
      </c>
      <c r="Q185" s="32">
        <v>62.3</v>
      </c>
      <c r="R185" s="32">
        <v>73.900000000000006</v>
      </c>
      <c r="S185" s="32">
        <v>93.6</v>
      </c>
      <c r="T185" s="32">
        <v>91.4</v>
      </c>
      <c r="U185" s="32">
        <v>73.2</v>
      </c>
      <c r="V185" s="32">
        <v>132.4</v>
      </c>
      <c r="W185" s="32">
        <v>54.9</v>
      </c>
      <c r="X185" s="32">
        <v>45.7</v>
      </c>
      <c r="Y185" s="32">
        <v>58.6</v>
      </c>
      <c r="Z185" s="32">
        <v>115.7</v>
      </c>
      <c r="AA185" s="32">
        <v>80.5</v>
      </c>
      <c r="AB185" s="32">
        <v>67.7</v>
      </c>
      <c r="AC185" s="32">
        <v>75.2</v>
      </c>
      <c r="AD185" s="32">
        <v>95.9</v>
      </c>
      <c r="AE185" s="32">
        <v>22.8</v>
      </c>
      <c r="AF185" s="32">
        <v>22.8</v>
      </c>
      <c r="AG185" s="32">
        <v>68.599999999999994</v>
      </c>
      <c r="AH185" s="32">
        <v>68.599999999999994</v>
      </c>
      <c r="AI185" s="32">
        <v>112.9</v>
      </c>
      <c r="AJ185" s="32">
        <v>40.799999999999997</v>
      </c>
      <c r="AK185" s="32">
        <v>93.8</v>
      </c>
      <c r="AL185" s="32">
        <v>61.5</v>
      </c>
      <c r="AM185" s="32">
        <v>65</v>
      </c>
      <c r="AN185" s="32">
        <v>73.3</v>
      </c>
      <c r="AO185" s="32">
        <v>108.3</v>
      </c>
      <c r="AP185" s="32">
        <v>108.3</v>
      </c>
      <c r="AQ185" s="32">
        <v>82.8</v>
      </c>
      <c r="AR185" s="32">
        <v>80.8</v>
      </c>
      <c r="AS185" s="32">
        <v>87.5</v>
      </c>
      <c r="AT185" s="32">
        <v>85.7</v>
      </c>
      <c r="AU185" s="32">
        <v>88.8</v>
      </c>
      <c r="AV185" s="32">
        <v>88.8</v>
      </c>
      <c r="AW185" s="32">
        <v>93.7</v>
      </c>
      <c r="AX185" s="32">
        <v>91</v>
      </c>
      <c r="AY185" s="32">
        <v>123</v>
      </c>
      <c r="AZ185" s="32">
        <v>90.3</v>
      </c>
      <c r="BA185" s="32">
        <v>80.900000000000006</v>
      </c>
      <c r="BB185" s="32">
        <v>80.900000000000006</v>
      </c>
      <c r="BC185" s="32">
        <v>91.6</v>
      </c>
      <c r="BD185" s="32">
        <v>91.6</v>
      </c>
      <c r="BE185" s="32">
        <v>108.7</v>
      </c>
      <c r="BF185" s="32">
        <v>108.7</v>
      </c>
      <c r="BG185" s="32">
        <v>103.1</v>
      </c>
      <c r="BH185" s="32">
        <v>96.1</v>
      </c>
      <c r="BI185" s="32">
        <v>109.7</v>
      </c>
      <c r="BJ185" s="32">
        <v>50</v>
      </c>
      <c r="BK185" s="32">
        <v>134</v>
      </c>
      <c r="BL185" s="32">
        <v>81.5</v>
      </c>
      <c r="BM185" s="32">
        <v>102.2</v>
      </c>
      <c r="BN185" s="32">
        <v>107.2</v>
      </c>
      <c r="BO185" s="32">
        <v>91.8</v>
      </c>
      <c r="BP185" s="32">
        <v>122.3</v>
      </c>
      <c r="BQ185" s="32">
        <v>95.9</v>
      </c>
      <c r="BR185" s="32">
        <v>78.5</v>
      </c>
      <c r="BS185" s="32">
        <v>147.5</v>
      </c>
      <c r="BT185" s="32">
        <v>84.7</v>
      </c>
      <c r="BU185" s="32">
        <v>75.599999999999994</v>
      </c>
      <c r="BV185" s="32">
        <v>75.599999999999994</v>
      </c>
      <c r="BW185" s="32">
        <v>106.6</v>
      </c>
      <c r="BX185" s="32">
        <v>32.200000000000003</v>
      </c>
      <c r="BY185" s="32">
        <v>95.4</v>
      </c>
      <c r="BZ185" s="32">
        <v>84</v>
      </c>
      <c r="CA185" s="32">
        <v>101.1</v>
      </c>
      <c r="CB185" s="32">
        <v>122.1</v>
      </c>
      <c r="CC185" s="32">
        <v>84.3</v>
      </c>
      <c r="CD185" s="32">
        <v>38</v>
      </c>
      <c r="CE185" s="32">
        <v>92.8</v>
      </c>
      <c r="CF185" s="32">
        <v>85.3</v>
      </c>
      <c r="CG185" s="32">
        <v>91.8</v>
      </c>
      <c r="CH185" s="32">
        <v>91.6</v>
      </c>
      <c r="CI185" s="32">
        <v>86.6</v>
      </c>
      <c r="CJ185" s="32">
        <v>97.9</v>
      </c>
      <c r="CK185" s="32">
        <v>89.2</v>
      </c>
      <c r="CL185" s="32">
        <v>95.5</v>
      </c>
      <c r="CM185" s="32">
        <v>97.9</v>
      </c>
      <c r="CN185" s="32">
        <v>106</v>
      </c>
      <c r="CO185" s="32">
        <v>97.2</v>
      </c>
      <c r="CP185" s="32">
        <v>119.3</v>
      </c>
      <c r="CQ185" s="32">
        <v>39.4</v>
      </c>
      <c r="CR185" s="32">
        <v>95.7</v>
      </c>
      <c r="CS185" s="32">
        <v>119</v>
      </c>
      <c r="CT185" s="32">
        <v>88.4</v>
      </c>
      <c r="CU185" s="32">
        <v>75.400000000000006</v>
      </c>
      <c r="CV185" s="32">
        <v>94</v>
      </c>
      <c r="CW185" s="32">
        <v>53.8</v>
      </c>
      <c r="CX185" s="32">
        <v>95.6</v>
      </c>
      <c r="CY185" s="32">
        <v>107.3</v>
      </c>
      <c r="CZ185" s="32">
        <v>89.4</v>
      </c>
      <c r="DA185" s="32">
        <v>75.3</v>
      </c>
      <c r="DB185" s="32">
        <v>116.8</v>
      </c>
      <c r="DC185" s="32">
        <v>20.100000000000001</v>
      </c>
      <c r="DD185" s="32">
        <v>20.100000000000001</v>
      </c>
      <c r="DE185" s="32">
        <v>77.2</v>
      </c>
      <c r="DF185" s="32">
        <v>73.7</v>
      </c>
      <c r="DG185" s="32">
        <v>97.9</v>
      </c>
      <c r="DH185" s="32">
        <v>104.1</v>
      </c>
      <c r="DI185" s="32">
        <v>135.30000000000001</v>
      </c>
      <c r="DJ185" s="32">
        <v>83</v>
      </c>
      <c r="DK185" s="32">
        <v>83</v>
      </c>
      <c r="DL185" s="32">
        <v>72.900000000000006</v>
      </c>
      <c r="DM185" s="32">
        <v>83.2</v>
      </c>
      <c r="DN185" s="32">
        <v>82.1</v>
      </c>
      <c r="DO185" s="32">
        <v>83.4</v>
      </c>
      <c r="DP185" s="32">
        <v>89</v>
      </c>
      <c r="DQ185" s="32">
        <v>78.099999999999994</v>
      </c>
      <c r="DR185" s="32">
        <v>83.6</v>
      </c>
      <c r="DS185" s="32">
        <v>81.3</v>
      </c>
      <c r="DT185" s="32">
        <v>79.900000000000006</v>
      </c>
      <c r="DU185" s="32">
        <v>82.6</v>
      </c>
      <c r="DV185" s="32">
        <v>88</v>
      </c>
      <c r="DW185" s="32">
        <v>76.2</v>
      </c>
      <c r="DX185" s="32">
        <v>74.5</v>
      </c>
      <c r="DY185" s="32">
        <v>86.1</v>
      </c>
      <c r="DZ185" s="32">
        <v>135.1</v>
      </c>
      <c r="EA185" s="32">
        <v>135.1</v>
      </c>
      <c r="EB185" s="32">
        <v>73.5</v>
      </c>
      <c r="EC185" s="32">
        <v>76.900000000000006</v>
      </c>
      <c r="ED185" s="32">
        <v>69.5</v>
      </c>
      <c r="EE185" s="32">
        <v>67.5</v>
      </c>
      <c r="EF185" s="32">
        <v>74.2</v>
      </c>
      <c r="EG185" s="32">
        <v>70.3</v>
      </c>
      <c r="EH185" s="32">
        <v>68.400000000000006</v>
      </c>
      <c r="EI185" s="32">
        <v>68.5</v>
      </c>
      <c r="EJ185" s="32">
        <v>75</v>
      </c>
      <c r="EK185" s="32">
        <v>71.7</v>
      </c>
      <c r="EL185" s="32">
        <v>68.8</v>
      </c>
      <c r="EM185" s="32">
        <v>70.8</v>
      </c>
      <c r="EN185" s="32">
        <v>72.400000000000006</v>
      </c>
      <c r="EO185" s="32">
        <v>91.4</v>
      </c>
      <c r="EP185" s="32">
        <v>94.6</v>
      </c>
      <c r="EQ185" s="32">
        <v>94.6</v>
      </c>
      <c r="ER185" s="32">
        <v>90.4</v>
      </c>
      <c r="ES185" s="32">
        <v>90.4</v>
      </c>
      <c r="ET185" s="32">
        <v>90.1</v>
      </c>
      <c r="EU185" s="32">
        <v>88.7</v>
      </c>
      <c r="EV185" s="32">
        <v>88.7</v>
      </c>
      <c r="EW185" s="32">
        <v>93.5</v>
      </c>
      <c r="EX185" s="32">
        <v>108</v>
      </c>
      <c r="EY185" s="32">
        <v>82.1</v>
      </c>
      <c r="EZ185" s="32">
        <v>86.6</v>
      </c>
      <c r="FA185" s="32">
        <v>93.5</v>
      </c>
      <c r="FB185" s="32">
        <v>99</v>
      </c>
      <c r="FC185" s="32">
        <v>82.1</v>
      </c>
      <c r="FD185" s="32">
        <v>104.8</v>
      </c>
      <c r="FE185" s="32">
        <v>123</v>
      </c>
      <c r="FF185" s="32">
        <v>86.9</v>
      </c>
      <c r="FG185" s="32">
        <v>83.3</v>
      </c>
      <c r="FH185" s="32">
        <v>85.7</v>
      </c>
      <c r="FI185" s="32">
        <v>96.9</v>
      </c>
      <c r="FJ185" s="32">
        <v>80.7</v>
      </c>
      <c r="FK185" s="32">
        <v>65.5</v>
      </c>
      <c r="FL185" s="32">
        <v>65.5</v>
      </c>
    </row>
    <row r="186" spans="1:168" x14ac:dyDescent="0.2">
      <c r="A186" s="34" t="s">
        <v>1166</v>
      </c>
      <c r="B186" s="32">
        <v>86.5</v>
      </c>
      <c r="C186" s="32">
        <v>93.6</v>
      </c>
      <c r="D186" s="32">
        <v>87.8</v>
      </c>
      <c r="E186" s="32">
        <v>87.3</v>
      </c>
      <c r="F186" s="32">
        <v>93.6</v>
      </c>
      <c r="G186" s="32">
        <v>1793.2</v>
      </c>
      <c r="H186" s="32">
        <v>92.3</v>
      </c>
      <c r="I186" s="32">
        <v>73.5</v>
      </c>
      <c r="J186" s="32">
        <v>87.1</v>
      </c>
      <c r="K186" s="32">
        <v>80.7</v>
      </c>
      <c r="L186" s="32">
        <v>75.3</v>
      </c>
      <c r="M186" s="32">
        <v>63.8</v>
      </c>
      <c r="N186" s="32">
        <v>84.8</v>
      </c>
      <c r="O186" s="32">
        <v>52.2</v>
      </c>
      <c r="P186" s="32">
        <v>102.5</v>
      </c>
      <c r="Q186" s="32">
        <v>69.900000000000006</v>
      </c>
      <c r="R186" s="32">
        <v>69.900000000000006</v>
      </c>
      <c r="S186" s="32">
        <v>92.7</v>
      </c>
      <c r="T186" s="32">
        <v>77.2</v>
      </c>
      <c r="U186" s="32">
        <v>70.5</v>
      </c>
      <c r="V186" s="32">
        <v>115</v>
      </c>
      <c r="W186" s="32">
        <v>59.6</v>
      </c>
      <c r="X186" s="32">
        <v>48.3</v>
      </c>
      <c r="Y186" s="32">
        <v>70.2</v>
      </c>
      <c r="Z186" s="32">
        <v>103.3</v>
      </c>
      <c r="AA186" s="32">
        <v>77.599999999999994</v>
      </c>
      <c r="AB186" s="32">
        <v>66.900000000000006</v>
      </c>
      <c r="AC186" s="32">
        <v>74.7</v>
      </c>
      <c r="AD186" s="32">
        <v>89.3</v>
      </c>
      <c r="AE186" s="32">
        <v>25.4</v>
      </c>
      <c r="AF186" s="32">
        <v>25.4</v>
      </c>
      <c r="AG186" s="32">
        <v>66</v>
      </c>
      <c r="AH186" s="32">
        <v>66</v>
      </c>
      <c r="AI186" s="32">
        <v>114.6</v>
      </c>
      <c r="AJ186" s="32">
        <v>36.5</v>
      </c>
      <c r="AK186" s="32">
        <v>97.7</v>
      </c>
      <c r="AL186" s="32">
        <v>63.4</v>
      </c>
      <c r="AM186" s="32">
        <v>62.1</v>
      </c>
      <c r="AN186" s="32">
        <v>79.5</v>
      </c>
      <c r="AO186" s="32">
        <v>117.3</v>
      </c>
      <c r="AP186" s="32">
        <v>117.3</v>
      </c>
      <c r="AQ186" s="32">
        <v>84.4</v>
      </c>
      <c r="AR186" s="32">
        <v>84</v>
      </c>
      <c r="AS186" s="32">
        <v>86.4</v>
      </c>
      <c r="AT186" s="32">
        <v>86.3</v>
      </c>
      <c r="AU186" s="32">
        <v>86</v>
      </c>
      <c r="AV186" s="32">
        <v>88.7</v>
      </c>
      <c r="AW186" s="32">
        <v>100.2</v>
      </c>
      <c r="AX186" s="32">
        <v>93.9</v>
      </c>
      <c r="AY186" s="32">
        <v>139.30000000000001</v>
      </c>
      <c r="AZ186" s="32">
        <v>88.5</v>
      </c>
      <c r="BA186" s="32">
        <v>82.3</v>
      </c>
      <c r="BB186" s="32">
        <v>82.3</v>
      </c>
      <c r="BC186" s="32">
        <v>101.4</v>
      </c>
      <c r="BD186" s="32">
        <v>101.4</v>
      </c>
      <c r="BE186" s="32">
        <v>109.7</v>
      </c>
      <c r="BF186" s="32">
        <v>109.7</v>
      </c>
      <c r="BG186" s="32">
        <v>101.5</v>
      </c>
      <c r="BH186" s="32">
        <v>96.7</v>
      </c>
      <c r="BI186" s="32">
        <v>105.7</v>
      </c>
      <c r="BJ186" s="32">
        <v>49</v>
      </c>
      <c r="BK186" s="32">
        <v>127.8</v>
      </c>
      <c r="BL186" s="32">
        <v>84.6</v>
      </c>
      <c r="BM186" s="32">
        <v>98.8</v>
      </c>
      <c r="BN186" s="32">
        <v>102.9</v>
      </c>
      <c r="BO186" s="32">
        <v>84.1</v>
      </c>
      <c r="BP186" s="32">
        <v>121.3</v>
      </c>
      <c r="BQ186" s="32">
        <v>93.6</v>
      </c>
      <c r="BR186" s="32">
        <v>70.2</v>
      </c>
      <c r="BS186" s="32">
        <v>154.5</v>
      </c>
      <c r="BT186" s="32">
        <v>81.3</v>
      </c>
      <c r="BU186" s="32">
        <v>75.2</v>
      </c>
      <c r="BV186" s="32">
        <v>75.2</v>
      </c>
      <c r="BW186" s="32">
        <v>106.8</v>
      </c>
      <c r="BX186" s="32">
        <v>31.3</v>
      </c>
      <c r="BY186" s="32">
        <v>96.1</v>
      </c>
      <c r="BZ186" s="32">
        <v>84.4</v>
      </c>
      <c r="CA186" s="32">
        <v>101.9</v>
      </c>
      <c r="CB186" s="32">
        <v>127.2</v>
      </c>
      <c r="CC186" s="32">
        <v>81.900000000000006</v>
      </c>
      <c r="CD186" s="32">
        <v>37.700000000000003</v>
      </c>
      <c r="CE186" s="32">
        <v>88.5</v>
      </c>
      <c r="CF186" s="32">
        <v>86.2</v>
      </c>
      <c r="CG186" s="32">
        <v>91</v>
      </c>
      <c r="CH186" s="32">
        <v>91.5</v>
      </c>
      <c r="CI186" s="32">
        <v>91.2</v>
      </c>
      <c r="CJ186" s="32">
        <v>95.1</v>
      </c>
      <c r="CK186" s="32">
        <v>89.7</v>
      </c>
      <c r="CL186" s="32">
        <v>93.1</v>
      </c>
      <c r="CM186" s="32">
        <v>97.9</v>
      </c>
      <c r="CN186" s="32">
        <v>111.8</v>
      </c>
      <c r="CO186" s="32">
        <v>95.9</v>
      </c>
      <c r="CP186" s="32">
        <v>120.6</v>
      </c>
      <c r="CQ186" s="32">
        <v>40</v>
      </c>
      <c r="CR186" s="32">
        <v>94.6</v>
      </c>
      <c r="CS186" s="32">
        <v>103.9</v>
      </c>
      <c r="CT186" s="32">
        <v>87.5</v>
      </c>
      <c r="CU186" s="32">
        <v>73.099999999999994</v>
      </c>
      <c r="CV186" s="32">
        <v>93.8</v>
      </c>
      <c r="CW186" s="32">
        <v>56.7</v>
      </c>
      <c r="CX186" s="32">
        <v>102.6</v>
      </c>
      <c r="CY186" s="32">
        <v>107.8</v>
      </c>
      <c r="CZ186" s="32">
        <v>100.1</v>
      </c>
      <c r="DA186" s="32">
        <v>95.4</v>
      </c>
      <c r="DB186" s="32">
        <v>108.3</v>
      </c>
      <c r="DC186" s="32">
        <v>20.7</v>
      </c>
      <c r="DD186" s="32">
        <v>20.7</v>
      </c>
      <c r="DE186" s="32">
        <v>81.900000000000006</v>
      </c>
      <c r="DF186" s="32">
        <v>78.5</v>
      </c>
      <c r="DG186" s="32">
        <v>102.4</v>
      </c>
      <c r="DH186" s="32">
        <v>106.6</v>
      </c>
      <c r="DI186" s="32">
        <v>143.5</v>
      </c>
      <c r="DJ186" s="32">
        <v>84.9</v>
      </c>
      <c r="DK186" s="32">
        <v>84.9</v>
      </c>
      <c r="DL186" s="32">
        <v>66.7</v>
      </c>
      <c r="DM186" s="32">
        <v>83.8</v>
      </c>
      <c r="DN186" s="32">
        <v>84.1</v>
      </c>
      <c r="DO186" s="32">
        <v>83.6</v>
      </c>
      <c r="DP186" s="32">
        <v>85.5</v>
      </c>
      <c r="DQ186" s="32">
        <v>80.2</v>
      </c>
      <c r="DR186" s="32">
        <v>84.5</v>
      </c>
      <c r="DS186" s="32">
        <v>81.7</v>
      </c>
      <c r="DT186" s="32">
        <v>80.2</v>
      </c>
      <c r="DU186" s="32">
        <v>82.5</v>
      </c>
      <c r="DV186" s="32">
        <v>88.4</v>
      </c>
      <c r="DW186" s="32">
        <v>75.599999999999994</v>
      </c>
      <c r="DX186" s="32">
        <v>75.400000000000006</v>
      </c>
      <c r="DY186" s="32">
        <v>86.8</v>
      </c>
      <c r="DZ186" s="32">
        <v>141.80000000000001</v>
      </c>
      <c r="EA186" s="32">
        <v>141.80000000000001</v>
      </c>
      <c r="EB186" s="32">
        <v>74.2</v>
      </c>
      <c r="EC186" s="32">
        <v>77.099999999999994</v>
      </c>
      <c r="ED186" s="32">
        <v>71</v>
      </c>
      <c r="EE186" s="32">
        <v>69.900000000000006</v>
      </c>
      <c r="EF186" s="32">
        <v>73.400000000000006</v>
      </c>
      <c r="EG186" s="32">
        <v>73.900000000000006</v>
      </c>
      <c r="EH186" s="32">
        <v>72</v>
      </c>
      <c r="EI186" s="32">
        <v>73.7</v>
      </c>
      <c r="EJ186" s="32">
        <v>73.400000000000006</v>
      </c>
      <c r="EK186" s="32">
        <v>75.5</v>
      </c>
      <c r="EL186" s="32">
        <v>74.900000000000006</v>
      </c>
      <c r="EM186" s="32">
        <v>72.5</v>
      </c>
      <c r="EN186" s="32">
        <v>77.099999999999994</v>
      </c>
      <c r="EO186" s="32">
        <v>91.5</v>
      </c>
      <c r="EP186" s="32">
        <v>94.3</v>
      </c>
      <c r="EQ186" s="32">
        <v>94.3</v>
      </c>
      <c r="ER186" s="32">
        <v>90.7</v>
      </c>
      <c r="ES186" s="32">
        <v>90.7</v>
      </c>
      <c r="ET186" s="32">
        <v>90.2</v>
      </c>
      <c r="EU186" s="32">
        <v>88.8</v>
      </c>
      <c r="EV186" s="32">
        <v>88.8</v>
      </c>
      <c r="EW186" s="32">
        <v>93.4</v>
      </c>
      <c r="EX186" s="32">
        <v>108.1</v>
      </c>
      <c r="EY186" s="32">
        <v>81.900000000000006</v>
      </c>
      <c r="EZ186" s="32">
        <v>85.6</v>
      </c>
      <c r="FA186" s="32">
        <v>93.8</v>
      </c>
      <c r="FB186" s="32">
        <v>98.7</v>
      </c>
      <c r="FC186" s="32">
        <v>83.8</v>
      </c>
      <c r="FD186" s="32">
        <v>101.2</v>
      </c>
      <c r="FE186" s="32">
        <v>121.1</v>
      </c>
      <c r="FF186" s="32">
        <v>87.9</v>
      </c>
      <c r="FG186" s="32">
        <v>80.8</v>
      </c>
      <c r="FH186" s="32">
        <v>86.8</v>
      </c>
      <c r="FI186" s="32">
        <v>89.5</v>
      </c>
      <c r="FJ186" s="32">
        <v>77.2</v>
      </c>
      <c r="FK186" s="32">
        <v>70.099999999999994</v>
      </c>
      <c r="FL186" s="32">
        <v>70.099999999999994</v>
      </c>
    </row>
    <row r="187" spans="1:168" x14ac:dyDescent="0.2">
      <c r="A187" s="34" t="s">
        <v>1167</v>
      </c>
      <c r="B187" s="32">
        <v>85.6</v>
      </c>
      <c r="C187" s="32">
        <v>89.4</v>
      </c>
      <c r="D187" s="32">
        <v>86.6</v>
      </c>
      <c r="E187" s="32">
        <v>86.6</v>
      </c>
      <c r="F187" s="32">
        <v>95.7</v>
      </c>
      <c r="G187" s="32">
        <v>1719.8</v>
      </c>
      <c r="H187" s="32">
        <v>94</v>
      </c>
      <c r="I187" s="32">
        <v>78.2</v>
      </c>
      <c r="J187" s="32">
        <v>86.6</v>
      </c>
      <c r="K187" s="32">
        <v>81</v>
      </c>
      <c r="L187" s="32">
        <v>75.599999999999994</v>
      </c>
      <c r="M187" s="32">
        <v>66.900000000000006</v>
      </c>
      <c r="N187" s="32">
        <v>82.4</v>
      </c>
      <c r="O187" s="32">
        <v>52.7</v>
      </c>
      <c r="P187" s="32">
        <v>102.6</v>
      </c>
      <c r="Q187" s="32">
        <v>69.099999999999994</v>
      </c>
      <c r="R187" s="32">
        <v>69.2</v>
      </c>
      <c r="S187" s="32">
        <v>92.1</v>
      </c>
      <c r="T187" s="32">
        <v>84.2</v>
      </c>
      <c r="U187" s="32">
        <v>71.900000000000006</v>
      </c>
      <c r="V187" s="32">
        <v>114.9</v>
      </c>
      <c r="W187" s="32">
        <v>59</v>
      </c>
      <c r="X187" s="32">
        <v>50.6</v>
      </c>
      <c r="Y187" s="32">
        <v>61.8</v>
      </c>
      <c r="Z187" s="32">
        <v>110.5</v>
      </c>
      <c r="AA187" s="32">
        <v>79.900000000000006</v>
      </c>
      <c r="AB187" s="32">
        <v>62</v>
      </c>
      <c r="AC187" s="32">
        <v>75.900000000000006</v>
      </c>
      <c r="AD187" s="32">
        <v>97.4</v>
      </c>
      <c r="AE187" s="32">
        <v>27.2</v>
      </c>
      <c r="AF187" s="32">
        <v>27.2</v>
      </c>
      <c r="AG187" s="32">
        <v>69.400000000000006</v>
      </c>
      <c r="AH187" s="32">
        <v>69.400000000000006</v>
      </c>
      <c r="AI187" s="32">
        <v>112.4</v>
      </c>
      <c r="AJ187" s="32">
        <v>40.1</v>
      </c>
      <c r="AK187" s="32">
        <v>105.2</v>
      </c>
      <c r="AL187" s="32">
        <v>60.4</v>
      </c>
      <c r="AM187" s="32">
        <v>64.400000000000006</v>
      </c>
      <c r="AN187" s="32">
        <v>83.8</v>
      </c>
      <c r="AO187" s="32">
        <v>112.5</v>
      </c>
      <c r="AP187" s="32">
        <v>112.5</v>
      </c>
      <c r="AQ187" s="32">
        <v>84.2</v>
      </c>
      <c r="AR187" s="32">
        <v>84.3</v>
      </c>
      <c r="AS187" s="32">
        <v>85.3</v>
      </c>
      <c r="AT187" s="32">
        <v>87.6</v>
      </c>
      <c r="AU187" s="32">
        <v>82.8</v>
      </c>
      <c r="AV187" s="32">
        <v>89</v>
      </c>
      <c r="AW187" s="32">
        <v>107.6</v>
      </c>
      <c r="AX187" s="32">
        <v>99.8</v>
      </c>
      <c r="AY187" s="32">
        <v>152.19999999999999</v>
      </c>
      <c r="AZ187" s="32">
        <v>86.8</v>
      </c>
      <c r="BA187" s="32">
        <v>80.5</v>
      </c>
      <c r="BB187" s="32">
        <v>80.5</v>
      </c>
      <c r="BC187" s="32">
        <v>103.2</v>
      </c>
      <c r="BD187" s="32">
        <v>103.2</v>
      </c>
      <c r="BE187" s="32">
        <v>108.3</v>
      </c>
      <c r="BF187" s="32">
        <v>108.3</v>
      </c>
      <c r="BG187" s="32">
        <v>96.4</v>
      </c>
      <c r="BH187" s="32">
        <v>90.5</v>
      </c>
      <c r="BI187" s="32">
        <v>101.8</v>
      </c>
      <c r="BJ187" s="32">
        <v>48.4</v>
      </c>
      <c r="BK187" s="32">
        <v>122.6</v>
      </c>
      <c r="BL187" s="32">
        <v>80.599999999999994</v>
      </c>
      <c r="BM187" s="32">
        <v>97.7</v>
      </c>
      <c r="BN187" s="32">
        <v>100.4</v>
      </c>
      <c r="BO187" s="32">
        <v>83.6</v>
      </c>
      <c r="BP187" s="32">
        <v>116.9</v>
      </c>
      <c r="BQ187" s="32">
        <v>94.2</v>
      </c>
      <c r="BR187" s="32">
        <v>62</v>
      </c>
      <c r="BS187" s="32">
        <v>164.3</v>
      </c>
      <c r="BT187" s="32">
        <v>81.400000000000006</v>
      </c>
      <c r="BU187" s="32">
        <v>79.8</v>
      </c>
      <c r="BV187" s="32">
        <v>79.8</v>
      </c>
      <c r="BW187" s="32">
        <v>113.2</v>
      </c>
      <c r="BX187" s="32">
        <v>33.4</v>
      </c>
      <c r="BY187" s="32">
        <v>84.2</v>
      </c>
      <c r="BZ187" s="32">
        <v>87.3</v>
      </c>
      <c r="CA187" s="32">
        <v>82.8</v>
      </c>
      <c r="CB187" s="32">
        <v>83.4</v>
      </c>
      <c r="CC187" s="32">
        <v>82.2</v>
      </c>
      <c r="CD187" s="32">
        <v>39.6</v>
      </c>
      <c r="CE187" s="32">
        <v>86.2</v>
      </c>
      <c r="CF187" s="32">
        <v>85.4</v>
      </c>
      <c r="CG187" s="32">
        <v>91</v>
      </c>
      <c r="CH187" s="32">
        <v>91.9</v>
      </c>
      <c r="CI187" s="32">
        <v>94</v>
      </c>
      <c r="CJ187" s="32">
        <v>96</v>
      </c>
      <c r="CK187" s="32">
        <v>89.1</v>
      </c>
      <c r="CL187" s="32">
        <v>92.6</v>
      </c>
      <c r="CM187" s="32">
        <v>96.6</v>
      </c>
      <c r="CN187" s="32">
        <v>113.8</v>
      </c>
      <c r="CO187" s="32">
        <v>94</v>
      </c>
      <c r="CP187" s="32">
        <v>121.7</v>
      </c>
      <c r="CQ187" s="32">
        <v>41.2</v>
      </c>
      <c r="CR187" s="32">
        <v>92.3</v>
      </c>
      <c r="CS187" s="32">
        <v>106.5</v>
      </c>
      <c r="CT187" s="32">
        <v>86.6</v>
      </c>
      <c r="CU187" s="32">
        <v>72.099999999999994</v>
      </c>
      <c r="CV187" s="32">
        <v>93</v>
      </c>
      <c r="CW187" s="32">
        <v>55.9</v>
      </c>
      <c r="CX187" s="32">
        <v>98.9</v>
      </c>
      <c r="CY187" s="32">
        <v>106.2</v>
      </c>
      <c r="CZ187" s="32">
        <v>95.2</v>
      </c>
      <c r="DA187" s="32">
        <v>83.9</v>
      </c>
      <c r="DB187" s="32">
        <v>116.8</v>
      </c>
      <c r="DC187" s="32">
        <v>20.399999999999999</v>
      </c>
      <c r="DD187" s="32">
        <v>20.399999999999999</v>
      </c>
      <c r="DE187" s="32">
        <v>82</v>
      </c>
      <c r="DF187" s="32">
        <v>78.7</v>
      </c>
      <c r="DG187" s="32">
        <v>102.2</v>
      </c>
      <c r="DH187" s="32">
        <v>100.5</v>
      </c>
      <c r="DI187" s="32">
        <v>132</v>
      </c>
      <c r="DJ187" s="32">
        <v>87.5</v>
      </c>
      <c r="DK187" s="32">
        <v>87.5</v>
      </c>
      <c r="DL187" s="32">
        <v>61.4</v>
      </c>
      <c r="DM187" s="32">
        <v>84.1</v>
      </c>
      <c r="DN187" s="32">
        <v>84.7</v>
      </c>
      <c r="DO187" s="32">
        <v>84.1</v>
      </c>
      <c r="DP187" s="32">
        <v>79.099999999999994</v>
      </c>
      <c r="DQ187" s="32">
        <v>79.2</v>
      </c>
      <c r="DR187" s="32">
        <v>84.2</v>
      </c>
      <c r="DS187" s="32">
        <v>82.7</v>
      </c>
      <c r="DT187" s="32">
        <v>80.900000000000006</v>
      </c>
      <c r="DU187" s="32">
        <v>83.6</v>
      </c>
      <c r="DV187" s="32">
        <v>90.3</v>
      </c>
      <c r="DW187" s="32">
        <v>75.8</v>
      </c>
      <c r="DX187" s="32">
        <v>75.400000000000006</v>
      </c>
      <c r="DY187" s="32">
        <v>88.5</v>
      </c>
      <c r="DZ187" s="32">
        <v>136</v>
      </c>
      <c r="EA187" s="32">
        <v>136</v>
      </c>
      <c r="EB187" s="32">
        <v>71.900000000000006</v>
      </c>
      <c r="EC187" s="32">
        <v>76</v>
      </c>
      <c r="ED187" s="32">
        <v>67.2</v>
      </c>
      <c r="EE187" s="32">
        <v>64.7</v>
      </c>
      <c r="EF187" s="32">
        <v>73</v>
      </c>
      <c r="EG187" s="32">
        <v>72</v>
      </c>
      <c r="EH187" s="32">
        <v>70.900000000000006</v>
      </c>
      <c r="EI187" s="32">
        <v>69.3</v>
      </c>
      <c r="EJ187" s="32">
        <v>73.7</v>
      </c>
      <c r="EK187" s="32">
        <v>74.400000000000006</v>
      </c>
      <c r="EL187" s="32">
        <v>76.8</v>
      </c>
      <c r="EM187" s="32">
        <v>67.3</v>
      </c>
      <c r="EN187" s="32">
        <v>78.2</v>
      </c>
      <c r="EO187" s="32">
        <v>91.4</v>
      </c>
      <c r="EP187" s="32">
        <v>94</v>
      </c>
      <c r="EQ187" s="32">
        <v>94</v>
      </c>
      <c r="ER187" s="32">
        <v>90.2</v>
      </c>
      <c r="ES187" s="32">
        <v>90.2</v>
      </c>
      <c r="ET187" s="32">
        <v>90.5</v>
      </c>
      <c r="EU187" s="32">
        <v>89.4</v>
      </c>
      <c r="EV187" s="32">
        <v>89.4</v>
      </c>
      <c r="EW187" s="32">
        <v>93.1</v>
      </c>
      <c r="EX187" s="32">
        <v>107.4</v>
      </c>
      <c r="EY187" s="32">
        <v>81.900000000000006</v>
      </c>
      <c r="EZ187" s="32">
        <v>85.1</v>
      </c>
      <c r="FA187" s="32">
        <v>92.3</v>
      </c>
      <c r="FB187" s="32">
        <v>97.7</v>
      </c>
      <c r="FC187" s="32">
        <v>81.900000000000006</v>
      </c>
      <c r="FD187" s="32">
        <v>104.1</v>
      </c>
      <c r="FE187" s="32">
        <v>119.4</v>
      </c>
      <c r="FF187" s="32">
        <v>85.8</v>
      </c>
      <c r="FG187" s="32">
        <v>81.3</v>
      </c>
      <c r="FH187" s="32">
        <v>87.3</v>
      </c>
      <c r="FI187" s="32">
        <v>85</v>
      </c>
      <c r="FJ187" s="32">
        <v>78.3</v>
      </c>
      <c r="FK187" s="32">
        <v>67.099999999999994</v>
      </c>
      <c r="FL187" s="32">
        <v>67.099999999999994</v>
      </c>
    </row>
    <row r="188" spans="1:168" x14ac:dyDescent="0.2">
      <c r="A188" s="34" t="s">
        <v>1168</v>
      </c>
      <c r="B188" s="32">
        <v>86</v>
      </c>
      <c r="C188" s="32">
        <v>87.3</v>
      </c>
      <c r="D188" s="32">
        <v>87.3</v>
      </c>
      <c r="E188" s="32">
        <v>86.9</v>
      </c>
      <c r="F188" s="32">
        <v>95.8</v>
      </c>
      <c r="G188" s="32">
        <v>1724.4</v>
      </c>
      <c r="H188" s="32">
        <v>93.2</v>
      </c>
      <c r="I188" s="32">
        <v>82.7</v>
      </c>
      <c r="J188" s="32">
        <v>87.7</v>
      </c>
      <c r="K188" s="32">
        <v>82.5</v>
      </c>
      <c r="L188" s="32">
        <v>76.599999999999994</v>
      </c>
      <c r="M188" s="32">
        <v>68.2</v>
      </c>
      <c r="N188" s="32">
        <v>81.3</v>
      </c>
      <c r="O188" s="32">
        <v>56</v>
      </c>
      <c r="P188" s="32">
        <v>103.5</v>
      </c>
      <c r="Q188" s="32">
        <v>76.3</v>
      </c>
      <c r="R188" s="32">
        <v>71.8</v>
      </c>
      <c r="S188" s="32">
        <v>92.7</v>
      </c>
      <c r="T188" s="32">
        <v>78.7</v>
      </c>
      <c r="U188" s="32">
        <v>71.7</v>
      </c>
      <c r="V188" s="32">
        <v>119.9</v>
      </c>
      <c r="W188" s="32">
        <v>63</v>
      </c>
      <c r="X188" s="32">
        <v>53.1</v>
      </c>
      <c r="Y188" s="32">
        <v>69.400000000000006</v>
      </c>
      <c r="Z188" s="32">
        <v>110.1</v>
      </c>
      <c r="AA188" s="32">
        <v>80.7</v>
      </c>
      <c r="AB188" s="32">
        <v>66.5</v>
      </c>
      <c r="AC188" s="32">
        <v>79</v>
      </c>
      <c r="AD188" s="32">
        <v>93.5</v>
      </c>
      <c r="AE188" s="32">
        <v>25</v>
      </c>
      <c r="AF188" s="32">
        <v>25</v>
      </c>
      <c r="AG188" s="32">
        <v>74.3</v>
      </c>
      <c r="AH188" s="32">
        <v>74.3</v>
      </c>
      <c r="AI188" s="32">
        <v>131.5</v>
      </c>
      <c r="AJ188" s="32">
        <v>44.4</v>
      </c>
      <c r="AK188" s="32">
        <v>100.7</v>
      </c>
      <c r="AL188" s="32">
        <v>66.8</v>
      </c>
      <c r="AM188" s="32">
        <v>67.599999999999994</v>
      </c>
      <c r="AN188" s="32">
        <v>84.6</v>
      </c>
      <c r="AO188" s="32">
        <v>107.9</v>
      </c>
      <c r="AP188" s="32">
        <v>107.9</v>
      </c>
      <c r="AQ188" s="32">
        <v>86.5</v>
      </c>
      <c r="AR188" s="32">
        <v>85.6</v>
      </c>
      <c r="AS188" s="32">
        <v>89.4</v>
      </c>
      <c r="AT188" s="32">
        <v>85.4</v>
      </c>
      <c r="AU188" s="32">
        <v>92.6</v>
      </c>
      <c r="AV188" s="32">
        <v>91.5</v>
      </c>
      <c r="AW188" s="32">
        <v>112.2</v>
      </c>
      <c r="AX188" s="32">
        <v>104.4</v>
      </c>
      <c r="AY188" s="32">
        <v>158</v>
      </c>
      <c r="AZ188" s="32">
        <v>88.8</v>
      </c>
      <c r="BA188" s="32">
        <v>80.3</v>
      </c>
      <c r="BB188" s="32">
        <v>80.3</v>
      </c>
      <c r="BC188" s="32">
        <v>99.9</v>
      </c>
      <c r="BD188" s="32">
        <v>99.9</v>
      </c>
      <c r="BE188" s="32">
        <v>108.2</v>
      </c>
      <c r="BF188" s="32">
        <v>108.2</v>
      </c>
      <c r="BG188" s="32">
        <v>96.3</v>
      </c>
      <c r="BH188" s="32">
        <v>94.5</v>
      </c>
      <c r="BI188" s="32">
        <v>97.1</v>
      </c>
      <c r="BJ188" s="32">
        <v>48.2</v>
      </c>
      <c r="BK188" s="32">
        <v>114.6</v>
      </c>
      <c r="BL188" s="32">
        <v>86.3</v>
      </c>
      <c r="BM188" s="32">
        <v>98.5</v>
      </c>
      <c r="BN188" s="32">
        <v>99.8</v>
      </c>
      <c r="BO188" s="32">
        <v>83.4</v>
      </c>
      <c r="BP188" s="32">
        <v>115.9</v>
      </c>
      <c r="BQ188" s="32">
        <v>96.8</v>
      </c>
      <c r="BR188" s="32">
        <v>76.400000000000006</v>
      </c>
      <c r="BS188" s="32">
        <v>164.6</v>
      </c>
      <c r="BT188" s="32">
        <v>82.4</v>
      </c>
      <c r="BU188" s="32">
        <v>72.900000000000006</v>
      </c>
      <c r="BV188" s="32">
        <v>72.900000000000006</v>
      </c>
      <c r="BW188" s="32">
        <v>106.1</v>
      </c>
      <c r="BX188" s="32">
        <v>28.1</v>
      </c>
      <c r="BY188" s="32">
        <v>86.5</v>
      </c>
      <c r="BZ188" s="32">
        <v>86.7</v>
      </c>
      <c r="CA188" s="32">
        <v>86.4</v>
      </c>
      <c r="CB188" s="32">
        <v>87.3</v>
      </c>
      <c r="CC188" s="32">
        <v>85.3</v>
      </c>
      <c r="CD188" s="32">
        <v>44.4</v>
      </c>
      <c r="CE188" s="32">
        <v>88.1</v>
      </c>
      <c r="CF188" s="32">
        <v>85.7</v>
      </c>
      <c r="CG188" s="32">
        <v>92.9</v>
      </c>
      <c r="CH188" s="32">
        <v>93.3</v>
      </c>
      <c r="CI188" s="32">
        <v>98.7</v>
      </c>
      <c r="CJ188" s="32">
        <v>95.4</v>
      </c>
      <c r="CK188" s="32">
        <v>90.9</v>
      </c>
      <c r="CL188" s="32">
        <v>95.7</v>
      </c>
      <c r="CM188" s="32">
        <v>98.6</v>
      </c>
      <c r="CN188" s="32">
        <v>113.6</v>
      </c>
      <c r="CO188" s="32">
        <v>96.5</v>
      </c>
      <c r="CP188" s="32">
        <v>122.1</v>
      </c>
      <c r="CQ188" s="32">
        <v>41.9</v>
      </c>
      <c r="CR188" s="32">
        <v>97</v>
      </c>
      <c r="CS188" s="32">
        <v>112.2</v>
      </c>
      <c r="CT188" s="32">
        <v>88.8</v>
      </c>
      <c r="CU188" s="32">
        <v>77</v>
      </c>
      <c r="CV188" s="32">
        <v>94</v>
      </c>
      <c r="CW188" s="32">
        <v>56.1</v>
      </c>
      <c r="CX188" s="32">
        <v>97.4</v>
      </c>
      <c r="CY188" s="32">
        <v>107</v>
      </c>
      <c r="CZ188" s="32">
        <v>92.3</v>
      </c>
      <c r="DA188" s="32">
        <v>79.400000000000006</v>
      </c>
      <c r="DB188" s="32">
        <v>116.9</v>
      </c>
      <c r="DC188" s="32">
        <v>20.3</v>
      </c>
      <c r="DD188" s="32">
        <v>20.3</v>
      </c>
      <c r="DE188" s="32">
        <v>83.6</v>
      </c>
      <c r="DF188" s="32">
        <v>78.900000000000006</v>
      </c>
      <c r="DG188" s="32">
        <v>112.4</v>
      </c>
      <c r="DH188" s="32">
        <v>98</v>
      </c>
      <c r="DI188" s="32">
        <v>123.7</v>
      </c>
      <c r="DJ188" s="32">
        <v>89.5</v>
      </c>
      <c r="DK188" s="32">
        <v>89.5</v>
      </c>
      <c r="DL188" s="32">
        <v>64.599999999999994</v>
      </c>
      <c r="DM188" s="32">
        <v>84.7</v>
      </c>
      <c r="DN188" s="32">
        <v>85.3</v>
      </c>
      <c r="DO188" s="32">
        <v>84.5</v>
      </c>
      <c r="DP188" s="32">
        <v>81.2</v>
      </c>
      <c r="DQ188" s="32">
        <v>79.3</v>
      </c>
      <c r="DR188" s="32">
        <v>84.2</v>
      </c>
      <c r="DS188" s="32">
        <v>82.9</v>
      </c>
      <c r="DT188" s="32">
        <v>81.2</v>
      </c>
      <c r="DU188" s="32">
        <v>83.3</v>
      </c>
      <c r="DV188" s="32">
        <v>87.7</v>
      </c>
      <c r="DW188" s="32">
        <v>78.099999999999994</v>
      </c>
      <c r="DX188" s="32">
        <v>76.8</v>
      </c>
      <c r="DY188" s="32">
        <v>88.6</v>
      </c>
      <c r="DZ188" s="32">
        <v>131.5</v>
      </c>
      <c r="EA188" s="32">
        <v>131.5</v>
      </c>
      <c r="EB188" s="32">
        <v>72.5</v>
      </c>
      <c r="EC188" s="32">
        <v>73.5</v>
      </c>
      <c r="ED188" s="32">
        <v>71.8</v>
      </c>
      <c r="EE188" s="32">
        <v>70.2</v>
      </c>
      <c r="EF188" s="32">
        <v>75.599999999999994</v>
      </c>
      <c r="EG188" s="32">
        <v>72.400000000000006</v>
      </c>
      <c r="EH188" s="32">
        <v>74.099999999999994</v>
      </c>
      <c r="EI188" s="32">
        <v>63.4</v>
      </c>
      <c r="EJ188" s="32">
        <v>76.2</v>
      </c>
      <c r="EK188" s="32">
        <v>77.8</v>
      </c>
      <c r="EL188" s="32">
        <v>78.8</v>
      </c>
      <c r="EM188" s="32">
        <v>67.3</v>
      </c>
      <c r="EN188" s="32">
        <v>84.3</v>
      </c>
      <c r="EO188" s="32">
        <v>91.4</v>
      </c>
      <c r="EP188" s="32">
        <v>93.9</v>
      </c>
      <c r="EQ188" s="32">
        <v>93.9</v>
      </c>
      <c r="ER188" s="32">
        <v>90.6</v>
      </c>
      <c r="ES188" s="32">
        <v>90.6</v>
      </c>
      <c r="ET188" s="32">
        <v>90.5</v>
      </c>
      <c r="EU188" s="32">
        <v>89.5</v>
      </c>
      <c r="EV188" s="32">
        <v>89.5</v>
      </c>
      <c r="EW188" s="32">
        <v>92.6</v>
      </c>
      <c r="EX188" s="32">
        <v>105.8</v>
      </c>
      <c r="EY188" s="32">
        <v>82.2</v>
      </c>
      <c r="EZ188" s="32">
        <v>86.7</v>
      </c>
      <c r="FA188" s="32">
        <v>91.7</v>
      </c>
      <c r="FB188" s="32">
        <v>97.4</v>
      </c>
      <c r="FC188" s="32">
        <v>82.3</v>
      </c>
      <c r="FD188" s="32">
        <v>106.6</v>
      </c>
      <c r="FE188" s="32">
        <v>116.9</v>
      </c>
      <c r="FF188" s="32">
        <v>84.8</v>
      </c>
      <c r="FG188" s="32">
        <v>84.9</v>
      </c>
      <c r="FH188" s="32">
        <v>87.9</v>
      </c>
      <c r="FI188" s="32">
        <v>90.3</v>
      </c>
      <c r="FJ188" s="32">
        <v>83.1</v>
      </c>
      <c r="FK188" s="32">
        <v>65.900000000000006</v>
      </c>
      <c r="FL188" s="32">
        <v>65.900000000000006</v>
      </c>
    </row>
    <row r="189" spans="1:168" x14ac:dyDescent="0.2">
      <c r="A189" s="34" t="s">
        <v>1169</v>
      </c>
      <c r="B189" s="32">
        <v>85.4</v>
      </c>
      <c r="C189" s="32">
        <v>86.8</v>
      </c>
      <c r="D189" s="32">
        <v>87.3</v>
      </c>
      <c r="E189" s="32">
        <v>87.1</v>
      </c>
      <c r="F189" s="32">
        <v>91.3</v>
      </c>
      <c r="G189" s="32">
        <v>1813</v>
      </c>
      <c r="H189" s="32">
        <v>88.1</v>
      </c>
      <c r="I189" s="32">
        <v>82.4</v>
      </c>
      <c r="J189" s="32">
        <v>87.2</v>
      </c>
      <c r="K189" s="32">
        <v>81.400000000000006</v>
      </c>
      <c r="L189" s="32">
        <v>75.5</v>
      </c>
      <c r="M189" s="32">
        <v>63.7</v>
      </c>
      <c r="N189" s="32">
        <v>77.5</v>
      </c>
      <c r="O189" s="32">
        <v>53.8</v>
      </c>
      <c r="P189" s="32">
        <v>100.5</v>
      </c>
      <c r="Q189" s="32">
        <v>70.7</v>
      </c>
      <c r="R189" s="32">
        <v>69.8</v>
      </c>
      <c r="S189" s="32">
        <v>97.3</v>
      </c>
      <c r="T189" s="32">
        <v>77.900000000000006</v>
      </c>
      <c r="U189" s="32">
        <v>74.3</v>
      </c>
      <c r="V189" s="32">
        <v>117.4</v>
      </c>
      <c r="W189" s="32">
        <v>65.8</v>
      </c>
      <c r="X189" s="32">
        <v>54.4</v>
      </c>
      <c r="Y189" s="32">
        <v>75.8</v>
      </c>
      <c r="Z189" s="32">
        <v>110.5</v>
      </c>
      <c r="AA189" s="32">
        <v>82</v>
      </c>
      <c r="AB189" s="32">
        <v>68.900000000000006</v>
      </c>
      <c r="AC189" s="32">
        <v>81.900000000000006</v>
      </c>
      <c r="AD189" s="32">
        <v>92.6</v>
      </c>
      <c r="AE189" s="32">
        <v>27.9</v>
      </c>
      <c r="AF189" s="32">
        <v>27.9</v>
      </c>
      <c r="AG189" s="32">
        <v>73.400000000000006</v>
      </c>
      <c r="AH189" s="32">
        <v>73.400000000000006</v>
      </c>
      <c r="AI189" s="32">
        <v>124.8</v>
      </c>
      <c r="AJ189" s="32">
        <v>42.9</v>
      </c>
      <c r="AK189" s="32">
        <v>105.1</v>
      </c>
      <c r="AL189" s="32">
        <v>68.3</v>
      </c>
      <c r="AM189" s="32">
        <v>67.900000000000006</v>
      </c>
      <c r="AN189" s="32">
        <v>87</v>
      </c>
      <c r="AO189" s="32">
        <v>101.5</v>
      </c>
      <c r="AP189" s="32">
        <v>101.5</v>
      </c>
      <c r="AQ189" s="32">
        <v>87.4</v>
      </c>
      <c r="AR189" s="32">
        <v>87.2</v>
      </c>
      <c r="AS189" s="32">
        <v>89.4</v>
      </c>
      <c r="AT189" s="32">
        <v>86.8</v>
      </c>
      <c r="AU189" s="32">
        <v>91.4</v>
      </c>
      <c r="AV189" s="32">
        <v>91.3</v>
      </c>
      <c r="AW189" s="32">
        <v>109.5</v>
      </c>
      <c r="AX189" s="32">
        <v>99.5</v>
      </c>
      <c r="AY189" s="32">
        <v>159.6</v>
      </c>
      <c r="AZ189" s="32">
        <v>89.2</v>
      </c>
      <c r="BA189" s="32">
        <v>86</v>
      </c>
      <c r="BB189" s="32">
        <v>86</v>
      </c>
      <c r="BC189" s="32">
        <v>104.4</v>
      </c>
      <c r="BD189" s="32">
        <v>104.4</v>
      </c>
      <c r="BE189" s="32">
        <v>111.6</v>
      </c>
      <c r="BF189" s="32">
        <v>111.6</v>
      </c>
      <c r="BG189" s="32">
        <v>89.9</v>
      </c>
      <c r="BH189" s="32">
        <v>84.9</v>
      </c>
      <c r="BI189" s="32">
        <v>94.5</v>
      </c>
      <c r="BJ189" s="32">
        <v>48.5</v>
      </c>
      <c r="BK189" s="32">
        <v>110.8</v>
      </c>
      <c r="BL189" s="32">
        <v>84.1</v>
      </c>
      <c r="BM189" s="32">
        <v>95.3</v>
      </c>
      <c r="BN189" s="32">
        <v>99.7</v>
      </c>
      <c r="BO189" s="32">
        <v>83.2</v>
      </c>
      <c r="BP189" s="32">
        <v>116</v>
      </c>
      <c r="BQ189" s="32">
        <v>89.8</v>
      </c>
      <c r="BR189" s="32">
        <v>70.7</v>
      </c>
      <c r="BS189" s="32">
        <v>119</v>
      </c>
      <c r="BT189" s="32">
        <v>83.9</v>
      </c>
      <c r="BU189" s="32">
        <v>83</v>
      </c>
      <c r="BV189" s="32">
        <v>83</v>
      </c>
      <c r="BW189" s="32">
        <v>113.8</v>
      </c>
      <c r="BX189" s="32">
        <v>38.200000000000003</v>
      </c>
      <c r="BY189" s="32">
        <v>87.4</v>
      </c>
      <c r="BZ189" s="32">
        <v>84.9</v>
      </c>
      <c r="CA189" s="32">
        <v>88.6</v>
      </c>
      <c r="CB189" s="32">
        <v>96.1</v>
      </c>
      <c r="CC189" s="32">
        <v>82.5</v>
      </c>
      <c r="CD189" s="32">
        <v>41.7</v>
      </c>
      <c r="CE189" s="32">
        <v>87.4</v>
      </c>
      <c r="CF189" s="32">
        <v>85</v>
      </c>
      <c r="CG189" s="32">
        <v>91.6</v>
      </c>
      <c r="CH189" s="32">
        <v>92.4</v>
      </c>
      <c r="CI189" s="32">
        <v>97.8</v>
      </c>
      <c r="CJ189" s="32">
        <v>96.9</v>
      </c>
      <c r="CK189" s="32">
        <v>88.3</v>
      </c>
      <c r="CL189" s="32">
        <v>94.6</v>
      </c>
      <c r="CM189" s="32">
        <v>96.2</v>
      </c>
      <c r="CN189" s="32">
        <v>111.2</v>
      </c>
      <c r="CO189" s="32">
        <v>94</v>
      </c>
      <c r="CP189" s="32">
        <v>120.1</v>
      </c>
      <c r="CQ189" s="32">
        <v>42.3</v>
      </c>
      <c r="CR189" s="32">
        <v>95.3</v>
      </c>
      <c r="CS189" s="32">
        <v>115.3</v>
      </c>
      <c r="CT189" s="32">
        <v>85.9</v>
      </c>
      <c r="CU189" s="32">
        <v>77.099999999999994</v>
      </c>
      <c r="CV189" s="32">
        <v>89.8</v>
      </c>
      <c r="CW189" s="32">
        <v>54.3</v>
      </c>
      <c r="CX189" s="32">
        <v>97.3</v>
      </c>
      <c r="CY189" s="32">
        <v>106.9</v>
      </c>
      <c r="CZ189" s="32">
        <v>92.2</v>
      </c>
      <c r="DA189" s="32">
        <v>78</v>
      </c>
      <c r="DB189" s="32">
        <v>119.4</v>
      </c>
      <c r="DC189" s="32">
        <v>20.399999999999999</v>
      </c>
      <c r="DD189" s="32">
        <v>20.399999999999999</v>
      </c>
      <c r="DE189" s="32">
        <v>77.5</v>
      </c>
      <c r="DF189" s="32">
        <v>73.2</v>
      </c>
      <c r="DG189" s="32">
        <v>104.1</v>
      </c>
      <c r="DH189" s="32">
        <v>98.6</v>
      </c>
      <c r="DI189" s="32">
        <v>124.4</v>
      </c>
      <c r="DJ189" s="32">
        <v>91.5</v>
      </c>
      <c r="DK189" s="32">
        <v>91.5</v>
      </c>
      <c r="DL189" s="32">
        <v>63.8</v>
      </c>
      <c r="DM189" s="32">
        <v>84.8</v>
      </c>
      <c r="DN189" s="32">
        <v>85.7</v>
      </c>
      <c r="DO189" s="32">
        <v>84.5</v>
      </c>
      <c r="DP189" s="32">
        <v>81.599999999999994</v>
      </c>
      <c r="DQ189" s="32">
        <v>78.099999999999994</v>
      </c>
      <c r="DR189" s="32">
        <v>83.2</v>
      </c>
      <c r="DS189" s="32">
        <v>80.5</v>
      </c>
      <c r="DT189" s="32">
        <v>78.599999999999994</v>
      </c>
      <c r="DU189" s="32">
        <v>82</v>
      </c>
      <c r="DV189" s="32">
        <v>87.6</v>
      </c>
      <c r="DW189" s="32">
        <v>75.400000000000006</v>
      </c>
      <c r="DX189" s="32">
        <v>71.7</v>
      </c>
      <c r="DY189" s="32">
        <v>86.9</v>
      </c>
      <c r="DZ189" s="32">
        <v>137.5</v>
      </c>
      <c r="EA189" s="32">
        <v>137.5</v>
      </c>
      <c r="EB189" s="32">
        <v>73.599999999999994</v>
      </c>
      <c r="EC189" s="32">
        <v>77.3</v>
      </c>
      <c r="ED189" s="32">
        <v>69.400000000000006</v>
      </c>
      <c r="EE189" s="32">
        <v>67.400000000000006</v>
      </c>
      <c r="EF189" s="32">
        <v>74.099999999999994</v>
      </c>
      <c r="EG189" s="32">
        <v>70.8</v>
      </c>
      <c r="EH189" s="32">
        <v>69.900000000000006</v>
      </c>
      <c r="EI189" s="32">
        <v>64.400000000000006</v>
      </c>
      <c r="EJ189" s="32">
        <v>73.5</v>
      </c>
      <c r="EK189" s="32">
        <v>75.8</v>
      </c>
      <c r="EL189" s="32">
        <v>80</v>
      </c>
      <c r="EM189" s="32">
        <v>66.7</v>
      </c>
      <c r="EN189" s="32">
        <v>80.7</v>
      </c>
      <c r="EO189" s="32">
        <v>91.5</v>
      </c>
      <c r="EP189" s="32">
        <v>93.9</v>
      </c>
      <c r="EQ189" s="32">
        <v>93.9</v>
      </c>
      <c r="ER189" s="32">
        <v>90.6</v>
      </c>
      <c r="ES189" s="32">
        <v>90.6</v>
      </c>
      <c r="ET189" s="32">
        <v>90.6</v>
      </c>
      <c r="EU189" s="32">
        <v>89.8</v>
      </c>
      <c r="EV189" s="32">
        <v>89.8</v>
      </c>
      <c r="EW189" s="32">
        <v>92.2</v>
      </c>
      <c r="EX189" s="32">
        <v>104.1</v>
      </c>
      <c r="EY189" s="32">
        <v>82.9</v>
      </c>
      <c r="EZ189" s="32">
        <v>84.4</v>
      </c>
      <c r="FA189" s="32">
        <v>90.7</v>
      </c>
      <c r="FB189" s="32">
        <v>95.6</v>
      </c>
      <c r="FC189" s="32">
        <v>81.400000000000006</v>
      </c>
      <c r="FD189" s="32">
        <v>102.9</v>
      </c>
      <c r="FE189" s="32">
        <v>114.6</v>
      </c>
      <c r="FF189" s="32">
        <v>84.8</v>
      </c>
      <c r="FG189" s="32">
        <v>81.7</v>
      </c>
      <c r="FH189" s="32">
        <v>86.4</v>
      </c>
      <c r="FI189" s="32">
        <v>84</v>
      </c>
      <c r="FJ189" s="32">
        <v>79.5</v>
      </c>
      <c r="FK189" s="32">
        <v>63.5</v>
      </c>
      <c r="FL189" s="32">
        <v>63.5</v>
      </c>
    </row>
    <row r="190" spans="1:168" x14ac:dyDescent="0.2">
      <c r="A190" s="34" t="s">
        <v>1170</v>
      </c>
      <c r="B190" s="32">
        <v>86.7</v>
      </c>
      <c r="C190" s="32">
        <v>86.3</v>
      </c>
      <c r="D190" s="32">
        <v>88.2</v>
      </c>
      <c r="E190" s="32">
        <v>87.8</v>
      </c>
      <c r="F190" s="32">
        <v>88.6</v>
      </c>
      <c r="G190" s="32">
        <v>1892.9</v>
      </c>
      <c r="H190" s="32">
        <v>84</v>
      </c>
      <c r="I190" s="32">
        <v>86.8</v>
      </c>
      <c r="J190" s="32">
        <v>88.3</v>
      </c>
      <c r="K190" s="32">
        <v>84.5</v>
      </c>
      <c r="L190" s="32">
        <v>79</v>
      </c>
      <c r="M190" s="32">
        <v>67.099999999999994</v>
      </c>
      <c r="N190" s="32">
        <v>78.3</v>
      </c>
      <c r="O190" s="32">
        <v>56.2</v>
      </c>
      <c r="P190" s="32">
        <v>103.9</v>
      </c>
      <c r="Q190" s="32">
        <v>71.7</v>
      </c>
      <c r="R190" s="32">
        <v>75.5</v>
      </c>
      <c r="S190" s="32">
        <v>102.3</v>
      </c>
      <c r="T190" s="32">
        <v>80.599999999999994</v>
      </c>
      <c r="U190" s="32">
        <v>72</v>
      </c>
      <c r="V190" s="32">
        <v>120</v>
      </c>
      <c r="W190" s="32">
        <v>68.900000000000006</v>
      </c>
      <c r="X190" s="32">
        <v>57.6</v>
      </c>
      <c r="Y190" s="32">
        <v>76.900000000000006</v>
      </c>
      <c r="Z190" s="32">
        <v>121.9</v>
      </c>
      <c r="AA190" s="32">
        <v>82.3</v>
      </c>
      <c r="AB190" s="32">
        <v>67.7</v>
      </c>
      <c r="AC190" s="32">
        <v>80.5</v>
      </c>
      <c r="AD190" s="32">
        <v>95.5</v>
      </c>
      <c r="AE190" s="32">
        <v>29.4</v>
      </c>
      <c r="AF190" s="32">
        <v>29.4</v>
      </c>
      <c r="AG190" s="32">
        <v>61.3</v>
      </c>
      <c r="AH190" s="32">
        <v>61.3</v>
      </c>
      <c r="AI190" s="32">
        <v>125.7</v>
      </c>
      <c r="AJ190" s="32">
        <v>24.6</v>
      </c>
      <c r="AK190" s="32">
        <v>102.7</v>
      </c>
      <c r="AL190" s="32">
        <v>70.400000000000006</v>
      </c>
      <c r="AM190" s="32">
        <v>67.5</v>
      </c>
      <c r="AN190" s="32">
        <v>89.9</v>
      </c>
      <c r="AO190" s="32">
        <v>100.2</v>
      </c>
      <c r="AP190" s="32">
        <v>100.2</v>
      </c>
      <c r="AQ190" s="32">
        <v>94.1</v>
      </c>
      <c r="AR190" s="32">
        <v>94</v>
      </c>
      <c r="AS190" s="32">
        <v>95.9</v>
      </c>
      <c r="AT190" s="32">
        <v>90</v>
      </c>
      <c r="AU190" s="32">
        <v>100.9</v>
      </c>
      <c r="AV190" s="32">
        <v>100.5</v>
      </c>
      <c r="AW190" s="32">
        <v>137.6</v>
      </c>
      <c r="AX190" s="32">
        <v>142.19999999999999</v>
      </c>
      <c r="AY190" s="32">
        <v>163.80000000000001</v>
      </c>
      <c r="AZ190" s="32">
        <v>93.6</v>
      </c>
      <c r="BA190" s="32">
        <v>83.4</v>
      </c>
      <c r="BB190" s="32">
        <v>83.4</v>
      </c>
      <c r="BC190" s="32">
        <v>103.7</v>
      </c>
      <c r="BD190" s="32">
        <v>103.7</v>
      </c>
      <c r="BE190" s="32">
        <v>111.9</v>
      </c>
      <c r="BF190" s="32">
        <v>111.9</v>
      </c>
      <c r="BG190" s="32">
        <v>89.2</v>
      </c>
      <c r="BH190" s="32">
        <v>86.2</v>
      </c>
      <c r="BI190" s="32">
        <v>91.5</v>
      </c>
      <c r="BJ190" s="32">
        <v>48.8</v>
      </c>
      <c r="BK190" s="32">
        <v>104.9</v>
      </c>
      <c r="BL190" s="32">
        <v>90.8</v>
      </c>
      <c r="BM190" s="32">
        <v>100.6</v>
      </c>
      <c r="BN190" s="32">
        <v>101.2</v>
      </c>
      <c r="BO190" s="32">
        <v>83.9</v>
      </c>
      <c r="BP190" s="32">
        <v>118.3</v>
      </c>
      <c r="BQ190" s="32">
        <v>99.8</v>
      </c>
      <c r="BR190" s="32">
        <v>70.099999999999994</v>
      </c>
      <c r="BS190" s="32">
        <v>159.6</v>
      </c>
      <c r="BT190" s="32">
        <v>88.6</v>
      </c>
      <c r="BU190" s="32">
        <v>83.7</v>
      </c>
      <c r="BV190" s="32">
        <v>83.7</v>
      </c>
      <c r="BW190" s="32">
        <v>118.1</v>
      </c>
      <c r="BX190" s="32">
        <v>35.5</v>
      </c>
      <c r="BY190" s="32">
        <v>88.4</v>
      </c>
      <c r="BZ190" s="32">
        <v>86.2</v>
      </c>
      <c r="CA190" s="32">
        <v>89.4</v>
      </c>
      <c r="CB190" s="32">
        <v>100.7</v>
      </c>
      <c r="CC190" s="32">
        <v>80.3</v>
      </c>
      <c r="CD190" s="32">
        <v>42.8</v>
      </c>
      <c r="CE190" s="32">
        <v>88.8</v>
      </c>
      <c r="CF190" s="32">
        <v>86.4</v>
      </c>
      <c r="CG190" s="32">
        <v>92.5</v>
      </c>
      <c r="CH190" s="32">
        <v>93.4</v>
      </c>
      <c r="CI190" s="32">
        <v>98.8</v>
      </c>
      <c r="CJ190" s="32">
        <v>97.9</v>
      </c>
      <c r="CK190" s="32">
        <v>89.3</v>
      </c>
      <c r="CL190" s="32">
        <v>95.6</v>
      </c>
      <c r="CM190" s="32">
        <v>96.3</v>
      </c>
      <c r="CN190" s="32">
        <v>109.6</v>
      </c>
      <c r="CO190" s="32">
        <v>94.5</v>
      </c>
      <c r="CP190" s="32">
        <v>119.7</v>
      </c>
      <c r="CQ190" s="32">
        <v>42.1</v>
      </c>
      <c r="CR190" s="32">
        <v>97.1</v>
      </c>
      <c r="CS190" s="32">
        <v>117.9</v>
      </c>
      <c r="CT190" s="32">
        <v>86.1</v>
      </c>
      <c r="CU190" s="32">
        <v>75</v>
      </c>
      <c r="CV190" s="32">
        <v>91.1</v>
      </c>
      <c r="CW190" s="32">
        <v>55.2</v>
      </c>
      <c r="CX190" s="32">
        <v>104.2</v>
      </c>
      <c r="CY190" s="32">
        <v>104.8</v>
      </c>
      <c r="CZ190" s="32">
        <v>104.2</v>
      </c>
      <c r="DA190" s="32">
        <v>96.2</v>
      </c>
      <c r="DB190" s="32">
        <v>119.1</v>
      </c>
      <c r="DC190" s="32">
        <v>20.9</v>
      </c>
      <c r="DD190" s="32">
        <v>20.9</v>
      </c>
      <c r="DE190" s="32">
        <v>75.8</v>
      </c>
      <c r="DF190" s="32">
        <v>74.5</v>
      </c>
      <c r="DG190" s="32">
        <v>83.4</v>
      </c>
      <c r="DH190" s="32">
        <v>104.3</v>
      </c>
      <c r="DI190" s="32">
        <v>132.69999999999999</v>
      </c>
      <c r="DJ190" s="32">
        <v>92.7</v>
      </c>
      <c r="DK190" s="32">
        <v>92.7</v>
      </c>
      <c r="DL190" s="32">
        <v>69.3</v>
      </c>
      <c r="DM190" s="32">
        <v>85.8</v>
      </c>
      <c r="DN190" s="32">
        <v>86.3</v>
      </c>
      <c r="DO190" s="32">
        <v>85.3</v>
      </c>
      <c r="DP190" s="32">
        <v>94.8</v>
      </c>
      <c r="DQ190" s="32">
        <v>79.900000000000006</v>
      </c>
      <c r="DR190" s="32">
        <v>84.3</v>
      </c>
      <c r="DS190" s="32">
        <v>82.2</v>
      </c>
      <c r="DT190" s="32">
        <v>79.5</v>
      </c>
      <c r="DU190" s="32">
        <v>84.7</v>
      </c>
      <c r="DV190" s="32">
        <v>87.5</v>
      </c>
      <c r="DW190" s="32">
        <v>81.3</v>
      </c>
      <c r="DX190" s="32">
        <v>68.900000000000006</v>
      </c>
      <c r="DY190" s="32">
        <v>91.2</v>
      </c>
      <c r="DZ190" s="32">
        <v>131.69999999999999</v>
      </c>
      <c r="EA190" s="32">
        <v>131.69999999999999</v>
      </c>
      <c r="EB190" s="32">
        <v>75.2</v>
      </c>
      <c r="EC190" s="32">
        <v>80.900000000000006</v>
      </c>
      <c r="ED190" s="32">
        <v>68.3</v>
      </c>
      <c r="EE190" s="32">
        <v>66.400000000000006</v>
      </c>
      <c r="EF190" s="32">
        <v>72.900000000000006</v>
      </c>
      <c r="EG190" s="32">
        <v>73.599999999999994</v>
      </c>
      <c r="EH190" s="32">
        <v>70.3</v>
      </c>
      <c r="EI190" s="32">
        <v>71.099999999999994</v>
      </c>
      <c r="EJ190" s="32">
        <v>73.3</v>
      </c>
      <c r="EK190" s="32">
        <v>77.7</v>
      </c>
      <c r="EL190" s="32">
        <v>73.5</v>
      </c>
      <c r="EM190" s="32">
        <v>70.099999999999994</v>
      </c>
      <c r="EN190" s="32">
        <v>83.2</v>
      </c>
      <c r="EO190" s="32">
        <v>92.1</v>
      </c>
      <c r="EP190" s="32">
        <v>93.9</v>
      </c>
      <c r="EQ190" s="32">
        <v>93.9</v>
      </c>
      <c r="ER190" s="32">
        <v>91.4</v>
      </c>
      <c r="ES190" s="32">
        <v>91.4</v>
      </c>
      <c r="ET190" s="32">
        <v>91.3</v>
      </c>
      <c r="EU190" s="32">
        <v>90.9</v>
      </c>
      <c r="EV190" s="32">
        <v>90.9</v>
      </c>
      <c r="EW190" s="32">
        <v>91.9</v>
      </c>
      <c r="EX190" s="32">
        <v>102.7</v>
      </c>
      <c r="EY190" s="32">
        <v>83.3</v>
      </c>
      <c r="EZ190" s="32">
        <v>84.4</v>
      </c>
      <c r="FA190" s="32">
        <v>90.6</v>
      </c>
      <c r="FB190" s="32">
        <v>96.1</v>
      </c>
      <c r="FC190" s="32">
        <v>83.4</v>
      </c>
      <c r="FD190" s="32">
        <v>101.2</v>
      </c>
      <c r="FE190" s="32">
        <v>113.4</v>
      </c>
      <c r="FF190" s="32">
        <v>83.9</v>
      </c>
      <c r="FG190" s="32">
        <v>81.5</v>
      </c>
      <c r="FH190" s="32">
        <v>86.8</v>
      </c>
      <c r="FI190" s="32">
        <v>88.7</v>
      </c>
      <c r="FJ190" s="32">
        <v>78.400000000000006</v>
      </c>
      <c r="FK190" s="32">
        <v>65.099999999999994</v>
      </c>
      <c r="FL190" s="32">
        <v>65.099999999999994</v>
      </c>
    </row>
    <row r="191" spans="1:168" x14ac:dyDescent="0.2">
      <c r="A191" s="34" t="s">
        <v>1171</v>
      </c>
      <c r="B191" s="32">
        <v>85.6</v>
      </c>
      <c r="C191" s="32">
        <v>85.3</v>
      </c>
      <c r="D191" s="32">
        <v>86.5</v>
      </c>
      <c r="E191" s="32">
        <v>86.6</v>
      </c>
      <c r="F191" s="32">
        <v>92</v>
      </c>
      <c r="G191" s="32">
        <v>1666.3</v>
      </c>
      <c r="H191" s="32">
        <v>88.5</v>
      </c>
      <c r="I191" s="32">
        <v>85.5</v>
      </c>
      <c r="J191" s="32">
        <v>86.6</v>
      </c>
      <c r="K191" s="32">
        <v>83.2</v>
      </c>
      <c r="L191" s="32">
        <v>77.400000000000006</v>
      </c>
      <c r="M191" s="32">
        <v>67.3</v>
      </c>
      <c r="N191" s="32">
        <v>78.599999999999994</v>
      </c>
      <c r="O191" s="32">
        <v>51.8</v>
      </c>
      <c r="P191" s="32">
        <v>101</v>
      </c>
      <c r="Q191" s="32">
        <v>73.2</v>
      </c>
      <c r="R191" s="32">
        <v>72.900000000000006</v>
      </c>
      <c r="S191" s="32">
        <v>99</v>
      </c>
      <c r="T191" s="32">
        <v>76.8</v>
      </c>
      <c r="U191" s="32">
        <v>75.8</v>
      </c>
      <c r="V191" s="32">
        <v>118.5</v>
      </c>
      <c r="W191" s="32">
        <v>66.900000000000006</v>
      </c>
      <c r="X191" s="32">
        <v>54.9</v>
      </c>
      <c r="Y191" s="32">
        <v>79</v>
      </c>
      <c r="Z191" s="32">
        <v>107.9</v>
      </c>
      <c r="AA191" s="32">
        <v>76.2</v>
      </c>
      <c r="AB191" s="32">
        <v>61.3</v>
      </c>
      <c r="AC191" s="32">
        <v>76</v>
      </c>
      <c r="AD191" s="32">
        <v>87.8</v>
      </c>
      <c r="AE191" s="32">
        <v>29.1</v>
      </c>
      <c r="AF191" s="32">
        <v>29.1</v>
      </c>
      <c r="AG191" s="32">
        <v>59.8</v>
      </c>
      <c r="AH191" s="32">
        <v>59.8</v>
      </c>
      <c r="AI191" s="32">
        <v>133.30000000000001</v>
      </c>
      <c r="AJ191" s="32">
        <v>26.2</v>
      </c>
      <c r="AK191" s="32">
        <v>83.9</v>
      </c>
      <c r="AL191" s="32">
        <v>66.900000000000006</v>
      </c>
      <c r="AM191" s="32">
        <v>64.099999999999994</v>
      </c>
      <c r="AN191" s="32">
        <v>85.1</v>
      </c>
      <c r="AO191" s="32">
        <v>103.9</v>
      </c>
      <c r="AP191" s="32">
        <v>103.9</v>
      </c>
      <c r="AQ191" s="32">
        <v>85.9</v>
      </c>
      <c r="AR191" s="32">
        <v>85.5</v>
      </c>
      <c r="AS191" s="32">
        <v>88</v>
      </c>
      <c r="AT191" s="32">
        <v>83.6</v>
      </c>
      <c r="AU191" s="32">
        <v>91.6</v>
      </c>
      <c r="AV191" s="32">
        <v>91</v>
      </c>
      <c r="AW191" s="32">
        <v>126.1</v>
      </c>
      <c r="AX191" s="32">
        <v>126.4</v>
      </c>
      <c r="AY191" s="32">
        <v>158.5</v>
      </c>
      <c r="AZ191" s="32">
        <v>84.3</v>
      </c>
      <c r="BA191" s="32">
        <v>79</v>
      </c>
      <c r="BB191" s="32">
        <v>79</v>
      </c>
      <c r="BC191" s="32">
        <v>96.3</v>
      </c>
      <c r="BD191" s="32">
        <v>96.3</v>
      </c>
      <c r="BE191" s="32">
        <v>124.3</v>
      </c>
      <c r="BF191" s="32">
        <v>124.3</v>
      </c>
      <c r="BG191" s="32">
        <v>91.1</v>
      </c>
      <c r="BH191" s="32">
        <v>89.3</v>
      </c>
      <c r="BI191" s="32">
        <v>92</v>
      </c>
      <c r="BJ191" s="32">
        <v>49.6</v>
      </c>
      <c r="BK191" s="32">
        <v>106.8</v>
      </c>
      <c r="BL191" s="32">
        <v>81.900000000000006</v>
      </c>
      <c r="BM191" s="32">
        <v>103.9</v>
      </c>
      <c r="BN191" s="32">
        <v>98.2</v>
      </c>
      <c r="BO191" s="32">
        <v>80.099999999999994</v>
      </c>
      <c r="BP191" s="32">
        <v>116</v>
      </c>
      <c r="BQ191" s="32">
        <v>111</v>
      </c>
      <c r="BR191" s="32">
        <v>158.9</v>
      </c>
      <c r="BS191" s="32">
        <v>160.5</v>
      </c>
      <c r="BT191" s="32">
        <v>88.6</v>
      </c>
      <c r="BU191" s="32">
        <v>82.2</v>
      </c>
      <c r="BV191" s="32">
        <v>82.2</v>
      </c>
      <c r="BW191" s="32">
        <v>114.8</v>
      </c>
      <c r="BX191" s="32">
        <v>35.9</v>
      </c>
      <c r="BY191" s="32">
        <v>86.1</v>
      </c>
      <c r="BZ191" s="32">
        <v>84.3</v>
      </c>
      <c r="CA191" s="32">
        <v>86.9</v>
      </c>
      <c r="CB191" s="32">
        <v>98</v>
      </c>
      <c r="CC191" s="32">
        <v>77.900000000000006</v>
      </c>
      <c r="CD191" s="32">
        <v>42.2</v>
      </c>
      <c r="CE191" s="32">
        <v>85.6</v>
      </c>
      <c r="CF191" s="32">
        <v>85.5</v>
      </c>
      <c r="CG191" s="32">
        <v>90.8</v>
      </c>
      <c r="CH191" s="32">
        <v>91</v>
      </c>
      <c r="CI191" s="32">
        <v>98.6</v>
      </c>
      <c r="CJ191" s="32">
        <v>91.2</v>
      </c>
      <c r="CK191" s="32">
        <v>89.2</v>
      </c>
      <c r="CL191" s="32">
        <v>93.1</v>
      </c>
      <c r="CM191" s="32">
        <v>92.8</v>
      </c>
      <c r="CN191" s="32">
        <v>110.2</v>
      </c>
      <c r="CO191" s="32">
        <v>90.1</v>
      </c>
      <c r="CP191" s="32">
        <v>119.1</v>
      </c>
      <c r="CQ191" s="32">
        <v>43</v>
      </c>
      <c r="CR191" s="32">
        <v>94.1</v>
      </c>
      <c r="CS191" s="32">
        <v>115.4</v>
      </c>
      <c r="CT191" s="32">
        <v>87.7</v>
      </c>
      <c r="CU191" s="32">
        <v>77.900000000000006</v>
      </c>
      <c r="CV191" s="32">
        <v>92</v>
      </c>
      <c r="CW191" s="32">
        <v>52.6</v>
      </c>
      <c r="CX191" s="32">
        <v>97.6</v>
      </c>
      <c r="CY191" s="32">
        <v>103.6</v>
      </c>
      <c r="CZ191" s="32">
        <v>94.6</v>
      </c>
      <c r="DA191" s="32">
        <v>84</v>
      </c>
      <c r="DB191" s="32">
        <v>114.7</v>
      </c>
      <c r="DC191" s="32">
        <v>20.8</v>
      </c>
      <c r="DD191" s="32">
        <v>20.8</v>
      </c>
      <c r="DE191" s="32">
        <v>70.5</v>
      </c>
      <c r="DF191" s="32">
        <v>68.900000000000006</v>
      </c>
      <c r="DG191" s="32">
        <v>79.900000000000006</v>
      </c>
      <c r="DH191" s="32">
        <v>106</v>
      </c>
      <c r="DI191" s="32">
        <v>135.19999999999999</v>
      </c>
      <c r="DJ191" s="32">
        <v>93.6</v>
      </c>
      <c r="DK191" s="32">
        <v>93.6</v>
      </c>
      <c r="DL191" s="32">
        <v>70.5</v>
      </c>
      <c r="DM191" s="32">
        <v>86.4</v>
      </c>
      <c r="DN191" s="32">
        <v>87.5</v>
      </c>
      <c r="DO191" s="32">
        <v>86</v>
      </c>
      <c r="DP191" s="32">
        <v>86.6</v>
      </c>
      <c r="DQ191" s="32">
        <v>75.7</v>
      </c>
      <c r="DR191" s="32">
        <v>79.400000000000006</v>
      </c>
      <c r="DS191" s="32">
        <v>77.5</v>
      </c>
      <c r="DT191" s="32">
        <v>76.2</v>
      </c>
      <c r="DU191" s="32">
        <v>80.2</v>
      </c>
      <c r="DV191" s="32">
        <v>83.2</v>
      </c>
      <c r="DW191" s="32">
        <v>76.7</v>
      </c>
      <c r="DX191" s="32">
        <v>67.900000000000006</v>
      </c>
      <c r="DY191" s="32">
        <v>82.1</v>
      </c>
      <c r="DZ191" s="32">
        <v>117.3</v>
      </c>
      <c r="EA191" s="32">
        <v>117.3</v>
      </c>
      <c r="EB191" s="32">
        <v>72.7</v>
      </c>
      <c r="EC191" s="32">
        <v>77.099999999999994</v>
      </c>
      <c r="ED191" s="32">
        <v>67.5</v>
      </c>
      <c r="EE191" s="32">
        <v>65.900000000000006</v>
      </c>
      <c r="EF191" s="32">
        <v>71.099999999999994</v>
      </c>
      <c r="EG191" s="32">
        <v>70.5</v>
      </c>
      <c r="EH191" s="32">
        <v>69.7</v>
      </c>
      <c r="EI191" s="32">
        <v>64.900000000000006</v>
      </c>
      <c r="EJ191" s="32">
        <v>77.2</v>
      </c>
      <c r="EK191" s="32">
        <v>73.8</v>
      </c>
      <c r="EL191" s="32">
        <v>76.7</v>
      </c>
      <c r="EM191" s="32">
        <v>67.7</v>
      </c>
      <c r="EN191" s="32">
        <v>76.900000000000006</v>
      </c>
      <c r="EO191" s="32">
        <v>92.6</v>
      </c>
      <c r="EP191" s="32">
        <v>94</v>
      </c>
      <c r="EQ191" s="32">
        <v>94</v>
      </c>
      <c r="ER191" s="32">
        <v>94.1</v>
      </c>
      <c r="ES191" s="32">
        <v>94.1</v>
      </c>
      <c r="ET191" s="32">
        <v>90.5</v>
      </c>
      <c r="EU191" s="32">
        <v>89.8</v>
      </c>
      <c r="EV191" s="32">
        <v>89.8</v>
      </c>
      <c r="EW191" s="32">
        <v>91.9</v>
      </c>
      <c r="EX191" s="32">
        <v>102.4</v>
      </c>
      <c r="EY191" s="32">
        <v>83.6</v>
      </c>
      <c r="EZ191" s="32">
        <v>84.7</v>
      </c>
      <c r="FA191" s="32">
        <v>91.3</v>
      </c>
      <c r="FB191" s="32">
        <v>96.4</v>
      </c>
      <c r="FC191" s="32">
        <v>83.3</v>
      </c>
      <c r="FD191" s="32">
        <v>102</v>
      </c>
      <c r="FE191" s="32">
        <v>114.2</v>
      </c>
      <c r="FF191" s="32">
        <v>85.1</v>
      </c>
      <c r="FG191" s="32">
        <v>81.5</v>
      </c>
      <c r="FH191" s="32">
        <v>87.6</v>
      </c>
      <c r="FI191" s="32">
        <v>90.2</v>
      </c>
      <c r="FJ191" s="32">
        <v>77.900000000000006</v>
      </c>
      <c r="FK191" s="32">
        <v>66.099999999999994</v>
      </c>
      <c r="FL191" s="32">
        <v>66.099999999999994</v>
      </c>
    </row>
    <row r="192" spans="1:168" x14ac:dyDescent="0.2">
      <c r="A192" s="34" t="s">
        <v>1172</v>
      </c>
      <c r="B192" s="32">
        <v>86.8</v>
      </c>
      <c r="C192" s="32">
        <v>83.2</v>
      </c>
      <c r="D192" s="32">
        <v>88</v>
      </c>
      <c r="E192" s="32">
        <v>88.6</v>
      </c>
      <c r="F192" s="32">
        <v>95.6</v>
      </c>
      <c r="G192" s="32">
        <v>1625.1</v>
      </c>
      <c r="H192" s="32">
        <v>91.9</v>
      </c>
      <c r="I192" s="32">
        <v>89.8</v>
      </c>
      <c r="J192" s="32">
        <v>88.6</v>
      </c>
      <c r="K192" s="32">
        <v>83.7</v>
      </c>
      <c r="L192" s="32">
        <v>78.7</v>
      </c>
      <c r="M192" s="32">
        <v>64.8</v>
      </c>
      <c r="N192" s="32">
        <v>77.2</v>
      </c>
      <c r="O192" s="32">
        <v>58</v>
      </c>
      <c r="P192" s="32">
        <v>100</v>
      </c>
      <c r="Q192" s="32">
        <v>74.3</v>
      </c>
      <c r="R192" s="32">
        <v>71.599999999999994</v>
      </c>
      <c r="S192" s="32">
        <v>106.7</v>
      </c>
      <c r="T192" s="32">
        <v>79.2</v>
      </c>
      <c r="U192" s="32">
        <v>69</v>
      </c>
      <c r="V192" s="32">
        <v>118</v>
      </c>
      <c r="W192" s="32">
        <v>68.8</v>
      </c>
      <c r="X192" s="32">
        <v>57.6</v>
      </c>
      <c r="Y192" s="32">
        <v>79.599999999999994</v>
      </c>
      <c r="Z192" s="32">
        <v>102.5</v>
      </c>
      <c r="AA192" s="32">
        <v>81.599999999999994</v>
      </c>
      <c r="AB192" s="32">
        <v>68.3</v>
      </c>
      <c r="AC192" s="32">
        <v>80.599999999999994</v>
      </c>
      <c r="AD192" s="32">
        <v>93.3</v>
      </c>
      <c r="AE192" s="32">
        <v>22.9</v>
      </c>
      <c r="AF192" s="32">
        <v>22.9</v>
      </c>
      <c r="AG192" s="32">
        <v>61.9</v>
      </c>
      <c r="AH192" s="32">
        <v>61.9</v>
      </c>
      <c r="AI192" s="32">
        <v>132.1</v>
      </c>
      <c r="AJ192" s="32">
        <v>27.4</v>
      </c>
      <c r="AK192" s="32">
        <v>90.2</v>
      </c>
      <c r="AL192" s="32">
        <v>68.3</v>
      </c>
      <c r="AM192" s="32">
        <v>66.099999999999994</v>
      </c>
      <c r="AN192" s="32">
        <v>89.7</v>
      </c>
      <c r="AO192" s="32">
        <v>103.9</v>
      </c>
      <c r="AP192" s="32">
        <v>103.9</v>
      </c>
      <c r="AQ192" s="32">
        <v>90.6</v>
      </c>
      <c r="AR192" s="32">
        <v>90.3</v>
      </c>
      <c r="AS192" s="32">
        <v>92.8</v>
      </c>
      <c r="AT192" s="32">
        <v>88</v>
      </c>
      <c r="AU192" s="32">
        <v>96.7</v>
      </c>
      <c r="AV192" s="32">
        <v>102.2</v>
      </c>
      <c r="AW192" s="32">
        <v>126.1</v>
      </c>
      <c r="AX192" s="32">
        <v>126.8</v>
      </c>
      <c r="AY192" s="32">
        <v>157.4</v>
      </c>
      <c r="AZ192" s="32">
        <v>99</v>
      </c>
      <c r="BA192" s="32">
        <v>83.3</v>
      </c>
      <c r="BB192" s="32">
        <v>83.3</v>
      </c>
      <c r="BC192" s="32">
        <v>102.5</v>
      </c>
      <c r="BD192" s="32">
        <v>102.5</v>
      </c>
      <c r="BE192" s="32">
        <v>113</v>
      </c>
      <c r="BF192" s="32">
        <v>113</v>
      </c>
      <c r="BG192" s="32">
        <v>89.1</v>
      </c>
      <c r="BH192" s="32">
        <v>89.9</v>
      </c>
      <c r="BI192" s="32">
        <v>87.1</v>
      </c>
      <c r="BJ192" s="32">
        <v>48.7</v>
      </c>
      <c r="BK192" s="32">
        <v>99.6</v>
      </c>
      <c r="BL192" s="32">
        <v>82.3</v>
      </c>
      <c r="BM192" s="32">
        <v>104.6</v>
      </c>
      <c r="BN192" s="32">
        <v>100.1</v>
      </c>
      <c r="BO192" s="32">
        <v>85.3</v>
      </c>
      <c r="BP192" s="32">
        <v>114.8</v>
      </c>
      <c r="BQ192" s="32">
        <v>110.1</v>
      </c>
      <c r="BR192" s="32">
        <v>114.1</v>
      </c>
      <c r="BS192" s="32">
        <v>174.1</v>
      </c>
      <c r="BT192" s="32">
        <v>92</v>
      </c>
      <c r="BU192" s="32">
        <v>80.8</v>
      </c>
      <c r="BV192" s="32">
        <v>80.8</v>
      </c>
      <c r="BW192" s="32">
        <v>113.2</v>
      </c>
      <c r="BX192" s="32">
        <v>35</v>
      </c>
      <c r="BY192" s="32">
        <v>89.7</v>
      </c>
      <c r="BZ192" s="32">
        <v>85.4</v>
      </c>
      <c r="CA192" s="32">
        <v>91.7</v>
      </c>
      <c r="CB192" s="32">
        <v>108.5</v>
      </c>
      <c r="CC192" s="32">
        <v>78.3</v>
      </c>
      <c r="CD192" s="32">
        <v>43.3</v>
      </c>
      <c r="CE192" s="32">
        <v>85.9</v>
      </c>
      <c r="CF192" s="32">
        <v>86.7</v>
      </c>
      <c r="CG192" s="32">
        <v>91.7</v>
      </c>
      <c r="CH192" s="32">
        <v>92.3</v>
      </c>
      <c r="CI192" s="32">
        <v>103.2</v>
      </c>
      <c r="CJ192" s="32">
        <v>93.9</v>
      </c>
      <c r="CK192" s="32">
        <v>88.7</v>
      </c>
      <c r="CL192" s="32">
        <v>94</v>
      </c>
      <c r="CM192" s="32">
        <v>95.8</v>
      </c>
      <c r="CN192" s="32">
        <v>109.4</v>
      </c>
      <c r="CO192" s="32">
        <v>93.9</v>
      </c>
      <c r="CP192" s="32">
        <v>118.1</v>
      </c>
      <c r="CQ192" s="32">
        <v>42.9</v>
      </c>
      <c r="CR192" s="32">
        <v>94.5</v>
      </c>
      <c r="CS192" s="32">
        <v>113.9</v>
      </c>
      <c r="CT192" s="32">
        <v>87</v>
      </c>
      <c r="CU192" s="32">
        <v>78.400000000000006</v>
      </c>
      <c r="CV192" s="32">
        <v>90.9</v>
      </c>
      <c r="CW192" s="32">
        <v>53.2</v>
      </c>
      <c r="CX192" s="32">
        <v>95.7</v>
      </c>
      <c r="CY192" s="32">
        <v>108</v>
      </c>
      <c r="CZ192" s="32">
        <v>89.1</v>
      </c>
      <c r="DA192" s="32">
        <v>76.900000000000006</v>
      </c>
      <c r="DB192" s="32">
        <v>112.4</v>
      </c>
      <c r="DC192" s="32">
        <v>20.7</v>
      </c>
      <c r="DD192" s="32">
        <v>20.7</v>
      </c>
      <c r="DE192" s="32">
        <v>73.599999999999994</v>
      </c>
      <c r="DF192" s="32">
        <v>72.8</v>
      </c>
      <c r="DG192" s="32">
        <v>78.2</v>
      </c>
      <c r="DH192" s="32">
        <v>104.7</v>
      </c>
      <c r="DI192" s="32">
        <v>130.5</v>
      </c>
      <c r="DJ192" s="32">
        <v>94.5</v>
      </c>
      <c r="DK192" s="32">
        <v>94.5</v>
      </c>
      <c r="DL192" s="32">
        <v>72.8</v>
      </c>
      <c r="DM192" s="32">
        <v>87</v>
      </c>
      <c r="DN192" s="32">
        <v>87.9</v>
      </c>
      <c r="DO192" s="32">
        <v>86.5</v>
      </c>
      <c r="DP192" s="32">
        <v>88.7</v>
      </c>
      <c r="DQ192" s="32">
        <v>79.3</v>
      </c>
      <c r="DR192" s="32">
        <v>83.8</v>
      </c>
      <c r="DS192" s="32">
        <v>79.7</v>
      </c>
      <c r="DT192" s="32">
        <v>79.400000000000006</v>
      </c>
      <c r="DU192" s="32">
        <v>82.7</v>
      </c>
      <c r="DV192" s="32">
        <v>86.3</v>
      </c>
      <c r="DW192" s="32">
        <v>78.5</v>
      </c>
      <c r="DX192" s="32">
        <v>72.7</v>
      </c>
      <c r="DY192" s="32">
        <v>80.599999999999994</v>
      </c>
      <c r="DZ192" s="32">
        <v>133.80000000000001</v>
      </c>
      <c r="EA192" s="32">
        <v>133.80000000000001</v>
      </c>
      <c r="EB192" s="32">
        <v>80.2</v>
      </c>
      <c r="EC192" s="32">
        <v>87.7</v>
      </c>
      <c r="ED192" s="32">
        <v>71</v>
      </c>
      <c r="EE192" s="32">
        <v>70.3</v>
      </c>
      <c r="EF192" s="32">
        <v>72.5</v>
      </c>
      <c r="EG192" s="32">
        <v>72.900000000000006</v>
      </c>
      <c r="EH192" s="32">
        <v>72.3</v>
      </c>
      <c r="EI192" s="32">
        <v>69.7</v>
      </c>
      <c r="EJ192" s="32">
        <v>74.400000000000006</v>
      </c>
      <c r="EK192" s="32">
        <v>75.400000000000006</v>
      </c>
      <c r="EL192" s="32">
        <v>77.5</v>
      </c>
      <c r="EM192" s="32">
        <v>70.099999999999994</v>
      </c>
      <c r="EN192" s="32">
        <v>78.099999999999994</v>
      </c>
      <c r="EO192" s="32">
        <v>93</v>
      </c>
      <c r="EP192" s="32">
        <v>93.5</v>
      </c>
      <c r="EQ192" s="32">
        <v>93.5</v>
      </c>
      <c r="ER192" s="32">
        <v>94.2</v>
      </c>
      <c r="ES192" s="32">
        <v>94.2</v>
      </c>
      <c r="ET192" s="32">
        <v>91.6</v>
      </c>
      <c r="EU192" s="32">
        <v>91.4</v>
      </c>
      <c r="EV192" s="32">
        <v>91.4</v>
      </c>
      <c r="EW192" s="32">
        <v>91.7</v>
      </c>
      <c r="EX192" s="32">
        <v>102.1</v>
      </c>
      <c r="EY192" s="32">
        <v>83.5</v>
      </c>
      <c r="EZ192" s="32">
        <v>92.5</v>
      </c>
      <c r="FA192" s="32">
        <v>107.1</v>
      </c>
      <c r="FB192" s="32">
        <v>99.2</v>
      </c>
      <c r="FC192" s="32">
        <v>88</v>
      </c>
      <c r="FD192" s="32">
        <v>101.2</v>
      </c>
      <c r="FE192" s="32">
        <v>115.1</v>
      </c>
      <c r="FF192" s="32">
        <v>117.2</v>
      </c>
      <c r="FG192" s="32">
        <v>83.2</v>
      </c>
      <c r="FH192" s="32">
        <v>88</v>
      </c>
      <c r="FI192" s="32">
        <v>94.5</v>
      </c>
      <c r="FJ192" s="32">
        <v>79.900000000000006</v>
      </c>
      <c r="FK192" s="32">
        <v>73.3</v>
      </c>
      <c r="FL192" s="32">
        <v>73.3</v>
      </c>
    </row>
    <row r="193" spans="1:168" x14ac:dyDescent="0.2">
      <c r="A193" s="34" t="s">
        <v>1173</v>
      </c>
      <c r="B193" s="32">
        <v>87.3</v>
      </c>
      <c r="C193" s="32">
        <v>82.1</v>
      </c>
      <c r="D193" s="32">
        <v>87.4</v>
      </c>
      <c r="E193" s="32">
        <v>87.9</v>
      </c>
      <c r="F193" s="32">
        <v>95.8</v>
      </c>
      <c r="G193" s="32">
        <v>1625.9</v>
      </c>
      <c r="H193" s="32">
        <v>92.1</v>
      </c>
      <c r="I193" s="32">
        <v>90.3</v>
      </c>
      <c r="J193" s="32">
        <v>87.5</v>
      </c>
      <c r="K193" s="32">
        <v>84.5</v>
      </c>
      <c r="L193" s="32">
        <v>79.099999999999994</v>
      </c>
      <c r="M193" s="32">
        <v>67.2</v>
      </c>
      <c r="N193" s="32">
        <v>78.2</v>
      </c>
      <c r="O193" s="32">
        <v>60.3</v>
      </c>
      <c r="P193" s="32">
        <v>98.7</v>
      </c>
      <c r="Q193" s="32">
        <v>74.900000000000006</v>
      </c>
      <c r="R193" s="32">
        <v>70.3</v>
      </c>
      <c r="S193" s="32">
        <v>107.2</v>
      </c>
      <c r="T193" s="32">
        <v>80.7</v>
      </c>
      <c r="U193" s="32">
        <v>76.900000000000006</v>
      </c>
      <c r="V193" s="32">
        <v>117.8</v>
      </c>
      <c r="W193" s="32">
        <v>70.8</v>
      </c>
      <c r="X193" s="32">
        <v>56.3</v>
      </c>
      <c r="Y193" s="32">
        <v>86.7</v>
      </c>
      <c r="Z193" s="32">
        <v>121.1</v>
      </c>
      <c r="AA193" s="32">
        <v>82.3</v>
      </c>
      <c r="AB193" s="32">
        <v>71.5</v>
      </c>
      <c r="AC193" s="32">
        <v>82.1</v>
      </c>
      <c r="AD193" s="32">
        <v>91.5</v>
      </c>
      <c r="AE193" s="32">
        <v>24.7</v>
      </c>
      <c r="AF193" s="32">
        <v>24.7</v>
      </c>
      <c r="AG193" s="32">
        <v>62.8</v>
      </c>
      <c r="AH193" s="32">
        <v>62.8</v>
      </c>
      <c r="AI193" s="32">
        <v>137.4</v>
      </c>
      <c r="AJ193" s="32">
        <v>28.2</v>
      </c>
      <c r="AK193" s="32">
        <v>91.1</v>
      </c>
      <c r="AL193" s="32">
        <v>70.099999999999994</v>
      </c>
      <c r="AM193" s="32">
        <v>65.5</v>
      </c>
      <c r="AN193" s="32">
        <v>91.7</v>
      </c>
      <c r="AO193" s="32">
        <v>103.7</v>
      </c>
      <c r="AP193" s="32">
        <v>103.7</v>
      </c>
      <c r="AQ193" s="32">
        <v>90.1</v>
      </c>
      <c r="AR193" s="32">
        <v>88.4</v>
      </c>
      <c r="AS193" s="32">
        <v>94.6</v>
      </c>
      <c r="AT193" s="32">
        <v>87.6</v>
      </c>
      <c r="AU193" s="32">
        <v>100.6</v>
      </c>
      <c r="AV193" s="32">
        <v>94.1</v>
      </c>
      <c r="AW193" s="32">
        <v>119.6</v>
      </c>
      <c r="AX193" s="32">
        <v>119.9</v>
      </c>
      <c r="AY193" s="32">
        <v>150</v>
      </c>
      <c r="AZ193" s="32">
        <v>90.1</v>
      </c>
      <c r="BA193" s="32">
        <v>85.1</v>
      </c>
      <c r="BB193" s="32">
        <v>85.1</v>
      </c>
      <c r="BC193" s="32">
        <v>102.5</v>
      </c>
      <c r="BD193" s="32">
        <v>102.5</v>
      </c>
      <c r="BE193" s="32">
        <v>110.6</v>
      </c>
      <c r="BF193" s="32">
        <v>110.6</v>
      </c>
      <c r="BG193" s="32">
        <v>83.6</v>
      </c>
      <c r="BH193" s="32">
        <v>82.1</v>
      </c>
      <c r="BI193" s="32">
        <v>84.3</v>
      </c>
      <c r="BJ193" s="32">
        <v>49.5</v>
      </c>
      <c r="BK193" s="32">
        <v>94.8</v>
      </c>
      <c r="BL193" s="32">
        <v>83</v>
      </c>
      <c r="BM193" s="32">
        <v>105.4</v>
      </c>
      <c r="BN193" s="32">
        <v>97.7</v>
      </c>
      <c r="BO193" s="32">
        <v>79.5</v>
      </c>
      <c r="BP193" s="32">
        <v>115.7</v>
      </c>
      <c r="BQ193" s="32">
        <v>115</v>
      </c>
      <c r="BR193" s="32">
        <v>129.5</v>
      </c>
      <c r="BS193" s="32">
        <v>167.2</v>
      </c>
      <c r="BT193" s="32">
        <v>97.6</v>
      </c>
      <c r="BU193" s="32">
        <v>81</v>
      </c>
      <c r="BV193" s="32">
        <v>81</v>
      </c>
      <c r="BW193" s="32">
        <v>115.2</v>
      </c>
      <c r="BX193" s="32">
        <v>33.5</v>
      </c>
      <c r="BY193" s="32">
        <v>91.1</v>
      </c>
      <c r="BZ193" s="32">
        <v>88</v>
      </c>
      <c r="CA193" s="32">
        <v>92.6</v>
      </c>
      <c r="CB193" s="32">
        <v>111.1</v>
      </c>
      <c r="CC193" s="32">
        <v>77.7</v>
      </c>
      <c r="CD193" s="32">
        <v>43.2</v>
      </c>
      <c r="CE193" s="32">
        <v>85.6</v>
      </c>
      <c r="CF193" s="32">
        <v>87.4</v>
      </c>
      <c r="CG193" s="32">
        <v>93</v>
      </c>
      <c r="CH193" s="32">
        <v>92.9</v>
      </c>
      <c r="CI193" s="32">
        <v>100.8</v>
      </c>
      <c r="CJ193" s="32">
        <v>96.4</v>
      </c>
      <c r="CK193" s="32">
        <v>88.9</v>
      </c>
      <c r="CL193" s="32">
        <v>95.4</v>
      </c>
      <c r="CM193" s="32">
        <v>98.4</v>
      </c>
      <c r="CN193" s="32">
        <v>109.1</v>
      </c>
      <c r="CO193" s="32">
        <v>97.2</v>
      </c>
      <c r="CP193" s="32">
        <v>117.7</v>
      </c>
      <c r="CQ193" s="32">
        <v>42.8</v>
      </c>
      <c r="CR193" s="32">
        <v>96.6</v>
      </c>
      <c r="CS193" s="32">
        <v>112.3</v>
      </c>
      <c r="CT193" s="32">
        <v>91.1</v>
      </c>
      <c r="CU193" s="32">
        <v>82</v>
      </c>
      <c r="CV193" s="32">
        <v>95.1</v>
      </c>
      <c r="CW193" s="32">
        <v>54.6</v>
      </c>
      <c r="CX193" s="32">
        <v>98.2</v>
      </c>
      <c r="CY193" s="32">
        <v>109</v>
      </c>
      <c r="CZ193" s="32">
        <v>92.3</v>
      </c>
      <c r="DA193" s="32">
        <v>82.5</v>
      </c>
      <c r="DB193" s="32">
        <v>111</v>
      </c>
      <c r="DC193" s="32">
        <v>21</v>
      </c>
      <c r="DD193" s="32">
        <v>21</v>
      </c>
      <c r="DE193" s="32">
        <v>76.3</v>
      </c>
      <c r="DF193" s="32">
        <v>75.599999999999994</v>
      </c>
      <c r="DG193" s="32">
        <v>79.900000000000006</v>
      </c>
      <c r="DH193" s="32">
        <v>103.8</v>
      </c>
      <c r="DI193" s="32">
        <v>129.69999999999999</v>
      </c>
      <c r="DJ193" s="32">
        <v>93.8</v>
      </c>
      <c r="DK193" s="32">
        <v>93.8</v>
      </c>
      <c r="DL193" s="32">
        <v>71.5</v>
      </c>
      <c r="DM193" s="32">
        <v>87.3</v>
      </c>
      <c r="DN193" s="32">
        <v>88.3</v>
      </c>
      <c r="DO193" s="32">
        <v>86.7</v>
      </c>
      <c r="DP193" s="32">
        <v>92.3</v>
      </c>
      <c r="DQ193" s="32">
        <v>81</v>
      </c>
      <c r="DR193" s="32">
        <v>85.1</v>
      </c>
      <c r="DS193" s="32">
        <v>83.1</v>
      </c>
      <c r="DT193" s="32">
        <v>80.7</v>
      </c>
      <c r="DU193" s="32">
        <v>83.9</v>
      </c>
      <c r="DV193" s="32">
        <v>87.6</v>
      </c>
      <c r="DW193" s="32">
        <v>79.599999999999994</v>
      </c>
      <c r="DX193" s="32">
        <v>74.099999999999994</v>
      </c>
      <c r="DY193" s="32">
        <v>91.1</v>
      </c>
      <c r="DZ193" s="32">
        <v>128.1</v>
      </c>
      <c r="EA193" s="32">
        <v>128.1</v>
      </c>
      <c r="EB193" s="32">
        <v>77</v>
      </c>
      <c r="EC193" s="32">
        <v>80.900000000000006</v>
      </c>
      <c r="ED193" s="32">
        <v>72.400000000000006</v>
      </c>
      <c r="EE193" s="32">
        <v>72.099999999999994</v>
      </c>
      <c r="EF193" s="32">
        <v>72.7</v>
      </c>
      <c r="EG193" s="32">
        <v>75</v>
      </c>
      <c r="EH193" s="32">
        <v>72.5</v>
      </c>
      <c r="EI193" s="32">
        <v>71.8</v>
      </c>
      <c r="EJ193" s="32">
        <v>76.599999999999994</v>
      </c>
      <c r="EK193" s="32">
        <v>78.8</v>
      </c>
      <c r="EL193" s="32">
        <v>72.8</v>
      </c>
      <c r="EM193" s="32">
        <v>69.3</v>
      </c>
      <c r="EN193" s="32">
        <v>85.9</v>
      </c>
      <c r="EO193" s="32">
        <v>92.5</v>
      </c>
      <c r="EP193" s="32">
        <v>93.3</v>
      </c>
      <c r="EQ193" s="32">
        <v>93.3</v>
      </c>
      <c r="ER193" s="32">
        <v>93.4</v>
      </c>
      <c r="ES193" s="32">
        <v>93.4</v>
      </c>
      <c r="ET193" s="32">
        <v>91.2</v>
      </c>
      <c r="EU193" s="32">
        <v>90.7</v>
      </c>
      <c r="EV193" s="32">
        <v>90.7</v>
      </c>
      <c r="EW193" s="32">
        <v>92.2</v>
      </c>
      <c r="EX193" s="32">
        <v>102.5</v>
      </c>
      <c r="EY193" s="32">
        <v>84.1</v>
      </c>
      <c r="EZ193" s="32">
        <v>95.7</v>
      </c>
      <c r="FA193" s="32">
        <v>112.2</v>
      </c>
      <c r="FB193" s="32">
        <v>101.2</v>
      </c>
      <c r="FC193" s="32">
        <v>90.8</v>
      </c>
      <c r="FD193" s="32">
        <v>103.4</v>
      </c>
      <c r="FE193" s="32">
        <v>116</v>
      </c>
      <c r="FF193" s="32">
        <v>126.1</v>
      </c>
      <c r="FG193" s="32">
        <v>85.8</v>
      </c>
      <c r="FH193" s="32">
        <v>86.6</v>
      </c>
      <c r="FI193" s="32">
        <v>91.2</v>
      </c>
      <c r="FJ193" s="32">
        <v>84.8</v>
      </c>
      <c r="FK193" s="32">
        <v>70.3</v>
      </c>
      <c r="FL193" s="32">
        <v>70.3</v>
      </c>
    </row>
    <row r="194" spans="1:168" x14ac:dyDescent="0.2">
      <c r="A194" s="34" t="s">
        <v>1174</v>
      </c>
      <c r="B194" s="32">
        <v>86.3</v>
      </c>
      <c r="C194" s="32">
        <v>81.5</v>
      </c>
      <c r="D194" s="32">
        <v>86</v>
      </c>
      <c r="E194" s="32">
        <v>85.7</v>
      </c>
      <c r="F194" s="32">
        <v>75.2</v>
      </c>
      <c r="G194" s="32">
        <v>1385.4</v>
      </c>
      <c r="H194" s="32">
        <v>68.2</v>
      </c>
      <c r="I194" s="32">
        <v>89.9</v>
      </c>
      <c r="J194" s="32">
        <v>88</v>
      </c>
      <c r="K194" s="32">
        <v>84</v>
      </c>
      <c r="L194" s="32">
        <v>78.599999999999994</v>
      </c>
      <c r="M194" s="32">
        <v>65.8</v>
      </c>
      <c r="N194" s="32">
        <v>76.3</v>
      </c>
      <c r="O194" s="32">
        <v>61.3</v>
      </c>
      <c r="P194" s="32">
        <v>94.7</v>
      </c>
      <c r="Q194" s="32">
        <v>78.2</v>
      </c>
      <c r="R194" s="32">
        <v>70.3</v>
      </c>
      <c r="S194" s="32">
        <v>107.8</v>
      </c>
      <c r="T194" s="32">
        <v>81.400000000000006</v>
      </c>
      <c r="U194" s="32">
        <v>79</v>
      </c>
      <c r="V194" s="32">
        <v>116</v>
      </c>
      <c r="W194" s="32">
        <v>72.099999999999994</v>
      </c>
      <c r="X194" s="32">
        <v>57</v>
      </c>
      <c r="Y194" s="32">
        <v>90.5</v>
      </c>
      <c r="Z194" s="32">
        <v>112.3</v>
      </c>
      <c r="AA194" s="32">
        <v>81.5</v>
      </c>
      <c r="AB194" s="32">
        <v>69.400000000000006</v>
      </c>
      <c r="AC194" s="32">
        <v>81.8</v>
      </c>
      <c r="AD194" s="32">
        <v>91</v>
      </c>
      <c r="AE194" s="32">
        <v>27.9</v>
      </c>
      <c r="AF194" s="32">
        <v>27.9</v>
      </c>
      <c r="AG194" s="32">
        <v>63</v>
      </c>
      <c r="AH194" s="32">
        <v>63</v>
      </c>
      <c r="AI194" s="32">
        <v>136.69999999999999</v>
      </c>
      <c r="AJ194" s="32">
        <v>27.8</v>
      </c>
      <c r="AK194" s="32">
        <v>87.1</v>
      </c>
      <c r="AL194" s="32">
        <v>69.8</v>
      </c>
      <c r="AM194" s="32">
        <v>66.8</v>
      </c>
      <c r="AN194" s="32">
        <v>95.8</v>
      </c>
      <c r="AO194" s="32">
        <v>106.6</v>
      </c>
      <c r="AP194" s="32">
        <v>106.6</v>
      </c>
      <c r="AQ194" s="32">
        <v>93.9</v>
      </c>
      <c r="AR194" s="32">
        <v>94.4</v>
      </c>
      <c r="AS194" s="32">
        <v>94.9</v>
      </c>
      <c r="AT194" s="32">
        <v>87.8</v>
      </c>
      <c r="AU194" s="32">
        <v>100.8</v>
      </c>
      <c r="AV194" s="32">
        <v>95.1</v>
      </c>
      <c r="AW194" s="32">
        <v>118.7</v>
      </c>
      <c r="AX194" s="32">
        <v>124.1</v>
      </c>
      <c r="AY194" s="32">
        <v>138</v>
      </c>
      <c r="AZ194" s="32">
        <v>91.7</v>
      </c>
      <c r="BA194" s="32">
        <v>86.2</v>
      </c>
      <c r="BB194" s="32">
        <v>86.2</v>
      </c>
      <c r="BC194" s="32">
        <v>100.5</v>
      </c>
      <c r="BD194" s="32">
        <v>100.5</v>
      </c>
      <c r="BE194" s="32">
        <v>106.9</v>
      </c>
      <c r="BF194" s="32">
        <v>106.9</v>
      </c>
      <c r="BG194" s="32">
        <v>86.8</v>
      </c>
      <c r="BH194" s="32">
        <v>90.5</v>
      </c>
      <c r="BI194" s="32">
        <v>81.599999999999994</v>
      </c>
      <c r="BJ194" s="32">
        <v>52.2</v>
      </c>
      <c r="BK194" s="32">
        <v>90.2</v>
      </c>
      <c r="BL194" s="32">
        <v>77</v>
      </c>
      <c r="BM194" s="32">
        <v>103.7</v>
      </c>
      <c r="BN194" s="32">
        <v>96.3</v>
      </c>
      <c r="BO194" s="32">
        <v>79.3</v>
      </c>
      <c r="BP194" s="32">
        <v>113.1</v>
      </c>
      <c r="BQ194" s="32">
        <v>112.8</v>
      </c>
      <c r="BR194" s="32">
        <v>138.6</v>
      </c>
      <c r="BS194" s="32">
        <v>172.3</v>
      </c>
      <c r="BT194" s="32">
        <v>91.8</v>
      </c>
      <c r="BU194" s="32">
        <v>80.8</v>
      </c>
      <c r="BV194" s="32">
        <v>80.8</v>
      </c>
      <c r="BW194" s="32">
        <v>112.6</v>
      </c>
      <c r="BX194" s="32">
        <v>35.4</v>
      </c>
      <c r="BY194" s="32">
        <v>86.4</v>
      </c>
      <c r="BZ194" s="32">
        <v>88.1</v>
      </c>
      <c r="CA194" s="32">
        <v>85.5</v>
      </c>
      <c r="CB194" s="32">
        <v>96.6</v>
      </c>
      <c r="CC194" s="32">
        <v>76.400000000000006</v>
      </c>
      <c r="CD194" s="32">
        <v>43.7</v>
      </c>
      <c r="CE194" s="32">
        <v>86.4</v>
      </c>
      <c r="CF194" s="32">
        <v>86.5</v>
      </c>
      <c r="CG194" s="32">
        <v>92.8</v>
      </c>
      <c r="CH194" s="32">
        <v>93.2</v>
      </c>
      <c r="CI194" s="32">
        <v>106.1</v>
      </c>
      <c r="CJ194" s="32">
        <v>94.9</v>
      </c>
      <c r="CK194" s="32">
        <v>88.9</v>
      </c>
      <c r="CL194" s="32">
        <v>94.3</v>
      </c>
      <c r="CM194" s="32">
        <v>96.2</v>
      </c>
      <c r="CN194" s="32">
        <v>107.9</v>
      </c>
      <c r="CO194" s="32">
        <v>94.7</v>
      </c>
      <c r="CP194" s="32">
        <v>118</v>
      </c>
      <c r="CQ194" s="32">
        <v>43.3</v>
      </c>
      <c r="CR194" s="32">
        <v>94.8</v>
      </c>
      <c r="CS194" s="32">
        <v>113.7</v>
      </c>
      <c r="CT194" s="32">
        <v>90.2</v>
      </c>
      <c r="CU194" s="32">
        <v>81.099999999999994</v>
      </c>
      <c r="CV194" s="32">
        <v>94.3</v>
      </c>
      <c r="CW194" s="32">
        <v>54.3</v>
      </c>
      <c r="CX194" s="32">
        <v>97.7</v>
      </c>
      <c r="CY194" s="32">
        <v>106</v>
      </c>
      <c r="CZ194" s="32">
        <v>93.3</v>
      </c>
      <c r="DA194" s="32">
        <v>83.4</v>
      </c>
      <c r="DB194" s="32">
        <v>112.1</v>
      </c>
      <c r="DC194" s="32">
        <v>20.9</v>
      </c>
      <c r="DD194" s="32">
        <v>20.9</v>
      </c>
      <c r="DE194" s="32">
        <v>76.099999999999994</v>
      </c>
      <c r="DF194" s="32">
        <v>74.599999999999994</v>
      </c>
      <c r="DG194" s="32">
        <v>84.4</v>
      </c>
      <c r="DH194" s="32">
        <v>99.7</v>
      </c>
      <c r="DI194" s="32">
        <v>123.9</v>
      </c>
      <c r="DJ194" s="32">
        <v>92.7</v>
      </c>
      <c r="DK194" s="32">
        <v>92.7</v>
      </c>
      <c r="DL194" s="32">
        <v>67.3</v>
      </c>
      <c r="DM194" s="32">
        <v>87.3</v>
      </c>
      <c r="DN194" s="32">
        <v>88.7</v>
      </c>
      <c r="DO194" s="32">
        <v>86.6</v>
      </c>
      <c r="DP194" s="32">
        <v>90.3</v>
      </c>
      <c r="DQ194" s="32">
        <v>80.8</v>
      </c>
      <c r="DR194" s="32">
        <v>84.8</v>
      </c>
      <c r="DS194" s="32">
        <v>83.4</v>
      </c>
      <c r="DT194" s="32">
        <v>80.900000000000006</v>
      </c>
      <c r="DU194" s="32">
        <v>83.8</v>
      </c>
      <c r="DV194" s="32">
        <v>87.3</v>
      </c>
      <c r="DW194" s="32">
        <v>79.7</v>
      </c>
      <c r="DX194" s="32">
        <v>74.8</v>
      </c>
      <c r="DY194" s="32">
        <v>91.7</v>
      </c>
      <c r="DZ194" s="32">
        <v>126.6</v>
      </c>
      <c r="EA194" s="32">
        <v>126.6</v>
      </c>
      <c r="EB194" s="32">
        <v>75.400000000000006</v>
      </c>
      <c r="EC194" s="32">
        <v>78.599999999999994</v>
      </c>
      <c r="ED194" s="32">
        <v>71.7</v>
      </c>
      <c r="EE194" s="32">
        <v>70.7</v>
      </c>
      <c r="EF194" s="32">
        <v>73.900000000000006</v>
      </c>
      <c r="EG194" s="32">
        <v>75.099999999999994</v>
      </c>
      <c r="EH194" s="32">
        <v>72.8</v>
      </c>
      <c r="EI194" s="32">
        <v>70.8</v>
      </c>
      <c r="EJ194" s="32">
        <v>80.2</v>
      </c>
      <c r="EK194" s="32">
        <v>78.8</v>
      </c>
      <c r="EL194" s="32">
        <v>81.099999999999994</v>
      </c>
      <c r="EM194" s="32">
        <v>67.599999999999994</v>
      </c>
      <c r="EN194" s="32">
        <v>85.4</v>
      </c>
      <c r="EO194" s="32">
        <v>92.3</v>
      </c>
      <c r="EP194" s="32">
        <v>92.9</v>
      </c>
      <c r="EQ194" s="32">
        <v>92.9</v>
      </c>
      <c r="ER194" s="32">
        <v>92.9</v>
      </c>
      <c r="ES194" s="32">
        <v>92.9</v>
      </c>
      <c r="ET194" s="32">
        <v>91.2</v>
      </c>
      <c r="EU194" s="32">
        <v>90.5</v>
      </c>
      <c r="EV194" s="32">
        <v>90.5</v>
      </c>
      <c r="EW194" s="32">
        <v>92.9</v>
      </c>
      <c r="EX194" s="32">
        <v>102.6</v>
      </c>
      <c r="EY194" s="32">
        <v>85.2</v>
      </c>
      <c r="EZ194" s="32">
        <v>88.2</v>
      </c>
      <c r="FA194" s="32">
        <v>97.1</v>
      </c>
      <c r="FB194" s="32">
        <v>98.6</v>
      </c>
      <c r="FC194" s="32">
        <v>86.1</v>
      </c>
      <c r="FD194" s="32">
        <v>104.5</v>
      </c>
      <c r="FE194" s="32">
        <v>115.1</v>
      </c>
      <c r="FF194" s="32">
        <v>95.5</v>
      </c>
      <c r="FG194" s="32">
        <v>83.3</v>
      </c>
      <c r="FH194" s="32">
        <v>84.6</v>
      </c>
      <c r="FI194" s="32">
        <v>83.9</v>
      </c>
      <c r="FJ194" s="32">
        <v>82.6</v>
      </c>
      <c r="FK194" s="32">
        <v>68.900000000000006</v>
      </c>
      <c r="FL194" s="32">
        <v>68.900000000000006</v>
      </c>
    </row>
    <row r="195" spans="1:168" x14ac:dyDescent="0.2">
      <c r="A195" s="34" t="s">
        <v>1175</v>
      </c>
      <c r="B195" s="32">
        <v>86.7</v>
      </c>
      <c r="C195" s="32">
        <v>80.900000000000006</v>
      </c>
      <c r="D195" s="32">
        <v>86.6</v>
      </c>
      <c r="E195" s="32">
        <v>86.3</v>
      </c>
      <c r="F195" s="32">
        <v>74.7</v>
      </c>
      <c r="G195" s="32">
        <v>1321</v>
      </c>
      <c r="H195" s="32">
        <v>68.400000000000006</v>
      </c>
      <c r="I195" s="32">
        <v>87.2</v>
      </c>
      <c r="J195" s="32">
        <v>87.8</v>
      </c>
      <c r="K195" s="32">
        <v>84</v>
      </c>
      <c r="L195" s="32">
        <v>79.2</v>
      </c>
      <c r="M195" s="32">
        <v>67.3</v>
      </c>
      <c r="N195" s="32">
        <v>74.8</v>
      </c>
      <c r="O195" s="32">
        <v>66.900000000000006</v>
      </c>
      <c r="P195" s="32">
        <v>98.5</v>
      </c>
      <c r="Q195" s="32">
        <v>77.599999999999994</v>
      </c>
      <c r="R195" s="32">
        <v>70.7</v>
      </c>
      <c r="S195" s="32">
        <v>107.4</v>
      </c>
      <c r="T195" s="32">
        <v>86.5</v>
      </c>
      <c r="U195" s="32">
        <v>86.2</v>
      </c>
      <c r="V195" s="32">
        <v>109.5</v>
      </c>
      <c r="W195" s="32">
        <v>73.599999999999994</v>
      </c>
      <c r="X195" s="32">
        <v>59.1</v>
      </c>
      <c r="Y195" s="32">
        <v>90</v>
      </c>
      <c r="Z195" s="32">
        <v>116.6</v>
      </c>
      <c r="AA195" s="32">
        <v>82.4</v>
      </c>
      <c r="AB195" s="32">
        <v>74.7</v>
      </c>
      <c r="AC195" s="32">
        <v>82.5</v>
      </c>
      <c r="AD195" s="32">
        <v>89.2</v>
      </c>
      <c r="AE195" s="32">
        <v>24</v>
      </c>
      <c r="AF195" s="32">
        <v>24</v>
      </c>
      <c r="AG195" s="32">
        <v>64.7</v>
      </c>
      <c r="AH195" s="32">
        <v>64.7</v>
      </c>
      <c r="AI195" s="32">
        <v>140.69999999999999</v>
      </c>
      <c r="AJ195" s="32">
        <v>30</v>
      </c>
      <c r="AK195" s="32">
        <v>84.5</v>
      </c>
      <c r="AL195" s="32">
        <v>70.3</v>
      </c>
      <c r="AM195" s="32">
        <v>65.599999999999994</v>
      </c>
      <c r="AN195" s="32">
        <v>98.9</v>
      </c>
      <c r="AO195" s="32">
        <v>101.9</v>
      </c>
      <c r="AP195" s="32">
        <v>101.9</v>
      </c>
      <c r="AQ195" s="32">
        <v>91.7</v>
      </c>
      <c r="AR195" s="32">
        <v>90.1</v>
      </c>
      <c r="AS195" s="32">
        <v>95.8</v>
      </c>
      <c r="AT195" s="32">
        <v>84.8</v>
      </c>
      <c r="AU195" s="32">
        <v>105.2</v>
      </c>
      <c r="AV195" s="32">
        <v>96</v>
      </c>
      <c r="AW195" s="32">
        <v>119.3</v>
      </c>
      <c r="AX195" s="32">
        <v>127</v>
      </c>
      <c r="AY195" s="32">
        <v>133.69999999999999</v>
      </c>
      <c r="AZ195" s="32">
        <v>93.1</v>
      </c>
      <c r="BA195" s="32">
        <v>91.6</v>
      </c>
      <c r="BB195" s="32">
        <v>91.6</v>
      </c>
      <c r="BC195" s="32">
        <v>100.1</v>
      </c>
      <c r="BD195" s="32">
        <v>100.1</v>
      </c>
      <c r="BE195" s="32">
        <v>109.5</v>
      </c>
      <c r="BF195" s="32">
        <v>109.5</v>
      </c>
      <c r="BG195" s="32">
        <v>81.400000000000006</v>
      </c>
      <c r="BH195" s="32">
        <v>80.599999999999994</v>
      </c>
      <c r="BI195" s="32">
        <v>80.8</v>
      </c>
      <c r="BJ195" s="32">
        <v>53.4</v>
      </c>
      <c r="BK195" s="32">
        <v>86.9</v>
      </c>
      <c r="BL195" s="32">
        <v>86</v>
      </c>
      <c r="BM195" s="32">
        <v>103.6</v>
      </c>
      <c r="BN195" s="32">
        <v>96.2</v>
      </c>
      <c r="BO195" s="32">
        <v>81.3</v>
      </c>
      <c r="BP195" s="32">
        <v>110.8</v>
      </c>
      <c r="BQ195" s="32">
        <v>112.7</v>
      </c>
      <c r="BR195" s="32">
        <v>130.30000000000001</v>
      </c>
      <c r="BS195" s="32">
        <v>173.6</v>
      </c>
      <c r="BT195" s="32">
        <v>92.8</v>
      </c>
      <c r="BU195" s="32">
        <v>86.9</v>
      </c>
      <c r="BV195" s="32">
        <v>86.9</v>
      </c>
      <c r="BW195" s="32">
        <v>112.5</v>
      </c>
      <c r="BX195" s="32">
        <v>45.6</v>
      </c>
      <c r="BY195" s="32">
        <v>88.3</v>
      </c>
      <c r="BZ195" s="32">
        <v>88</v>
      </c>
      <c r="CA195" s="32">
        <v>88.5</v>
      </c>
      <c r="CB195" s="32">
        <v>106.4</v>
      </c>
      <c r="CC195" s="32">
        <v>73.900000000000006</v>
      </c>
      <c r="CD195" s="32">
        <v>42.6</v>
      </c>
      <c r="CE195" s="32">
        <v>87.2</v>
      </c>
      <c r="CF195" s="32">
        <v>86.8</v>
      </c>
      <c r="CG195" s="32">
        <v>92.4</v>
      </c>
      <c r="CH195" s="32">
        <v>91.9</v>
      </c>
      <c r="CI195" s="32">
        <v>100</v>
      </c>
      <c r="CJ195" s="32">
        <v>94.8</v>
      </c>
      <c r="CK195" s="32">
        <v>88.1</v>
      </c>
      <c r="CL195" s="32">
        <v>95.8</v>
      </c>
      <c r="CM195" s="32">
        <v>97.9</v>
      </c>
      <c r="CN195" s="32">
        <v>106.8</v>
      </c>
      <c r="CO195" s="32">
        <v>97.1</v>
      </c>
      <c r="CP195" s="32">
        <v>119.8</v>
      </c>
      <c r="CQ195" s="32">
        <v>43.4</v>
      </c>
      <c r="CR195" s="32">
        <v>95</v>
      </c>
      <c r="CS195" s="32">
        <v>118</v>
      </c>
      <c r="CT195" s="32">
        <v>90.8</v>
      </c>
      <c r="CU195" s="32">
        <v>81</v>
      </c>
      <c r="CV195" s="32">
        <v>95.1</v>
      </c>
      <c r="CW195" s="32">
        <v>55.8</v>
      </c>
      <c r="CX195" s="32">
        <v>102</v>
      </c>
      <c r="CY195" s="32">
        <v>114</v>
      </c>
      <c r="CZ195" s="32">
        <v>95.7</v>
      </c>
      <c r="DA195" s="32">
        <v>86.7</v>
      </c>
      <c r="DB195" s="32">
        <v>112.4</v>
      </c>
      <c r="DC195" s="32">
        <v>21.4</v>
      </c>
      <c r="DD195" s="32">
        <v>21.4</v>
      </c>
      <c r="DE195" s="32">
        <v>77.5</v>
      </c>
      <c r="DF195" s="32">
        <v>76.2</v>
      </c>
      <c r="DG195" s="32">
        <v>85.3</v>
      </c>
      <c r="DH195" s="32">
        <v>100.5</v>
      </c>
      <c r="DI195" s="32">
        <v>124.1</v>
      </c>
      <c r="DJ195" s="32">
        <v>91.3</v>
      </c>
      <c r="DK195" s="32">
        <v>91.3</v>
      </c>
      <c r="DL195" s="32">
        <v>71.2</v>
      </c>
      <c r="DM195" s="32">
        <v>88</v>
      </c>
      <c r="DN195" s="32">
        <v>89.6</v>
      </c>
      <c r="DO195" s="32">
        <v>87.2</v>
      </c>
      <c r="DP195" s="32">
        <v>90.9</v>
      </c>
      <c r="DQ195" s="32">
        <v>82</v>
      </c>
      <c r="DR195" s="32">
        <v>85.2</v>
      </c>
      <c r="DS195" s="32">
        <v>84</v>
      </c>
      <c r="DT195" s="32">
        <v>82.5</v>
      </c>
      <c r="DU195" s="32">
        <v>85</v>
      </c>
      <c r="DV195" s="32">
        <v>89.1</v>
      </c>
      <c r="DW195" s="32">
        <v>80.2</v>
      </c>
      <c r="DX195" s="32">
        <v>77.2</v>
      </c>
      <c r="DY195" s="32">
        <v>89.2</v>
      </c>
      <c r="DZ195" s="32">
        <v>119.2</v>
      </c>
      <c r="EA195" s="32">
        <v>119.2</v>
      </c>
      <c r="EB195" s="32">
        <v>77.7</v>
      </c>
      <c r="EC195" s="32">
        <v>81.7</v>
      </c>
      <c r="ED195" s="32">
        <v>73.099999999999994</v>
      </c>
      <c r="EE195" s="32">
        <v>72.599999999999994</v>
      </c>
      <c r="EF195" s="32">
        <v>74.3</v>
      </c>
      <c r="EG195" s="32">
        <v>77.3</v>
      </c>
      <c r="EH195" s="32">
        <v>74.3</v>
      </c>
      <c r="EI195" s="32">
        <v>74</v>
      </c>
      <c r="EJ195" s="32">
        <v>78.599999999999994</v>
      </c>
      <c r="EK195" s="32">
        <v>81.400000000000006</v>
      </c>
      <c r="EL195" s="32">
        <v>77.5</v>
      </c>
      <c r="EM195" s="32">
        <v>69</v>
      </c>
      <c r="EN195" s="32">
        <v>90.2</v>
      </c>
      <c r="EO195" s="32">
        <v>92.1</v>
      </c>
      <c r="EP195" s="32">
        <v>93.3</v>
      </c>
      <c r="EQ195" s="32">
        <v>93.3</v>
      </c>
      <c r="ER195" s="32">
        <v>91.5</v>
      </c>
      <c r="ES195" s="32">
        <v>91.5</v>
      </c>
      <c r="ET195" s="32">
        <v>91.8</v>
      </c>
      <c r="EU195" s="32">
        <v>91.1</v>
      </c>
      <c r="EV195" s="32">
        <v>91.1</v>
      </c>
      <c r="EW195" s="32">
        <v>93.5</v>
      </c>
      <c r="EX195" s="32">
        <v>102.4</v>
      </c>
      <c r="EY195" s="32">
        <v>86.6</v>
      </c>
      <c r="EZ195" s="32">
        <v>84.9</v>
      </c>
      <c r="FA195" s="32">
        <v>91.2</v>
      </c>
      <c r="FB195" s="32">
        <v>99.3</v>
      </c>
      <c r="FC195" s="32">
        <v>87.8</v>
      </c>
      <c r="FD195" s="32">
        <v>106.4</v>
      </c>
      <c r="FE195" s="32">
        <v>113.4</v>
      </c>
      <c r="FF195" s="32">
        <v>81.400000000000006</v>
      </c>
      <c r="FG195" s="32">
        <v>81.5</v>
      </c>
      <c r="FH195" s="32">
        <v>82</v>
      </c>
      <c r="FI195" s="32">
        <v>83.4</v>
      </c>
      <c r="FJ195" s="32">
        <v>81.099999999999994</v>
      </c>
      <c r="FK195" s="32">
        <v>69.7</v>
      </c>
      <c r="FL195" s="32">
        <v>69.7</v>
      </c>
    </row>
    <row r="196" spans="1:168" x14ac:dyDescent="0.2">
      <c r="A196" s="34" t="s">
        <v>1176</v>
      </c>
      <c r="B196" s="32">
        <v>86.9</v>
      </c>
      <c r="C196" s="32">
        <v>80.5</v>
      </c>
      <c r="D196" s="32">
        <v>87.6</v>
      </c>
      <c r="E196" s="32">
        <v>87</v>
      </c>
      <c r="F196" s="32">
        <v>81.3</v>
      </c>
      <c r="G196" s="32">
        <v>1937.1</v>
      </c>
      <c r="H196" s="32">
        <v>75.400000000000006</v>
      </c>
      <c r="I196" s="32">
        <v>87.7</v>
      </c>
      <c r="J196" s="32">
        <v>88.1</v>
      </c>
      <c r="K196" s="32">
        <v>83.8</v>
      </c>
      <c r="L196" s="32">
        <v>79.599999999999994</v>
      </c>
      <c r="M196" s="32">
        <v>69.400000000000006</v>
      </c>
      <c r="N196" s="32">
        <v>76.5</v>
      </c>
      <c r="O196" s="32">
        <v>72.099999999999994</v>
      </c>
      <c r="P196" s="32">
        <v>97.2</v>
      </c>
      <c r="Q196" s="32">
        <v>77.900000000000006</v>
      </c>
      <c r="R196" s="32">
        <v>72.400000000000006</v>
      </c>
      <c r="S196" s="32">
        <v>104.9</v>
      </c>
      <c r="T196" s="32">
        <v>90.1</v>
      </c>
      <c r="U196" s="32">
        <v>83.3</v>
      </c>
      <c r="V196" s="32">
        <v>106.7</v>
      </c>
      <c r="W196" s="32">
        <v>72.099999999999994</v>
      </c>
      <c r="X196" s="32">
        <v>58.5</v>
      </c>
      <c r="Y196" s="32">
        <v>86</v>
      </c>
      <c r="Z196" s="32">
        <v>118.7</v>
      </c>
      <c r="AA196" s="32">
        <v>82.9</v>
      </c>
      <c r="AB196" s="32">
        <v>73.900000000000006</v>
      </c>
      <c r="AC196" s="32">
        <v>85.3</v>
      </c>
      <c r="AD196" s="32">
        <v>88.4</v>
      </c>
      <c r="AE196" s="32">
        <v>29.9</v>
      </c>
      <c r="AF196" s="32">
        <v>29.9</v>
      </c>
      <c r="AG196" s="32">
        <v>66.5</v>
      </c>
      <c r="AH196" s="32">
        <v>66.5</v>
      </c>
      <c r="AI196" s="32">
        <v>135.80000000000001</v>
      </c>
      <c r="AJ196" s="32">
        <v>32.4</v>
      </c>
      <c r="AK196" s="32">
        <v>91.3</v>
      </c>
      <c r="AL196" s="32">
        <v>68.099999999999994</v>
      </c>
      <c r="AM196" s="32">
        <v>65.8</v>
      </c>
      <c r="AN196" s="32">
        <v>105.1</v>
      </c>
      <c r="AO196" s="32">
        <v>97.5</v>
      </c>
      <c r="AP196" s="32">
        <v>97.5</v>
      </c>
      <c r="AQ196" s="32">
        <v>96.9</v>
      </c>
      <c r="AR196" s="32">
        <v>98.6</v>
      </c>
      <c r="AS196" s="32">
        <v>95.7</v>
      </c>
      <c r="AT196" s="32">
        <v>84.7</v>
      </c>
      <c r="AU196" s="32">
        <v>105</v>
      </c>
      <c r="AV196" s="32">
        <v>91.7</v>
      </c>
      <c r="AW196" s="32">
        <v>102.7</v>
      </c>
      <c r="AX196" s="32">
        <v>106.5</v>
      </c>
      <c r="AY196" s="32">
        <v>121.4</v>
      </c>
      <c r="AZ196" s="32">
        <v>91.3</v>
      </c>
      <c r="BA196" s="32">
        <v>90.7</v>
      </c>
      <c r="BB196" s="32">
        <v>90.7</v>
      </c>
      <c r="BC196" s="32">
        <v>92.6</v>
      </c>
      <c r="BD196" s="32">
        <v>92.6</v>
      </c>
      <c r="BE196" s="32">
        <v>118</v>
      </c>
      <c r="BF196" s="32">
        <v>118</v>
      </c>
      <c r="BG196" s="32">
        <v>84.6</v>
      </c>
      <c r="BH196" s="32">
        <v>86.6</v>
      </c>
      <c r="BI196" s="32">
        <v>81.3</v>
      </c>
      <c r="BJ196" s="32">
        <v>54.6</v>
      </c>
      <c r="BK196" s="32">
        <v>87.1</v>
      </c>
      <c r="BL196" s="32">
        <v>87.7</v>
      </c>
      <c r="BM196" s="32">
        <v>101</v>
      </c>
      <c r="BN196" s="32">
        <v>93</v>
      </c>
      <c r="BO196" s="32">
        <v>80.5</v>
      </c>
      <c r="BP196" s="32">
        <v>105.3</v>
      </c>
      <c r="BQ196" s="32">
        <v>110.8</v>
      </c>
      <c r="BR196" s="32">
        <v>121.8</v>
      </c>
      <c r="BS196" s="32">
        <v>168.7</v>
      </c>
      <c r="BT196" s="32">
        <v>92.9</v>
      </c>
      <c r="BU196" s="32">
        <v>84.7</v>
      </c>
      <c r="BV196" s="32">
        <v>84.7</v>
      </c>
      <c r="BW196" s="32">
        <v>109.6</v>
      </c>
      <c r="BX196" s="32">
        <v>44.3</v>
      </c>
      <c r="BY196" s="32">
        <v>89.1</v>
      </c>
      <c r="BZ196" s="32">
        <v>88.1</v>
      </c>
      <c r="CA196" s="32">
        <v>89.6</v>
      </c>
      <c r="CB196" s="32">
        <v>103.5</v>
      </c>
      <c r="CC196" s="32">
        <v>78.2</v>
      </c>
      <c r="CD196" s="32">
        <v>45.9</v>
      </c>
      <c r="CE196" s="32">
        <v>88.7</v>
      </c>
      <c r="CF196" s="32">
        <v>86.9</v>
      </c>
      <c r="CG196" s="32">
        <v>92.3</v>
      </c>
      <c r="CH196" s="32">
        <v>91.3</v>
      </c>
      <c r="CI196" s="32">
        <v>101.6</v>
      </c>
      <c r="CJ196" s="32">
        <v>93.7</v>
      </c>
      <c r="CK196" s="32">
        <v>87.4</v>
      </c>
      <c r="CL196" s="32">
        <v>95.8</v>
      </c>
      <c r="CM196" s="32">
        <v>96.2</v>
      </c>
      <c r="CN196" s="32">
        <v>103.9</v>
      </c>
      <c r="CO196" s="32">
        <v>95.6</v>
      </c>
      <c r="CP196" s="32">
        <v>123.6</v>
      </c>
      <c r="CQ196" s="32">
        <v>44.4</v>
      </c>
      <c r="CR196" s="32">
        <v>95.4</v>
      </c>
      <c r="CS196" s="32">
        <v>118.8</v>
      </c>
      <c r="CT196" s="32">
        <v>92.2</v>
      </c>
      <c r="CU196" s="32">
        <v>80.3</v>
      </c>
      <c r="CV196" s="32">
        <v>97.5</v>
      </c>
      <c r="CW196" s="32">
        <v>55.1</v>
      </c>
      <c r="CX196" s="32">
        <v>102.1</v>
      </c>
      <c r="CY196" s="32">
        <v>110.3</v>
      </c>
      <c r="CZ196" s="32">
        <v>97.8</v>
      </c>
      <c r="DA196" s="32">
        <v>89.4</v>
      </c>
      <c r="DB196" s="32">
        <v>113.4</v>
      </c>
      <c r="DC196" s="32">
        <v>21.4</v>
      </c>
      <c r="DD196" s="32">
        <v>21.4</v>
      </c>
      <c r="DE196" s="32">
        <v>74.900000000000006</v>
      </c>
      <c r="DF196" s="32">
        <v>73.8</v>
      </c>
      <c r="DG196" s="32">
        <v>81.3</v>
      </c>
      <c r="DH196" s="32">
        <v>100.2</v>
      </c>
      <c r="DI196" s="32">
        <v>125</v>
      </c>
      <c r="DJ196" s="32">
        <v>89.9</v>
      </c>
      <c r="DK196" s="32">
        <v>89.9</v>
      </c>
      <c r="DL196" s="32">
        <v>70</v>
      </c>
      <c r="DM196" s="32">
        <v>88.3</v>
      </c>
      <c r="DN196" s="32">
        <v>90.3</v>
      </c>
      <c r="DO196" s="32">
        <v>87.5</v>
      </c>
      <c r="DP196" s="32">
        <v>88.4</v>
      </c>
      <c r="DQ196" s="32">
        <v>82.5</v>
      </c>
      <c r="DR196" s="32">
        <v>86.1</v>
      </c>
      <c r="DS196" s="32">
        <v>85.8</v>
      </c>
      <c r="DT196" s="32">
        <v>83.9</v>
      </c>
      <c r="DU196" s="32">
        <v>86.2</v>
      </c>
      <c r="DV196" s="32">
        <v>90.3</v>
      </c>
      <c r="DW196" s="32">
        <v>81.400000000000006</v>
      </c>
      <c r="DX196" s="32">
        <v>79</v>
      </c>
      <c r="DY196" s="32">
        <v>92.3</v>
      </c>
      <c r="DZ196" s="32">
        <v>110.7</v>
      </c>
      <c r="EA196" s="32">
        <v>110.7</v>
      </c>
      <c r="EB196" s="32">
        <v>79</v>
      </c>
      <c r="EC196" s="32">
        <v>81</v>
      </c>
      <c r="ED196" s="32">
        <v>77</v>
      </c>
      <c r="EE196" s="32">
        <v>78.099999999999994</v>
      </c>
      <c r="EF196" s="32">
        <v>74.099999999999994</v>
      </c>
      <c r="EG196" s="32">
        <v>77.3</v>
      </c>
      <c r="EH196" s="32">
        <v>77</v>
      </c>
      <c r="EI196" s="32">
        <v>73.2</v>
      </c>
      <c r="EJ196" s="32">
        <v>78.3</v>
      </c>
      <c r="EK196" s="32">
        <v>80.599999999999994</v>
      </c>
      <c r="EL196" s="32">
        <v>75.7</v>
      </c>
      <c r="EM196" s="32">
        <v>73.599999999999994</v>
      </c>
      <c r="EN196" s="32">
        <v>86</v>
      </c>
      <c r="EO196" s="32">
        <v>92.1</v>
      </c>
      <c r="EP196" s="32">
        <v>93.5</v>
      </c>
      <c r="EQ196" s="32">
        <v>93.5</v>
      </c>
      <c r="ER196" s="32">
        <v>91</v>
      </c>
      <c r="ES196" s="32">
        <v>91</v>
      </c>
      <c r="ET196" s="32">
        <v>92</v>
      </c>
      <c r="EU196" s="32">
        <v>91.1</v>
      </c>
      <c r="EV196" s="32">
        <v>91.1</v>
      </c>
      <c r="EW196" s="32">
        <v>94.2</v>
      </c>
      <c r="EX196" s="32">
        <v>102.3</v>
      </c>
      <c r="EY196" s="32">
        <v>87.8</v>
      </c>
      <c r="EZ196" s="32">
        <v>86.7</v>
      </c>
      <c r="FA196" s="32">
        <v>93.3</v>
      </c>
      <c r="FB196" s="32">
        <v>99.8</v>
      </c>
      <c r="FC196" s="32">
        <v>87.4</v>
      </c>
      <c r="FD196" s="32">
        <v>112.8</v>
      </c>
      <c r="FE196" s="32">
        <v>112.8</v>
      </c>
      <c r="FF196" s="32">
        <v>85.3</v>
      </c>
      <c r="FG196" s="32">
        <v>83.2</v>
      </c>
      <c r="FH196" s="32">
        <v>81.8</v>
      </c>
      <c r="FI196" s="32">
        <v>90.9</v>
      </c>
      <c r="FJ196" s="32">
        <v>82.9</v>
      </c>
      <c r="FK196" s="32">
        <v>69.8</v>
      </c>
      <c r="FL196" s="32">
        <v>69.8</v>
      </c>
    </row>
    <row r="197" spans="1:168" x14ac:dyDescent="0.2">
      <c r="A197" s="34" t="s">
        <v>1177</v>
      </c>
      <c r="B197" s="32">
        <v>86.6</v>
      </c>
      <c r="C197" s="32">
        <v>79.7</v>
      </c>
      <c r="D197" s="32">
        <v>88.2</v>
      </c>
      <c r="E197" s="32">
        <v>88.1</v>
      </c>
      <c r="F197" s="32">
        <v>81.900000000000006</v>
      </c>
      <c r="G197" s="32">
        <v>1303.5999999999999</v>
      </c>
      <c r="H197" s="32">
        <v>76.599999999999994</v>
      </c>
      <c r="I197" s="32">
        <v>87.7</v>
      </c>
      <c r="J197" s="32">
        <v>89.5</v>
      </c>
      <c r="K197" s="32">
        <v>83.6</v>
      </c>
      <c r="L197" s="32">
        <v>79.5</v>
      </c>
      <c r="M197" s="32">
        <v>69.400000000000006</v>
      </c>
      <c r="N197" s="32">
        <v>74.400000000000006</v>
      </c>
      <c r="O197" s="32">
        <v>68.900000000000006</v>
      </c>
      <c r="P197" s="32">
        <v>94</v>
      </c>
      <c r="Q197" s="32">
        <v>75.5</v>
      </c>
      <c r="R197" s="32">
        <v>73.5</v>
      </c>
      <c r="S197" s="32">
        <v>106.9</v>
      </c>
      <c r="T197" s="32">
        <v>89.4</v>
      </c>
      <c r="U197" s="32">
        <v>79.400000000000006</v>
      </c>
      <c r="V197" s="32">
        <v>107.3</v>
      </c>
      <c r="W197" s="32">
        <v>73.7</v>
      </c>
      <c r="X197" s="32">
        <v>59.6</v>
      </c>
      <c r="Y197" s="32">
        <v>90.5</v>
      </c>
      <c r="Z197" s="32">
        <v>107.9</v>
      </c>
      <c r="AA197" s="32">
        <v>83.3</v>
      </c>
      <c r="AB197" s="32">
        <v>75.099999999999994</v>
      </c>
      <c r="AC197" s="32">
        <v>85.6</v>
      </c>
      <c r="AD197" s="32">
        <v>88</v>
      </c>
      <c r="AE197" s="32">
        <v>30.9</v>
      </c>
      <c r="AF197" s="32">
        <v>30.9</v>
      </c>
      <c r="AG197" s="32">
        <v>67.599999999999994</v>
      </c>
      <c r="AH197" s="32">
        <v>67.599999999999994</v>
      </c>
      <c r="AI197" s="32">
        <v>142.19999999999999</v>
      </c>
      <c r="AJ197" s="32">
        <v>32</v>
      </c>
      <c r="AK197" s="32">
        <v>97</v>
      </c>
      <c r="AL197" s="32">
        <v>69.7</v>
      </c>
      <c r="AM197" s="32">
        <v>68.3</v>
      </c>
      <c r="AN197" s="32">
        <v>100.4</v>
      </c>
      <c r="AO197" s="32">
        <v>100.7</v>
      </c>
      <c r="AP197" s="32">
        <v>100.7</v>
      </c>
      <c r="AQ197" s="32">
        <v>98.3</v>
      </c>
      <c r="AR197" s="32">
        <v>101.5</v>
      </c>
      <c r="AS197" s="32">
        <v>94.9</v>
      </c>
      <c r="AT197" s="32">
        <v>87.9</v>
      </c>
      <c r="AU197" s="32">
        <v>100.8</v>
      </c>
      <c r="AV197" s="32">
        <v>91.7</v>
      </c>
      <c r="AW197" s="32">
        <v>99.9</v>
      </c>
      <c r="AX197" s="32">
        <v>108.3</v>
      </c>
      <c r="AY197" s="32">
        <v>107.8</v>
      </c>
      <c r="AZ197" s="32">
        <v>91.8</v>
      </c>
      <c r="BA197" s="32">
        <v>94.6</v>
      </c>
      <c r="BB197" s="32">
        <v>94.6</v>
      </c>
      <c r="BC197" s="32">
        <v>96.6</v>
      </c>
      <c r="BD197" s="32">
        <v>96.6</v>
      </c>
      <c r="BE197" s="32">
        <v>117.8</v>
      </c>
      <c r="BF197" s="32">
        <v>117.8</v>
      </c>
      <c r="BG197" s="32">
        <v>88.1</v>
      </c>
      <c r="BH197" s="32">
        <v>94.2</v>
      </c>
      <c r="BI197" s="32">
        <v>80.900000000000006</v>
      </c>
      <c r="BJ197" s="32">
        <v>55.9</v>
      </c>
      <c r="BK197" s="32">
        <v>87.3</v>
      </c>
      <c r="BL197" s="32">
        <v>78.8</v>
      </c>
      <c r="BM197" s="32">
        <v>102.8</v>
      </c>
      <c r="BN197" s="32">
        <v>96.3</v>
      </c>
      <c r="BO197" s="32">
        <v>83.5</v>
      </c>
      <c r="BP197" s="32">
        <v>108.9</v>
      </c>
      <c r="BQ197" s="32">
        <v>110.8</v>
      </c>
      <c r="BR197" s="32">
        <v>115</v>
      </c>
      <c r="BS197" s="32">
        <v>171.4</v>
      </c>
      <c r="BT197" s="32">
        <v>93.4</v>
      </c>
      <c r="BU197" s="32">
        <v>86.2</v>
      </c>
      <c r="BV197" s="32">
        <v>86.2</v>
      </c>
      <c r="BW197" s="32">
        <v>111.7</v>
      </c>
      <c r="BX197" s="32">
        <v>45.1</v>
      </c>
      <c r="BY197" s="32">
        <v>87.4</v>
      </c>
      <c r="BZ197" s="32">
        <v>87.6</v>
      </c>
      <c r="CA197" s="32">
        <v>87.3</v>
      </c>
      <c r="CB197" s="32">
        <v>100.9</v>
      </c>
      <c r="CC197" s="32">
        <v>76.3</v>
      </c>
      <c r="CD197" s="32">
        <v>44.1</v>
      </c>
      <c r="CE197" s="32">
        <v>88</v>
      </c>
      <c r="CF197" s="32">
        <v>86.3</v>
      </c>
      <c r="CG197" s="32">
        <v>91.6</v>
      </c>
      <c r="CH197" s="32">
        <v>90.8</v>
      </c>
      <c r="CI197" s="32">
        <v>95.3</v>
      </c>
      <c r="CJ197" s="32">
        <v>93.3</v>
      </c>
      <c r="CK197" s="32">
        <v>88.2</v>
      </c>
      <c r="CL197" s="32">
        <v>95.5</v>
      </c>
      <c r="CM197" s="32">
        <v>98.6</v>
      </c>
      <c r="CN197" s="32">
        <v>100.6</v>
      </c>
      <c r="CO197" s="32">
        <v>99.2</v>
      </c>
      <c r="CP197" s="32">
        <v>128</v>
      </c>
      <c r="CQ197" s="32">
        <v>44.4</v>
      </c>
      <c r="CR197" s="32">
        <v>91.9</v>
      </c>
      <c r="CS197" s="32">
        <v>116.5</v>
      </c>
      <c r="CT197" s="32">
        <v>90.3</v>
      </c>
      <c r="CU197" s="32">
        <v>81.3</v>
      </c>
      <c r="CV197" s="32">
        <v>94.3</v>
      </c>
      <c r="CW197" s="32">
        <v>54.9</v>
      </c>
      <c r="CX197" s="32">
        <v>104</v>
      </c>
      <c r="CY197" s="32">
        <v>110</v>
      </c>
      <c r="CZ197" s="32">
        <v>100.8</v>
      </c>
      <c r="DA197" s="32">
        <v>94.2</v>
      </c>
      <c r="DB197" s="32">
        <v>113.3</v>
      </c>
      <c r="DC197" s="32">
        <v>20.399999999999999</v>
      </c>
      <c r="DD197" s="32">
        <v>20.399999999999999</v>
      </c>
      <c r="DE197" s="32">
        <v>76</v>
      </c>
      <c r="DF197" s="32">
        <v>72.400000000000006</v>
      </c>
      <c r="DG197" s="32">
        <v>97.5</v>
      </c>
      <c r="DH197" s="32">
        <v>99.7</v>
      </c>
      <c r="DI197" s="32">
        <v>123.4</v>
      </c>
      <c r="DJ197" s="32">
        <v>88.3</v>
      </c>
      <c r="DK197" s="32">
        <v>88.3</v>
      </c>
      <c r="DL197" s="32">
        <v>72.3</v>
      </c>
      <c r="DM197" s="32">
        <v>87.8</v>
      </c>
      <c r="DN197" s="32">
        <v>89.6</v>
      </c>
      <c r="DO197" s="32">
        <v>87.2</v>
      </c>
      <c r="DP197" s="32">
        <v>81.7</v>
      </c>
      <c r="DQ197" s="32">
        <v>82.2</v>
      </c>
      <c r="DR197" s="32">
        <v>85.7</v>
      </c>
      <c r="DS197" s="32">
        <v>86.2</v>
      </c>
      <c r="DT197" s="32">
        <v>85</v>
      </c>
      <c r="DU197" s="32">
        <v>87.2</v>
      </c>
      <c r="DV197" s="32">
        <v>92.6</v>
      </c>
      <c r="DW197" s="32">
        <v>80.8</v>
      </c>
      <c r="DX197" s="32">
        <v>80.400000000000006</v>
      </c>
      <c r="DY197" s="32">
        <v>90.6</v>
      </c>
      <c r="DZ197" s="32">
        <v>99.2</v>
      </c>
      <c r="EA197" s="32">
        <v>99.2</v>
      </c>
      <c r="EB197" s="32">
        <v>79.5</v>
      </c>
      <c r="EC197" s="32">
        <v>81.599999999999994</v>
      </c>
      <c r="ED197" s="32">
        <v>77.400000000000006</v>
      </c>
      <c r="EE197" s="32">
        <v>78.599999999999994</v>
      </c>
      <c r="EF197" s="32">
        <v>74.099999999999994</v>
      </c>
      <c r="EG197" s="32">
        <v>77.2</v>
      </c>
      <c r="EH197" s="32">
        <v>80.7</v>
      </c>
      <c r="EI197" s="32">
        <v>74.2</v>
      </c>
      <c r="EJ197" s="32">
        <v>76</v>
      </c>
      <c r="EK197" s="32">
        <v>78.099999999999994</v>
      </c>
      <c r="EL197" s="32">
        <v>72.599999999999994</v>
      </c>
      <c r="EM197" s="32">
        <v>72.599999999999994</v>
      </c>
      <c r="EN197" s="32">
        <v>82.6</v>
      </c>
      <c r="EO197" s="32">
        <v>91.5</v>
      </c>
      <c r="EP197" s="32">
        <v>93</v>
      </c>
      <c r="EQ197" s="32">
        <v>93</v>
      </c>
      <c r="ER197" s="32">
        <v>90.3</v>
      </c>
      <c r="ES197" s="32">
        <v>90.3</v>
      </c>
      <c r="ET197" s="32">
        <v>91.5</v>
      </c>
      <c r="EU197" s="32">
        <v>90.1</v>
      </c>
      <c r="EV197" s="32">
        <v>90.1</v>
      </c>
      <c r="EW197" s="32">
        <v>94.7</v>
      </c>
      <c r="EX197" s="32">
        <v>102.5</v>
      </c>
      <c r="EY197" s="32">
        <v>88.7</v>
      </c>
      <c r="EZ197" s="32">
        <v>84.8</v>
      </c>
      <c r="FA197" s="32">
        <v>88.9</v>
      </c>
      <c r="FB197" s="32">
        <v>96.3</v>
      </c>
      <c r="FC197" s="32">
        <v>82.7</v>
      </c>
      <c r="FD197" s="32">
        <v>103</v>
      </c>
      <c r="FE197" s="32">
        <v>114.4</v>
      </c>
      <c r="FF197" s="32">
        <v>79.8</v>
      </c>
      <c r="FG197" s="32">
        <v>83.2</v>
      </c>
      <c r="FH197" s="32">
        <v>84</v>
      </c>
      <c r="FI197" s="32">
        <v>86.6</v>
      </c>
      <c r="FJ197" s="32">
        <v>82.5</v>
      </c>
      <c r="FK197" s="32">
        <v>68.5</v>
      </c>
      <c r="FL197" s="32">
        <v>68.5</v>
      </c>
    </row>
    <row r="198" spans="1:168" x14ac:dyDescent="0.2">
      <c r="A198" s="34" t="s">
        <v>1178</v>
      </c>
      <c r="B198" s="32">
        <v>86.4</v>
      </c>
      <c r="C198" s="32">
        <v>78.599999999999994</v>
      </c>
      <c r="D198" s="32">
        <v>87</v>
      </c>
      <c r="E198" s="32">
        <v>86.9</v>
      </c>
      <c r="F198" s="32">
        <v>83.2</v>
      </c>
      <c r="G198" s="32">
        <v>1928.9</v>
      </c>
      <c r="H198" s="32">
        <v>77.099999999999994</v>
      </c>
      <c r="I198" s="32">
        <v>91</v>
      </c>
      <c r="J198" s="32">
        <v>87.6</v>
      </c>
      <c r="K198" s="32">
        <v>83.9</v>
      </c>
      <c r="L198" s="32">
        <v>79.599999999999994</v>
      </c>
      <c r="M198" s="32">
        <v>69.5</v>
      </c>
      <c r="N198" s="32">
        <v>72</v>
      </c>
      <c r="O198" s="32">
        <v>84.9</v>
      </c>
      <c r="P198" s="32">
        <v>87.7</v>
      </c>
      <c r="Q198" s="32">
        <v>76.5</v>
      </c>
      <c r="R198" s="32">
        <v>74.3</v>
      </c>
      <c r="S198" s="32">
        <v>110</v>
      </c>
      <c r="T198" s="32">
        <v>90.5</v>
      </c>
      <c r="U198" s="32">
        <v>82.5</v>
      </c>
      <c r="V198" s="32">
        <v>108.1</v>
      </c>
      <c r="W198" s="32">
        <v>72.5</v>
      </c>
      <c r="X198" s="32">
        <v>60</v>
      </c>
      <c r="Y198" s="32">
        <v>85</v>
      </c>
      <c r="Z198" s="32">
        <v>108.4</v>
      </c>
      <c r="AA198" s="32">
        <v>84</v>
      </c>
      <c r="AB198" s="32">
        <v>67.2</v>
      </c>
      <c r="AC198" s="32">
        <v>88.4</v>
      </c>
      <c r="AD198" s="32">
        <v>93.1</v>
      </c>
      <c r="AE198" s="32">
        <v>38.299999999999997</v>
      </c>
      <c r="AF198" s="32">
        <v>38.299999999999997</v>
      </c>
      <c r="AG198" s="32">
        <v>63</v>
      </c>
      <c r="AH198" s="32">
        <v>63</v>
      </c>
      <c r="AI198" s="32">
        <v>134.6</v>
      </c>
      <c r="AJ198" s="32">
        <v>34.200000000000003</v>
      </c>
      <c r="AK198" s="32">
        <v>93.2</v>
      </c>
      <c r="AL198" s="32">
        <v>71.099999999999994</v>
      </c>
      <c r="AM198" s="32">
        <v>56.8</v>
      </c>
      <c r="AN198" s="32">
        <v>89.4</v>
      </c>
      <c r="AO198" s="32">
        <v>97.4</v>
      </c>
      <c r="AP198" s="32">
        <v>97.4</v>
      </c>
      <c r="AQ198" s="32">
        <v>91.5</v>
      </c>
      <c r="AR198" s="32">
        <v>97.5</v>
      </c>
      <c r="AS198" s="32">
        <v>83.6</v>
      </c>
      <c r="AT198" s="32">
        <v>87.2</v>
      </c>
      <c r="AU198" s="32">
        <v>80.8</v>
      </c>
      <c r="AV198" s="32">
        <v>89.1</v>
      </c>
      <c r="AW198" s="32">
        <v>90.2</v>
      </c>
      <c r="AX198" s="32">
        <v>101.6</v>
      </c>
      <c r="AY198" s="32">
        <v>88.8</v>
      </c>
      <c r="AZ198" s="32">
        <v>90.7</v>
      </c>
      <c r="BA198" s="32">
        <v>91.3</v>
      </c>
      <c r="BB198" s="32">
        <v>91.3</v>
      </c>
      <c r="BC198" s="32">
        <v>93.6</v>
      </c>
      <c r="BD198" s="32">
        <v>93.6</v>
      </c>
      <c r="BE198" s="32">
        <v>105.3</v>
      </c>
      <c r="BF198" s="32">
        <v>105.3</v>
      </c>
      <c r="BG198" s="32">
        <v>89.4</v>
      </c>
      <c r="BH198" s="32">
        <v>95</v>
      </c>
      <c r="BI198" s="32">
        <v>82.6</v>
      </c>
      <c r="BJ198" s="32">
        <v>57.3</v>
      </c>
      <c r="BK198" s="32">
        <v>88</v>
      </c>
      <c r="BL198" s="32">
        <v>90.3</v>
      </c>
      <c r="BM198" s="32">
        <v>106.6</v>
      </c>
      <c r="BN198" s="32">
        <v>94.3</v>
      </c>
      <c r="BO198" s="32">
        <v>80</v>
      </c>
      <c r="BP198" s="32">
        <v>108.4</v>
      </c>
      <c r="BQ198" s="32">
        <v>121.8</v>
      </c>
      <c r="BR198" s="32">
        <v>203.8</v>
      </c>
      <c r="BS198" s="32">
        <v>153.6</v>
      </c>
      <c r="BT198" s="32">
        <v>97.6</v>
      </c>
      <c r="BU198" s="32">
        <v>87.2</v>
      </c>
      <c r="BV198" s="32">
        <v>87.2</v>
      </c>
      <c r="BW198" s="32">
        <v>110.1</v>
      </c>
      <c r="BX198" s="32">
        <v>48.1</v>
      </c>
      <c r="BY198" s="32">
        <v>85.5</v>
      </c>
      <c r="BZ198" s="32">
        <v>85</v>
      </c>
      <c r="CA198" s="32">
        <v>85.7</v>
      </c>
      <c r="CB198" s="32">
        <v>98.8</v>
      </c>
      <c r="CC198" s="32">
        <v>75</v>
      </c>
      <c r="CD198" s="32">
        <v>44.5</v>
      </c>
      <c r="CE198" s="32">
        <v>87</v>
      </c>
      <c r="CF198" s="32">
        <v>86.4</v>
      </c>
      <c r="CG198" s="32">
        <v>92.4</v>
      </c>
      <c r="CH198" s="32">
        <v>90.5</v>
      </c>
      <c r="CI198" s="32">
        <v>98</v>
      </c>
      <c r="CJ198" s="32">
        <v>92.7</v>
      </c>
      <c r="CK198" s="32">
        <v>87.3</v>
      </c>
      <c r="CL198" s="32">
        <v>96.2</v>
      </c>
      <c r="CM198" s="32">
        <v>97.1</v>
      </c>
      <c r="CN198" s="32">
        <v>97</v>
      </c>
      <c r="CO198" s="32">
        <v>98.1</v>
      </c>
      <c r="CP198" s="32">
        <v>133.30000000000001</v>
      </c>
      <c r="CQ198" s="32">
        <v>43.5</v>
      </c>
      <c r="CR198" s="32">
        <v>93.1</v>
      </c>
      <c r="CS198" s="32">
        <v>121</v>
      </c>
      <c r="CT198" s="32">
        <v>95.2</v>
      </c>
      <c r="CU198" s="32">
        <v>90.2</v>
      </c>
      <c r="CV198" s="32">
        <v>97.4</v>
      </c>
      <c r="CW198" s="32">
        <v>56.7</v>
      </c>
      <c r="CX198" s="32">
        <v>106.8</v>
      </c>
      <c r="CY198" s="32">
        <v>112.3</v>
      </c>
      <c r="CZ198" s="32">
        <v>104</v>
      </c>
      <c r="DA198" s="32">
        <v>96.7</v>
      </c>
      <c r="DB198" s="32">
        <v>117.9</v>
      </c>
      <c r="DC198" s="32">
        <v>21.5</v>
      </c>
      <c r="DD198" s="32">
        <v>21.5</v>
      </c>
      <c r="DE198" s="32">
        <v>77.599999999999994</v>
      </c>
      <c r="DF198" s="32">
        <v>75.400000000000006</v>
      </c>
      <c r="DG198" s="32">
        <v>90.7</v>
      </c>
      <c r="DH198" s="32">
        <v>95.8</v>
      </c>
      <c r="DI198" s="32">
        <v>119.8</v>
      </c>
      <c r="DJ198" s="32">
        <v>85.3</v>
      </c>
      <c r="DK198" s="32">
        <v>85.3</v>
      </c>
      <c r="DL198" s="32">
        <v>66.900000000000006</v>
      </c>
      <c r="DM198" s="32">
        <v>87.4</v>
      </c>
      <c r="DN198" s="32">
        <v>89.2</v>
      </c>
      <c r="DO198" s="32">
        <v>86.7</v>
      </c>
      <c r="DP198" s="32">
        <v>84.9</v>
      </c>
      <c r="DQ198" s="32">
        <v>83</v>
      </c>
      <c r="DR198" s="32">
        <v>87.1</v>
      </c>
      <c r="DS198" s="32">
        <v>88</v>
      </c>
      <c r="DT198" s="32">
        <v>86.4</v>
      </c>
      <c r="DU198" s="32">
        <v>89.6</v>
      </c>
      <c r="DV198" s="32">
        <v>94.8</v>
      </c>
      <c r="DW198" s="32">
        <v>83.4</v>
      </c>
      <c r="DX198" s="32">
        <v>79.7</v>
      </c>
      <c r="DY198" s="32">
        <v>93.5</v>
      </c>
      <c r="DZ198" s="32">
        <v>104.4</v>
      </c>
      <c r="EA198" s="32">
        <v>104.4</v>
      </c>
      <c r="EB198" s="32">
        <v>78.599999999999994</v>
      </c>
      <c r="EC198" s="32">
        <v>81.2</v>
      </c>
      <c r="ED198" s="32">
        <v>75.8</v>
      </c>
      <c r="EE198" s="32">
        <v>76.900000000000006</v>
      </c>
      <c r="EF198" s="32">
        <v>72.900000000000006</v>
      </c>
      <c r="EG198" s="32">
        <v>77.2</v>
      </c>
      <c r="EH198" s="32">
        <v>81.900000000000006</v>
      </c>
      <c r="EI198" s="32">
        <v>75.2</v>
      </c>
      <c r="EJ198" s="32">
        <v>75</v>
      </c>
      <c r="EK198" s="32">
        <v>76.900000000000006</v>
      </c>
      <c r="EL198" s="32">
        <v>68.599999999999994</v>
      </c>
      <c r="EM198" s="32">
        <v>68.5</v>
      </c>
      <c r="EN198" s="32">
        <v>83.8</v>
      </c>
      <c r="EO198" s="32">
        <v>91.2</v>
      </c>
      <c r="EP198" s="32">
        <v>92</v>
      </c>
      <c r="EQ198" s="32">
        <v>92</v>
      </c>
      <c r="ER198" s="32">
        <v>90</v>
      </c>
      <c r="ES198" s="32">
        <v>90</v>
      </c>
      <c r="ET198" s="32">
        <v>91.6</v>
      </c>
      <c r="EU198" s="32">
        <v>90</v>
      </c>
      <c r="EV198" s="32">
        <v>90</v>
      </c>
      <c r="EW198" s="32">
        <v>95.3</v>
      </c>
      <c r="EX198" s="32">
        <v>102.6</v>
      </c>
      <c r="EY198" s="32">
        <v>89.5</v>
      </c>
      <c r="EZ198" s="32">
        <v>87</v>
      </c>
      <c r="FA198" s="32">
        <v>91.5</v>
      </c>
      <c r="FB198" s="32">
        <v>94.7</v>
      </c>
      <c r="FC198" s="32">
        <v>77.8</v>
      </c>
      <c r="FD198" s="32">
        <v>102.9</v>
      </c>
      <c r="FE198" s="32">
        <v>117.8</v>
      </c>
      <c r="FF198" s="32">
        <v>87.6</v>
      </c>
      <c r="FG198" s="32">
        <v>85.6</v>
      </c>
      <c r="FH198" s="32">
        <v>87.3</v>
      </c>
      <c r="FI198" s="32">
        <v>86.7</v>
      </c>
      <c r="FJ198" s="32">
        <v>84.7</v>
      </c>
      <c r="FK198" s="32">
        <v>66.2</v>
      </c>
      <c r="FL198" s="32">
        <v>66.2</v>
      </c>
    </row>
    <row r="199" spans="1:168" x14ac:dyDescent="0.2">
      <c r="A199" s="34" t="s">
        <v>1179</v>
      </c>
      <c r="B199" s="32">
        <v>87.2</v>
      </c>
      <c r="C199" s="32">
        <v>77.8</v>
      </c>
      <c r="D199" s="32">
        <v>88.2</v>
      </c>
      <c r="E199" s="32">
        <v>87.3</v>
      </c>
      <c r="F199" s="32">
        <v>78.3</v>
      </c>
      <c r="G199" s="32">
        <v>1775.1</v>
      </c>
      <c r="H199" s="32">
        <v>71</v>
      </c>
      <c r="I199" s="32">
        <v>94.3</v>
      </c>
      <c r="J199" s="32">
        <v>88.3</v>
      </c>
      <c r="K199" s="32">
        <v>83.8</v>
      </c>
      <c r="L199" s="32">
        <v>80</v>
      </c>
      <c r="M199" s="32">
        <v>71.2</v>
      </c>
      <c r="N199" s="32">
        <v>72.099999999999994</v>
      </c>
      <c r="O199" s="32">
        <v>83.6</v>
      </c>
      <c r="P199" s="32">
        <v>90.2</v>
      </c>
      <c r="Q199" s="32">
        <v>77.8</v>
      </c>
      <c r="R199" s="32">
        <v>72.8</v>
      </c>
      <c r="S199" s="32">
        <v>108.5</v>
      </c>
      <c r="T199" s="32">
        <v>97.1</v>
      </c>
      <c r="U199" s="32">
        <v>86.3</v>
      </c>
      <c r="V199" s="32">
        <v>104.1</v>
      </c>
      <c r="W199" s="32">
        <v>70.2</v>
      </c>
      <c r="X199" s="32">
        <v>56.1</v>
      </c>
      <c r="Y199" s="32">
        <v>86.9</v>
      </c>
      <c r="Z199" s="32">
        <v>111.3</v>
      </c>
      <c r="AA199" s="32">
        <v>85.8</v>
      </c>
      <c r="AB199" s="32">
        <v>70.599999999999994</v>
      </c>
      <c r="AC199" s="32">
        <v>88.8</v>
      </c>
      <c r="AD199" s="32">
        <v>95.2</v>
      </c>
      <c r="AE199" s="32">
        <v>41</v>
      </c>
      <c r="AF199" s="32">
        <v>41</v>
      </c>
      <c r="AG199" s="32">
        <v>64.400000000000006</v>
      </c>
      <c r="AH199" s="32">
        <v>64.400000000000006</v>
      </c>
      <c r="AI199" s="32">
        <v>142.5</v>
      </c>
      <c r="AJ199" s="32">
        <v>38.1</v>
      </c>
      <c r="AK199" s="32">
        <v>82.2</v>
      </c>
      <c r="AL199" s="32">
        <v>65.8</v>
      </c>
      <c r="AM199" s="32">
        <v>55.8</v>
      </c>
      <c r="AN199" s="32">
        <v>93.9</v>
      </c>
      <c r="AO199" s="32">
        <v>97.1</v>
      </c>
      <c r="AP199" s="32">
        <v>97.1</v>
      </c>
      <c r="AQ199" s="32">
        <v>98.6</v>
      </c>
      <c r="AR199" s="32">
        <v>103.9</v>
      </c>
      <c r="AS199" s="32">
        <v>91.6</v>
      </c>
      <c r="AT199" s="32">
        <v>84.9</v>
      </c>
      <c r="AU199" s="32">
        <v>97.3</v>
      </c>
      <c r="AV199" s="32">
        <v>90.2</v>
      </c>
      <c r="AW199" s="32">
        <v>90.3</v>
      </c>
      <c r="AX199" s="32">
        <v>103.6</v>
      </c>
      <c r="AY199" s="32">
        <v>84.7</v>
      </c>
      <c r="AZ199" s="32">
        <v>91.9</v>
      </c>
      <c r="BA199" s="32">
        <v>86.3</v>
      </c>
      <c r="BB199" s="32">
        <v>86.3</v>
      </c>
      <c r="BC199" s="32">
        <v>93.8</v>
      </c>
      <c r="BD199" s="32">
        <v>93.8</v>
      </c>
      <c r="BE199" s="32">
        <v>111.2</v>
      </c>
      <c r="BF199" s="32">
        <v>111.2</v>
      </c>
      <c r="BG199" s="32">
        <v>89.9</v>
      </c>
      <c r="BH199" s="32">
        <v>96</v>
      </c>
      <c r="BI199" s="32">
        <v>82.7</v>
      </c>
      <c r="BJ199" s="32">
        <v>57.3</v>
      </c>
      <c r="BK199" s="32">
        <v>87.9</v>
      </c>
      <c r="BL199" s="32">
        <v>92.2</v>
      </c>
      <c r="BM199" s="32">
        <v>105</v>
      </c>
      <c r="BN199" s="32">
        <v>95</v>
      </c>
      <c r="BO199" s="32">
        <v>80.599999999999994</v>
      </c>
      <c r="BP199" s="32">
        <v>109.1</v>
      </c>
      <c r="BQ199" s="32">
        <v>117.2</v>
      </c>
      <c r="BR199" s="32">
        <v>132.5</v>
      </c>
      <c r="BS199" s="32">
        <v>169.2</v>
      </c>
      <c r="BT199" s="32">
        <v>99.8</v>
      </c>
      <c r="BU199" s="32">
        <v>89.6</v>
      </c>
      <c r="BV199" s="32">
        <v>89.6</v>
      </c>
      <c r="BW199" s="32">
        <v>110</v>
      </c>
      <c r="BX199" s="32">
        <v>52.3</v>
      </c>
      <c r="BY199" s="32">
        <v>88</v>
      </c>
      <c r="BZ199" s="32">
        <v>84.5</v>
      </c>
      <c r="CA199" s="32">
        <v>89.7</v>
      </c>
      <c r="CB199" s="32">
        <v>104.4</v>
      </c>
      <c r="CC199" s="32">
        <v>77.599999999999994</v>
      </c>
      <c r="CD199" s="32">
        <v>45.8</v>
      </c>
      <c r="CE199" s="32">
        <v>90.1</v>
      </c>
      <c r="CF199" s="32">
        <v>87.1</v>
      </c>
      <c r="CG199" s="32">
        <v>93</v>
      </c>
      <c r="CH199" s="32">
        <v>91.6</v>
      </c>
      <c r="CI199" s="32">
        <v>102.7</v>
      </c>
      <c r="CJ199" s="32">
        <v>92.5</v>
      </c>
      <c r="CK199" s="32">
        <v>88.5</v>
      </c>
      <c r="CL199" s="32">
        <v>97</v>
      </c>
      <c r="CM199" s="32">
        <v>98.9</v>
      </c>
      <c r="CN199" s="32">
        <v>93.8</v>
      </c>
      <c r="CO199" s="32">
        <v>100.9</v>
      </c>
      <c r="CP199" s="32">
        <v>136.19999999999999</v>
      </c>
      <c r="CQ199" s="32">
        <v>47.6</v>
      </c>
      <c r="CR199" s="32">
        <v>91.8</v>
      </c>
      <c r="CS199" s="32">
        <v>120.4</v>
      </c>
      <c r="CT199" s="32">
        <v>93.9</v>
      </c>
      <c r="CU199" s="32">
        <v>80.900000000000006</v>
      </c>
      <c r="CV199" s="32">
        <v>99.7</v>
      </c>
      <c r="CW199" s="32">
        <v>56.7</v>
      </c>
      <c r="CX199" s="32">
        <v>107.3</v>
      </c>
      <c r="CY199" s="32">
        <v>115.5</v>
      </c>
      <c r="CZ199" s="32">
        <v>103</v>
      </c>
      <c r="DA199" s="32">
        <v>93.3</v>
      </c>
      <c r="DB199" s="32">
        <v>121.2</v>
      </c>
      <c r="DC199" s="32">
        <v>21.8</v>
      </c>
      <c r="DD199" s="32">
        <v>21.8</v>
      </c>
      <c r="DE199" s="32">
        <v>76.599999999999994</v>
      </c>
      <c r="DF199" s="32">
        <v>74.7</v>
      </c>
      <c r="DG199" s="32">
        <v>87.8</v>
      </c>
      <c r="DH199" s="32">
        <v>99.7</v>
      </c>
      <c r="DI199" s="32">
        <v>124.8</v>
      </c>
      <c r="DJ199" s="32">
        <v>82.9</v>
      </c>
      <c r="DK199" s="32">
        <v>82.9</v>
      </c>
      <c r="DL199" s="32">
        <v>74.599999999999994</v>
      </c>
      <c r="DM199" s="32">
        <v>87.3</v>
      </c>
      <c r="DN199" s="32">
        <v>89.6</v>
      </c>
      <c r="DO199" s="32">
        <v>86.3</v>
      </c>
      <c r="DP199" s="32">
        <v>89.4</v>
      </c>
      <c r="DQ199" s="32">
        <v>83.9</v>
      </c>
      <c r="DR199" s="32">
        <v>87.9</v>
      </c>
      <c r="DS199" s="32">
        <v>89.2</v>
      </c>
      <c r="DT199" s="32">
        <v>87.6</v>
      </c>
      <c r="DU199" s="32">
        <v>91</v>
      </c>
      <c r="DV199" s="32">
        <v>99.7</v>
      </c>
      <c r="DW199" s="32">
        <v>80.900000000000006</v>
      </c>
      <c r="DX199" s="32">
        <v>80.599999999999994</v>
      </c>
      <c r="DY199" s="32">
        <v>94.6</v>
      </c>
      <c r="DZ199" s="32">
        <v>101.8</v>
      </c>
      <c r="EA199" s="32">
        <v>101.8</v>
      </c>
      <c r="EB199" s="32">
        <v>79.2</v>
      </c>
      <c r="EC199" s="32">
        <v>81.5</v>
      </c>
      <c r="ED199" s="32">
        <v>76.7</v>
      </c>
      <c r="EE199" s="32">
        <v>77.3</v>
      </c>
      <c r="EF199" s="32">
        <v>75</v>
      </c>
      <c r="EG199" s="32">
        <v>78.2</v>
      </c>
      <c r="EH199" s="32">
        <v>79.400000000000006</v>
      </c>
      <c r="EI199" s="32">
        <v>74.5</v>
      </c>
      <c r="EJ199" s="32">
        <v>74.599999999999994</v>
      </c>
      <c r="EK199" s="32">
        <v>81.400000000000006</v>
      </c>
      <c r="EL199" s="32">
        <v>72.3</v>
      </c>
      <c r="EM199" s="32">
        <v>70</v>
      </c>
      <c r="EN199" s="32">
        <v>90.5</v>
      </c>
      <c r="EO199" s="32">
        <v>91</v>
      </c>
      <c r="EP199" s="32">
        <v>91.6</v>
      </c>
      <c r="EQ199" s="32">
        <v>91.6</v>
      </c>
      <c r="ER199" s="32">
        <v>90.1</v>
      </c>
      <c r="ES199" s="32">
        <v>90.1</v>
      </c>
      <c r="ET199" s="32">
        <v>91.3</v>
      </c>
      <c r="EU199" s="32">
        <v>89.3</v>
      </c>
      <c r="EV199" s="32">
        <v>89.3</v>
      </c>
      <c r="EW199" s="32">
        <v>95.8</v>
      </c>
      <c r="EX199" s="32">
        <v>102.6</v>
      </c>
      <c r="EY199" s="32">
        <v>90.4</v>
      </c>
      <c r="EZ199" s="32">
        <v>88.7</v>
      </c>
      <c r="FA199" s="32">
        <v>95.3</v>
      </c>
      <c r="FB199" s="32">
        <v>99.4</v>
      </c>
      <c r="FC199" s="32">
        <v>84.3</v>
      </c>
      <c r="FD199" s="32">
        <v>102.2</v>
      </c>
      <c r="FE199" s="32">
        <v>121.7</v>
      </c>
      <c r="FF199" s="32">
        <v>90.5</v>
      </c>
      <c r="FG199" s="32">
        <v>85.5</v>
      </c>
      <c r="FH199" s="32">
        <v>90</v>
      </c>
      <c r="FI199" s="32">
        <v>87.8</v>
      </c>
      <c r="FJ199" s="32">
        <v>83.3</v>
      </c>
      <c r="FK199" s="32">
        <v>70.2</v>
      </c>
      <c r="FL199" s="32">
        <v>70.2</v>
      </c>
    </row>
    <row r="200" spans="1:168" x14ac:dyDescent="0.2">
      <c r="A200" s="34" t="s">
        <v>1180</v>
      </c>
      <c r="B200" s="32">
        <v>87.2</v>
      </c>
      <c r="C200" s="32">
        <v>77.400000000000006</v>
      </c>
      <c r="D200" s="32">
        <v>88.9</v>
      </c>
      <c r="E200" s="32">
        <v>88.3</v>
      </c>
      <c r="F200" s="32">
        <v>74.900000000000006</v>
      </c>
      <c r="G200" s="32">
        <v>1716.4</v>
      </c>
      <c r="H200" s="32">
        <v>67.599999999999994</v>
      </c>
      <c r="I200" s="32">
        <v>92.1</v>
      </c>
      <c r="J200" s="32">
        <v>89.9</v>
      </c>
      <c r="K200" s="32">
        <v>83.2</v>
      </c>
      <c r="L200" s="32">
        <v>78.900000000000006</v>
      </c>
      <c r="M200" s="32">
        <v>70.2</v>
      </c>
      <c r="N200" s="32">
        <v>73.2</v>
      </c>
      <c r="O200" s="32">
        <v>84.4</v>
      </c>
      <c r="P200" s="32">
        <v>80.099999999999994</v>
      </c>
      <c r="Q200" s="32">
        <v>78.3</v>
      </c>
      <c r="R200" s="32">
        <v>74.599999999999994</v>
      </c>
      <c r="S200" s="32">
        <v>105.8</v>
      </c>
      <c r="T200" s="32">
        <v>100.7</v>
      </c>
      <c r="U200" s="32">
        <v>88.2</v>
      </c>
      <c r="V200" s="32">
        <v>105.4</v>
      </c>
      <c r="W200" s="32">
        <v>69.2</v>
      </c>
      <c r="X200" s="32">
        <v>56.6</v>
      </c>
      <c r="Y200" s="32">
        <v>81.3</v>
      </c>
      <c r="Z200" s="32">
        <v>112.9</v>
      </c>
      <c r="AA200" s="32">
        <v>90</v>
      </c>
      <c r="AB200" s="32">
        <v>73.7</v>
      </c>
      <c r="AC200" s="32">
        <v>91.6</v>
      </c>
      <c r="AD200" s="32">
        <v>101.5</v>
      </c>
      <c r="AE200" s="32">
        <v>43</v>
      </c>
      <c r="AF200" s="32">
        <v>43</v>
      </c>
      <c r="AG200" s="32">
        <v>66.599999999999994</v>
      </c>
      <c r="AH200" s="32">
        <v>66.599999999999994</v>
      </c>
      <c r="AI200" s="32">
        <v>143</v>
      </c>
      <c r="AJ200" s="32">
        <v>40.5</v>
      </c>
      <c r="AK200" s="32">
        <v>84.2</v>
      </c>
      <c r="AL200" s="32">
        <v>69.7</v>
      </c>
      <c r="AM200" s="32">
        <v>57.5</v>
      </c>
      <c r="AN200" s="32">
        <v>94.7</v>
      </c>
      <c r="AO200" s="32">
        <v>96</v>
      </c>
      <c r="AP200" s="32">
        <v>96</v>
      </c>
      <c r="AQ200" s="32">
        <v>99.1</v>
      </c>
      <c r="AR200" s="32">
        <v>107.8</v>
      </c>
      <c r="AS200" s="32">
        <v>86.9</v>
      </c>
      <c r="AT200" s="32">
        <v>85.3</v>
      </c>
      <c r="AU200" s="32">
        <v>88.2</v>
      </c>
      <c r="AV200" s="32">
        <v>93</v>
      </c>
      <c r="AW200" s="32">
        <v>89.7</v>
      </c>
      <c r="AX200" s="32">
        <v>106</v>
      </c>
      <c r="AY200" s="32">
        <v>77.099999999999994</v>
      </c>
      <c r="AZ200" s="32">
        <v>95.5</v>
      </c>
      <c r="BA200" s="32">
        <v>95.7</v>
      </c>
      <c r="BB200" s="32">
        <v>95.7</v>
      </c>
      <c r="BC200" s="32">
        <v>93.1</v>
      </c>
      <c r="BD200" s="32">
        <v>93.1</v>
      </c>
      <c r="BE200" s="32">
        <v>117.2</v>
      </c>
      <c r="BF200" s="32">
        <v>117.2</v>
      </c>
      <c r="BG200" s="32">
        <v>91.8</v>
      </c>
      <c r="BH200" s="32">
        <v>99</v>
      </c>
      <c r="BI200" s="32">
        <v>83.5</v>
      </c>
      <c r="BJ200" s="32">
        <v>57.5</v>
      </c>
      <c r="BK200" s="32">
        <v>88.7</v>
      </c>
      <c r="BL200" s="32">
        <v>95.5</v>
      </c>
      <c r="BM200" s="32">
        <v>100.4</v>
      </c>
      <c r="BN200" s="32">
        <v>94.7</v>
      </c>
      <c r="BO200" s="32">
        <v>84.9</v>
      </c>
      <c r="BP200" s="32">
        <v>104.3</v>
      </c>
      <c r="BQ200" s="32">
        <v>107.6</v>
      </c>
      <c r="BR200" s="32">
        <v>98.4</v>
      </c>
      <c r="BS200" s="32">
        <v>170.9</v>
      </c>
      <c r="BT200" s="32">
        <v>91.9</v>
      </c>
      <c r="BU200" s="32">
        <v>95.6</v>
      </c>
      <c r="BV200" s="32">
        <v>95.6</v>
      </c>
      <c r="BW200" s="32">
        <v>110</v>
      </c>
      <c r="BX200" s="32">
        <v>62.3</v>
      </c>
      <c r="BY200" s="32">
        <v>83.1</v>
      </c>
      <c r="BZ200" s="32">
        <v>85</v>
      </c>
      <c r="CA200" s="32">
        <v>82.1</v>
      </c>
      <c r="CB200" s="32">
        <v>94.5</v>
      </c>
      <c r="CC200" s="32">
        <v>72</v>
      </c>
      <c r="CD200" s="32">
        <v>41.1</v>
      </c>
      <c r="CE200" s="32">
        <v>90</v>
      </c>
      <c r="CF200" s="32">
        <v>87</v>
      </c>
      <c r="CG200" s="32">
        <v>92.4</v>
      </c>
      <c r="CH200" s="32">
        <v>89.9</v>
      </c>
      <c r="CI200" s="32">
        <v>101.3</v>
      </c>
      <c r="CJ200" s="32">
        <v>90.2</v>
      </c>
      <c r="CK200" s="32">
        <v>87.1</v>
      </c>
      <c r="CL200" s="32">
        <v>98.1</v>
      </c>
      <c r="CM200" s="32">
        <v>104.6</v>
      </c>
      <c r="CN200" s="32">
        <v>92.7</v>
      </c>
      <c r="CO200" s="32">
        <v>108.1</v>
      </c>
      <c r="CP200" s="32">
        <v>136.30000000000001</v>
      </c>
      <c r="CQ200" s="32">
        <v>45</v>
      </c>
      <c r="CR200" s="32">
        <v>90.8</v>
      </c>
      <c r="CS200" s="32">
        <v>117.4</v>
      </c>
      <c r="CT200" s="32">
        <v>94.9</v>
      </c>
      <c r="CU200" s="32">
        <v>82.7</v>
      </c>
      <c r="CV200" s="32">
        <v>100.2</v>
      </c>
      <c r="CW200" s="32">
        <v>56.4</v>
      </c>
      <c r="CX200" s="32">
        <v>107.8</v>
      </c>
      <c r="CY200" s="32">
        <v>118.6</v>
      </c>
      <c r="CZ200" s="32">
        <v>102.2</v>
      </c>
      <c r="DA200" s="32">
        <v>91.3</v>
      </c>
      <c r="DB200" s="32">
        <v>122.7</v>
      </c>
      <c r="DC200" s="32">
        <v>21.9</v>
      </c>
      <c r="DD200" s="32">
        <v>21.9</v>
      </c>
      <c r="DE200" s="32">
        <v>74.900000000000006</v>
      </c>
      <c r="DF200" s="32">
        <v>72.599999999999994</v>
      </c>
      <c r="DG200" s="32">
        <v>89</v>
      </c>
      <c r="DH200" s="32">
        <v>100.9</v>
      </c>
      <c r="DI200" s="32">
        <v>128.19999999999999</v>
      </c>
      <c r="DJ200" s="32">
        <v>81</v>
      </c>
      <c r="DK200" s="32">
        <v>81</v>
      </c>
      <c r="DL200" s="32">
        <v>75.2</v>
      </c>
      <c r="DM200" s="32">
        <v>87.5</v>
      </c>
      <c r="DN200" s="32">
        <v>89.6</v>
      </c>
      <c r="DO200" s="32">
        <v>86.3</v>
      </c>
      <c r="DP200" s="32">
        <v>95.7</v>
      </c>
      <c r="DQ200" s="32">
        <v>83.3</v>
      </c>
      <c r="DR200" s="32">
        <v>86.9</v>
      </c>
      <c r="DS200" s="32">
        <v>88.1</v>
      </c>
      <c r="DT200" s="32">
        <v>86.4</v>
      </c>
      <c r="DU200" s="32">
        <v>89.3</v>
      </c>
      <c r="DV200" s="32">
        <v>96.1</v>
      </c>
      <c r="DW200" s="32">
        <v>81.5</v>
      </c>
      <c r="DX200" s="32">
        <v>80.2</v>
      </c>
      <c r="DY200" s="32">
        <v>93.8</v>
      </c>
      <c r="DZ200" s="32">
        <v>93.9</v>
      </c>
      <c r="EA200" s="32">
        <v>93.9</v>
      </c>
      <c r="EB200" s="32">
        <v>80.900000000000006</v>
      </c>
      <c r="EC200" s="32">
        <v>84.3</v>
      </c>
      <c r="ED200" s="32">
        <v>77</v>
      </c>
      <c r="EE200" s="32">
        <v>76.599999999999994</v>
      </c>
      <c r="EF200" s="32">
        <v>77.7</v>
      </c>
      <c r="EG200" s="32">
        <v>78.099999999999994</v>
      </c>
      <c r="EH200" s="32">
        <v>80.099999999999994</v>
      </c>
      <c r="EI200" s="32">
        <v>73.400000000000006</v>
      </c>
      <c r="EJ200" s="32">
        <v>75.099999999999994</v>
      </c>
      <c r="EK200" s="32">
        <v>81.599999999999994</v>
      </c>
      <c r="EL200" s="32">
        <v>73.2</v>
      </c>
      <c r="EM200" s="32">
        <v>72.900000000000006</v>
      </c>
      <c r="EN200" s="32">
        <v>88.7</v>
      </c>
      <c r="EO200" s="32">
        <v>91.2</v>
      </c>
      <c r="EP200" s="32">
        <v>91.3</v>
      </c>
      <c r="EQ200" s="32">
        <v>91.3</v>
      </c>
      <c r="ER200" s="32">
        <v>89.7</v>
      </c>
      <c r="ES200" s="32">
        <v>89.7</v>
      </c>
      <c r="ET200" s="32">
        <v>92.4</v>
      </c>
      <c r="EU200" s="32">
        <v>90.7</v>
      </c>
      <c r="EV200" s="32">
        <v>90.7</v>
      </c>
      <c r="EW200" s="32">
        <v>96.4</v>
      </c>
      <c r="EX200" s="32">
        <v>102.3</v>
      </c>
      <c r="EY200" s="32">
        <v>91.8</v>
      </c>
      <c r="EZ200" s="32">
        <v>88.8</v>
      </c>
      <c r="FA200" s="32">
        <v>95.8</v>
      </c>
      <c r="FB200" s="32">
        <v>101.8</v>
      </c>
      <c r="FC200" s="32">
        <v>86.2</v>
      </c>
      <c r="FD200" s="32">
        <v>104.3</v>
      </c>
      <c r="FE200" s="32">
        <v>125</v>
      </c>
      <c r="FF200" s="32">
        <v>88.6</v>
      </c>
      <c r="FG200" s="32">
        <v>84.9</v>
      </c>
      <c r="FH200" s="32">
        <v>90.7</v>
      </c>
      <c r="FI200" s="32">
        <v>88.4</v>
      </c>
      <c r="FJ200" s="32">
        <v>82.1</v>
      </c>
      <c r="FK200" s="32">
        <v>73.7</v>
      </c>
      <c r="FL200" s="32">
        <v>73.7</v>
      </c>
    </row>
    <row r="201" spans="1:168" x14ac:dyDescent="0.2">
      <c r="A201" s="34" t="s">
        <v>1181</v>
      </c>
      <c r="B201" s="32">
        <v>87.3</v>
      </c>
      <c r="C201" s="32">
        <v>77.900000000000006</v>
      </c>
      <c r="D201" s="32">
        <v>88.5</v>
      </c>
      <c r="E201" s="32">
        <v>88.2</v>
      </c>
      <c r="F201" s="32">
        <v>75.400000000000006</v>
      </c>
      <c r="G201" s="32">
        <v>1854.5</v>
      </c>
      <c r="H201" s="32">
        <v>68.7</v>
      </c>
      <c r="I201" s="32">
        <v>88.5</v>
      </c>
      <c r="J201" s="32">
        <v>89.4</v>
      </c>
      <c r="K201" s="32">
        <v>83.6</v>
      </c>
      <c r="L201" s="32">
        <v>80.099999999999994</v>
      </c>
      <c r="M201" s="32">
        <v>71.400000000000006</v>
      </c>
      <c r="N201" s="32">
        <v>73.599999999999994</v>
      </c>
      <c r="O201" s="32">
        <v>81.7</v>
      </c>
      <c r="P201" s="32">
        <v>81</v>
      </c>
      <c r="Q201" s="32">
        <v>77</v>
      </c>
      <c r="R201" s="32">
        <v>78.3</v>
      </c>
      <c r="S201" s="32">
        <v>105.4</v>
      </c>
      <c r="T201" s="32">
        <v>110.6</v>
      </c>
      <c r="U201" s="32">
        <v>88.7</v>
      </c>
      <c r="V201" s="32">
        <v>101.1</v>
      </c>
      <c r="W201" s="32">
        <v>68.900000000000006</v>
      </c>
      <c r="X201" s="32">
        <v>55.7</v>
      </c>
      <c r="Y201" s="32">
        <v>83.1</v>
      </c>
      <c r="Z201" s="32">
        <v>111.9</v>
      </c>
      <c r="AA201" s="32">
        <v>86.5</v>
      </c>
      <c r="AB201" s="32">
        <v>67.599999999999994</v>
      </c>
      <c r="AC201" s="32">
        <v>92.7</v>
      </c>
      <c r="AD201" s="32">
        <v>95.3</v>
      </c>
      <c r="AE201" s="32">
        <v>48.3</v>
      </c>
      <c r="AF201" s="32">
        <v>48.3</v>
      </c>
      <c r="AG201" s="32">
        <v>66.2</v>
      </c>
      <c r="AH201" s="32">
        <v>66.2</v>
      </c>
      <c r="AI201" s="32">
        <v>146</v>
      </c>
      <c r="AJ201" s="32">
        <v>40.5</v>
      </c>
      <c r="AK201" s="32">
        <v>83.2</v>
      </c>
      <c r="AL201" s="32">
        <v>67.2</v>
      </c>
      <c r="AM201" s="32">
        <v>55.9</v>
      </c>
      <c r="AN201" s="32">
        <v>95.9</v>
      </c>
      <c r="AO201" s="32">
        <v>102.5</v>
      </c>
      <c r="AP201" s="32">
        <v>102.5</v>
      </c>
      <c r="AQ201" s="32">
        <v>97</v>
      </c>
      <c r="AR201" s="32">
        <v>103.3</v>
      </c>
      <c r="AS201" s="32">
        <v>88.6</v>
      </c>
      <c r="AT201" s="32">
        <v>82.4</v>
      </c>
      <c r="AU201" s="32">
        <v>93.8</v>
      </c>
      <c r="AV201" s="32">
        <v>91</v>
      </c>
      <c r="AW201" s="32">
        <v>84.3</v>
      </c>
      <c r="AX201" s="32">
        <v>100.4</v>
      </c>
      <c r="AY201" s="32">
        <v>70.900000000000006</v>
      </c>
      <c r="AZ201" s="32">
        <v>94.1</v>
      </c>
      <c r="BA201" s="32">
        <v>94.7</v>
      </c>
      <c r="BB201" s="32">
        <v>94.7</v>
      </c>
      <c r="BC201" s="32">
        <v>93.6</v>
      </c>
      <c r="BD201" s="32">
        <v>93.6</v>
      </c>
      <c r="BE201" s="32">
        <v>113.8</v>
      </c>
      <c r="BF201" s="32">
        <v>113.8</v>
      </c>
      <c r="BG201" s="32">
        <v>90.6</v>
      </c>
      <c r="BH201" s="32">
        <v>94.7</v>
      </c>
      <c r="BI201" s="32">
        <v>85.4</v>
      </c>
      <c r="BJ201" s="32">
        <v>58.3</v>
      </c>
      <c r="BK201" s="32">
        <v>91.4</v>
      </c>
      <c r="BL201" s="32">
        <v>94.7</v>
      </c>
      <c r="BM201" s="32">
        <v>100.8</v>
      </c>
      <c r="BN201" s="32">
        <v>92.4</v>
      </c>
      <c r="BO201" s="32">
        <v>83.5</v>
      </c>
      <c r="BP201" s="32">
        <v>101.1</v>
      </c>
      <c r="BQ201" s="32">
        <v>111.1</v>
      </c>
      <c r="BR201" s="32">
        <v>99.2</v>
      </c>
      <c r="BS201" s="32">
        <v>173.2</v>
      </c>
      <c r="BT201" s="32">
        <v>96</v>
      </c>
      <c r="BU201" s="32">
        <v>96</v>
      </c>
      <c r="BV201" s="32">
        <v>96</v>
      </c>
      <c r="BW201" s="32">
        <v>111.2</v>
      </c>
      <c r="BX201" s="32">
        <v>61.9</v>
      </c>
      <c r="BY201" s="32">
        <v>84.6</v>
      </c>
      <c r="BZ201" s="32">
        <v>85.2</v>
      </c>
      <c r="CA201" s="32">
        <v>84.3</v>
      </c>
      <c r="CB201" s="32">
        <v>98.4</v>
      </c>
      <c r="CC201" s="32">
        <v>72.7</v>
      </c>
      <c r="CD201" s="32">
        <v>41.6</v>
      </c>
      <c r="CE201" s="32">
        <v>88.9</v>
      </c>
      <c r="CF201" s="32">
        <v>87.1</v>
      </c>
      <c r="CG201" s="32">
        <v>91.4</v>
      </c>
      <c r="CH201" s="32">
        <v>89.8</v>
      </c>
      <c r="CI201" s="32">
        <v>99.7</v>
      </c>
      <c r="CJ201" s="32">
        <v>91.7</v>
      </c>
      <c r="CK201" s="32">
        <v>86.2</v>
      </c>
      <c r="CL201" s="32">
        <v>94.4</v>
      </c>
      <c r="CM201" s="32">
        <v>97.8</v>
      </c>
      <c r="CN201" s="32">
        <v>92.7</v>
      </c>
      <c r="CO201" s="32">
        <v>99.8</v>
      </c>
      <c r="CP201" s="32">
        <v>133.19999999999999</v>
      </c>
      <c r="CQ201" s="32">
        <v>45.5</v>
      </c>
      <c r="CR201" s="32">
        <v>91.9</v>
      </c>
      <c r="CS201" s="32">
        <v>108.8</v>
      </c>
      <c r="CT201" s="32">
        <v>94.5</v>
      </c>
      <c r="CU201" s="32">
        <v>83.3</v>
      </c>
      <c r="CV201" s="32">
        <v>99.5</v>
      </c>
      <c r="CW201" s="32">
        <v>57.1</v>
      </c>
      <c r="CX201" s="32">
        <v>105.2</v>
      </c>
      <c r="CY201" s="32">
        <v>119.2</v>
      </c>
      <c r="CZ201" s="32">
        <v>97.9</v>
      </c>
      <c r="DA201" s="32">
        <v>87.9</v>
      </c>
      <c r="DB201" s="32">
        <v>116.9</v>
      </c>
      <c r="DC201" s="32">
        <v>22.6</v>
      </c>
      <c r="DD201" s="32">
        <v>22.6</v>
      </c>
      <c r="DE201" s="32">
        <v>77.099999999999994</v>
      </c>
      <c r="DF201" s="32">
        <v>74.900000000000006</v>
      </c>
      <c r="DG201" s="32">
        <v>90.1</v>
      </c>
      <c r="DH201" s="32">
        <v>100.3</v>
      </c>
      <c r="DI201" s="32">
        <v>126.4</v>
      </c>
      <c r="DJ201" s="32">
        <v>79.8</v>
      </c>
      <c r="DK201" s="32">
        <v>79.8</v>
      </c>
      <c r="DL201" s="32">
        <v>76.900000000000006</v>
      </c>
      <c r="DM201" s="32">
        <v>87.9</v>
      </c>
      <c r="DN201" s="32">
        <v>89.9</v>
      </c>
      <c r="DO201" s="32">
        <v>86.8</v>
      </c>
      <c r="DP201" s="32">
        <v>93.8</v>
      </c>
      <c r="DQ201" s="32">
        <v>83.6</v>
      </c>
      <c r="DR201" s="32">
        <v>86.6</v>
      </c>
      <c r="DS201" s="32">
        <v>86.9</v>
      </c>
      <c r="DT201" s="32">
        <v>85.1</v>
      </c>
      <c r="DU201" s="32">
        <v>87.2</v>
      </c>
      <c r="DV201" s="32">
        <v>93.2</v>
      </c>
      <c r="DW201" s="32">
        <v>80.099999999999994</v>
      </c>
      <c r="DX201" s="32">
        <v>80.900000000000006</v>
      </c>
      <c r="DY201" s="32">
        <v>92.9</v>
      </c>
      <c r="DZ201" s="32">
        <v>96.1</v>
      </c>
      <c r="EA201" s="32">
        <v>96.1</v>
      </c>
      <c r="EB201" s="32">
        <v>82.5</v>
      </c>
      <c r="EC201" s="32">
        <v>83.8</v>
      </c>
      <c r="ED201" s="32">
        <v>81.400000000000006</v>
      </c>
      <c r="EE201" s="32">
        <v>80.400000000000006</v>
      </c>
      <c r="EF201" s="32">
        <v>83.8</v>
      </c>
      <c r="EG201" s="32">
        <v>79.3</v>
      </c>
      <c r="EH201" s="32">
        <v>78.7</v>
      </c>
      <c r="EI201" s="32">
        <v>76.8</v>
      </c>
      <c r="EJ201" s="32">
        <v>70.900000000000006</v>
      </c>
      <c r="EK201" s="32">
        <v>83.7</v>
      </c>
      <c r="EL201" s="32">
        <v>74.8</v>
      </c>
      <c r="EM201" s="32">
        <v>78.599999999999994</v>
      </c>
      <c r="EN201" s="32">
        <v>88.5</v>
      </c>
      <c r="EO201" s="32">
        <v>91.7</v>
      </c>
      <c r="EP201" s="32">
        <v>91.5</v>
      </c>
      <c r="EQ201" s="32">
        <v>91.5</v>
      </c>
      <c r="ER201" s="32">
        <v>90.7</v>
      </c>
      <c r="ES201" s="32">
        <v>90.7</v>
      </c>
      <c r="ET201" s="32">
        <v>92.7</v>
      </c>
      <c r="EU201" s="32">
        <v>90.7</v>
      </c>
      <c r="EV201" s="32">
        <v>90.7</v>
      </c>
      <c r="EW201" s="32">
        <v>97.2</v>
      </c>
      <c r="EX201" s="32">
        <v>102</v>
      </c>
      <c r="EY201" s="32">
        <v>93.5</v>
      </c>
      <c r="EZ201" s="32">
        <v>90</v>
      </c>
      <c r="FA201" s="32">
        <v>99.1</v>
      </c>
      <c r="FB201" s="32">
        <v>105.4</v>
      </c>
      <c r="FC201" s="32">
        <v>91.2</v>
      </c>
      <c r="FD201" s="32">
        <v>104.6</v>
      </c>
      <c r="FE201" s="32">
        <v>127.7</v>
      </c>
      <c r="FF201" s="32">
        <v>91.5</v>
      </c>
      <c r="FG201" s="32">
        <v>84.5</v>
      </c>
      <c r="FH201" s="32">
        <v>90.4</v>
      </c>
      <c r="FI201" s="32">
        <v>92.3</v>
      </c>
      <c r="FJ201" s="32">
        <v>81.2</v>
      </c>
      <c r="FK201" s="32">
        <v>74.8</v>
      </c>
      <c r="FL201" s="32">
        <v>74.8</v>
      </c>
    </row>
    <row r="202" spans="1:168" x14ac:dyDescent="0.2">
      <c r="A202" s="34" t="s">
        <v>1182</v>
      </c>
      <c r="B202" s="32">
        <v>87.6</v>
      </c>
      <c r="C202" s="32">
        <v>79</v>
      </c>
      <c r="D202" s="32">
        <v>89.3</v>
      </c>
      <c r="E202" s="32">
        <v>88.5</v>
      </c>
      <c r="F202" s="32">
        <v>77.3</v>
      </c>
      <c r="G202" s="32">
        <v>1622.4</v>
      </c>
      <c r="H202" s="32">
        <v>71.8</v>
      </c>
      <c r="I202" s="32">
        <v>84.9</v>
      </c>
      <c r="J202" s="32">
        <v>90.3</v>
      </c>
      <c r="K202" s="32">
        <v>86.5</v>
      </c>
      <c r="L202" s="32">
        <v>83.2</v>
      </c>
      <c r="M202" s="32">
        <v>75.8</v>
      </c>
      <c r="N202" s="32">
        <v>77.099999999999994</v>
      </c>
      <c r="O202" s="32">
        <v>104.7</v>
      </c>
      <c r="P202" s="32">
        <v>81.8</v>
      </c>
      <c r="Q202" s="32">
        <v>79</v>
      </c>
      <c r="R202" s="32">
        <v>83</v>
      </c>
      <c r="S202" s="32">
        <v>107.8</v>
      </c>
      <c r="T202" s="32">
        <v>110.1</v>
      </c>
      <c r="U202" s="32">
        <v>92.3</v>
      </c>
      <c r="V202" s="32">
        <v>103.2</v>
      </c>
      <c r="W202" s="32">
        <v>69.8</v>
      </c>
      <c r="X202" s="32">
        <v>57.1</v>
      </c>
      <c r="Y202" s="32">
        <v>83</v>
      </c>
      <c r="Z202" s="32">
        <v>110.2</v>
      </c>
      <c r="AA202" s="32">
        <v>89.2</v>
      </c>
      <c r="AB202" s="32">
        <v>72.400000000000006</v>
      </c>
      <c r="AC202" s="32">
        <v>94.5</v>
      </c>
      <c r="AD202" s="32">
        <v>97.3</v>
      </c>
      <c r="AE202" s="32">
        <v>48.5</v>
      </c>
      <c r="AF202" s="32">
        <v>48.5</v>
      </c>
      <c r="AG202" s="32">
        <v>68.900000000000006</v>
      </c>
      <c r="AH202" s="32">
        <v>68.900000000000006</v>
      </c>
      <c r="AI202" s="32">
        <v>163.5</v>
      </c>
      <c r="AJ202" s="32">
        <v>40.200000000000003</v>
      </c>
      <c r="AK202" s="32">
        <v>87.4</v>
      </c>
      <c r="AL202" s="32">
        <v>73.3</v>
      </c>
      <c r="AM202" s="32">
        <v>57.2</v>
      </c>
      <c r="AN202" s="32">
        <v>98.9</v>
      </c>
      <c r="AO202" s="32">
        <v>105.2</v>
      </c>
      <c r="AP202" s="32">
        <v>105.2</v>
      </c>
      <c r="AQ202" s="32">
        <v>101.9</v>
      </c>
      <c r="AR202" s="32">
        <v>108.5</v>
      </c>
      <c r="AS202" s="32">
        <v>93</v>
      </c>
      <c r="AT202" s="32">
        <v>84.5</v>
      </c>
      <c r="AU202" s="32">
        <v>100.1</v>
      </c>
      <c r="AV202" s="32">
        <v>87.6</v>
      </c>
      <c r="AW202" s="32">
        <v>82.7</v>
      </c>
      <c r="AX202" s="32">
        <v>100.3</v>
      </c>
      <c r="AY202" s="32">
        <v>65.5</v>
      </c>
      <c r="AZ202" s="32">
        <v>90.3</v>
      </c>
      <c r="BA202" s="32">
        <v>92.2</v>
      </c>
      <c r="BB202" s="32">
        <v>92.2</v>
      </c>
      <c r="BC202" s="32">
        <v>98.1</v>
      </c>
      <c r="BD202" s="32">
        <v>98.1</v>
      </c>
      <c r="BE202" s="32">
        <v>110</v>
      </c>
      <c r="BF202" s="32">
        <v>110</v>
      </c>
      <c r="BG202" s="32">
        <v>92.1</v>
      </c>
      <c r="BH202" s="32">
        <v>97.1</v>
      </c>
      <c r="BI202" s="32">
        <v>86.1</v>
      </c>
      <c r="BJ202" s="32">
        <v>58.3</v>
      </c>
      <c r="BK202" s="32">
        <v>92</v>
      </c>
      <c r="BL202" s="32">
        <v>98.6</v>
      </c>
      <c r="BM202" s="32">
        <v>100</v>
      </c>
      <c r="BN202" s="32">
        <v>94.2</v>
      </c>
      <c r="BO202" s="32">
        <v>87.3</v>
      </c>
      <c r="BP202" s="32">
        <v>100.9</v>
      </c>
      <c r="BQ202" s="32">
        <v>107.2</v>
      </c>
      <c r="BR202" s="32">
        <v>94.8</v>
      </c>
      <c r="BS202" s="32">
        <v>153</v>
      </c>
      <c r="BT202" s="32">
        <v>96.3</v>
      </c>
      <c r="BU202" s="32">
        <v>90.5</v>
      </c>
      <c r="BV202" s="32">
        <v>90.5</v>
      </c>
      <c r="BW202" s="32">
        <v>108.4</v>
      </c>
      <c r="BX202" s="32">
        <v>55.4</v>
      </c>
      <c r="BY202" s="32">
        <v>85.8</v>
      </c>
      <c r="BZ202" s="32">
        <v>88.3</v>
      </c>
      <c r="CA202" s="32">
        <v>84.6</v>
      </c>
      <c r="CB202" s="32">
        <v>97.2</v>
      </c>
      <c r="CC202" s="32">
        <v>74.2</v>
      </c>
      <c r="CD202" s="32">
        <v>44.3</v>
      </c>
      <c r="CE202" s="32">
        <v>91.3</v>
      </c>
      <c r="CF202" s="32">
        <v>87.3</v>
      </c>
      <c r="CG202" s="32">
        <v>92.5</v>
      </c>
      <c r="CH202" s="32">
        <v>90</v>
      </c>
      <c r="CI202" s="32">
        <v>98.3</v>
      </c>
      <c r="CJ202" s="32">
        <v>90</v>
      </c>
      <c r="CK202" s="32">
        <v>88</v>
      </c>
      <c r="CL202" s="32">
        <v>96.6</v>
      </c>
      <c r="CM202" s="32">
        <v>100.6</v>
      </c>
      <c r="CN202" s="32">
        <v>92.6</v>
      </c>
      <c r="CO202" s="32">
        <v>103.2</v>
      </c>
      <c r="CP202" s="32">
        <v>135.19999999999999</v>
      </c>
      <c r="CQ202" s="32">
        <v>46.9</v>
      </c>
      <c r="CR202" s="32">
        <v>93.1</v>
      </c>
      <c r="CS202" s="32">
        <v>111.8</v>
      </c>
      <c r="CT202" s="32">
        <v>97.6</v>
      </c>
      <c r="CU202" s="32">
        <v>85</v>
      </c>
      <c r="CV202" s="32">
        <v>103.1</v>
      </c>
      <c r="CW202" s="32">
        <v>57.6</v>
      </c>
      <c r="CX202" s="32">
        <v>104.5</v>
      </c>
      <c r="CY202" s="32">
        <v>118.6</v>
      </c>
      <c r="CZ202" s="32">
        <v>97.2</v>
      </c>
      <c r="DA202" s="32">
        <v>87.1</v>
      </c>
      <c r="DB202" s="32">
        <v>116.2</v>
      </c>
      <c r="DC202" s="32">
        <v>24.2</v>
      </c>
      <c r="DD202" s="32">
        <v>24.2</v>
      </c>
      <c r="DE202" s="32">
        <v>74.8</v>
      </c>
      <c r="DF202" s="32">
        <v>72.900000000000006</v>
      </c>
      <c r="DG202" s="32">
        <v>86.4</v>
      </c>
      <c r="DH202" s="32">
        <v>98.1</v>
      </c>
      <c r="DI202" s="32">
        <v>126</v>
      </c>
      <c r="DJ202" s="32">
        <v>78.7</v>
      </c>
      <c r="DK202" s="32">
        <v>78.7</v>
      </c>
      <c r="DL202" s="32">
        <v>71.2</v>
      </c>
      <c r="DM202" s="32">
        <v>88.4</v>
      </c>
      <c r="DN202" s="32">
        <v>90.7</v>
      </c>
      <c r="DO202" s="32">
        <v>87.2</v>
      </c>
      <c r="DP202" s="32">
        <v>94.6</v>
      </c>
      <c r="DQ202" s="32">
        <v>84.6</v>
      </c>
      <c r="DR202" s="32">
        <v>86.8</v>
      </c>
      <c r="DS202" s="32">
        <v>88.2</v>
      </c>
      <c r="DT202" s="32">
        <v>86.1</v>
      </c>
      <c r="DU202" s="32">
        <v>88.6</v>
      </c>
      <c r="DV202" s="32">
        <v>96.2</v>
      </c>
      <c r="DW202" s="32">
        <v>79.8</v>
      </c>
      <c r="DX202" s="32">
        <v>80.900000000000006</v>
      </c>
      <c r="DY202" s="32">
        <v>95.2</v>
      </c>
      <c r="DZ202" s="32">
        <v>90.2</v>
      </c>
      <c r="EA202" s="32">
        <v>90.2</v>
      </c>
      <c r="EB202" s="32">
        <v>81.5</v>
      </c>
      <c r="EC202" s="32">
        <v>84.4</v>
      </c>
      <c r="ED202" s="32">
        <v>78.2</v>
      </c>
      <c r="EE202" s="32">
        <v>77.900000000000006</v>
      </c>
      <c r="EF202" s="32">
        <v>78.8</v>
      </c>
      <c r="EG202" s="32">
        <v>81.3</v>
      </c>
      <c r="EH202" s="32">
        <v>81.7</v>
      </c>
      <c r="EI202" s="32">
        <v>77.2</v>
      </c>
      <c r="EJ202" s="32">
        <v>74.599999999999994</v>
      </c>
      <c r="EK202" s="32">
        <v>86</v>
      </c>
      <c r="EL202" s="32">
        <v>76.400000000000006</v>
      </c>
      <c r="EM202" s="32">
        <v>83.1</v>
      </c>
      <c r="EN202" s="32">
        <v>89.5</v>
      </c>
      <c r="EO202" s="32">
        <v>91.4</v>
      </c>
      <c r="EP202" s="32">
        <v>92</v>
      </c>
      <c r="EQ202" s="32">
        <v>92</v>
      </c>
      <c r="ER202" s="32">
        <v>90</v>
      </c>
      <c r="ES202" s="32">
        <v>90</v>
      </c>
      <c r="ET202" s="32">
        <v>92.1</v>
      </c>
      <c r="EU202" s="32">
        <v>89.7</v>
      </c>
      <c r="EV202" s="32">
        <v>89.7</v>
      </c>
      <c r="EW202" s="32">
        <v>97.7</v>
      </c>
      <c r="EX202" s="32">
        <v>101.5</v>
      </c>
      <c r="EY202" s="32">
        <v>94.7</v>
      </c>
      <c r="EZ202" s="32">
        <v>90.3</v>
      </c>
      <c r="FA202" s="32">
        <v>98.9</v>
      </c>
      <c r="FB202" s="32">
        <v>106</v>
      </c>
      <c r="FC202" s="32">
        <v>90.9</v>
      </c>
      <c r="FD202" s="32">
        <v>107.2</v>
      </c>
      <c r="FE202" s="32">
        <v>129.1</v>
      </c>
      <c r="FF202" s="32">
        <v>90.3</v>
      </c>
      <c r="FG202" s="32">
        <v>85.6</v>
      </c>
      <c r="FH202" s="32">
        <v>89.9</v>
      </c>
      <c r="FI202" s="32">
        <v>92.6</v>
      </c>
      <c r="FJ202" s="32">
        <v>83</v>
      </c>
      <c r="FK202" s="32">
        <v>70</v>
      </c>
      <c r="FL202" s="32">
        <v>70</v>
      </c>
    </row>
    <row r="203" spans="1:168" x14ac:dyDescent="0.2">
      <c r="A203" s="34" t="s">
        <v>1183</v>
      </c>
      <c r="B203" s="32">
        <v>87.8</v>
      </c>
      <c r="C203" s="32">
        <v>81</v>
      </c>
      <c r="D203" s="32">
        <v>90.5</v>
      </c>
      <c r="E203" s="32">
        <v>89.5</v>
      </c>
      <c r="F203" s="32">
        <v>76.900000000000006</v>
      </c>
      <c r="G203" s="32">
        <v>1669.9</v>
      </c>
      <c r="H203" s="32">
        <v>70.7</v>
      </c>
      <c r="I203" s="32">
        <v>87.7</v>
      </c>
      <c r="J203" s="32">
        <v>91.9</v>
      </c>
      <c r="K203" s="32">
        <v>85.6</v>
      </c>
      <c r="L203" s="32">
        <v>81.3</v>
      </c>
      <c r="M203" s="32">
        <v>73.599999999999994</v>
      </c>
      <c r="N203" s="32">
        <v>75.2</v>
      </c>
      <c r="O203" s="32">
        <v>98.1</v>
      </c>
      <c r="P203" s="32">
        <v>82.7</v>
      </c>
      <c r="Q203" s="32">
        <v>79</v>
      </c>
      <c r="R203" s="32">
        <v>77.099999999999994</v>
      </c>
      <c r="S203" s="32">
        <v>106.6</v>
      </c>
      <c r="T203" s="32">
        <v>113.6</v>
      </c>
      <c r="U203" s="32">
        <v>89.8</v>
      </c>
      <c r="V203" s="32">
        <v>108.4</v>
      </c>
      <c r="W203" s="32">
        <v>70.3</v>
      </c>
      <c r="X203" s="32">
        <v>56.8</v>
      </c>
      <c r="Y203" s="32">
        <v>84.7</v>
      </c>
      <c r="Z203" s="32">
        <v>115.5</v>
      </c>
      <c r="AA203" s="32">
        <v>90.4</v>
      </c>
      <c r="AB203" s="32">
        <v>70.900000000000006</v>
      </c>
      <c r="AC203" s="32">
        <v>95.7</v>
      </c>
      <c r="AD203" s="32">
        <v>100.4</v>
      </c>
      <c r="AE203" s="32">
        <v>54.7</v>
      </c>
      <c r="AF203" s="32">
        <v>54.7</v>
      </c>
      <c r="AG203" s="32">
        <v>69.2</v>
      </c>
      <c r="AH203" s="32">
        <v>69.2</v>
      </c>
      <c r="AI203" s="32">
        <v>148.1</v>
      </c>
      <c r="AJ203" s="32">
        <v>42.1</v>
      </c>
      <c r="AK203" s="32">
        <v>85.5</v>
      </c>
      <c r="AL203" s="32">
        <v>72</v>
      </c>
      <c r="AM203" s="32">
        <v>59.4</v>
      </c>
      <c r="AN203" s="32">
        <v>99.2</v>
      </c>
      <c r="AO203" s="32">
        <v>102.1</v>
      </c>
      <c r="AP203" s="32">
        <v>102.1</v>
      </c>
      <c r="AQ203" s="32">
        <v>105.7</v>
      </c>
      <c r="AR203" s="32">
        <v>111.6</v>
      </c>
      <c r="AS203" s="32">
        <v>98.2</v>
      </c>
      <c r="AT203" s="32">
        <v>86.5</v>
      </c>
      <c r="AU203" s="32">
        <v>107.7</v>
      </c>
      <c r="AV203" s="32">
        <v>89.2</v>
      </c>
      <c r="AW203" s="32">
        <v>81.599999999999994</v>
      </c>
      <c r="AX203" s="32">
        <v>99.6</v>
      </c>
      <c r="AY203" s="32">
        <v>63.1</v>
      </c>
      <c r="AZ203" s="32">
        <v>92.5</v>
      </c>
      <c r="BA203" s="32">
        <v>94</v>
      </c>
      <c r="BB203" s="32">
        <v>94</v>
      </c>
      <c r="BC203" s="32">
        <v>98.9</v>
      </c>
      <c r="BD203" s="32">
        <v>98.9</v>
      </c>
      <c r="BE203" s="32">
        <v>120.4</v>
      </c>
      <c r="BF203" s="32">
        <v>120.4</v>
      </c>
      <c r="BG203" s="32">
        <v>95</v>
      </c>
      <c r="BH203" s="32">
        <v>105.2</v>
      </c>
      <c r="BI203" s="32">
        <v>83.9</v>
      </c>
      <c r="BJ203" s="32">
        <v>58</v>
      </c>
      <c r="BK203" s="32">
        <v>89.1</v>
      </c>
      <c r="BL203" s="32">
        <v>96.8</v>
      </c>
      <c r="BM203" s="32">
        <v>101.4</v>
      </c>
      <c r="BN203" s="32">
        <v>94.5</v>
      </c>
      <c r="BO203" s="32">
        <v>90.9</v>
      </c>
      <c r="BP203" s="32">
        <v>98.1</v>
      </c>
      <c r="BQ203" s="32">
        <v>109.8</v>
      </c>
      <c r="BR203" s="32">
        <v>102.5</v>
      </c>
      <c r="BS203" s="32">
        <v>149.1</v>
      </c>
      <c r="BT203" s="32">
        <v>99.4</v>
      </c>
      <c r="BU203" s="32">
        <v>87.2</v>
      </c>
      <c r="BV203" s="32">
        <v>87.2</v>
      </c>
      <c r="BW203" s="32">
        <v>105.6</v>
      </c>
      <c r="BX203" s="32">
        <v>52.3</v>
      </c>
      <c r="BY203" s="32">
        <v>88.7</v>
      </c>
      <c r="BZ203" s="32">
        <v>88.3</v>
      </c>
      <c r="CA203" s="32">
        <v>88.9</v>
      </c>
      <c r="CB203" s="32">
        <v>103.6</v>
      </c>
      <c r="CC203" s="32">
        <v>76.599999999999994</v>
      </c>
      <c r="CD203" s="32">
        <v>46.5</v>
      </c>
      <c r="CE203" s="32">
        <v>92.8</v>
      </c>
      <c r="CF203" s="32">
        <v>87.3</v>
      </c>
      <c r="CG203" s="32">
        <v>92.5</v>
      </c>
      <c r="CH203" s="32">
        <v>89.8</v>
      </c>
      <c r="CI203" s="32">
        <v>97.3</v>
      </c>
      <c r="CJ203" s="32">
        <v>89.4</v>
      </c>
      <c r="CK203" s="32">
        <v>88.4</v>
      </c>
      <c r="CL203" s="32">
        <v>97.7</v>
      </c>
      <c r="CM203" s="32">
        <v>101.3</v>
      </c>
      <c r="CN203" s="32">
        <v>92.4</v>
      </c>
      <c r="CO203" s="32">
        <v>104.1</v>
      </c>
      <c r="CP203" s="32">
        <v>139.1</v>
      </c>
      <c r="CQ203" s="32">
        <v>49.1</v>
      </c>
      <c r="CR203" s="32">
        <v>91.1</v>
      </c>
      <c r="CS203" s="32">
        <v>118.5</v>
      </c>
      <c r="CT203" s="32">
        <v>96.5</v>
      </c>
      <c r="CU203" s="32">
        <v>86.1</v>
      </c>
      <c r="CV203" s="32">
        <v>101.2</v>
      </c>
      <c r="CW203" s="32">
        <v>55.9</v>
      </c>
      <c r="CX203" s="32">
        <v>105.3</v>
      </c>
      <c r="CY203" s="32">
        <v>121.1</v>
      </c>
      <c r="CZ203" s="32">
        <v>97</v>
      </c>
      <c r="DA203" s="32">
        <v>87.7</v>
      </c>
      <c r="DB203" s="32">
        <v>114.6</v>
      </c>
      <c r="DC203" s="32">
        <v>22.6</v>
      </c>
      <c r="DD203" s="32">
        <v>22.6</v>
      </c>
      <c r="DE203" s="32">
        <v>73.2</v>
      </c>
      <c r="DF203" s="32">
        <v>70.7</v>
      </c>
      <c r="DG203" s="32">
        <v>88.1</v>
      </c>
      <c r="DH203" s="32">
        <v>97.2</v>
      </c>
      <c r="DI203" s="32">
        <v>123.2</v>
      </c>
      <c r="DJ203" s="32">
        <v>78.3</v>
      </c>
      <c r="DK203" s="32">
        <v>78.3</v>
      </c>
      <c r="DL203" s="32">
        <v>72.5</v>
      </c>
      <c r="DM203" s="32">
        <v>88.7</v>
      </c>
      <c r="DN203" s="32">
        <v>91.2</v>
      </c>
      <c r="DO203" s="32">
        <v>87.4</v>
      </c>
      <c r="DP203" s="32">
        <v>95</v>
      </c>
      <c r="DQ203" s="32">
        <v>85.6</v>
      </c>
      <c r="DR203" s="32">
        <v>88.1</v>
      </c>
      <c r="DS203" s="32">
        <v>89.2</v>
      </c>
      <c r="DT203" s="32">
        <v>87.1</v>
      </c>
      <c r="DU203" s="32">
        <v>89.6</v>
      </c>
      <c r="DV203" s="32">
        <v>94.3</v>
      </c>
      <c r="DW203" s="32">
        <v>84.1</v>
      </c>
      <c r="DX203" s="32">
        <v>81.8</v>
      </c>
      <c r="DY203" s="32">
        <v>96.4</v>
      </c>
      <c r="DZ203" s="32">
        <v>89.8</v>
      </c>
      <c r="EA203" s="32">
        <v>89.8</v>
      </c>
      <c r="EB203" s="32">
        <v>84.1</v>
      </c>
      <c r="EC203" s="32">
        <v>86.5</v>
      </c>
      <c r="ED203" s="32">
        <v>81.400000000000006</v>
      </c>
      <c r="EE203" s="32">
        <v>82.2</v>
      </c>
      <c r="EF203" s="32">
        <v>79.3</v>
      </c>
      <c r="EG203" s="32">
        <v>81.900000000000006</v>
      </c>
      <c r="EH203" s="32">
        <v>83.8</v>
      </c>
      <c r="EI203" s="32">
        <v>78.2</v>
      </c>
      <c r="EJ203" s="32">
        <v>75.900000000000006</v>
      </c>
      <c r="EK203" s="32">
        <v>85.4</v>
      </c>
      <c r="EL203" s="32">
        <v>78.8</v>
      </c>
      <c r="EM203" s="32">
        <v>80.900000000000006</v>
      </c>
      <c r="EN203" s="32">
        <v>89.3</v>
      </c>
      <c r="EO203" s="32">
        <v>91.5</v>
      </c>
      <c r="EP203" s="32">
        <v>91.9</v>
      </c>
      <c r="EQ203" s="32">
        <v>91.9</v>
      </c>
      <c r="ER203" s="32">
        <v>89.9</v>
      </c>
      <c r="ES203" s="32">
        <v>89.9</v>
      </c>
      <c r="ET203" s="32">
        <v>92.4</v>
      </c>
      <c r="EU203" s="32">
        <v>90.1</v>
      </c>
      <c r="EV203" s="32">
        <v>90.1</v>
      </c>
      <c r="EW203" s="32">
        <v>97.9</v>
      </c>
      <c r="EX203" s="32">
        <v>101.3</v>
      </c>
      <c r="EY203" s="32">
        <v>95.2</v>
      </c>
      <c r="EZ203" s="32">
        <v>90.1</v>
      </c>
      <c r="FA203" s="32">
        <v>99.1</v>
      </c>
      <c r="FB203" s="32">
        <v>105.7</v>
      </c>
      <c r="FC203" s="32">
        <v>90.5</v>
      </c>
      <c r="FD203" s="32">
        <v>106.2</v>
      </c>
      <c r="FE203" s="32">
        <v>129.30000000000001</v>
      </c>
      <c r="FF203" s="32">
        <v>91</v>
      </c>
      <c r="FG203" s="32">
        <v>85.1</v>
      </c>
      <c r="FH203" s="32">
        <v>90.6</v>
      </c>
      <c r="FI203" s="32">
        <v>95.6</v>
      </c>
      <c r="FJ203" s="32">
        <v>81.599999999999994</v>
      </c>
      <c r="FK203" s="32">
        <v>71.7</v>
      </c>
      <c r="FL203" s="32">
        <v>71.7</v>
      </c>
    </row>
    <row r="204" spans="1:168" x14ac:dyDescent="0.2">
      <c r="A204" s="34" t="s">
        <v>1184</v>
      </c>
      <c r="B204" s="32">
        <v>88</v>
      </c>
      <c r="C204" s="32">
        <v>83</v>
      </c>
      <c r="D204" s="32">
        <v>90.2</v>
      </c>
      <c r="E204" s="32">
        <v>89.5</v>
      </c>
      <c r="F204" s="32">
        <v>77.2</v>
      </c>
      <c r="G204" s="32">
        <v>1675.6</v>
      </c>
      <c r="H204" s="32">
        <v>72.3</v>
      </c>
      <c r="I204" s="32">
        <v>81.2</v>
      </c>
      <c r="J204" s="32">
        <v>92.2</v>
      </c>
      <c r="K204" s="32">
        <v>88.2</v>
      </c>
      <c r="L204" s="32">
        <v>83.3</v>
      </c>
      <c r="M204" s="32">
        <v>76.900000000000006</v>
      </c>
      <c r="N204" s="32">
        <v>82</v>
      </c>
      <c r="O204" s="32">
        <v>96.2</v>
      </c>
      <c r="P204" s="32">
        <v>90.6</v>
      </c>
      <c r="Q204" s="32">
        <v>80.099999999999994</v>
      </c>
      <c r="R204" s="32">
        <v>75.099999999999994</v>
      </c>
      <c r="S204" s="32">
        <v>107.1</v>
      </c>
      <c r="T204" s="32">
        <v>110.7</v>
      </c>
      <c r="U204" s="32">
        <v>106.8</v>
      </c>
      <c r="V204" s="32">
        <v>108.9</v>
      </c>
      <c r="W204" s="32">
        <v>70.5</v>
      </c>
      <c r="X204" s="32">
        <v>54.7</v>
      </c>
      <c r="Y204" s="32">
        <v>91.7</v>
      </c>
      <c r="Z204" s="32">
        <v>112.6</v>
      </c>
      <c r="AA204" s="32">
        <v>89.2</v>
      </c>
      <c r="AB204" s="32">
        <v>70.7</v>
      </c>
      <c r="AC204" s="32">
        <v>94.9</v>
      </c>
      <c r="AD204" s="32">
        <v>98.3</v>
      </c>
      <c r="AE204" s="32">
        <v>51.6</v>
      </c>
      <c r="AF204" s="32">
        <v>51.6</v>
      </c>
      <c r="AG204" s="32">
        <v>67.8</v>
      </c>
      <c r="AH204" s="32">
        <v>67.8</v>
      </c>
      <c r="AI204" s="32">
        <v>143.69999999999999</v>
      </c>
      <c r="AJ204" s="32">
        <v>40.6</v>
      </c>
      <c r="AK204" s="32">
        <v>72.3</v>
      </c>
      <c r="AL204" s="32">
        <v>70</v>
      </c>
      <c r="AM204" s="32">
        <v>61.4</v>
      </c>
      <c r="AN204" s="32">
        <v>96.4</v>
      </c>
      <c r="AO204" s="32">
        <v>101.3</v>
      </c>
      <c r="AP204" s="32">
        <v>101.3</v>
      </c>
      <c r="AQ204" s="32">
        <v>103.8</v>
      </c>
      <c r="AR204" s="32">
        <v>110</v>
      </c>
      <c r="AS204" s="32">
        <v>95.7</v>
      </c>
      <c r="AT204" s="32">
        <v>85</v>
      </c>
      <c r="AU204" s="32">
        <v>104.4</v>
      </c>
      <c r="AV204" s="32">
        <v>90.8</v>
      </c>
      <c r="AW204" s="32">
        <v>73.400000000000006</v>
      </c>
      <c r="AX204" s="32">
        <v>87.1</v>
      </c>
      <c r="AY204" s="32">
        <v>62.2</v>
      </c>
      <c r="AZ204" s="32">
        <v>96.2</v>
      </c>
      <c r="BA204" s="32">
        <v>92.6</v>
      </c>
      <c r="BB204" s="32">
        <v>92.6</v>
      </c>
      <c r="BC204" s="32">
        <v>95.4</v>
      </c>
      <c r="BD204" s="32">
        <v>95.4</v>
      </c>
      <c r="BE204" s="32">
        <v>118.7</v>
      </c>
      <c r="BF204" s="32">
        <v>118.7</v>
      </c>
      <c r="BG204" s="32">
        <v>95.4</v>
      </c>
      <c r="BH204" s="32">
        <v>106.3</v>
      </c>
      <c r="BI204" s="32">
        <v>83.5</v>
      </c>
      <c r="BJ204" s="32">
        <v>56.8</v>
      </c>
      <c r="BK204" s="32">
        <v>89.7</v>
      </c>
      <c r="BL204" s="32">
        <v>91.9</v>
      </c>
      <c r="BM204" s="32">
        <v>104.9</v>
      </c>
      <c r="BN204" s="32">
        <v>93.9</v>
      </c>
      <c r="BO204" s="32">
        <v>93.2</v>
      </c>
      <c r="BP204" s="32">
        <v>94.6</v>
      </c>
      <c r="BQ204" s="32">
        <v>118.5</v>
      </c>
      <c r="BR204" s="32">
        <v>97.3</v>
      </c>
      <c r="BS204" s="32">
        <v>187.8</v>
      </c>
      <c r="BT204" s="32">
        <v>103.3</v>
      </c>
      <c r="BU204" s="32">
        <v>85.1</v>
      </c>
      <c r="BV204" s="32">
        <v>85.1</v>
      </c>
      <c r="BW204" s="32">
        <v>105.4</v>
      </c>
      <c r="BX204" s="32">
        <v>49.1</v>
      </c>
      <c r="BY204" s="32">
        <v>89.7</v>
      </c>
      <c r="BZ204" s="32">
        <v>92.6</v>
      </c>
      <c r="CA204" s="32">
        <v>88.3</v>
      </c>
      <c r="CB204" s="32">
        <v>103.1</v>
      </c>
      <c r="CC204" s="32">
        <v>75.8</v>
      </c>
      <c r="CD204" s="32">
        <v>46.9</v>
      </c>
      <c r="CE204" s="32">
        <v>91.5</v>
      </c>
      <c r="CF204" s="32">
        <v>87.5</v>
      </c>
      <c r="CG204" s="32">
        <v>92.9</v>
      </c>
      <c r="CH204" s="32">
        <v>89.9</v>
      </c>
      <c r="CI204" s="32">
        <v>96.3</v>
      </c>
      <c r="CJ204" s="32">
        <v>89.8</v>
      </c>
      <c r="CK204" s="32">
        <v>88.5</v>
      </c>
      <c r="CL204" s="32">
        <v>98.6</v>
      </c>
      <c r="CM204" s="32">
        <v>101.9</v>
      </c>
      <c r="CN204" s="32">
        <v>92</v>
      </c>
      <c r="CO204" s="32">
        <v>104.9</v>
      </c>
      <c r="CP204" s="32">
        <v>144</v>
      </c>
      <c r="CQ204" s="32">
        <v>48.5</v>
      </c>
      <c r="CR204" s="32">
        <v>91.4</v>
      </c>
      <c r="CS204" s="32">
        <v>120.4</v>
      </c>
      <c r="CT204" s="32">
        <v>97.5</v>
      </c>
      <c r="CU204" s="32">
        <v>85.3</v>
      </c>
      <c r="CV204" s="32">
        <v>102.9</v>
      </c>
      <c r="CW204" s="32">
        <v>58.1</v>
      </c>
      <c r="CX204" s="32">
        <v>107</v>
      </c>
      <c r="CY204" s="32">
        <v>120.6</v>
      </c>
      <c r="CZ204" s="32">
        <v>99.9</v>
      </c>
      <c r="DA204" s="32">
        <v>91.1</v>
      </c>
      <c r="DB204" s="32">
        <v>116.6</v>
      </c>
      <c r="DC204" s="32">
        <v>23.8</v>
      </c>
      <c r="DD204" s="32">
        <v>23.8</v>
      </c>
      <c r="DE204" s="32">
        <v>76.3</v>
      </c>
      <c r="DF204" s="32">
        <v>71.3</v>
      </c>
      <c r="DG204" s="32">
        <v>106.9</v>
      </c>
      <c r="DH204" s="32">
        <v>95.8</v>
      </c>
      <c r="DI204" s="32">
        <v>121.9</v>
      </c>
      <c r="DJ204" s="32">
        <v>77.599999999999994</v>
      </c>
      <c r="DK204" s="32">
        <v>77.599999999999994</v>
      </c>
      <c r="DL204" s="32">
        <v>70.400000000000006</v>
      </c>
      <c r="DM204" s="32">
        <v>89.3</v>
      </c>
      <c r="DN204" s="32">
        <v>91.7</v>
      </c>
      <c r="DO204" s="32">
        <v>88.1</v>
      </c>
      <c r="DP204" s="32">
        <v>93.1</v>
      </c>
      <c r="DQ204" s="32">
        <v>85.8</v>
      </c>
      <c r="DR204" s="32">
        <v>88.7</v>
      </c>
      <c r="DS204" s="32">
        <v>91</v>
      </c>
      <c r="DT204" s="32">
        <v>89.4</v>
      </c>
      <c r="DU204" s="32">
        <v>91.6</v>
      </c>
      <c r="DV204" s="32">
        <v>96.6</v>
      </c>
      <c r="DW204" s="32">
        <v>85.8</v>
      </c>
      <c r="DX204" s="32">
        <v>84.6</v>
      </c>
      <c r="DY204" s="32">
        <v>96.6</v>
      </c>
      <c r="DZ204" s="32">
        <v>83.4</v>
      </c>
      <c r="EA204" s="32">
        <v>83.4</v>
      </c>
      <c r="EB204" s="32">
        <v>83.4</v>
      </c>
      <c r="EC204" s="32">
        <v>84.2</v>
      </c>
      <c r="ED204" s="32">
        <v>82.8</v>
      </c>
      <c r="EE204" s="32">
        <v>83.4</v>
      </c>
      <c r="EF204" s="32">
        <v>81.2</v>
      </c>
      <c r="EG204" s="32">
        <v>81.7</v>
      </c>
      <c r="EH204" s="32">
        <v>85.6</v>
      </c>
      <c r="EI204" s="32">
        <v>77.5</v>
      </c>
      <c r="EJ204" s="32">
        <v>74</v>
      </c>
      <c r="EK204" s="32">
        <v>84.9</v>
      </c>
      <c r="EL204" s="32">
        <v>83.9</v>
      </c>
      <c r="EM204" s="32">
        <v>76.3</v>
      </c>
      <c r="EN204" s="32">
        <v>90.4</v>
      </c>
      <c r="EO204" s="32">
        <v>91.1</v>
      </c>
      <c r="EP204" s="32">
        <v>92.1</v>
      </c>
      <c r="EQ204" s="32">
        <v>92.1</v>
      </c>
      <c r="ER204" s="32">
        <v>89.8</v>
      </c>
      <c r="ES204" s="32">
        <v>89.8</v>
      </c>
      <c r="ET204" s="32">
        <v>91.4</v>
      </c>
      <c r="EU204" s="32">
        <v>88.7</v>
      </c>
      <c r="EV204" s="32">
        <v>88.7</v>
      </c>
      <c r="EW204" s="32">
        <v>97.8</v>
      </c>
      <c r="EX204" s="32">
        <v>101</v>
      </c>
      <c r="EY204" s="32">
        <v>95.1</v>
      </c>
      <c r="EZ204" s="32">
        <v>89.7</v>
      </c>
      <c r="FA204" s="32">
        <v>99.8</v>
      </c>
      <c r="FB204" s="32">
        <v>107.9</v>
      </c>
      <c r="FC204" s="32">
        <v>94.4</v>
      </c>
      <c r="FD204" s="32">
        <v>107</v>
      </c>
      <c r="FE204" s="32">
        <v>129.1</v>
      </c>
      <c r="FF204" s="32">
        <v>89.9</v>
      </c>
      <c r="FG204" s="32">
        <v>83.7</v>
      </c>
      <c r="FH204" s="32">
        <v>91.6</v>
      </c>
      <c r="FI204" s="32">
        <v>89.9</v>
      </c>
      <c r="FJ204" s="32">
        <v>79.599999999999994</v>
      </c>
      <c r="FK204" s="32">
        <v>71.7</v>
      </c>
      <c r="FL204" s="32">
        <v>71.7</v>
      </c>
    </row>
    <row r="205" spans="1:168" x14ac:dyDescent="0.2">
      <c r="A205" s="34" t="s">
        <v>1185</v>
      </c>
      <c r="B205" s="32">
        <v>88.3</v>
      </c>
      <c r="C205" s="32">
        <v>84.8</v>
      </c>
      <c r="D205" s="32">
        <v>90.5</v>
      </c>
      <c r="E205" s="32">
        <v>89</v>
      </c>
      <c r="F205" s="32">
        <v>75.3</v>
      </c>
      <c r="G205" s="32">
        <v>1483.9</v>
      </c>
      <c r="H205" s="32">
        <v>70.599999999999994</v>
      </c>
      <c r="I205" s="32">
        <v>79.400000000000006</v>
      </c>
      <c r="J205" s="32">
        <v>92</v>
      </c>
      <c r="K205" s="32">
        <v>85.7</v>
      </c>
      <c r="L205" s="32">
        <v>82.1</v>
      </c>
      <c r="M205" s="32">
        <v>76.599999999999994</v>
      </c>
      <c r="N205" s="32">
        <v>74.2</v>
      </c>
      <c r="O205" s="32">
        <v>98.3</v>
      </c>
      <c r="P205" s="32">
        <v>88.7</v>
      </c>
      <c r="Q205" s="32">
        <v>79.8</v>
      </c>
      <c r="R205" s="32">
        <v>74.2</v>
      </c>
      <c r="S205" s="32">
        <v>108.1</v>
      </c>
      <c r="T205" s="32">
        <v>112.8</v>
      </c>
      <c r="U205" s="32">
        <v>91.2</v>
      </c>
      <c r="V205" s="32">
        <v>104</v>
      </c>
      <c r="W205" s="32">
        <v>72.8</v>
      </c>
      <c r="X205" s="32">
        <v>56.8</v>
      </c>
      <c r="Y205" s="32">
        <v>93.6</v>
      </c>
      <c r="Z205" s="32">
        <v>117.7</v>
      </c>
      <c r="AA205" s="32">
        <v>89</v>
      </c>
      <c r="AB205" s="32">
        <v>69</v>
      </c>
      <c r="AC205" s="32">
        <v>94.1</v>
      </c>
      <c r="AD205" s="32">
        <v>99.7</v>
      </c>
      <c r="AE205" s="32">
        <v>53.6</v>
      </c>
      <c r="AF205" s="32">
        <v>53.6</v>
      </c>
      <c r="AG205" s="32">
        <v>71.8</v>
      </c>
      <c r="AH205" s="32">
        <v>71.8</v>
      </c>
      <c r="AI205" s="32">
        <v>155.6</v>
      </c>
      <c r="AJ205" s="32">
        <v>42.1</v>
      </c>
      <c r="AK205" s="32">
        <v>87.1</v>
      </c>
      <c r="AL205" s="32">
        <v>73.8</v>
      </c>
      <c r="AM205" s="32">
        <v>62.8</v>
      </c>
      <c r="AN205" s="32">
        <v>103.1</v>
      </c>
      <c r="AO205" s="32">
        <v>97.5</v>
      </c>
      <c r="AP205" s="32">
        <v>97.5</v>
      </c>
      <c r="AQ205" s="32">
        <v>105.2</v>
      </c>
      <c r="AR205" s="32">
        <v>109.2</v>
      </c>
      <c r="AS205" s="32">
        <v>100.6</v>
      </c>
      <c r="AT205" s="32">
        <v>90.5</v>
      </c>
      <c r="AU205" s="32">
        <v>108.8</v>
      </c>
      <c r="AV205" s="32">
        <v>93.1</v>
      </c>
      <c r="AW205" s="32">
        <v>93.3</v>
      </c>
      <c r="AX205" s="32">
        <v>118.6</v>
      </c>
      <c r="AY205" s="32">
        <v>61.8</v>
      </c>
      <c r="AZ205" s="32">
        <v>94.7</v>
      </c>
      <c r="BA205" s="32">
        <v>94.8</v>
      </c>
      <c r="BB205" s="32">
        <v>94.8</v>
      </c>
      <c r="BC205" s="32">
        <v>97</v>
      </c>
      <c r="BD205" s="32">
        <v>97</v>
      </c>
      <c r="BE205" s="32">
        <v>115.9</v>
      </c>
      <c r="BF205" s="32">
        <v>115.9</v>
      </c>
      <c r="BG205" s="32">
        <v>94.3</v>
      </c>
      <c r="BH205" s="32">
        <v>103.7</v>
      </c>
      <c r="BI205" s="32">
        <v>83.8</v>
      </c>
      <c r="BJ205" s="32">
        <v>56.2</v>
      </c>
      <c r="BK205" s="32">
        <v>89.7</v>
      </c>
      <c r="BL205" s="32">
        <v>97.7</v>
      </c>
      <c r="BM205" s="32">
        <v>103.6</v>
      </c>
      <c r="BN205" s="32">
        <v>97</v>
      </c>
      <c r="BO205" s="32">
        <v>95.6</v>
      </c>
      <c r="BP205" s="32">
        <v>98.4</v>
      </c>
      <c r="BQ205" s="32">
        <v>111.8</v>
      </c>
      <c r="BR205" s="32">
        <v>99.1</v>
      </c>
      <c r="BS205" s="32">
        <v>172.3</v>
      </c>
      <c r="BT205" s="32">
        <v>97.3</v>
      </c>
      <c r="BU205" s="32">
        <v>82.9</v>
      </c>
      <c r="BV205" s="32">
        <v>82.9</v>
      </c>
      <c r="BW205" s="32">
        <v>102.5</v>
      </c>
      <c r="BX205" s="32">
        <v>48</v>
      </c>
      <c r="BY205" s="32">
        <v>90.2</v>
      </c>
      <c r="BZ205" s="32">
        <v>90.4</v>
      </c>
      <c r="CA205" s="32">
        <v>90.1</v>
      </c>
      <c r="CB205" s="32">
        <v>104.6</v>
      </c>
      <c r="CC205" s="32">
        <v>77.8</v>
      </c>
      <c r="CD205" s="32">
        <v>49.3</v>
      </c>
      <c r="CE205" s="32">
        <v>94.2</v>
      </c>
      <c r="CF205" s="32">
        <v>87.8</v>
      </c>
      <c r="CG205" s="32">
        <v>93</v>
      </c>
      <c r="CH205" s="32">
        <v>89.9</v>
      </c>
      <c r="CI205" s="32">
        <v>99</v>
      </c>
      <c r="CJ205" s="32">
        <v>89.1</v>
      </c>
      <c r="CK205" s="32">
        <v>88.3</v>
      </c>
      <c r="CL205" s="32">
        <v>97.7</v>
      </c>
      <c r="CM205" s="32">
        <v>102.1</v>
      </c>
      <c r="CN205" s="32">
        <v>92.4</v>
      </c>
      <c r="CO205" s="32">
        <v>105</v>
      </c>
      <c r="CP205" s="32">
        <v>145.80000000000001</v>
      </c>
      <c r="CQ205" s="32">
        <v>49.7</v>
      </c>
      <c r="CR205" s="32">
        <v>91.4</v>
      </c>
      <c r="CS205" s="32">
        <v>112.8</v>
      </c>
      <c r="CT205" s="32">
        <v>98.9</v>
      </c>
      <c r="CU205" s="32">
        <v>86.3</v>
      </c>
      <c r="CV205" s="32">
        <v>104.4</v>
      </c>
      <c r="CW205" s="32">
        <v>58.3</v>
      </c>
      <c r="CX205" s="32">
        <v>109.2</v>
      </c>
      <c r="CY205" s="32">
        <v>118.8</v>
      </c>
      <c r="CZ205" s="32">
        <v>104.1</v>
      </c>
      <c r="DA205" s="32">
        <v>96.3</v>
      </c>
      <c r="DB205" s="32">
        <v>119.2</v>
      </c>
      <c r="DC205" s="32">
        <v>22.8</v>
      </c>
      <c r="DD205" s="32">
        <v>22.8</v>
      </c>
      <c r="DE205" s="32">
        <v>78.400000000000006</v>
      </c>
      <c r="DF205" s="32">
        <v>73.5</v>
      </c>
      <c r="DG205" s="32">
        <v>108.4</v>
      </c>
      <c r="DH205" s="32">
        <v>95.8</v>
      </c>
      <c r="DI205" s="32">
        <v>121</v>
      </c>
      <c r="DJ205" s="32">
        <v>77.7</v>
      </c>
      <c r="DK205" s="32">
        <v>77.7</v>
      </c>
      <c r="DL205" s="32">
        <v>71.7</v>
      </c>
      <c r="DM205" s="32">
        <v>89.6</v>
      </c>
      <c r="DN205" s="32">
        <v>92</v>
      </c>
      <c r="DO205" s="32">
        <v>88.4</v>
      </c>
      <c r="DP205" s="32">
        <v>92.2</v>
      </c>
      <c r="DQ205" s="32">
        <v>87.4</v>
      </c>
      <c r="DR205" s="32">
        <v>90</v>
      </c>
      <c r="DS205" s="32">
        <v>91.8</v>
      </c>
      <c r="DT205" s="32">
        <v>89</v>
      </c>
      <c r="DU205" s="32">
        <v>91.1</v>
      </c>
      <c r="DV205" s="32">
        <v>94.1</v>
      </c>
      <c r="DW205" s="32">
        <v>87.4</v>
      </c>
      <c r="DX205" s="32">
        <v>84.7</v>
      </c>
      <c r="DY205" s="32">
        <v>101.2</v>
      </c>
      <c r="DZ205" s="32">
        <v>84.9</v>
      </c>
      <c r="EA205" s="32">
        <v>84.9</v>
      </c>
      <c r="EB205" s="32">
        <v>86.2</v>
      </c>
      <c r="EC205" s="32">
        <v>87.7</v>
      </c>
      <c r="ED205" s="32">
        <v>84.9</v>
      </c>
      <c r="EE205" s="32">
        <v>86.8</v>
      </c>
      <c r="EF205" s="32">
        <v>79.900000000000006</v>
      </c>
      <c r="EG205" s="32">
        <v>83.5</v>
      </c>
      <c r="EH205" s="32">
        <v>84.6</v>
      </c>
      <c r="EI205" s="32">
        <v>80</v>
      </c>
      <c r="EJ205" s="32">
        <v>76</v>
      </c>
      <c r="EK205" s="32">
        <v>87.7</v>
      </c>
      <c r="EL205" s="32">
        <v>82.6</v>
      </c>
      <c r="EM205" s="32">
        <v>81</v>
      </c>
      <c r="EN205" s="32">
        <v>92.8</v>
      </c>
      <c r="EO205" s="32">
        <v>91.1</v>
      </c>
      <c r="EP205" s="32">
        <v>92</v>
      </c>
      <c r="EQ205" s="32">
        <v>92</v>
      </c>
      <c r="ER205" s="32">
        <v>90.1</v>
      </c>
      <c r="ES205" s="32">
        <v>90.1</v>
      </c>
      <c r="ET205" s="32">
        <v>91.4</v>
      </c>
      <c r="EU205" s="32">
        <v>88.7</v>
      </c>
      <c r="EV205" s="32">
        <v>88.7</v>
      </c>
      <c r="EW205" s="32">
        <v>97.7</v>
      </c>
      <c r="EX205" s="32">
        <v>101.1</v>
      </c>
      <c r="EY205" s="32">
        <v>95.1</v>
      </c>
      <c r="EZ205" s="32">
        <v>89</v>
      </c>
      <c r="FA205" s="32">
        <v>98.4</v>
      </c>
      <c r="FB205" s="32">
        <v>103</v>
      </c>
      <c r="FC205" s="32">
        <v>84.2</v>
      </c>
      <c r="FD205" s="32">
        <v>108.2</v>
      </c>
      <c r="FE205" s="32">
        <v>130.4</v>
      </c>
      <c r="FF205" s="32">
        <v>92.8</v>
      </c>
      <c r="FG205" s="32">
        <v>83.8</v>
      </c>
      <c r="FH205" s="32">
        <v>92.4</v>
      </c>
      <c r="FI205" s="32">
        <v>88</v>
      </c>
      <c r="FJ205" s="32">
        <v>79.7</v>
      </c>
      <c r="FK205" s="32">
        <v>70.099999999999994</v>
      </c>
      <c r="FL205" s="32">
        <v>70.099999999999994</v>
      </c>
    </row>
    <row r="206" spans="1:168" x14ac:dyDescent="0.2">
      <c r="A206" s="34" t="s">
        <v>1186</v>
      </c>
      <c r="B206" s="32">
        <v>88.3</v>
      </c>
      <c r="C206" s="32">
        <v>85.8</v>
      </c>
      <c r="D206" s="32">
        <v>91</v>
      </c>
      <c r="E206" s="32">
        <v>90.2</v>
      </c>
      <c r="F206" s="32">
        <v>78.2</v>
      </c>
      <c r="G206" s="32">
        <v>1537.1</v>
      </c>
      <c r="H206" s="32">
        <v>74</v>
      </c>
      <c r="I206" s="32">
        <v>78.5</v>
      </c>
      <c r="J206" s="32">
        <v>93.2</v>
      </c>
      <c r="K206" s="32">
        <v>85.3</v>
      </c>
      <c r="L206" s="32">
        <v>81.5</v>
      </c>
      <c r="M206" s="32">
        <v>78.7</v>
      </c>
      <c r="N206" s="32">
        <v>69.8</v>
      </c>
      <c r="O206" s="32">
        <v>85.3</v>
      </c>
      <c r="P206" s="32">
        <v>90.9</v>
      </c>
      <c r="Q206" s="32">
        <v>76.5</v>
      </c>
      <c r="R206" s="32">
        <v>73.5</v>
      </c>
      <c r="S206" s="32">
        <v>106.4</v>
      </c>
      <c r="T206" s="32">
        <v>115.4</v>
      </c>
      <c r="U206" s="32">
        <v>86</v>
      </c>
      <c r="V206" s="32">
        <v>106.9</v>
      </c>
      <c r="W206" s="32">
        <v>70.2</v>
      </c>
      <c r="X206" s="32">
        <v>54.2</v>
      </c>
      <c r="Y206" s="32">
        <v>89.6</v>
      </c>
      <c r="Z206" s="32">
        <v>127.6</v>
      </c>
      <c r="AA206" s="32">
        <v>89.4</v>
      </c>
      <c r="AB206" s="32">
        <v>72.2</v>
      </c>
      <c r="AC206" s="32">
        <v>94.7</v>
      </c>
      <c r="AD206" s="32">
        <v>97.8</v>
      </c>
      <c r="AE206" s="32">
        <v>51.5</v>
      </c>
      <c r="AF206" s="32">
        <v>51.5</v>
      </c>
      <c r="AG206" s="32">
        <v>71.5</v>
      </c>
      <c r="AH206" s="32">
        <v>71.5</v>
      </c>
      <c r="AI206" s="32">
        <v>140.30000000000001</v>
      </c>
      <c r="AJ206" s="32">
        <v>41</v>
      </c>
      <c r="AK206" s="32">
        <v>72.7</v>
      </c>
      <c r="AL206" s="32">
        <v>72</v>
      </c>
      <c r="AM206" s="32">
        <v>64.900000000000006</v>
      </c>
      <c r="AN206" s="32">
        <v>114.7</v>
      </c>
      <c r="AO206" s="32">
        <v>105.8</v>
      </c>
      <c r="AP206" s="32">
        <v>105.8</v>
      </c>
      <c r="AQ206" s="32">
        <v>104.3</v>
      </c>
      <c r="AR206" s="32">
        <v>107.6</v>
      </c>
      <c r="AS206" s="32">
        <v>100.8</v>
      </c>
      <c r="AT206" s="32">
        <v>85.8</v>
      </c>
      <c r="AU206" s="32">
        <v>113</v>
      </c>
      <c r="AV206" s="32">
        <v>97.7</v>
      </c>
      <c r="AW206" s="32">
        <v>81.599999999999994</v>
      </c>
      <c r="AX206" s="32">
        <v>100.1</v>
      </c>
      <c r="AY206" s="32">
        <v>61.9</v>
      </c>
      <c r="AZ206" s="32">
        <v>102.9</v>
      </c>
      <c r="BA206" s="32">
        <v>93.6</v>
      </c>
      <c r="BB206" s="32">
        <v>93.6</v>
      </c>
      <c r="BC206" s="32">
        <v>95.5</v>
      </c>
      <c r="BD206" s="32">
        <v>95.5</v>
      </c>
      <c r="BE206" s="32">
        <v>116.6</v>
      </c>
      <c r="BF206" s="32">
        <v>116.6</v>
      </c>
      <c r="BG206" s="32">
        <v>97.9</v>
      </c>
      <c r="BH206" s="32">
        <v>111.1</v>
      </c>
      <c r="BI206" s="32">
        <v>83.7</v>
      </c>
      <c r="BJ206" s="32">
        <v>55.6</v>
      </c>
      <c r="BK206" s="32">
        <v>89.7</v>
      </c>
      <c r="BL206" s="32">
        <v>98</v>
      </c>
      <c r="BM206" s="32">
        <v>103.8</v>
      </c>
      <c r="BN206" s="32">
        <v>97.5</v>
      </c>
      <c r="BO206" s="32">
        <v>98.7</v>
      </c>
      <c r="BP206" s="32">
        <v>96.3</v>
      </c>
      <c r="BQ206" s="32">
        <v>111.5</v>
      </c>
      <c r="BR206" s="32">
        <v>94.1</v>
      </c>
      <c r="BS206" s="32">
        <v>165.7</v>
      </c>
      <c r="BT206" s="32">
        <v>99.3</v>
      </c>
      <c r="BU206" s="32">
        <v>84.4</v>
      </c>
      <c r="BV206" s="32">
        <v>84.4</v>
      </c>
      <c r="BW206" s="32">
        <v>101.1</v>
      </c>
      <c r="BX206" s="32">
        <v>52</v>
      </c>
      <c r="BY206" s="32">
        <v>88.9</v>
      </c>
      <c r="BZ206" s="32">
        <v>90.1</v>
      </c>
      <c r="CA206" s="32">
        <v>88.4</v>
      </c>
      <c r="CB206" s="32">
        <v>102.6</v>
      </c>
      <c r="CC206" s="32">
        <v>76.3</v>
      </c>
      <c r="CD206" s="32">
        <v>48.2</v>
      </c>
      <c r="CE206" s="32">
        <v>92.9</v>
      </c>
      <c r="CF206" s="32">
        <v>87.7</v>
      </c>
      <c r="CG206" s="32">
        <v>92.5</v>
      </c>
      <c r="CH206" s="32">
        <v>91.4</v>
      </c>
      <c r="CI206" s="32">
        <v>104</v>
      </c>
      <c r="CJ206" s="32">
        <v>90.4</v>
      </c>
      <c r="CK206" s="32">
        <v>89.1</v>
      </c>
      <c r="CL206" s="32">
        <v>94.7</v>
      </c>
      <c r="CM206" s="32">
        <v>103</v>
      </c>
      <c r="CN206" s="32">
        <v>93.5</v>
      </c>
      <c r="CO206" s="32">
        <v>105.8</v>
      </c>
      <c r="CP206" s="32">
        <v>143.1</v>
      </c>
      <c r="CQ206" s="32">
        <v>50.8</v>
      </c>
      <c r="CR206" s="32">
        <v>89.7</v>
      </c>
      <c r="CS206" s="32">
        <v>95.3</v>
      </c>
      <c r="CT206" s="32">
        <v>94.6</v>
      </c>
      <c r="CU206" s="32">
        <v>81.5</v>
      </c>
      <c r="CV206" s="32">
        <v>100.3</v>
      </c>
      <c r="CW206" s="32">
        <v>59.4</v>
      </c>
      <c r="CX206" s="32">
        <v>111.6</v>
      </c>
      <c r="CY206" s="32">
        <v>121.2</v>
      </c>
      <c r="CZ206" s="32">
        <v>106.6</v>
      </c>
      <c r="DA206" s="32">
        <v>99.4</v>
      </c>
      <c r="DB206" s="32">
        <v>120.6</v>
      </c>
      <c r="DC206" s="32">
        <v>23.8</v>
      </c>
      <c r="DD206" s="32">
        <v>23.8</v>
      </c>
      <c r="DE206" s="32">
        <v>78.2</v>
      </c>
      <c r="DF206" s="32">
        <v>73.3</v>
      </c>
      <c r="DG206" s="32">
        <v>107.8</v>
      </c>
      <c r="DH206" s="32">
        <v>95.4</v>
      </c>
      <c r="DI206" s="32">
        <v>120.8</v>
      </c>
      <c r="DJ206" s="32">
        <v>78.400000000000006</v>
      </c>
      <c r="DK206" s="32">
        <v>78.400000000000006</v>
      </c>
      <c r="DL206" s="32">
        <v>70.099999999999994</v>
      </c>
      <c r="DM206" s="32">
        <v>89.7</v>
      </c>
      <c r="DN206" s="32">
        <v>91.6</v>
      </c>
      <c r="DO206" s="32">
        <v>88.7</v>
      </c>
      <c r="DP206" s="32">
        <v>92.7</v>
      </c>
      <c r="DQ206" s="32">
        <v>87.4</v>
      </c>
      <c r="DR206" s="32">
        <v>89.8</v>
      </c>
      <c r="DS206" s="32">
        <v>91.8</v>
      </c>
      <c r="DT206" s="32">
        <v>87.7</v>
      </c>
      <c r="DU206" s="32">
        <v>89.3</v>
      </c>
      <c r="DV206" s="32">
        <v>91.8</v>
      </c>
      <c r="DW206" s="32">
        <v>86.2</v>
      </c>
      <c r="DX206" s="32">
        <v>84.4</v>
      </c>
      <c r="DY206" s="32">
        <v>105.3</v>
      </c>
      <c r="DZ206" s="32">
        <v>81.400000000000006</v>
      </c>
      <c r="EA206" s="32">
        <v>81.400000000000006</v>
      </c>
      <c r="EB206" s="32">
        <v>86.3</v>
      </c>
      <c r="EC206" s="32">
        <v>87.2</v>
      </c>
      <c r="ED206" s="32">
        <v>85.6</v>
      </c>
      <c r="EE206" s="32">
        <v>88.4</v>
      </c>
      <c r="EF206" s="32">
        <v>78.5</v>
      </c>
      <c r="EG206" s="32">
        <v>84</v>
      </c>
      <c r="EH206" s="32">
        <v>87.3</v>
      </c>
      <c r="EI206" s="32">
        <v>80.3</v>
      </c>
      <c r="EJ206" s="32">
        <v>75.599999999999994</v>
      </c>
      <c r="EK206" s="32">
        <v>87.4</v>
      </c>
      <c r="EL206" s="32">
        <v>82.1</v>
      </c>
      <c r="EM206" s="32">
        <v>82.1</v>
      </c>
      <c r="EN206" s="32">
        <v>91.6</v>
      </c>
      <c r="EO206" s="32">
        <v>90.6</v>
      </c>
      <c r="EP206" s="32">
        <v>91.7</v>
      </c>
      <c r="EQ206" s="32">
        <v>91.7</v>
      </c>
      <c r="ER206" s="32">
        <v>89.1</v>
      </c>
      <c r="ES206" s="32">
        <v>89.1</v>
      </c>
      <c r="ET206" s="32">
        <v>91.1</v>
      </c>
      <c r="EU206" s="32">
        <v>88.3</v>
      </c>
      <c r="EV206" s="32">
        <v>88.3</v>
      </c>
      <c r="EW206" s="32">
        <v>97.8</v>
      </c>
      <c r="EX206" s="32">
        <v>101.1</v>
      </c>
      <c r="EY206" s="32">
        <v>95.2</v>
      </c>
      <c r="EZ206" s="32">
        <v>89.3</v>
      </c>
      <c r="FA206" s="32">
        <v>98.6</v>
      </c>
      <c r="FB206" s="32">
        <v>105.5</v>
      </c>
      <c r="FC206" s="32">
        <v>87.4</v>
      </c>
      <c r="FD206" s="32">
        <v>107.3</v>
      </c>
      <c r="FE206" s="32">
        <v>133.4</v>
      </c>
      <c r="FF206" s="32">
        <v>90.2</v>
      </c>
      <c r="FG206" s="32">
        <v>83.9</v>
      </c>
      <c r="FH206" s="32">
        <v>92.1</v>
      </c>
      <c r="FI206" s="32">
        <v>97</v>
      </c>
      <c r="FJ206" s="32">
        <v>78.900000000000006</v>
      </c>
      <c r="FK206" s="32">
        <v>72.400000000000006</v>
      </c>
      <c r="FL206" s="32">
        <v>72.400000000000006</v>
      </c>
    </row>
    <row r="207" spans="1:168" x14ac:dyDescent="0.2">
      <c r="A207" s="34" t="s">
        <v>1187</v>
      </c>
      <c r="B207" s="32">
        <v>88.9</v>
      </c>
      <c r="C207" s="32">
        <v>87.3</v>
      </c>
      <c r="D207" s="32">
        <v>91.1</v>
      </c>
      <c r="E207" s="32">
        <v>89.7</v>
      </c>
      <c r="F207" s="32">
        <v>75.599999999999994</v>
      </c>
      <c r="G207" s="32">
        <v>1251.0999999999999</v>
      </c>
      <c r="H207" s="32">
        <v>71</v>
      </c>
      <c r="I207" s="32">
        <v>78.5</v>
      </c>
      <c r="J207" s="32">
        <v>92.9</v>
      </c>
      <c r="K207" s="32">
        <v>85.5</v>
      </c>
      <c r="L207" s="32">
        <v>82.1</v>
      </c>
      <c r="M207" s="32">
        <v>77.900000000000006</v>
      </c>
      <c r="N207" s="32">
        <v>72.099999999999994</v>
      </c>
      <c r="O207" s="32">
        <v>90.4</v>
      </c>
      <c r="P207" s="32">
        <v>95</v>
      </c>
      <c r="Q207" s="32">
        <v>79</v>
      </c>
      <c r="R207" s="32">
        <v>73</v>
      </c>
      <c r="S207" s="32">
        <v>106.2</v>
      </c>
      <c r="T207" s="32">
        <v>117.1</v>
      </c>
      <c r="U207" s="32">
        <v>86.7</v>
      </c>
      <c r="V207" s="32">
        <v>103.9</v>
      </c>
      <c r="W207" s="32">
        <v>72.3</v>
      </c>
      <c r="X207" s="32">
        <v>55.8</v>
      </c>
      <c r="Y207" s="32">
        <v>92.5</v>
      </c>
      <c r="Z207" s="32">
        <v>126.7</v>
      </c>
      <c r="AA207" s="32">
        <v>88.7</v>
      </c>
      <c r="AB207" s="32">
        <v>70.2</v>
      </c>
      <c r="AC207" s="32">
        <v>95.4</v>
      </c>
      <c r="AD207" s="32">
        <v>96.7</v>
      </c>
      <c r="AE207" s="32">
        <v>49.4</v>
      </c>
      <c r="AF207" s="32">
        <v>49.4</v>
      </c>
      <c r="AG207" s="32">
        <v>73</v>
      </c>
      <c r="AH207" s="32">
        <v>73</v>
      </c>
      <c r="AI207" s="32">
        <v>154.1</v>
      </c>
      <c r="AJ207" s="32">
        <v>42.8</v>
      </c>
      <c r="AK207" s="32">
        <v>96</v>
      </c>
      <c r="AL207" s="32">
        <v>72.7</v>
      </c>
      <c r="AM207" s="32">
        <v>64.8</v>
      </c>
      <c r="AN207" s="32">
        <v>104.4</v>
      </c>
      <c r="AO207" s="32">
        <v>99</v>
      </c>
      <c r="AP207" s="32">
        <v>99</v>
      </c>
      <c r="AQ207" s="32">
        <v>104.6</v>
      </c>
      <c r="AR207" s="32">
        <v>105.8</v>
      </c>
      <c r="AS207" s="32">
        <v>104.7</v>
      </c>
      <c r="AT207" s="32">
        <v>96.1</v>
      </c>
      <c r="AU207" s="32">
        <v>111.8</v>
      </c>
      <c r="AV207" s="32">
        <v>94.9</v>
      </c>
      <c r="AW207" s="32">
        <v>81</v>
      </c>
      <c r="AX207" s="32">
        <v>91.6</v>
      </c>
      <c r="AY207" s="32">
        <v>74</v>
      </c>
      <c r="AZ207" s="32">
        <v>99.9</v>
      </c>
      <c r="BA207" s="32">
        <v>91.1</v>
      </c>
      <c r="BB207" s="32">
        <v>91.1</v>
      </c>
      <c r="BC207" s="32">
        <v>96.3</v>
      </c>
      <c r="BD207" s="32">
        <v>96.3</v>
      </c>
      <c r="BE207" s="32">
        <v>119.2</v>
      </c>
      <c r="BF207" s="32">
        <v>119.2</v>
      </c>
      <c r="BG207" s="32">
        <v>99.7</v>
      </c>
      <c r="BH207" s="32">
        <v>114.6</v>
      </c>
      <c r="BI207" s="32">
        <v>83.7</v>
      </c>
      <c r="BJ207" s="32">
        <v>55.3</v>
      </c>
      <c r="BK207" s="32">
        <v>90.2</v>
      </c>
      <c r="BL207" s="32">
        <v>94.5</v>
      </c>
      <c r="BM207" s="32">
        <v>105.3</v>
      </c>
      <c r="BN207" s="32">
        <v>96.4</v>
      </c>
      <c r="BO207" s="32">
        <v>98.9</v>
      </c>
      <c r="BP207" s="32">
        <v>94</v>
      </c>
      <c r="BQ207" s="32">
        <v>116.3</v>
      </c>
      <c r="BR207" s="32">
        <v>100.3</v>
      </c>
      <c r="BS207" s="32">
        <v>169.6</v>
      </c>
      <c r="BT207" s="32">
        <v>103.9</v>
      </c>
      <c r="BU207" s="32">
        <v>84</v>
      </c>
      <c r="BV207" s="32">
        <v>84</v>
      </c>
      <c r="BW207" s="32">
        <v>100.1</v>
      </c>
      <c r="BX207" s="32">
        <v>51.4</v>
      </c>
      <c r="BY207" s="32">
        <v>89.8</v>
      </c>
      <c r="BZ207" s="32">
        <v>86.9</v>
      </c>
      <c r="CA207" s="32">
        <v>91.2</v>
      </c>
      <c r="CB207" s="32">
        <v>105.4</v>
      </c>
      <c r="CC207" s="32">
        <v>79</v>
      </c>
      <c r="CD207" s="32">
        <v>51</v>
      </c>
      <c r="CE207" s="32">
        <v>94.4</v>
      </c>
      <c r="CF207" s="32">
        <v>88.4</v>
      </c>
      <c r="CG207" s="32">
        <v>92.9</v>
      </c>
      <c r="CH207" s="32">
        <v>91.1</v>
      </c>
      <c r="CI207" s="32">
        <v>102.7</v>
      </c>
      <c r="CJ207" s="32">
        <v>90.7</v>
      </c>
      <c r="CK207" s="32">
        <v>88.6</v>
      </c>
      <c r="CL207" s="32">
        <v>97.1</v>
      </c>
      <c r="CM207" s="32">
        <v>103.1</v>
      </c>
      <c r="CN207" s="32">
        <v>96</v>
      </c>
      <c r="CO207" s="32">
        <v>105.6</v>
      </c>
      <c r="CP207" s="32">
        <v>138.30000000000001</v>
      </c>
      <c r="CQ207" s="32">
        <v>51.7</v>
      </c>
      <c r="CR207" s="32">
        <v>90.4</v>
      </c>
      <c r="CS207" s="32">
        <v>110.3</v>
      </c>
      <c r="CT207" s="32">
        <v>94.7</v>
      </c>
      <c r="CU207" s="32">
        <v>82.7</v>
      </c>
      <c r="CV207" s="32">
        <v>100</v>
      </c>
      <c r="CW207" s="32">
        <v>60.2</v>
      </c>
      <c r="CX207" s="32">
        <v>112.8</v>
      </c>
      <c r="CY207" s="32">
        <v>122.2</v>
      </c>
      <c r="CZ207" s="32">
        <v>107.9</v>
      </c>
      <c r="DA207" s="32">
        <v>100.2</v>
      </c>
      <c r="DB207" s="32">
        <v>122.6</v>
      </c>
      <c r="DC207" s="32">
        <v>24.3</v>
      </c>
      <c r="DD207" s="32">
        <v>24.3</v>
      </c>
      <c r="DE207" s="32">
        <v>78.8</v>
      </c>
      <c r="DF207" s="32">
        <v>73.599999999999994</v>
      </c>
      <c r="DG207" s="32">
        <v>110.2</v>
      </c>
      <c r="DH207" s="32">
        <v>96.2</v>
      </c>
      <c r="DI207" s="32">
        <v>121.5</v>
      </c>
      <c r="DJ207" s="32">
        <v>80.2</v>
      </c>
      <c r="DK207" s="32">
        <v>80.2</v>
      </c>
      <c r="DL207" s="32">
        <v>70.099999999999994</v>
      </c>
      <c r="DM207" s="32">
        <v>90.3</v>
      </c>
      <c r="DN207" s="32">
        <v>92.8</v>
      </c>
      <c r="DO207" s="32">
        <v>89.1</v>
      </c>
      <c r="DP207" s="32">
        <v>91.6</v>
      </c>
      <c r="DQ207" s="32">
        <v>87.9</v>
      </c>
      <c r="DR207" s="32">
        <v>89.7</v>
      </c>
      <c r="DS207" s="32">
        <v>92.2</v>
      </c>
      <c r="DT207" s="32">
        <v>89.8</v>
      </c>
      <c r="DU207" s="32">
        <v>92.1</v>
      </c>
      <c r="DV207" s="32">
        <v>93.9</v>
      </c>
      <c r="DW207" s="32">
        <v>89.8</v>
      </c>
      <c r="DX207" s="32">
        <v>85.1</v>
      </c>
      <c r="DY207" s="32">
        <v>100.2</v>
      </c>
      <c r="DZ207" s="32">
        <v>88.6</v>
      </c>
      <c r="EA207" s="32">
        <v>88.6</v>
      </c>
      <c r="EB207" s="32">
        <v>82.6</v>
      </c>
      <c r="EC207" s="32">
        <v>78.2</v>
      </c>
      <c r="ED207" s="32">
        <v>88.8</v>
      </c>
      <c r="EE207" s="32">
        <v>93.1</v>
      </c>
      <c r="EF207" s="32">
        <v>78.2</v>
      </c>
      <c r="EG207" s="32">
        <v>85.3</v>
      </c>
      <c r="EH207" s="32">
        <v>87.5</v>
      </c>
      <c r="EI207" s="32">
        <v>84.1</v>
      </c>
      <c r="EJ207" s="32">
        <v>78.599999999999994</v>
      </c>
      <c r="EK207" s="32">
        <v>86.8</v>
      </c>
      <c r="EL207" s="32">
        <v>85.3</v>
      </c>
      <c r="EM207" s="32">
        <v>78.5</v>
      </c>
      <c r="EN207" s="32">
        <v>92.3</v>
      </c>
      <c r="EO207" s="32">
        <v>91</v>
      </c>
      <c r="EP207" s="32">
        <v>92.5</v>
      </c>
      <c r="EQ207" s="32">
        <v>92.5</v>
      </c>
      <c r="ER207" s="32">
        <v>89.9</v>
      </c>
      <c r="ES207" s="32">
        <v>89.9</v>
      </c>
      <c r="ET207" s="32">
        <v>90.9</v>
      </c>
      <c r="EU207" s="32">
        <v>87.9</v>
      </c>
      <c r="EV207" s="32">
        <v>87.9</v>
      </c>
      <c r="EW207" s="32">
        <v>98</v>
      </c>
      <c r="EX207" s="32">
        <v>101.2</v>
      </c>
      <c r="EY207" s="32">
        <v>95.5</v>
      </c>
      <c r="EZ207" s="32">
        <v>92.4</v>
      </c>
      <c r="FA207" s="32">
        <v>103.3</v>
      </c>
      <c r="FB207" s="32">
        <v>113.4</v>
      </c>
      <c r="FC207" s="32">
        <v>100.7</v>
      </c>
      <c r="FD207" s="32">
        <v>103.9</v>
      </c>
      <c r="FE207" s="32">
        <v>137.4</v>
      </c>
      <c r="FF207" s="32">
        <v>90.9</v>
      </c>
      <c r="FG207" s="32">
        <v>86.1</v>
      </c>
      <c r="FH207" s="32">
        <v>91.5</v>
      </c>
      <c r="FI207" s="32">
        <v>95.4</v>
      </c>
      <c r="FJ207" s="32">
        <v>82.7</v>
      </c>
      <c r="FK207" s="32">
        <v>72.099999999999994</v>
      </c>
      <c r="FL207" s="32">
        <v>72.099999999999994</v>
      </c>
    </row>
    <row r="208" spans="1:168" x14ac:dyDescent="0.2">
      <c r="A208" s="34" t="s">
        <v>1188</v>
      </c>
      <c r="B208" s="32">
        <v>88.8</v>
      </c>
      <c r="C208" s="32">
        <v>90.9</v>
      </c>
      <c r="D208" s="32">
        <v>90.6</v>
      </c>
      <c r="E208" s="32">
        <v>89.8</v>
      </c>
      <c r="F208" s="32">
        <v>74.5</v>
      </c>
      <c r="G208" s="32">
        <v>1866.6</v>
      </c>
      <c r="H208" s="32">
        <v>69.8</v>
      </c>
      <c r="I208" s="32">
        <v>77.5</v>
      </c>
      <c r="J208" s="32">
        <v>92.9</v>
      </c>
      <c r="K208" s="32">
        <v>85.5</v>
      </c>
      <c r="L208" s="32">
        <v>82.1</v>
      </c>
      <c r="M208" s="32">
        <v>76.099999999999994</v>
      </c>
      <c r="N208" s="32">
        <v>69.900000000000006</v>
      </c>
      <c r="O208" s="32">
        <v>92.5</v>
      </c>
      <c r="P208" s="32">
        <v>107.3</v>
      </c>
      <c r="Q208" s="32">
        <v>76.5</v>
      </c>
      <c r="R208" s="32">
        <v>69.900000000000006</v>
      </c>
      <c r="S208" s="32">
        <v>106.3</v>
      </c>
      <c r="T208" s="32">
        <v>120.3</v>
      </c>
      <c r="U208" s="32">
        <v>83.1</v>
      </c>
      <c r="V208" s="32">
        <v>106.1</v>
      </c>
      <c r="W208" s="32">
        <v>72.5</v>
      </c>
      <c r="X208" s="32">
        <v>53.8</v>
      </c>
      <c r="Y208" s="32">
        <v>98.8</v>
      </c>
      <c r="Z208" s="32">
        <v>131.69999999999999</v>
      </c>
      <c r="AA208" s="32">
        <v>87.8</v>
      </c>
      <c r="AB208" s="32">
        <v>67.7</v>
      </c>
      <c r="AC208" s="32">
        <v>95.2</v>
      </c>
      <c r="AD208" s="32">
        <v>96.5</v>
      </c>
      <c r="AE208" s="32">
        <v>54.4</v>
      </c>
      <c r="AF208" s="32">
        <v>54.4</v>
      </c>
      <c r="AG208" s="32">
        <v>73.2</v>
      </c>
      <c r="AH208" s="32">
        <v>73.2</v>
      </c>
      <c r="AI208" s="32">
        <v>149</v>
      </c>
      <c r="AJ208" s="32">
        <v>42.5</v>
      </c>
      <c r="AK208" s="32">
        <v>86.9</v>
      </c>
      <c r="AL208" s="32">
        <v>77.3</v>
      </c>
      <c r="AM208" s="32">
        <v>66.099999999999994</v>
      </c>
      <c r="AN208" s="32">
        <v>105.4</v>
      </c>
      <c r="AO208" s="32">
        <v>96.6</v>
      </c>
      <c r="AP208" s="32">
        <v>96.6</v>
      </c>
      <c r="AQ208" s="32">
        <v>105.1</v>
      </c>
      <c r="AR208" s="32">
        <v>105</v>
      </c>
      <c r="AS208" s="32">
        <v>107.1</v>
      </c>
      <c r="AT208" s="32">
        <v>95</v>
      </c>
      <c r="AU208" s="32">
        <v>116.8</v>
      </c>
      <c r="AV208" s="32">
        <v>95.6</v>
      </c>
      <c r="AW208" s="32">
        <v>94.8</v>
      </c>
      <c r="AX208" s="32">
        <v>117.5</v>
      </c>
      <c r="AY208" s="32">
        <v>72.8</v>
      </c>
      <c r="AZ208" s="32">
        <v>97.2</v>
      </c>
      <c r="BA208" s="32">
        <v>95</v>
      </c>
      <c r="BB208" s="32">
        <v>95</v>
      </c>
      <c r="BC208" s="32">
        <v>95.4</v>
      </c>
      <c r="BD208" s="32">
        <v>95.4</v>
      </c>
      <c r="BE208" s="32">
        <v>114.4</v>
      </c>
      <c r="BF208" s="32">
        <v>114.4</v>
      </c>
      <c r="BG208" s="32">
        <v>100</v>
      </c>
      <c r="BH208" s="32">
        <v>115.6</v>
      </c>
      <c r="BI208" s="32">
        <v>83.2</v>
      </c>
      <c r="BJ208" s="32">
        <v>55.1</v>
      </c>
      <c r="BK208" s="32">
        <v>90.3</v>
      </c>
      <c r="BL208" s="32">
        <v>88.9</v>
      </c>
      <c r="BM208" s="32">
        <v>104</v>
      </c>
      <c r="BN208" s="32">
        <v>96.8</v>
      </c>
      <c r="BO208" s="32">
        <v>98.1</v>
      </c>
      <c r="BP208" s="32">
        <v>95.6</v>
      </c>
      <c r="BQ208" s="32">
        <v>112.9</v>
      </c>
      <c r="BR208" s="32">
        <v>111.6</v>
      </c>
      <c r="BS208" s="32">
        <v>170.5</v>
      </c>
      <c r="BT208" s="32">
        <v>97.1</v>
      </c>
      <c r="BU208" s="32">
        <v>86</v>
      </c>
      <c r="BV208" s="32">
        <v>86</v>
      </c>
      <c r="BW208" s="32">
        <v>97.9</v>
      </c>
      <c r="BX208" s="32">
        <v>58.3</v>
      </c>
      <c r="BY208" s="32">
        <v>89.7</v>
      </c>
      <c r="BZ208" s="32">
        <v>86.8</v>
      </c>
      <c r="CA208" s="32">
        <v>91.1</v>
      </c>
      <c r="CB208" s="32">
        <v>104</v>
      </c>
      <c r="CC208" s="32">
        <v>80</v>
      </c>
      <c r="CD208" s="32">
        <v>53.1</v>
      </c>
      <c r="CE208" s="32">
        <v>92.5</v>
      </c>
      <c r="CF208" s="32">
        <v>88.4</v>
      </c>
      <c r="CG208" s="32">
        <v>94</v>
      </c>
      <c r="CH208" s="32">
        <v>92.7</v>
      </c>
      <c r="CI208" s="32">
        <v>103.6</v>
      </c>
      <c r="CJ208" s="32">
        <v>93.5</v>
      </c>
      <c r="CK208" s="32">
        <v>89.7</v>
      </c>
      <c r="CL208" s="32">
        <v>97.3</v>
      </c>
      <c r="CM208" s="32">
        <v>102.2</v>
      </c>
      <c r="CN208" s="32">
        <v>98.3</v>
      </c>
      <c r="CO208" s="32">
        <v>103.9</v>
      </c>
      <c r="CP208" s="32">
        <v>131.4</v>
      </c>
      <c r="CQ208" s="32">
        <v>54.2</v>
      </c>
      <c r="CR208" s="32">
        <v>91.2</v>
      </c>
      <c r="CS208" s="32">
        <v>113.1</v>
      </c>
      <c r="CT208" s="32">
        <v>95.4</v>
      </c>
      <c r="CU208" s="32">
        <v>84.9</v>
      </c>
      <c r="CV208" s="32">
        <v>100</v>
      </c>
      <c r="CW208" s="32">
        <v>59.9</v>
      </c>
      <c r="CX208" s="32">
        <v>112</v>
      </c>
      <c r="CY208" s="32">
        <v>118.9</v>
      </c>
      <c r="CZ208" s="32">
        <v>108.4</v>
      </c>
      <c r="DA208" s="32">
        <v>100.3</v>
      </c>
      <c r="DB208" s="32">
        <v>124</v>
      </c>
      <c r="DC208" s="32">
        <v>24.3</v>
      </c>
      <c r="DD208" s="32">
        <v>24.3</v>
      </c>
      <c r="DE208" s="32">
        <v>78.599999999999994</v>
      </c>
      <c r="DF208" s="32">
        <v>74</v>
      </c>
      <c r="DG208" s="32">
        <v>106.2</v>
      </c>
      <c r="DH208" s="32">
        <v>96</v>
      </c>
      <c r="DI208" s="32">
        <v>121.8</v>
      </c>
      <c r="DJ208" s="32">
        <v>81.7</v>
      </c>
      <c r="DK208" s="32">
        <v>81.7</v>
      </c>
      <c r="DL208" s="32">
        <v>67.400000000000006</v>
      </c>
      <c r="DM208" s="32">
        <v>90.6</v>
      </c>
      <c r="DN208" s="32">
        <v>92.8</v>
      </c>
      <c r="DO208" s="32">
        <v>89.6</v>
      </c>
      <c r="DP208" s="32">
        <v>92.1</v>
      </c>
      <c r="DQ208" s="32">
        <v>88</v>
      </c>
      <c r="DR208" s="32">
        <v>89</v>
      </c>
      <c r="DS208" s="32">
        <v>91.4</v>
      </c>
      <c r="DT208" s="32">
        <v>89</v>
      </c>
      <c r="DU208" s="32">
        <v>90.7</v>
      </c>
      <c r="DV208" s="32">
        <v>95.1</v>
      </c>
      <c r="DW208" s="32">
        <v>85.5</v>
      </c>
      <c r="DX208" s="32">
        <v>85.4</v>
      </c>
      <c r="DY208" s="32">
        <v>99.6</v>
      </c>
      <c r="DZ208" s="32">
        <v>85.9</v>
      </c>
      <c r="EA208" s="32">
        <v>85.9</v>
      </c>
      <c r="EB208" s="32">
        <v>82.9</v>
      </c>
      <c r="EC208" s="32">
        <v>84.5</v>
      </c>
      <c r="ED208" s="32">
        <v>81.2</v>
      </c>
      <c r="EE208" s="32">
        <v>82.4</v>
      </c>
      <c r="EF208" s="32">
        <v>77.8</v>
      </c>
      <c r="EG208" s="32">
        <v>86.4</v>
      </c>
      <c r="EH208" s="32">
        <v>89.1</v>
      </c>
      <c r="EI208" s="32">
        <v>82.7</v>
      </c>
      <c r="EJ208" s="32">
        <v>79.900000000000006</v>
      </c>
      <c r="EK208" s="32">
        <v>89.7</v>
      </c>
      <c r="EL208" s="32">
        <v>86.3</v>
      </c>
      <c r="EM208" s="32">
        <v>81.599999999999994</v>
      </c>
      <c r="EN208" s="32">
        <v>95.3</v>
      </c>
      <c r="EO208" s="32">
        <v>90.1</v>
      </c>
      <c r="EP208" s="32">
        <v>92.5</v>
      </c>
      <c r="EQ208" s="32">
        <v>92.5</v>
      </c>
      <c r="ER208" s="32">
        <v>87.6</v>
      </c>
      <c r="ES208" s="32">
        <v>87.6</v>
      </c>
      <c r="ET208" s="32">
        <v>90.5</v>
      </c>
      <c r="EU208" s="32">
        <v>87.4</v>
      </c>
      <c r="EV208" s="32">
        <v>87.4</v>
      </c>
      <c r="EW208" s="32">
        <v>98.2</v>
      </c>
      <c r="EX208" s="32">
        <v>101.4</v>
      </c>
      <c r="EY208" s="32">
        <v>95.6</v>
      </c>
      <c r="EZ208" s="32">
        <v>91.9</v>
      </c>
      <c r="FA208" s="32">
        <v>102.8</v>
      </c>
      <c r="FB208" s="32">
        <v>108.7</v>
      </c>
      <c r="FC208" s="32">
        <v>90.6</v>
      </c>
      <c r="FD208" s="32">
        <v>101.7</v>
      </c>
      <c r="FE208" s="32">
        <v>140.4</v>
      </c>
      <c r="FF208" s="32">
        <v>95.6</v>
      </c>
      <c r="FG208" s="32">
        <v>85.2</v>
      </c>
      <c r="FH208" s="32">
        <v>90.8</v>
      </c>
      <c r="FI208" s="32">
        <v>99.2</v>
      </c>
      <c r="FJ208" s="32">
        <v>81.3</v>
      </c>
      <c r="FK208" s="32">
        <v>74.2</v>
      </c>
      <c r="FL208" s="32">
        <v>74.2</v>
      </c>
    </row>
    <row r="209" spans="1:168" x14ac:dyDescent="0.2">
      <c r="A209" s="34" t="s">
        <v>1189</v>
      </c>
      <c r="B209" s="32">
        <v>88.6</v>
      </c>
      <c r="C209" s="32">
        <v>98</v>
      </c>
      <c r="D209" s="32">
        <v>90.5</v>
      </c>
      <c r="E209" s="32">
        <v>89.8</v>
      </c>
      <c r="F209" s="32">
        <v>78.7</v>
      </c>
      <c r="G209" s="32">
        <v>2036.6</v>
      </c>
      <c r="H209" s="32">
        <v>74.7</v>
      </c>
      <c r="I209" s="32">
        <v>76.2</v>
      </c>
      <c r="J209" s="32">
        <v>92.9</v>
      </c>
      <c r="K209" s="32">
        <v>85.5</v>
      </c>
      <c r="L209" s="32">
        <v>82.1</v>
      </c>
      <c r="M209" s="32">
        <v>82.2</v>
      </c>
      <c r="N209" s="32">
        <v>71.2</v>
      </c>
      <c r="O209" s="32">
        <v>91</v>
      </c>
      <c r="P209" s="32">
        <v>100.3</v>
      </c>
      <c r="Q209" s="32">
        <v>76.2</v>
      </c>
      <c r="R209" s="32">
        <v>68.099999999999994</v>
      </c>
      <c r="S209" s="32">
        <v>106.1</v>
      </c>
      <c r="T209" s="32">
        <v>114.2</v>
      </c>
      <c r="U209" s="32">
        <v>79.8</v>
      </c>
      <c r="V209" s="32">
        <v>106.8</v>
      </c>
      <c r="W209" s="32">
        <v>69.599999999999994</v>
      </c>
      <c r="X209" s="32">
        <v>50.8</v>
      </c>
      <c r="Y209" s="32">
        <v>95.8</v>
      </c>
      <c r="Z209" s="32">
        <v>136.80000000000001</v>
      </c>
      <c r="AA209" s="32">
        <v>89.7</v>
      </c>
      <c r="AB209" s="32">
        <v>69.599999999999994</v>
      </c>
      <c r="AC209" s="32">
        <v>95</v>
      </c>
      <c r="AD209" s="32">
        <v>100.2</v>
      </c>
      <c r="AE209" s="32">
        <v>62.1</v>
      </c>
      <c r="AF209" s="32">
        <v>62.1</v>
      </c>
      <c r="AG209" s="32">
        <v>74.400000000000006</v>
      </c>
      <c r="AH209" s="32">
        <v>74.400000000000006</v>
      </c>
      <c r="AI209" s="32">
        <v>154.5</v>
      </c>
      <c r="AJ209" s="32">
        <v>41.9</v>
      </c>
      <c r="AK209" s="32">
        <v>91.9</v>
      </c>
      <c r="AL209" s="32">
        <v>76.3</v>
      </c>
      <c r="AM209" s="32">
        <v>67.599999999999994</v>
      </c>
      <c r="AN209" s="32">
        <v>107.9</v>
      </c>
      <c r="AO209" s="32">
        <v>102.7</v>
      </c>
      <c r="AP209" s="32">
        <v>102.7</v>
      </c>
      <c r="AQ209" s="32">
        <v>104.6</v>
      </c>
      <c r="AR209" s="32">
        <v>102.6</v>
      </c>
      <c r="AS209" s="32">
        <v>109.6</v>
      </c>
      <c r="AT209" s="32">
        <v>95.2</v>
      </c>
      <c r="AU209" s="32">
        <v>121.2</v>
      </c>
      <c r="AV209" s="32">
        <v>96.8</v>
      </c>
      <c r="AW209" s="32">
        <v>93.5</v>
      </c>
      <c r="AX209" s="32">
        <v>112.9</v>
      </c>
      <c r="AY209" s="32">
        <v>75.8</v>
      </c>
      <c r="AZ209" s="32">
        <v>99.2</v>
      </c>
      <c r="BA209" s="32">
        <v>93.3</v>
      </c>
      <c r="BB209" s="32">
        <v>93.3</v>
      </c>
      <c r="BC209" s="32">
        <v>94.6</v>
      </c>
      <c r="BD209" s="32">
        <v>94.6</v>
      </c>
      <c r="BE209" s="32">
        <v>111.8</v>
      </c>
      <c r="BF209" s="32">
        <v>111.8</v>
      </c>
      <c r="BG209" s="32">
        <v>95.1</v>
      </c>
      <c r="BH209" s="32">
        <v>106</v>
      </c>
      <c r="BI209" s="32">
        <v>83.3</v>
      </c>
      <c r="BJ209" s="32">
        <v>55.2</v>
      </c>
      <c r="BK209" s="32">
        <v>90.3</v>
      </c>
      <c r="BL209" s="32">
        <v>89.4</v>
      </c>
      <c r="BM209" s="32">
        <v>106.9</v>
      </c>
      <c r="BN209" s="32">
        <v>95.1</v>
      </c>
      <c r="BO209" s="32">
        <v>95.5</v>
      </c>
      <c r="BP209" s="32">
        <v>94.8</v>
      </c>
      <c r="BQ209" s="32">
        <v>121.4</v>
      </c>
      <c r="BR209" s="32">
        <v>97.1</v>
      </c>
      <c r="BS209" s="32">
        <v>172.1</v>
      </c>
      <c r="BT209" s="32">
        <v>111</v>
      </c>
      <c r="BU209" s="32">
        <v>80.8</v>
      </c>
      <c r="BV209" s="32">
        <v>80.8</v>
      </c>
      <c r="BW209" s="32">
        <v>94.3</v>
      </c>
      <c r="BX209" s="32">
        <v>52.3</v>
      </c>
      <c r="BY209" s="32">
        <v>91.1</v>
      </c>
      <c r="BZ209" s="32">
        <v>88.2</v>
      </c>
      <c r="CA209" s="32">
        <v>92.6</v>
      </c>
      <c r="CB209" s="32">
        <v>106.5</v>
      </c>
      <c r="CC209" s="32">
        <v>80.599999999999994</v>
      </c>
      <c r="CD209" s="32">
        <v>54.7</v>
      </c>
      <c r="CE209" s="32">
        <v>92</v>
      </c>
      <c r="CF209" s="32">
        <v>88.1</v>
      </c>
      <c r="CG209" s="32">
        <v>92.5</v>
      </c>
      <c r="CH209" s="32">
        <v>91.8</v>
      </c>
      <c r="CI209" s="32">
        <v>105.2</v>
      </c>
      <c r="CJ209" s="32">
        <v>90.6</v>
      </c>
      <c r="CK209" s="32">
        <v>89.4</v>
      </c>
      <c r="CL209" s="32">
        <v>96.6</v>
      </c>
      <c r="CM209" s="32">
        <v>102.3</v>
      </c>
      <c r="CN209" s="32">
        <v>100.9</v>
      </c>
      <c r="CO209" s="32">
        <v>103.4</v>
      </c>
      <c r="CP209" s="32">
        <v>126.4</v>
      </c>
      <c r="CQ209" s="32">
        <v>55.6</v>
      </c>
      <c r="CR209" s="32">
        <v>91.5</v>
      </c>
      <c r="CS209" s="32">
        <v>109</v>
      </c>
      <c r="CT209" s="32">
        <v>90.4</v>
      </c>
      <c r="CU209" s="32">
        <v>81</v>
      </c>
      <c r="CV209" s="32">
        <v>94.6</v>
      </c>
      <c r="CW209" s="32">
        <v>60.5</v>
      </c>
      <c r="CX209" s="32">
        <v>112.2</v>
      </c>
      <c r="CY209" s="32">
        <v>118.6</v>
      </c>
      <c r="CZ209" s="32">
        <v>108.7</v>
      </c>
      <c r="DA209" s="32">
        <v>102.9</v>
      </c>
      <c r="DB209" s="32">
        <v>119.9</v>
      </c>
      <c r="DC209" s="32">
        <v>24.7</v>
      </c>
      <c r="DD209" s="32">
        <v>24.7</v>
      </c>
      <c r="DE209" s="32">
        <v>79.400000000000006</v>
      </c>
      <c r="DF209" s="32">
        <v>75.8</v>
      </c>
      <c r="DG209" s="32">
        <v>101.3</v>
      </c>
      <c r="DH209" s="32">
        <v>94.1</v>
      </c>
      <c r="DI209" s="32">
        <v>116.3</v>
      </c>
      <c r="DJ209" s="32">
        <v>84.7</v>
      </c>
      <c r="DK209" s="32">
        <v>84.7</v>
      </c>
      <c r="DL209" s="32">
        <v>66.5</v>
      </c>
      <c r="DM209" s="32">
        <v>90.9</v>
      </c>
      <c r="DN209" s="32">
        <v>93.1</v>
      </c>
      <c r="DO209" s="32">
        <v>89.7</v>
      </c>
      <c r="DP209" s="32">
        <v>96.4</v>
      </c>
      <c r="DQ209" s="32">
        <v>87.5</v>
      </c>
      <c r="DR209" s="32">
        <v>88.6</v>
      </c>
      <c r="DS209" s="32">
        <v>90.7</v>
      </c>
      <c r="DT209" s="32">
        <v>90</v>
      </c>
      <c r="DU209" s="32">
        <v>91.6</v>
      </c>
      <c r="DV209" s="32">
        <v>91.7</v>
      </c>
      <c r="DW209" s="32">
        <v>91.4</v>
      </c>
      <c r="DX209" s="32">
        <v>86.6</v>
      </c>
      <c r="DY209" s="32">
        <v>93.3</v>
      </c>
      <c r="DZ209" s="32">
        <v>87.2</v>
      </c>
      <c r="EA209" s="32">
        <v>87.2</v>
      </c>
      <c r="EB209" s="32">
        <v>82.8</v>
      </c>
      <c r="EC209" s="32">
        <v>84.8</v>
      </c>
      <c r="ED209" s="32">
        <v>80.7</v>
      </c>
      <c r="EE209" s="32">
        <v>81.3</v>
      </c>
      <c r="EF209" s="32">
        <v>79.099999999999994</v>
      </c>
      <c r="EG209" s="32">
        <v>85.7</v>
      </c>
      <c r="EH209" s="32">
        <v>83.4</v>
      </c>
      <c r="EI209" s="32">
        <v>82.5</v>
      </c>
      <c r="EJ209" s="32">
        <v>79.8</v>
      </c>
      <c r="EK209" s="32">
        <v>91.2</v>
      </c>
      <c r="EL209" s="32">
        <v>89.1</v>
      </c>
      <c r="EM209" s="32">
        <v>83.5</v>
      </c>
      <c r="EN209" s="32">
        <v>96.3</v>
      </c>
      <c r="EO209" s="32">
        <v>91.1</v>
      </c>
      <c r="EP209" s="32">
        <v>92.9</v>
      </c>
      <c r="EQ209" s="32">
        <v>92.9</v>
      </c>
      <c r="ER209" s="32">
        <v>89.4</v>
      </c>
      <c r="ES209" s="32">
        <v>89.4</v>
      </c>
      <c r="ET209" s="32">
        <v>91.3</v>
      </c>
      <c r="EU209" s="32">
        <v>88.4</v>
      </c>
      <c r="EV209" s="32">
        <v>88.4</v>
      </c>
      <c r="EW209" s="32">
        <v>98.3</v>
      </c>
      <c r="EX209" s="32">
        <v>101.7</v>
      </c>
      <c r="EY209" s="32">
        <v>95.5</v>
      </c>
      <c r="EZ209" s="32">
        <v>89.8</v>
      </c>
      <c r="FA209" s="32">
        <v>99.8</v>
      </c>
      <c r="FB209" s="32">
        <v>108.6</v>
      </c>
      <c r="FC209" s="32">
        <v>90.5</v>
      </c>
      <c r="FD209" s="32">
        <v>99.5</v>
      </c>
      <c r="FE209" s="32">
        <v>141.6</v>
      </c>
      <c r="FF209" s="32">
        <v>88.9</v>
      </c>
      <c r="FG209" s="32">
        <v>83.7</v>
      </c>
      <c r="FH209" s="32">
        <v>90.7</v>
      </c>
      <c r="FI209" s="32">
        <v>93.6</v>
      </c>
      <c r="FJ209" s="32">
        <v>79.7</v>
      </c>
      <c r="FK209" s="32">
        <v>73.7</v>
      </c>
      <c r="FL209" s="32">
        <v>73.7</v>
      </c>
    </row>
    <row r="210" spans="1:168" x14ac:dyDescent="0.2">
      <c r="A210" s="34" t="s">
        <v>1190</v>
      </c>
      <c r="B210" s="32">
        <v>89.1</v>
      </c>
      <c r="C210" s="32">
        <v>103.9</v>
      </c>
      <c r="D210" s="32">
        <v>91.3</v>
      </c>
      <c r="E210" s="32">
        <v>90</v>
      </c>
      <c r="F210" s="32">
        <v>75.900000000000006</v>
      </c>
      <c r="G210" s="32">
        <v>2058</v>
      </c>
      <c r="H210" s="32">
        <v>71.7</v>
      </c>
      <c r="I210" s="32">
        <v>75.099999999999994</v>
      </c>
      <c r="J210" s="32">
        <v>93.9</v>
      </c>
      <c r="K210" s="32">
        <v>87.9</v>
      </c>
      <c r="L210" s="32">
        <v>84.2</v>
      </c>
      <c r="M210" s="32">
        <v>88.9</v>
      </c>
      <c r="N210" s="32">
        <v>73.3</v>
      </c>
      <c r="O210" s="32">
        <v>86.9</v>
      </c>
      <c r="P210" s="32">
        <v>108.4</v>
      </c>
      <c r="Q210" s="32">
        <v>77.400000000000006</v>
      </c>
      <c r="R210" s="32">
        <v>67.400000000000006</v>
      </c>
      <c r="S210" s="32">
        <v>103.2</v>
      </c>
      <c r="T210" s="32">
        <v>127.2</v>
      </c>
      <c r="U210" s="32">
        <v>82</v>
      </c>
      <c r="V210" s="32">
        <v>110.6</v>
      </c>
      <c r="W210" s="32">
        <v>71.5</v>
      </c>
      <c r="X210" s="32">
        <v>52.6</v>
      </c>
      <c r="Y210" s="32">
        <v>97</v>
      </c>
      <c r="Z210" s="32">
        <v>142.80000000000001</v>
      </c>
      <c r="AA210" s="32">
        <v>87.4</v>
      </c>
      <c r="AB210" s="32">
        <v>72.3</v>
      </c>
      <c r="AC210" s="32">
        <v>93.4</v>
      </c>
      <c r="AD210" s="32">
        <v>94</v>
      </c>
      <c r="AE210" s="32">
        <v>57</v>
      </c>
      <c r="AF210" s="32">
        <v>57</v>
      </c>
      <c r="AG210" s="32">
        <v>75.599999999999994</v>
      </c>
      <c r="AH210" s="32">
        <v>75.599999999999994</v>
      </c>
      <c r="AI210" s="32">
        <v>155</v>
      </c>
      <c r="AJ210" s="32">
        <v>43.9</v>
      </c>
      <c r="AK210" s="32">
        <v>88.3</v>
      </c>
      <c r="AL210" s="32">
        <v>80.3</v>
      </c>
      <c r="AM210" s="32">
        <v>68.400000000000006</v>
      </c>
      <c r="AN210" s="32">
        <v>108</v>
      </c>
      <c r="AO210" s="32">
        <v>90.4</v>
      </c>
      <c r="AP210" s="32">
        <v>90.4</v>
      </c>
      <c r="AQ210" s="32">
        <v>110.1</v>
      </c>
      <c r="AR210" s="32">
        <v>107.9</v>
      </c>
      <c r="AS210" s="32">
        <v>115.5</v>
      </c>
      <c r="AT210" s="32">
        <v>93.4</v>
      </c>
      <c r="AU210" s="32">
        <v>133</v>
      </c>
      <c r="AV210" s="32">
        <v>96.9</v>
      </c>
      <c r="AW210" s="32">
        <v>96.1</v>
      </c>
      <c r="AX210" s="32">
        <v>115.4</v>
      </c>
      <c r="AY210" s="32">
        <v>78.8</v>
      </c>
      <c r="AZ210" s="32">
        <v>98.5</v>
      </c>
      <c r="BA210" s="32">
        <v>98.5</v>
      </c>
      <c r="BB210" s="32">
        <v>98.5</v>
      </c>
      <c r="BC210" s="32">
        <v>95.9</v>
      </c>
      <c r="BD210" s="32">
        <v>95.9</v>
      </c>
      <c r="BE210" s="32">
        <v>113.3</v>
      </c>
      <c r="BF210" s="32">
        <v>113.3</v>
      </c>
      <c r="BG210" s="32">
        <v>99.1</v>
      </c>
      <c r="BH210" s="32">
        <v>115</v>
      </c>
      <c r="BI210" s="32">
        <v>81.7</v>
      </c>
      <c r="BJ210" s="32">
        <v>55.6</v>
      </c>
      <c r="BK210" s="32">
        <v>88.9</v>
      </c>
      <c r="BL210" s="32">
        <v>82</v>
      </c>
      <c r="BM210" s="32">
        <v>107.2</v>
      </c>
      <c r="BN210" s="32">
        <v>95.3</v>
      </c>
      <c r="BO210" s="32">
        <v>95.8</v>
      </c>
      <c r="BP210" s="32">
        <v>94.9</v>
      </c>
      <c r="BQ210" s="32">
        <v>121.9</v>
      </c>
      <c r="BR210" s="32">
        <v>100.3</v>
      </c>
      <c r="BS210" s="32">
        <v>182.8</v>
      </c>
      <c r="BT210" s="32">
        <v>108.5</v>
      </c>
      <c r="BU210" s="32">
        <v>78.2</v>
      </c>
      <c r="BV210" s="32">
        <v>78.2</v>
      </c>
      <c r="BW210" s="32">
        <v>91.9</v>
      </c>
      <c r="BX210" s="32">
        <v>49.8</v>
      </c>
      <c r="BY210" s="32">
        <v>92.4</v>
      </c>
      <c r="BZ210" s="32">
        <v>85.5</v>
      </c>
      <c r="CA210" s="32">
        <v>95.9</v>
      </c>
      <c r="CB210" s="32">
        <v>110.1</v>
      </c>
      <c r="CC210" s="32">
        <v>83.5</v>
      </c>
      <c r="CD210" s="32">
        <v>58.3</v>
      </c>
      <c r="CE210" s="32">
        <v>94.3</v>
      </c>
      <c r="CF210" s="32">
        <v>88.4</v>
      </c>
      <c r="CG210" s="32">
        <v>94.4</v>
      </c>
      <c r="CH210" s="32">
        <v>94</v>
      </c>
      <c r="CI210" s="32">
        <v>105.4</v>
      </c>
      <c r="CJ210" s="32">
        <v>95.6</v>
      </c>
      <c r="CK210" s="32">
        <v>90.4</v>
      </c>
      <c r="CL210" s="32">
        <v>98</v>
      </c>
      <c r="CM210" s="32">
        <v>105.3</v>
      </c>
      <c r="CN210" s="32">
        <v>105.1</v>
      </c>
      <c r="CO210" s="32">
        <v>106.1</v>
      </c>
      <c r="CP210" s="32">
        <v>123.2</v>
      </c>
      <c r="CQ210" s="32">
        <v>57.9</v>
      </c>
      <c r="CR210" s="32">
        <v>96.2</v>
      </c>
      <c r="CS210" s="32">
        <v>101.6</v>
      </c>
      <c r="CT210" s="32">
        <v>91.5</v>
      </c>
      <c r="CU210" s="32">
        <v>85.8</v>
      </c>
      <c r="CV210" s="32">
        <v>93.9</v>
      </c>
      <c r="CW210" s="32">
        <v>60.7</v>
      </c>
      <c r="CX210" s="32">
        <v>108</v>
      </c>
      <c r="CY210" s="32">
        <v>117</v>
      </c>
      <c r="CZ210" s="32">
        <v>103.2</v>
      </c>
      <c r="DA210" s="32">
        <v>95.2</v>
      </c>
      <c r="DB210" s="32">
        <v>118.6</v>
      </c>
      <c r="DC210" s="32">
        <v>25.4</v>
      </c>
      <c r="DD210" s="32">
        <v>25.4</v>
      </c>
      <c r="DE210" s="32">
        <v>80.400000000000006</v>
      </c>
      <c r="DF210" s="32">
        <v>78.7</v>
      </c>
      <c r="DG210" s="32">
        <v>90.2</v>
      </c>
      <c r="DH210" s="32">
        <v>91.2</v>
      </c>
      <c r="DI210" s="32">
        <v>109.7</v>
      </c>
      <c r="DJ210" s="32">
        <v>88.4</v>
      </c>
      <c r="DK210" s="32">
        <v>88.4</v>
      </c>
      <c r="DL210" s="32">
        <v>62.7</v>
      </c>
      <c r="DM210" s="32">
        <v>91</v>
      </c>
      <c r="DN210" s="32">
        <v>94.6</v>
      </c>
      <c r="DO210" s="32">
        <v>89.4</v>
      </c>
      <c r="DP210" s="32">
        <v>93.3</v>
      </c>
      <c r="DQ210" s="32">
        <v>88</v>
      </c>
      <c r="DR210" s="32">
        <v>89.3</v>
      </c>
      <c r="DS210" s="32">
        <v>92.9</v>
      </c>
      <c r="DT210" s="32">
        <v>91</v>
      </c>
      <c r="DU210" s="32">
        <v>92.4</v>
      </c>
      <c r="DV210" s="32">
        <v>94.3</v>
      </c>
      <c r="DW210" s="32">
        <v>90.1</v>
      </c>
      <c r="DX210" s="32">
        <v>87.9</v>
      </c>
      <c r="DY210" s="32">
        <v>99.3</v>
      </c>
      <c r="DZ210" s="32">
        <v>87.3</v>
      </c>
      <c r="EA210" s="32">
        <v>87.3</v>
      </c>
      <c r="EB210" s="32">
        <v>79.099999999999994</v>
      </c>
      <c r="EC210" s="32">
        <v>75.3</v>
      </c>
      <c r="ED210" s="32">
        <v>84.6</v>
      </c>
      <c r="EE210" s="32">
        <v>88.6</v>
      </c>
      <c r="EF210" s="32">
        <v>74.7</v>
      </c>
      <c r="EG210" s="32">
        <v>86</v>
      </c>
      <c r="EH210" s="32">
        <v>82.8</v>
      </c>
      <c r="EI210" s="32">
        <v>81.900000000000006</v>
      </c>
      <c r="EJ210" s="32">
        <v>85.7</v>
      </c>
      <c r="EK210" s="32">
        <v>91.1</v>
      </c>
      <c r="EL210" s="32">
        <v>88.7</v>
      </c>
      <c r="EM210" s="32">
        <v>80.8</v>
      </c>
      <c r="EN210" s="32">
        <v>98</v>
      </c>
      <c r="EO210" s="32">
        <v>91.5</v>
      </c>
      <c r="EP210" s="32">
        <v>92.5</v>
      </c>
      <c r="EQ210" s="32">
        <v>92.5</v>
      </c>
      <c r="ER210" s="32">
        <v>89.5</v>
      </c>
      <c r="ES210" s="32">
        <v>89.5</v>
      </c>
      <c r="ET210" s="32">
        <v>92.4</v>
      </c>
      <c r="EU210" s="32">
        <v>89.9</v>
      </c>
      <c r="EV210" s="32">
        <v>89.9</v>
      </c>
      <c r="EW210" s="32">
        <v>98.1</v>
      </c>
      <c r="EX210" s="32">
        <v>102</v>
      </c>
      <c r="EY210" s="32">
        <v>95.1</v>
      </c>
      <c r="EZ210" s="32">
        <v>92.7</v>
      </c>
      <c r="FA210" s="32">
        <v>102.8</v>
      </c>
      <c r="FB210" s="32">
        <v>109.6</v>
      </c>
      <c r="FC210" s="32">
        <v>91.9</v>
      </c>
      <c r="FD210" s="32">
        <v>101</v>
      </c>
      <c r="FE210" s="32">
        <v>141.69999999999999</v>
      </c>
      <c r="FF210" s="32">
        <v>94.5</v>
      </c>
      <c r="FG210" s="32">
        <v>85.9</v>
      </c>
      <c r="FH210" s="32">
        <v>91.1</v>
      </c>
      <c r="FI210" s="32">
        <v>98.8</v>
      </c>
      <c r="FJ210" s="32">
        <v>82.2</v>
      </c>
      <c r="FK210" s="32">
        <v>82.8</v>
      </c>
      <c r="FL210" s="32">
        <v>82.8</v>
      </c>
    </row>
    <row r="211" spans="1:168" x14ac:dyDescent="0.2">
      <c r="A211" s="34" t="s">
        <v>1191</v>
      </c>
      <c r="B211" s="32">
        <v>89.5</v>
      </c>
      <c r="C211" s="32">
        <v>110.7</v>
      </c>
      <c r="D211" s="32">
        <v>91.3</v>
      </c>
      <c r="E211" s="32">
        <v>90.5</v>
      </c>
      <c r="F211" s="32">
        <v>79.2</v>
      </c>
      <c r="G211" s="32">
        <v>2127.9</v>
      </c>
      <c r="H211" s="32">
        <v>75.900000000000006</v>
      </c>
      <c r="I211" s="32">
        <v>71.400000000000006</v>
      </c>
      <c r="J211" s="32">
        <v>94.4</v>
      </c>
      <c r="K211" s="32">
        <v>88.8</v>
      </c>
      <c r="L211" s="32">
        <v>85.2</v>
      </c>
      <c r="M211" s="32">
        <v>92.4</v>
      </c>
      <c r="N211" s="32">
        <v>73.099999999999994</v>
      </c>
      <c r="O211" s="32">
        <v>84.3</v>
      </c>
      <c r="P211" s="32">
        <v>116.1</v>
      </c>
      <c r="Q211" s="32">
        <v>77.2</v>
      </c>
      <c r="R211" s="32">
        <v>64.2</v>
      </c>
      <c r="S211" s="32">
        <v>103.9</v>
      </c>
      <c r="T211" s="32">
        <v>126.8</v>
      </c>
      <c r="U211" s="32">
        <v>76.599999999999994</v>
      </c>
      <c r="V211" s="32">
        <v>113.7</v>
      </c>
      <c r="W211" s="32">
        <v>71.900000000000006</v>
      </c>
      <c r="X211" s="32">
        <v>51.8</v>
      </c>
      <c r="Y211" s="32">
        <v>101.2</v>
      </c>
      <c r="Z211" s="32">
        <v>142.5</v>
      </c>
      <c r="AA211" s="32">
        <v>88.5</v>
      </c>
      <c r="AB211" s="32">
        <v>72.2</v>
      </c>
      <c r="AC211" s="32">
        <v>93</v>
      </c>
      <c r="AD211" s="32">
        <v>97</v>
      </c>
      <c r="AE211" s="32">
        <v>56.8</v>
      </c>
      <c r="AF211" s="32">
        <v>56.8</v>
      </c>
      <c r="AG211" s="32">
        <v>74.7</v>
      </c>
      <c r="AH211" s="32">
        <v>74.7</v>
      </c>
      <c r="AI211" s="32">
        <v>153.1</v>
      </c>
      <c r="AJ211" s="32">
        <v>39.6</v>
      </c>
      <c r="AK211" s="32">
        <v>90.3</v>
      </c>
      <c r="AL211" s="32">
        <v>82.6</v>
      </c>
      <c r="AM211" s="32">
        <v>69.900000000000006</v>
      </c>
      <c r="AN211" s="32">
        <v>105.5</v>
      </c>
      <c r="AO211" s="32">
        <v>97.8</v>
      </c>
      <c r="AP211" s="32">
        <v>97.8</v>
      </c>
      <c r="AQ211" s="32">
        <v>107.3</v>
      </c>
      <c r="AR211" s="32">
        <v>105.3</v>
      </c>
      <c r="AS211" s="32">
        <v>112.4</v>
      </c>
      <c r="AT211" s="32">
        <v>95.6</v>
      </c>
      <c r="AU211" s="32">
        <v>125.9</v>
      </c>
      <c r="AV211" s="32">
        <v>97.6</v>
      </c>
      <c r="AW211" s="32">
        <v>97.5</v>
      </c>
      <c r="AX211" s="32">
        <v>113</v>
      </c>
      <c r="AY211" s="32">
        <v>85.4</v>
      </c>
      <c r="AZ211" s="32">
        <v>99.2</v>
      </c>
      <c r="BA211" s="32">
        <v>96</v>
      </c>
      <c r="BB211" s="32">
        <v>96</v>
      </c>
      <c r="BC211" s="32">
        <v>94.2</v>
      </c>
      <c r="BD211" s="32">
        <v>94.2</v>
      </c>
      <c r="BE211" s="32">
        <v>116.2</v>
      </c>
      <c r="BF211" s="32">
        <v>116.2</v>
      </c>
      <c r="BG211" s="32">
        <v>100.4</v>
      </c>
      <c r="BH211" s="32">
        <v>117.2</v>
      </c>
      <c r="BI211" s="32">
        <v>82</v>
      </c>
      <c r="BJ211" s="32">
        <v>56.2</v>
      </c>
      <c r="BK211" s="32">
        <v>89.2</v>
      </c>
      <c r="BL211" s="32">
        <v>81.3</v>
      </c>
      <c r="BM211" s="32">
        <v>105.2</v>
      </c>
      <c r="BN211" s="32">
        <v>97</v>
      </c>
      <c r="BO211" s="32">
        <v>98.6</v>
      </c>
      <c r="BP211" s="32">
        <v>95.8</v>
      </c>
      <c r="BQ211" s="32">
        <v>115.3</v>
      </c>
      <c r="BR211" s="32">
        <v>115.2</v>
      </c>
      <c r="BS211" s="32">
        <v>158.30000000000001</v>
      </c>
      <c r="BT211" s="32">
        <v>102.9</v>
      </c>
      <c r="BU211" s="32">
        <v>76.099999999999994</v>
      </c>
      <c r="BV211" s="32">
        <v>76.099999999999994</v>
      </c>
      <c r="BW211" s="32">
        <v>90</v>
      </c>
      <c r="BX211" s="32">
        <v>47.8</v>
      </c>
      <c r="BY211" s="32">
        <v>92.3</v>
      </c>
      <c r="BZ211" s="32">
        <v>86</v>
      </c>
      <c r="CA211" s="32">
        <v>95.6</v>
      </c>
      <c r="CB211" s="32">
        <v>110.8</v>
      </c>
      <c r="CC211" s="32">
        <v>82.3</v>
      </c>
      <c r="CD211" s="32">
        <v>58.6</v>
      </c>
      <c r="CE211" s="32">
        <v>93.2</v>
      </c>
      <c r="CF211" s="32">
        <v>88.9</v>
      </c>
      <c r="CG211" s="32">
        <v>95</v>
      </c>
      <c r="CH211" s="32">
        <v>95.2</v>
      </c>
      <c r="CI211" s="32">
        <v>104.6</v>
      </c>
      <c r="CJ211" s="32">
        <v>98.6</v>
      </c>
      <c r="CK211" s="32">
        <v>90.9</v>
      </c>
      <c r="CL211" s="32">
        <v>97.7</v>
      </c>
      <c r="CM211" s="32">
        <v>107.7</v>
      </c>
      <c r="CN211" s="32">
        <v>106.2</v>
      </c>
      <c r="CO211" s="32">
        <v>108.8</v>
      </c>
      <c r="CP211" s="32">
        <v>120.5</v>
      </c>
      <c r="CQ211" s="32">
        <v>58.5</v>
      </c>
      <c r="CR211" s="32">
        <v>94</v>
      </c>
      <c r="CS211" s="32">
        <v>99.1</v>
      </c>
      <c r="CT211" s="32">
        <v>91.1</v>
      </c>
      <c r="CU211" s="32">
        <v>82.8</v>
      </c>
      <c r="CV211" s="32">
        <v>94.6</v>
      </c>
      <c r="CW211" s="32">
        <v>60.9</v>
      </c>
      <c r="CX211" s="32">
        <v>105</v>
      </c>
      <c r="CY211" s="32">
        <v>118.6</v>
      </c>
      <c r="CZ211" s="32">
        <v>97.9</v>
      </c>
      <c r="DA211" s="32">
        <v>87.8</v>
      </c>
      <c r="DB211" s="32">
        <v>117.4</v>
      </c>
      <c r="DC211" s="32">
        <v>26.6</v>
      </c>
      <c r="DD211" s="32">
        <v>26.6</v>
      </c>
      <c r="DE211" s="32">
        <v>79.8</v>
      </c>
      <c r="DF211" s="32">
        <v>77.900000000000006</v>
      </c>
      <c r="DG211" s="32">
        <v>91.2</v>
      </c>
      <c r="DH211" s="32">
        <v>94.5</v>
      </c>
      <c r="DI211" s="32">
        <v>113.7</v>
      </c>
      <c r="DJ211" s="32">
        <v>91.5</v>
      </c>
      <c r="DK211" s="32">
        <v>91.5</v>
      </c>
      <c r="DL211" s="32">
        <v>65.2</v>
      </c>
      <c r="DM211" s="32">
        <v>90.9</v>
      </c>
      <c r="DN211" s="32">
        <v>94.6</v>
      </c>
      <c r="DO211" s="32">
        <v>89.2</v>
      </c>
      <c r="DP211" s="32">
        <v>95.6</v>
      </c>
      <c r="DQ211" s="32">
        <v>88.4</v>
      </c>
      <c r="DR211" s="32">
        <v>89.5</v>
      </c>
      <c r="DS211" s="32">
        <v>92.4</v>
      </c>
      <c r="DT211" s="32">
        <v>90.8</v>
      </c>
      <c r="DU211" s="32">
        <v>91.5</v>
      </c>
      <c r="DV211" s="32">
        <v>95.4</v>
      </c>
      <c r="DW211" s="32">
        <v>86.9</v>
      </c>
      <c r="DX211" s="32">
        <v>89.2</v>
      </c>
      <c r="DY211" s="32">
        <v>97.9</v>
      </c>
      <c r="DZ211" s="32">
        <v>91.5</v>
      </c>
      <c r="EA211" s="32">
        <v>91.5</v>
      </c>
      <c r="EB211" s="32">
        <v>80.099999999999994</v>
      </c>
      <c r="EC211" s="32">
        <v>75.099999999999994</v>
      </c>
      <c r="ED211" s="32">
        <v>87.3</v>
      </c>
      <c r="EE211" s="32">
        <v>93.1</v>
      </c>
      <c r="EF211" s="32">
        <v>73.2</v>
      </c>
      <c r="EG211" s="32">
        <v>86.6</v>
      </c>
      <c r="EH211" s="32">
        <v>83.9</v>
      </c>
      <c r="EI211" s="32">
        <v>84.1</v>
      </c>
      <c r="EJ211" s="32">
        <v>82.2</v>
      </c>
      <c r="EK211" s="32">
        <v>91.3</v>
      </c>
      <c r="EL211" s="32">
        <v>87.6</v>
      </c>
      <c r="EM211" s="32">
        <v>81.2</v>
      </c>
      <c r="EN211" s="32">
        <v>98.4</v>
      </c>
      <c r="EO211" s="32">
        <v>91.2</v>
      </c>
      <c r="EP211" s="32">
        <v>92</v>
      </c>
      <c r="EQ211" s="32">
        <v>92</v>
      </c>
      <c r="ER211" s="32">
        <v>90</v>
      </c>
      <c r="ES211" s="32">
        <v>90</v>
      </c>
      <c r="ET211" s="32">
        <v>91.7</v>
      </c>
      <c r="EU211" s="32">
        <v>89.2</v>
      </c>
      <c r="EV211" s="32">
        <v>89.2</v>
      </c>
      <c r="EW211" s="32">
        <v>97.7</v>
      </c>
      <c r="EX211" s="32">
        <v>102</v>
      </c>
      <c r="EY211" s="32">
        <v>94.2</v>
      </c>
      <c r="EZ211" s="32">
        <v>92.4</v>
      </c>
      <c r="FA211" s="32">
        <v>102.7</v>
      </c>
      <c r="FB211" s="32">
        <v>111.3</v>
      </c>
      <c r="FC211" s="32">
        <v>94.9</v>
      </c>
      <c r="FD211" s="32">
        <v>100.1</v>
      </c>
      <c r="FE211" s="32">
        <v>142</v>
      </c>
      <c r="FF211" s="32">
        <v>92.4</v>
      </c>
      <c r="FG211" s="32">
        <v>85</v>
      </c>
      <c r="FH211" s="32">
        <v>92.2</v>
      </c>
      <c r="FI211" s="32">
        <v>98.9</v>
      </c>
      <c r="FJ211" s="32">
        <v>80.400000000000006</v>
      </c>
      <c r="FK211" s="32">
        <v>86.6</v>
      </c>
      <c r="FL211" s="32">
        <v>86.6</v>
      </c>
    </row>
    <row r="212" spans="1:168" x14ac:dyDescent="0.2">
      <c r="A212" s="34" t="s">
        <v>1192</v>
      </c>
      <c r="B212" s="32">
        <v>89.9</v>
      </c>
      <c r="C212" s="32">
        <v>115.6</v>
      </c>
      <c r="D212" s="32">
        <v>90.7</v>
      </c>
      <c r="E212" s="32">
        <v>89.8</v>
      </c>
      <c r="F212" s="32">
        <v>78.400000000000006</v>
      </c>
      <c r="G212" s="32">
        <v>2272.1999999999998</v>
      </c>
      <c r="H212" s="32">
        <v>74.400000000000006</v>
      </c>
      <c r="I212" s="32">
        <v>74.900000000000006</v>
      </c>
      <c r="J212" s="32">
        <v>94</v>
      </c>
      <c r="K212" s="32">
        <v>88.7</v>
      </c>
      <c r="L212" s="32">
        <v>85.6</v>
      </c>
      <c r="M212" s="32">
        <v>92.1</v>
      </c>
      <c r="N212" s="32">
        <v>75.8</v>
      </c>
      <c r="O212" s="32">
        <v>85</v>
      </c>
      <c r="P212" s="32">
        <v>123.4</v>
      </c>
      <c r="Q212" s="32">
        <v>74.900000000000006</v>
      </c>
      <c r="R212" s="32">
        <v>63.6</v>
      </c>
      <c r="S212" s="32">
        <v>102.4</v>
      </c>
      <c r="T212" s="32">
        <v>129.19999999999999</v>
      </c>
      <c r="U212" s="32">
        <v>75</v>
      </c>
      <c r="V212" s="32">
        <v>110.9</v>
      </c>
      <c r="W212" s="32">
        <v>72.2</v>
      </c>
      <c r="X212" s="32">
        <v>50.1</v>
      </c>
      <c r="Y212" s="32">
        <v>108.8</v>
      </c>
      <c r="Z212" s="32">
        <v>137.69999999999999</v>
      </c>
      <c r="AA212" s="32">
        <v>85.8</v>
      </c>
      <c r="AB212" s="32">
        <v>70.3</v>
      </c>
      <c r="AC212" s="32">
        <v>89.5</v>
      </c>
      <c r="AD212" s="32">
        <v>94.5</v>
      </c>
      <c r="AE212" s="32">
        <v>60.7</v>
      </c>
      <c r="AF212" s="32">
        <v>60.7</v>
      </c>
      <c r="AG212" s="32">
        <v>76</v>
      </c>
      <c r="AH212" s="32">
        <v>76</v>
      </c>
      <c r="AI212" s="32">
        <v>154.80000000000001</v>
      </c>
      <c r="AJ212" s="32">
        <v>41.8</v>
      </c>
      <c r="AK212" s="32">
        <v>106</v>
      </c>
      <c r="AL212" s="32">
        <v>81.599999999999994</v>
      </c>
      <c r="AM212" s="32">
        <v>69.400000000000006</v>
      </c>
      <c r="AN212" s="32">
        <v>106</v>
      </c>
      <c r="AO212" s="32">
        <v>97</v>
      </c>
      <c r="AP212" s="32">
        <v>97</v>
      </c>
      <c r="AQ212" s="32">
        <v>100.1</v>
      </c>
      <c r="AR212" s="32">
        <v>102.6</v>
      </c>
      <c r="AS212" s="32">
        <v>97.9</v>
      </c>
      <c r="AT212" s="32">
        <v>95.8</v>
      </c>
      <c r="AU212" s="32">
        <v>100</v>
      </c>
      <c r="AV212" s="32">
        <v>97.1</v>
      </c>
      <c r="AW212" s="32">
        <v>98.5</v>
      </c>
      <c r="AX212" s="32">
        <v>111.9</v>
      </c>
      <c r="AY212" s="32">
        <v>89.5</v>
      </c>
      <c r="AZ212" s="32">
        <v>98.2</v>
      </c>
      <c r="BA212" s="32">
        <v>95.8</v>
      </c>
      <c r="BB212" s="32">
        <v>95.8</v>
      </c>
      <c r="BC212" s="32">
        <v>97.4</v>
      </c>
      <c r="BD212" s="32">
        <v>97.4</v>
      </c>
      <c r="BE212" s="32">
        <v>112.2</v>
      </c>
      <c r="BF212" s="32">
        <v>112.2</v>
      </c>
      <c r="BG212" s="32">
        <v>102.4</v>
      </c>
      <c r="BH212" s="32">
        <v>121.3</v>
      </c>
      <c r="BI212" s="32">
        <v>81.599999999999994</v>
      </c>
      <c r="BJ212" s="32">
        <v>56.8</v>
      </c>
      <c r="BK212" s="32">
        <v>89.1</v>
      </c>
      <c r="BL212" s="32">
        <v>75.7</v>
      </c>
      <c r="BM212" s="32">
        <v>106.7</v>
      </c>
      <c r="BN212" s="32">
        <v>94.4</v>
      </c>
      <c r="BO212" s="32">
        <v>94.3</v>
      </c>
      <c r="BP212" s="32">
        <v>94.7</v>
      </c>
      <c r="BQ212" s="32">
        <v>121.9</v>
      </c>
      <c r="BR212" s="32">
        <v>144.4</v>
      </c>
      <c r="BS212" s="32">
        <v>159.5</v>
      </c>
      <c r="BT212" s="32">
        <v>106.9</v>
      </c>
      <c r="BU212" s="32">
        <v>74.2</v>
      </c>
      <c r="BV212" s="32">
        <v>74.2</v>
      </c>
      <c r="BW212" s="32">
        <v>88.8</v>
      </c>
      <c r="BX212" s="32">
        <v>45.4</v>
      </c>
      <c r="BY212" s="32">
        <v>91.2</v>
      </c>
      <c r="BZ212" s="32">
        <v>87.5</v>
      </c>
      <c r="CA212" s="32">
        <v>93.2</v>
      </c>
      <c r="CB212" s="32">
        <v>105</v>
      </c>
      <c r="CC212" s="32">
        <v>82.9</v>
      </c>
      <c r="CD212" s="32">
        <v>61.9</v>
      </c>
      <c r="CE212" s="32">
        <v>92.7</v>
      </c>
      <c r="CF212" s="32">
        <v>89.6</v>
      </c>
      <c r="CG212" s="32">
        <v>96.4</v>
      </c>
      <c r="CH212" s="32">
        <v>96.7</v>
      </c>
      <c r="CI212" s="32">
        <v>103.5</v>
      </c>
      <c r="CJ212" s="32">
        <v>100.9</v>
      </c>
      <c r="CK212" s="32">
        <v>92.6</v>
      </c>
      <c r="CL212" s="32">
        <v>99.2</v>
      </c>
      <c r="CM212" s="32">
        <v>109.6</v>
      </c>
      <c r="CN212" s="32">
        <v>109.3</v>
      </c>
      <c r="CO212" s="32">
        <v>110.3</v>
      </c>
      <c r="CP212" s="32">
        <v>119.8</v>
      </c>
      <c r="CQ212" s="32">
        <v>59.5</v>
      </c>
      <c r="CR212" s="32">
        <v>94.2</v>
      </c>
      <c r="CS212" s="32">
        <v>103.5</v>
      </c>
      <c r="CT212" s="32">
        <v>91.9</v>
      </c>
      <c r="CU212" s="32">
        <v>81.7</v>
      </c>
      <c r="CV212" s="32">
        <v>96.4</v>
      </c>
      <c r="CW212" s="32">
        <v>61.5</v>
      </c>
      <c r="CX212" s="32">
        <v>104.2</v>
      </c>
      <c r="CY212" s="32">
        <v>114.1</v>
      </c>
      <c r="CZ212" s="32">
        <v>99</v>
      </c>
      <c r="DA212" s="32">
        <v>88.6</v>
      </c>
      <c r="DB212" s="32">
        <v>118.8</v>
      </c>
      <c r="DC212" s="32">
        <v>28</v>
      </c>
      <c r="DD212" s="32">
        <v>28</v>
      </c>
      <c r="DE212" s="32">
        <v>79</v>
      </c>
      <c r="DF212" s="32">
        <v>76.7</v>
      </c>
      <c r="DG212" s="32">
        <v>93</v>
      </c>
      <c r="DH212" s="32">
        <v>96.3</v>
      </c>
      <c r="DI212" s="32">
        <v>114.3</v>
      </c>
      <c r="DJ212" s="32">
        <v>93.9</v>
      </c>
      <c r="DK212" s="32">
        <v>93.9</v>
      </c>
      <c r="DL212" s="32">
        <v>68.400000000000006</v>
      </c>
      <c r="DM212" s="32">
        <v>91.2</v>
      </c>
      <c r="DN212" s="32">
        <v>94.7</v>
      </c>
      <c r="DO212" s="32">
        <v>89.5</v>
      </c>
      <c r="DP212" s="32">
        <v>98.8</v>
      </c>
      <c r="DQ212" s="32">
        <v>88.7</v>
      </c>
      <c r="DR212" s="32">
        <v>89.9</v>
      </c>
      <c r="DS212" s="32">
        <v>92.3</v>
      </c>
      <c r="DT212" s="32">
        <v>90.1</v>
      </c>
      <c r="DU212" s="32">
        <v>90.6</v>
      </c>
      <c r="DV212" s="32">
        <v>96.3</v>
      </c>
      <c r="DW212" s="32">
        <v>83.9</v>
      </c>
      <c r="DX212" s="32">
        <v>89</v>
      </c>
      <c r="DY212" s="32">
        <v>99.6</v>
      </c>
      <c r="DZ212" s="32">
        <v>90.3</v>
      </c>
      <c r="EA212" s="32">
        <v>90.3</v>
      </c>
      <c r="EB212" s="32">
        <v>82.4</v>
      </c>
      <c r="EC212" s="32">
        <v>77</v>
      </c>
      <c r="ED212" s="32">
        <v>90.2</v>
      </c>
      <c r="EE212" s="32">
        <v>97.7</v>
      </c>
      <c r="EF212" s="32">
        <v>71.900000000000006</v>
      </c>
      <c r="EG212" s="32">
        <v>86.8</v>
      </c>
      <c r="EH212" s="32">
        <v>82.3</v>
      </c>
      <c r="EI212" s="32">
        <v>85.4</v>
      </c>
      <c r="EJ212" s="32">
        <v>88.6</v>
      </c>
      <c r="EK212" s="32">
        <v>90.1</v>
      </c>
      <c r="EL212" s="32">
        <v>85.9</v>
      </c>
      <c r="EM212" s="32">
        <v>79.8</v>
      </c>
      <c r="EN212" s="32">
        <v>97.3</v>
      </c>
      <c r="EO212" s="32">
        <v>91.3</v>
      </c>
      <c r="EP212" s="32">
        <v>92</v>
      </c>
      <c r="EQ212" s="32">
        <v>92</v>
      </c>
      <c r="ER212" s="32">
        <v>90.2</v>
      </c>
      <c r="ES212" s="32">
        <v>90.2</v>
      </c>
      <c r="ET212" s="32">
        <v>91.7</v>
      </c>
      <c r="EU212" s="32">
        <v>89.5</v>
      </c>
      <c r="EV212" s="32">
        <v>89.5</v>
      </c>
      <c r="EW212" s="32">
        <v>96.8</v>
      </c>
      <c r="EX212" s="32">
        <v>101.6</v>
      </c>
      <c r="EY212" s="32">
        <v>93</v>
      </c>
      <c r="EZ212" s="32">
        <v>92.2</v>
      </c>
      <c r="FA212" s="32">
        <v>101.1</v>
      </c>
      <c r="FB212" s="32">
        <v>109.8</v>
      </c>
      <c r="FC212" s="32">
        <v>91.2</v>
      </c>
      <c r="FD212" s="32">
        <v>101</v>
      </c>
      <c r="FE212" s="32">
        <v>143.30000000000001</v>
      </c>
      <c r="FF212" s="32">
        <v>90.5</v>
      </c>
      <c r="FG212" s="32">
        <v>86.1</v>
      </c>
      <c r="FH212" s="32">
        <v>93.5</v>
      </c>
      <c r="FI212" s="32">
        <v>95.4</v>
      </c>
      <c r="FJ212" s="32">
        <v>82</v>
      </c>
      <c r="FK212" s="32">
        <v>83.5</v>
      </c>
      <c r="FL212" s="32">
        <v>83.5</v>
      </c>
    </row>
    <row r="213" spans="1:168" x14ac:dyDescent="0.2">
      <c r="A213" s="34" t="s">
        <v>1193</v>
      </c>
      <c r="B213" s="32">
        <v>90.2</v>
      </c>
      <c r="C213" s="32">
        <v>119.3</v>
      </c>
      <c r="D213" s="32">
        <v>91.6</v>
      </c>
      <c r="E213" s="32">
        <v>90.2</v>
      </c>
      <c r="F213" s="32">
        <v>76.7</v>
      </c>
      <c r="G213" s="32">
        <v>2010.7</v>
      </c>
      <c r="H213" s="32">
        <v>72.3</v>
      </c>
      <c r="I213" s="32">
        <v>76.8</v>
      </c>
      <c r="J213" s="32">
        <v>95</v>
      </c>
      <c r="K213" s="32">
        <v>88.9</v>
      </c>
      <c r="L213" s="32">
        <v>86.2</v>
      </c>
      <c r="M213" s="32">
        <v>95.1</v>
      </c>
      <c r="N213" s="32">
        <v>73.5</v>
      </c>
      <c r="O213" s="32">
        <v>81.599999999999994</v>
      </c>
      <c r="P213" s="32">
        <v>129</v>
      </c>
      <c r="Q213" s="32">
        <v>75.900000000000006</v>
      </c>
      <c r="R213" s="32">
        <v>63.2</v>
      </c>
      <c r="S213" s="32">
        <v>101.1</v>
      </c>
      <c r="T213" s="32">
        <v>131</v>
      </c>
      <c r="U213" s="32">
        <v>71.599999999999994</v>
      </c>
      <c r="V213" s="32">
        <v>110.6</v>
      </c>
      <c r="W213" s="32">
        <v>72.599999999999994</v>
      </c>
      <c r="X213" s="32">
        <v>49.7</v>
      </c>
      <c r="Y213" s="32">
        <v>112</v>
      </c>
      <c r="Z213" s="32">
        <v>134.5</v>
      </c>
      <c r="AA213" s="32">
        <v>87.3</v>
      </c>
      <c r="AB213" s="32">
        <v>70.099999999999994</v>
      </c>
      <c r="AC213" s="32">
        <v>91.7</v>
      </c>
      <c r="AD213" s="32">
        <v>96.4</v>
      </c>
      <c r="AE213" s="32">
        <v>63.2</v>
      </c>
      <c r="AF213" s="32">
        <v>63.2</v>
      </c>
      <c r="AG213" s="32">
        <v>76.5</v>
      </c>
      <c r="AH213" s="32">
        <v>76.5</v>
      </c>
      <c r="AI213" s="32">
        <v>151.6</v>
      </c>
      <c r="AJ213" s="32">
        <v>42.7</v>
      </c>
      <c r="AK213" s="32">
        <v>103.9</v>
      </c>
      <c r="AL213" s="32">
        <v>84.9</v>
      </c>
      <c r="AM213" s="32">
        <v>69.7</v>
      </c>
      <c r="AN213" s="32">
        <v>107</v>
      </c>
      <c r="AO213" s="32">
        <v>100.3</v>
      </c>
      <c r="AP213" s="32">
        <v>100.3</v>
      </c>
      <c r="AQ213" s="32">
        <v>101.4</v>
      </c>
      <c r="AR213" s="32">
        <v>102.5</v>
      </c>
      <c r="AS213" s="32">
        <v>101.5</v>
      </c>
      <c r="AT213" s="32">
        <v>95</v>
      </c>
      <c r="AU213" s="32">
        <v>106.9</v>
      </c>
      <c r="AV213" s="32">
        <v>97.7</v>
      </c>
      <c r="AW213" s="32">
        <v>98.1</v>
      </c>
      <c r="AX213" s="32">
        <v>107.7</v>
      </c>
      <c r="AY213" s="32">
        <v>94</v>
      </c>
      <c r="AZ213" s="32">
        <v>99.1</v>
      </c>
      <c r="BA213" s="32">
        <v>98.7</v>
      </c>
      <c r="BB213" s="32">
        <v>98.7</v>
      </c>
      <c r="BC213" s="32">
        <v>95.6</v>
      </c>
      <c r="BD213" s="32">
        <v>95.6</v>
      </c>
      <c r="BE213" s="32">
        <v>111.9</v>
      </c>
      <c r="BF213" s="32">
        <v>111.9</v>
      </c>
      <c r="BG213" s="32">
        <v>104.1</v>
      </c>
      <c r="BH213" s="32">
        <v>124.8</v>
      </c>
      <c r="BI213" s="32">
        <v>81.400000000000006</v>
      </c>
      <c r="BJ213" s="32">
        <v>57.4</v>
      </c>
      <c r="BK213" s="32">
        <v>89</v>
      </c>
      <c r="BL213" s="32">
        <v>72.400000000000006</v>
      </c>
      <c r="BM213" s="32">
        <v>106.5</v>
      </c>
      <c r="BN213" s="32">
        <v>98.1</v>
      </c>
      <c r="BO213" s="32">
        <v>95.3</v>
      </c>
      <c r="BP213" s="32">
        <v>101</v>
      </c>
      <c r="BQ213" s="32">
        <v>116.7</v>
      </c>
      <c r="BR213" s="32">
        <v>133</v>
      </c>
      <c r="BS213" s="32">
        <v>161.4</v>
      </c>
      <c r="BT213" s="32">
        <v>101.1</v>
      </c>
      <c r="BU213" s="32">
        <v>74.5</v>
      </c>
      <c r="BV213" s="32">
        <v>74.5</v>
      </c>
      <c r="BW213" s="32">
        <v>89.3</v>
      </c>
      <c r="BX213" s="32">
        <v>45.6</v>
      </c>
      <c r="BY213" s="32">
        <v>89.9</v>
      </c>
      <c r="BZ213" s="32">
        <v>86.5</v>
      </c>
      <c r="CA213" s="32">
        <v>91.7</v>
      </c>
      <c r="CB213" s="32">
        <v>101.4</v>
      </c>
      <c r="CC213" s="32">
        <v>83.5</v>
      </c>
      <c r="CD213" s="32">
        <v>62.2</v>
      </c>
      <c r="CE213" s="32">
        <v>95.1</v>
      </c>
      <c r="CF213" s="32">
        <v>89.6</v>
      </c>
      <c r="CG213" s="32">
        <v>96.4</v>
      </c>
      <c r="CH213" s="32">
        <v>96.9</v>
      </c>
      <c r="CI213" s="32">
        <v>105.9</v>
      </c>
      <c r="CJ213" s="32">
        <v>100.5</v>
      </c>
      <c r="CK213" s="32">
        <v>92.6</v>
      </c>
      <c r="CL213" s="32">
        <v>97.6</v>
      </c>
      <c r="CM213" s="32">
        <v>107.6</v>
      </c>
      <c r="CN213" s="32">
        <v>111</v>
      </c>
      <c r="CO213" s="32">
        <v>107.5</v>
      </c>
      <c r="CP213" s="32">
        <v>119.4</v>
      </c>
      <c r="CQ213" s="32">
        <v>60.5</v>
      </c>
      <c r="CR213" s="32">
        <v>93.7</v>
      </c>
      <c r="CS213" s="32">
        <v>98.1</v>
      </c>
      <c r="CT213" s="32">
        <v>93.4</v>
      </c>
      <c r="CU213" s="32">
        <v>84.8</v>
      </c>
      <c r="CV213" s="32">
        <v>97.2</v>
      </c>
      <c r="CW213" s="32">
        <v>63</v>
      </c>
      <c r="CX213" s="32">
        <v>104</v>
      </c>
      <c r="CY213" s="32">
        <v>110.5</v>
      </c>
      <c r="CZ213" s="32">
        <v>100.5</v>
      </c>
      <c r="DA213" s="32">
        <v>91</v>
      </c>
      <c r="DB213" s="32">
        <v>118.7</v>
      </c>
      <c r="DC213" s="32">
        <v>29.1</v>
      </c>
      <c r="DD213" s="32">
        <v>29.1</v>
      </c>
      <c r="DE213" s="32">
        <v>81.3</v>
      </c>
      <c r="DF213" s="32">
        <v>79.599999999999994</v>
      </c>
      <c r="DG213" s="32">
        <v>91.4</v>
      </c>
      <c r="DH213" s="32">
        <v>95.9</v>
      </c>
      <c r="DI213" s="32">
        <v>112.1</v>
      </c>
      <c r="DJ213" s="32">
        <v>96.7</v>
      </c>
      <c r="DK213" s="32">
        <v>96.7</v>
      </c>
      <c r="DL213" s="32">
        <v>67.599999999999994</v>
      </c>
      <c r="DM213" s="32">
        <v>91.1</v>
      </c>
      <c r="DN213" s="32">
        <v>94.4</v>
      </c>
      <c r="DO213" s="32">
        <v>89.3</v>
      </c>
      <c r="DP213" s="32">
        <v>100.6</v>
      </c>
      <c r="DQ213" s="32">
        <v>88.4</v>
      </c>
      <c r="DR213" s="32">
        <v>89.7</v>
      </c>
      <c r="DS213" s="32">
        <v>91.4</v>
      </c>
      <c r="DT213" s="32">
        <v>89.3</v>
      </c>
      <c r="DU213" s="32">
        <v>89.3</v>
      </c>
      <c r="DV213" s="32">
        <v>92.9</v>
      </c>
      <c r="DW213" s="32">
        <v>85.1</v>
      </c>
      <c r="DX213" s="32">
        <v>89.3</v>
      </c>
      <c r="DY213" s="32">
        <v>98.6</v>
      </c>
      <c r="DZ213" s="32">
        <v>94.6</v>
      </c>
      <c r="EA213" s="32">
        <v>94.6</v>
      </c>
      <c r="EB213" s="32">
        <v>82.7</v>
      </c>
      <c r="EC213" s="32">
        <v>77.2</v>
      </c>
      <c r="ED213" s="32">
        <v>90.5</v>
      </c>
      <c r="EE213" s="32">
        <v>98</v>
      </c>
      <c r="EF213" s="32">
        <v>72</v>
      </c>
      <c r="EG213" s="32">
        <v>86.4</v>
      </c>
      <c r="EH213" s="32">
        <v>83.8</v>
      </c>
      <c r="EI213" s="32">
        <v>84.5</v>
      </c>
      <c r="EJ213" s="32">
        <v>88.7</v>
      </c>
      <c r="EK213" s="32">
        <v>88.9</v>
      </c>
      <c r="EL213" s="32">
        <v>84.5</v>
      </c>
      <c r="EM213" s="32">
        <v>76.3</v>
      </c>
      <c r="EN213" s="32">
        <v>97.7</v>
      </c>
      <c r="EO213" s="32">
        <v>91.3</v>
      </c>
      <c r="EP213" s="32">
        <v>91.8</v>
      </c>
      <c r="EQ213" s="32">
        <v>91.8</v>
      </c>
      <c r="ER213" s="32">
        <v>90.2</v>
      </c>
      <c r="ES213" s="32">
        <v>90.2</v>
      </c>
      <c r="ET213" s="32">
        <v>91.8</v>
      </c>
      <c r="EU213" s="32">
        <v>90</v>
      </c>
      <c r="EV213" s="32">
        <v>90</v>
      </c>
      <c r="EW213" s="32">
        <v>95.7</v>
      </c>
      <c r="EX213" s="32">
        <v>101</v>
      </c>
      <c r="EY213" s="32">
        <v>91.6</v>
      </c>
      <c r="EZ213" s="32">
        <v>92</v>
      </c>
      <c r="FA213" s="32">
        <v>99.8</v>
      </c>
      <c r="FB213" s="32">
        <v>107.4</v>
      </c>
      <c r="FC213" s="32">
        <v>86.5</v>
      </c>
      <c r="FD213" s="32">
        <v>100.1</v>
      </c>
      <c r="FE213" s="32">
        <v>144.19999999999999</v>
      </c>
      <c r="FF213" s="32">
        <v>90.5</v>
      </c>
      <c r="FG213" s="32">
        <v>87.3</v>
      </c>
      <c r="FH213" s="32">
        <v>93.7</v>
      </c>
      <c r="FI213" s="32">
        <v>104.1</v>
      </c>
      <c r="FJ213" s="32">
        <v>82.7</v>
      </c>
      <c r="FK213" s="32">
        <v>78.3</v>
      </c>
      <c r="FL213" s="32">
        <v>78.3</v>
      </c>
    </row>
    <row r="214" spans="1:168" x14ac:dyDescent="0.2">
      <c r="A214" s="34" t="s">
        <v>1194</v>
      </c>
      <c r="B214" s="32">
        <v>90.3</v>
      </c>
      <c r="C214" s="32">
        <v>119</v>
      </c>
      <c r="D214" s="32">
        <v>90.9</v>
      </c>
      <c r="E214" s="32">
        <v>89.7</v>
      </c>
      <c r="F214" s="32">
        <v>80.5</v>
      </c>
      <c r="G214" s="32">
        <v>2555.5</v>
      </c>
      <c r="H214" s="32">
        <v>75.900000000000006</v>
      </c>
      <c r="I214" s="32">
        <v>79.099999999999994</v>
      </c>
      <c r="J214" s="32">
        <v>93.4</v>
      </c>
      <c r="K214" s="32">
        <v>87.8</v>
      </c>
      <c r="L214" s="32">
        <v>84.4</v>
      </c>
      <c r="M214" s="32">
        <v>92.7</v>
      </c>
      <c r="N214" s="32">
        <v>71.599999999999994</v>
      </c>
      <c r="O214" s="32">
        <v>81.900000000000006</v>
      </c>
      <c r="P214" s="32">
        <v>132.19999999999999</v>
      </c>
      <c r="Q214" s="32">
        <v>77.2</v>
      </c>
      <c r="R214" s="32">
        <v>60.5</v>
      </c>
      <c r="S214" s="32">
        <v>96.9</v>
      </c>
      <c r="T214" s="32">
        <v>130.6</v>
      </c>
      <c r="U214" s="32">
        <v>74.5</v>
      </c>
      <c r="V214" s="32">
        <v>112.4</v>
      </c>
      <c r="W214" s="32">
        <v>78.8</v>
      </c>
      <c r="X214" s="32">
        <v>49.9</v>
      </c>
      <c r="Y214" s="32">
        <v>134.6</v>
      </c>
      <c r="Z214" s="32">
        <v>148.30000000000001</v>
      </c>
      <c r="AA214" s="32">
        <v>87.3</v>
      </c>
      <c r="AB214" s="32">
        <v>69</v>
      </c>
      <c r="AC214" s="32">
        <v>92.1</v>
      </c>
      <c r="AD214" s="32">
        <v>97</v>
      </c>
      <c r="AE214" s="32">
        <v>63.6</v>
      </c>
      <c r="AF214" s="32">
        <v>63.6</v>
      </c>
      <c r="AG214" s="32">
        <v>77.599999999999994</v>
      </c>
      <c r="AH214" s="32">
        <v>77.599999999999994</v>
      </c>
      <c r="AI214" s="32">
        <v>140.1</v>
      </c>
      <c r="AJ214" s="32">
        <v>44.8</v>
      </c>
      <c r="AK214" s="32">
        <v>94</v>
      </c>
      <c r="AL214" s="32">
        <v>86.4</v>
      </c>
      <c r="AM214" s="32">
        <v>73.8</v>
      </c>
      <c r="AN214" s="32">
        <v>106.5</v>
      </c>
      <c r="AO214" s="32">
        <v>94.5</v>
      </c>
      <c r="AP214" s="32">
        <v>94.5</v>
      </c>
      <c r="AQ214" s="32">
        <v>98.6</v>
      </c>
      <c r="AR214" s="32">
        <v>100.3</v>
      </c>
      <c r="AS214" s="32">
        <v>97.5</v>
      </c>
      <c r="AT214" s="32">
        <v>90</v>
      </c>
      <c r="AU214" s="32">
        <v>103.7</v>
      </c>
      <c r="AV214" s="32">
        <v>97.4</v>
      </c>
      <c r="AW214" s="32">
        <v>99.1</v>
      </c>
      <c r="AX214" s="32">
        <v>105.5</v>
      </c>
      <c r="AY214" s="32">
        <v>99.3</v>
      </c>
      <c r="AZ214" s="32">
        <v>98.4</v>
      </c>
      <c r="BA214" s="32">
        <v>91.2</v>
      </c>
      <c r="BB214" s="32">
        <v>91.2</v>
      </c>
      <c r="BC214" s="32">
        <v>93.7</v>
      </c>
      <c r="BD214" s="32">
        <v>93.7</v>
      </c>
      <c r="BE214" s="32">
        <v>110.6</v>
      </c>
      <c r="BF214" s="32">
        <v>110.6</v>
      </c>
      <c r="BG214" s="32">
        <v>101.6</v>
      </c>
      <c r="BH214" s="32">
        <v>119.6</v>
      </c>
      <c r="BI214" s="32">
        <v>81.8</v>
      </c>
      <c r="BJ214" s="32">
        <v>58.1</v>
      </c>
      <c r="BK214" s="32">
        <v>89.6</v>
      </c>
      <c r="BL214" s="32">
        <v>70.2</v>
      </c>
      <c r="BM214" s="32">
        <v>104.8</v>
      </c>
      <c r="BN214" s="32">
        <v>97.1</v>
      </c>
      <c r="BO214" s="32">
        <v>92.6</v>
      </c>
      <c r="BP214" s="32">
        <v>101.4</v>
      </c>
      <c r="BQ214" s="32">
        <v>114.4</v>
      </c>
      <c r="BR214" s="32">
        <v>119.8</v>
      </c>
      <c r="BS214" s="32">
        <v>166.2</v>
      </c>
      <c r="BT214" s="32">
        <v>98.8</v>
      </c>
      <c r="BU214" s="32">
        <v>76.3</v>
      </c>
      <c r="BV214" s="32">
        <v>76.3</v>
      </c>
      <c r="BW214" s="32">
        <v>91</v>
      </c>
      <c r="BX214" s="32">
        <v>47.2</v>
      </c>
      <c r="BY214" s="32">
        <v>89.2</v>
      </c>
      <c r="BZ214" s="32">
        <v>85.8</v>
      </c>
      <c r="CA214" s="32">
        <v>91</v>
      </c>
      <c r="CB214" s="32">
        <v>100</v>
      </c>
      <c r="CC214" s="32">
        <v>83.4</v>
      </c>
      <c r="CD214" s="32">
        <v>64.099999999999994</v>
      </c>
      <c r="CE214" s="32">
        <v>93.7</v>
      </c>
      <c r="CF214" s="32">
        <v>90</v>
      </c>
      <c r="CG214" s="32">
        <v>96.8</v>
      </c>
      <c r="CH214" s="32">
        <v>96.9</v>
      </c>
      <c r="CI214" s="32">
        <v>105.1</v>
      </c>
      <c r="CJ214" s="32">
        <v>100.6</v>
      </c>
      <c r="CK214" s="32">
        <v>92.8</v>
      </c>
      <c r="CL214" s="32">
        <v>99</v>
      </c>
      <c r="CM214" s="32">
        <v>110.2</v>
      </c>
      <c r="CN214" s="32">
        <v>114.6</v>
      </c>
      <c r="CO214" s="32">
        <v>109.8</v>
      </c>
      <c r="CP214" s="32">
        <v>118.9</v>
      </c>
      <c r="CQ214" s="32">
        <v>59.8</v>
      </c>
      <c r="CR214" s="32">
        <v>94.9</v>
      </c>
      <c r="CS214" s="32">
        <v>99.6</v>
      </c>
      <c r="CT214" s="32">
        <v>94.1</v>
      </c>
      <c r="CU214" s="32">
        <v>88.1</v>
      </c>
      <c r="CV214" s="32">
        <v>96.6</v>
      </c>
      <c r="CW214" s="32">
        <v>64.599999999999994</v>
      </c>
      <c r="CX214" s="32">
        <v>103.5</v>
      </c>
      <c r="CY214" s="32">
        <v>116</v>
      </c>
      <c r="CZ214" s="32">
        <v>97</v>
      </c>
      <c r="DA214" s="32">
        <v>85.9</v>
      </c>
      <c r="DB214" s="32">
        <v>118</v>
      </c>
      <c r="DC214" s="32">
        <v>30</v>
      </c>
      <c r="DD214" s="32">
        <v>30</v>
      </c>
      <c r="DE214" s="32">
        <v>84.5</v>
      </c>
      <c r="DF214" s="32">
        <v>82</v>
      </c>
      <c r="DG214" s="32">
        <v>99.7</v>
      </c>
      <c r="DH214" s="32">
        <v>95.9</v>
      </c>
      <c r="DI214" s="32">
        <v>110.5</v>
      </c>
      <c r="DJ214" s="32">
        <v>97.8</v>
      </c>
      <c r="DK214" s="32">
        <v>97.8</v>
      </c>
      <c r="DL214" s="32">
        <v>68.8</v>
      </c>
      <c r="DM214" s="32">
        <v>91.6</v>
      </c>
      <c r="DN214" s="32">
        <v>95.6</v>
      </c>
      <c r="DO214" s="32">
        <v>89.5</v>
      </c>
      <c r="DP214" s="32">
        <v>102.4</v>
      </c>
      <c r="DQ214" s="32">
        <v>88.9</v>
      </c>
      <c r="DR214" s="32">
        <v>89.5</v>
      </c>
      <c r="DS214" s="32">
        <v>92.3</v>
      </c>
      <c r="DT214" s="32">
        <v>89.8</v>
      </c>
      <c r="DU214" s="32">
        <v>89.6</v>
      </c>
      <c r="DV214" s="32">
        <v>94.7</v>
      </c>
      <c r="DW214" s="32">
        <v>83.5</v>
      </c>
      <c r="DX214" s="32">
        <v>90.2</v>
      </c>
      <c r="DY214" s="32">
        <v>100.5</v>
      </c>
      <c r="DZ214" s="32">
        <v>92.3</v>
      </c>
      <c r="EA214" s="32">
        <v>92.3</v>
      </c>
      <c r="EB214" s="32">
        <v>80.2</v>
      </c>
      <c r="EC214" s="32">
        <v>76.3</v>
      </c>
      <c r="ED214" s="32">
        <v>85.8</v>
      </c>
      <c r="EE214" s="32">
        <v>92.3</v>
      </c>
      <c r="EF214" s="32">
        <v>69.900000000000006</v>
      </c>
      <c r="EG214" s="32">
        <v>87.9</v>
      </c>
      <c r="EH214" s="32">
        <v>85.4</v>
      </c>
      <c r="EI214" s="32">
        <v>85.5</v>
      </c>
      <c r="EJ214" s="32">
        <v>91.2</v>
      </c>
      <c r="EK214" s="32">
        <v>90.4</v>
      </c>
      <c r="EL214" s="32">
        <v>87</v>
      </c>
      <c r="EM214" s="32">
        <v>76.7</v>
      </c>
      <c r="EN214" s="32">
        <v>99.8</v>
      </c>
      <c r="EO214" s="32">
        <v>91.1</v>
      </c>
      <c r="EP214" s="32">
        <v>91.8</v>
      </c>
      <c r="EQ214" s="32">
        <v>91.8</v>
      </c>
      <c r="ER214" s="32">
        <v>89.8</v>
      </c>
      <c r="ES214" s="32">
        <v>89.8</v>
      </c>
      <c r="ET214" s="32">
        <v>91.7</v>
      </c>
      <c r="EU214" s="32">
        <v>90.2</v>
      </c>
      <c r="EV214" s="32">
        <v>90.2</v>
      </c>
      <c r="EW214" s="32">
        <v>95.1</v>
      </c>
      <c r="EX214" s="32">
        <v>100.7</v>
      </c>
      <c r="EY214" s="32">
        <v>90.7</v>
      </c>
      <c r="EZ214" s="32">
        <v>92</v>
      </c>
      <c r="FA214" s="32">
        <v>98.6</v>
      </c>
      <c r="FB214" s="32">
        <v>105.7</v>
      </c>
      <c r="FC214" s="32">
        <v>83.7</v>
      </c>
      <c r="FD214" s="32">
        <v>101.2</v>
      </c>
      <c r="FE214" s="32">
        <v>142.9</v>
      </c>
      <c r="FF214" s="32">
        <v>90.1</v>
      </c>
      <c r="FG214" s="32">
        <v>89</v>
      </c>
      <c r="FH214" s="32">
        <v>93</v>
      </c>
      <c r="FI214" s="32">
        <v>119.1</v>
      </c>
      <c r="FJ214" s="32">
        <v>83.9</v>
      </c>
      <c r="FK214" s="32">
        <v>71.3</v>
      </c>
      <c r="FL214" s="32">
        <v>71.3</v>
      </c>
    </row>
    <row r="215" spans="1:168" x14ac:dyDescent="0.2">
      <c r="A215" s="34" t="s">
        <v>1195</v>
      </c>
      <c r="B215" s="32">
        <v>90.6</v>
      </c>
      <c r="C215" s="32">
        <v>118.8</v>
      </c>
      <c r="D215" s="32">
        <v>91.3</v>
      </c>
      <c r="E215" s="32">
        <v>90</v>
      </c>
      <c r="F215" s="32">
        <v>77.099999999999994</v>
      </c>
      <c r="G215" s="32">
        <v>2703.4</v>
      </c>
      <c r="H215" s="32">
        <v>71.8</v>
      </c>
      <c r="I215" s="32">
        <v>81.3</v>
      </c>
      <c r="J215" s="32">
        <v>94.1</v>
      </c>
      <c r="K215" s="32">
        <v>87.6</v>
      </c>
      <c r="L215" s="32">
        <v>84.4</v>
      </c>
      <c r="M215" s="32">
        <v>92.4</v>
      </c>
      <c r="N215" s="32">
        <v>73.3</v>
      </c>
      <c r="O215" s="32">
        <v>79.7</v>
      </c>
      <c r="P215" s="32">
        <v>130.5</v>
      </c>
      <c r="Q215" s="32">
        <v>79</v>
      </c>
      <c r="R215" s="32">
        <v>60.5</v>
      </c>
      <c r="S215" s="32">
        <v>96.6</v>
      </c>
      <c r="T215" s="32">
        <v>130.5</v>
      </c>
      <c r="U215" s="32">
        <v>73.2</v>
      </c>
      <c r="V215" s="32">
        <v>110.7</v>
      </c>
      <c r="W215" s="32">
        <v>70.5</v>
      </c>
      <c r="X215" s="32">
        <v>48.9</v>
      </c>
      <c r="Y215" s="32">
        <v>102.5</v>
      </c>
      <c r="Z215" s="32">
        <v>155.30000000000001</v>
      </c>
      <c r="AA215" s="32">
        <v>87</v>
      </c>
      <c r="AB215" s="32">
        <v>69.8</v>
      </c>
      <c r="AC215" s="32">
        <v>91.8</v>
      </c>
      <c r="AD215" s="32">
        <v>95.9</v>
      </c>
      <c r="AE215" s="32">
        <v>62.7</v>
      </c>
      <c r="AF215" s="32">
        <v>62.7</v>
      </c>
      <c r="AG215" s="32">
        <v>78.3</v>
      </c>
      <c r="AH215" s="32">
        <v>78.3</v>
      </c>
      <c r="AI215" s="32">
        <v>128.1</v>
      </c>
      <c r="AJ215" s="32">
        <v>47.6</v>
      </c>
      <c r="AK215" s="32">
        <v>90.4</v>
      </c>
      <c r="AL215" s="32">
        <v>87.4</v>
      </c>
      <c r="AM215" s="32">
        <v>74.900000000000006</v>
      </c>
      <c r="AN215" s="32">
        <v>109.1</v>
      </c>
      <c r="AO215" s="32">
        <v>94</v>
      </c>
      <c r="AP215" s="32">
        <v>94</v>
      </c>
      <c r="AQ215" s="32">
        <v>99.1</v>
      </c>
      <c r="AR215" s="32">
        <v>101</v>
      </c>
      <c r="AS215" s="32">
        <v>97.7</v>
      </c>
      <c r="AT215" s="32">
        <v>88.5</v>
      </c>
      <c r="AU215" s="32">
        <v>105.3</v>
      </c>
      <c r="AV215" s="32">
        <v>97.9</v>
      </c>
      <c r="AW215" s="32">
        <v>105.7</v>
      </c>
      <c r="AX215" s="32">
        <v>112.2</v>
      </c>
      <c r="AY215" s="32">
        <v>106.6</v>
      </c>
      <c r="AZ215" s="32">
        <v>97.5</v>
      </c>
      <c r="BA215" s="32">
        <v>90.5</v>
      </c>
      <c r="BB215" s="32">
        <v>90.5</v>
      </c>
      <c r="BC215" s="32">
        <v>98.9</v>
      </c>
      <c r="BD215" s="32">
        <v>98.9</v>
      </c>
      <c r="BE215" s="32">
        <v>112.2</v>
      </c>
      <c r="BF215" s="32">
        <v>112.2</v>
      </c>
      <c r="BG215" s="32">
        <v>107.7</v>
      </c>
      <c r="BH215" s="32">
        <v>130.1</v>
      </c>
      <c r="BI215" s="32">
        <v>83</v>
      </c>
      <c r="BJ215" s="32">
        <v>58.5</v>
      </c>
      <c r="BK215" s="32">
        <v>91.2</v>
      </c>
      <c r="BL215" s="32">
        <v>70.5</v>
      </c>
      <c r="BM215" s="32">
        <v>105.3</v>
      </c>
      <c r="BN215" s="32">
        <v>99.8</v>
      </c>
      <c r="BO215" s="32">
        <v>100</v>
      </c>
      <c r="BP215" s="32">
        <v>100</v>
      </c>
      <c r="BQ215" s="32">
        <v>112.1</v>
      </c>
      <c r="BR215" s="32">
        <v>107.8</v>
      </c>
      <c r="BS215" s="32">
        <v>161.19999999999999</v>
      </c>
      <c r="BT215" s="32">
        <v>98.9</v>
      </c>
      <c r="BU215" s="32">
        <v>77.8</v>
      </c>
      <c r="BV215" s="32">
        <v>77.8</v>
      </c>
      <c r="BW215" s="32">
        <v>91.2</v>
      </c>
      <c r="BX215" s="32">
        <v>50.1</v>
      </c>
      <c r="BY215" s="32">
        <v>88.9</v>
      </c>
      <c r="BZ215" s="32">
        <v>86.7</v>
      </c>
      <c r="CA215" s="32">
        <v>90.1</v>
      </c>
      <c r="CB215" s="32">
        <v>95.2</v>
      </c>
      <c r="CC215" s="32">
        <v>85.9</v>
      </c>
      <c r="CD215" s="32">
        <v>68.2</v>
      </c>
      <c r="CE215" s="32">
        <v>94.6</v>
      </c>
      <c r="CF215" s="32">
        <v>90.3</v>
      </c>
      <c r="CG215" s="32">
        <v>96.9</v>
      </c>
      <c r="CH215" s="32">
        <v>97.5</v>
      </c>
      <c r="CI215" s="32">
        <v>106</v>
      </c>
      <c r="CJ215" s="32">
        <v>100.7</v>
      </c>
      <c r="CK215" s="32">
        <v>93.5</v>
      </c>
      <c r="CL215" s="32">
        <v>99.5</v>
      </c>
      <c r="CM215" s="32">
        <v>111.7</v>
      </c>
      <c r="CN215" s="32">
        <v>119.7</v>
      </c>
      <c r="CO215" s="32">
        <v>110.5</v>
      </c>
      <c r="CP215" s="32">
        <v>118.3</v>
      </c>
      <c r="CQ215" s="32">
        <v>59.4</v>
      </c>
      <c r="CR215" s="32">
        <v>95.8</v>
      </c>
      <c r="CS215" s="32">
        <v>98.6</v>
      </c>
      <c r="CT215" s="32">
        <v>91.9</v>
      </c>
      <c r="CU215" s="32">
        <v>86.2</v>
      </c>
      <c r="CV215" s="32">
        <v>94.4</v>
      </c>
      <c r="CW215" s="32">
        <v>66.400000000000006</v>
      </c>
      <c r="CX215" s="32">
        <v>104.5</v>
      </c>
      <c r="CY215" s="32">
        <v>114.9</v>
      </c>
      <c r="CZ215" s="32">
        <v>99.1</v>
      </c>
      <c r="DA215" s="32">
        <v>87.6</v>
      </c>
      <c r="DB215" s="32">
        <v>121.1</v>
      </c>
      <c r="DC215" s="32">
        <v>31.8</v>
      </c>
      <c r="DD215" s="32">
        <v>31.8</v>
      </c>
      <c r="DE215" s="32">
        <v>85.6</v>
      </c>
      <c r="DF215" s="32">
        <v>81.8</v>
      </c>
      <c r="DG215" s="32">
        <v>108.3</v>
      </c>
      <c r="DH215" s="32">
        <v>96</v>
      </c>
      <c r="DI215" s="32">
        <v>110.5</v>
      </c>
      <c r="DJ215" s="32">
        <v>98.2</v>
      </c>
      <c r="DK215" s="32">
        <v>98.2</v>
      </c>
      <c r="DL215" s="32">
        <v>68.7</v>
      </c>
      <c r="DM215" s="32">
        <v>91.5</v>
      </c>
      <c r="DN215" s="32">
        <v>94.1</v>
      </c>
      <c r="DO215" s="32">
        <v>89.9</v>
      </c>
      <c r="DP215" s="32">
        <v>103.4</v>
      </c>
      <c r="DQ215" s="32">
        <v>89.6</v>
      </c>
      <c r="DR215" s="32">
        <v>90.6</v>
      </c>
      <c r="DS215" s="32">
        <v>93.3</v>
      </c>
      <c r="DT215" s="32">
        <v>91.7</v>
      </c>
      <c r="DU215" s="32">
        <v>91.7</v>
      </c>
      <c r="DV215" s="32">
        <v>95.6</v>
      </c>
      <c r="DW215" s="32">
        <v>87.2</v>
      </c>
      <c r="DX215" s="32">
        <v>91.7</v>
      </c>
      <c r="DY215" s="32">
        <v>98.5</v>
      </c>
      <c r="DZ215" s="32">
        <v>93.3</v>
      </c>
      <c r="EA215" s="32">
        <v>93.3</v>
      </c>
      <c r="EB215" s="32">
        <v>81.599999999999994</v>
      </c>
      <c r="EC215" s="32">
        <v>79.5</v>
      </c>
      <c r="ED215" s="32">
        <v>84.8</v>
      </c>
      <c r="EE215" s="32">
        <v>90.6</v>
      </c>
      <c r="EF215" s="32">
        <v>70.7</v>
      </c>
      <c r="EG215" s="32">
        <v>88.1</v>
      </c>
      <c r="EH215" s="32">
        <v>88.1</v>
      </c>
      <c r="EI215" s="32">
        <v>85.2</v>
      </c>
      <c r="EJ215" s="32">
        <v>89.6</v>
      </c>
      <c r="EK215" s="32">
        <v>90.1</v>
      </c>
      <c r="EL215" s="32">
        <v>85.6</v>
      </c>
      <c r="EM215" s="32">
        <v>77.2</v>
      </c>
      <c r="EN215" s="32">
        <v>99.1</v>
      </c>
      <c r="EO215" s="32">
        <v>91.2</v>
      </c>
      <c r="EP215" s="32">
        <v>91.9</v>
      </c>
      <c r="EQ215" s="32">
        <v>91.9</v>
      </c>
      <c r="ER215" s="32">
        <v>89.8</v>
      </c>
      <c r="ES215" s="32">
        <v>89.8</v>
      </c>
      <c r="ET215" s="32">
        <v>91.7</v>
      </c>
      <c r="EU215" s="32">
        <v>90.2</v>
      </c>
      <c r="EV215" s="32">
        <v>90.2</v>
      </c>
      <c r="EW215" s="32">
        <v>95.1</v>
      </c>
      <c r="EX215" s="32">
        <v>100.8</v>
      </c>
      <c r="EY215" s="32">
        <v>90.5</v>
      </c>
      <c r="EZ215" s="32">
        <v>90.6</v>
      </c>
      <c r="FA215" s="32">
        <v>96.9</v>
      </c>
      <c r="FB215" s="32">
        <v>102.7</v>
      </c>
      <c r="FC215" s="32">
        <v>80.2</v>
      </c>
      <c r="FD215" s="32">
        <v>102.8</v>
      </c>
      <c r="FE215" s="32">
        <v>138.69999999999999</v>
      </c>
      <c r="FF215" s="32">
        <v>89.9</v>
      </c>
      <c r="FG215" s="32">
        <v>88.2</v>
      </c>
      <c r="FH215" s="32">
        <v>92.6</v>
      </c>
      <c r="FI215" s="32">
        <v>121.2</v>
      </c>
      <c r="FJ215" s="32">
        <v>82.7</v>
      </c>
      <c r="FK215" s="32">
        <v>66.400000000000006</v>
      </c>
      <c r="FL215" s="32">
        <v>66.400000000000006</v>
      </c>
    </row>
    <row r="216" spans="1:168" x14ac:dyDescent="0.2">
      <c r="A216" s="34" t="s">
        <v>1196</v>
      </c>
      <c r="B216" s="32">
        <v>91.1</v>
      </c>
      <c r="C216" s="32">
        <v>121.8</v>
      </c>
      <c r="D216" s="32">
        <v>91.9</v>
      </c>
      <c r="E216" s="32">
        <v>90.9</v>
      </c>
      <c r="F216" s="32">
        <v>77.099999999999994</v>
      </c>
      <c r="G216" s="32">
        <v>2131.6999999999998</v>
      </c>
      <c r="H216" s="32">
        <v>71.599999999999994</v>
      </c>
      <c r="I216" s="32">
        <v>83.3</v>
      </c>
      <c r="J216" s="32">
        <v>95.1</v>
      </c>
      <c r="K216" s="32">
        <v>88</v>
      </c>
      <c r="L216" s="32">
        <v>85.2</v>
      </c>
      <c r="M216" s="32">
        <v>92.5</v>
      </c>
      <c r="N216" s="32">
        <v>71.099999999999994</v>
      </c>
      <c r="O216" s="32">
        <v>78.599999999999994</v>
      </c>
      <c r="P216" s="32">
        <v>133</v>
      </c>
      <c r="Q216" s="32">
        <v>82.2</v>
      </c>
      <c r="R216" s="32">
        <v>64</v>
      </c>
      <c r="S216" s="32">
        <v>96.2</v>
      </c>
      <c r="T216" s="32">
        <v>132.4</v>
      </c>
      <c r="U216" s="32">
        <v>71.900000000000006</v>
      </c>
      <c r="V216" s="32">
        <v>109.9</v>
      </c>
      <c r="W216" s="32">
        <v>69.3</v>
      </c>
      <c r="X216" s="32">
        <v>49.6</v>
      </c>
      <c r="Y216" s="32">
        <v>97.4</v>
      </c>
      <c r="Z216" s="32">
        <v>145.6</v>
      </c>
      <c r="AA216" s="32">
        <v>87.3</v>
      </c>
      <c r="AB216" s="32">
        <v>70.8</v>
      </c>
      <c r="AC216" s="32">
        <v>91.1</v>
      </c>
      <c r="AD216" s="32">
        <v>96.6</v>
      </c>
      <c r="AE216" s="32">
        <v>64.400000000000006</v>
      </c>
      <c r="AF216" s="32">
        <v>64.400000000000006</v>
      </c>
      <c r="AG216" s="32">
        <v>81.7</v>
      </c>
      <c r="AH216" s="32">
        <v>81.7</v>
      </c>
      <c r="AI216" s="32">
        <v>138.80000000000001</v>
      </c>
      <c r="AJ216" s="32">
        <v>49.8</v>
      </c>
      <c r="AK216" s="32">
        <v>109</v>
      </c>
      <c r="AL216" s="32">
        <v>90.1</v>
      </c>
      <c r="AM216" s="32">
        <v>75.099999999999994</v>
      </c>
      <c r="AN216" s="32">
        <v>114.8</v>
      </c>
      <c r="AO216" s="32">
        <v>101.6</v>
      </c>
      <c r="AP216" s="32">
        <v>101.6</v>
      </c>
      <c r="AQ216" s="32">
        <v>99.8</v>
      </c>
      <c r="AR216" s="32">
        <v>100.1</v>
      </c>
      <c r="AS216" s="32">
        <v>101.1</v>
      </c>
      <c r="AT216" s="32">
        <v>88.9</v>
      </c>
      <c r="AU216" s="32">
        <v>110.9</v>
      </c>
      <c r="AV216" s="32">
        <v>101.1</v>
      </c>
      <c r="AW216" s="32">
        <v>112</v>
      </c>
      <c r="AX216" s="32">
        <v>121.5</v>
      </c>
      <c r="AY216" s="32">
        <v>109.5</v>
      </c>
      <c r="AZ216" s="32">
        <v>100</v>
      </c>
      <c r="BA216" s="32">
        <v>89.8</v>
      </c>
      <c r="BB216" s="32">
        <v>89.8</v>
      </c>
      <c r="BC216" s="32">
        <v>95.8</v>
      </c>
      <c r="BD216" s="32">
        <v>95.8</v>
      </c>
      <c r="BE216" s="32">
        <v>111.2</v>
      </c>
      <c r="BF216" s="32">
        <v>111.2</v>
      </c>
      <c r="BG216" s="32">
        <v>106.2</v>
      </c>
      <c r="BH216" s="32">
        <v>126.8</v>
      </c>
      <c r="BI216" s="32">
        <v>83.5</v>
      </c>
      <c r="BJ216" s="32">
        <v>58.5</v>
      </c>
      <c r="BK216" s="32">
        <v>91.9</v>
      </c>
      <c r="BL216" s="32">
        <v>70.2</v>
      </c>
      <c r="BM216" s="32">
        <v>106.8</v>
      </c>
      <c r="BN216" s="32">
        <v>102.1</v>
      </c>
      <c r="BO216" s="32">
        <v>96.2</v>
      </c>
      <c r="BP216" s="32">
        <v>108</v>
      </c>
      <c r="BQ216" s="32">
        <v>112.6</v>
      </c>
      <c r="BR216" s="32">
        <v>100.4</v>
      </c>
      <c r="BS216" s="32">
        <v>155.30000000000001</v>
      </c>
      <c r="BT216" s="32">
        <v>102.4</v>
      </c>
      <c r="BU216" s="32">
        <v>80.099999999999994</v>
      </c>
      <c r="BV216" s="32">
        <v>80.099999999999994</v>
      </c>
      <c r="BW216" s="32">
        <v>91.7</v>
      </c>
      <c r="BX216" s="32">
        <v>54.4</v>
      </c>
      <c r="BY216" s="32">
        <v>89.3</v>
      </c>
      <c r="BZ216" s="32">
        <v>87.2</v>
      </c>
      <c r="CA216" s="32">
        <v>90.5</v>
      </c>
      <c r="CB216" s="32">
        <v>93.5</v>
      </c>
      <c r="CC216" s="32">
        <v>88.2</v>
      </c>
      <c r="CD216" s="32">
        <v>71.7</v>
      </c>
      <c r="CE216" s="32">
        <v>94.2</v>
      </c>
      <c r="CF216" s="32">
        <v>90.7</v>
      </c>
      <c r="CG216" s="32">
        <v>96.9</v>
      </c>
      <c r="CH216" s="32">
        <v>97.6</v>
      </c>
      <c r="CI216" s="32">
        <v>106.4</v>
      </c>
      <c r="CJ216" s="32">
        <v>100.9</v>
      </c>
      <c r="CK216" s="32">
        <v>93.4</v>
      </c>
      <c r="CL216" s="32">
        <v>99.6</v>
      </c>
      <c r="CM216" s="32">
        <v>111.4</v>
      </c>
      <c r="CN216" s="32">
        <v>122.4</v>
      </c>
      <c r="CO216" s="32">
        <v>109.5</v>
      </c>
      <c r="CP216" s="32">
        <v>117.5</v>
      </c>
      <c r="CQ216" s="32">
        <v>57.7</v>
      </c>
      <c r="CR216" s="32">
        <v>97.9</v>
      </c>
      <c r="CS216" s="32">
        <v>97.1</v>
      </c>
      <c r="CT216" s="32">
        <v>91.1</v>
      </c>
      <c r="CU216" s="32">
        <v>83.4</v>
      </c>
      <c r="CV216" s="32">
        <v>94.5</v>
      </c>
      <c r="CW216" s="32">
        <v>66.900000000000006</v>
      </c>
      <c r="CX216" s="32">
        <v>105.2</v>
      </c>
      <c r="CY216" s="32">
        <v>112.3</v>
      </c>
      <c r="CZ216" s="32">
        <v>101.4</v>
      </c>
      <c r="DA216" s="32">
        <v>90.5</v>
      </c>
      <c r="DB216" s="32">
        <v>122.1</v>
      </c>
      <c r="DC216" s="32">
        <v>32.5</v>
      </c>
      <c r="DD216" s="32">
        <v>32.5</v>
      </c>
      <c r="DE216" s="32">
        <v>85.4</v>
      </c>
      <c r="DF216" s="32">
        <v>81.900000000000006</v>
      </c>
      <c r="DG216" s="32">
        <v>106.7</v>
      </c>
      <c r="DH216" s="32">
        <v>97.7</v>
      </c>
      <c r="DI216" s="32">
        <v>111.6</v>
      </c>
      <c r="DJ216" s="32">
        <v>99.5</v>
      </c>
      <c r="DK216" s="32">
        <v>99.5</v>
      </c>
      <c r="DL216" s="32">
        <v>71.7</v>
      </c>
      <c r="DM216" s="32">
        <v>91.4</v>
      </c>
      <c r="DN216" s="32">
        <v>94.4</v>
      </c>
      <c r="DO216" s="32">
        <v>89.6</v>
      </c>
      <c r="DP216" s="32">
        <v>104.2</v>
      </c>
      <c r="DQ216" s="32">
        <v>90.9</v>
      </c>
      <c r="DR216" s="32">
        <v>92</v>
      </c>
      <c r="DS216" s="32">
        <v>94.4</v>
      </c>
      <c r="DT216" s="32">
        <v>91.8</v>
      </c>
      <c r="DU216" s="32">
        <v>91.7</v>
      </c>
      <c r="DV216" s="32">
        <v>95.5</v>
      </c>
      <c r="DW216" s="32">
        <v>87.1</v>
      </c>
      <c r="DX216" s="32">
        <v>92</v>
      </c>
      <c r="DY216" s="32">
        <v>102.9</v>
      </c>
      <c r="DZ216" s="32">
        <v>95.9</v>
      </c>
      <c r="EA216" s="32">
        <v>95.9</v>
      </c>
      <c r="EB216" s="32">
        <v>83.3</v>
      </c>
      <c r="EC216" s="32">
        <v>81.400000000000006</v>
      </c>
      <c r="ED216" s="32">
        <v>86.3</v>
      </c>
      <c r="EE216" s="32">
        <v>92.4</v>
      </c>
      <c r="EF216" s="32">
        <v>71.5</v>
      </c>
      <c r="EG216" s="32">
        <v>89.2</v>
      </c>
      <c r="EH216" s="32">
        <v>89.8</v>
      </c>
      <c r="EI216" s="32">
        <v>87.1</v>
      </c>
      <c r="EJ216" s="32">
        <v>92.9</v>
      </c>
      <c r="EK216" s="32">
        <v>89.7</v>
      </c>
      <c r="EL216" s="32">
        <v>86.6</v>
      </c>
      <c r="EM216" s="32">
        <v>69.900000000000006</v>
      </c>
      <c r="EN216" s="32">
        <v>103.2</v>
      </c>
      <c r="EO216" s="32">
        <v>91.1</v>
      </c>
      <c r="EP216" s="32">
        <v>91.4</v>
      </c>
      <c r="EQ216" s="32">
        <v>91.4</v>
      </c>
      <c r="ER216" s="32">
        <v>89.7</v>
      </c>
      <c r="ES216" s="32">
        <v>89.7</v>
      </c>
      <c r="ET216" s="32">
        <v>92.2</v>
      </c>
      <c r="EU216" s="32">
        <v>90.7</v>
      </c>
      <c r="EV216" s="32">
        <v>90.7</v>
      </c>
      <c r="EW216" s="32">
        <v>95.5</v>
      </c>
      <c r="EX216" s="32">
        <v>101.3</v>
      </c>
      <c r="EY216" s="32">
        <v>90.9</v>
      </c>
      <c r="EZ216" s="32">
        <v>90.4</v>
      </c>
      <c r="FA216" s="32">
        <v>95.6</v>
      </c>
      <c r="FB216" s="32">
        <v>102.6</v>
      </c>
      <c r="FC216" s="32">
        <v>81.599999999999994</v>
      </c>
      <c r="FD216" s="32">
        <v>107.6</v>
      </c>
      <c r="FE216" s="32">
        <v>133.80000000000001</v>
      </c>
      <c r="FF216" s="32">
        <v>87.1</v>
      </c>
      <c r="FG216" s="32">
        <v>88.5</v>
      </c>
      <c r="FH216" s="32">
        <v>92.3</v>
      </c>
      <c r="FI216" s="32">
        <v>116.2</v>
      </c>
      <c r="FJ216" s="32">
        <v>83.8</v>
      </c>
      <c r="FK216" s="32">
        <v>68.8</v>
      </c>
      <c r="FL216" s="32">
        <v>68.8</v>
      </c>
    </row>
    <row r="217" spans="1:168" x14ac:dyDescent="0.2">
      <c r="A217" s="34" t="s">
        <v>1197</v>
      </c>
      <c r="B217" s="32">
        <v>91</v>
      </c>
      <c r="C217" s="32">
        <v>122</v>
      </c>
      <c r="D217" s="32">
        <v>91.9</v>
      </c>
      <c r="E217" s="32">
        <v>90.4</v>
      </c>
      <c r="F217" s="32">
        <v>74.3</v>
      </c>
      <c r="G217" s="32">
        <v>2624.9</v>
      </c>
      <c r="H217" s="32">
        <v>67.900000000000006</v>
      </c>
      <c r="I217" s="32">
        <v>86</v>
      </c>
      <c r="J217" s="32">
        <v>94.6</v>
      </c>
      <c r="K217" s="32">
        <v>87.2</v>
      </c>
      <c r="L217" s="32">
        <v>84.3</v>
      </c>
      <c r="M217" s="32">
        <v>91</v>
      </c>
      <c r="N217" s="32">
        <v>70.900000000000006</v>
      </c>
      <c r="O217" s="32">
        <v>76.3</v>
      </c>
      <c r="P217" s="32">
        <v>130.4</v>
      </c>
      <c r="Q217" s="32">
        <v>82.4</v>
      </c>
      <c r="R217" s="32">
        <v>64.8</v>
      </c>
      <c r="S217" s="32">
        <v>94.6</v>
      </c>
      <c r="T217" s="32">
        <v>130.5</v>
      </c>
      <c r="U217" s="32">
        <v>71.7</v>
      </c>
      <c r="V217" s="32">
        <v>109.4</v>
      </c>
      <c r="W217" s="32">
        <v>71.3</v>
      </c>
      <c r="X217" s="32">
        <v>51</v>
      </c>
      <c r="Y217" s="32">
        <v>101.2</v>
      </c>
      <c r="Z217" s="32">
        <v>145.1</v>
      </c>
      <c r="AA217" s="32">
        <v>88.9</v>
      </c>
      <c r="AB217" s="32">
        <v>70</v>
      </c>
      <c r="AC217" s="32">
        <v>94</v>
      </c>
      <c r="AD217" s="32">
        <v>98.7</v>
      </c>
      <c r="AE217" s="32">
        <v>67.8</v>
      </c>
      <c r="AF217" s="32">
        <v>67.8</v>
      </c>
      <c r="AG217" s="32">
        <v>81.3</v>
      </c>
      <c r="AH217" s="32">
        <v>81.3</v>
      </c>
      <c r="AI217" s="32">
        <v>127</v>
      </c>
      <c r="AJ217" s="32">
        <v>54.4</v>
      </c>
      <c r="AK217" s="32">
        <v>105</v>
      </c>
      <c r="AL217" s="32">
        <v>88.8</v>
      </c>
      <c r="AM217" s="32">
        <v>74.900000000000006</v>
      </c>
      <c r="AN217" s="32">
        <v>109.6</v>
      </c>
      <c r="AO217" s="32">
        <v>99.1</v>
      </c>
      <c r="AP217" s="32">
        <v>99.1</v>
      </c>
      <c r="AQ217" s="32">
        <v>100.2</v>
      </c>
      <c r="AR217" s="32">
        <v>101.1</v>
      </c>
      <c r="AS217" s="32">
        <v>100.4</v>
      </c>
      <c r="AT217" s="32">
        <v>89.3</v>
      </c>
      <c r="AU217" s="32">
        <v>109.4</v>
      </c>
      <c r="AV217" s="32">
        <v>102.3</v>
      </c>
      <c r="AW217" s="32">
        <v>123.8</v>
      </c>
      <c r="AX217" s="32">
        <v>140.30000000000001</v>
      </c>
      <c r="AY217" s="32">
        <v>113</v>
      </c>
      <c r="AZ217" s="32">
        <v>98.5</v>
      </c>
      <c r="BA217" s="32">
        <v>90.7</v>
      </c>
      <c r="BB217" s="32">
        <v>90.7</v>
      </c>
      <c r="BC217" s="32">
        <v>91.3</v>
      </c>
      <c r="BD217" s="32">
        <v>91.3</v>
      </c>
      <c r="BE217" s="32">
        <v>107.4</v>
      </c>
      <c r="BF217" s="32">
        <v>107.4</v>
      </c>
      <c r="BG217" s="32">
        <v>101.9</v>
      </c>
      <c r="BH217" s="32">
        <v>118.6</v>
      </c>
      <c r="BI217" s="32">
        <v>83.4</v>
      </c>
      <c r="BJ217" s="32">
        <v>57.8</v>
      </c>
      <c r="BK217" s="32">
        <v>91.8</v>
      </c>
      <c r="BL217" s="32">
        <v>71.7</v>
      </c>
      <c r="BM217" s="32">
        <v>110.6</v>
      </c>
      <c r="BN217" s="32">
        <v>101.7</v>
      </c>
      <c r="BO217" s="32">
        <v>98.8</v>
      </c>
      <c r="BP217" s="32">
        <v>104.8</v>
      </c>
      <c r="BQ217" s="32">
        <v>121.6</v>
      </c>
      <c r="BR217" s="32">
        <v>139.5</v>
      </c>
      <c r="BS217" s="32">
        <v>162.4</v>
      </c>
      <c r="BT217" s="32">
        <v>106.7</v>
      </c>
      <c r="BU217" s="32">
        <v>81.099999999999994</v>
      </c>
      <c r="BV217" s="32">
        <v>81.099999999999994</v>
      </c>
      <c r="BW217" s="32">
        <v>90.5</v>
      </c>
      <c r="BX217" s="32">
        <v>58</v>
      </c>
      <c r="BY217" s="32">
        <v>89.6</v>
      </c>
      <c r="BZ217" s="32">
        <v>85.7</v>
      </c>
      <c r="CA217" s="32">
        <v>91.7</v>
      </c>
      <c r="CB217" s="32">
        <v>94.6</v>
      </c>
      <c r="CC217" s="32">
        <v>89.3</v>
      </c>
      <c r="CD217" s="32">
        <v>74.400000000000006</v>
      </c>
      <c r="CE217" s="32">
        <v>95.6</v>
      </c>
      <c r="CF217" s="32">
        <v>90.6</v>
      </c>
      <c r="CG217" s="32">
        <v>96.8</v>
      </c>
      <c r="CH217" s="32">
        <v>98</v>
      </c>
      <c r="CI217" s="32">
        <v>107.5</v>
      </c>
      <c r="CJ217" s="32">
        <v>102.1</v>
      </c>
      <c r="CK217" s="32">
        <v>93.3</v>
      </c>
      <c r="CL217" s="32">
        <v>98.8</v>
      </c>
      <c r="CM217" s="32">
        <v>110.7</v>
      </c>
      <c r="CN217" s="32">
        <v>123.9</v>
      </c>
      <c r="CO217" s="32">
        <v>108.3</v>
      </c>
      <c r="CP217" s="32">
        <v>118.1</v>
      </c>
      <c r="CQ217" s="32">
        <v>57.7</v>
      </c>
      <c r="CR217" s="32">
        <v>97.4</v>
      </c>
      <c r="CS217" s="32">
        <v>94.1</v>
      </c>
      <c r="CT217" s="32">
        <v>90.4</v>
      </c>
      <c r="CU217" s="32">
        <v>85.2</v>
      </c>
      <c r="CV217" s="32">
        <v>92.6</v>
      </c>
      <c r="CW217" s="32">
        <v>66.5</v>
      </c>
      <c r="CX217" s="32">
        <v>104</v>
      </c>
      <c r="CY217" s="32">
        <v>110.8</v>
      </c>
      <c r="CZ217" s="32">
        <v>100.4</v>
      </c>
      <c r="DA217" s="32">
        <v>90.3</v>
      </c>
      <c r="DB217" s="32">
        <v>119.5</v>
      </c>
      <c r="DC217" s="32">
        <v>32.700000000000003</v>
      </c>
      <c r="DD217" s="32">
        <v>32.700000000000003</v>
      </c>
      <c r="DE217" s="32">
        <v>84.2</v>
      </c>
      <c r="DF217" s="32">
        <v>81.5</v>
      </c>
      <c r="DG217" s="32">
        <v>100.4</v>
      </c>
      <c r="DH217" s="32">
        <v>96.8</v>
      </c>
      <c r="DI217" s="32">
        <v>110</v>
      </c>
      <c r="DJ217" s="32">
        <v>99.5</v>
      </c>
      <c r="DK217" s="32">
        <v>99.5</v>
      </c>
      <c r="DL217" s="32">
        <v>70.8</v>
      </c>
      <c r="DM217" s="32">
        <v>91.7</v>
      </c>
      <c r="DN217" s="32">
        <v>94.6</v>
      </c>
      <c r="DO217" s="32">
        <v>90</v>
      </c>
      <c r="DP217" s="32">
        <v>103.3</v>
      </c>
      <c r="DQ217" s="32">
        <v>90.8</v>
      </c>
      <c r="DR217" s="32">
        <v>92.3</v>
      </c>
      <c r="DS217" s="32">
        <v>94.7</v>
      </c>
      <c r="DT217" s="32">
        <v>92.2</v>
      </c>
      <c r="DU217" s="32">
        <v>92.4</v>
      </c>
      <c r="DV217" s="32">
        <v>97.4</v>
      </c>
      <c r="DW217" s="32">
        <v>86.5</v>
      </c>
      <c r="DX217" s="32">
        <v>91.9</v>
      </c>
      <c r="DY217" s="32">
        <v>103</v>
      </c>
      <c r="DZ217" s="32">
        <v>100</v>
      </c>
      <c r="EA217" s="32">
        <v>100</v>
      </c>
      <c r="EB217" s="32">
        <v>82.4</v>
      </c>
      <c r="EC217" s="32">
        <v>81.599999999999994</v>
      </c>
      <c r="ED217" s="32">
        <v>84</v>
      </c>
      <c r="EE217" s="32">
        <v>89.7</v>
      </c>
      <c r="EF217" s="32">
        <v>70.3</v>
      </c>
      <c r="EG217" s="32">
        <v>88.5</v>
      </c>
      <c r="EH217" s="32">
        <v>89.6</v>
      </c>
      <c r="EI217" s="32">
        <v>84.1</v>
      </c>
      <c r="EJ217" s="32">
        <v>95.1</v>
      </c>
      <c r="EK217" s="32">
        <v>89.8</v>
      </c>
      <c r="EL217" s="32">
        <v>85.8</v>
      </c>
      <c r="EM217" s="32">
        <v>74.400000000000006</v>
      </c>
      <c r="EN217" s="32">
        <v>100.5</v>
      </c>
      <c r="EO217" s="32">
        <v>91.1</v>
      </c>
      <c r="EP217" s="32">
        <v>91.6</v>
      </c>
      <c r="EQ217" s="32">
        <v>91.6</v>
      </c>
      <c r="ER217" s="32">
        <v>89.9</v>
      </c>
      <c r="ES217" s="32">
        <v>89.9</v>
      </c>
      <c r="ET217" s="32">
        <v>91.8</v>
      </c>
      <c r="EU217" s="32">
        <v>90</v>
      </c>
      <c r="EV217" s="32">
        <v>90</v>
      </c>
      <c r="EW217" s="32">
        <v>96</v>
      </c>
      <c r="EX217" s="32">
        <v>101.8</v>
      </c>
      <c r="EY217" s="32">
        <v>91.3</v>
      </c>
      <c r="EZ217" s="32">
        <v>91.1</v>
      </c>
      <c r="FA217" s="32">
        <v>97.5</v>
      </c>
      <c r="FB217" s="32">
        <v>100.9</v>
      </c>
      <c r="FC217" s="32">
        <v>81.900000000000006</v>
      </c>
      <c r="FD217" s="32">
        <v>100.8</v>
      </c>
      <c r="FE217" s="32">
        <v>131.30000000000001</v>
      </c>
      <c r="FF217" s="32">
        <v>93.5</v>
      </c>
      <c r="FG217" s="32">
        <v>87.9</v>
      </c>
      <c r="FH217" s="32">
        <v>90.7</v>
      </c>
      <c r="FI217" s="32">
        <v>111.4</v>
      </c>
      <c r="FJ217" s="32">
        <v>84.1</v>
      </c>
      <c r="FK217" s="32">
        <v>72.7</v>
      </c>
      <c r="FL217" s="32">
        <v>72.7</v>
      </c>
    </row>
    <row r="218" spans="1:168" x14ac:dyDescent="0.2">
      <c r="A218" s="34" t="s">
        <v>1198</v>
      </c>
      <c r="B218" s="32">
        <v>91.4</v>
      </c>
      <c r="C218" s="32">
        <v>121.7</v>
      </c>
      <c r="D218" s="32">
        <v>92.4</v>
      </c>
      <c r="E218" s="32">
        <v>91.2</v>
      </c>
      <c r="F218" s="32">
        <v>79.3</v>
      </c>
      <c r="G218" s="32">
        <v>2937.8</v>
      </c>
      <c r="H218" s="32">
        <v>72.7</v>
      </c>
      <c r="I218" s="32">
        <v>90</v>
      </c>
      <c r="J218" s="32">
        <v>94.7</v>
      </c>
      <c r="K218" s="32">
        <v>86.3</v>
      </c>
      <c r="L218" s="32">
        <v>83.3</v>
      </c>
      <c r="M218" s="32">
        <v>86.7</v>
      </c>
      <c r="N218" s="32">
        <v>72</v>
      </c>
      <c r="O218" s="32">
        <v>77.900000000000006</v>
      </c>
      <c r="P218" s="32">
        <v>131</v>
      </c>
      <c r="Q218" s="32">
        <v>76.2</v>
      </c>
      <c r="R218" s="32">
        <v>67</v>
      </c>
      <c r="S218" s="32">
        <v>93.1</v>
      </c>
      <c r="T218" s="32">
        <v>130.5</v>
      </c>
      <c r="U218" s="32">
        <v>67.400000000000006</v>
      </c>
      <c r="V218" s="32">
        <v>110</v>
      </c>
      <c r="W218" s="32">
        <v>73.099999999999994</v>
      </c>
      <c r="X218" s="32">
        <v>52.9</v>
      </c>
      <c r="Y218" s="32">
        <v>102.3</v>
      </c>
      <c r="Z218" s="32">
        <v>145.19999999999999</v>
      </c>
      <c r="AA218" s="32">
        <v>87.7</v>
      </c>
      <c r="AB218" s="32">
        <v>71.2</v>
      </c>
      <c r="AC218" s="32">
        <v>88.4</v>
      </c>
      <c r="AD218" s="32">
        <v>99.6</v>
      </c>
      <c r="AE218" s="32">
        <v>71</v>
      </c>
      <c r="AF218" s="32">
        <v>71</v>
      </c>
      <c r="AG218" s="32">
        <v>84.9</v>
      </c>
      <c r="AH218" s="32">
        <v>84.9</v>
      </c>
      <c r="AI218" s="32">
        <v>135.19999999999999</v>
      </c>
      <c r="AJ218" s="32">
        <v>61.4</v>
      </c>
      <c r="AK218" s="32">
        <v>111.1</v>
      </c>
      <c r="AL218" s="32">
        <v>91.1</v>
      </c>
      <c r="AM218" s="32">
        <v>75.3</v>
      </c>
      <c r="AN218" s="32">
        <v>111.8</v>
      </c>
      <c r="AO218" s="32">
        <v>95.6</v>
      </c>
      <c r="AP218" s="32">
        <v>95.6</v>
      </c>
      <c r="AQ218" s="32">
        <v>98.4</v>
      </c>
      <c r="AR218" s="32">
        <v>98.7</v>
      </c>
      <c r="AS218" s="32">
        <v>99.7</v>
      </c>
      <c r="AT218" s="32">
        <v>90.5</v>
      </c>
      <c r="AU218" s="32">
        <v>107.2</v>
      </c>
      <c r="AV218" s="32">
        <v>101.5</v>
      </c>
      <c r="AW218" s="32">
        <v>121.8</v>
      </c>
      <c r="AX218" s="32">
        <v>124.7</v>
      </c>
      <c r="AY218" s="32">
        <v>128.9</v>
      </c>
      <c r="AZ218" s="32">
        <v>98.1</v>
      </c>
      <c r="BA218" s="32">
        <v>95.6</v>
      </c>
      <c r="BB218" s="32">
        <v>95.6</v>
      </c>
      <c r="BC218" s="32">
        <v>92.2</v>
      </c>
      <c r="BD218" s="32">
        <v>92.2</v>
      </c>
      <c r="BE218" s="32">
        <v>108.8</v>
      </c>
      <c r="BF218" s="32">
        <v>108.8</v>
      </c>
      <c r="BG218" s="32">
        <v>104.9</v>
      </c>
      <c r="BH218" s="32">
        <v>125.5</v>
      </c>
      <c r="BI218" s="32">
        <v>82.2</v>
      </c>
      <c r="BJ218" s="32">
        <v>56.6</v>
      </c>
      <c r="BK218" s="32">
        <v>90.6</v>
      </c>
      <c r="BL218" s="32">
        <v>71.099999999999994</v>
      </c>
      <c r="BM218" s="32">
        <v>104.4</v>
      </c>
      <c r="BN218" s="32">
        <v>100.4</v>
      </c>
      <c r="BO218" s="32">
        <v>96.3</v>
      </c>
      <c r="BP218" s="32">
        <v>104.5</v>
      </c>
      <c r="BQ218" s="32">
        <v>109.4</v>
      </c>
      <c r="BR218" s="32">
        <v>109.3</v>
      </c>
      <c r="BS218" s="32">
        <v>135</v>
      </c>
      <c r="BT218" s="32">
        <v>101.5</v>
      </c>
      <c r="BU218" s="32">
        <v>79.900000000000006</v>
      </c>
      <c r="BV218" s="32">
        <v>79.900000000000006</v>
      </c>
      <c r="BW218" s="32">
        <v>92.4</v>
      </c>
      <c r="BX218" s="32">
        <v>53.3</v>
      </c>
      <c r="BY218" s="32">
        <v>91.9</v>
      </c>
      <c r="BZ218" s="32">
        <v>85.1</v>
      </c>
      <c r="CA218" s="32">
        <v>95.5</v>
      </c>
      <c r="CB218" s="32">
        <v>99.2</v>
      </c>
      <c r="CC218" s="32">
        <v>92.3</v>
      </c>
      <c r="CD218" s="32">
        <v>79.599999999999994</v>
      </c>
      <c r="CE218" s="32">
        <v>95.4</v>
      </c>
      <c r="CF218" s="32">
        <v>90.9</v>
      </c>
      <c r="CG218" s="32">
        <v>97.3</v>
      </c>
      <c r="CH218" s="32">
        <v>98.6</v>
      </c>
      <c r="CI218" s="32">
        <v>108.7</v>
      </c>
      <c r="CJ218" s="32">
        <v>103.8</v>
      </c>
      <c r="CK218" s="32">
        <v>93.1</v>
      </c>
      <c r="CL218" s="32">
        <v>98.7</v>
      </c>
      <c r="CM218" s="32">
        <v>110.2</v>
      </c>
      <c r="CN218" s="32">
        <v>125.5</v>
      </c>
      <c r="CO218" s="32">
        <v>107.4</v>
      </c>
      <c r="CP218" s="32">
        <v>119.5</v>
      </c>
      <c r="CQ218" s="32">
        <v>56.1</v>
      </c>
      <c r="CR218" s="32">
        <v>98.1</v>
      </c>
      <c r="CS218" s="32">
        <v>93.9</v>
      </c>
      <c r="CT218" s="32">
        <v>91.4</v>
      </c>
      <c r="CU218" s="32">
        <v>85.5</v>
      </c>
      <c r="CV218" s="32">
        <v>93.9</v>
      </c>
      <c r="CW218" s="32">
        <v>67.3</v>
      </c>
      <c r="CX218" s="32">
        <v>104.3</v>
      </c>
      <c r="CY218" s="32">
        <v>112.8</v>
      </c>
      <c r="CZ218" s="32">
        <v>99.8</v>
      </c>
      <c r="DA218" s="32">
        <v>90.4</v>
      </c>
      <c r="DB218" s="32">
        <v>117.7</v>
      </c>
      <c r="DC218" s="32">
        <v>34</v>
      </c>
      <c r="DD218" s="32">
        <v>34</v>
      </c>
      <c r="DE218" s="32">
        <v>83.7</v>
      </c>
      <c r="DF218" s="32">
        <v>81.2</v>
      </c>
      <c r="DG218" s="32">
        <v>98.7</v>
      </c>
      <c r="DH218" s="32">
        <v>96.8</v>
      </c>
      <c r="DI218" s="32">
        <v>111.5</v>
      </c>
      <c r="DJ218" s="32">
        <v>99.1</v>
      </c>
      <c r="DK218" s="32">
        <v>99.1</v>
      </c>
      <c r="DL218" s="32">
        <v>69.3</v>
      </c>
      <c r="DM218" s="32">
        <v>91.9</v>
      </c>
      <c r="DN218" s="32">
        <v>94.7</v>
      </c>
      <c r="DO218" s="32">
        <v>90.2</v>
      </c>
      <c r="DP218" s="32">
        <v>104.6</v>
      </c>
      <c r="DQ218" s="32">
        <v>90.6</v>
      </c>
      <c r="DR218" s="32">
        <v>91.6</v>
      </c>
      <c r="DS218" s="32">
        <v>93.8</v>
      </c>
      <c r="DT218" s="32">
        <v>91.8</v>
      </c>
      <c r="DU218" s="32">
        <v>91.8</v>
      </c>
      <c r="DV218" s="32">
        <v>96.4</v>
      </c>
      <c r="DW218" s="32">
        <v>86.4</v>
      </c>
      <c r="DX218" s="32">
        <v>91.6</v>
      </c>
      <c r="DY218" s="32">
        <v>100.8</v>
      </c>
      <c r="DZ218" s="32">
        <v>96.8</v>
      </c>
      <c r="EA218" s="32">
        <v>96.8</v>
      </c>
      <c r="EB218" s="32">
        <v>82.9</v>
      </c>
      <c r="EC218" s="32">
        <v>84.8</v>
      </c>
      <c r="ED218" s="32">
        <v>81.099999999999994</v>
      </c>
      <c r="EE218" s="32">
        <v>86.9</v>
      </c>
      <c r="EF218" s="32">
        <v>66.8</v>
      </c>
      <c r="EG218" s="32">
        <v>89.1</v>
      </c>
      <c r="EH218" s="32">
        <v>90.6</v>
      </c>
      <c r="EI218" s="32">
        <v>87.8</v>
      </c>
      <c r="EJ218" s="32">
        <v>94.5</v>
      </c>
      <c r="EK218" s="32">
        <v>88</v>
      </c>
      <c r="EL218" s="32">
        <v>86.3</v>
      </c>
      <c r="EM218" s="32">
        <v>69.900000000000006</v>
      </c>
      <c r="EN218" s="32">
        <v>100</v>
      </c>
      <c r="EO218" s="32">
        <v>91.6</v>
      </c>
      <c r="EP218" s="32">
        <v>91.5</v>
      </c>
      <c r="EQ218" s="32">
        <v>91.5</v>
      </c>
      <c r="ER218" s="32">
        <v>90.3</v>
      </c>
      <c r="ES218" s="32">
        <v>90.3</v>
      </c>
      <c r="ET218" s="32">
        <v>92.6</v>
      </c>
      <c r="EU218" s="32">
        <v>91</v>
      </c>
      <c r="EV218" s="32">
        <v>91</v>
      </c>
      <c r="EW218" s="32">
        <v>96.2</v>
      </c>
      <c r="EX218" s="32">
        <v>102.2</v>
      </c>
      <c r="EY218" s="32">
        <v>91.5</v>
      </c>
      <c r="EZ218" s="32">
        <v>91</v>
      </c>
      <c r="FA218" s="32">
        <v>96.1</v>
      </c>
      <c r="FB218" s="32">
        <v>100.6</v>
      </c>
      <c r="FC218" s="32">
        <v>80.8</v>
      </c>
      <c r="FD218" s="32">
        <v>98.4</v>
      </c>
      <c r="FE218" s="32">
        <v>133.19999999999999</v>
      </c>
      <c r="FF218" s="32">
        <v>90.7</v>
      </c>
      <c r="FG218" s="32">
        <v>88.5</v>
      </c>
      <c r="FH218" s="32">
        <v>89.9</v>
      </c>
      <c r="FI218" s="32">
        <v>116</v>
      </c>
      <c r="FJ218" s="32">
        <v>84.8</v>
      </c>
      <c r="FK218" s="32">
        <v>75.900000000000006</v>
      </c>
      <c r="FL218" s="32">
        <v>75.900000000000006</v>
      </c>
    </row>
    <row r="219" spans="1:168" x14ac:dyDescent="0.2">
      <c r="A219" s="34" t="s">
        <v>1199</v>
      </c>
      <c r="B219" s="32">
        <v>91.7</v>
      </c>
      <c r="C219" s="32">
        <v>121.2</v>
      </c>
      <c r="D219" s="32">
        <v>92.3</v>
      </c>
      <c r="E219" s="32">
        <v>91.2</v>
      </c>
      <c r="F219" s="32">
        <v>80.5</v>
      </c>
      <c r="G219" s="32">
        <v>2456.6999999999998</v>
      </c>
      <c r="H219" s="32">
        <v>74</v>
      </c>
      <c r="I219" s="32">
        <v>92.6</v>
      </c>
      <c r="J219" s="32">
        <v>94.4</v>
      </c>
      <c r="K219" s="32">
        <v>86.9</v>
      </c>
      <c r="L219" s="32">
        <v>84.3</v>
      </c>
      <c r="M219" s="32">
        <v>87.1</v>
      </c>
      <c r="N219" s="32">
        <v>71.3</v>
      </c>
      <c r="O219" s="32">
        <v>76.5</v>
      </c>
      <c r="P219" s="32">
        <v>137.80000000000001</v>
      </c>
      <c r="Q219" s="32">
        <v>78.900000000000006</v>
      </c>
      <c r="R219" s="32">
        <v>71.099999999999994</v>
      </c>
      <c r="S219" s="32">
        <v>92.7</v>
      </c>
      <c r="T219" s="32">
        <v>131.5</v>
      </c>
      <c r="U219" s="32">
        <v>67.400000000000006</v>
      </c>
      <c r="V219" s="32">
        <v>109.5</v>
      </c>
      <c r="W219" s="32">
        <v>72.8</v>
      </c>
      <c r="X219" s="32">
        <v>51.5</v>
      </c>
      <c r="Y219" s="32">
        <v>105</v>
      </c>
      <c r="Z219" s="32">
        <v>148</v>
      </c>
      <c r="AA219" s="32">
        <v>87.7</v>
      </c>
      <c r="AB219" s="32">
        <v>72.3</v>
      </c>
      <c r="AC219" s="32">
        <v>88.7</v>
      </c>
      <c r="AD219" s="32">
        <v>98.5</v>
      </c>
      <c r="AE219" s="32">
        <v>72.099999999999994</v>
      </c>
      <c r="AF219" s="32">
        <v>72.099999999999994</v>
      </c>
      <c r="AG219" s="32">
        <v>86.9</v>
      </c>
      <c r="AH219" s="32">
        <v>86.9</v>
      </c>
      <c r="AI219" s="32">
        <v>135.9</v>
      </c>
      <c r="AJ219" s="32">
        <v>62.5</v>
      </c>
      <c r="AK219" s="32">
        <v>105.6</v>
      </c>
      <c r="AL219" s="32">
        <v>94.1</v>
      </c>
      <c r="AM219" s="32">
        <v>76.900000000000006</v>
      </c>
      <c r="AN219" s="32">
        <v>118.6</v>
      </c>
      <c r="AO219" s="32">
        <v>97.6</v>
      </c>
      <c r="AP219" s="32">
        <v>97.6</v>
      </c>
      <c r="AQ219" s="32">
        <v>99.4</v>
      </c>
      <c r="AR219" s="32">
        <v>103</v>
      </c>
      <c r="AS219" s="32">
        <v>95.5</v>
      </c>
      <c r="AT219" s="32">
        <v>86.6</v>
      </c>
      <c r="AU219" s="32">
        <v>102.9</v>
      </c>
      <c r="AV219" s="32">
        <v>101.1</v>
      </c>
      <c r="AW219" s="32">
        <v>125.2</v>
      </c>
      <c r="AX219" s="32">
        <v>129.80000000000001</v>
      </c>
      <c r="AY219" s="32">
        <v>130.5</v>
      </c>
      <c r="AZ219" s="32">
        <v>96.7</v>
      </c>
      <c r="BA219" s="32">
        <v>88.1</v>
      </c>
      <c r="BB219" s="32">
        <v>88.1</v>
      </c>
      <c r="BC219" s="32">
        <v>86.5</v>
      </c>
      <c r="BD219" s="32">
        <v>86.5</v>
      </c>
      <c r="BE219" s="32">
        <v>107.7</v>
      </c>
      <c r="BF219" s="32">
        <v>107.7</v>
      </c>
      <c r="BG219" s="32">
        <v>103.9</v>
      </c>
      <c r="BH219" s="32">
        <v>124.5</v>
      </c>
      <c r="BI219" s="32">
        <v>81.3</v>
      </c>
      <c r="BJ219" s="32">
        <v>54.8</v>
      </c>
      <c r="BK219" s="32">
        <v>89.4</v>
      </c>
      <c r="BL219" s="32">
        <v>73.2</v>
      </c>
      <c r="BM219" s="32">
        <v>106</v>
      </c>
      <c r="BN219" s="32">
        <v>101.5</v>
      </c>
      <c r="BO219" s="32">
        <v>98.8</v>
      </c>
      <c r="BP219" s="32">
        <v>104.4</v>
      </c>
      <c r="BQ219" s="32">
        <v>111.6</v>
      </c>
      <c r="BR219" s="32">
        <v>91.2</v>
      </c>
      <c r="BS219" s="32">
        <v>173</v>
      </c>
      <c r="BT219" s="32">
        <v>97.7</v>
      </c>
      <c r="BU219" s="32">
        <v>81.400000000000006</v>
      </c>
      <c r="BV219" s="32">
        <v>81.400000000000006</v>
      </c>
      <c r="BW219" s="32">
        <v>92.9</v>
      </c>
      <c r="BX219" s="32">
        <v>55.5</v>
      </c>
      <c r="BY219" s="32">
        <v>92.1</v>
      </c>
      <c r="BZ219" s="32">
        <v>84.4</v>
      </c>
      <c r="CA219" s="32">
        <v>96</v>
      </c>
      <c r="CB219" s="32">
        <v>97.9</v>
      </c>
      <c r="CC219" s="32">
        <v>94.7</v>
      </c>
      <c r="CD219" s="32">
        <v>82.7</v>
      </c>
      <c r="CE219" s="32">
        <v>94.8</v>
      </c>
      <c r="CF219" s="32">
        <v>91.4</v>
      </c>
      <c r="CG219" s="32">
        <v>97.2</v>
      </c>
      <c r="CH219" s="32">
        <v>98.6</v>
      </c>
      <c r="CI219" s="32">
        <v>108.5</v>
      </c>
      <c r="CJ219" s="32">
        <v>102.5</v>
      </c>
      <c r="CK219" s="32">
        <v>93.8</v>
      </c>
      <c r="CL219" s="32">
        <v>98.9</v>
      </c>
      <c r="CM219" s="32">
        <v>109.5</v>
      </c>
      <c r="CN219" s="32">
        <v>127</v>
      </c>
      <c r="CO219" s="32">
        <v>106.1</v>
      </c>
      <c r="CP219" s="32">
        <v>120.5</v>
      </c>
      <c r="CQ219" s="32">
        <v>54.2</v>
      </c>
      <c r="CR219" s="32">
        <v>101</v>
      </c>
      <c r="CS219" s="32">
        <v>91.8</v>
      </c>
      <c r="CT219" s="32">
        <v>90.5</v>
      </c>
      <c r="CU219" s="32">
        <v>85.1</v>
      </c>
      <c r="CV219" s="32">
        <v>92.9</v>
      </c>
      <c r="CW219" s="32">
        <v>69.099999999999994</v>
      </c>
      <c r="CX219" s="32">
        <v>108.5</v>
      </c>
      <c r="CY219" s="32">
        <v>110.3</v>
      </c>
      <c r="CZ219" s="32">
        <v>107.5</v>
      </c>
      <c r="DA219" s="32">
        <v>101.7</v>
      </c>
      <c r="DB219" s="32">
        <v>118.7</v>
      </c>
      <c r="DC219" s="32">
        <v>34.4</v>
      </c>
      <c r="DD219" s="32">
        <v>34.4</v>
      </c>
      <c r="DE219" s="32">
        <v>85.9</v>
      </c>
      <c r="DF219" s="32">
        <v>83.2</v>
      </c>
      <c r="DG219" s="32">
        <v>102</v>
      </c>
      <c r="DH219" s="32">
        <v>96.4</v>
      </c>
      <c r="DI219" s="32">
        <v>111.5</v>
      </c>
      <c r="DJ219" s="32">
        <v>98.6</v>
      </c>
      <c r="DK219" s="32">
        <v>98.6</v>
      </c>
      <c r="DL219" s="32">
        <v>68.400000000000006</v>
      </c>
      <c r="DM219" s="32">
        <v>91.8</v>
      </c>
      <c r="DN219" s="32">
        <v>94.7</v>
      </c>
      <c r="DO219" s="32">
        <v>90.2</v>
      </c>
      <c r="DP219" s="32">
        <v>103.8</v>
      </c>
      <c r="DQ219" s="32">
        <v>92.3</v>
      </c>
      <c r="DR219" s="32">
        <v>93.8</v>
      </c>
      <c r="DS219" s="32">
        <v>97.1</v>
      </c>
      <c r="DT219" s="32">
        <v>92.9</v>
      </c>
      <c r="DU219" s="32">
        <v>94.2</v>
      </c>
      <c r="DV219" s="32">
        <v>97.3</v>
      </c>
      <c r="DW219" s="32">
        <v>90.4</v>
      </c>
      <c r="DX219" s="32">
        <v>90.2</v>
      </c>
      <c r="DY219" s="32">
        <v>110.9</v>
      </c>
      <c r="DZ219" s="32">
        <v>99.5</v>
      </c>
      <c r="EA219" s="32">
        <v>99.5</v>
      </c>
      <c r="EB219" s="32">
        <v>81.900000000000006</v>
      </c>
      <c r="EC219" s="32">
        <v>86.4</v>
      </c>
      <c r="ED219" s="32">
        <v>76.599999999999994</v>
      </c>
      <c r="EE219" s="32">
        <v>79.3</v>
      </c>
      <c r="EF219" s="32">
        <v>69.8</v>
      </c>
      <c r="EG219" s="32">
        <v>90.1</v>
      </c>
      <c r="EH219" s="32">
        <v>90.1</v>
      </c>
      <c r="EI219" s="32">
        <v>89.1</v>
      </c>
      <c r="EJ219" s="32">
        <v>93.5</v>
      </c>
      <c r="EK219" s="32">
        <v>90.2</v>
      </c>
      <c r="EL219" s="32">
        <v>83.4</v>
      </c>
      <c r="EM219" s="32">
        <v>75</v>
      </c>
      <c r="EN219" s="32">
        <v>101.2</v>
      </c>
      <c r="EO219" s="32">
        <v>91.6</v>
      </c>
      <c r="EP219" s="32">
        <v>91.1</v>
      </c>
      <c r="EQ219" s="32">
        <v>91.1</v>
      </c>
      <c r="ER219" s="32">
        <v>90.1</v>
      </c>
      <c r="ES219" s="32">
        <v>90.1</v>
      </c>
      <c r="ET219" s="32">
        <v>93</v>
      </c>
      <c r="EU219" s="32">
        <v>91.7</v>
      </c>
      <c r="EV219" s="32">
        <v>91.7</v>
      </c>
      <c r="EW219" s="32">
        <v>96.1</v>
      </c>
      <c r="EX219" s="32">
        <v>102.2</v>
      </c>
      <c r="EY219" s="32">
        <v>91.3</v>
      </c>
      <c r="EZ219" s="32">
        <v>92.6</v>
      </c>
      <c r="FA219" s="32">
        <v>97.6</v>
      </c>
      <c r="FB219" s="32">
        <v>101.8</v>
      </c>
      <c r="FC219" s="32">
        <v>81.599999999999994</v>
      </c>
      <c r="FD219" s="32">
        <v>95.9</v>
      </c>
      <c r="FE219" s="32">
        <v>136.6</v>
      </c>
      <c r="FF219" s="32">
        <v>92.6</v>
      </c>
      <c r="FG219" s="32">
        <v>90.2</v>
      </c>
      <c r="FH219" s="32">
        <v>89.4</v>
      </c>
      <c r="FI219" s="32">
        <v>122.6</v>
      </c>
      <c r="FJ219" s="32">
        <v>86.8</v>
      </c>
      <c r="FK219" s="32">
        <v>78.400000000000006</v>
      </c>
      <c r="FL219" s="32">
        <v>78.400000000000006</v>
      </c>
    </row>
    <row r="220" spans="1:168" x14ac:dyDescent="0.2">
      <c r="A220" s="34" t="s">
        <v>1200</v>
      </c>
      <c r="B220" s="32">
        <v>91.6</v>
      </c>
      <c r="C220" s="32">
        <v>120.3</v>
      </c>
      <c r="D220" s="32">
        <v>93</v>
      </c>
      <c r="E220" s="32">
        <v>91.5</v>
      </c>
      <c r="F220" s="32">
        <v>79.2</v>
      </c>
      <c r="G220" s="32">
        <v>2081</v>
      </c>
      <c r="H220" s="32">
        <v>71</v>
      </c>
      <c r="I220" s="32">
        <v>100.7</v>
      </c>
      <c r="J220" s="32">
        <v>94.7</v>
      </c>
      <c r="K220" s="32">
        <v>85.7</v>
      </c>
      <c r="L220" s="32">
        <v>82.6</v>
      </c>
      <c r="M220" s="32">
        <v>79</v>
      </c>
      <c r="N220" s="32">
        <v>72.3</v>
      </c>
      <c r="O220" s="32">
        <v>77.400000000000006</v>
      </c>
      <c r="P220" s="32">
        <v>125.3</v>
      </c>
      <c r="Q220" s="32">
        <v>79</v>
      </c>
      <c r="R220" s="32">
        <v>75.2</v>
      </c>
      <c r="S220" s="32">
        <v>91</v>
      </c>
      <c r="T220" s="32">
        <v>129.80000000000001</v>
      </c>
      <c r="U220" s="32">
        <v>65</v>
      </c>
      <c r="V220" s="32">
        <v>111.4</v>
      </c>
      <c r="W220" s="32">
        <v>75.099999999999994</v>
      </c>
      <c r="X220" s="32">
        <v>52.5</v>
      </c>
      <c r="Y220" s="32">
        <v>114.2</v>
      </c>
      <c r="Z220" s="32">
        <v>127.9</v>
      </c>
      <c r="AA220" s="32">
        <v>86.4</v>
      </c>
      <c r="AB220" s="32">
        <v>73.2</v>
      </c>
      <c r="AC220" s="32">
        <v>85.7</v>
      </c>
      <c r="AD220" s="32">
        <v>97.1</v>
      </c>
      <c r="AE220" s="32">
        <v>77.7</v>
      </c>
      <c r="AF220" s="32">
        <v>77.7</v>
      </c>
      <c r="AG220" s="32">
        <v>89.4</v>
      </c>
      <c r="AH220" s="32">
        <v>89.4</v>
      </c>
      <c r="AI220" s="32">
        <v>137</v>
      </c>
      <c r="AJ220" s="32">
        <v>70.8</v>
      </c>
      <c r="AK220" s="32">
        <v>116.1</v>
      </c>
      <c r="AL220" s="32">
        <v>99</v>
      </c>
      <c r="AM220" s="32">
        <v>76.8</v>
      </c>
      <c r="AN220" s="32">
        <v>112.2</v>
      </c>
      <c r="AO220" s="32">
        <v>98.5</v>
      </c>
      <c r="AP220" s="32">
        <v>98.5</v>
      </c>
      <c r="AQ220" s="32">
        <v>97.8</v>
      </c>
      <c r="AR220" s="32">
        <v>102.1</v>
      </c>
      <c r="AS220" s="32">
        <v>92.9</v>
      </c>
      <c r="AT220" s="32">
        <v>88.1</v>
      </c>
      <c r="AU220" s="32">
        <v>97.2</v>
      </c>
      <c r="AV220" s="32">
        <v>103.9</v>
      </c>
      <c r="AW220" s="32">
        <v>124.1</v>
      </c>
      <c r="AX220" s="32">
        <v>128.30000000000001</v>
      </c>
      <c r="AY220" s="32">
        <v>129.80000000000001</v>
      </c>
      <c r="AZ220" s="32">
        <v>100.5</v>
      </c>
      <c r="BA220" s="32">
        <v>87.9</v>
      </c>
      <c r="BB220" s="32">
        <v>87.9</v>
      </c>
      <c r="BC220" s="32">
        <v>90.2</v>
      </c>
      <c r="BD220" s="32">
        <v>90.2</v>
      </c>
      <c r="BE220" s="32">
        <v>105.7</v>
      </c>
      <c r="BF220" s="32">
        <v>105.7</v>
      </c>
      <c r="BG220" s="32">
        <v>102.8</v>
      </c>
      <c r="BH220" s="32">
        <v>123.4</v>
      </c>
      <c r="BI220" s="32">
        <v>80.2</v>
      </c>
      <c r="BJ220" s="32">
        <v>53</v>
      </c>
      <c r="BK220" s="32">
        <v>88.1</v>
      </c>
      <c r="BL220" s="32">
        <v>77.2</v>
      </c>
      <c r="BM220" s="32">
        <v>107.7</v>
      </c>
      <c r="BN220" s="32">
        <v>104.1</v>
      </c>
      <c r="BO220" s="32">
        <v>101</v>
      </c>
      <c r="BP220" s="32">
        <v>107.3</v>
      </c>
      <c r="BQ220" s="32">
        <v>112.2</v>
      </c>
      <c r="BR220" s="32">
        <v>104.8</v>
      </c>
      <c r="BS220" s="32">
        <v>165.2</v>
      </c>
      <c r="BT220" s="32">
        <v>98.4</v>
      </c>
      <c r="BU220" s="32">
        <v>82</v>
      </c>
      <c r="BV220" s="32">
        <v>82</v>
      </c>
      <c r="BW220" s="32">
        <v>91.9</v>
      </c>
      <c r="BX220" s="32">
        <v>58.3</v>
      </c>
      <c r="BY220" s="32">
        <v>93.9</v>
      </c>
      <c r="BZ220" s="32">
        <v>86.2</v>
      </c>
      <c r="CA220" s="32">
        <v>97.9</v>
      </c>
      <c r="CB220" s="32">
        <v>104.2</v>
      </c>
      <c r="CC220" s="32">
        <v>92</v>
      </c>
      <c r="CD220" s="32">
        <v>81.3</v>
      </c>
      <c r="CE220" s="32">
        <v>96.8</v>
      </c>
      <c r="CF220" s="32">
        <v>91.1</v>
      </c>
      <c r="CG220" s="32">
        <v>96.8</v>
      </c>
      <c r="CH220" s="32">
        <v>99.3</v>
      </c>
      <c r="CI220" s="32">
        <v>109.9</v>
      </c>
      <c r="CJ220" s="32">
        <v>103.3</v>
      </c>
      <c r="CK220" s="32">
        <v>94.3</v>
      </c>
      <c r="CL220" s="32">
        <v>96.5</v>
      </c>
      <c r="CM220" s="32">
        <v>107.8</v>
      </c>
      <c r="CN220" s="32">
        <v>127.5</v>
      </c>
      <c r="CO220" s="32">
        <v>104</v>
      </c>
      <c r="CP220" s="32">
        <v>120.1</v>
      </c>
      <c r="CQ220" s="32">
        <v>51.4</v>
      </c>
      <c r="CR220" s="32">
        <v>95.9</v>
      </c>
      <c r="CS220" s="32">
        <v>92.6</v>
      </c>
      <c r="CT220" s="32">
        <v>89.1</v>
      </c>
      <c r="CU220" s="32">
        <v>84.8</v>
      </c>
      <c r="CV220" s="32">
        <v>90.9</v>
      </c>
      <c r="CW220" s="32">
        <v>68</v>
      </c>
      <c r="CX220" s="32">
        <v>106.6</v>
      </c>
      <c r="CY220" s="32">
        <v>111.8</v>
      </c>
      <c r="CZ220" s="32">
        <v>103.8</v>
      </c>
      <c r="DA220" s="32">
        <v>95.7</v>
      </c>
      <c r="DB220" s="32">
        <v>119.2</v>
      </c>
      <c r="DC220" s="32">
        <v>34.9</v>
      </c>
      <c r="DD220" s="32">
        <v>34.9</v>
      </c>
      <c r="DE220" s="32">
        <v>83</v>
      </c>
      <c r="DF220" s="32">
        <v>80.7</v>
      </c>
      <c r="DG220" s="32">
        <v>96.8</v>
      </c>
      <c r="DH220" s="32">
        <v>97.6</v>
      </c>
      <c r="DI220" s="32">
        <v>110.9</v>
      </c>
      <c r="DJ220" s="32">
        <v>97.1</v>
      </c>
      <c r="DK220" s="32">
        <v>97.1</v>
      </c>
      <c r="DL220" s="32">
        <v>74.8</v>
      </c>
      <c r="DM220" s="32">
        <v>91.9</v>
      </c>
      <c r="DN220" s="32">
        <v>94.2</v>
      </c>
      <c r="DO220" s="32">
        <v>90.5</v>
      </c>
      <c r="DP220" s="32">
        <v>104.1</v>
      </c>
      <c r="DQ220" s="32">
        <v>92.4</v>
      </c>
      <c r="DR220" s="32">
        <v>94.1</v>
      </c>
      <c r="DS220" s="32">
        <v>94.8</v>
      </c>
      <c r="DT220" s="32">
        <v>91.4</v>
      </c>
      <c r="DU220" s="32">
        <v>91.8</v>
      </c>
      <c r="DV220" s="32">
        <v>96.8</v>
      </c>
      <c r="DW220" s="32">
        <v>86</v>
      </c>
      <c r="DX220" s="32">
        <v>90.5</v>
      </c>
      <c r="DY220" s="32">
        <v>106</v>
      </c>
      <c r="DZ220" s="32">
        <v>110</v>
      </c>
      <c r="EA220" s="32">
        <v>110</v>
      </c>
      <c r="EB220" s="32">
        <v>86.3</v>
      </c>
      <c r="EC220" s="32">
        <v>88.2</v>
      </c>
      <c r="ED220" s="32">
        <v>84.4</v>
      </c>
      <c r="EE220" s="32">
        <v>88.5</v>
      </c>
      <c r="EF220" s="32">
        <v>74.3</v>
      </c>
      <c r="EG220" s="32">
        <v>90</v>
      </c>
      <c r="EH220" s="32">
        <v>90</v>
      </c>
      <c r="EI220" s="32">
        <v>91.8</v>
      </c>
      <c r="EJ220" s="32">
        <v>89.5</v>
      </c>
      <c r="EK220" s="32">
        <v>88.8</v>
      </c>
      <c r="EL220" s="32">
        <v>85.3</v>
      </c>
      <c r="EM220" s="32">
        <v>72</v>
      </c>
      <c r="EN220" s="32">
        <v>100.4</v>
      </c>
      <c r="EO220" s="32">
        <v>91</v>
      </c>
      <c r="EP220" s="32">
        <v>90.8</v>
      </c>
      <c r="EQ220" s="32">
        <v>90.8</v>
      </c>
      <c r="ER220" s="32">
        <v>88.9</v>
      </c>
      <c r="ES220" s="32">
        <v>88.9</v>
      </c>
      <c r="ET220" s="32">
        <v>92.8</v>
      </c>
      <c r="EU220" s="32">
        <v>91.5</v>
      </c>
      <c r="EV220" s="32">
        <v>91.5</v>
      </c>
      <c r="EW220" s="32">
        <v>95.8</v>
      </c>
      <c r="EX220" s="32">
        <v>101.8</v>
      </c>
      <c r="EY220" s="32">
        <v>91</v>
      </c>
      <c r="EZ220" s="32">
        <v>90.9</v>
      </c>
      <c r="FA220" s="32">
        <v>96</v>
      </c>
      <c r="FB220" s="32">
        <v>101.3</v>
      </c>
      <c r="FC220" s="32">
        <v>80.2</v>
      </c>
      <c r="FD220" s="32">
        <v>95.1</v>
      </c>
      <c r="FE220" s="32">
        <v>137.9</v>
      </c>
      <c r="FF220" s="32">
        <v>89.5</v>
      </c>
      <c r="FG220" s="32">
        <v>88.1</v>
      </c>
      <c r="FH220" s="32">
        <v>90.4</v>
      </c>
      <c r="FI220" s="32">
        <v>116.5</v>
      </c>
      <c r="FJ220" s="32">
        <v>83.9</v>
      </c>
      <c r="FK220" s="32">
        <v>79.400000000000006</v>
      </c>
      <c r="FL220" s="32">
        <v>79.400000000000006</v>
      </c>
    </row>
    <row r="221" spans="1:168" x14ac:dyDescent="0.2">
      <c r="A221" s="34" t="s">
        <v>1201</v>
      </c>
      <c r="B221" s="32">
        <v>91.9</v>
      </c>
      <c r="C221" s="32">
        <v>119.3</v>
      </c>
      <c r="D221" s="32">
        <v>93.8</v>
      </c>
      <c r="E221" s="32">
        <v>92.9</v>
      </c>
      <c r="F221" s="32">
        <v>79</v>
      </c>
      <c r="G221" s="32">
        <v>2154.8000000000002</v>
      </c>
      <c r="H221" s="32">
        <v>69.099999999999994</v>
      </c>
      <c r="I221" s="32">
        <v>108.9</v>
      </c>
      <c r="J221" s="32">
        <v>96.1</v>
      </c>
      <c r="K221" s="32">
        <v>86</v>
      </c>
      <c r="L221" s="32">
        <v>82.9</v>
      </c>
      <c r="M221" s="32">
        <v>74.2</v>
      </c>
      <c r="N221" s="32">
        <v>71.8</v>
      </c>
      <c r="O221" s="32">
        <v>77.599999999999994</v>
      </c>
      <c r="P221" s="32">
        <v>120.9</v>
      </c>
      <c r="Q221" s="32">
        <v>85.3</v>
      </c>
      <c r="R221" s="32">
        <v>79.2</v>
      </c>
      <c r="S221" s="32">
        <v>90.9</v>
      </c>
      <c r="T221" s="32">
        <v>138.1</v>
      </c>
      <c r="U221" s="32">
        <v>70.099999999999994</v>
      </c>
      <c r="V221" s="32">
        <v>109.7</v>
      </c>
      <c r="W221" s="32">
        <v>73.900000000000006</v>
      </c>
      <c r="X221" s="32">
        <v>54.7</v>
      </c>
      <c r="Y221" s="32">
        <v>104.2</v>
      </c>
      <c r="Z221" s="32">
        <v>125.7</v>
      </c>
      <c r="AA221" s="32">
        <v>85</v>
      </c>
      <c r="AB221" s="32">
        <v>73.2</v>
      </c>
      <c r="AC221" s="32">
        <v>83</v>
      </c>
      <c r="AD221" s="32">
        <v>95.7</v>
      </c>
      <c r="AE221" s="32">
        <v>86</v>
      </c>
      <c r="AF221" s="32">
        <v>86</v>
      </c>
      <c r="AG221" s="32">
        <v>91.4</v>
      </c>
      <c r="AH221" s="32">
        <v>91.4</v>
      </c>
      <c r="AI221" s="32">
        <v>131.9</v>
      </c>
      <c r="AJ221" s="32">
        <v>77.900000000000006</v>
      </c>
      <c r="AK221" s="32">
        <v>111.4</v>
      </c>
      <c r="AL221" s="32">
        <v>96.1</v>
      </c>
      <c r="AM221" s="32">
        <v>74.7</v>
      </c>
      <c r="AN221" s="32">
        <v>121.9</v>
      </c>
      <c r="AO221" s="32">
        <v>106.6</v>
      </c>
      <c r="AP221" s="32">
        <v>106.6</v>
      </c>
      <c r="AQ221" s="32">
        <v>105</v>
      </c>
      <c r="AR221" s="32">
        <v>103.5</v>
      </c>
      <c r="AS221" s="32">
        <v>108.9</v>
      </c>
      <c r="AT221" s="32">
        <v>87.2</v>
      </c>
      <c r="AU221" s="32">
        <v>125.9</v>
      </c>
      <c r="AV221" s="32">
        <v>100.2</v>
      </c>
      <c r="AW221" s="32">
        <v>117</v>
      </c>
      <c r="AX221" s="32">
        <v>117.7</v>
      </c>
      <c r="AY221" s="32">
        <v>127</v>
      </c>
      <c r="AZ221" s="32">
        <v>97.6</v>
      </c>
      <c r="BA221" s="32">
        <v>101.7</v>
      </c>
      <c r="BB221" s="32">
        <v>101.7</v>
      </c>
      <c r="BC221" s="32">
        <v>90.1</v>
      </c>
      <c r="BD221" s="32">
        <v>90.1</v>
      </c>
      <c r="BE221" s="32">
        <v>107.1</v>
      </c>
      <c r="BF221" s="32">
        <v>107.1</v>
      </c>
      <c r="BG221" s="32">
        <v>102.7</v>
      </c>
      <c r="BH221" s="32">
        <v>123.3</v>
      </c>
      <c r="BI221" s="32">
        <v>79.900000000000006</v>
      </c>
      <c r="BJ221" s="32">
        <v>50.9</v>
      </c>
      <c r="BK221" s="32">
        <v>87.6</v>
      </c>
      <c r="BL221" s="32">
        <v>83.1</v>
      </c>
      <c r="BM221" s="32">
        <v>103.7</v>
      </c>
      <c r="BN221" s="32">
        <v>101</v>
      </c>
      <c r="BO221" s="32">
        <v>95.5</v>
      </c>
      <c r="BP221" s="32">
        <v>106.5</v>
      </c>
      <c r="BQ221" s="32">
        <v>107.1</v>
      </c>
      <c r="BR221" s="32">
        <v>145.80000000000001</v>
      </c>
      <c r="BS221" s="32">
        <v>154.30000000000001</v>
      </c>
      <c r="BT221" s="32">
        <v>87.4</v>
      </c>
      <c r="BU221" s="32">
        <v>87.1</v>
      </c>
      <c r="BV221" s="32">
        <v>87.1</v>
      </c>
      <c r="BW221" s="32">
        <v>97.6</v>
      </c>
      <c r="BX221" s="32">
        <v>62</v>
      </c>
      <c r="BY221" s="32">
        <v>91</v>
      </c>
      <c r="BZ221" s="32">
        <v>84.9</v>
      </c>
      <c r="CA221" s="32">
        <v>94.2</v>
      </c>
      <c r="CB221" s="32">
        <v>96.8</v>
      </c>
      <c r="CC221" s="32">
        <v>91.9</v>
      </c>
      <c r="CD221" s="32">
        <v>84.8</v>
      </c>
      <c r="CE221" s="32">
        <v>96</v>
      </c>
      <c r="CF221" s="32">
        <v>91.2</v>
      </c>
      <c r="CG221" s="32">
        <v>96.9</v>
      </c>
      <c r="CH221" s="32">
        <v>99.2</v>
      </c>
      <c r="CI221" s="32">
        <v>111.1</v>
      </c>
      <c r="CJ221" s="32">
        <v>100.5</v>
      </c>
      <c r="CK221" s="32">
        <v>95.6</v>
      </c>
      <c r="CL221" s="32">
        <v>96.5</v>
      </c>
      <c r="CM221" s="32">
        <v>106</v>
      </c>
      <c r="CN221" s="32">
        <v>126.8</v>
      </c>
      <c r="CO221" s="32">
        <v>102.1</v>
      </c>
      <c r="CP221" s="32">
        <v>117.4</v>
      </c>
      <c r="CQ221" s="32">
        <v>48.8</v>
      </c>
      <c r="CR221" s="32">
        <v>100.1</v>
      </c>
      <c r="CS221" s="32">
        <v>90.9</v>
      </c>
      <c r="CT221" s="32">
        <v>89.8</v>
      </c>
      <c r="CU221" s="32">
        <v>84.3</v>
      </c>
      <c r="CV221" s="32">
        <v>92.2</v>
      </c>
      <c r="CW221" s="32">
        <v>67.400000000000006</v>
      </c>
      <c r="CX221" s="32">
        <v>98.2</v>
      </c>
      <c r="CY221" s="32">
        <v>110.4</v>
      </c>
      <c r="CZ221" s="32">
        <v>91.6</v>
      </c>
      <c r="DA221" s="32">
        <v>78.5</v>
      </c>
      <c r="DB221" s="32">
        <v>116.6</v>
      </c>
      <c r="DC221" s="32">
        <v>36</v>
      </c>
      <c r="DD221" s="32">
        <v>36</v>
      </c>
      <c r="DE221" s="32">
        <v>83.6</v>
      </c>
      <c r="DF221" s="32">
        <v>80.599999999999994</v>
      </c>
      <c r="DG221" s="32">
        <v>101.8</v>
      </c>
      <c r="DH221" s="32">
        <v>98.3</v>
      </c>
      <c r="DI221" s="32">
        <v>112.7</v>
      </c>
      <c r="DJ221" s="32">
        <v>94.2</v>
      </c>
      <c r="DK221" s="32">
        <v>94.2</v>
      </c>
      <c r="DL221" s="32">
        <v>77.099999999999994</v>
      </c>
      <c r="DM221" s="32">
        <v>92.1</v>
      </c>
      <c r="DN221" s="32">
        <v>94</v>
      </c>
      <c r="DO221" s="32">
        <v>90.8</v>
      </c>
      <c r="DP221" s="32">
        <v>103.2</v>
      </c>
      <c r="DQ221" s="32">
        <v>92.1</v>
      </c>
      <c r="DR221" s="32">
        <v>93.3</v>
      </c>
      <c r="DS221" s="32">
        <v>94.7</v>
      </c>
      <c r="DT221" s="32">
        <v>92.1</v>
      </c>
      <c r="DU221" s="32">
        <v>92.5</v>
      </c>
      <c r="DV221" s="32">
        <v>95.6</v>
      </c>
      <c r="DW221" s="32">
        <v>88.8</v>
      </c>
      <c r="DX221" s="32">
        <v>91.3</v>
      </c>
      <c r="DY221" s="32">
        <v>103.2</v>
      </c>
      <c r="DZ221" s="32">
        <v>100.7</v>
      </c>
      <c r="EA221" s="32">
        <v>100.7</v>
      </c>
      <c r="EB221" s="32">
        <v>86.3</v>
      </c>
      <c r="EC221" s="32">
        <v>88.1</v>
      </c>
      <c r="ED221" s="32">
        <v>84.5</v>
      </c>
      <c r="EE221" s="32">
        <v>89.4</v>
      </c>
      <c r="EF221" s="32">
        <v>72.400000000000006</v>
      </c>
      <c r="EG221" s="32">
        <v>90.4</v>
      </c>
      <c r="EH221" s="32">
        <v>91.3</v>
      </c>
      <c r="EI221" s="32">
        <v>91.4</v>
      </c>
      <c r="EJ221" s="32">
        <v>92.5</v>
      </c>
      <c r="EK221" s="32">
        <v>88.7</v>
      </c>
      <c r="EL221" s="32">
        <v>86.7</v>
      </c>
      <c r="EM221" s="32">
        <v>74.599999999999994</v>
      </c>
      <c r="EN221" s="32">
        <v>98.1</v>
      </c>
      <c r="EO221" s="32">
        <v>91.3</v>
      </c>
      <c r="EP221" s="32">
        <v>90.7</v>
      </c>
      <c r="EQ221" s="32">
        <v>90.7</v>
      </c>
      <c r="ER221" s="32">
        <v>89.5</v>
      </c>
      <c r="ES221" s="32">
        <v>89.5</v>
      </c>
      <c r="ET221" s="32">
        <v>93.2</v>
      </c>
      <c r="EU221" s="32">
        <v>92.2</v>
      </c>
      <c r="EV221" s="32">
        <v>92.2</v>
      </c>
      <c r="EW221" s="32">
        <v>95.3</v>
      </c>
      <c r="EX221" s="32">
        <v>101.1</v>
      </c>
      <c r="EY221" s="32">
        <v>90.6</v>
      </c>
      <c r="EZ221" s="32">
        <v>92.3</v>
      </c>
      <c r="FA221" s="32">
        <v>98.2</v>
      </c>
      <c r="FB221" s="32">
        <v>103.7</v>
      </c>
      <c r="FC221" s="32">
        <v>86.7</v>
      </c>
      <c r="FD221" s="32">
        <v>95.4</v>
      </c>
      <c r="FE221" s="32">
        <v>134.5</v>
      </c>
      <c r="FF221" s="32">
        <v>91.5</v>
      </c>
      <c r="FG221" s="32">
        <v>89.5</v>
      </c>
      <c r="FH221" s="32">
        <v>91.7</v>
      </c>
      <c r="FI221" s="32">
        <v>110.1</v>
      </c>
      <c r="FJ221" s="32">
        <v>86.2</v>
      </c>
      <c r="FK221" s="32">
        <v>76</v>
      </c>
      <c r="FL221" s="32">
        <v>76</v>
      </c>
    </row>
    <row r="222" spans="1:168" x14ac:dyDescent="0.2">
      <c r="A222" s="34" t="s">
        <v>1202</v>
      </c>
      <c r="B222" s="32">
        <v>91.7</v>
      </c>
      <c r="C222" s="32">
        <v>112.9</v>
      </c>
      <c r="D222" s="32">
        <v>93.9</v>
      </c>
      <c r="E222" s="32">
        <v>92.3</v>
      </c>
      <c r="F222" s="32">
        <v>80.599999999999994</v>
      </c>
      <c r="G222" s="32">
        <v>2056</v>
      </c>
      <c r="H222" s="32">
        <v>70.3</v>
      </c>
      <c r="I222" s="32">
        <v>112.2</v>
      </c>
      <c r="J222" s="32">
        <v>94.3</v>
      </c>
      <c r="K222" s="32">
        <v>83.6</v>
      </c>
      <c r="L222" s="32">
        <v>80.099999999999994</v>
      </c>
      <c r="M222" s="32">
        <v>72.5</v>
      </c>
      <c r="N222" s="32">
        <v>70.8</v>
      </c>
      <c r="O222" s="32">
        <v>75.099999999999994</v>
      </c>
      <c r="P222" s="32">
        <v>112.2</v>
      </c>
      <c r="Q222" s="32">
        <v>84.5</v>
      </c>
      <c r="R222" s="32">
        <v>74.900000000000006</v>
      </c>
      <c r="S222" s="32">
        <v>88.1</v>
      </c>
      <c r="T222" s="32">
        <v>136.19999999999999</v>
      </c>
      <c r="U222" s="32">
        <v>66.400000000000006</v>
      </c>
      <c r="V222" s="32">
        <v>109.4</v>
      </c>
      <c r="W222" s="32">
        <v>76.3</v>
      </c>
      <c r="X222" s="32">
        <v>54</v>
      </c>
      <c r="Y222" s="32">
        <v>115.2</v>
      </c>
      <c r="Z222" s="32">
        <v>121.3</v>
      </c>
      <c r="AA222" s="32">
        <v>85.4</v>
      </c>
      <c r="AB222" s="32">
        <v>72.7</v>
      </c>
      <c r="AC222" s="32">
        <v>86</v>
      </c>
      <c r="AD222" s="32">
        <v>94.6</v>
      </c>
      <c r="AE222" s="32">
        <v>86.7</v>
      </c>
      <c r="AF222" s="32">
        <v>86.7</v>
      </c>
      <c r="AG222" s="32">
        <v>98.1</v>
      </c>
      <c r="AH222" s="32">
        <v>98.1</v>
      </c>
      <c r="AI222" s="32">
        <v>135.9</v>
      </c>
      <c r="AJ222" s="32">
        <v>87.7</v>
      </c>
      <c r="AK222" s="32">
        <v>108.8</v>
      </c>
      <c r="AL222" s="32">
        <v>102.8</v>
      </c>
      <c r="AM222" s="32">
        <v>79.099999999999994</v>
      </c>
      <c r="AN222" s="32">
        <v>132.1</v>
      </c>
      <c r="AO222" s="32">
        <v>101.7</v>
      </c>
      <c r="AP222" s="32">
        <v>101.7</v>
      </c>
      <c r="AQ222" s="32">
        <v>103.6</v>
      </c>
      <c r="AR222" s="32">
        <v>102.6</v>
      </c>
      <c r="AS222" s="32">
        <v>106.6</v>
      </c>
      <c r="AT222" s="32">
        <v>87.9</v>
      </c>
      <c r="AU222" s="32">
        <v>121.2</v>
      </c>
      <c r="AV222" s="32">
        <v>105.3</v>
      </c>
      <c r="AW222" s="32">
        <v>146.19999999999999</v>
      </c>
      <c r="AX222" s="32">
        <v>176</v>
      </c>
      <c r="AY222" s="32">
        <v>118</v>
      </c>
      <c r="AZ222" s="32">
        <v>97</v>
      </c>
      <c r="BA222" s="32">
        <v>84.8</v>
      </c>
      <c r="BB222" s="32">
        <v>84.8</v>
      </c>
      <c r="BC222" s="32">
        <v>88</v>
      </c>
      <c r="BD222" s="32">
        <v>88</v>
      </c>
      <c r="BE222" s="32">
        <v>100.1</v>
      </c>
      <c r="BF222" s="32">
        <v>100.1</v>
      </c>
      <c r="BG222" s="32">
        <v>100.9</v>
      </c>
      <c r="BH222" s="32">
        <v>121.8</v>
      </c>
      <c r="BI222" s="32">
        <v>78</v>
      </c>
      <c r="BJ222" s="32">
        <v>48.3</v>
      </c>
      <c r="BK222" s="32">
        <v>85.6</v>
      </c>
      <c r="BL222" s="32">
        <v>84.7</v>
      </c>
      <c r="BM222" s="32">
        <v>101.3</v>
      </c>
      <c r="BN222" s="32">
        <v>104.6</v>
      </c>
      <c r="BO222" s="32">
        <v>105.1</v>
      </c>
      <c r="BP222" s="32">
        <v>104.5</v>
      </c>
      <c r="BQ222" s="32">
        <v>97.5</v>
      </c>
      <c r="BR222" s="32">
        <v>121.7</v>
      </c>
      <c r="BS222" s="32">
        <v>120.3</v>
      </c>
      <c r="BT222" s="32">
        <v>86.6</v>
      </c>
      <c r="BU222" s="32">
        <v>90.7</v>
      </c>
      <c r="BV222" s="32">
        <v>90.7</v>
      </c>
      <c r="BW222" s="32">
        <v>101.7</v>
      </c>
      <c r="BX222" s="32">
        <v>64.7</v>
      </c>
      <c r="BY222" s="32">
        <v>91.4</v>
      </c>
      <c r="BZ222" s="32">
        <v>88.2</v>
      </c>
      <c r="CA222" s="32">
        <v>92.9</v>
      </c>
      <c r="CB222" s="32">
        <v>97.1</v>
      </c>
      <c r="CC222" s="32">
        <v>89</v>
      </c>
      <c r="CD222" s="32">
        <v>84</v>
      </c>
      <c r="CE222" s="32">
        <v>98</v>
      </c>
      <c r="CF222" s="32">
        <v>91</v>
      </c>
      <c r="CG222" s="32">
        <v>96.3</v>
      </c>
      <c r="CH222" s="32">
        <v>99.2</v>
      </c>
      <c r="CI222" s="32">
        <v>111</v>
      </c>
      <c r="CJ222" s="32">
        <v>101</v>
      </c>
      <c r="CK222" s="32">
        <v>95.3</v>
      </c>
      <c r="CL222" s="32">
        <v>94.3</v>
      </c>
      <c r="CM222" s="32">
        <v>103.5</v>
      </c>
      <c r="CN222" s="32">
        <v>124.8</v>
      </c>
      <c r="CO222" s="32">
        <v>99.6</v>
      </c>
      <c r="CP222" s="32">
        <v>116</v>
      </c>
      <c r="CQ222" s="32">
        <v>45.9</v>
      </c>
      <c r="CR222" s="32">
        <v>96.5</v>
      </c>
      <c r="CS222" s="32">
        <v>92</v>
      </c>
      <c r="CT222" s="32">
        <v>89.4</v>
      </c>
      <c r="CU222" s="32">
        <v>83.7</v>
      </c>
      <c r="CV222" s="32">
        <v>91.8</v>
      </c>
      <c r="CW222" s="32">
        <v>68.7</v>
      </c>
      <c r="CX222" s="32">
        <v>108</v>
      </c>
      <c r="CY222" s="32">
        <v>110</v>
      </c>
      <c r="CZ222" s="32">
        <v>107</v>
      </c>
      <c r="DA222" s="32">
        <v>101.8</v>
      </c>
      <c r="DB222" s="32">
        <v>116.9</v>
      </c>
      <c r="DC222" s="32">
        <v>35.5</v>
      </c>
      <c r="DD222" s="32">
        <v>35.5</v>
      </c>
      <c r="DE222" s="32">
        <v>83.6</v>
      </c>
      <c r="DF222" s="32">
        <v>81.3</v>
      </c>
      <c r="DG222" s="32">
        <v>97.3</v>
      </c>
      <c r="DH222" s="32">
        <v>96.9</v>
      </c>
      <c r="DI222" s="32">
        <v>107.5</v>
      </c>
      <c r="DJ222" s="32">
        <v>91.1</v>
      </c>
      <c r="DK222" s="32">
        <v>91.1</v>
      </c>
      <c r="DL222" s="32">
        <v>83.5</v>
      </c>
      <c r="DM222" s="32">
        <v>92.1</v>
      </c>
      <c r="DN222" s="32">
        <v>94.7</v>
      </c>
      <c r="DO222" s="32">
        <v>90.8</v>
      </c>
      <c r="DP222" s="32">
        <v>98.6</v>
      </c>
      <c r="DQ222" s="32">
        <v>92.5</v>
      </c>
      <c r="DR222" s="32">
        <v>93.4</v>
      </c>
      <c r="DS222" s="32">
        <v>94.8</v>
      </c>
      <c r="DT222" s="32">
        <v>91.3</v>
      </c>
      <c r="DU222" s="32">
        <v>91.4</v>
      </c>
      <c r="DV222" s="32">
        <v>95.5</v>
      </c>
      <c r="DW222" s="32">
        <v>86.5</v>
      </c>
      <c r="DX222" s="32">
        <v>91</v>
      </c>
      <c r="DY222" s="32">
        <v>106.4</v>
      </c>
      <c r="DZ222" s="32">
        <v>90.9</v>
      </c>
      <c r="EA222" s="32">
        <v>90.9</v>
      </c>
      <c r="EB222" s="32">
        <v>90.3</v>
      </c>
      <c r="EC222" s="32">
        <v>93.4</v>
      </c>
      <c r="ED222" s="32">
        <v>86.7</v>
      </c>
      <c r="EE222" s="32">
        <v>93.4</v>
      </c>
      <c r="EF222" s="32">
        <v>70.5</v>
      </c>
      <c r="EG222" s="32">
        <v>91.1</v>
      </c>
      <c r="EH222" s="32">
        <v>94</v>
      </c>
      <c r="EI222" s="32">
        <v>90.1</v>
      </c>
      <c r="EJ222" s="32">
        <v>91.8</v>
      </c>
      <c r="EK222" s="32">
        <v>90.3</v>
      </c>
      <c r="EL222" s="32">
        <v>85.7</v>
      </c>
      <c r="EM222" s="32">
        <v>75.900000000000006</v>
      </c>
      <c r="EN222" s="32">
        <v>100.4</v>
      </c>
      <c r="EO222" s="32">
        <v>91</v>
      </c>
      <c r="EP222" s="32">
        <v>89.9</v>
      </c>
      <c r="EQ222" s="32">
        <v>89.9</v>
      </c>
      <c r="ER222" s="32">
        <v>89.7</v>
      </c>
      <c r="ES222" s="32">
        <v>89.7</v>
      </c>
      <c r="ET222" s="32">
        <v>92.8</v>
      </c>
      <c r="EU222" s="32">
        <v>91.9</v>
      </c>
      <c r="EV222" s="32">
        <v>91.9</v>
      </c>
      <c r="EW222" s="32">
        <v>94.8</v>
      </c>
      <c r="EX222" s="32">
        <v>100.2</v>
      </c>
      <c r="EY222" s="32">
        <v>90.5</v>
      </c>
      <c r="EZ222" s="32">
        <v>89.5</v>
      </c>
      <c r="FA222" s="32">
        <v>94.1</v>
      </c>
      <c r="FB222" s="32">
        <v>99.3</v>
      </c>
      <c r="FC222" s="32">
        <v>82.2</v>
      </c>
      <c r="FD222" s="32">
        <v>94.3</v>
      </c>
      <c r="FE222" s="32">
        <v>128.69999999999999</v>
      </c>
      <c r="FF222" s="32">
        <v>87.9</v>
      </c>
      <c r="FG222" s="32">
        <v>87.3</v>
      </c>
      <c r="FH222" s="32">
        <v>92.8</v>
      </c>
      <c r="FI222" s="32">
        <v>107.7</v>
      </c>
      <c r="FJ222" s="32">
        <v>82.7</v>
      </c>
      <c r="FK222" s="32">
        <v>75.8</v>
      </c>
      <c r="FL222" s="32">
        <v>75.8</v>
      </c>
    </row>
    <row r="223" spans="1:168" x14ac:dyDescent="0.2">
      <c r="A223" s="34" t="s">
        <v>1203</v>
      </c>
      <c r="B223" s="32">
        <v>92</v>
      </c>
      <c r="C223" s="32">
        <v>108.4</v>
      </c>
      <c r="D223" s="32">
        <v>94.6</v>
      </c>
      <c r="E223" s="32">
        <v>93.4</v>
      </c>
      <c r="F223" s="32">
        <v>78.900000000000006</v>
      </c>
      <c r="G223" s="32">
        <v>2274.1999999999998</v>
      </c>
      <c r="H223" s="32">
        <v>67.099999999999994</v>
      </c>
      <c r="I223" s="32">
        <v>117.9</v>
      </c>
      <c r="J223" s="32">
        <v>95.3</v>
      </c>
      <c r="K223" s="32">
        <v>82.4</v>
      </c>
      <c r="L223" s="32">
        <v>78.5</v>
      </c>
      <c r="M223" s="32">
        <v>62.9</v>
      </c>
      <c r="N223" s="32">
        <v>73.3</v>
      </c>
      <c r="O223" s="32">
        <v>77.7</v>
      </c>
      <c r="P223" s="32">
        <v>105.5</v>
      </c>
      <c r="Q223" s="32">
        <v>85.9</v>
      </c>
      <c r="R223" s="32">
        <v>74.400000000000006</v>
      </c>
      <c r="S223" s="32">
        <v>88.3</v>
      </c>
      <c r="T223" s="32">
        <v>136.69999999999999</v>
      </c>
      <c r="U223" s="32">
        <v>69.5</v>
      </c>
      <c r="V223" s="32">
        <v>108.5</v>
      </c>
      <c r="W223" s="32">
        <v>82.1</v>
      </c>
      <c r="X223" s="32">
        <v>57.8</v>
      </c>
      <c r="Y223" s="32">
        <v>127.5</v>
      </c>
      <c r="Z223" s="32">
        <v>115</v>
      </c>
      <c r="AA223" s="32">
        <v>84.9</v>
      </c>
      <c r="AB223" s="32">
        <v>76.3</v>
      </c>
      <c r="AC223" s="32">
        <v>85.4</v>
      </c>
      <c r="AD223" s="32">
        <v>91.2</v>
      </c>
      <c r="AE223" s="32">
        <v>98.8</v>
      </c>
      <c r="AF223" s="32">
        <v>98.8</v>
      </c>
      <c r="AG223" s="32">
        <v>103.3</v>
      </c>
      <c r="AH223" s="32">
        <v>103.3</v>
      </c>
      <c r="AI223" s="32">
        <v>134.6</v>
      </c>
      <c r="AJ223" s="32">
        <v>97.2</v>
      </c>
      <c r="AK223" s="32">
        <v>131.9</v>
      </c>
      <c r="AL223" s="32">
        <v>105.7</v>
      </c>
      <c r="AM223" s="32">
        <v>78.7</v>
      </c>
      <c r="AN223" s="32">
        <v>139.9</v>
      </c>
      <c r="AO223" s="32">
        <v>101.4</v>
      </c>
      <c r="AP223" s="32">
        <v>101.4</v>
      </c>
      <c r="AQ223" s="32">
        <v>106.1</v>
      </c>
      <c r="AR223" s="32">
        <v>109.7</v>
      </c>
      <c r="AS223" s="32">
        <v>102.2</v>
      </c>
      <c r="AT223" s="32">
        <v>86.6</v>
      </c>
      <c r="AU223" s="32">
        <v>114.5</v>
      </c>
      <c r="AV223" s="32">
        <v>105.2</v>
      </c>
      <c r="AW223" s="32">
        <v>138.4</v>
      </c>
      <c r="AX223" s="32">
        <v>154.80000000000001</v>
      </c>
      <c r="AY223" s="32">
        <v>128.4</v>
      </c>
      <c r="AZ223" s="32">
        <v>98.8</v>
      </c>
      <c r="BA223" s="32">
        <v>82.2</v>
      </c>
      <c r="BB223" s="32">
        <v>82.2</v>
      </c>
      <c r="BC223" s="32">
        <v>88</v>
      </c>
      <c r="BD223" s="32">
        <v>88</v>
      </c>
      <c r="BE223" s="32">
        <v>105.8</v>
      </c>
      <c r="BF223" s="32">
        <v>105.8</v>
      </c>
      <c r="BG223" s="32">
        <v>102.3</v>
      </c>
      <c r="BH223" s="32">
        <v>125.5</v>
      </c>
      <c r="BI223" s="32">
        <v>77</v>
      </c>
      <c r="BJ223" s="32">
        <v>46.3</v>
      </c>
      <c r="BK223" s="32">
        <v>84.5</v>
      </c>
      <c r="BL223" s="32">
        <v>87.5</v>
      </c>
      <c r="BM223" s="32">
        <v>100.7</v>
      </c>
      <c r="BN223" s="32">
        <v>99.3</v>
      </c>
      <c r="BO223" s="32">
        <v>94.8</v>
      </c>
      <c r="BP223" s="32">
        <v>103.8</v>
      </c>
      <c r="BQ223" s="32">
        <v>102.5</v>
      </c>
      <c r="BR223" s="32">
        <v>116.2</v>
      </c>
      <c r="BS223" s="32">
        <v>141.6</v>
      </c>
      <c r="BT223" s="32">
        <v>89.1</v>
      </c>
      <c r="BU223" s="32">
        <v>94.7</v>
      </c>
      <c r="BV223" s="32">
        <v>94.7</v>
      </c>
      <c r="BW223" s="32">
        <v>105.5</v>
      </c>
      <c r="BX223" s="32">
        <v>68.599999999999994</v>
      </c>
      <c r="BY223" s="32">
        <v>92.5</v>
      </c>
      <c r="BZ223" s="32">
        <v>87.7</v>
      </c>
      <c r="CA223" s="32">
        <v>95</v>
      </c>
      <c r="CB223" s="32">
        <v>97.3</v>
      </c>
      <c r="CC223" s="32">
        <v>92.8</v>
      </c>
      <c r="CD223" s="32">
        <v>88.8</v>
      </c>
      <c r="CE223" s="32">
        <v>97.5</v>
      </c>
      <c r="CF223" s="32">
        <v>91.2</v>
      </c>
      <c r="CG223" s="32">
        <v>96.1</v>
      </c>
      <c r="CH223" s="32">
        <v>99.3</v>
      </c>
      <c r="CI223" s="32">
        <v>114.1</v>
      </c>
      <c r="CJ223" s="32">
        <v>100.3</v>
      </c>
      <c r="CK223" s="32">
        <v>95.2</v>
      </c>
      <c r="CL223" s="32">
        <v>93.2</v>
      </c>
      <c r="CM223" s="32">
        <v>102.1</v>
      </c>
      <c r="CN223" s="32">
        <v>122</v>
      </c>
      <c r="CO223" s="32">
        <v>98.5</v>
      </c>
      <c r="CP223" s="32">
        <v>113.5</v>
      </c>
      <c r="CQ223" s="32">
        <v>44</v>
      </c>
      <c r="CR223" s="32">
        <v>95.6</v>
      </c>
      <c r="CS223" s="32">
        <v>92.6</v>
      </c>
      <c r="CT223" s="32">
        <v>89.2</v>
      </c>
      <c r="CU223" s="32">
        <v>86.2</v>
      </c>
      <c r="CV223" s="32">
        <v>90.5</v>
      </c>
      <c r="CW223" s="32">
        <v>70.3</v>
      </c>
      <c r="CX223" s="32">
        <v>109.6</v>
      </c>
      <c r="CY223" s="32">
        <v>112.6</v>
      </c>
      <c r="CZ223" s="32">
        <v>108.1</v>
      </c>
      <c r="DA223" s="32">
        <v>101</v>
      </c>
      <c r="DB223" s="32">
        <v>121.6</v>
      </c>
      <c r="DC223" s="32">
        <v>37</v>
      </c>
      <c r="DD223" s="32">
        <v>37</v>
      </c>
      <c r="DE223" s="32">
        <v>85</v>
      </c>
      <c r="DF223" s="32">
        <v>82.4</v>
      </c>
      <c r="DG223" s="32">
        <v>100.3</v>
      </c>
      <c r="DH223" s="32">
        <v>94.9</v>
      </c>
      <c r="DI223" s="32">
        <v>108.3</v>
      </c>
      <c r="DJ223" s="32">
        <v>88</v>
      </c>
      <c r="DK223" s="32">
        <v>88</v>
      </c>
      <c r="DL223" s="32">
        <v>78</v>
      </c>
      <c r="DM223" s="32">
        <v>92.1</v>
      </c>
      <c r="DN223" s="32">
        <v>94.6</v>
      </c>
      <c r="DO223" s="32">
        <v>90.6</v>
      </c>
      <c r="DP223" s="32">
        <v>104.2</v>
      </c>
      <c r="DQ223" s="32">
        <v>93.5</v>
      </c>
      <c r="DR223" s="32">
        <v>94.1</v>
      </c>
      <c r="DS223" s="32">
        <v>95.4</v>
      </c>
      <c r="DT223" s="32">
        <v>91.7</v>
      </c>
      <c r="DU223" s="32">
        <v>92.4</v>
      </c>
      <c r="DV223" s="32">
        <v>96.4</v>
      </c>
      <c r="DW223" s="32">
        <v>87.5</v>
      </c>
      <c r="DX223" s="32">
        <v>90.3</v>
      </c>
      <c r="DY223" s="32">
        <v>107.6</v>
      </c>
      <c r="DZ223" s="32">
        <v>92.1</v>
      </c>
      <c r="EA223" s="32">
        <v>92.1</v>
      </c>
      <c r="EB223" s="32">
        <v>90.8</v>
      </c>
      <c r="EC223" s="32">
        <v>98.8</v>
      </c>
      <c r="ED223" s="32">
        <v>80.8</v>
      </c>
      <c r="EE223" s="32">
        <v>84.1</v>
      </c>
      <c r="EF223" s="32">
        <v>72.599999999999994</v>
      </c>
      <c r="EG223" s="32">
        <v>92.7</v>
      </c>
      <c r="EH223" s="32">
        <v>96.6</v>
      </c>
      <c r="EI223" s="32">
        <v>91.8</v>
      </c>
      <c r="EJ223" s="32">
        <v>91.6</v>
      </c>
      <c r="EK223" s="32">
        <v>91.5</v>
      </c>
      <c r="EL223" s="32">
        <v>86.2</v>
      </c>
      <c r="EM223" s="32">
        <v>76.5</v>
      </c>
      <c r="EN223" s="32">
        <v>102.2</v>
      </c>
      <c r="EO223" s="32">
        <v>91.2</v>
      </c>
      <c r="EP223" s="32">
        <v>89.6</v>
      </c>
      <c r="EQ223" s="32">
        <v>89.6</v>
      </c>
      <c r="ER223" s="32">
        <v>89.6</v>
      </c>
      <c r="ES223" s="32">
        <v>89.6</v>
      </c>
      <c r="ET223" s="32">
        <v>93.6</v>
      </c>
      <c r="EU223" s="32">
        <v>92.9</v>
      </c>
      <c r="EV223" s="32">
        <v>92.9</v>
      </c>
      <c r="EW223" s="32">
        <v>95.2</v>
      </c>
      <c r="EX223" s="32">
        <v>99.9</v>
      </c>
      <c r="EY223" s="32">
        <v>91.4</v>
      </c>
      <c r="EZ223" s="32">
        <v>91.5</v>
      </c>
      <c r="FA223" s="32">
        <v>96.8</v>
      </c>
      <c r="FB223" s="32">
        <v>104.1</v>
      </c>
      <c r="FC223" s="32">
        <v>93.3</v>
      </c>
      <c r="FD223" s="32">
        <v>96.7</v>
      </c>
      <c r="FE223" s="32">
        <v>124.5</v>
      </c>
      <c r="FF223" s="32">
        <v>87.9</v>
      </c>
      <c r="FG223" s="32">
        <v>89.1</v>
      </c>
      <c r="FH223" s="32">
        <v>92.8</v>
      </c>
      <c r="FI223" s="32">
        <v>107.6</v>
      </c>
      <c r="FJ223" s="32">
        <v>85.4</v>
      </c>
      <c r="FK223" s="32">
        <v>75.7</v>
      </c>
      <c r="FL223" s="32">
        <v>75.7</v>
      </c>
    </row>
    <row r="224" spans="1:168" x14ac:dyDescent="0.2">
      <c r="A224" s="34" t="s">
        <v>1204</v>
      </c>
      <c r="B224" s="32">
        <v>92</v>
      </c>
      <c r="C224" s="32">
        <v>105.6</v>
      </c>
      <c r="D224" s="32">
        <v>95.7</v>
      </c>
      <c r="E224" s="32">
        <v>94.5</v>
      </c>
      <c r="F224" s="32">
        <v>83.8</v>
      </c>
      <c r="G224" s="32">
        <v>2563.8000000000002</v>
      </c>
      <c r="H224" s="32">
        <v>71.8</v>
      </c>
      <c r="I224" s="32">
        <v>122.1</v>
      </c>
      <c r="J224" s="32">
        <v>96.2</v>
      </c>
      <c r="K224" s="32">
        <v>81.8</v>
      </c>
      <c r="L224" s="32">
        <v>77.599999999999994</v>
      </c>
      <c r="M224" s="32">
        <v>60</v>
      </c>
      <c r="N224" s="32">
        <v>74.099999999999994</v>
      </c>
      <c r="O224" s="32">
        <v>77.5</v>
      </c>
      <c r="P224" s="32">
        <v>100.2</v>
      </c>
      <c r="Q224" s="32">
        <v>89</v>
      </c>
      <c r="R224" s="32">
        <v>76.2</v>
      </c>
      <c r="S224" s="32">
        <v>85.5</v>
      </c>
      <c r="T224" s="32">
        <v>138.19999999999999</v>
      </c>
      <c r="U224" s="32">
        <v>71.8</v>
      </c>
      <c r="V224" s="32">
        <v>108.3</v>
      </c>
      <c r="W224" s="32">
        <v>86.1</v>
      </c>
      <c r="X224" s="32">
        <v>59.1</v>
      </c>
      <c r="Y224" s="32">
        <v>137.9</v>
      </c>
      <c r="Z224" s="32">
        <v>116.1</v>
      </c>
      <c r="AA224" s="32">
        <v>85.4</v>
      </c>
      <c r="AB224" s="32">
        <v>78.900000000000006</v>
      </c>
      <c r="AC224" s="32">
        <v>83.4</v>
      </c>
      <c r="AD224" s="32">
        <v>92.2</v>
      </c>
      <c r="AE224" s="32">
        <v>95.1</v>
      </c>
      <c r="AF224" s="32">
        <v>95.1</v>
      </c>
      <c r="AG224" s="32">
        <v>103.2</v>
      </c>
      <c r="AH224" s="32">
        <v>103.2</v>
      </c>
      <c r="AI224" s="32">
        <v>130.1</v>
      </c>
      <c r="AJ224" s="32">
        <v>101.4</v>
      </c>
      <c r="AK224" s="32">
        <v>118.5</v>
      </c>
      <c r="AL224" s="32">
        <v>106</v>
      </c>
      <c r="AM224" s="32">
        <v>80.7</v>
      </c>
      <c r="AN224" s="32">
        <v>132.9</v>
      </c>
      <c r="AO224" s="32">
        <v>114.8</v>
      </c>
      <c r="AP224" s="32">
        <v>114.8</v>
      </c>
      <c r="AQ224" s="32">
        <v>106.6</v>
      </c>
      <c r="AR224" s="32">
        <v>112.2</v>
      </c>
      <c r="AS224" s="32">
        <v>99.8</v>
      </c>
      <c r="AT224" s="32">
        <v>87.4</v>
      </c>
      <c r="AU224" s="32">
        <v>109.8</v>
      </c>
      <c r="AV224" s="32">
        <v>105.2</v>
      </c>
      <c r="AW224" s="32">
        <v>137</v>
      </c>
      <c r="AX224" s="32">
        <v>148.5</v>
      </c>
      <c r="AY224" s="32">
        <v>133.69999999999999</v>
      </c>
      <c r="AZ224" s="32">
        <v>99.2</v>
      </c>
      <c r="BA224" s="32">
        <v>83.8</v>
      </c>
      <c r="BB224" s="32">
        <v>83.8</v>
      </c>
      <c r="BC224" s="32">
        <v>89</v>
      </c>
      <c r="BD224" s="32">
        <v>89</v>
      </c>
      <c r="BE224" s="32">
        <v>105.8</v>
      </c>
      <c r="BF224" s="32">
        <v>105.8</v>
      </c>
      <c r="BG224" s="32">
        <v>100.4</v>
      </c>
      <c r="BH224" s="32">
        <v>122.6</v>
      </c>
      <c r="BI224" s="32">
        <v>76.2</v>
      </c>
      <c r="BJ224" s="32">
        <v>44.7</v>
      </c>
      <c r="BK224" s="32">
        <v>83.7</v>
      </c>
      <c r="BL224" s="32">
        <v>89.6</v>
      </c>
      <c r="BM224" s="32">
        <v>101.5</v>
      </c>
      <c r="BN224" s="32">
        <v>100.3</v>
      </c>
      <c r="BO224" s="32">
        <v>96</v>
      </c>
      <c r="BP224" s="32">
        <v>104.6</v>
      </c>
      <c r="BQ224" s="32">
        <v>103</v>
      </c>
      <c r="BR224" s="32">
        <v>121.1</v>
      </c>
      <c r="BS224" s="32">
        <v>138.9</v>
      </c>
      <c r="BT224" s="32">
        <v>89.6</v>
      </c>
      <c r="BU224" s="32">
        <v>94.5</v>
      </c>
      <c r="BV224" s="32">
        <v>94.5</v>
      </c>
      <c r="BW224" s="32">
        <v>104.6</v>
      </c>
      <c r="BX224" s="32">
        <v>69.599999999999994</v>
      </c>
      <c r="BY224" s="32">
        <v>93.3</v>
      </c>
      <c r="BZ224" s="32">
        <v>86.8</v>
      </c>
      <c r="CA224" s="32">
        <v>96.6</v>
      </c>
      <c r="CB224" s="32">
        <v>99.7</v>
      </c>
      <c r="CC224" s="32">
        <v>93.7</v>
      </c>
      <c r="CD224" s="32">
        <v>91.6</v>
      </c>
      <c r="CE224" s="32">
        <v>98.6</v>
      </c>
      <c r="CF224" s="32">
        <v>91</v>
      </c>
      <c r="CG224" s="32">
        <v>96</v>
      </c>
      <c r="CH224" s="32">
        <v>99.1</v>
      </c>
      <c r="CI224" s="32">
        <v>112.6</v>
      </c>
      <c r="CJ224" s="32">
        <v>99.9</v>
      </c>
      <c r="CK224" s="32">
        <v>95.5</v>
      </c>
      <c r="CL224" s="32">
        <v>92.2</v>
      </c>
      <c r="CM224" s="32">
        <v>101.2</v>
      </c>
      <c r="CN224" s="32">
        <v>120.7</v>
      </c>
      <c r="CO224" s="32">
        <v>97.7</v>
      </c>
      <c r="CP224" s="32">
        <v>111.9</v>
      </c>
      <c r="CQ224" s="32">
        <v>40.700000000000003</v>
      </c>
      <c r="CR224" s="32">
        <v>97.3</v>
      </c>
      <c r="CS224" s="32">
        <v>87.7</v>
      </c>
      <c r="CT224" s="32">
        <v>90.5</v>
      </c>
      <c r="CU224" s="32">
        <v>89.1</v>
      </c>
      <c r="CV224" s="32">
        <v>91.1</v>
      </c>
      <c r="CW224" s="32">
        <v>69.5</v>
      </c>
      <c r="CX224" s="32">
        <v>103.4</v>
      </c>
      <c r="CY224" s="32">
        <v>108.8</v>
      </c>
      <c r="CZ224" s="32">
        <v>100.6</v>
      </c>
      <c r="DA224" s="32">
        <v>91</v>
      </c>
      <c r="DB224" s="32">
        <v>118.9</v>
      </c>
      <c r="DC224" s="32">
        <v>38.6</v>
      </c>
      <c r="DD224" s="32">
        <v>38.6</v>
      </c>
      <c r="DE224" s="32">
        <v>83.2</v>
      </c>
      <c r="DF224" s="32">
        <v>80.900000000000006</v>
      </c>
      <c r="DG224" s="32">
        <v>97</v>
      </c>
      <c r="DH224" s="32">
        <v>93</v>
      </c>
      <c r="DI224" s="32">
        <v>108.6</v>
      </c>
      <c r="DJ224" s="32">
        <v>84.6</v>
      </c>
      <c r="DK224" s="32">
        <v>84.6</v>
      </c>
      <c r="DL224" s="32">
        <v>73.900000000000006</v>
      </c>
      <c r="DM224" s="32">
        <v>92.2</v>
      </c>
      <c r="DN224" s="32">
        <v>94.7</v>
      </c>
      <c r="DO224" s="32">
        <v>90.7</v>
      </c>
      <c r="DP224" s="32">
        <v>105.1</v>
      </c>
      <c r="DQ224" s="32">
        <v>94</v>
      </c>
      <c r="DR224" s="32">
        <v>94.3</v>
      </c>
      <c r="DS224" s="32">
        <v>93.5</v>
      </c>
      <c r="DT224" s="32">
        <v>90.6</v>
      </c>
      <c r="DU224" s="32">
        <v>91.3</v>
      </c>
      <c r="DV224" s="32">
        <v>94.4</v>
      </c>
      <c r="DW224" s="32">
        <v>87.6</v>
      </c>
      <c r="DX224" s="32">
        <v>89.1</v>
      </c>
      <c r="DY224" s="32">
        <v>103</v>
      </c>
      <c r="DZ224" s="32">
        <v>103.6</v>
      </c>
      <c r="EA224" s="32">
        <v>103.6</v>
      </c>
      <c r="EB224" s="32">
        <v>93.5</v>
      </c>
      <c r="EC224" s="32">
        <v>104.1</v>
      </c>
      <c r="ED224" s="32">
        <v>79.900000000000006</v>
      </c>
      <c r="EE224" s="32">
        <v>82.7</v>
      </c>
      <c r="EF224" s="32">
        <v>72.900000000000006</v>
      </c>
      <c r="EG224" s="32">
        <v>93.6</v>
      </c>
      <c r="EH224" s="32">
        <v>97.7</v>
      </c>
      <c r="EI224" s="32">
        <v>92.1</v>
      </c>
      <c r="EJ224" s="32">
        <v>91.3</v>
      </c>
      <c r="EK224" s="32">
        <v>93.1</v>
      </c>
      <c r="EL224" s="32">
        <v>86.4</v>
      </c>
      <c r="EM224" s="32">
        <v>77.099999999999994</v>
      </c>
      <c r="EN224" s="32">
        <v>104.8</v>
      </c>
      <c r="EO224" s="32">
        <v>91.4</v>
      </c>
      <c r="EP224" s="32">
        <v>89.3</v>
      </c>
      <c r="EQ224" s="32">
        <v>89.3</v>
      </c>
      <c r="ER224" s="32">
        <v>90.2</v>
      </c>
      <c r="ES224" s="32">
        <v>90.2</v>
      </c>
      <c r="ET224" s="32">
        <v>93.8</v>
      </c>
      <c r="EU224" s="32">
        <v>92.6</v>
      </c>
      <c r="EV224" s="32">
        <v>92.6</v>
      </c>
      <c r="EW224" s="32">
        <v>96.5</v>
      </c>
      <c r="EX224" s="32">
        <v>100.3</v>
      </c>
      <c r="EY224" s="32">
        <v>93.4</v>
      </c>
      <c r="EZ224" s="32">
        <v>91.2</v>
      </c>
      <c r="FA224" s="32">
        <v>97.4</v>
      </c>
      <c r="FB224" s="32">
        <v>104.7</v>
      </c>
      <c r="FC224" s="32">
        <v>95.6</v>
      </c>
      <c r="FD224" s="32">
        <v>93.9</v>
      </c>
      <c r="FE224" s="32">
        <v>124.1</v>
      </c>
      <c r="FF224" s="32">
        <v>88.5</v>
      </c>
      <c r="FG224" s="32">
        <v>88</v>
      </c>
      <c r="FH224" s="32">
        <v>91.4</v>
      </c>
      <c r="FI224" s="32">
        <v>106.4</v>
      </c>
      <c r="FJ224" s="32">
        <v>84.5</v>
      </c>
      <c r="FK224" s="32">
        <v>75.8</v>
      </c>
      <c r="FL224" s="32">
        <v>75.8</v>
      </c>
    </row>
    <row r="225" spans="1:168" x14ac:dyDescent="0.2">
      <c r="A225" s="34" t="s">
        <v>1205</v>
      </c>
      <c r="B225" s="32">
        <v>92.6</v>
      </c>
      <c r="C225" s="32">
        <v>105.2</v>
      </c>
      <c r="D225" s="32">
        <v>96.5</v>
      </c>
      <c r="E225" s="32">
        <v>95</v>
      </c>
      <c r="F225" s="32">
        <v>89.5</v>
      </c>
      <c r="G225" s="32">
        <v>2177.4</v>
      </c>
      <c r="H225" s="32">
        <v>78.2</v>
      </c>
      <c r="I225" s="32">
        <v>122.8</v>
      </c>
      <c r="J225" s="32">
        <v>95.5</v>
      </c>
      <c r="K225" s="32">
        <v>80.900000000000006</v>
      </c>
      <c r="L225" s="32">
        <v>76.400000000000006</v>
      </c>
      <c r="M225" s="32">
        <v>54.8</v>
      </c>
      <c r="N225" s="32">
        <v>70.599999999999994</v>
      </c>
      <c r="O225" s="32">
        <v>73.400000000000006</v>
      </c>
      <c r="P225" s="32">
        <v>97.9</v>
      </c>
      <c r="Q225" s="32">
        <v>91.8</v>
      </c>
      <c r="R225" s="32">
        <v>78</v>
      </c>
      <c r="S225" s="32">
        <v>85.2</v>
      </c>
      <c r="T225" s="32">
        <v>135.1</v>
      </c>
      <c r="U225" s="32">
        <v>75.900000000000006</v>
      </c>
      <c r="V225" s="32">
        <v>106.8</v>
      </c>
      <c r="W225" s="32">
        <v>87.3</v>
      </c>
      <c r="X225" s="32">
        <v>60.2</v>
      </c>
      <c r="Y225" s="32">
        <v>142</v>
      </c>
      <c r="Z225" s="32">
        <v>100.4</v>
      </c>
      <c r="AA225" s="32">
        <v>86.1</v>
      </c>
      <c r="AB225" s="32">
        <v>82.2</v>
      </c>
      <c r="AC225" s="32">
        <v>84.6</v>
      </c>
      <c r="AD225" s="32">
        <v>90.7</v>
      </c>
      <c r="AE225" s="32">
        <v>101.1</v>
      </c>
      <c r="AF225" s="32">
        <v>101.1</v>
      </c>
      <c r="AG225" s="32">
        <v>105.6</v>
      </c>
      <c r="AH225" s="32">
        <v>105.6</v>
      </c>
      <c r="AI225" s="32">
        <v>124.1</v>
      </c>
      <c r="AJ225" s="32">
        <v>111.1</v>
      </c>
      <c r="AK225" s="32">
        <v>140</v>
      </c>
      <c r="AL225" s="32">
        <v>107</v>
      </c>
      <c r="AM225" s="32">
        <v>79.3</v>
      </c>
      <c r="AN225" s="32">
        <v>128.6</v>
      </c>
      <c r="AO225" s="32">
        <v>99.9</v>
      </c>
      <c r="AP225" s="32">
        <v>99.9</v>
      </c>
      <c r="AQ225" s="32">
        <v>105.8</v>
      </c>
      <c r="AR225" s="32">
        <v>111.9</v>
      </c>
      <c r="AS225" s="32">
        <v>98.2</v>
      </c>
      <c r="AT225" s="32">
        <v>85.7</v>
      </c>
      <c r="AU225" s="32">
        <v>108.2</v>
      </c>
      <c r="AV225" s="32">
        <v>105.8</v>
      </c>
      <c r="AW225" s="32">
        <v>136</v>
      </c>
      <c r="AX225" s="32">
        <v>146</v>
      </c>
      <c r="AY225" s="32">
        <v>134.9</v>
      </c>
      <c r="AZ225" s="32">
        <v>100.2</v>
      </c>
      <c r="BA225" s="32">
        <v>83.2</v>
      </c>
      <c r="BB225" s="32">
        <v>83.2</v>
      </c>
      <c r="BC225" s="32">
        <v>87.9</v>
      </c>
      <c r="BD225" s="32">
        <v>87.9</v>
      </c>
      <c r="BE225" s="32">
        <v>108.3</v>
      </c>
      <c r="BF225" s="32">
        <v>108.3</v>
      </c>
      <c r="BG225" s="32">
        <v>99.6</v>
      </c>
      <c r="BH225" s="32">
        <v>120.5</v>
      </c>
      <c r="BI225" s="32">
        <v>76.599999999999994</v>
      </c>
      <c r="BJ225" s="32">
        <v>44</v>
      </c>
      <c r="BK225" s="32">
        <v>84.4</v>
      </c>
      <c r="BL225" s="32">
        <v>90.9</v>
      </c>
      <c r="BM225" s="32">
        <v>101.6</v>
      </c>
      <c r="BN225" s="32">
        <v>99</v>
      </c>
      <c r="BO225" s="32">
        <v>93.8</v>
      </c>
      <c r="BP225" s="32">
        <v>104.2</v>
      </c>
      <c r="BQ225" s="32">
        <v>104.8</v>
      </c>
      <c r="BR225" s="32">
        <v>116.2</v>
      </c>
      <c r="BS225" s="32">
        <v>136.1</v>
      </c>
      <c r="BT225" s="32">
        <v>93.7</v>
      </c>
      <c r="BU225" s="32">
        <v>95</v>
      </c>
      <c r="BV225" s="32">
        <v>95</v>
      </c>
      <c r="BW225" s="32">
        <v>106.6</v>
      </c>
      <c r="BX225" s="32">
        <v>67.8</v>
      </c>
      <c r="BY225" s="32">
        <v>96.8</v>
      </c>
      <c r="BZ225" s="32">
        <v>87.9</v>
      </c>
      <c r="CA225" s="32">
        <v>101.4</v>
      </c>
      <c r="CB225" s="32">
        <v>103.9</v>
      </c>
      <c r="CC225" s="32">
        <v>99</v>
      </c>
      <c r="CD225" s="32">
        <v>98.1</v>
      </c>
      <c r="CE225" s="32">
        <v>100.4</v>
      </c>
      <c r="CF225" s="32">
        <v>91.5</v>
      </c>
      <c r="CG225" s="32">
        <v>96.1</v>
      </c>
      <c r="CH225" s="32">
        <v>99.4</v>
      </c>
      <c r="CI225" s="32">
        <v>112.5</v>
      </c>
      <c r="CJ225" s="32">
        <v>99.5</v>
      </c>
      <c r="CK225" s="32">
        <v>96.2</v>
      </c>
      <c r="CL225" s="32">
        <v>92.5</v>
      </c>
      <c r="CM225" s="32">
        <v>99.8</v>
      </c>
      <c r="CN225" s="32">
        <v>120.3</v>
      </c>
      <c r="CO225" s="32">
        <v>96.2</v>
      </c>
      <c r="CP225" s="32">
        <v>112.5</v>
      </c>
      <c r="CQ225" s="32">
        <v>40.5</v>
      </c>
      <c r="CR225" s="32">
        <v>98.1</v>
      </c>
      <c r="CS225" s="32">
        <v>91</v>
      </c>
      <c r="CT225" s="32">
        <v>90.1</v>
      </c>
      <c r="CU225" s="32">
        <v>85.2</v>
      </c>
      <c r="CV225" s="32">
        <v>92.2</v>
      </c>
      <c r="CW225" s="32">
        <v>70.2</v>
      </c>
      <c r="CX225" s="32">
        <v>107.2</v>
      </c>
      <c r="CY225" s="32">
        <v>110.3</v>
      </c>
      <c r="CZ225" s="32">
        <v>105.6</v>
      </c>
      <c r="DA225" s="32">
        <v>96.9</v>
      </c>
      <c r="DB225" s="32">
        <v>122.3</v>
      </c>
      <c r="DC225" s="32">
        <v>38.5</v>
      </c>
      <c r="DD225" s="32">
        <v>38.5</v>
      </c>
      <c r="DE225" s="32">
        <v>83.5</v>
      </c>
      <c r="DF225" s="32">
        <v>81.400000000000006</v>
      </c>
      <c r="DG225" s="32">
        <v>96.6</v>
      </c>
      <c r="DH225" s="32">
        <v>93.1</v>
      </c>
      <c r="DI225" s="32">
        <v>107.6</v>
      </c>
      <c r="DJ225" s="32">
        <v>82.7</v>
      </c>
      <c r="DK225" s="32">
        <v>82.7</v>
      </c>
      <c r="DL225" s="32">
        <v>77.5</v>
      </c>
      <c r="DM225" s="32">
        <v>93.6</v>
      </c>
      <c r="DN225" s="32">
        <v>95.8</v>
      </c>
      <c r="DO225" s="32">
        <v>92</v>
      </c>
      <c r="DP225" s="32">
        <v>110.8</v>
      </c>
      <c r="DQ225" s="32">
        <v>94.2</v>
      </c>
      <c r="DR225" s="32">
        <v>94.4</v>
      </c>
      <c r="DS225" s="32">
        <v>95.7</v>
      </c>
      <c r="DT225" s="32">
        <v>92.8</v>
      </c>
      <c r="DU225" s="32">
        <v>94.1</v>
      </c>
      <c r="DV225" s="32">
        <v>97.2</v>
      </c>
      <c r="DW225" s="32">
        <v>90.5</v>
      </c>
      <c r="DX225" s="32">
        <v>90.1</v>
      </c>
      <c r="DY225" s="32">
        <v>105.1</v>
      </c>
      <c r="DZ225" s="32">
        <v>94.9</v>
      </c>
      <c r="EA225" s="32">
        <v>94.9</v>
      </c>
      <c r="EB225" s="32">
        <v>90.3</v>
      </c>
      <c r="EC225" s="32">
        <v>101.8</v>
      </c>
      <c r="ED225" s="32">
        <v>75.599999999999994</v>
      </c>
      <c r="EE225" s="32">
        <v>76.7</v>
      </c>
      <c r="EF225" s="32">
        <v>72.400000000000006</v>
      </c>
      <c r="EG225" s="32">
        <v>93.8</v>
      </c>
      <c r="EH225" s="32">
        <v>95</v>
      </c>
      <c r="EI225" s="32">
        <v>93.8</v>
      </c>
      <c r="EJ225" s="32">
        <v>93.7</v>
      </c>
      <c r="EK225" s="32">
        <v>93.3</v>
      </c>
      <c r="EL225" s="32">
        <v>87.2</v>
      </c>
      <c r="EM225" s="32">
        <v>78.8</v>
      </c>
      <c r="EN225" s="32">
        <v>103.8</v>
      </c>
      <c r="EO225" s="32">
        <v>92</v>
      </c>
      <c r="EP225" s="32">
        <v>90.1</v>
      </c>
      <c r="EQ225" s="32">
        <v>90.1</v>
      </c>
      <c r="ER225" s="32">
        <v>90.5</v>
      </c>
      <c r="ES225" s="32">
        <v>90.5</v>
      </c>
      <c r="ET225" s="32">
        <v>94.5</v>
      </c>
      <c r="EU225" s="32">
        <v>92.8</v>
      </c>
      <c r="EV225" s="32">
        <v>92.8</v>
      </c>
      <c r="EW225" s="32">
        <v>98.4</v>
      </c>
      <c r="EX225" s="32">
        <v>101.4</v>
      </c>
      <c r="EY225" s="32">
        <v>96</v>
      </c>
      <c r="EZ225" s="32">
        <v>90.8</v>
      </c>
      <c r="FA225" s="32">
        <v>96.6</v>
      </c>
      <c r="FB225" s="32">
        <v>104</v>
      </c>
      <c r="FC225" s="32">
        <v>91.8</v>
      </c>
      <c r="FD225" s="32">
        <v>98.1</v>
      </c>
      <c r="FE225" s="32">
        <v>125.9</v>
      </c>
      <c r="FF225" s="32">
        <v>87.5</v>
      </c>
      <c r="FG225" s="32">
        <v>88.1</v>
      </c>
      <c r="FH225" s="32">
        <v>90.5</v>
      </c>
      <c r="FI225" s="32">
        <v>104.2</v>
      </c>
      <c r="FJ225" s="32">
        <v>85.3</v>
      </c>
      <c r="FK225" s="32">
        <v>74.2</v>
      </c>
      <c r="FL225" s="32">
        <v>74.2</v>
      </c>
    </row>
    <row r="226" spans="1:168" x14ac:dyDescent="0.2">
      <c r="A226" s="34" t="s">
        <v>1206</v>
      </c>
      <c r="B226" s="32">
        <v>92.3</v>
      </c>
      <c r="C226" s="32">
        <v>103.4</v>
      </c>
      <c r="D226" s="32">
        <v>96.7</v>
      </c>
      <c r="E226" s="32">
        <v>95.4</v>
      </c>
      <c r="F226" s="32">
        <v>95.3</v>
      </c>
      <c r="G226" s="32">
        <v>2067.1</v>
      </c>
      <c r="H226" s="32">
        <v>84.6</v>
      </c>
      <c r="I226" s="32">
        <v>123.8</v>
      </c>
      <c r="J226" s="32">
        <v>95.1</v>
      </c>
      <c r="K226" s="32">
        <v>81.099999999999994</v>
      </c>
      <c r="L226" s="32">
        <v>76.8</v>
      </c>
      <c r="M226" s="32">
        <v>54.7</v>
      </c>
      <c r="N226" s="32">
        <v>70.8</v>
      </c>
      <c r="O226" s="32">
        <v>72.8</v>
      </c>
      <c r="P226" s="32">
        <v>91.5</v>
      </c>
      <c r="Q226" s="32">
        <v>90.5</v>
      </c>
      <c r="R226" s="32">
        <v>81.5</v>
      </c>
      <c r="S226" s="32">
        <v>86</v>
      </c>
      <c r="T226" s="32">
        <v>135.4</v>
      </c>
      <c r="U226" s="32">
        <v>73.3</v>
      </c>
      <c r="V226" s="32">
        <v>107.4</v>
      </c>
      <c r="W226" s="32">
        <v>90.2</v>
      </c>
      <c r="X226" s="32">
        <v>60.8</v>
      </c>
      <c r="Y226" s="32">
        <v>149.80000000000001</v>
      </c>
      <c r="Z226" s="32">
        <v>109</v>
      </c>
      <c r="AA226" s="32">
        <v>85</v>
      </c>
      <c r="AB226" s="32">
        <v>83.8</v>
      </c>
      <c r="AC226" s="32">
        <v>82.6</v>
      </c>
      <c r="AD226" s="32">
        <v>88.4</v>
      </c>
      <c r="AE226" s="32">
        <v>107.7</v>
      </c>
      <c r="AF226" s="32">
        <v>107.7</v>
      </c>
      <c r="AG226" s="32">
        <v>104.9</v>
      </c>
      <c r="AH226" s="32">
        <v>104.9</v>
      </c>
      <c r="AI226" s="32">
        <v>128</v>
      </c>
      <c r="AJ226" s="32">
        <v>116.5</v>
      </c>
      <c r="AK226" s="32">
        <v>107.1</v>
      </c>
      <c r="AL226" s="32">
        <v>102.6</v>
      </c>
      <c r="AM226" s="32">
        <v>75</v>
      </c>
      <c r="AN226" s="32">
        <v>136.4</v>
      </c>
      <c r="AO226" s="32">
        <v>110.8</v>
      </c>
      <c r="AP226" s="32">
        <v>110.8</v>
      </c>
      <c r="AQ226" s="32">
        <v>105.7</v>
      </c>
      <c r="AR226" s="32">
        <v>113.4</v>
      </c>
      <c r="AS226" s="32">
        <v>95.6</v>
      </c>
      <c r="AT226" s="32">
        <v>85.6</v>
      </c>
      <c r="AU226" s="32">
        <v>103.8</v>
      </c>
      <c r="AV226" s="32">
        <v>103</v>
      </c>
      <c r="AW226" s="32">
        <v>136.1</v>
      </c>
      <c r="AX226" s="32">
        <v>148.30000000000001</v>
      </c>
      <c r="AY226" s="32">
        <v>131.9</v>
      </c>
      <c r="AZ226" s="32">
        <v>96.7</v>
      </c>
      <c r="BA226" s="32">
        <v>80.900000000000006</v>
      </c>
      <c r="BB226" s="32">
        <v>80.900000000000006</v>
      </c>
      <c r="BC226" s="32">
        <v>86.6</v>
      </c>
      <c r="BD226" s="32">
        <v>86.6</v>
      </c>
      <c r="BE226" s="32">
        <v>102.3</v>
      </c>
      <c r="BF226" s="32">
        <v>102.3</v>
      </c>
      <c r="BG226" s="32">
        <v>100.4</v>
      </c>
      <c r="BH226" s="32">
        <v>124.1</v>
      </c>
      <c r="BI226" s="32">
        <v>74.599999999999994</v>
      </c>
      <c r="BJ226" s="32">
        <v>43.7</v>
      </c>
      <c r="BK226" s="32">
        <v>81.400000000000006</v>
      </c>
      <c r="BL226" s="32">
        <v>92.1</v>
      </c>
      <c r="BM226" s="32">
        <v>98.4</v>
      </c>
      <c r="BN226" s="32">
        <v>97.1</v>
      </c>
      <c r="BO226" s="32">
        <v>92.3</v>
      </c>
      <c r="BP226" s="32">
        <v>101.9</v>
      </c>
      <c r="BQ226" s="32">
        <v>100.1</v>
      </c>
      <c r="BR226" s="32">
        <v>106.8</v>
      </c>
      <c r="BS226" s="32">
        <v>131.69999999999999</v>
      </c>
      <c r="BT226" s="32">
        <v>89.7</v>
      </c>
      <c r="BU226" s="32">
        <v>96.9</v>
      </c>
      <c r="BV226" s="32">
        <v>96.9</v>
      </c>
      <c r="BW226" s="32">
        <v>107.6</v>
      </c>
      <c r="BX226" s="32">
        <v>70.900000000000006</v>
      </c>
      <c r="BY226" s="32">
        <v>95.2</v>
      </c>
      <c r="BZ226" s="32">
        <v>85</v>
      </c>
      <c r="CA226" s="32">
        <v>100.5</v>
      </c>
      <c r="CB226" s="32">
        <v>102.2</v>
      </c>
      <c r="CC226" s="32">
        <v>98.8</v>
      </c>
      <c r="CD226" s="32">
        <v>98.4</v>
      </c>
      <c r="CE226" s="32">
        <v>99.8</v>
      </c>
      <c r="CF226" s="32">
        <v>91.2</v>
      </c>
      <c r="CG226" s="32">
        <v>94.9</v>
      </c>
      <c r="CH226" s="32">
        <v>98.3</v>
      </c>
      <c r="CI226" s="32">
        <v>112.9</v>
      </c>
      <c r="CJ226" s="32">
        <v>97.2</v>
      </c>
      <c r="CK226" s="32">
        <v>95.5</v>
      </c>
      <c r="CL226" s="32">
        <v>90.8</v>
      </c>
      <c r="CM226" s="32">
        <v>98.3</v>
      </c>
      <c r="CN226" s="32">
        <v>118.6</v>
      </c>
      <c r="CO226" s="32">
        <v>94.7</v>
      </c>
      <c r="CP226" s="32">
        <v>113.2</v>
      </c>
      <c r="CQ226" s="32">
        <v>39</v>
      </c>
      <c r="CR226" s="32">
        <v>96.6</v>
      </c>
      <c r="CS226" s="32">
        <v>87.2</v>
      </c>
      <c r="CT226" s="32">
        <v>88.9</v>
      </c>
      <c r="CU226" s="32">
        <v>84.7</v>
      </c>
      <c r="CV226" s="32">
        <v>90.7</v>
      </c>
      <c r="CW226" s="32">
        <v>71.099999999999994</v>
      </c>
      <c r="CX226" s="32">
        <v>108.2</v>
      </c>
      <c r="CY226" s="32">
        <v>109.7</v>
      </c>
      <c r="CZ226" s="32">
        <v>107.5</v>
      </c>
      <c r="DA226" s="32">
        <v>99.3</v>
      </c>
      <c r="DB226" s="32">
        <v>123.1</v>
      </c>
      <c r="DC226" s="32">
        <v>40</v>
      </c>
      <c r="DD226" s="32">
        <v>40</v>
      </c>
      <c r="DE226" s="32">
        <v>83.3</v>
      </c>
      <c r="DF226" s="32">
        <v>80.7</v>
      </c>
      <c r="DG226" s="32">
        <v>98.8</v>
      </c>
      <c r="DH226" s="32">
        <v>90.3</v>
      </c>
      <c r="DI226" s="32">
        <v>107.8</v>
      </c>
      <c r="DJ226" s="32">
        <v>80.7</v>
      </c>
      <c r="DK226" s="32">
        <v>80.7</v>
      </c>
      <c r="DL226" s="32">
        <v>69.400000000000006</v>
      </c>
      <c r="DM226" s="32">
        <v>93.4</v>
      </c>
      <c r="DN226" s="32">
        <v>95.4</v>
      </c>
      <c r="DO226" s="32">
        <v>92.1</v>
      </c>
      <c r="DP226" s="32">
        <v>107.6</v>
      </c>
      <c r="DQ226" s="32">
        <v>94.8</v>
      </c>
      <c r="DR226" s="32">
        <v>96</v>
      </c>
      <c r="DS226" s="32">
        <v>95.8</v>
      </c>
      <c r="DT226" s="32">
        <v>93</v>
      </c>
      <c r="DU226" s="32">
        <v>94.8</v>
      </c>
      <c r="DV226" s="32">
        <v>99</v>
      </c>
      <c r="DW226" s="32">
        <v>89.8</v>
      </c>
      <c r="DX226" s="32">
        <v>89.1</v>
      </c>
      <c r="DY226" s="32">
        <v>105.2</v>
      </c>
      <c r="DZ226" s="32">
        <v>109.5</v>
      </c>
      <c r="EA226" s="32">
        <v>109.5</v>
      </c>
      <c r="EB226" s="32">
        <v>91.4</v>
      </c>
      <c r="EC226" s="32">
        <v>101.5</v>
      </c>
      <c r="ED226" s="32">
        <v>78.599999999999994</v>
      </c>
      <c r="EE226" s="32">
        <v>80</v>
      </c>
      <c r="EF226" s="32">
        <v>74.8</v>
      </c>
      <c r="EG226" s="32">
        <v>93.1</v>
      </c>
      <c r="EH226" s="32">
        <v>94</v>
      </c>
      <c r="EI226" s="32">
        <v>92.7</v>
      </c>
      <c r="EJ226" s="32">
        <v>93.5</v>
      </c>
      <c r="EK226" s="32">
        <v>93</v>
      </c>
      <c r="EL226" s="32">
        <v>86.1</v>
      </c>
      <c r="EM226" s="32">
        <v>78.7</v>
      </c>
      <c r="EN226" s="32">
        <v>103.6</v>
      </c>
      <c r="EO226" s="32">
        <v>92.2</v>
      </c>
      <c r="EP226" s="32">
        <v>89.5</v>
      </c>
      <c r="EQ226" s="32">
        <v>89.5</v>
      </c>
      <c r="ER226" s="32">
        <v>90.8</v>
      </c>
      <c r="ES226" s="32">
        <v>90.8</v>
      </c>
      <c r="ET226" s="32">
        <v>95.2</v>
      </c>
      <c r="EU226" s="32">
        <v>93.2</v>
      </c>
      <c r="EV226" s="32">
        <v>93.2</v>
      </c>
      <c r="EW226" s="32">
        <v>99.8</v>
      </c>
      <c r="EX226" s="32">
        <v>102.3</v>
      </c>
      <c r="EY226" s="32">
        <v>97.9</v>
      </c>
      <c r="EZ226" s="32">
        <v>90.4</v>
      </c>
      <c r="FA226" s="32">
        <v>96.1</v>
      </c>
      <c r="FB226" s="32">
        <v>101.8</v>
      </c>
      <c r="FC226" s="32">
        <v>87.5</v>
      </c>
      <c r="FD226" s="32">
        <v>98.3</v>
      </c>
      <c r="FE226" s="32">
        <v>126.1</v>
      </c>
      <c r="FF226" s="32">
        <v>89.3</v>
      </c>
      <c r="FG226" s="32">
        <v>88.1</v>
      </c>
      <c r="FH226" s="32">
        <v>88.3</v>
      </c>
      <c r="FI226" s="32">
        <v>104.6</v>
      </c>
      <c r="FJ226" s="32">
        <v>86.1</v>
      </c>
      <c r="FK226" s="32">
        <v>69.7</v>
      </c>
      <c r="FL226" s="32">
        <v>69.7</v>
      </c>
    </row>
    <row r="227" spans="1:168" x14ac:dyDescent="0.2">
      <c r="A227" s="34" t="s">
        <v>1207</v>
      </c>
      <c r="B227" s="32">
        <v>92.2</v>
      </c>
      <c r="C227" s="32">
        <v>101.1</v>
      </c>
      <c r="D227" s="32">
        <v>96.6</v>
      </c>
      <c r="E227" s="32">
        <v>95.5</v>
      </c>
      <c r="F227" s="32">
        <v>91.4</v>
      </c>
      <c r="G227" s="32">
        <v>2169.8000000000002</v>
      </c>
      <c r="H227" s="32">
        <v>79.8</v>
      </c>
      <c r="I227" s="32">
        <v>125.8</v>
      </c>
      <c r="J227" s="32">
        <v>95.2</v>
      </c>
      <c r="K227" s="32">
        <v>81.2</v>
      </c>
      <c r="L227" s="32">
        <v>77.3</v>
      </c>
      <c r="M227" s="32">
        <v>55.2</v>
      </c>
      <c r="N227" s="32">
        <v>71.3</v>
      </c>
      <c r="O227" s="32">
        <v>73.5</v>
      </c>
      <c r="P227" s="32">
        <v>92.1</v>
      </c>
      <c r="Q227" s="32">
        <v>89.7</v>
      </c>
      <c r="R227" s="32">
        <v>82.7</v>
      </c>
      <c r="S227" s="32">
        <v>86.1</v>
      </c>
      <c r="T227" s="32">
        <v>136.1</v>
      </c>
      <c r="U227" s="32">
        <v>78</v>
      </c>
      <c r="V227" s="32">
        <v>103.7</v>
      </c>
      <c r="W227" s="32">
        <v>87.5</v>
      </c>
      <c r="X227" s="32">
        <v>64</v>
      </c>
      <c r="Y227" s="32">
        <v>133.5</v>
      </c>
      <c r="Z227" s="32">
        <v>96.2</v>
      </c>
      <c r="AA227" s="32">
        <v>85.3</v>
      </c>
      <c r="AB227" s="32">
        <v>85.7</v>
      </c>
      <c r="AC227" s="32">
        <v>81.900000000000006</v>
      </c>
      <c r="AD227" s="32">
        <v>88.6</v>
      </c>
      <c r="AE227" s="32">
        <v>111.2</v>
      </c>
      <c r="AF227" s="32">
        <v>111.2</v>
      </c>
      <c r="AG227" s="32">
        <v>104.1</v>
      </c>
      <c r="AH227" s="32">
        <v>104.1</v>
      </c>
      <c r="AI227" s="32">
        <v>119.1</v>
      </c>
      <c r="AJ227" s="32">
        <v>115.9</v>
      </c>
      <c r="AK227" s="32">
        <v>126.7</v>
      </c>
      <c r="AL227" s="32">
        <v>108.3</v>
      </c>
      <c r="AM227" s="32">
        <v>74.7</v>
      </c>
      <c r="AN227" s="32">
        <v>126.6</v>
      </c>
      <c r="AO227" s="32">
        <v>97.5</v>
      </c>
      <c r="AP227" s="32">
        <v>97.5</v>
      </c>
      <c r="AQ227" s="32">
        <v>106.3</v>
      </c>
      <c r="AR227" s="32">
        <v>113.2</v>
      </c>
      <c r="AS227" s="32">
        <v>97.5</v>
      </c>
      <c r="AT227" s="32">
        <v>87.3</v>
      </c>
      <c r="AU227" s="32">
        <v>105.9</v>
      </c>
      <c r="AV227" s="32">
        <v>108.1</v>
      </c>
      <c r="AW227" s="32">
        <v>147.4</v>
      </c>
      <c r="AX227" s="32">
        <v>164.7</v>
      </c>
      <c r="AY227" s="32">
        <v>137.30000000000001</v>
      </c>
      <c r="AZ227" s="32">
        <v>100.4</v>
      </c>
      <c r="BA227" s="32">
        <v>85.2</v>
      </c>
      <c r="BB227" s="32">
        <v>85.2</v>
      </c>
      <c r="BC227" s="32">
        <v>85.6</v>
      </c>
      <c r="BD227" s="32">
        <v>85.6</v>
      </c>
      <c r="BE227" s="32">
        <v>103.1</v>
      </c>
      <c r="BF227" s="32">
        <v>103.1</v>
      </c>
      <c r="BG227" s="32">
        <v>100.8</v>
      </c>
      <c r="BH227" s="32">
        <v>125.7</v>
      </c>
      <c r="BI227" s="32">
        <v>73.7</v>
      </c>
      <c r="BJ227" s="32">
        <v>44</v>
      </c>
      <c r="BK227" s="32">
        <v>79.599999999999994</v>
      </c>
      <c r="BL227" s="32">
        <v>95.2</v>
      </c>
      <c r="BM227" s="32">
        <v>97.8</v>
      </c>
      <c r="BN227" s="32">
        <v>98.7</v>
      </c>
      <c r="BO227" s="32">
        <v>93.1</v>
      </c>
      <c r="BP227" s="32">
        <v>104.2</v>
      </c>
      <c r="BQ227" s="32">
        <v>96.8</v>
      </c>
      <c r="BR227" s="32">
        <v>86.7</v>
      </c>
      <c r="BS227" s="32">
        <v>128</v>
      </c>
      <c r="BT227" s="32">
        <v>89.3</v>
      </c>
      <c r="BU227" s="32">
        <v>99.7</v>
      </c>
      <c r="BV227" s="32">
        <v>99.7</v>
      </c>
      <c r="BW227" s="32">
        <v>110.2</v>
      </c>
      <c r="BX227" s="32">
        <v>73.599999999999994</v>
      </c>
      <c r="BY227" s="32">
        <v>97</v>
      </c>
      <c r="BZ227" s="32">
        <v>86</v>
      </c>
      <c r="CA227" s="32">
        <v>102.7</v>
      </c>
      <c r="CB227" s="32">
        <v>108.4</v>
      </c>
      <c r="CC227" s="32">
        <v>97.1</v>
      </c>
      <c r="CD227" s="32">
        <v>99</v>
      </c>
      <c r="CE227" s="32">
        <v>99.2</v>
      </c>
      <c r="CF227" s="32">
        <v>91.1</v>
      </c>
      <c r="CG227" s="32">
        <v>95.1</v>
      </c>
      <c r="CH227" s="32">
        <v>98.3</v>
      </c>
      <c r="CI227" s="32">
        <v>113.8</v>
      </c>
      <c r="CJ227" s="32">
        <v>96.4</v>
      </c>
      <c r="CK227" s="32">
        <v>95.9</v>
      </c>
      <c r="CL227" s="32">
        <v>91.8</v>
      </c>
      <c r="CM227" s="32">
        <v>98.7</v>
      </c>
      <c r="CN227" s="32">
        <v>117.3</v>
      </c>
      <c r="CO227" s="32">
        <v>95.5</v>
      </c>
      <c r="CP227" s="32">
        <v>114.4</v>
      </c>
      <c r="CQ227" s="32">
        <v>37.9</v>
      </c>
      <c r="CR227" s="32">
        <v>98.5</v>
      </c>
      <c r="CS227" s="32">
        <v>88.9</v>
      </c>
      <c r="CT227" s="32">
        <v>88.7</v>
      </c>
      <c r="CU227" s="32">
        <v>84.5</v>
      </c>
      <c r="CV227" s="32">
        <v>90.5</v>
      </c>
      <c r="CW227" s="32">
        <v>70.099999999999994</v>
      </c>
      <c r="CX227" s="32">
        <v>103.1</v>
      </c>
      <c r="CY227" s="32">
        <v>109</v>
      </c>
      <c r="CZ227" s="32">
        <v>100.1</v>
      </c>
      <c r="DA227" s="32">
        <v>88.7</v>
      </c>
      <c r="DB227" s="32">
        <v>121.8</v>
      </c>
      <c r="DC227" s="32">
        <v>40.1</v>
      </c>
      <c r="DD227" s="32">
        <v>40.1</v>
      </c>
      <c r="DE227" s="32">
        <v>82.8</v>
      </c>
      <c r="DF227" s="32">
        <v>80.7</v>
      </c>
      <c r="DG227" s="32">
        <v>95.5</v>
      </c>
      <c r="DH227" s="32">
        <v>88.9</v>
      </c>
      <c r="DI227" s="32">
        <v>106.2</v>
      </c>
      <c r="DJ227" s="32">
        <v>79.099999999999994</v>
      </c>
      <c r="DK227" s="32">
        <v>79.099999999999994</v>
      </c>
      <c r="DL227" s="32">
        <v>68.599999999999994</v>
      </c>
      <c r="DM227" s="32">
        <v>93.7</v>
      </c>
      <c r="DN227" s="32">
        <v>95.1</v>
      </c>
      <c r="DO227" s="32">
        <v>92.5</v>
      </c>
      <c r="DP227" s="32">
        <v>108.5</v>
      </c>
      <c r="DQ227" s="32">
        <v>95</v>
      </c>
      <c r="DR227" s="32">
        <v>95.6</v>
      </c>
      <c r="DS227" s="32">
        <v>95.1</v>
      </c>
      <c r="DT227" s="32">
        <v>92.5</v>
      </c>
      <c r="DU227" s="32">
        <v>94.2</v>
      </c>
      <c r="DV227" s="32">
        <v>96.5</v>
      </c>
      <c r="DW227" s="32">
        <v>91.6</v>
      </c>
      <c r="DX227" s="32">
        <v>88.8</v>
      </c>
      <c r="DY227" s="32">
        <v>103.9</v>
      </c>
      <c r="DZ227" s="32">
        <v>103.2</v>
      </c>
      <c r="EA227" s="32">
        <v>103.2</v>
      </c>
      <c r="EB227" s="32">
        <v>94.2</v>
      </c>
      <c r="EC227" s="32">
        <v>106</v>
      </c>
      <c r="ED227" s="32">
        <v>79.2</v>
      </c>
      <c r="EE227" s="32">
        <v>80.599999999999994</v>
      </c>
      <c r="EF227" s="32">
        <v>75.5</v>
      </c>
      <c r="EG227" s="32">
        <v>94.1</v>
      </c>
      <c r="EH227" s="32">
        <v>93.2</v>
      </c>
      <c r="EI227" s="32">
        <v>94.4</v>
      </c>
      <c r="EJ227" s="32">
        <v>92.1</v>
      </c>
      <c r="EK227" s="32">
        <v>95</v>
      </c>
      <c r="EL227" s="32">
        <v>86.6</v>
      </c>
      <c r="EM227" s="32">
        <v>81.900000000000006</v>
      </c>
      <c r="EN227" s="32">
        <v>105</v>
      </c>
      <c r="EO227" s="32">
        <v>92.5</v>
      </c>
      <c r="EP227" s="32">
        <v>89.3</v>
      </c>
      <c r="EQ227" s="32">
        <v>89.3</v>
      </c>
      <c r="ER227" s="32">
        <v>90.9</v>
      </c>
      <c r="ES227" s="32">
        <v>90.9</v>
      </c>
      <c r="ET227" s="32">
        <v>96</v>
      </c>
      <c r="EU227" s="32">
        <v>94.1</v>
      </c>
      <c r="EV227" s="32">
        <v>94.1</v>
      </c>
      <c r="EW227" s="32">
        <v>100.4</v>
      </c>
      <c r="EX227" s="32">
        <v>102.7</v>
      </c>
      <c r="EY227" s="32">
        <v>98.6</v>
      </c>
      <c r="EZ227" s="32">
        <v>90.1</v>
      </c>
      <c r="FA227" s="32">
        <v>95.4</v>
      </c>
      <c r="FB227" s="32">
        <v>100.6</v>
      </c>
      <c r="FC227" s="32">
        <v>86.9</v>
      </c>
      <c r="FD227" s="32">
        <v>98.9</v>
      </c>
      <c r="FE227" s="32">
        <v>123.1</v>
      </c>
      <c r="FF227" s="32">
        <v>89.1</v>
      </c>
      <c r="FG227" s="32">
        <v>89</v>
      </c>
      <c r="FH227" s="32">
        <v>87.4</v>
      </c>
      <c r="FI227" s="32">
        <v>110.4</v>
      </c>
      <c r="FJ227" s="32">
        <v>87.1</v>
      </c>
      <c r="FK227" s="32">
        <v>62.5</v>
      </c>
      <c r="FL227" s="32">
        <v>62.5</v>
      </c>
    </row>
    <row r="228" spans="1:168" x14ac:dyDescent="0.2">
      <c r="A228" s="34" t="s">
        <v>1208</v>
      </c>
      <c r="B228" s="32">
        <v>92.7</v>
      </c>
      <c r="C228" s="32">
        <v>99.1</v>
      </c>
      <c r="D228" s="32">
        <v>96.5</v>
      </c>
      <c r="E228" s="32">
        <v>95.3</v>
      </c>
      <c r="F228" s="32">
        <v>89.2</v>
      </c>
      <c r="G228" s="32">
        <v>1335.5</v>
      </c>
      <c r="H228" s="32">
        <v>77.2</v>
      </c>
      <c r="I228" s="32">
        <v>127.4</v>
      </c>
      <c r="J228" s="32">
        <v>94.9</v>
      </c>
      <c r="K228" s="32">
        <v>82.5</v>
      </c>
      <c r="L228" s="32">
        <v>78.2</v>
      </c>
      <c r="M228" s="32">
        <v>57.5</v>
      </c>
      <c r="N228" s="32">
        <v>70.400000000000006</v>
      </c>
      <c r="O228" s="32">
        <v>71.8</v>
      </c>
      <c r="P228" s="32">
        <v>92.5</v>
      </c>
      <c r="Q228" s="32">
        <v>91</v>
      </c>
      <c r="R228" s="32">
        <v>86.3</v>
      </c>
      <c r="S228" s="32">
        <v>85.8</v>
      </c>
      <c r="T228" s="32">
        <v>133</v>
      </c>
      <c r="U228" s="32">
        <v>78.400000000000006</v>
      </c>
      <c r="V228" s="32">
        <v>107.2</v>
      </c>
      <c r="W228" s="32">
        <v>86.6</v>
      </c>
      <c r="X228" s="32">
        <v>64.3</v>
      </c>
      <c r="Y228" s="32">
        <v>130.9</v>
      </c>
      <c r="Z228" s="32">
        <v>88.2</v>
      </c>
      <c r="AA228" s="32">
        <v>85.9</v>
      </c>
      <c r="AB228" s="32">
        <v>88.7</v>
      </c>
      <c r="AC228" s="32">
        <v>83</v>
      </c>
      <c r="AD228" s="32">
        <v>86.7</v>
      </c>
      <c r="AE228" s="32">
        <v>136.1</v>
      </c>
      <c r="AF228" s="32">
        <v>136.1</v>
      </c>
      <c r="AG228" s="32">
        <v>106.9</v>
      </c>
      <c r="AH228" s="32">
        <v>106.9</v>
      </c>
      <c r="AI228" s="32">
        <v>112.6</v>
      </c>
      <c r="AJ228" s="32">
        <v>120.3</v>
      </c>
      <c r="AK228" s="32">
        <v>117.2</v>
      </c>
      <c r="AL228" s="32">
        <v>110.4</v>
      </c>
      <c r="AM228" s="32">
        <v>81.400000000000006</v>
      </c>
      <c r="AN228" s="32">
        <v>125.5</v>
      </c>
      <c r="AO228" s="32">
        <v>108.4</v>
      </c>
      <c r="AP228" s="32">
        <v>108.4</v>
      </c>
      <c r="AQ228" s="32">
        <v>104.9</v>
      </c>
      <c r="AR228" s="32">
        <v>113.8</v>
      </c>
      <c r="AS228" s="32">
        <v>93</v>
      </c>
      <c r="AT228" s="32">
        <v>87.8</v>
      </c>
      <c r="AU228" s="32">
        <v>97.6</v>
      </c>
      <c r="AV228" s="32">
        <v>103.4</v>
      </c>
      <c r="AW228" s="32">
        <v>142.19999999999999</v>
      </c>
      <c r="AX228" s="32">
        <v>156.5</v>
      </c>
      <c r="AY228" s="32">
        <v>135.80000000000001</v>
      </c>
      <c r="AZ228" s="32">
        <v>95.7</v>
      </c>
      <c r="BA228" s="32">
        <v>83.4</v>
      </c>
      <c r="BB228" s="32">
        <v>83.4</v>
      </c>
      <c r="BC228" s="32">
        <v>83.3</v>
      </c>
      <c r="BD228" s="32">
        <v>83.3</v>
      </c>
      <c r="BE228" s="32">
        <v>100.8</v>
      </c>
      <c r="BF228" s="32">
        <v>100.8</v>
      </c>
      <c r="BG228" s="32">
        <v>97.5</v>
      </c>
      <c r="BH228" s="32">
        <v>120.1</v>
      </c>
      <c r="BI228" s="32">
        <v>72.8</v>
      </c>
      <c r="BJ228" s="32">
        <v>44.9</v>
      </c>
      <c r="BK228" s="32">
        <v>77.2</v>
      </c>
      <c r="BL228" s="32">
        <v>101.1</v>
      </c>
      <c r="BM228" s="32">
        <v>95.1</v>
      </c>
      <c r="BN228" s="32">
        <v>97.3</v>
      </c>
      <c r="BO228" s="32">
        <v>92.5</v>
      </c>
      <c r="BP228" s="32">
        <v>102</v>
      </c>
      <c r="BQ228" s="32">
        <v>92.6</v>
      </c>
      <c r="BR228" s="32">
        <v>90.7</v>
      </c>
      <c r="BS228" s="32">
        <v>120.1</v>
      </c>
      <c r="BT228" s="32">
        <v>84.8</v>
      </c>
      <c r="BU228" s="32">
        <v>100</v>
      </c>
      <c r="BV228" s="32">
        <v>100</v>
      </c>
      <c r="BW228" s="32">
        <v>110.8</v>
      </c>
      <c r="BX228" s="32">
        <v>73.400000000000006</v>
      </c>
      <c r="BY228" s="32">
        <v>98</v>
      </c>
      <c r="BZ228" s="32">
        <v>87.2</v>
      </c>
      <c r="CA228" s="32">
        <v>103.6</v>
      </c>
      <c r="CB228" s="32">
        <v>107.7</v>
      </c>
      <c r="CC228" s="32">
        <v>99.4</v>
      </c>
      <c r="CD228" s="32">
        <v>101.1</v>
      </c>
      <c r="CE228" s="32">
        <v>99.4</v>
      </c>
      <c r="CF228" s="32">
        <v>91.7</v>
      </c>
      <c r="CG228" s="32">
        <v>95.2</v>
      </c>
      <c r="CH228" s="32">
        <v>98.2</v>
      </c>
      <c r="CI228" s="32">
        <v>113.3</v>
      </c>
      <c r="CJ228" s="32">
        <v>96.7</v>
      </c>
      <c r="CK228" s="32">
        <v>95.4</v>
      </c>
      <c r="CL228" s="32">
        <v>92.1</v>
      </c>
      <c r="CM228" s="32">
        <v>98.5</v>
      </c>
      <c r="CN228" s="32">
        <v>117.5</v>
      </c>
      <c r="CO228" s="32">
        <v>95.2</v>
      </c>
      <c r="CP228" s="32">
        <v>116.4</v>
      </c>
      <c r="CQ228" s="32">
        <v>37.200000000000003</v>
      </c>
      <c r="CR228" s="32">
        <v>98</v>
      </c>
      <c r="CS228" s="32">
        <v>91.8</v>
      </c>
      <c r="CT228" s="32">
        <v>89.4</v>
      </c>
      <c r="CU228" s="32">
        <v>85.1</v>
      </c>
      <c r="CV228" s="32">
        <v>91.3</v>
      </c>
      <c r="CW228" s="32">
        <v>71.5</v>
      </c>
      <c r="CX228" s="32">
        <v>110.2</v>
      </c>
      <c r="CY228" s="32">
        <v>108.3</v>
      </c>
      <c r="CZ228" s="32">
        <v>111.4</v>
      </c>
      <c r="DA228" s="32">
        <v>107.7</v>
      </c>
      <c r="DB228" s="32">
        <v>118.6</v>
      </c>
      <c r="DC228" s="32">
        <v>40</v>
      </c>
      <c r="DD228" s="32">
        <v>40</v>
      </c>
      <c r="DE228" s="32">
        <v>83.4</v>
      </c>
      <c r="DF228" s="32">
        <v>81.599999999999994</v>
      </c>
      <c r="DG228" s="32">
        <v>94.6</v>
      </c>
      <c r="DH228" s="32">
        <v>89.3</v>
      </c>
      <c r="DI228" s="32">
        <v>106.8</v>
      </c>
      <c r="DJ228" s="32">
        <v>77.900000000000006</v>
      </c>
      <c r="DK228" s="32">
        <v>77.900000000000006</v>
      </c>
      <c r="DL228" s="32">
        <v>69.900000000000006</v>
      </c>
      <c r="DM228" s="32">
        <v>94.6</v>
      </c>
      <c r="DN228" s="32">
        <v>95.9</v>
      </c>
      <c r="DO228" s="32">
        <v>93.3</v>
      </c>
      <c r="DP228" s="32">
        <v>113.5</v>
      </c>
      <c r="DQ228" s="32">
        <v>95.7</v>
      </c>
      <c r="DR228" s="32">
        <v>95.6</v>
      </c>
      <c r="DS228" s="32">
        <v>95.9</v>
      </c>
      <c r="DT228" s="32">
        <v>93.5</v>
      </c>
      <c r="DU228" s="32">
        <v>95.4</v>
      </c>
      <c r="DV228" s="32">
        <v>97</v>
      </c>
      <c r="DW228" s="32">
        <v>93.5</v>
      </c>
      <c r="DX228" s="32">
        <v>89.4</v>
      </c>
      <c r="DY228" s="32">
        <v>103.9</v>
      </c>
      <c r="DZ228" s="32">
        <v>103.2</v>
      </c>
      <c r="EA228" s="32">
        <v>103.2</v>
      </c>
      <c r="EB228" s="32">
        <v>92</v>
      </c>
      <c r="EC228" s="32">
        <v>101.5</v>
      </c>
      <c r="ED228" s="32">
        <v>80</v>
      </c>
      <c r="EE228" s="32">
        <v>81.2</v>
      </c>
      <c r="EF228" s="32">
        <v>76.7</v>
      </c>
      <c r="EG228" s="32">
        <v>95.9</v>
      </c>
      <c r="EH228" s="32">
        <v>93.6</v>
      </c>
      <c r="EI228" s="32">
        <v>96.9</v>
      </c>
      <c r="EJ228" s="32">
        <v>95.6</v>
      </c>
      <c r="EK228" s="32">
        <v>96.4</v>
      </c>
      <c r="EL228" s="32">
        <v>84.6</v>
      </c>
      <c r="EM228" s="32">
        <v>84</v>
      </c>
      <c r="EN228" s="32">
        <v>106.6</v>
      </c>
      <c r="EO228" s="32">
        <v>93</v>
      </c>
      <c r="EP228" s="32">
        <v>89.7</v>
      </c>
      <c r="EQ228" s="32">
        <v>89.7</v>
      </c>
      <c r="ER228" s="32">
        <v>91.3</v>
      </c>
      <c r="ES228" s="32">
        <v>91.3</v>
      </c>
      <c r="ET228" s="32">
        <v>96.4</v>
      </c>
      <c r="EU228" s="32">
        <v>94.7</v>
      </c>
      <c r="EV228" s="32">
        <v>94.7</v>
      </c>
      <c r="EW228" s="32">
        <v>100.6</v>
      </c>
      <c r="EX228" s="32">
        <v>103</v>
      </c>
      <c r="EY228" s="32">
        <v>98.6</v>
      </c>
      <c r="EZ228" s="32">
        <v>91</v>
      </c>
      <c r="FA228" s="32">
        <v>97.1</v>
      </c>
      <c r="FB228" s="32">
        <v>100.2</v>
      </c>
      <c r="FC228" s="32">
        <v>85.5</v>
      </c>
      <c r="FD228" s="32">
        <v>110.8</v>
      </c>
      <c r="FE228" s="32">
        <v>118.7</v>
      </c>
      <c r="FF228" s="32">
        <v>93.4</v>
      </c>
      <c r="FG228" s="32">
        <v>89.9</v>
      </c>
      <c r="FH228" s="32">
        <v>88.5</v>
      </c>
      <c r="FI228" s="32">
        <v>109.5</v>
      </c>
      <c r="FJ228" s="32">
        <v>88.2</v>
      </c>
      <c r="FK228" s="32">
        <v>57.4</v>
      </c>
      <c r="FL228" s="32">
        <v>57.4</v>
      </c>
    </row>
    <row r="229" spans="1:168" x14ac:dyDescent="0.2">
      <c r="A229" s="34" t="s">
        <v>1209</v>
      </c>
      <c r="B229" s="32">
        <v>92.5</v>
      </c>
      <c r="C229" s="32">
        <v>97.7</v>
      </c>
      <c r="D229" s="32">
        <v>96.4</v>
      </c>
      <c r="E229" s="32">
        <v>95.8</v>
      </c>
      <c r="F229" s="32">
        <v>93.7</v>
      </c>
      <c r="G229" s="32">
        <v>1221</v>
      </c>
      <c r="H229" s="32">
        <v>82.9</v>
      </c>
      <c r="I229" s="32">
        <v>124.4</v>
      </c>
      <c r="J229" s="32">
        <v>95.1</v>
      </c>
      <c r="K229" s="32">
        <v>83.3</v>
      </c>
      <c r="L229" s="32">
        <v>79.3</v>
      </c>
      <c r="M229" s="32">
        <v>59.8</v>
      </c>
      <c r="N229" s="32">
        <v>72.3</v>
      </c>
      <c r="O229" s="32">
        <v>68</v>
      </c>
      <c r="P229" s="32">
        <v>92.2</v>
      </c>
      <c r="Q229" s="32">
        <v>90.4</v>
      </c>
      <c r="R229" s="32">
        <v>87.9</v>
      </c>
      <c r="S229" s="32">
        <v>86.5</v>
      </c>
      <c r="T229" s="32">
        <v>133.1</v>
      </c>
      <c r="U229" s="32">
        <v>76.7</v>
      </c>
      <c r="V229" s="32">
        <v>107.7</v>
      </c>
      <c r="W229" s="32">
        <v>81.400000000000006</v>
      </c>
      <c r="X229" s="32">
        <v>63.6</v>
      </c>
      <c r="Y229" s="32">
        <v>114.3</v>
      </c>
      <c r="Z229" s="32">
        <v>87.8</v>
      </c>
      <c r="AA229" s="32">
        <v>87.1</v>
      </c>
      <c r="AB229" s="32">
        <v>90</v>
      </c>
      <c r="AC229" s="32">
        <v>83.4</v>
      </c>
      <c r="AD229" s="32">
        <v>88.6</v>
      </c>
      <c r="AE229" s="32">
        <v>141.19999999999999</v>
      </c>
      <c r="AF229" s="32">
        <v>141.19999999999999</v>
      </c>
      <c r="AG229" s="32">
        <v>106.6</v>
      </c>
      <c r="AH229" s="32">
        <v>106.6</v>
      </c>
      <c r="AI229" s="32">
        <v>111.4</v>
      </c>
      <c r="AJ229" s="32">
        <v>122.9</v>
      </c>
      <c r="AK229" s="32">
        <v>113</v>
      </c>
      <c r="AL229" s="32">
        <v>108</v>
      </c>
      <c r="AM229" s="32">
        <v>81.8</v>
      </c>
      <c r="AN229" s="32">
        <v>121.6</v>
      </c>
      <c r="AO229" s="32">
        <v>107.2</v>
      </c>
      <c r="AP229" s="32">
        <v>107.2</v>
      </c>
      <c r="AQ229" s="32">
        <v>103.1</v>
      </c>
      <c r="AR229" s="32">
        <v>113.4</v>
      </c>
      <c r="AS229" s="32">
        <v>89.1</v>
      </c>
      <c r="AT229" s="32">
        <v>83.7</v>
      </c>
      <c r="AU229" s="32">
        <v>93.9</v>
      </c>
      <c r="AV229" s="32">
        <v>106</v>
      </c>
      <c r="AW229" s="32">
        <v>148.69999999999999</v>
      </c>
      <c r="AX229" s="32">
        <v>166.1</v>
      </c>
      <c r="AY229" s="32">
        <v>138.6</v>
      </c>
      <c r="AZ229" s="32">
        <v>97.5</v>
      </c>
      <c r="BA229" s="32">
        <v>83.2</v>
      </c>
      <c r="BB229" s="32">
        <v>83.2</v>
      </c>
      <c r="BC229" s="32">
        <v>83.8</v>
      </c>
      <c r="BD229" s="32">
        <v>83.8</v>
      </c>
      <c r="BE229" s="32">
        <v>103.6</v>
      </c>
      <c r="BF229" s="32">
        <v>103.6</v>
      </c>
      <c r="BG229" s="32">
        <v>97.6</v>
      </c>
      <c r="BH229" s="32">
        <v>119.9</v>
      </c>
      <c r="BI229" s="32">
        <v>73.2</v>
      </c>
      <c r="BJ229" s="32">
        <v>46.1</v>
      </c>
      <c r="BK229" s="32">
        <v>78.099999999999994</v>
      </c>
      <c r="BL229" s="32">
        <v>95</v>
      </c>
      <c r="BM229" s="32">
        <v>93.5</v>
      </c>
      <c r="BN229" s="32">
        <v>95.2</v>
      </c>
      <c r="BO229" s="32">
        <v>87.5</v>
      </c>
      <c r="BP229" s="32">
        <v>102.7</v>
      </c>
      <c r="BQ229" s="32">
        <v>91.5</v>
      </c>
      <c r="BR229" s="32">
        <v>74.599999999999994</v>
      </c>
      <c r="BS229" s="32">
        <v>115.8</v>
      </c>
      <c r="BT229" s="32">
        <v>87</v>
      </c>
      <c r="BU229" s="32">
        <v>101.2</v>
      </c>
      <c r="BV229" s="32">
        <v>101.2</v>
      </c>
      <c r="BW229" s="32">
        <v>111.7</v>
      </c>
      <c r="BX229" s="32">
        <v>75</v>
      </c>
      <c r="BY229" s="32">
        <v>96.1</v>
      </c>
      <c r="BZ229" s="32">
        <v>88.9</v>
      </c>
      <c r="CA229" s="32">
        <v>99.8</v>
      </c>
      <c r="CB229" s="32">
        <v>105.1</v>
      </c>
      <c r="CC229" s="32">
        <v>94.6</v>
      </c>
      <c r="CD229" s="32">
        <v>96.1</v>
      </c>
      <c r="CE229" s="32">
        <v>97.6</v>
      </c>
      <c r="CF229" s="32">
        <v>91.5</v>
      </c>
      <c r="CG229" s="32">
        <v>93.9</v>
      </c>
      <c r="CH229" s="32">
        <v>96.8</v>
      </c>
      <c r="CI229" s="32">
        <v>109.1</v>
      </c>
      <c r="CJ229" s="32">
        <v>95.6</v>
      </c>
      <c r="CK229" s="32">
        <v>94.6</v>
      </c>
      <c r="CL229" s="32">
        <v>91.8</v>
      </c>
      <c r="CM229" s="32">
        <v>97.9</v>
      </c>
      <c r="CN229" s="32">
        <v>117.5</v>
      </c>
      <c r="CO229" s="32">
        <v>94.5</v>
      </c>
      <c r="CP229" s="32">
        <v>116.5</v>
      </c>
      <c r="CQ229" s="32">
        <v>37.4</v>
      </c>
      <c r="CR229" s="32">
        <v>97.5</v>
      </c>
      <c r="CS229" s="32">
        <v>91.9</v>
      </c>
      <c r="CT229" s="32">
        <v>87.1</v>
      </c>
      <c r="CU229" s="32">
        <v>84.4</v>
      </c>
      <c r="CV229" s="32">
        <v>88.2</v>
      </c>
      <c r="CW229" s="32">
        <v>73</v>
      </c>
      <c r="CX229" s="32">
        <v>110.4</v>
      </c>
      <c r="CY229" s="32">
        <v>108.9</v>
      </c>
      <c r="CZ229" s="32">
        <v>111.4</v>
      </c>
      <c r="DA229" s="32">
        <v>105.1</v>
      </c>
      <c r="DB229" s="32">
        <v>123.5</v>
      </c>
      <c r="DC229" s="32">
        <v>42.4</v>
      </c>
      <c r="DD229" s="32">
        <v>42.4</v>
      </c>
      <c r="DE229" s="32">
        <v>83.4</v>
      </c>
      <c r="DF229" s="32">
        <v>82.5</v>
      </c>
      <c r="DG229" s="32">
        <v>89.1</v>
      </c>
      <c r="DH229" s="32">
        <v>90.1</v>
      </c>
      <c r="DI229" s="32">
        <v>108.9</v>
      </c>
      <c r="DJ229" s="32">
        <v>76.900000000000006</v>
      </c>
      <c r="DK229" s="32">
        <v>76.900000000000006</v>
      </c>
      <c r="DL229" s="32">
        <v>70.3</v>
      </c>
      <c r="DM229" s="32">
        <v>94.8</v>
      </c>
      <c r="DN229" s="32">
        <v>96.7</v>
      </c>
      <c r="DO229" s="32">
        <v>93.3</v>
      </c>
      <c r="DP229" s="32">
        <v>114.7</v>
      </c>
      <c r="DQ229" s="32">
        <v>95.3</v>
      </c>
      <c r="DR229" s="32">
        <v>95</v>
      </c>
      <c r="DS229" s="32">
        <v>94.9</v>
      </c>
      <c r="DT229" s="32">
        <v>92.3</v>
      </c>
      <c r="DU229" s="32">
        <v>93.7</v>
      </c>
      <c r="DV229" s="32">
        <v>94.4</v>
      </c>
      <c r="DW229" s="32">
        <v>92.9</v>
      </c>
      <c r="DX229" s="32">
        <v>89.4</v>
      </c>
      <c r="DY229" s="32">
        <v>103.4</v>
      </c>
      <c r="DZ229" s="32">
        <v>100.5</v>
      </c>
      <c r="EA229" s="32">
        <v>100.5</v>
      </c>
      <c r="EB229" s="32">
        <v>93</v>
      </c>
      <c r="EC229" s="32">
        <v>104.2</v>
      </c>
      <c r="ED229" s="32">
        <v>78.599999999999994</v>
      </c>
      <c r="EE229" s="32">
        <v>78.599999999999994</v>
      </c>
      <c r="EF229" s="32">
        <v>78.099999999999994</v>
      </c>
      <c r="EG229" s="32">
        <v>95.9</v>
      </c>
      <c r="EH229" s="32">
        <v>93.4</v>
      </c>
      <c r="EI229" s="32">
        <v>97.1</v>
      </c>
      <c r="EJ229" s="32">
        <v>97.1</v>
      </c>
      <c r="EK229" s="32">
        <v>96.1</v>
      </c>
      <c r="EL229" s="32">
        <v>84.1</v>
      </c>
      <c r="EM229" s="32">
        <v>84.9</v>
      </c>
      <c r="EN229" s="32">
        <v>105.5</v>
      </c>
      <c r="EO229" s="32">
        <v>93</v>
      </c>
      <c r="EP229" s="32">
        <v>89.9</v>
      </c>
      <c r="EQ229" s="32">
        <v>89.9</v>
      </c>
      <c r="ER229" s="32">
        <v>91.1</v>
      </c>
      <c r="ES229" s="32">
        <v>91.1</v>
      </c>
      <c r="ET229" s="32">
        <v>96.7</v>
      </c>
      <c r="EU229" s="32">
        <v>95.1</v>
      </c>
      <c r="EV229" s="32">
        <v>95.1</v>
      </c>
      <c r="EW229" s="32">
        <v>100.3</v>
      </c>
      <c r="EX229" s="32">
        <v>102.7</v>
      </c>
      <c r="EY229" s="32">
        <v>98.4</v>
      </c>
      <c r="EZ229" s="32">
        <v>88.6</v>
      </c>
      <c r="FA229" s="32">
        <v>94.1</v>
      </c>
      <c r="FB229" s="32">
        <v>98.4</v>
      </c>
      <c r="FC229" s="32">
        <v>87.3</v>
      </c>
      <c r="FD229" s="32">
        <v>100.2</v>
      </c>
      <c r="FE229" s="32">
        <v>115.3</v>
      </c>
      <c r="FF229" s="32">
        <v>89</v>
      </c>
      <c r="FG229" s="32">
        <v>87.6</v>
      </c>
      <c r="FH229" s="32">
        <v>89.4</v>
      </c>
      <c r="FI229" s="32">
        <v>106</v>
      </c>
      <c r="FJ229" s="32">
        <v>84.7</v>
      </c>
      <c r="FK229" s="32">
        <v>57.4</v>
      </c>
      <c r="FL229" s="32">
        <v>57.4</v>
      </c>
    </row>
    <row r="230" spans="1:168" x14ac:dyDescent="0.2">
      <c r="A230" s="34" t="s">
        <v>1210</v>
      </c>
      <c r="B230" s="32">
        <v>92.7</v>
      </c>
      <c r="C230" s="32">
        <v>97.4</v>
      </c>
      <c r="D230" s="32">
        <v>96.3</v>
      </c>
      <c r="E230" s="32">
        <v>95.7</v>
      </c>
      <c r="F230" s="32">
        <v>91</v>
      </c>
      <c r="G230" s="32">
        <v>1562.2</v>
      </c>
      <c r="H230" s="32">
        <v>79.400000000000006</v>
      </c>
      <c r="I230" s="32">
        <v>125.8</v>
      </c>
      <c r="J230" s="32">
        <v>95.3</v>
      </c>
      <c r="K230" s="32">
        <v>84.9</v>
      </c>
      <c r="L230" s="32">
        <v>81.3</v>
      </c>
      <c r="M230" s="32">
        <v>64.599999999999994</v>
      </c>
      <c r="N230" s="32">
        <v>73.3</v>
      </c>
      <c r="O230" s="32">
        <v>67.5</v>
      </c>
      <c r="P230" s="32">
        <v>97</v>
      </c>
      <c r="Q230" s="32">
        <v>92.4</v>
      </c>
      <c r="R230" s="32">
        <v>92.4</v>
      </c>
      <c r="S230" s="32">
        <v>85</v>
      </c>
      <c r="T230" s="32">
        <v>131.80000000000001</v>
      </c>
      <c r="U230" s="32">
        <v>81.599999999999994</v>
      </c>
      <c r="V230" s="32">
        <v>105.8</v>
      </c>
      <c r="W230" s="32">
        <v>86</v>
      </c>
      <c r="X230" s="32">
        <v>65.900000000000006</v>
      </c>
      <c r="Y230" s="32">
        <v>125.4</v>
      </c>
      <c r="Z230" s="32">
        <v>84.9</v>
      </c>
      <c r="AA230" s="32">
        <v>87</v>
      </c>
      <c r="AB230" s="32">
        <v>85.8</v>
      </c>
      <c r="AC230" s="32">
        <v>85.8</v>
      </c>
      <c r="AD230" s="32">
        <v>89.4</v>
      </c>
      <c r="AE230" s="32">
        <v>147.19999999999999</v>
      </c>
      <c r="AF230" s="32">
        <v>147.19999999999999</v>
      </c>
      <c r="AG230" s="32">
        <v>104.5</v>
      </c>
      <c r="AH230" s="32">
        <v>104.5</v>
      </c>
      <c r="AI230" s="32">
        <v>103.3</v>
      </c>
      <c r="AJ230" s="32">
        <v>116.9</v>
      </c>
      <c r="AK230" s="32">
        <v>115.9</v>
      </c>
      <c r="AL230" s="32">
        <v>111</v>
      </c>
      <c r="AM230" s="32">
        <v>80.599999999999994</v>
      </c>
      <c r="AN230" s="32">
        <v>123</v>
      </c>
      <c r="AO230" s="32">
        <v>107.4</v>
      </c>
      <c r="AP230" s="32">
        <v>107.4</v>
      </c>
      <c r="AQ230" s="32">
        <v>102.2</v>
      </c>
      <c r="AR230" s="32">
        <v>113</v>
      </c>
      <c r="AS230" s="32">
        <v>87.5</v>
      </c>
      <c r="AT230" s="32">
        <v>83.1</v>
      </c>
      <c r="AU230" s="32">
        <v>91.4</v>
      </c>
      <c r="AV230" s="32">
        <v>102</v>
      </c>
      <c r="AW230" s="32">
        <v>126</v>
      </c>
      <c r="AX230" s="32">
        <v>123.4</v>
      </c>
      <c r="AY230" s="32">
        <v>142</v>
      </c>
      <c r="AZ230" s="32">
        <v>97.7</v>
      </c>
      <c r="BA230" s="32">
        <v>83.6</v>
      </c>
      <c r="BB230" s="32">
        <v>83.6</v>
      </c>
      <c r="BC230" s="32">
        <v>85</v>
      </c>
      <c r="BD230" s="32">
        <v>85</v>
      </c>
      <c r="BE230" s="32">
        <v>101.1</v>
      </c>
      <c r="BF230" s="32">
        <v>101.1</v>
      </c>
      <c r="BG230" s="32">
        <v>99.6</v>
      </c>
      <c r="BH230" s="32">
        <v>123.1</v>
      </c>
      <c r="BI230" s="32">
        <v>73.900000000000006</v>
      </c>
      <c r="BJ230" s="32">
        <v>47.6</v>
      </c>
      <c r="BK230" s="32">
        <v>77.7</v>
      </c>
      <c r="BL230" s="32">
        <v>101.3</v>
      </c>
      <c r="BM230" s="32">
        <v>95.1</v>
      </c>
      <c r="BN230" s="32">
        <v>97.8</v>
      </c>
      <c r="BO230" s="32">
        <v>90.3</v>
      </c>
      <c r="BP230" s="32">
        <v>105.2</v>
      </c>
      <c r="BQ230" s="32">
        <v>92.1</v>
      </c>
      <c r="BR230" s="32">
        <v>65.3</v>
      </c>
      <c r="BS230" s="32">
        <v>123.2</v>
      </c>
      <c r="BT230" s="32">
        <v>87.3</v>
      </c>
      <c r="BU230" s="32">
        <v>103</v>
      </c>
      <c r="BV230" s="32">
        <v>103</v>
      </c>
      <c r="BW230" s="32">
        <v>112.1</v>
      </c>
      <c r="BX230" s="32">
        <v>78.5</v>
      </c>
      <c r="BY230" s="32">
        <v>94.2</v>
      </c>
      <c r="BZ230" s="32">
        <v>88</v>
      </c>
      <c r="CA230" s="32">
        <v>97.4</v>
      </c>
      <c r="CB230" s="32">
        <v>98.3</v>
      </c>
      <c r="CC230" s="32">
        <v>96.4</v>
      </c>
      <c r="CD230" s="32">
        <v>99.7</v>
      </c>
      <c r="CE230" s="32">
        <v>97.5</v>
      </c>
      <c r="CF230" s="32">
        <v>91.7</v>
      </c>
      <c r="CG230" s="32">
        <v>95.2</v>
      </c>
      <c r="CH230" s="32">
        <v>97.7</v>
      </c>
      <c r="CI230" s="32">
        <v>112.8</v>
      </c>
      <c r="CJ230" s="32">
        <v>93.9</v>
      </c>
      <c r="CK230" s="32">
        <v>96.4</v>
      </c>
      <c r="CL230" s="32">
        <v>92.3</v>
      </c>
      <c r="CM230" s="32">
        <v>98.1</v>
      </c>
      <c r="CN230" s="32">
        <v>116.3</v>
      </c>
      <c r="CO230" s="32">
        <v>95</v>
      </c>
      <c r="CP230" s="32">
        <v>116.2</v>
      </c>
      <c r="CQ230" s="32">
        <v>37.9</v>
      </c>
      <c r="CR230" s="32">
        <v>98.8</v>
      </c>
      <c r="CS230" s="32">
        <v>91.5</v>
      </c>
      <c r="CT230" s="32">
        <v>91</v>
      </c>
      <c r="CU230" s="32">
        <v>88.1</v>
      </c>
      <c r="CV230" s="32">
        <v>92.2</v>
      </c>
      <c r="CW230" s="32">
        <v>71.7</v>
      </c>
      <c r="CX230" s="32">
        <v>106.6</v>
      </c>
      <c r="CY230" s="32">
        <v>102.6</v>
      </c>
      <c r="CZ230" s="32">
        <v>108.9</v>
      </c>
      <c r="DA230" s="32">
        <v>101.7</v>
      </c>
      <c r="DB230" s="32">
        <v>122.7</v>
      </c>
      <c r="DC230" s="32">
        <v>42.4</v>
      </c>
      <c r="DD230" s="32">
        <v>42.4</v>
      </c>
      <c r="DE230" s="32">
        <v>81.7</v>
      </c>
      <c r="DF230" s="32">
        <v>80</v>
      </c>
      <c r="DG230" s="32">
        <v>91.8</v>
      </c>
      <c r="DH230" s="32">
        <v>90</v>
      </c>
      <c r="DI230" s="32">
        <v>109.6</v>
      </c>
      <c r="DJ230" s="32">
        <v>76.5</v>
      </c>
      <c r="DK230" s="32">
        <v>76.5</v>
      </c>
      <c r="DL230" s="32">
        <v>69.099999999999994</v>
      </c>
      <c r="DM230" s="32">
        <v>94.9</v>
      </c>
      <c r="DN230" s="32">
        <v>96.7</v>
      </c>
      <c r="DO230" s="32">
        <v>93.5</v>
      </c>
      <c r="DP230" s="32">
        <v>112</v>
      </c>
      <c r="DQ230" s="32">
        <v>94.9</v>
      </c>
      <c r="DR230" s="32">
        <v>94.8</v>
      </c>
      <c r="DS230" s="32">
        <v>95.8</v>
      </c>
      <c r="DT230" s="32">
        <v>93.6</v>
      </c>
      <c r="DU230" s="32">
        <v>95.5</v>
      </c>
      <c r="DV230" s="32">
        <v>97.3</v>
      </c>
      <c r="DW230" s="32">
        <v>93.3</v>
      </c>
      <c r="DX230" s="32">
        <v>89.7</v>
      </c>
      <c r="DY230" s="32">
        <v>103.3</v>
      </c>
      <c r="DZ230" s="32">
        <v>91.6</v>
      </c>
      <c r="EA230" s="32">
        <v>91.6</v>
      </c>
      <c r="EB230" s="32">
        <v>92.8</v>
      </c>
      <c r="EC230" s="32">
        <v>101.9</v>
      </c>
      <c r="ED230" s="32">
        <v>81.2</v>
      </c>
      <c r="EE230" s="32">
        <v>82.5</v>
      </c>
      <c r="EF230" s="32">
        <v>77.7</v>
      </c>
      <c r="EG230" s="32">
        <v>95.1</v>
      </c>
      <c r="EH230" s="32">
        <v>93.7</v>
      </c>
      <c r="EI230" s="32">
        <v>94.3</v>
      </c>
      <c r="EJ230" s="32">
        <v>97.8</v>
      </c>
      <c r="EK230" s="32">
        <v>95.9</v>
      </c>
      <c r="EL230" s="32">
        <v>87.1</v>
      </c>
      <c r="EM230" s="32">
        <v>85.5</v>
      </c>
      <c r="EN230" s="32">
        <v>104.2</v>
      </c>
      <c r="EO230" s="32">
        <v>93.2</v>
      </c>
      <c r="EP230" s="32">
        <v>90.1</v>
      </c>
      <c r="EQ230" s="32">
        <v>90.1</v>
      </c>
      <c r="ER230" s="32">
        <v>91.3</v>
      </c>
      <c r="ES230" s="32">
        <v>91.3</v>
      </c>
      <c r="ET230" s="32">
        <v>96.8</v>
      </c>
      <c r="EU230" s="32">
        <v>95.3</v>
      </c>
      <c r="EV230" s="32">
        <v>95.3</v>
      </c>
      <c r="EW230" s="32">
        <v>100.3</v>
      </c>
      <c r="EX230" s="32">
        <v>102.3</v>
      </c>
      <c r="EY230" s="32">
        <v>98.6</v>
      </c>
      <c r="EZ230" s="32">
        <v>91.2</v>
      </c>
      <c r="FA230" s="32">
        <v>96.9</v>
      </c>
      <c r="FB230" s="32">
        <v>99.6</v>
      </c>
      <c r="FC230" s="32">
        <v>90.3</v>
      </c>
      <c r="FD230" s="32">
        <v>99.5</v>
      </c>
      <c r="FE230" s="32">
        <v>114.4</v>
      </c>
      <c r="FF230" s="32">
        <v>93.8</v>
      </c>
      <c r="FG230" s="32">
        <v>89.3</v>
      </c>
      <c r="FH230" s="32">
        <v>90.7</v>
      </c>
      <c r="FI230" s="32">
        <v>111.8</v>
      </c>
      <c r="FJ230" s="32">
        <v>86.1</v>
      </c>
      <c r="FK230" s="32">
        <v>67.3</v>
      </c>
      <c r="FL230" s="32">
        <v>67.3</v>
      </c>
    </row>
    <row r="231" spans="1:168" x14ac:dyDescent="0.2">
      <c r="A231" s="34" t="s">
        <v>1211</v>
      </c>
      <c r="B231" s="32">
        <v>93</v>
      </c>
      <c r="C231" s="32">
        <v>98</v>
      </c>
      <c r="D231" s="32">
        <v>97.3</v>
      </c>
      <c r="E231" s="32">
        <v>96.5</v>
      </c>
      <c r="F231" s="32">
        <v>93.3</v>
      </c>
      <c r="G231" s="32">
        <v>1713.7</v>
      </c>
      <c r="H231" s="32">
        <v>81.5</v>
      </c>
      <c r="I231" s="32">
        <v>127.4</v>
      </c>
      <c r="J231" s="32">
        <v>95.7</v>
      </c>
      <c r="K231" s="32">
        <v>86.4</v>
      </c>
      <c r="L231" s="32">
        <v>83.4</v>
      </c>
      <c r="M231" s="32">
        <v>73.8</v>
      </c>
      <c r="N231" s="32">
        <v>74.2</v>
      </c>
      <c r="O231" s="32">
        <v>76.599999999999994</v>
      </c>
      <c r="P231" s="32">
        <v>103.6</v>
      </c>
      <c r="Q231" s="32">
        <v>93.1</v>
      </c>
      <c r="R231" s="32">
        <v>91</v>
      </c>
      <c r="S231" s="32">
        <v>86.9</v>
      </c>
      <c r="T231" s="32">
        <v>129.69999999999999</v>
      </c>
      <c r="U231" s="32">
        <v>83.9</v>
      </c>
      <c r="V231" s="32">
        <v>104.3</v>
      </c>
      <c r="W231" s="32">
        <v>87</v>
      </c>
      <c r="X231" s="32">
        <v>66.5</v>
      </c>
      <c r="Y231" s="32">
        <v>125.7</v>
      </c>
      <c r="Z231" s="32">
        <v>84.3</v>
      </c>
      <c r="AA231" s="32">
        <v>87.8</v>
      </c>
      <c r="AB231" s="32">
        <v>85</v>
      </c>
      <c r="AC231" s="32">
        <v>86.1</v>
      </c>
      <c r="AD231" s="32">
        <v>91.7</v>
      </c>
      <c r="AE231" s="32">
        <v>164.3</v>
      </c>
      <c r="AF231" s="32">
        <v>164.3</v>
      </c>
      <c r="AG231" s="32">
        <v>105.6</v>
      </c>
      <c r="AH231" s="32">
        <v>105.6</v>
      </c>
      <c r="AI231" s="32">
        <v>105.9</v>
      </c>
      <c r="AJ231" s="32">
        <v>120.8</v>
      </c>
      <c r="AK231" s="32">
        <v>113.9</v>
      </c>
      <c r="AL231" s="32">
        <v>105.5</v>
      </c>
      <c r="AM231" s="32">
        <v>84.6</v>
      </c>
      <c r="AN231" s="32">
        <v>117.7</v>
      </c>
      <c r="AO231" s="32">
        <v>106.5</v>
      </c>
      <c r="AP231" s="32">
        <v>106.5</v>
      </c>
      <c r="AQ231" s="32">
        <v>102.2</v>
      </c>
      <c r="AR231" s="32">
        <v>112.8</v>
      </c>
      <c r="AS231" s="32">
        <v>88.3</v>
      </c>
      <c r="AT231" s="32">
        <v>83.1</v>
      </c>
      <c r="AU231" s="32">
        <v>92.9</v>
      </c>
      <c r="AV231" s="32">
        <v>103.9</v>
      </c>
      <c r="AW231" s="32">
        <v>144.69999999999999</v>
      </c>
      <c r="AX231" s="32">
        <v>159.19999999999999</v>
      </c>
      <c r="AY231" s="32">
        <v>139.6</v>
      </c>
      <c r="AZ231" s="32">
        <v>96</v>
      </c>
      <c r="BA231" s="32">
        <v>83.2</v>
      </c>
      <c r="BB231" s="32">
        <v>83.2</v>
      </c>
      <c r="BC231" s="32">
        <v>83.9</v>
      </c>
      <c r="BD231" s="32">
        <v>83.9</v>
      </c>
      <c r="BE231" s="32">
        <v>98.5</v>
      </c>
      <c r="BF231" s="32">
        <v>98.5</v>
      </c>
      <c r="BG231" s="32">
        <v>101.9</v>
      </c>
      <c r="BH231" s="32">
        <v>127.5</v>
      </c>
      <c r="BI231" s="32">
        <v>74.400000000000006</v>
      </c>
      <c r="BJ231" s="32">
        <v>50.3</v>
      </c>
      <c r="BK231" s="32">
        <v>78.599999999999994</v>
      </c>
      <c r="BL231" s="32">
        <v>94.9</v>
      </c>
      <c r="BM231" s="32">
        <v>90.3</v>
      </c>
      <c r="BN231" s="32">
        <v>93.3</v>
      </c>
      <c r="BO231" s="32">
        <v>87.1</v>
      </c>
      <c r="BP231" s="32">
        <v>99.2</v>
      </c>
      <c r="BQ231" s="32">
        <v>87.1</v>
      </c>
      <c r="BR231" s="32">
        <v>70.7</v>
      </c>
      <c r="BS231" s="32">
        <v>95.1</v>
      </c>
      <c r="BT231" s="32">
        <v>87.1</v>
      </c>
      <c r="BU231" s="32">
        <v>104.8</v>
      </c>
      <c r="BV231" s="32">
        <v>104.8</v>
      </c>
      <c r="BW231" s="32">
        <v>116.4</v>
      </c>
      <c r="BX231" s="32">
        <v>77.2</v>
      </c>
      <c r="BY231" s="32">
        <v>95</v>
      </c>
      <c r="BZ231" s="32">
        <v>90.9</v>
      </c>
      <c r="CA231" s="32">
        <v>97.1</v>
      </c>
      <c r="CB231" s="32">
        <v>99.6</v>
      </c>
      <c r="CC231" s="32">
        <v>94.6</v>
      </c>
      <c r="CD231" s="32">
        <v>98.2</v>
      </c>
      <c r="CE231" s="32">
        <v>99.2</v>
      </c>
      <c r="CF231" s="32">
        <v>92</v>
      </c>
      <c r="CG231" s="32">
        <v>94.7</v>
      </c>
      <c r="CH231" s="32">
        <v>96.6</v>
      </c>
      <c r="CI231" s="32">
        <v>109.4</v>
      </c>
      <c r="CJ231" s="32">
        <v>93.6</v>
      </c>
      <c r="CK231" s="32">
        <v>95.3</v>
      </c>
      <c r="CL231" s="32">
        <v>92.5</v>
      </c>
      <c r="CM231" s="32">
        <v>98.4</v>
      </c>
      <c r="CN231" s="32">
        <v>115.9</v>
      </c>
      <c r="CO231" s="32">
        <v>95.4</v>
      </c>
      <c r="CP231" s="32">
        <v>114.3</v>
      </c>
      <c r="CQ231" s="32">
        <v>39.799999999999997</v>
      </c>
      <c r="CR231" s="32">
        <v>96.8</v>
      </c>
      <c r="CS231" s="32">
        <v>96.1</v>
      </c>
      <c r="CT231" s="32">
        <v>91.7</v>
      </c>
      <c r="CU231" s="32">
        <v>88.7</v>
      </c>
      <c r="CV231" s="32">
        <v>93</v>
      </c>
      <c r="CW231" s="32">
        <v>74</v>
      </c>
      <c r="CX231" s="32">
        <v>113.7</v>
      </c>
      <c r="CY231" s="32">
        <v>109.9</v>
      </c>
      <c r="CZ231" s="32">
        <v>116.1</v>
      </c>
      <c r="DA231" s="32">
        <v>113.3</v>
      </c>
      <c r="DB231" s="32">
        <v>121.7</v>
      </c>
      <c r="DC231" s="32">
        <v>43.3</v>
      </c>
      <c r="DD231" s="32">
        <v>43.3</v>
      </c>
      <c r="DE231" s="32">
        <v>82.9</v>
      </c>
      <c r="DF231" s="32">
        <v>81.099999999999994</v>
      </c>
      <c r="DG231" s="32">
        <v>93.4</v>
      </c>
      <c r="DH231" s="32">
        <v>89.4</v>
      </c>
      <c r="DI231" s="32">
        <v>110.5</v>
      </c>
      <c r="DJ231" s="32">
        <v>77.2</v>
      </c>
      <c r="DK231" s="32">
        <v>77.2</v>
      </c>
      <c r="DL231" s="32">
        <v>65</v>
      </c>
      <c r="DM231" s="32">
        <v>95.3</v>
      </c>
      <c r="DN231" s="32">
        <v>96.3</v>
      </c>
      <c r="DO231" s="32">
        <v>94.3</v>
      </c>
      <c r="DP231" s="32">
        <v>109.7</v>
      </c>
      <c r="DQ231" s="32">
        <v>95.3</v>
      </c>
      <c r="DR231" s="32">
        <v>95.8</v>
      </c>
      <c r="DS231" s="32">
        <v>96.6</v>
      </c>
      <c r="DT231" s="32">
        <v>93.2</v>
      </c>
      <c r="DU231" s="32">
        <v>94.3</v>
      </c>
      <c r="DV231" s="32">
        <v>96.8</v>
      </c>
      <c r="DW231" s="32">
        <v>91.4</v>
      </c>
      <c r="DX231" s="32">
        <v>90.7</v>
      </c>
      <c r="DY231" s="32">
        <v>107.8</v>
      </c>
      <c r="DZ231" s="32">
        <v>98.4</v>
      </c>
      <c r="EA231" s="32">
        <v>98.4</v>
      </c>
      <c r="EB231" s="32">
        <v>92.4</v>
      </c>
      <c r="EC231" s="32">
        <v>99.4</v>
      </c>
      <c r="ED231" s="32">
        <v>83.7</v>
      </c>
      <c r="EE231" s="32">
        <v>85.5</v>
      </c>
      <c r="EF231" s="32">
        <v>79.099999999999994</v>
      </c>
      <c r="EG231" s="32">
        <v>94.6</v>
      </c>
      <c r="EH231" s="32">
        <v>92.7</v>
      </c>
      <c r="EI231" s="32">
        <v>92.5</v>
      </c>
      <c r="EJ231" s="32">
        <v>99.1</v>
      </c>
      <c r="EK231" s="32">
        <v>96.3</v>
      </c>
      <c r="EL231" s="32">
        <v>87.4</v>
      </c>
      <c r="EM231" s="32">
        <v>83.6</v>
      </c>
      <c r="EN231" s="32">
        <v>106</v>
      </c>
      <c r="EO231" s="32">
        <v>93.4</v>
      </c>
      <c r="EP231" s="32">
        <v>91.2</v>
      </c>
      <c r="EQ231" s="32">
        <v>91.2</v>
      </c>
      <c r="ER231" s="32">
        <v>91.2</v>
      </c>
      <c r="ES231" s="32">
        <v>91.2</v>
      </c>
      <c r="ET231" s="32">
        <v>96.7</v>
      </c>
      <c r="EU231" s="32">
        <v>94.9</v>
      </c>
      <c r="EV231" s="32">
        <v>94.9</v>
      </c>
      <c r="EW231" s="32">
        <v>100.9</v>
      </c>
      <c r="EX231" s="32">
        <v>102.4</v>
      </c>
      <c r="EY231" s="32">
        <v>99.6</v>
      </c>
      <c r="EZ231" s="32">
        <v>89.7</v>
      </c>
      <c r="FA231" s="32">
        <v>92.8</v>
      </c>
      <c r="FB231" s="32">
        <v>95.7</v>
      </c>
      <c r="FC231" s="32">
        <v>82.2</v>
      </c>
      <c r="FD231" s="32">
        <v>101</v>
      </c>
      <c r="FE231" s="32">
        <v>114.7</v>
      </c>
      <c r="FF231" s="32">
        <v>89.3</v>
      </c>
      <c r="FG231" s="32">
        <v>88.5</v>
      </c>
      <c r="FH231" s="32">
        <v>91.4</v>
      </c>
      <c r="FI231" s="32">
        <v>105.1</v>
      </c>
      <c r="FJ231" s="32">
        <v>85.4</v>
      </c>
      <c r="FK231" s="32">
        <v>78.599999999999994</v>
      </c>
      <c r="FL231" s="32">
        <v>78.599999999999994</v>
      </c>
    </row>
    <row r="232" spans="1:168" x14ac:dyDescent="0.2">
      <c r="A232" s="34" t="s">
        <v>1212</v>
      </c>
      <c r="B232" s="32">
        <v>92.9</v>
      </c>
      <c r="C232" s="32">
        <v>97.2</v>
      </c>
      <c r="D232" s="32">
        <v>96</v>
      </c>
      <c r="E232" s="32">
        <v>95.2</v>
      </c>
      <c r="F232" s="32">
        <v>94.4</v>
      </c>
      <c r="G232" s="32">
        <v>1704.7</v>
      </c>
      <c r="H232" s="32">
        <v>83.8</v>
      </c>
      <c r="I232" s="32">
        <v>124.2</v>
      </c>
      <c r="J232" s="32">
        <v>94.7</v>
      </c>
      <c r="K232" s="32">
        <v>86.9</v>
      </c>
      <c r="L232" s="32">
        <v>84.3</v>
      </c>
      <c r="M232" s="32">
        <v>76.400000000000006</v>
      </c>
      <c r="N232" s="32">
        <v>77.7</v>
      </c>
      <c r="O232" s="32">
        <v>70.2</v>
      </c>
      <c r="P232" s="32">
        <v>105.9</v>
      </c>
      <c r="Q232" s="32">
        <v>91.9</v>
      </c>
      <c r="R232" s="32">
        <v>88.5</v>
      </c>
      <c r="S232" s="32">
        <v>87.4</v>
      </c>
      <c r="T232" s="32">
        <v>129.5</v>
      </c>
      <c r="U232" s="32">
        <v>89.2</v>
      </c>
      <c r="V232" s="32">
        <v>100.5</v>
      </c>
      <c r="W232" s="32">
        <v>83.8</v>
      </c>
      <c r="X232" s="32">
        <v>70.900000000000006</v>
      </c>
      <c r="Y232" s="32">
        <v>107.4</v>
      </c>
      <c r="Z232" s="32">
        <v>79.099999999999994</v>
      </c>
      <c r="AA232" s="32">
        <v>90.3</v>
      </c>
      <c r="AB232" s="32">
        <v>88.7</v>
      </c>
      <c r="AC232" s="32">
        <v>88.3</v>
      </c>
      <c r="AD232" s="32">
        <v>93.8</v>
      </c>
      <c r="AE232" s="32">
        <v>169.3</v>
      </c>
      <c r="AF232" s="32">
        <v>169.3</v>
      </c>
      <c r="AG232" s="32">
        <v>104.2</v>
      </c>
      <c r="AH232" s="32">
        <v>104.2</v>
      </c>
      <c r="AI232" s="32">
        <v>106.7</v>
      </c>
      <c r="AJ232" s="32">
        <v>113</v>
      </c>
      <c r="AK232" s="32">
        <v>116.6</v>
      </c>
      <c r="AL232" s="32">
        <v>101.7</v>
      </c>
      <c r="AM232" s="32">
        <v>86.2</v>
      </c>
      <c r="AN232" s="32">
        <v>119.2</v>
      </c>
      <c r="AO232" s="32">
        <v>97.2</v>
      </c>
      <c r="AP232" s="32">
        <v>97.2</v>
      </c>
      <c r="AQ232" s="32">
        <v>100</v>
      </c>
      <c r="AR232" s="32">
        <v>109.3</v>
      </c>
      <c r="AS232" s="32">
        <v>87.7</v>
      </c>
      <c r="AT232" s="32">
        <v>83</v>
      </c>
      <c r="AU232" s="32">
        <v>91.7</v>
      </c>
      <c r="AV232" s="32">
        <v>100.5</v>
      </c>
      <c r="AW232" s="32">
        <v>128.80000000000001</v>
      </c>
      <c r="AX232" s="32">
        <v>131.4</v>
      </c>
      <c r="AY232" s="32">
        <v>137.4</v>
      </c>
      <c r="AZ232" s="32">
        <v>95</v>
      </c>
      <c r="BA232" s="32">
        <v>84.5</v>
      </c>
      <c r="BB232" s="32">
        <v>84.5</v>
      </c>
      <c r="BC232" s="32">
        <v>81.599999999999994</v>
      </c>
      <c r="BD232" s="32">
        <v>81.599999999999994</v>
      </c>
      <c r="BE232" s="32">
        <v>96.1</v>
      </c>
      <c r="BF232" s="32">
        <v>96.1</v>
      </c>
      <c r="BG232" s="32">
        <v>99.7</v>
      </c>
      <c r="BH232" s="32">
        <v>121.6</v>
      </c>
      <c r="BI232" s="32">
        <v>75.7</v>
      </c>
      <c r="BJ232" s="32">
        <v>52.5</v>
      </c>
      <c r="BK232" s="32">
        <v>80.099999999999994</v>
      </c>
      <c r="BL232" s="32">
        <v>90.4</v>
      </c>
      <c r="BM232" s="32">
        <v>94.9</v>
      </c>
      <c r="BN232" s="32">
        <v>96</v>
      </c>
      <c r="BO232" s="32">
        <v>96.8</v>
      </c>
      <c r="BP232" s="32">
        <v>95.6</v>
      </c>
      <c r="BQ232" s="32">
        <v>93.7</v>
      </c>
      <c r="BR232" s="32">
        <v>66.5</v>
      </c>
      <c r="BS232" s="32">
        <v>123.6</v>
      </c>
      <c r="BT232" s="32">
        <v>89.1</v>
      </c>
      <c r="BU232" s="32">
        <v>100.2</v>
      </c>
      <c r="BV232" s="32">
        <v>100.2</v>
      </c>
      <c r="BW232" s="32">
        <v>112.3</v>
      </c>
      <c r="BX232" s="32">
        <v>71.8</v>
      </c>
      <c r="BY232" s="32">
        <v>94.9</v>
      </c>
      <c r="BZ232" s="32">
        <v>90.7</v>
      </c>
      <c r="CA232" s="32">
        <v>97.1</v>
      </c>
      <c r="CB232" s="32">
        <v>102.5</v>
      </c>
      <c r="CC232" s="32">
        <v>91.6</v>
      </c>
      <c r="CD232" s="32">
        <v>94.3</v>
      </c>
      <c r="CE232" s="32">
        <v>97.9</v>
      </c>
      <c r="CF232" s="32">
        <v>92.1</v>
      </c>
      <c r="CG232" s="32">
        <v>94.2</v>
      </c>
      <c r="CH232" s="32">
        <v>96.9</v>
      </c>
      <c r="CI232" s="32">
        <v>108</v>
      </c>
      <c r="CJ232" s="32">
        <v>94.4</v>
      </c>
      <c r="CK232" s="32">
        <v>95.7</v>
      </c>
      <c r="CL232" s="32">
        <v>91.7</v>
      </c>
      <c r="CM232" s="32">
        <v>100</v>
      </c>
      <c r="CN232" s="32">
        <v>116</v>
      </c>
      <c r="CO232" s="32">
        <v>97.2</v>
      </c>
      <c r="CP232" s="32">
        <v>111.9</v>
      </c>
      <c r="CQ232" s="32">
        <v>40.6</v>
      </c>
      <c r="CR232" s="32">
        <v>97</v>
      </c>
      <c r="CS232" s="32">
        <v>87.6</v>
      </c>
      <c r="CT232" s="32">
        <v>88.9</v>
      </c>
      <c r="CU232" s="32">
        <v>86.3</v>
      </c>
      <c r="CV232" s="32">
        <v>90</v>
      </c>
      <c r="CW232" s="32">
        <v>75.099999999999994</v>
      </c>
      <c r="CX232" s="32">
        <v>113</v>
      </c>
      <c r="CY232" s="32">
        <v>110.6</v>
      </c>
      <c r="CZ232" s="32">
        <v>114.5</v>
      </c>
      <c r="DA232" s="32">
        <v>110.6</v>
      </c>
      <c r="DB232" s="32">
        <v>122.2</v>
      </c>
      <c r="DC232" s="32">
        <v>44.8</v>
      </c>
      <c r="DD232" s="32">
        <v>44.8</v>
      </c>
      <c r="DE232" s="32">
        <v>84.4</v>
      </c>
      <c r="DF232" s="32">
        <v>82.8</v>
      </c>
      <c r="DG232" s="32">
        <v>93.6</v>
      </c>
      <c r="DH232" s="32">
        <v>90.8</v>
      </c>
      <c r="DI232" s="32">
        <v>111.7</v>
      </c>
      <c r="DJ232" s="32">
        <v>78.400000000000006</v>
      </c>
      <c r="DK232" s="32">
        <v>78.400000000000006</v>
      </c>
      <c r="DL232" s="32">
        <v>66.900000000000006</v>
      </c>
      <c r="DM232" s="32">
        <v>95.4</v>
      </c>
      <c r="DN232" s="32">
        <v>96.2</v>
      </c>
      <c r="DO232" s="32">
        <v>94.6</v>
      </c>
      <c r="DP232" s="32">
        <v>107.4</v>
      </c>
      <c r="DQ232" s="32">
        <v>94.2</v>
      </c>
      <c r="DR232" s="32">
        <v>94.8</v>
      </c>
      <c r="DS232" s="32">
        <v>95.2</v>
      </c>
      <c r="DT232" s="32">
        <v>93.2</v>
      </c>
      <c r="DU232" s="32">
        <v>94.4</v>
      </c>
      <c r="DV232" s="32">
        <v>96.7</v>
      </c>
      <c r="DW232" s="32">
        <v>91.6</v>
      </c>
      <c r="DX232" s="32">
        <v>90.6</v>
      </c>
      <c r="DY232" s="32">
        <v>102</v>
      </c>
      <c r="DZ232" s="32">
        <v>98.6</v>
      </c>
      <c r="EA232" s="32">
        <v>98.6</v>
      </c>
      <c r="EB232" s="32">
        <v>92.1</v>
      </c>
      <c r="EC232" s="32">
        <v>98.5</v>
      </c>
      <c r="ED232" s="32">
        <v>84.1</v>
      </c>
      <c r="EE232" s="32">
        <v>86.4</v>
      </c>
      <c r="EF232" s="32">
        <v>78.2</v>
      </c>
      <c r="EG232" s="32">
        <v>93.3</v>
      </c>
      <c r="EH232" s="32">
        <v>92.5</v>
      </c>
      <c r="EI232" s="32">
        <v>89.2</v>
      </c>
      <c r="EJ232" s="32">
        <v>96.2</v>
      </c>
      <c r="EK232" s="32">
        <v>96.3</v>
      </c>
      <c r="EL232" s="32">
        <v>91.1</v>
      </c>
      <c r="EM232" s="32">
        <v>81.7</v>
      </c>
      <c r="EN232" s="32">
        <v>106.6</v>
      </c>
      <c r="EO232" s="32">
        <v>93.6</v>
      </c>
      <c r="EP232" s="32">
        <v>91.7</v>
      </c>
      <c r="EQ232" s="32">
        <v>91.7</v>
      </c>
      <c r="ER232" s="32">
        <v>91.2</v>
      </c>
      <c r="ES232" s="32">
        <v>91.2</v>
      </c>
      <c r="ET232" s="32">
        <v>96.8</v>
      </c>
      <c r="EU232" s="32">
        <v>94.8</v>
      </c>
      <c r="EV232" s="32">
        <v>94.8</v>
      </c>
      <c r="EW232" s="32">
        <v>101.5</v>
      </c>
      <c r="EX232" s="32">
        <v>102.5</v>
      </c>
      <c r="EY232" s="32">
        <v>100.6</v>
      </c>
      <c r="EZ232" s="32">
        <v>91.6</v>
      </c>
      <c r="FA232" s="32">
        <v>94.5</v>
      </c>
      <c r="FB232" s="32">
        <v>98</v>
      </c>
      <c r="FC232" s="32">
        <v>87.5</v>
      </c>
      <c r="FD232" s="32">
        <v>100.7</v>
      </c>
      <c r="FE232" s="32">
        <v>113.3</v>
      </c>
      <c r="FF232" s="32">
        <v>90.3</v>
      </c>
      <c r="FG232" s="32">
        <v>89.6</v>
      </c>
      <c r="FH232" s="32">
        <v>90.1</v>
      </c>
      <c r="FI232" s="32">
        <v>111</v>
      </c>
      <c r="FJ232" s="32">
        <v>86.9</v>
      </c>
      <c r="FK232" s="32">
        <v>88.5</v>
      </c>
      <c r="FL232" s="32">
        <v>88.5</v>
      </c>
    </row>
    <row r="233" spans="1:168" x14ac:dyDescent="0.2">
      <c r="A233" s="34" t="s">
        <v>1213</v>
      </c>
      <c r="B233" s="32">
        <v>93.3</v>
      </c>
      <c r="C233" s="32">
        <v>94.8</v>
      </c>
      <c r="D233" s="32">
        <v>96.4</v>
      </c>
      <c r="E233" s="32">
        <v>94.8</v>
      </c>
      <c r="F233" s="32">
        <v>93.2</v>
      </c>
      <c r="G233" s="32">
        <v>1645.9</v>
      </c>
      <c r="H233" s="32">
        <v>83.8</v>
      </c>
      <c r="I233" s="32">
        <v>119.1</v>
      </c>
      <c r="J233" s="32">
        <v>94.8</v>
      </c>
      <c r="K233" s="32">
        <v>89.2</v>
      </c>
      <c r="L233" s="32">
        <v>87</v>
      </c>
      <c r="M233" s="32">
        <v>85.6</v>
      </c>
      <c r="N233" s="32">
        <v>79.3</v>
      </c>
      <c r="O233" s="32">
        <v>62.2</v>
      </c>
      <c r="P233" s="32">
        <v>111.4</v>
      </c>
      <c r="Q233" s="32">
        <v>92.5</v>
      </c>
      <c r="R233" s="32">
        <v>90</v>
      </c>
      <c r="S233" s="32">
        <v>86.5</v>
      </c>
      <c r="T233" s="32">
        <v>126.1</v>
      </c>
      <c r="U233" s="32">
        <v>92.4</v>
      </c>
      <c r="V233" s="32">
        <v>100.4</v>
      </c>
      <c r="W233" s="32">
        <v>80.400000000000006</v>
      </c>
      <c r="X233" s="32">
        <v>69</v>
      </c>
      <c r="Y233" s="32">
        <v>100.9</v>
      </c>
      <c r="Z233" s="32">
        <v>78.099999999999994</v>
      </c>
      <c r="AA233" s="32">
        <v>89.7</v>
      </c>
      <c r="AB233" s="32">
        <v>88.8</v>
      </c>
      <c r="AC233" s="32">
        <v>87</v>
      </c>
      <c r="AD233" s="32">
        <v>93.2</v>
      </c>
      <c r="AE233" s="32">
        <v>163.1</v>
      </c>
      <c r="AF233" s="32">
        <v>163.1</v>
      </c>
      <c r="AG233" s="32">
        <v>100.1</v>
      </c>
      <c r="AH233" s="32">
        <v>100.1</v>
      </c>
      <c r="AI233" s="32">
        <v>103.4</v>
      </c>
      <c r="AJ233" s="32">
        <v>106.3</v>
      </c>
      <c r="AK233" s="32">
        <v>93.3</v>
      </c>
      <c r="AL233" s="32">
        <v>99.7</v>
      </c>
      <c r="AM233" s="32">
        <v>89.4</v>
      </c>
      <c r="AN233" s="32">
        <v>108.9</v>
      </c>
      <c r="AO233" s="32">
        <v>102.5</v>
      </c>
      <c r="AP233" s="32">
        <v>102.5</v>
      </c>
      <c r="AQ233" s="32">
        <v>99</v>
      </c>
      <c r="AR233" s="32">
        <v>107.5</v>
      </c>
      <c r="AS233" s="32">
        <v>87.9</v>
      </c>
      <c r="AT233" s="32">
        <v>82.9</v>
      </c>
      <c r="AU233" s="32">
        <v>92.1</v>
      </c>
      <c r="AV233" s="32">
        <v>100</v>
      </c>
      <c r="AW233" s="32">
        <v>132.30000000000001</v>
      </c>
      <c r="AX233" s="32">
        <v>134.9</v>
      </c>
      <c r="AY233" s="32">
        <v>141.19999999999999</v>
      </c>
      <c r="AZ233" s="32">
        <v>93.8</v>
      </c>
      <c r="BA233" s="32">
        <v>87</v>
      </c>
      <c r="BB233" s="32">
        <v>87</v>
      </c>
      <c r="BC233" s="32">
        <v>80.400000000000006</v>
      </c>
      <c r="BD233" s="32">
        <v>80.400000000000006</v>
      </c>
      <c r="BE233" s="32">
        <v>96.3</v>
      </c>
      <c r="BF233" s="32">
        <v>96.3</v>
      </c>
      <c r="BG233" s="32">
        <v>98.4</v>
      </c>
      <c r="BH233" s="32">
        <v>118.3</v>
      </c>
      <c r="BI233" s="32">
        <v>76.2</v>
      </c>
      <c r="BJ233" s="32">
        <v>54.6</v>
      </c>
      <c r="BK233" s="32">
        <v>80.5</v>
      </c>
      <c r="BL233" s="32">
        <v>86.5</v>
      </c>
      <c r="BM233" s="32">
        <v>94.9</v>
      </c>
      <c r="BN233" s="32">
        <v>95.4</v>
      </c>
      <c r="BO233" s="32">
        <v>93.4</v>
      </c>
      <c r="BP233" s="32">
        <v>97.5</v>
      </c>
      <c r="BQ233" s="32">
        <v>94.5</v>
      </c>
      <c r="BR233" s="32">
        <v>57.9</v>
      </c>
      <c r="BS233" s="32">
        <v>115</v>
      </c>
      <c r="BT233" s="32">
        <v>94</v>
      </c>
      <c r="BU233" s="32">
        <v>94.1</v>
      </c>
      <c r="BV233" s="32">
        <v>94.1</v>
      </c>
      <c r="BW233" s="32">
        <v>107.7</v>
      </c>
      <c r="BX233" s="32">
        <v>63.3</v>
      </c>
      <c r="BY233" s="32">
        <v>97.3</v>
      </c>
      <c r="BZ233" s="32">
        <v>90.6</v>
      </c>
      <c r="CA233" s="32">
        <v>100.8</v>
      </c>
      <c r="CB233" s="32">
        <v>107.1</v>
      </c>
      <c r="CC233" s="32">
        <v>94.4</v>
      </c>
      <c r="CD233" s="32">
        <v>98.3</v>
      </c>
      <c r="CE233" s="32">
        <v>100.4</v>
      </c>
      <c r="CF233" s="32">
        <v>92.5</v>
      </c>
      <c r="CG233" s="32">
        <v>94.7</v>
      </c>
      <c r="CH233" s="32">
        <v>97.5</v>
      </c>
      <c r="CI233" s="32">
        <v>111.2</v>
      </c>
      <c r="CJ233" s="32">
        <v>95.4</v>
      </c>
      <c r="CK233" s="32">
        <v>95.4</v>
      </c>
      <c r="CL233" s="32">
        <v>90.5</v>
      </c>
      <c r="CM233" s="32">
        <v>98.7</v>
      </c>
      <c r="CN233" s="32">
        <v>117.4</v>
      </c>
      <c r="CO233" s="32">
        <v>95.5</v>
      </c>
      <c r="CP233" s="32">
        <v>108.5</v>
      </c>
      <c r="CQ233" s="32">
        <v>40.9</v>
      </c>
      <c r="CR233" s="32">
        <v>95.7</v>
      </c>
      <c r="CS233" s="32">
        <v>86.5</v>
      </c>
      <c r="CT233" s="32">
        <v>91.4</v>
      </c>
      <c r="CU233" s="32">
        <v>87.2</v>
      </c>
      <c r="CV233" s="32">
        <v>93.2</v>
      </c>
      <c r="CW233" s="32">
        <v>74.3</v>
      </c>
      <c r="CX233" s="32">
        <v>105.6</v>
      </c>
      <c r="CY233" s="32">
        <v>106.2</v>
      </c>
      <c r="CZ233" s="32">
        <v>105.4</v>
      </c>
      <c r="DA233" s="32">
        <v>99.4</v>
      </c>
      <c r="DB233" s="32">
        <v>116.7</v>
      </c>
      <c r="DC233" s="32">
        <v>45.5</v>
      </c>
      <c r="DD233" s="32">
        <v>45.5</v>
      </c>
      <c r="DE233" s="32">
        <v>85.1</v>
      </c>
      <c r="DF233" s="32">
        <v>83.6</v>
      </c>
      <c r="DG233" s="32">
        <v>94.5</v>
      </c>
      <c r="DH233" s="32">
        <v>94.1</v>
      </c>
      <c r="DI233" s="32">
        <v>113.2</v>
      </c>
      <c r="DJ233" s="32">
        <v>79.2</v>
      </c>
      <c r="DK233" s="32">
        <v>79.2</v>
      </c>
      <c r="DL233" s="32">
        <v>74.8</v>
      </c>
      <c r="DM233" s="32">
        <v>95.8</v>
      </c>
      <c r="DN233" s="32">
        <v>96.7</v>
      </c>
      <c r="DO233" s="32">
        <v>95</v>
      </c>
      <c r="DP233" s="32">
        <v>107.3</v>
      </c>
      <c r="DQ233" s="32">
        <v>93.2</v>
      </c>
      <c r="DR233" s="32">
        <v>94.2</v>
      </c>
      <c r="DS233" s="32">
        <v>94.7</v>
      </c>
      <c r="DT233" s="32">
        <v>92.1</v>
      </c>
      <c r="DU233" s="32">
        <v>93.1</v>
      </c>
      <c r="DV233" s="32">
        <v>96.3</v>
      </c>
      <c r="DW233" s="32">
        <v>89.3</v>
      </c>
      <c r="DX233" s="32">
        <v>90</v>
      </c>
      <c r="DY233" s="32">
        <v>103.4</v>
      </c>
      <c r="DZ233" s="32">
        <v>93.9</v>
      </c>
      <c r="EA233" s="32">
        <v>93.9</v>
      </c>
      <c r="EB233" s="32">
        <v>92.7</v>
      </c>
      <c r="EC233" s="32">
        <v>98.9</v>
      </c>
      <c r="ED233" s="32">
        <v>84.8</v>
      </c>
      <c r="EE233" s="32">
        <v>86.6</v>
      </c>
      <c r="EF233" s="32">
        <v>80.099999999999994</v>
      </c>
      <c r="EG233" s="32">
        <v>91.8</v>
      </c>
      <c r="EH233" s="32">
        <v>88.2</v>
      </c>
      <c r="EI233" s="32">
        <v>90.5</v>
      </c>
      <c r="EJ233" s="32">
        <v>99.8</v>
      </c>
      <c r="EK233" s="32">
        <v>92.8</v>
      </c>
      <c r="EL233" s="32">
        <v>93.7</v>
      </c>
      <c r="EM233" s="32">
        <v>76.2</v>
      </c>
      <c r="EN233" s="32">
        <v>103.3</v>
      </c>
      <c r="EO233" s="32">
        <v>93.9</v>
      </c>
      <c r="EP233" s="32">
        <v>92.2</v>
      </c>
      <c r="EQ233" s="32">
        <v>92.2</v>
      </c>
      <c r="ER233" s="32">
        <v>91.2</v>
      </c>
      <c r="ES233" s="32">
        <v>91.2</v>
      </c>
      <c r="ET233" s="32">
        <v>97.4</v>
      </c>
      <c r="EU233" s="32">
        <v>95.2</v>
      </c>
      <c r="EV233" s="32">
        <v>95.2</v>
      </c>
      <c r="EW233" s="32">
        <v>102.4</v>
      </c>
      <c r="EX233" s="32">
        <v>103.3</v>
      </c>
      <c r="EY233" s="32">
        <v>101.8</v>
      </c>
      <c r="EZ233" s="32">
        <v>93.1</v>
      </c>
      <c r="FA233" s="32">
        <v>96.2</v>
      </c>
      <c r="FB233" s="32">
        <v>100.3</v>
      </c>
      <c r="FC233" s="32">
        <v>93.2</v>
      </c>
      <c r="FD233" s="32">
        <v>106.8</v>
      </c>
      <c r="FE233" s="32">
        <v>108.8</v>
      </c>
      <c r="FF233" s="32">
        <v>91.2</v>
      </c>
      <c r="FG233" s="32">
        <v>91</v>
      </c>
      <c r="FH233" s="32">
        <v>87.9</v>
      </c>
      <c r="FI233" s="32">
        <v>120.7</v>
      </c>
      <c r="FJ233" s="32">
        <v>88.9</v>
      </c>
      <c r="FK233" s="32">
        <v>89.3</v>
      </c>
      <c r="FL233" s="32">
        <v>89.3</v>
      </c>
    </row>
    <row r="234" spans="1:168" x14ac:dyDescent="0.2">
      <c r="A234" s="34" t="s">
        <v>1214</v>
      </c>
      <c r="B234" s="32">
        <v>93.2</v>
      </c>
      <c r="C234" s="32">
        <v>91.7</v>
      </c>
      <c r="D234" s="32">
        <v>96.4</v>
      </c>
      <c r="E234" s="32">
        <v>95.3</v>
      </c>
      <c r="F234" s="32">
        <v>94.1</v>
      </c>
      <c r="G234" s="32">
        <v>727.4</v>
      </c>
      <c r="H234" s="32">
        <v>87.5</v>
      </c>
      <c r="I234" s="32">
        <v>112</v>
      </c>
      <c r="J234" s="32">
        <v>94.6</v>
      </c>
      <c r="K234" s="32">
        <v>89</v>
      </c>
      <c r="L234" s="32">
        <v>87.3</v>
      </c>
      <c r="M234" s="32">
        <v>85</v>
      </c>
      <c r="N234" s="32">
        <v>80.400000000000006</v>
      </c>
      <c r="O234" s="32">
        <v>53.8</v>
      </c>
      <c r="P234" s="32">
        <v>117.9</v>
      </c>
      <c r="Q234" s="32">
        <v>89.5</v>
      </c>
      <c r="R234" s="32">
        <v>86.6</v>
      </c>
      <c r="S234" s="32">
        <v>88.5</v>
      </c>
      <c r="T234" s="32">
        <v>122.4</v>
      </c>
      <c r="U234" s="32">
        <v>94.3</v>
      </c>
      <c r="V234" s="32">
        <v>96.2</v>
      </c>
      <c r="W234" s="32">
        <v>83</v>
      </c>
      <c r="X234" s="32">
        <v>72.8</v>
      </c>
      <c r="Y234" s="32">
        <v>101.1</v>
      </c>
      <c r="Z234" s="32">
        <v>84.5</v>
      </c>
      <c r="AA234" s="32">
        <v>91.2</v>
      </c>
      <c r="AB234" s="32">
        <v>93.4</v>
      </c>
      <c r="AC234" s="32">
        <v>81.3</v>
      </c>
      <c r="AD234" s="32">
        <v>98.5</v>
      </c>
      <c r="AE234" s="32">
        <v>163.5</v>
      </c>
      <c r="AF234" s="32">
        <v>163.5</v>
      </c>
      <c r="AG234" s="32">
        <v>93.9</v>
      </c>
      <c r="AH234" s="32">
        <v>93.9</v>
      </c>
      <c r="AI234" s="32">
        <v>99</v>
      </c>
      <c r="AJ234" s="32">
        <v>94</v>
      </c>
      <c r="AK234" s="32">
        <v>112.1</v>
      </c>
      <c r="AL234" s="32">
        <v>94.4</v>
      </c>
      <c r="AM234" s="32">
        <v>83.4</v>
      </c>
      <c r="AN234" s="32">
        <v>102.7</v>
      </c>
      <c r="AO234" s="32">
        <v>94.7</v>
      </c>
      <c r="AP234" s="32">
        <v>94.7</v>
      </c>
      <c r="AQ234" s="32">
        <v>100.6</v>
      </c>
      <c r="AR234" s="32">
        <v>105.3</v>
      </c>
      <c r="AS234" s="32">
        <v>94.4</v>
      </c>
      <c r="AT234" s="32">
        <v>85.3</v>
      </c>
      <c r="AU234" s="32">
        <v>102</v>
      </c>
      <c r="AV234" s="32">
        <v>105.6</v>
      </c>
      <c r="AW234" s="32">
        <v>134.9</v>
      </c>
      <c r="AX234" s="32">
        <v>133.19999999999999</v>
      </c>
      <c r="AY234" s="32">
        <v>149.4</v>
      </c>
      <c r="AZ234" s="32">
        <v>99.9</v>
      </c>
      <c r="BA234" s="32">
        <v>88.1</v>
      </c>
      <c r="BB234" s="32">
        <v>88.1</v>
      </c>
      <c r="BC234" s="32">
        <v>82</v>
      </c>
      <c r="BD234" s="32">
        <v>82</v>
      </c>
      <c r="BE234" s="32">
        <v>96.4</v>
      </c>
      <c r="BF234" s="32">
        <v>96.4</v>
      </c>
      <c r="BG234" s="32">
        <v>97.1</v>
      </c>
      <c r="BH234" s="32">
        <v>115.2</v>
      </c>
      <c r="BI234" s="32">
        <v>76.7</v>
      </c>
      <c r="BJ234" s="32">
        <v>56.3</v>
      </c>
      <c r="BK234" s="32">
        <v>80.7</v>
      </c>
      <c r="BL234" s="32">
        <v>84.9</v>
      </c>
      <c r="BM234" s="32">
        <v>93.3</v>
      </c>
      <c r="BN234" s="32">
        <v>96.1</v>
      </c>
      <c r="BO234" s="32">
        <v>91.7</v>
      </c>
      <c r="BP234" s="32">
        <v>100.5</v>
      </c>
      <c r="BQ234" s="32">
        <v>90.2</v>
      </c>
      <c r="BR234" s="32">
        <v>55.3</v>
      </c>
      <c r="BS234" s="32">
        <v>106.7</v>
      </c>
      <c r="BT234" s="32">
        <v>90.5</v>
      </c>
      <c r="BU234" s="32">
        <v>99.1</v>
      </c>
      <c r="BV234" s="32">
        <v>99.1</v>
      </c>
      <c r="BW234" s="32">
        <v>109.3</v>
      </c>
      <c r="BX234" s="32">
        <v>74.2</v>
      </c>
      <c r="BY234" s="32">
        <v>97.7</v>
      </c>
      <c r="BZ234" s="32">
        <v>93.1</v>
      </c>
      <c r="CA234" s="32">
        <v>100.1</v>
      </c>
      <c r="CB234" s="32">
        <v>105.4</v>
      </c>
      <c r="CC234" s="32">
        <v>94.5</v>
      </c>
      <c r="CD234" s="32">
        <v>101.3</v>
      </c>
      <c r="CE234" s="32">
        <v>99.1</v>
      </c>
      <c r="CF234" s="32">
        <v>92.5</v>
      </c>
      <c r="CG234" s="32">
        <v>94.9</v>
      </c>
      <c r="CH234" s="32">
        <v>97.4</v>
      </c>
      <c r="CI234" s="32">
        <v>107</v>
      </c>
      <c r="CJ234" s="32">
        <v>93.6</v>
      </c>
      <c r="CK234" s="32">
        <v>97.5</v>
      </c>
      <c r="CL234" s="32">
        <v>92.9</v>
      </c>
      <c r="CM234" s="32">
        <v>99.8</v>
      </c>
      <c r="CN234" s="32">
        <v>115.6</v>
      </c>
      <c r="CO234" s="32">
        <v>97</v>
      </c>
      <c r="CP234" s="32">
        <v>106.4</v>
      </c>
      <c r="CQ234" s="32">
        <v>42.9</v>
      </c>
      <c r="CR234" s="32">
        <v>96</v>
      </c>
      <c r="CS234" s="32">
        <v>97.9</v>
      </c>
      <c r="CT234" s="32">
        <v>89.4</v>
      </c>
      <c r="CU234" s="32">
        <v>84.4</v>
      </c>
      <c r="CV234" s="32">
        <v>91.5</v>
      </c>
      <c r="CW234" s="32">
        <v>74.7</v>
      </c>
      <c r="CX234" s="32">
        <v>107.6</v>
      </c>
      <c r="CY234" s="32">
        <v>109</v>
      </c>
      <c r="CZ234" s="32">
        <v>107</v>
      </c>
      <c r="DA234" s="32">
        <v>97.8</v>
      </c>
      <c r="DB234" s="32">
        <v>124.4</v>
      </c>
      <c r="DC234" s="32">
        <v>45.5</v>
      </c>
      <c r="DD234" s="32">
        <v>45.5</v>
      </c>
      <c r="DE234" s="32">
        <v>85.1</v>
      </c>
      <c r="DF234" s="32">
        <v>83.3</v>
      </c>
      <c r="DG234" s="32">
        <v>96.3</v>
      </c>
      <c r="DH234" s="32">
        <v>94.3</v>
      </c>
      <c r="DI234" s="32">
        <v>115.2</v>
      </c>
      <c r="DJ234" s="32">
        <v>78.5</v>
      </c>
      <c r="DK234" s="32">
        <v>78.5</v>
      </c>
      <c r="DL234" s="32">
        <v>72.5</v>
      </c>
      <c r="DM234" s="32">
        <v>96.2</v>
      </c>
      <c r="DN234" s="32">
        <v>97.3</v>
      </c>
      <c r="DO234" s="32">
        <v>95.4</v>
      </c>
      <c r="DP234" s="32">
        <v>103.9</v>
      </c>
      <c r="DQ234" s="32">
        <v>93.9</v>
      </c>
      <c r="DR234" s="32">
        <v>93.8</v>
      </c>
      <c r="DS234" s="32">
        <v>93</v>
      </c>
      <c r="DT234" s="32">
        <v>91.9</v>
      </c>
      <c r="DU234" s="32">
        <v>92.2</v>
      </c>
      <c r="DV234" s="32">
        <v>95.5</v>
      </c>
      <c r="DW234" s="32">
        <v>88.4</v>
      </c>
      <c r="DX234" s="32">
        <v>91.2</v>
      </c>
      <c r="DY234" s="32">
        <v>97</v>
      </c>
      <c r="DZ234" s="32">
        <v>99.5</v>
      </c>
      <c r="EA234" s="32">
        <v>99.5</v>
      </c>
      <c r="EB234" s="32">
        <v>94.1</v>
      </c>
      <c r="EC234" s="32">
        <v>97.4</v>
      </c>
      <c r="ED234" s="32">
        <v>90.1</v>
      </c>
      <c r="EE234" s="32">
        <v>93.3</v>
      </c>
      <c r="EF234" s="32">
        <v>81.7</v>
      </c>
      <c r="EG234" s="32">
        <v>94.1</v>
      </c>
      <c r="EH234" s="32">
        <v>86</v>
      </c>
      <c r="EI234" s="32">
        <v>92.5</v>
      </c>
      <c r="EJ234" s="32">
        <v>97.3</v>
      </c>
      <c r="EK234" s="32">
        <v>99</v>
      </c>
      <c r="EL234" s="32">
        <v>89.3</v>
      </c>
      <c r="EM234" s="32">
        <v>84</v>
      </c>
      <c r="EN234" s="32">
        <v>110.5</v>
      </c>
      <c r="EO234" s="32">
        <v>93.5</v>
      </c>
      <c r="EP234" s="32">
        <v>92.3</v>
      </c>
      <c r="EQ234" s="32">
        <v>92.3</v>
      </c>
      <c r="ER234" s="32">
        <v>90.3</v>
      </c>
      <c r="ES234" s="32">
        <v>90.3</v>
      </c>
      <c r="ET234" s="32">
        <v>96.9</v>
      </c>
      <c r="EU234" s="32">
        <v>94</v>
      </c>
      <c r="EV234" s="32">
        <v>94</v>
      </c>
      <c r="EW234" s="32">
        <v>103.5</v>
      </c>
      <c r="EX234" s="32">
        <v>104.5</v>
      </c>
      <c r="EY234" s="32">
        <v>102.7</v>
      </c>
      <c r="EZ234" s="32">
        <v>89.7</v>
      </c>
      <c r="FA234" s="32">
        <v>90</v>
      </c>
      <c r="FB234" s="32">
        <v>91.5</v>
      </c>
      <c r="FC234" s="32">
        <v>81.599999999999994</v>
      </c>
      <c r="FD234" s="32">
        <v>103.9</v>
      </c>
      <c r="FE234" s="32">
        <v>101.7</v>
      </c>
      <c r="FF234" s="32">
        <v>88.1</v>
      </c>
      <c r="FG234" s="32">
        <v>90</v>
      </c>
      <c r="FH234" s="32">
        <v>84.8</v>
      </c>
      <c r="FI234" s="32">
        <v>108.6</v>
      </c>
      <c r="FJ234" s="32">
        <v>90</v>
      </c>
      <c r="FK234" s="32">
        <v>85</v>
      </c>
      <c r="FL234" s="32">
        <v>85</v>
      </c>
    </row>
    <row r="235" spans="1:168" x14ac:dyDescent="0.2">
      <c r="A235" s="34" t="s">
        <v>1215</v>
      </c>
      <c r="B235" s="32">
        <v>93.5</v>
      </c>
      <c r="C235" s="32">
        <v>89.3</v>
      </c>
      <c r="D235" s="32">
        <v>95.7</v>
      </c>
      <c r="E235" s="32">
        <v>94.8</v>
      </c>
      <c r="F235" s="32">
        <v>96.8</v>
      </c>
      <c r="G235" s="32">
        <v>645.79999999999995</v>
      </c>
      <c r="H235" s="32">
        <v>92.3</v>
      </c>
      <c r="I235" s="32">
        <v>107.3</v>
      </c>
      <c r="J235" s="32">
        <v>93.7</v>
      </c>
      <c r="K235" s="32">
        <v>90.2</v>
      </c>
      <c r="L235" s="32">
        <v>89.5</v>
      </c>
      <c r="M235" s="32">
        <v>88.8</v>
      </c>
      <c r="N235" s="32">
        <v>77.8</v>
      </c>
      <c r="O235" s="32">
        <v>47.3</v>
      </c>
      <c r="P235" s="32">
        <v>122</v>
      </c>
      <c r="Q235" s="32">
        <v>90.3</v>
      </c>
      <c r="R235" s="32">
        <v>90.1</v>
      </c>
      <c r="S235" s="32">
        <v>90.6</v>
      </c>
      <c r="T235" s="32">
        <v>125.1</v>
      </c>
      <c r="U235" s="32">
        <v>88.6</v>
      </c>
      <c r="V235" s="32">
        <v>94.2</v>
      </c>
      <c r="W235" s="32">
        <v>75.599999999999994</v>
      </c>
      <c r="X235" s="32">
        <v>67.400000000000006</v>
      </c>
      <c r="Y235" s="32">
        <v>89.6</v>
      </c>
      <c r="Z235" s="32">
        <v>80.5</v>
      </c>
      <c r="AA235" s="32">
        <v>91.9</v>
      </c>
      <c r="AB235" s="32">
        <v>94.6</v>
      </c>
      <c r="AC235" s="32">
        <v>82.1</v>
      </c>
      <c r="AD235" s="32">
        <v>98.8</v>
      </c>
      <c r="AE235" s="32">
        <v>160.1</v>
      </c>
      <c r="AF235" s="32">
        <v>160.1</v>
      </c>
      <c r="AG235" s="32">
        <v>88.8</v>
      </c>
      <c r="AH235" s="32">
        <v>88.8</v>
      </c>
      <c r="AI235" s="32">
        <v>93.3</v>
      </c>
      <c r="AJ235" s="32">
        <v>86.3</v>
      </c>
      <c r="AK235" s="32">
        <v>104.1</v>
      </c>
      <c r="AL235" s="32">
        <v>94.3</v>
      </c>
      <c r="AM235" s="32">
        <v>81</v>
      </c>
      <c r="AN235" s="32">
        <v>94.7</v>
      </c>
      <c r="AO235" s="32">
        <v>98.7</v>
      </c>
      <c r="AP235" s="32">
        <v>98.7</v>
      </c>
      <c r="AQ235" s="32">
        <v>98.7</v>
      </c>
      <c r="AR235" s="32">
        <v>102.1</v>
      </c>
      <c r="AS235" s="32">
        <v>94.3</v>
      </c>
      <c r="AT235" s="32">
        <v>89.1</v>
      </c>
      <c r="AU235" s="32">
        <v>98.6</v>
      </c>
      <c r="AV235" s="32">
        <v>103.5</v>
      </c>
      <c r="AW235" s="32">
        <v>133.69999999999999</v>
      </c>
      <c r="AX235" s="32">
        <v>135.1</v>
      </c>
      <c r="AY235" s="32">
        <v>143.80000000000001</v>
      </c>
      <c r="AZ235" s="32">
        <v>97.7</v>
      </c>
      <c r="BA235" s="32">
        <v>86.9</v>
      </c>
      <c r="BB235" s="32">
        <v>86.9</v>
      </c>
      <c r="BC235" s="32">
        <v>82.1</v>
      </c>
      <c r="BD235" s="32">
        <v>82.1</v>
      </c>
      <c r="BE235" s="32">
        <v>96.1</v>
      </c>
      <c r="BF235" s="32">
        <v>96.1</v>
      </c>
      <c r="BG235" s="32">
        <v>95.4</v>
      </c>
      <c r="BH235" s="32">
        <v>110.3</v>
      </c>
      <c r="BI235" s="32">
        <v>78</v>
      </c>
      <c r="BJ235" s="32">
        <v>57.4</v>
      </c>
      <c r="BK235" s="32">
        <v>82.2</v>
      </c>
      <c r="BL235" s="32">
        <v>84.8</v>
      </c>
      <c r="BM235" s="32">
        <v>91.9</v>
      </c>
      <c r="BN235" s="32">
        <v>95.5</v>
      </c>
      <c r="BO235" s="32">
        <v>93.6</v>
      </c>
      <c r="BP235" s="32">
        <v>97.5</v>
      </c>
      <c r="BQ235" s="32">
        <v>87.9</v>
      </c>
      <c r="BR235" s="32">
        <v>45.9</v>
      </c>
      <c r="BS235" s="32">
        <v>94.7</v>
      </c>
      <c r="BT235" s="32">
        <v>92.2</v>
      </c>
      <c r="BU235" s="32">
        <v>100.4</v>
      </c>
      <c r="BV235" s="32">
        <v>100.4</v>
      </c>
      <c r="BW235" s="32">
        <v>110.2</v>
      </c>
      <c r="BX235" s="32">
        <v>76</v>
      </c>
      <c r="BY235" s="32">
        <v>96.8</v>
      </c>
      <c r="BZ235" s="32">
        <v>93.2</v>
      </c>
      <c r="CA235" s="32">
        <v>98.6</v>
      </c>
      <c r="CB235" s="32">
        <v>101.2</v>
      </c>
      <c r="CC235" s="32">
        <v>95.7</v>
      </c>
      <c r="CD235" s="32">
        <v>102.4</v>
      </c>
      <c r="CE235" s="32">
        <v>98</v>
      </c>
      <c r="CF235" s="32">
        <v>93</v>
      </c>
      <c r="CG235" s="32">
        <v>95.6</v>
      </c>
      <c r="CH235" s="32">
        <v>97.4</v>
      </c>
      <c r="CI235" s="32">
        <v>106.8</v>
      </c>
      <c r="CJ235" s="32">
        <v>95.5</v>
      </c>
      <c r="CK235" s="32">
        <v>96.3</v>
      </c>
      <c r="CL235" s="32">
        <v>92.9</v>
      </c>
      <c r="CM235" s="32">
        <v>101</v>
      </c>
      <c r="CN235" s="32">
        <v>116.9</v>
      </c>
      <c r="CO235" s="32">
        <v>98.2</v>
      </c>
      <c r="CP235" s="32">
        <v>105.7</v>
      </c>
      <c r="CQ235" s="32">
        <v>46.4</v>
      </c>
      <c r="CR235" s="32">
        <v>95.5</v>
      </c>
      <c r="CS235" s="32">
        <v>92.9</v>
      </c>
      <c r="CT235" s="32">
        <v>93.5</v>
      </c>
      <c r="CU235" s="32">
        <v>89.6</v>
      </c>
      <c r="CV235" s="32">
        <v>95.2</v>
      </c>
      <c r="CW235" s="32">
        <v>76</v>
      </c>
      <c r="CX235" s="32">
        <v>109.4</v>
      </c>
      <c r="CY235" s="32">
        <v>104.9</v>
      </c>
      <c r="CZ235" s="32">
        <v>112.2</v>
      </c>
      <c r="DA235" s="32">
        <v>100.9</v>
      </c>
      <c r="DB235" s="32">
        <v>133.19999999999999</v>
      </c>
      <c r="DC235" s="32">
        <v>44.8</v>
      </c>
      <c r="DD235" s="32">
        <v>44.8</v>
      </c>
      <c r="DE235" s="32">
        <v>88.8</v>
      </c>
      <c r="DF235" s="32">
        <v>86.6</v>
      </c>
      <c r="DG235" s="32">
        <v>102.4</v>
      </c>
      <c r="DH235" s="32">
        <v>95</v>
      </c>
      <c r="DI235" s="32">
        <v>116.9</v>
      </c>
      <c r="DJ235" s="32">
        <v>78.2</v>
      </c>
      <c r="DK235" s="32">
        <v>78.2</v>
      </c>
      <c r="DL235" s="32">
        <v>72.400000000000006</v>
      </c>
      <c r="DM235" s="32">
        <v>96.1</v>
      </c>
      <c r="DN235" s="32">
        <v>96.8</v>
      </c>
      <c r="DO235" s="32">
        <v>95.7</v>
      </c>
      <c r="DP235" s="32">
        <v>100.5</v>
      </c>
      <c r="DQ235" s="32">
        <v>94.3</v>
      </c>
      <c r="DR235" s="32">
        <v>93.9</v>
      </c>
      <c r="DS235" s="32">
        <v>94.6</v>
      </c>
      <c r="DT235" s="32">
        <v>93.5</v>
      </c>
      <c r="DU235" s="32">
        <v>95.4</v>
      </c>
      <c r="DV235" s="32">
        <v>95.6</v>
      </c>
      <c r="DW235" s="32">
        <v>95</v>
      </c>
      <c r="DX235" s="32">
        <v>89.4</v>
      </c>
      <c r="DY235" s="32">
        <v>98.4</v>
      </c>
      <c r="DZ235" s="32">
        <v>103.9</v>
      </c>
      <c r="EA235" s="32">
        <v>103.9</v>
      </c>
      <c r="EB235" s="32">
        <v>88.1</v>
      </c>
      <c r="EC235" s="32">
        <v>91</v>
      </c>
      <c r="ED235" s="32">
        <v>84.7</v>
      </c>
      <c r="EE235" s="32">
        <v>86.3</v>
      </c>
      <c r="EF235" s="32">
        <v>80.5</v>
      </c>
      <c r="EG235" s="32">
        <v>94.9</v>
      </c>
      <c r="EH235" s="32">
        <v>91.9</v>
      </c>
      <c r="EI235" s="32">
        <v>89.3</v>
      </c>
      <c r="EJ235" s="32">
        <v>103.2</v>
      </c>
      <c r="EK235" s="32">
        <v>98.7</v>
      </c>
      <c r="EL235" s="32">
        <v>84.6</v>
      </c>
      <c r="EM235" s="32">
        <v>81.8</v>
      </c>
      <c r="EN235" s="32">
        <v>112.4</v>
      </c>
      <c r="EO235" s="32">
        <v>94</v>
      </c>
      <c r="EP235" s="32">
        <v>92.7</v>
      </c>
      <c r="EQ235" s="32">
        <v>92.7</v>
      </c>
      <c r="ER235" s="32">
        <v>90.7</v>
      </c>
      <c r="ES235" s="32">
        <v>90.7</v>
      </c>
      <c r="ET235" s="32">
        <v>97.6</v>
      </c>
      <c r="EU235" s="32">
        <v>94.7</v>
      </c>
      <c r="EV235" s="32">
        <v>94.7</v>
      </c>
      <c r="EW235" s="32">
        <v>104.4</v>
      </c>
      <c r="EX235" s="32">
        <v>105.8</v>
      </c>
      <c r="EY235" s="32">
        <v>103.3</v>
      </c>
      <c r="EZ235" s="32">
        <v>90.1</v>
      </c>
      <c r="FA235" s="32">
        <v>92.2</v>
      </c>
      <c r="FB235" s="32">
        <v>89.7</v>
      </c>
      <c r="FC235" s="32">
        <v>83.9</v>
      </c>
      <c r="FD235" s="32">
        <v>99.7</v>
      </c>
      <c r="FE235" s="32">
        <v>94.5</v>
      </c>
      <c r="FF235" s="32">
        <v>95.3</v>
      </c>
      <c r="FG235" s="32">
        <v>89.5</v>
      </c>
      <c r="FH235" s="32">
        <v>83.1</v>
      </c>
      <c r="FI235" s="32">
        <v>116.1</v>
      </c>
      <c r="FJ235" s="32">
        <v>89.1</v>
      </c>
      <c r="FK235" s="32">
        <v>81.099999999999994</v>
      </c>
      <c r="FL235" s="32">
        <v>81.099999999999994</v>
      </c>
    </row>
    <row r="236" spans="1:168" x14ac:dyDescent="0.2">
      <c r="A236" s="34" t="s">
        <v>1216</v>
      </c>
      <c r="B236" s="32">
        <v>93.7</v>
      </c>
      <c r="C236" s="32">
        <v>88.7</v>
      </c>
      <c r="D236" s="32">
        <v>95.5</v>
      </c>
      <c r="E236" s="32">
        <v>94.8</v>
      </c>
      <c r="F236" s="32">
        <v>96.2</v>
      </c>
      <c r="G236" s="32">
        <v>707.2</v>
      </c>
      <c r="H236" s="32">
        <v>92.6</v>
      </c>
      <c r="I236" s="32">
        <v>103.7</v>
      </c>
      <c r="J236" s="32">
        <v>93.5</v>
      </c>
      <c r="K236" s="32">
        <v>89.9</v>
      </c>
      <c r="L236" s="32">
        <v>89.1</v>
      </c>
      <c r="M236" s="32">
        <v>90.9</v>
      </c>
      <c r="N236" s="32">
        <v>83.1</v>
      </c>
      <c r="O236" s="32">
        <v>41.9</v>
      </c>
      <c r="P236" s="32">
        <v>125.1</v>
      </c>
      <c r="Q236" s="32">
        <v>86.7</v>
      </c>
      <c r="R236" s="32">
        <v>87.2</v>
      </c>
      <c r="S236" s="32">
        <v>86.7</v>
      </c>
      <c r="T236" s="32">
        <v>117.8</v>
      </c>
      <c r="U236" s="32">
        <v>94.7</v>
      </c>
      <c r="V236" s="32">
        <v>92.9</v>
      </c>
      <c r="W236" s="32">
        <v>71.8</v>
      </c>
      <c r="X236" s="32">
        <v>68.099999999999994</v>
      </c>
      <c r="Y236" s="32">
        <v>75.900000000000006</v>
      </c>
      <c r="Z236" s="32">
        <v>82.2</v>
      </c>
      <c r="AA236" s="32">
        <v>90.9</v>
      </c>
      <c r="AB236" s="32">
        <v>90.6</v>
      </c>
      <c r="AC236" s="32">
        <v>83.7</v>
      </c>
      <c r="AD236" s="32">
        <v>97.7</v>
      </c>
      <c r="AE236" s="32">
        <v>144.6</v>
      </c>
      <c r="AF236" s="32">
        <v>144.6</v>
      </c>
      <c r="AG236" s="32">
        <v>85.7</v>
      </c>
      <c r="AH236" s="32">
        <v>85.7</v>
      </c>
      <c r="AI236" s="32">
        <v>91.9</v>
      </c>
      <c r="AJ236" s="32">
        <v>80.099999999999994</v>
      </c>
      <c r="AK236" s="32">
        <v>101.6</v>
      </c>
      <c r="AL236" s="32">
        <v>87.1</v>
      </c>
      <c r="AM236" s="32">
        <v>78.3</v>
      </c>
      <c r="AN236" s="32">
        <v>97.8</v>
      </c>
      <c r="AO236" s="32">
        <v>100.9</v>
      </c>
      <c r="AP236" s="32">
        <v>100.9</v>
      </c>
      <c r="AQ236" s="32">
        <v>96.8</v>
      </c>
      <c r="AR236" s="32">
        <v>99.3</v>
      </c>
      <c r="AS236" s="32">
        <v>93.6</v>
      </c>
      <c r="AT236" s="32">
        <v>85.3</v>
      </c>
      <c r="AU236" s="32">
        <v>100.4</v>
      </c>
      <c r="AV236" s="32">
        <v>105.4</v>
      </c>
      <c r="AW236" s="32">
        <v>140.5</v>
      </c>
      <c r="AX236" s="32">
        <v>147.6</v>
      </c>
      <c r="AY236" s="32">
        <v>144</v>
      </c>
      <c r="AZ236" s="32">
        <v>98.6</v>
      </c>
      <c r="BA236" s="32">
        <v>86.1</v>
      </c>
      <c r="BB236" s="32">
        <v>86.1</v>
      </c>
      <c r="BC236" s="32">
        <v>80.900000000000006</v>
      </c>
      <c r="BD236" s="32">
        <v>80.900000000000006</v>
      </c>
      <c r="BE236" s="32">
        <v>94.8</v>
      </c>
      <c r="BF236" s="32">
        <v>94.8</v>
      </c>
      <c r="BG236" s="32">
        <v>97.3</v>
      </c>
      <c r="BH236" s="32">
        <v>112.1</v>
      </c>
      <c r="BI236" s="32">
        <v>80</v>
      </c>
      <c r="BJ236" s="32">
        <v>57.9</v>
      </c>
      <c r="BK236" s="32">
        <v>84.1</v>
      </c>
      <c r="BL236" s="32">
        <v>93.2</v>
      </c>
      <c r="BM236" s="32">
        <v>94</v>
      </c>
      <c r="BN236" s="32">
        <v>92</v>
      </c>
      <c r="BO236" s="32">
        <v>93.9</v>
      </c>
      <c r="BP236" s="32">
        <v>90.5</v>
      </c>
      <c r="BQ236" s="32">
        <v>96.4</v>
      </c>
      <c r="BR236" s="32">
        <v>52.9</v>
      </c>
      <c r="BS236" s="32">
        <v>109.4</v>
      </c>
      <c r="BT236" s="32">
        <v>99.1</v>
      </c>
      <c r="BU236" s="32">
        <v>102.7</v>
      </c>
      <c r="BV236" s="32">
        <v>102.7</v>
      </c>
      <c r="BW236" s="32">
        <v>110.6</v>
      </c>
      <c r="BX236" s="32">
        <v>81.8</v>
      </c>
      <c r="BY236" s="32">
        <v>96.9</v>
      </c>
      <c r="BZ236" s="32">
        <v>94.3</v>
      </c>
      <c r="CA236" s="32">
        <v>98.2</v>
      </c>
      <c r="CB236" s="32">
        <v>101.7</v>
      </c>
      <c r="CC236" s="32">
        <v>94.5</v>
      </c>
      <c r="CD236" s="32">
        <v>99.2</v>
      </c>
      <c r="CE236" s="32">
        <v>97.1</v>
      </c>
      <c r="CF236" s="32">
        <v>93.3</v>
      </c>
      <c r="CG236" s="32">
        <v>96</v>
      </c>
      <c r="CH236" s="32">
        <v>98.4</v>
      </c>
      <c r="CI236" s="32">
        <v>110.2</v>
      </c>
      <c r="CJ236" s="32">
        <v>97.2</v>
      </c>
      <c r="CK236" s="32">
        <v>96.3</v>
      </c>
      <c r="CL236" s="32">
        <v>92.1</v>
      </c>
      <c r="CM236" s="32">
        <v>100.1</v>
      </c>
      <c r="CN236" s="32">
        <v>117.8</v>
      </c>
      <c r="CO236" s="32">
        <v>97</v>
      </c>
      <c r="CP236" s="32">
        <v>104.6</v>
      </c>
      <c r="CQ236" s="32">
        <v>46.5</v>
      </c>
      <c r="CR236" s="32">
        <v>95.4</v>
      </c>
      <c r="CS236" s="32">
        <v>90.5</v>
      </c>
      <c r="CT236" s="32">
        <v>93.6</v>
      </c>
      <c r="CU236" s="32">
        <v>91.6</v>
      </c>
      <c r="CV236" s="32">
        <v>94.5</v>
      </c>
      <c r="CW236" s="32">
        <v>77.2</v>
      </c>
      <c r="CX236" s="32">
        <v>110.7</v>
      </c>
      <c r="CY236" s="32">
        <v>107.4</v>
      </c>
      <c r="CZ236" s="32">
        <v>112.8</v>
      </c>
      <c r="DA236" s="32">
        <v>102.4</v>
      </c>
      <c r="DB236" s="32">
        <v>132.19999999999999</v>
      </c>
      <c r="DC236" s="32">
        <v>46.8</v>
      </c>
      <c r="DD236" s="32">
        <v>46.8</v>
      </c>
      <c r="DE236" s="32">
        <v>88.8</v>
      </c>
      <c r="DF236" s="32">
        <v>87.5</v>
      </c>
      <c r="DG236" s="32">
        <v>97.1</v>
      </c>
      <c r="DH236" s="32">
        <v>95.1</v>
      </c>
      <c r="DI236" s="32">
        <v>117</v>
      </c>
      <c r="DJ236" s="32">
        <v>78.599999999999994</v>
      </c>
      <c r="DK236" s="32">
        <v>78.599999999999994</v>
      </c>
      <c r="DL236" s="32">
        <v>72.3</v>
      </c>
      <c r="DM236" s="32">
        <v>96.3</v>
      </c>
      <c r="DN236" s="32">
        <v>96.6</v>
      </c>
      <c r="DO236" s="32">
        <v>95.8</v>
      </c>
      <c r="DP236" s="32">
        <v>105.5</v>
      </c>
      <c r="DQ236" s="32">
        <v>94.5</v>
      </c>
      <c r="DR236" s="32">
        <v>94.3</v>
      </c>
      <c r="DS236" s="32">
        <v>96</v>
      </c>
      <c r="DT236" s="32">
        <v>94</v>
      </c>
      <c r="DU236" s="32">
        <v>95.9</v>
      </c>
      <c r="DV236" s="32">
        <v>93.7</v>
      </c>
      <c r="DW236" s="32">
        <v>98.5</v>
      </c>
      <c r="DX236" s="32">
        <v>90</v>
      </c>
      <c r="DY236" s="32">
        <v>102.5</v>
      </c>
      <c r="DZ236" s="32">
        <v>93.2</v>
      </c>
      <c r="EA236" s="32">
        <v>93.2</v>
      </c>
      <c r="EB236" s="32">
        <v>89.9</v>
      </c>
      <c r="EC236" s="32">
        <v>94</v>
      </c>
      <c r="ED236" s="32">
        <v>84.8</v>
      </c>
      <c r="EE236" s="32">
        <v>85.7</v>
      </c>
      <c r="EF236" s="32">
        <v>82.4</v>
      </c>
      <c r="EG236" s="32">
        <v>94.7</v>
      </c>
      <c r="EH236" s="32">
        <v>90.4</v>
      </c>
      <c r="EI236" s="32">
        <v>89.2</v>
      </c>
      <c r="EJ236" s="32">
        <v>103.3</v>
      </c>
      <c r="EK236" s="32">
        <v>99.3</v>
      </c>
      <c r="EL236" s="32">
        <v>84.3</v>
      </c>
      <c r="EM236" s="32">
        <v>84.3</v>
      </c>
      <c r="EN236" s="32">
        <v>111.7</v>
      </c>
      <c r="EO236" s="32">
        <v>93.9</v>
      </c>
      <c r="EP236" s="32">
        <v>93</v>
      </c>
      <c r="EQ236" s="32">
        <v>93</v>
      </c>
      <c r="ER236" s="32">
        <v>90.7</v>
      </c>
      <c r="ES236" s="32">
        <v>90.7</v>
      </c>
      <c r="ET236" s="32">
        <v>97.1</v>
      </c>
      <c r="EU236" s="32">
        <v>93.8</v>
      </c>
      <c r="EV236" s="32">
        <v>93.8</v>
      </c>
      <c r="EW236" s="32">
        <v>104.9</v>
      </c>
      <c r="EX236" s="32">
        <v>107</v>
      </c>
      <c r="EY236" s="32">
        <v>103.2</v>
      </c>
      <c r="EZ236" s="32">
        <v>91.1</v>
      </c>
      <c r="FA236" s="32">
        <v>93.6</v>
      </c>
      <c r="FB236" s="32">
        <v>89.8</v>
      </c>
      <c r="FC236" s="32">
        <v>86.3</v>
      </c>
      <c r="FD236" s="32">
        <v>106.9</v>
      </c>
      <c r="FE236" s="32">
        <v>87.9</v>
      </c>
      <c r="FF236" s="32">
        <v>98.2</v>
      </c>
      <c r="FG236" s="32">
        <v>90.1</v>
      </c>
      <c r="FH236" s="32">
        <v>82.7</v>
      </c>
      <c r="FI236" s="32">
        <v>127.3</v>
      </c>
      <c r="FJ236" s="32">
        <v>88.9</v>
      </c>
      <c r="FK236" s="32">
        <v>82.3</v>
      </c>
      <c r="FL236" s="32">
        <v>82.3</v>
      </c>
    </row>
    <row r="237" spans="1:168" x14ac:dyDescent="0.2">
      <c r="A237" s="34" t="s">
        <v>1217</v>
      </c>
      <c r="B237" s="32">
        <v>94.2</v>
      </c>
      <c r="C237" s="32">
        <v>89</v>
      </c>
      <c r="D237" s="32">
        <v>97.5</v>
      </c>
      <c r="E237" s="32">
        <v>97.3</v>
      </c>
      <c r="F237" s="32">
        <v>98</v>
      </c>
      <c r="G237" s="32">
        <v>721.5</v>
      </c>
      <c r="H237" s="32">
        <v>94.9</v>
      </c>
      <c r="I237" s="32">
        <v>104</v>
      </c>
      <c r="J237" s="32">
        <v>95.9</v>
      </c>
      <c r="K237" s="32">
        <v>91.7</v>
      </c>
      <c r="L237" s="32">
        <v>91</v>
      </c>
      <c r="M237" s="32">
        <v>91.8</v>
      </c>
      <c r="N237" s="32">
        <v>85.7</v>
      </c>
      <c r="O237" s="32">
        <v>36.1</v>
      </c>
      <c r="P237" s="32">
        <v>124.9</v>
      </c>
      <c r="Q237" s="32">
        <v>84.5</v>
      </c>
      <c r="R237" s="32">
        <v>86.6</v>
      </c>
      <c r="S237" s="32">
        <v>92.2</v>
      </c>
      <c r="T237" s="32">
        <v>121.3</v>
      </c>
      <c r="U237" s="32">
        <v>94.3</v>
      </c>
      <c r="V237" s="32">
        <v>94.2</v>
      </c>
      <c r="W237" s="32">
        <v>76.2</v>
      </c>
      <c r="X237" s="32">
        <v>72.099999999999994</v>
      </c>
      <c r="Y237" s="32">
        <v>81.5</v>
      </c>
      <c r="Z237" s="32">
        <v>86.9</v>
      </c>
      <c r="AA237" s="32">
        <v>93.4</v>
      </c>
      <c r="AB237" s="32">
        <v>98.7</v>
      </c>
      <c r="AC237" s="32">
        <v>83.7</v>
      </c>
      <c r="AD237" s="32">
        <v>98.3</v>
      </c>
      <c r="AE237" s="32">
        <v>144.5</v>
      </c>
      <c r="AF237" s="32">
        <v>144.5</v>
      </c>
      <c r="AG237" s="32">
        <v>86.4</v>
      </c>
      <c r="AH237" s="32">
        <v>86.4</v>
      </c>
      <c r="AI237" s="32">
        <v>88.6</v>
      </c>
      <c r="AJ237" s="32">
        <v>74.599999999999994</v>
      </c>
      <c r="AK237" s="32">
        <v>96</v>
      </c>
      <c r="AL237" s="32">
        <v>92.1</v>
      </c>
      <c r="AM237" s="32">
        <v>81.7</v>
      </c>
      <c r="AN237" s="32">
        <v>104.2</v>
      </c>
      <c r="AO237" s="32">
        <v>103.4</v>
      </c>
      <c r="AP237" s="32">
        <v>103.4</v>
      </c>
      <c r="AQ237" s="32">
        <v>98.4</v>
      </c>
      <c r="AR237" s="32">
        <v>100.8</v>
      </c>
      <c r="AS237" s="32">
        <v>95.3</v>
      </c>
      <c r="AT237" s="32">
        <v>89.9</v>
      </c>
      <c r="AU237" s="32">
        <v>99.7</v>
      </c>
      <c r="AV237" s="32">
        <v>106.8</v>
      </c>
      <c r="AW237" s="32">
        <v>146.30000000000001</v>
      </c>
      <c r="AX237" s="32">
        <v>153.9</v>
      </c>
      <c r="AY237" s="32">
        <v>149.4</v>
      </c>
      <c r="AZ237" s="32">
        <v>99.1</v>
      </c>
      <c r="BA237" s="32">
        <v>94.8</v>
      </c>
      <c r="BB237" s="32">
        <v>94.8</v>
      </c>
      <c r="BC237" s="32">
        <v>80.099999999999994</v>
      </c>
      <c r="BD237" s="32">
        <v>80.099999999999994</v>
      </c>
      <c r="BE237" s="32">
        <v>96.9</v>
      </c>
      <c r="BF237" s="32">
        <v>96.9</v>
      </c>
      <c r="BG237" s="32">
        <v>101.5</v>
      </c>
      <c r="BH237" s="32">
        <v>119.9</v>
      </c>
      <c r="BI237" s="32">
        <v>80.7</v>
      </c>
      <c r="BJ237" s="32">
        <v>57.7</v>
      </c>
      <c r="BK237" s="32">
        <v>86</v>
      </c>
      <c r="BL237" s="32">
        <v>83.4</v>
      </c>
      <c r="BM237" s="32">
        <v>93.4</v>
      </c>
      <c r="BN237" s="32">
        <v>93.4</v>
      </c>
      <c r="BO237" s="32">
        <v>95.6</v>
      </c>
      <c r="BP237" s="32">
        <v>91.7</v>
      </c>
      <c r="BQ237" s="32">
        <v>93.4</v>
      </c>
      <c r="BR237" s="32">
        <v>50.6</v>
      </c>
      <c r="BS237" s="32">
        <v>108.1</v>
      </c>
      <c r="BT237" s="32">
        <v>95.5</v>
      </c>
      <c r="BU237" s="32">
        <v>107.5</v>
      </c>
      <c r="BV237" s="32">
        <v>107.5</v>
      </c>
      <c r="BW237" s="32">
        <v>112.7</v>
      </c>
      <c r="BX237" s="32">
        <v>91.4</v>
      </c>
      <c r="BY237" s="32">
        <v>97.9</v>
      </c>
      <c r="BZ237" s="32">
        <v>92.9</v>
      </c>
      <c r="CA237" s="32">
        <v>100.4</v>
      </c>
      <c r="CB237" s="32">
        <v>105.6</v>
      </c>
      <c r="CC237" s="32">
        <v>95.1</v>
      </c>
      <c r="CD237" s="32">
        <v>98</v>
      </c>
      <c r="CE237" s="32">
        <v>97.8</v>
      </c>
      <c r="CF237" s="32">
        <v>93.5</v>
      </c>
      <c r="CG237" s="32">
        <v>96</v>
      </c>
      <c r="CH237" s="32">
        <v>97.9</v>
      </c>
      <c r="CI237" s="32">
        <v>107.5</v>
      </c>
      <c r="CJ237" s="32">
        <v>96.9</v>
      </c>
      <c r="CK237" s="32">
        <v>96.2</v>
      </c>
      <c r="CL237" s="32">
        <v>93.6</v>
      </c>
      <c r="CM237" s="32">
        <v>100.9</v>
      </c>
      <c r="CN237" s="32">
        <v>117.8</v>
      </c>
      <c r="CO237" s="32">
        <v>97.9</v>
      </c>
      <c r="CP237" s="32">
        <v>103</v>
      </c>
      <c r="CQ237" s="32">
        <v>48.6</v>
      </c>
      <c r="CR237" s="32">
        <v>97.2</v>
      </c>
      <c r="CS237" s="32">
        <v>93.6</v>
      </c>
      <c r="CT237" s="32">
        <v>93</v>
      </c>
      <c r="CU237" s="32">
        <v>92.1</v>
      </c>
      <c r="CV237" s="32">
        <v>93.4</v>
      </c>
      <c r="CW237" s="32">
        <v>77</v>
      </c>
      <c r="CX237" s="32">
        <v>105.8</v>
      </c>
      <c r="CY237" s="32">
        <v>107.2</v>
      </c>
      <c r="CZ237" s="32">
        <v>105.2</v>
      </c>
      <c r="DA237" s="32">
        <v>93.9</v>
      </c>
      <c r="DB237" s="32">
        <v>126.2</v>
      </c>
      <c r="DC237" s="32">
        <v>48.2</v>
      </c>
      <c r="DD237" s="32">
        <v>48.2</v>
      </c>
      <c r="DE237" s="32">
        <v>88.9</v>
      </c>
      <c r="DF237" s="32">
        <v>87.2</v>
      </c>
      <c r="DG237" s="32">
        <v>99.1</v>
      </c>
      <c r="DH237" s="32">
        <v>95.2</v>
      </c>
      <c r="DI237" s="32">
        <v>116.7</v>
      </c>
      <c r="DJ237" s="32">
        <v>79</v>
      </c>
      <c r="DK237" s="32">
        <v>79</v>
      </c>
      <c r="DL237" s="32">
        <v>72.599999999999994</v>
      </c>
      <c r="DM237" s="32">
        <v>96.2</v>
      </c>
      <c r="DN237" s="32">
        <v>96.5</v>
      </c>
      <c r="DO237" s="32">
        <v>95.7</v>
      </c>
      <c r="DP237" s="32">
        <v>106.5</v>
      </c>
      <c r="DQ237" s="32">
        <v>95.4</v>
      </c>
      <c r="DR237" s="32">
        <v>96.2</v>
      </c>
      <c r="DS237" s="32">
        <v>97.4</v>
      </c>
      <c r="DT237" s="32">
        <v>95.6</v>
      </c>
      <c r="DU237" s="32">
        <v>97.6</v>
      </c>
      <c r="DV237" s="32">
        <v>96</v>
      </c>
      <c r="DW237" s="32">
        <v>99.4</v>
      </c>
      <c r="DX237" s="32">
        <v>91.2</v>
      </c>
      <c r="DY237" s="32">
        <v>103.9</v>
      </c>
      <c r="DZ237" s="32">
        <v>94.5</v>
      </c>
      <c r="EA237" s="32">
        <v>94.5</v>
      </c>
      <c r="EB237" s="32">
        <v>93.2</v>
      </c>
      <c r="EC237" s="32">
        <v>97.7</v>
      </c>
      <c r="ED237" s="32">
        <v>87.7</v>
      </c>
      <c r="EE237" s="32">
        <v>88.9</v>
      </c>
      <c r="EF237" s="32">
        <v>84.2</v>
      </c>
      <c r="EG237" s="32">
        <v>94.1</v>
      </c>
      <c r="EH237" s="32">
        <v>85.8</v>
      </c>
      <c r="EI237" s="32">
        <v>91</v>
      </c>
      <c r="EJ237" s="32">
        <v>106.2</v>
      </c>
      <c r="EK237" s="32">
        <v>97.9</v>
      </c>
      <c r="EL237" s="32">
        <v>83.9</v>
      </c>
      <c r="EM237" s="32">
        <v>87.3</v>
      </c>
      <c r="EN237" s="32">
        <v>107</v>
      </c>
      <c r="EO237" s="32">
        <v>94.2</v>
      </c>
      <c r="EP237" s="32">
        <v>92.7</v>
      </c>
      <c r="EQ237" s="32">
        <v>92.7</v>
      </c>
      <c r="ER237" s="32">
        <v>91.1</v>
      </c>
      <c r="ES237" s="32">
        <v>91.1</v>
      </c>
      <c r="ET237" s="32">
        <v>97.8</v>
      </c>
      <c r="EU237" s="32">
        <v>94.9</v>
      </c>
      <c r="EV237" s="32">
        <v>94.9</v>
      </c>
      <c r="EW237" s="32">
        <v>104.6</v>
      </c>
      <c r="EX237" s="32">
        <v>107.3</v>
      </c>
      <c r="EY237" s="32">
        <v>102.4</v>
      </c>
      <c r="EZ237" s="32">
        <v>90.7</v>
      </c>
      <c r="FA237" s="32">
        <v>90.6</v>
      </c>
      <c r="FB237" s="32">
        <v>86.4</v>
      </c>
      <c r="FC237" s="32">
        <v>85.6</v>
      </c>
      <c r="FD237" s="32">
        <v>98.5</v>
      </c>
      <c r="FE237" s="32">
        <v>82.4</v>
      </c>
      <c r="FF237" s="32">
        <v>95.7</v>
      </c>
      <c r="FG237" s="32">
        <v>91.2</v>
      </c>
      <c r="FH237" s="32">
        <v>84.1</v>
      </c>
      <c r="FI237" s="32">
        <v>124.6</v>
      </c>
      <c r="FJ237" s="32">
        <v>90.2</v>
      </c>
      <c r="FK237" s="32">
        <v>87.9</v>
      </c>
      <c r="FL237" s="32">
        <v>87.9</v>
      </c>
    </row>
    <row r="238" spans="1:168" x14ac:dyDescent="0.2">
      <c r="A238" s="34" t="s">
        <v>1218</v>
      </c>
      <c r="B238" s="32">
        <v>94</v>
      </c>
      <c r="C238" s="32">
        <v>90.2</v>
      </c>
      <c r="D238" s="32">
        <v>96.3</v>
      </c>
      <c r="E238" s="32">
        <v>95.8</v>
      </c>
      <c r="F238" s="32">
        <v>100.5</v>
      </c>
      <c r="G238" s="32">
        <v>714.6</v>
      </c>
      <c r="H238" s="32">
        <v>98.7</v>
      </c>
      <c r="I238" s="32">
        <v>102.2</v>
      </c>
      <c r="J238" s="32">
        <v>94.9</v>
      </c>
      <c r="K238" s="32">
        <v>93.6</v>
      </c>
      <c r="L238" s="32">
        <v>92.5</v>
      </c>
      <c r="M238" s="32">
        <v>95.9</v>
      </c>
      <c r="N238" s="32">
        <v>85.4</v>
      </c>
      <c r="O238" s="32">
        <v>32.700000000000003</v>
      </c>
      <c r="P238" s="32">
        <v>127.6</v>
      </c>
      <c r="Q238" s="32">
        <v>85.6</v>
      </c>
      <c r="R238" s="32">
        <v>88.3</v>
      </c>
      <c r="S238" s="32">
        <v>92.7</v>
      </c>
      <c r="T238" s="32">
        <v>114.8</v>
      </c>
      <c r="U238" s="32">
        <v>105</v>
      </c>
      <c r="V238" s="32">
        <v>94.9</v>
      </c>
      <c r="W238" s="32">
        <v>69.8</v>
      </c>
      <c r="X238" s="32">
        <v>70.5</v>
      </c>
      <c r="Y238" s="32">
        <v>65</v>
      </c>
      <c r="Z238" s="32">
        <v>82.4</v>
      </c>
      <c r="AA238" s="32">
        <v>93.4</v>
      </c>
      <c r="AB238" s="32">
        <v>95.2</v>
      </c>
      <c r="AC238" s="32">
        <v>82.9</v>
      </c>
      <c r="AD238" s="32">
        <v>101.7</v>
      </c>
      <c r="AE238" s="32">
        <v>170.8</v>
      </c>
      <c r="AF238" s="32">
        <v>170.8</v>
      </c>
      <c r="AG238" s="32">
        <v>84.1</v>
      </c>
      <c r="AH238" s="32">
        <v>84.1</v>
      </c>
      <c r="AI238" s="32">
        <v>91.3</v>
      </c>
      <c r="AJ238" s="32">
        <v>73</v>
      </c>
      <c r="AK238" s="32">
        <v>96.8</v>
      </c>
      <c r="AL238" s="32">
        <v>87.9</v>
      </c>
      <c r="AM238" s="32">
        <v>80.8</v>
      </c>
      <c r="AN238" s="32">
        <v>95.8</v>
      </c>
      <c r="AO238" s="32">
        <v>95.9</v>
      </c>
      <c r="AP238" s="32">
        <v>95.9</v>
      </c>
      <c r="AQ238" s="32">
        <v>94.3</v>
      </c>
      <c r="AR238" s="32">
        <v>95.1</v>
      </c>
      <c r="AS238" s="32">
        <v>93.3</v>
      </c>
      <c r="AT238" s="32">
        <v>89.7</v>
      </c>
      <c r="AU238" s="32">
        <v>96.2</v>
      </c>
      <c r="AV238" s="32">
        <v>108</v>
      </c>
      <c r="AW238" s="32">
        <v>152.6</v>
      </c>
      <c r="AX238" s="32">
        <v>166.9</v>
      </c>
      <c r="AY238" s="32">
        <v>147.6</v>
      </c>
      <c r="AZ238" s="32">
        <v>99.4</v>
      </c>
      <c r="BA238" s="32">
        <v>91.6</v>
      </c>
      <c r="BB238" s="32">
        <v>91.6</v>
      </c>
      <c r="BC238" s="32">
        <v>78.8</v>
      </c>
      <c r="BD238" s="32">
        <v>78.8</v>
      </c>
      <c r="BE238" s="32">
        <v>92.1</v>
      </c>
      <c r="BF238" s="32">
        <v>92.1</v>
      </c>
      <c r="BG238" s="32">
        <v>101</v>
      </c>
      <c r="BH238" s="32">
        <v>116.4</v>
      </c>
      <c r="BI238" s="32">
        <v>83</v>
      </c>
      <c r="BJ238" s="32">
        <v>57.8</v>
      </c>
      <c r="BK238" s="32">
        <v>89.6</v>
      </c>
      <c r="BL238" s="32">
        <v>80.900000000000006</v>
      </c>
      <c r="BM238" s="32">
        <v>93.9</v>
      </c>
      <c r="BN238" s="32">
        <v>91.2</v>
      </c>
      <c r="BO238" s="32">
        <v>93.9</v>
      </c>
      <c r="BP238" s="32">
        <v>89</v>
      </c>
      <c r="BQ238" s="32">
        <v>97</v>
      </c>
      <c r="BR238" s="32">
        <v>52.8</v>
      </c>
      <c r="BS238" s="32">
        <v>109.4</v>
      </c>
      <c r="BT238" s="32">
        <v>99.9</v>
      </c>
      <c r="BU238" s="32">
        <v>99.4</v>
      </c>
      <c r="BV238" s="32">
        <v>99.4</v>
      </c>
      <c r="BW238" s="32">
        <v>107</v>
      </c>
      <c r="BX238" s="32">
        <v>79.099999999999994</v>
      </c>
      <c r="BY238" s="32">
        <v>98.2</v>
      </c>
      <c r="BZ238" s="32">
        <v>93.8</v>
      </c>
      <c r="CA238" s="32">
        <v>100.4</v>
      </c>
      <c r="CB238" s="32">
        <v>105</v>
      </c>
      <c r="CC238" s="32">
        <v>95.8</v>
      </c>
      <c r="CD238" s="32">
        <v>94.9</v>
      </c>
      <c r="CE238" s="32">
        <v>97.4</v>
      </c>
      <c r="CF238" s="32">
        <v>93.5</v>
      </c>
      <c r="CG238" s="32">
        <v>96</v>
      </c>
      <c r="CH238" s="32">
        <v>97.9</v>
      </c>
      <c r="CI238" s="32">
        <v>103.2</v>
      </c>
      <c r="CJ238" s="32">
        <v>95.7</v>
      </c>
      <c r="CK238" s="32">
        <v>98</v>
      </c>
      <c r="CL238" s="32">
        <v>93.5</v>
      </c>
      <c r="CM238" s="32">
        <v>100.9</v>
      </c>
      <c r="CN238" s="32">
        <v>117.5</v>
      </c>
      <c r="CO238" s="32">
        <v>97.9</v>
      </c>
      <c r="CP238" s="32">
        <v>102.2</v>
      </c>
      <c r="CQ238" s="32">
        <v>50.5</v>
      </c>
      <c r="CR238" s="32">
        <v>96.4</v>
      </c>
      <c r="CS238" s="32">
        <v>93.4</v>
      </c>
      <c r="CT238" s="32">
        <v>92.9</v>
      </c>
      <c r="CU238" s="32">
        <v>91.4</v>
      </c>
      <c r="CV238" s="32">
        <v>93.6</v>
      </c>
      <c r="CW238" s="32">
        <v>77.8</v>
      </c>
      <c r="CX238" s="32">
        <v>103.8</v>
      </c>
      <c r="CY238" s="32">
        <v>103.2</v>
      </c>
      <c r="CZ238" s="32">
        <v>104.3</v>
      </c>
      <c r="DA238" s="32">
        <v>93.2</v>
      </c>
      <c r="DB238" s="32">
        <v>125</v>
      </c>
      <c r="DC238" s="32">
        <v>49</v>
      </c>
      <c r="DD238" s="32">
        <v>49</v>
      </c>
      <c r="DE238" s="32">
        <v>91.1</v>
      </c>
      <c r="DF238" s="32">
        <v>90.9</v>
      </c>
      <c r="DG238" s="32">
        <v>92.1</v>
      </c>
      <c r="DH238" s="32">
        <v>96</v>
      </c>
      <c r="DI238" s="32">
        <v>116.9</v>
      </c>
      <c r="DJ238" s="32">
        <v>80.2</v>
      </c>
      <c r="DK238" s="32">
        <v>80.2</v>
      </c>
      <c r="DL238" s="32">
        <v>74.2</v>
      </c>
      <c r="DM238" s="32">
        <v>96</v>
      </c>
      <c r="DN238" s="32">
        <v>95.4</v>
      </c>
      <c r="DO238" s="32">
        <v>96</v>
      </c>
      <c r="DP238" s="32">
        <v>100.9</v>
      </c>
      <c r="DQ238" s="32">
        <v>95.4</v>
      </c>
      <c r="DR238" s="32">
        <v>96.4</v>
      </c>
      <c r="DS238" s="32">
        <v>96</v>
      </c>
      <c r="DT238" s="32">
        <v>94.9</v>
      </c>
      <c r="DU238" s="32">
        <v>96.3</v>
      </c>
      <c r="DV238" s="32">
        <v>95.5</v>
      </c>
      <c r="DW238" s="32">
        <v>97.2</v>
      </c>
      <c r="DX238" s="32">
        <v>92.1</v>
      </c>
      <c r="DY238" s="32">
        <v>99.7</v>
      </c>
      <c r="DZ238" s="32">
        <v>106.6</v>
      </c>
      <c r="EA238" s="32">
        <v>106.6</v>
      </c>
      <c r="EB238" s="32">
        <v>93.7</v>
      </c>
      <c r="EC238" s="32">
        <v>97.8</v>
      </c>
      <c r="ED238" s="32">
        <v>88.7</v>
      </c>
      <c r="EE238" s="32">
        <v>89.9</v>
      </c>
      <c r="EF238" s="32">
        <v>85.5</v>
      </c>
      <c r="EG238" s="32">
        <v>94</v>
      </c>
      <c r="EH238" s="32">
        <v>90.4</v>
      </c>
      <c r="EI238" s="32">
        <v>89.7</v>
      </c>
      <c r="EJ238" s="32">
        <v>108.4</v>
      </c>
      <c r="EK238" s="32">
        <v>95.4</v>
      </c>
      <c r="EL238" s="32">
        <v>86.3</v>
      </c>
      <c r="EM238" s="32">
        <v>86.5</v>
      </c>
      <c r="EN238" s="32">
        <v>102.6</v>
      </c>
      <c r="EO238" s="32">
        <v>93.8</v>
      </c>
      <c r="EP238" s="32">
        <v>92.7</v>
      </c>
      <c r="EQ238" s="32">
        <v>92.7</v>
      </c>
      <c r="ER238" s="32">
        <v>90.2</v>
      </c>
      <c r="ES238" s="32">
        <v>90.2</v>
      </c>
      <c r="ET238" s="32">
        <v>97.4</v>
      </c>
      <c r="EU238" s="32">
        <v>94.4</v>
      </c>
      <c r="EV238" s="32">
        <v>94.4</v>
      </c>
      <c r="EW238" s="32">
        <v>104.4</v>
      </c>
      <c r="EX238" s="32">
        <v>107.3</v>
      </c>
      <c r="EY238" s="32">
        <v>102.1</v>
      </c>
      <c r="EZ238" s="32">
        <v>90.3</v>
      </c>
      <c r="FA238" s="32">
        <v>90.2</v>
      </c>
      <c r="FB238" s="32">
        <v>85.6</v>
      </c>
      <c r="FC238" s="32">
        <v>85.9</v>
      </c>
      <c r="FD238" s="32">
        <v>99.3</v>
      </c>
      <c r="FE238" s="32">
        <v>79.400000000000006</v>
      </c>
      <c r="FF238" s="32">
        <v>96</v>
      </c>
      <c r="FG238" s="32">
        <v>90.3</v>
      </c>
      <c r="FH238" s="32">
        <v>85.8</v>
      </c>
      <c r="FI238" s="32">
        <v>120.4</v>
      </c>
      <c r="FJ238" s="32">
        <v>88.7</v>
      </c>
      <c r="FK238" s="32">
        <v>91.3</v>
      </c>
      <c r="FL238" s="32">
        <v>91.3</v>
      </c>
    </row>
    <row r="239" spans="1:168" x14ac:dyDescent="0.2">
      <c r="A239" s="34" t="s">
        <v>1219</v>
      </c>
      <c r="B239" s="32">
        <v>94.1</v>
      </c>
      <c r="C239" s="32">
        <v>91.3</v>
      </c>
      <c r="D239" s="32">
        <v>95.5</v>
      </c>
      <c r="E239" s="32">
        <v>94.9</v>
      </c>
      <c r="F239" s="32">
        <v>98</v>
      </c>
      <c r="G239" s="32">
        <v>665.5</v>
      </c>
      <c r="H239" s="32">
        <v>96</v>
      </c>
      <c r="I239" s="32">
        <v>100.5</v>
      </c>
      <c r="J239" s="32">
        <v>94</v>
      </c>
      <c r="K239" s="32">
        <v>93.4</v>
      </c>
      <c r="L239" s="32">
        <v>92.9</v>
      </c>
      <c r="M239" s="32">
        <v>97.2</v>
      </c>
      <c r="N239" s="32">
        <v>85.7</v>
      </c>
      <c r="O239" s="32">
        <v>30.9</v>
      </c>
      <c r="P239" s="32">
        <v>127.4</v>
      </c>
      <c r="Q239" s="32">
        <v>88.2</v>
      </c>
      <c r="R239" s="32">
        <v>88.6</v>
      </c>
      <c r="S239" s="32">
        <v>92.1</v>
      </c>
      <c r="T239" s="32">
        <v>113</v>
      </c>
      <c r="U239" s="32">
        <v>100.9</v>
      </c>
      <c r="V239" s="32">
        <v>93.3</v>
      </c>
      <c r="W239" s="32">
        <v>70.3</v>
      </c>
      <c r="X239" s="32">
        <v>71.8</v>
      </c>
      <c r="Y239" s="32">
        <v>64.3</v>
      </c>
      <c r="Z239" s="32">
        <v>82</v>
      </c>
      <c r="AA239" s="32">
        <v>94.1</v>
      </c>
      <c r="AB239" s="32">
        <v>95.1</v>
      </c>
      <c r="AC239" s="32">
        <v>84.6</v>
      </c>
      <c r="AD239" s="32">
        <v>102</v>
      </c>
      <c r="AE239" s="32">
        <v>166.1</v>
      </c>
      <c r="AF239" s="32">
        <v>166.1</v>
      </c>
      <c r="AG239" s="32">
        <v>82</v>
      </c>
      <c r="AH239" s="32">
        <v>82</v>
      </c>
      <c r="AI239" s="32">
        <v>74.7</v>
      </c>
      <c r="AJ239" s="32">
        <v>70.400000000000006</v>
      </c>
      <c r="AK239" s="32">
        <v>96.1</v>
      </c>
      <c r="AL239" s="32">
        <v>85.2</v>
      </c>
      <c r="AM239" s="32">
        <v>79.5</v>
      </c>
      <c r="AN239" s="32">
        <v>99.7</v>
      </c>
      <c r="AO239" s="32">
        <v>86.7</v>
      </c>
      <c r="AP239" s="32">
        <v>86.7</v>
      </c>
      <c r="AQ239" s="32">
        <v>92.6</v>
      </c>
      <c r="AR239" s="32">
        <v>92</v>
      </c>
      <c r="AS239" s="32">
        <v>93.4</v>
      </c>
      <c r="AT239" s="32">
        <v>88.9</v>
      </c>
      <c r="AU239" s="32">
        <v>97</v>
      </c>
      <c r="AV239" s="32">
        <v>105.8</v>
      </c>
      <c r="AW239" s="32">
        <v>139.4</v>
      </c>
      <c r="AX239" s="32">
        <v>151.9</v>
      </c>
      <c r="AY239" s="32">
        <v>135.4</v>
      </c>
      <c r="AZ239" s="32">
        <v>99.2</v>
      </c>
      <c r="BA239" s="32">
        <v>91.5</v>
      </c>
      <c r="BB239" s="32">
        <v>91.5</v>
      </c>
      <c r="BC239" s="32">
        <v>79.8</v>
      </c>
      <c r="BD239" s="32">
        <v>79.8</v>
      </c>
      <c r="BE239" s="32">
        <v>90.1</v>
      </c>
      <c r="BF239" s="32">
        <v>90.1</v>
      </c>
      <c r="BG239" s="32">
        <v>99.6</v>
      </c>
      <c r="BH239" s="32">
        <v>111.9</v>
      </c>
      <c r="BI239" s="32">
        <v>84.5</v>
      </c>
      <c r="BJ239" s="32">
        <v>57.3</v>
      </c>
      <c r="BK239" s="32">
        <v>91.2</v>
      </c>
      <c r="BL239" s="32">
        <v>87.6</v>
      </c>
      <c r="BM239" s="32">
        <v>98.6</v>
      </c>
      <c r="BN239" s="32">
        <v>90.1</v>
      </c>
      <c r="BO239" s="32">
        <v>91.8</v>
      </c>
      <c r="BP239" s="32">
        <v>88.7</v>
      </c>
      <c r="BQ239" s="32">
        <v>108.4</v>
      </c>
      <c r="BR239" s="32">
        <v>81.3</v>
      </c>
      <c r="BS239" s="32">
        <v>111.4</v>
      </c>
      <c r="BT239" s="32">
        <v>111.3</v>
      </c>
      <c r="BU239" s="32">
        <v>99.8</v>
      </c>
      <c r="BV239" s="32">
        <v>99.8</v>
      </c>
      <c r="BW239" s="32">
        <v>106.5</v>
      </c>
      <c r="BX239" s="32">
        <v>81.400000000000006</v>
      </c>
      <c r="BY239" s="32">
        <v>96.8</v>
      </c>
      <c r="BZ239" s="32">
        <v>92.2</v>
      </c>
      <c r="CA239" s="32">
        <v>99.1</v>
      </c>
      <c r="CB239" s="32">
        <v>102.7</v>
      </c>
      <c r="CC239" s="32">
        <v>95.6</v>
      </c>
      <c r="CD239" s="32">
        <v>92.5</v>
      </c>
      <c r="CE239" s="32">
        <v>96.8</v>
      </c>
      <c r="CF239" s="32">
        <v>93.8</v>
      </c>
      <c r="CG239" s="32">
        <v>96.3</v>
      </c>
      <c r="CH239" s="32">
        <v>97.4</v>
      </c>
      <c r="CI239" s="32">
        <v>102.8</v>
      </c>
      <c r="CJ239" s="32">
        <v>97.3</v>
      </c>
      <c r="CK239" s="32">
        <v>96.2</v>
      </c>
      <c r="CL239" s="32">
        <v>94.2</v>
      </c>
      <c r="CM239" s="32">
        <v>102.8</v>
      </c>
      <c r="CN239" s="32">
        <v>118.4</v>
      </c>
      <c r="CO239" s="32">
        <v>100.1</v>
      </c>
      <c r="CP239" s="32">
        <v>102.3</v>
      </c>
      <c r="CQ239" s="32">
        <v>51.8</v>
      </c>
      <c r="CR239" s="32">
        <v>96.2</v>
      </c>
      <c r="CS239" s="32">
        <v>92.7</v>
      </c>
      <c r="CT239" s="32">
        <v>95.4</v>
      </c>
      <c r="CU239" s="32">
        <v>93.2</v>
      </c>
      <c r="CV239" s="32">
        <v>96.4</v>
      </c>
      <c r="CW239" s="32">
        <v>79.900000000000006</v>
      </c>
      <c r="CX239" s="32">
        <v>111.4</v>
      </c>
      <c r="CY239" s="32">
        <v>102.7</v>
      </c>
      <c r="CZ239" s="32">
        <v>116.4</v>
      </c>
      <c r="DA239" s="32">
        <v>104.2</v>
      </c>
      <c r="DB239" s="32">
        <v>139.30000000000001</v>
      </c>
      <c r="DC239" s="32">
        <v>51.3</v>
      </c>
      <c r="DD239" s="32">
        <v>51.3</v>
      </c>
      <c r="DE239" s="32">
        <v>89.7</v>
      </c>
      <c r="DF239" s="32">
        <v>88.9</v>
      </c>
      <c r="DG239" s="32">
        <v>94.6</v>
      </c>
      <c r="DH239" s="32">
        <v>96.1</v>
      </c>
      <c r="DI239" s="32">
        <v>117.5</v>
      </c>
      <c r="DJ239" s="32">
        <v>82</v>
      </c>
      <c r="DK239" s="32">
        <v>82</v>
      </c>
      <c r="DL239" s="32">
        <v>72.2</v>
      </c>
      <c r="DM239" s="32">
        <v>96.3</v>
      </c>
      <c r="DN239" s="32">
        <v>96</v>
      </c>
      <c r="DO239" s="32">
        <v>96.3</v>
      </c>
      <c r="DP239" s="32">
        <v>97.7</v>
      </c>
      <c r="DQ239" s="32">
        <v>95.2</v>
      </c>
      <c r="DR239" s="32">
        <v>95.6</v>
      </c>
      <c r="DS239" s="32">
        <v>97.2</v>
      </c>
      <c r="DT239" s="32">
        <v>95.2</v>
      </c>
      <c r="DU239" s="32">
        <v>95.6</v>
      </c>
      <c r="DV239" s="32">
        <v>96.7</v>
      </c>
      <c r="DW239" s="32">
        <v>94.2</v>
      </c>
      <c r="DX239" s="32">
        <v>94.3</v>
      </c>
      <c r="DY239" s="32">
        <v>103.9</v>
      </c>
      <c r="DZ239" s="32">
        <v>92.5</v>
      </c>
      <c r="EA239" s="32">
        <v>92.5</v>
      </c>
      <c r="EB239" s="32">
        <v>92.1</v>
      </c>
      <c r="EC239" s="32">
        <v>94.9</v>
      </c>
      <c r="ED239" s="32">
        <v>88.5</v>
      </c>
      <c r="EE239" s="32">
        <v>89.7</v>
      </c>
      <c r="EF239" s="32">
        <v>85.2</v>
      </c>
      <c r="EG239" s="32">
        <v>94.5</v>
      </c>
      <c r="EH239" s="32">
        <v>91.5</v>
      </c>
      <c r="EI239" s="32">
        <v>89.2</v>
      </c>
      <c r="EJ239" s="32">
        <v>105.9</v>
      </c>
      <c r="EK239" s="32">
        <v>97.4</v>
      </c>
      <c r="EL239" s="32">
        <v>86.3</v>
      </c>
      <c r="EM239" s="32">
        <v>87.7</v>
      </c>
      <c r="EN239" s="32">
        <v>105.5</v>
      </c>
      <c r="EO239" s="32">
        <v>93.9</v>
      </c>
      <c r="EP239" s="32">
        <v>93.2</v>
      </c>
      <c r="EQ239" s="32">
        <v>93.2</v>
      </c>
      <c r="ER239" s="32">
        <v>90</v>
      </c>
      <c r="ES239" s="32">
        <v>90</v>
      </c>
      <c r="ET239" s="32">
        <v>97.6</v>
      </c>
      <c r="EU239" s="32">
        <v>94.8</v>
      </c>
      <c r="EV239" s="32">
        <v>94.8</v>
      </c>
      <c r="EW239" s="32">
        <v>104.1</v>
      </c>
      <c r="EX239" s="32">
        <v>106.6</v>
      </c>
      <c r="EY239" s="32">
        <v>102.2</v>
      </c>
      <c r="EZ239" s="32">
        <v>90.5</v>
      </c>
      <c r="FA239" s="32">
        <v>89.8</v>
      </c>
      <c r="FB239" s="32">
        <v>85.1</v>
      </c>
      <c r="FC239" s="32">
        <v>86</v>
      </c>
      <c r="FD239" s="32">
        <v>96.5</v>
      </c>
      <c r="FE239" s="32">
        <v>78.8</v>
      </c>
      <c r="FF239" s="32">
        <v>95.7</v>
      </c>
      <c r="FG239" s="32">
        <v>91</v>
      </c>
      <c r="FH239" s="32">
        <v>85.6</v>
      </c>
      <c r="FI239" s="32">
        <v>121.3</v>
      </c>
      <c r="FJ239" s="32">
        <v>89.7</v>
      </c>
      <c r="FK239" s="32">
        <v>92</v>
      </c>
      <c r="FL239" s="32">
        <v>92</v>
      </c>
    </row>
    <row r="240" spans="1:168" x14ac:dyDescent="0.2">
      <c r="A240" s="34" t="s">
        <v>1220</v>
      </c>
      <c r="B240" s="32">
        <v>94.2</v>
      </c>
      <c r="C240" s="32">
        <v>91.9</v>
      </c>
      <c r="D240" s="32">
        <v>95.6</v>
      </c>
      <c r="E240" s="32">
        <v>94.9</v>
      </c>
      <c r="F240" s="32">
        <v>109.3</v>
      </c>
      <c r="G240" s="32">
        <v>728.1</v>
      </c>
      <c r="H240" s="32">
        <v>111.1</v>
      </c>
      <c r="I240" s="32">
        <v>98</v>
      </c>
      <c r="J240" s="32">
        <v>93.2</v>
      </c>
      <c r="K240" s="32">
        <v>91.5</v>
      </c>
      <c r="L240" s="32">
        <v>92.3</v>
      </c>
      <c r="M240" s="32">
        <v>97.8</v>
      </c>
      <c r="N240" s="32">
        <v>87.1</v>
      </c>
      <c r="O240" s="32">
        <v>29.7</v>
      </c>
      <c r="P240" s="32">
        <v>124.1</v>
      </c>
      <c r="Q240" s="32">
        <v>84.6</v>
      </c>
      <c r="R240" s="32">
        <v>85.6</v>
      </c>
      <c r="S240" s="32">
        <v>92.6</v>
      </c>
      <c r="T240" s="32">
        <v>109.5</v>
      </c>
      <c r="U240" s="32">
        <v>100.5</v>
      </c>
      <c r="V240" s="32">
        <v>83.5</v>
      </c>
      <c r="W240" s="32">
        <v>69.3</v>
      </c>
      <c r="X240" s="32">
        <v>72.8</v>
      </c>
      <c r="Y240" s="32">
        <v>57.9</v>
      </c>
      <c r="Z240" s="32">
        <v>88.7</v>
      </c>
      <c r="AA240" s="32">
        <v>94.2</v>
      </c>
      <c r="AB240" s="32">
        <v>93.7</v>
      </c>
      <c r="AC240" s="32">
        <v>85.2</v>
      </c>
      <c r="AD240" s="32">
        <v>102.7</v>
      </c>
      <c r="AE240" s="32">
        <v>165.8</v>
      </c>
      <c r="AF240" s="32">
        <v>165.8</v>
      </c>
      <c r="AG240" s="32">
        <v>82.3</v>
      </c>
      <c r="AH240" s="32">
        <v>82.3</v>
      </c>
      <c r="AI240" s="32">
        <v>89.4</v>
      </c>
      <c r="AJ240" s="32">
        <v>71.8</v>
      </c>
      <c r="AK240" s="32">
        <v>91.5</v>
      </c>
      <c r="AL240" s="32">
        <v>83</v>
      </c>
      <c r="AM240" s="32">
        <v>80.099999999999994</v>
      </c>
      <c r="AN240" s="32">
        <v>94.2</v>
      </c>
      <c r="AO240" s="32">
        <v>84.6</v>
      </c>
      <c r="AP240" s="32">
        <v>84.6</v>
      </c>
      <c r="AQ240" s="32">
        <v>91.6</v>
      </c>
      <c r="AR240" s="32">
        <v>90.8</v>
      </c>
      <c r="AS240" s="32">
        <v>92.6</v>
      </c>
      <c r="AT240" s="32">
        <v>88.8</v>
      </c>
      <c r="AU240" s="32">
        <v>95.7</v>
      </c>
      <c r="AV240" s="32">
        <v>108</v>
      </c>
      <c r="AW240" s="32">
        <v>151.1</v>
      </c>
      <c r="AX240" s="32">
        <v>166.9</v>
      </c>
      <c r="AY240" s="32">
        <v>143.6</v>
      </c>
      <c r="AZ240" s="32">
        <v>99.7</v>
      </c>
      <c r="BA240" s="32">
        <v>94.3</v>
      </c>
      <c r="BB240" s="32">
        <v>94.3</v>
      </c>
      <c r="BC240" s="32">
        <v>77.7</v>
      </c>
      <c r="BD240" s="32">
        <v>77.7</v>
      </c>
      <c r="BE240" s="32">
        <v>91.8</v>
      </c>
      <c r="BF240" s="32">
        <v>91.8</v>
      </c>
      <c r="BG240" s="32">
        <v>98.1</v>
      </c>
      <c r="BH240" s="32">
        <v>110.9</v>
      </c>
      <c r="BI240" s="32">
        <v>82.6</v>
      </c>
      <c r="BJ240" s="32">
        <v>56.3</v>
      </c>
      <c r="BK240" s="32">
        <v>90.4</v>
      </c>
      <c r="BL240" s="32">
        <v>72.8</v>
      </c>
      <c r="BM240" s="32">
        <v>92.6</v>
      </c>
      <c r="BN240" s="32">
        <v>89.9</v>
      </c>
      <c r="BO240" s="32">
        <v>94.6</v>
      </c>
      <c r="BP240" s="32">
        <v>85.7</v>
      </c>
      <c r="BQ240" s="32">
        <v>95.8</v>
      </c>
      <c r="BR240" s="32">
        <v>91.2</v>
      </c>
      <c r="BS240" s="32">
        <v>106.5</v>
      </c>
      <c r="BT240" s="32">
        <v>93.2</v>
      </c>
      <c r="BU240" s="32">
        <v>98.1</v>
      </c>
      <c r="BV240" s="32">
        <v>98.1</v>
      </c>
      <c r="BW240" s="32">
        <v>104.8</v>
      </c>
      <c r="BX240" s="32">
        <v>79.7</v>
      </c>
      <c r="BY240" s="32">
        <v>98</v>
      </c>
      <c r="BZ240" s="32">
        <v>94.6</v>
      </c>
      <c r="CA240" s="32">
        <v>99.8</v>
      </c>
      <c r="CB240" s="32">
        <v>106.2</v>
      </c>
      <c r="CC240" s="32">
        <v>93.6</v>
      </c>
      <c r="CD240" s="32">
        <v>89</v>
      </c>
      <c r="CE240" s="32">
        <v>97.2</v>
      </c>
      <c r="CF240" s="32">
        <v>93.9</v>
      </c>
      <c r="CG240" s="32">
        <v>95.6</v>
      </c>
      <c r="CH240" s="32">
        <v>97.2</v>
      </c>
      <c r="CI240" s="32">
        <v>99.5</v>
      </c>
      <c r="CJ240" s="32">
        <v>94.6</v>
      </c>
      <c r="CK240" s="32">
        <v>98.3</v>
      </c>
      <c r="CL240" s="32">
        <v>93.8</v>
      </c>
      <c r="CM240" s="32">
        <v>101</v>
      </c>
      <c r="CN240" s="32">
        <v>117.4</v>
      </c>
      <c r="CO240" s="32">
        <v>98.1</v>
      </c>
      <c r="CP240" s="32">
        <v>102.6</v>
      </c>
      <c r="CQ240" s="32">
        <v>53</v>
      </c>
      <c r="CR240" s="32">
        <v>96.5</v>
      </c>
      <c r="CS240" s="32">
        <v>92</v>
      </c>
      <c r="CT240" s="32">
        <v>92.8</v>
      </c>
      <c r="CU240" s="32">
        <v>91.7</v>
      </c>
      <c r="CV240" s="32">
        <v>93.3</v>
      </c>
      <c r="CW240" s="32">
        <v>80.2</v>
      </c>
      <c r="CX240" s="32">
        <v>108.8</v>
      </c>
      <c r="CY240" s="32">
        <v>103.4</v>
      </c>
      <c r="CZ240" s="32">
        <v>112</v>
      </c>
      <c r="DA240" s="32">
        <v>104.9</v>
      </c>
      <c r="DB240" s="32">
        <v>125.6</v>
      </c>
      <c r="DC240" s="32">
        <v>52.2</v>
      </c>
      <c r="DD240" s="32">
        <v>52.2</v>
      </c>
      <c r="DE240" s="32">
        <v>90.6</v>
      </c>
      <c r="DF240" s="32">
        <v>89.6</v>
      </c>
      <c r="DG240" s="32">
        <v>97</v>
      </c>
      <c r="DH240" s="32">
        <v>97.5</v>
      </c>
      <c r="DI240" s="32">
        <v>116</v>
      </c>
      <c r="DJ240" s="32">
        <v>83.9</v>
      </c>
      <c r="DK240" s="32">
        <v>83.9</v>
      </c>
      <c r="DL240" s="32">
        <v>77.8</v>
      </c>
      <c r="DM240" s="32">
        <v>96.1</v>
      </c>
      <c r="DN240" s="32">
        <v>95.5</v>
      </c>
      <c r="DO240" s="32">
        <v>96.3</v>
      </c>
      <c r="DP240" s="32">
        <v>96.7</v>
      </c>
      <c r="DQ240" s="32">
        <v>95</v>
      </c>
      <c r="DR240" s="32">
        <v>95.6</v>
      </c>
      <c r="DS240" s="32">
        <v>97.5</v>
      </c>
      <c r="DT240" s="32">
        <v>96.4</v>
      </c>
      <c r="DU240" s="32">
        <v>96.8</v>
      </c>
      <c r="DV240" s="32">
        <v>99.9</v>
      </c>
      <c r="DW240" s="32">
        <v>93.1</v>
      </c>
      <c r="DX240" s="32">
        <v>95.6</v>
      </c>
      <c r="DY240" s="32">
        <v>101.3</v>
      </c>
      <c r="DZ240" s="32">
        <v>91.1</v>
      </c>
      <c r="EA240" s="32">
        <v>91.1</v>
      </c>
      <c r="EB240" s="32">
        <v>91.8</v>
      </c>
      <c r="EC240" s="32">
        <v>96</v>
      </c>
      <c r="ED240" s="32">
        <v>86.7</v>
      </c>
      <c r="EE240" s="32">
        <v>87</v>
      </c>
      <c r="EF240" s="32">
        <v>85.6</v>
      </c>
      <c r="EG240" s="32">
        <v>94.2</v>
      </c>
      <c r="EH240" s="32">
        <v>92.7</v>
      </c>
      <c r="EI240" s="32">
        <v>88.2</v>
      </c>
      <c r="EJ240" s="32">
        <v>105.8</v>
      </c>
      <c r="EK240" s="32">
        <v>96.6</v>
      </c>
      <c r="EL240" s="32">
        <v>86.6</v>
      </c>
      <c r="EM240" s="32">
        <v>88.4</v>
      </c>
      <c r="EN240" s="32">
        <v>103.4</v>
      </c>
      <c r="EO240" s="32">
        <v>94.1</v>
      </c>
      <c r="EP240" s="32">
        <v>93.4</v>
      </c>
      <c r="EQ240" s="32">
        <v>93.4</v>
      </c>
      <c r="ER240" s="32">
        <v>89.7</v>
      </c>
      <c r="ES240" s="32">
        <v>89.7</v>
      </c>
      <c r="ET240" s="32">
        <v>98.2</v>
      </c>
      <c r="EU240" s="32">
        <v>95.7</v>
      </c>
      <c r="EV240" s="32">
        <v>95.7</v>
      </c>
      <c r="EW240" s="32">
        <v>103.9</v>
      </c>
      <c r="EX240" s="32">
        <v>105.7</v>
      </c>
      <c r="EY240" s="32">
        <v>102.5</v>
      </c>
      <c r="EZ240" s="32">
        <v>92.7</v>
      </c>
      <c r="FA240" s="32">
        <v>94</v>
      </c>
      <c r="FB240" s="32">
        <v>85.4</v>
      </c>
      <c r="FC240" s="32">
        <v>85.7</v>
      </c>
      <c r="FD240" s="32">
        <v>97.4</v>
      </c>
      <c r="FE240" s="32">
        <v>79.7</v>
      </c>
      <c r="FF240" s="32">
        <v>104.6</v>
      </c>
      <c r="FG240" s="32">
        <v>92</v>
      </c>
      <c r="FH240" s="32">
        <v>85.4</v>
      </c>
      <c r="FI240" s="32">
        <v>124.6</v>
      </c>
      <c r="FJ240" s="32">
        <v>90.9</v>
      </c>
      <c r="FK240" s="32">
        <v>90.6</v>
      </c>
      <c r="FL240" s="32">
        <v>90.6</v>
      </c>
    </row>
    <row r="241" spans="1:168" x14ac:dyDescent="0.2">
      <c r="A241" s="34" t="s">
        <v>1221</v>
      </c>
      <c r="B241" s="32">
        <v>94.5</v>
      </c>
      <c r="C241" s="32">
        <v>91.9</v>
      </c>
      <c r="D241" s="32">
        <v>95</v>
      </c>
      <c r="E241" s="32">
        <v>94.5</v>
      </c>
      <c r="F241" s="32">
        <v>104.9</v>
      </c>
      <c r="G241" s="32">
        <v>695.9</v>
      </c>
      <c r="H241" s="32">
        <v>106.1</v>
      </c>
      <c r="I241" s="32">
        <v>96.1</v>
      </c>
      <c r="J241" s="32">
        <v>93.1</v>
      </c>
      <c r="K241" s="32">
        <v>91.8</v>
      </c>
      <c r="L241" s="32">
        <v>92.2</v>
      </c>
      <c r="M241" s="32">
        <v>99.7</v>
      </c>
      <c r="N241" s="32">
        <v>84.7</v>
      </c>
      <c r="O241" s="32">
        <v>31.6</v>
      </c>
      <c r="P241" s="32">
        <v>123.7</v>
      </c>
      <c r="Q241" s="32">
        <v>86.5</v>
      </c>
      <c r="R241" s="32">
        <v>86.9</v>
      </c>
      <c r="S241" s="32">
        <v>90.5</v>
      </c>
      <c r="T241" s="32">
        <v>108.7</v>
      </c>
      <c r="U241" s="32">
        <v>106.1</v>
      </c>
      <c r="V241" s="32">
        <v>84.6</v>
      </c>
      <c r="W241" s="32">
        <v>70.099999999999994</v>
      </c>
      <c r="X241" s="32">
        <v>70.8</v>
      </c>
      <c r="Y241" s="32">
        <v>63.5</v>
      </c>
      <c r="Z241" s="32">
        <v>94.8</v>
      </c>
      <c r="AA241" s="32">
        <v>94.1</v>
      </c>
      <c r="AB241" s="32">
        <v>95.3</v>
      </c>
      <c r="AC241" s="32">
        <v>86.3</v>
      </c>
      <c r="AD241" s="32">
        <v>100.5</v>
      </c>
      <c r="AE241" s="32">
        <v>156.9</v>
      </c>
      <c r="AF241" s="32">
        <v>156.9</v>
      </c>
      <c r="AG241" s="32">
        <v>80.5</v>
      </c>
      <c r="AH241" s="32">
        <v>80.5</v>
      </c>
      <c r="AI241" s="32">
        <v>84.9</v>
      </c>
      <c r="AJ241" s="32">
        <v>69.7</v>
      </c>
      <c r="AK241" s="32">
        <v>86.8</v>
      </c>
      <c r="AL241" s="32">
        <v>76.8</v>
      </c>
      <c r="AM241" s="32">
        <v>79.900000000000006</v>
      </c>
      <c r="AN241" s="32">
        <v>94.1</v>
      </c>
      <c r="AO241" s="32">
        <v>90.6</v>
      </c>
      <c r="AP241" s="32">
        <v>90.6</v>
      </c>
      <c r="AQ241" s="32">
        <v>92</v>
      </c>
      <c r="AR241" s="32">
        <v>90.6</v>
      </c>
      <c r="AS241" s="32">
        <v>93.8</v>
      </c>
      <c r="AT241" s="32">
        <v>88.9</v>
      </c>
      <c r="AU241" s="32">
        <v>97.8</v>
      </c>
      <c r="AV241" s="32">
        <v>106.3</v>
      </c>
      <c r="AW241" s="32">
        <v>143.4</v>
      </c>
      <c r="AX241" s="32">
        <v>155.69999999999999</v>
      </c>
      <c r="AY241" s="32">
        <v>139.6</v>
      </c>
      <c r="AZ241" s="32">
        <v>99.1</v>
      </c>
      <c r="BA241" s="32">
        <v>94.4</v>
      </c>
      <c r="BB241" s="32">
        <v>94.4</v>
      </c>
      <c r="BC241" s="32">
        <v>77</v>
      </c>
      <c r="BD241" s="32">
        <v>77</v>
      </c>
      <c r="BE241" s="32">
        <v>92.5</v>
      </c>
      <c r="BF241" s="32">
        <v>92.5</v>
      </c>
      <c r="BG241" s="32">
        <v>97.2</v>
      </c>
      <c r="BH241" s="32">
        <v>108.8</v>
      </c>
      <c r="BI241" s="32">
        <v>82.8</v>
      </c>
      <c r="BJ241" s="32">
        <v>56.5</v>
      </c>
      <c r="BK241" s="32">
        <v>90.6</v>
      </c>
      <c r="BL241" s="32">
        <v>73</v>
      </c>
      <c r="BM241" s="32">
        <v>92</v>
      </c>
      <c r="BN241" s="32">
        <v>88.4</v>
      </c>
      <c r="BO241" s="32">
        <v>94.3</v>
      </c>
      <c r="BP241" s="32">
        <v>83.2</v>
      </c>
      <c r="BQ241" s="32">
        <v>96.1</v>
      </c>
      <c r="BR241" s="32">
        <v>106.2</v>
      </c>
      <c r="BS241" s="32">
        <v>97.9</v>
      </c>
      <c r="BT241" s="32">
        <v>93.8</v>
      </c>
      <c r="BU241" s="32">
        <v>98</v>
      </c>
      <c r="BV241" s="32">
        <v>98</v>
      </c>
      <c r="BW241" s="32">
        <v>106</v>
      </c>
      <c r="BX241" s="32">
        <v>77.2</v>
      </c>
      <c r="BY241" s="32">
        <v>97.7</v>
      </c>
      <c r="BZ241" s="32">
        <v>94.9</v>
      </c>
      <c r="CA241" s="32">
        <v>99.1</v>
      </c>
      <c r="CB241" s="32">
        <v>104.6</v>
      </c>
      <c r="CC241" s="32">
        <v>93.7</v>
      </c>
      <c r="CD241" s="32">
        <v>92.4</v>
      </c>
      <c r="CE241" s="32">
        <v>96.3</v>
      </c>
      <c r="CF241" s="32">
        <v>94.4</v>
      </c>
      <c r="CG241" s="32">
        <v>96.4</v>
      </c>
      <c r="CH241" s="32">
        <v>97.5</v>
      </c>
      <c r="CI241" s="32">
        <v>99.8</v>
      </c>
      <c r="CJ241" s="32">
        <v>95.8</v>
      </c>
      <c r="CK241" s="32">
        <v>98.2</v>
      </c>
      <c r="CL241" s="32">
        <v>94.2</v>
      </c>
      <c r="CM241" s="32">
        <v>101.6</v>
      </c>
      <c r="CN241" s="32">
        <v>117.3</v>
      </c>
      <c r="CO241" s="32">
        <v>98.8</v>
      </c>
      <c r="CP241" s="32">
        <v>103</v>
      </c>
      <c r="CQ241" s="32">
        <v>53.5</v>
      </c>
      <c r="CR241" s="32">
        <v>96.6</v>
      </c>
      <c r="CS241" s="32">
        <v>92.7</v>
      </c>
      <c r="CT241" s="32">
        <v>95.4</v>
      </c>
      <c r="CU241" s="32">
        <v>96.3</v>
      </c>
      <c r="CV241" s="32">
        <v>95.1</v>
      </c>
      <c r="CW241" s="32">
        <v>82</v>
      </c>
      <c r="CX241" s="32">
        <v>112.6</v>
      </c>
      <c r="CY241" s="32">
        <v>104.2</v>
      </c>
      <c r="CZ241" s="32">
        <v>117.4</v>
      </c>
      <c r="DA241" s="32">
        <v>110.4</v>
      </c>
      <c r="DB241" s="32">
        <v>131</v>
      </c>
      <c r="DC241" s="32">
        <v>53.8</v>
      </c>
      <c r="DD241" s="32">
        <v>53.8</v>
      </c>
      <c r="DE241" s="32">
        <v>91.6</v>
      </c>
      <c r="DF241" s="32">
        <v>90.6</v>
      </c>
      <c r="DG241" s="32">
        <v>97.6</v>
      </c>
      <c r="DH241" s="32">
        <v>100.8</v>
      </c>
      <c r="DI241" s="32">
        <v>116.5</v>
      </c>
      <c r="DJ241" s="32">
        <v>85.9</v>
      </c>
      <c r="DK241" s="32">
        <v>85.9</v>
      </c>
      <c r="DL241" s="32">
        <v>86.9</v>
      </c>
      <c r="DM241" s="32">
        <v>95.7</v>
      </c>
      <c r="DN241" s="32">
        <v>95.4</v>
      </c>
      <c r="DO241" s="32">
        <v>95.9</v>
      </c>
      <c r="DP241" s="32">
        <v>93.7</v>
      </c>
      <c r="DQ241" s="32">
        <v>94.3</v>
      </c>
      <c r="DR241" s="32">
        <v>94.9</v>
      </c>
      <c r="DS241" s="32">
        <v>96.2</v>
      </c>
      <c r="DT241" s="32">
        <v>95.6</v>
      </c>
      <c r="DU241" s="32">
        <v>95.6</v>
      </c>
      <c r="DV241" s="32">
        <v>96.3</v>
      </c>
      <c r="DW241" s="32">
        <v>94.6</v>
      </c>
      <c r="DX241" s="32">
        <v>95.8</v>
      </c>
      <c r="DY241" s="32">
        <v>98.6</v>
      </c>
      <c r="DZ241" s="32">
        <v>95.7</v>
      </c>
      <c r="EA241" s="32">
        <v>95.7</v>
      </c>
      <c r="EB241" s="32">
        <v>90.5</v>
      </c>
      <c r="EC241" s="32">
        <v>92.7</v>
      </c>
      <c r="ED241" s="32">
        <v>87.7</v>
      </c>
      <c r="EE241" s="32">
        <v>88.9</v>
      </c>
      <c r="EF241" s="32">
        <v>84.6</v>
      </c>
      <c r="EG241" s="32">
        <v>93.5</v>
      </c>
      <c r="EH241" s="32">
        <v>92.5</v>
      </c>
      <c r="EI241" s="32">
        <v>87.7</v>
      </c>
      <c r="EJ241" s="32">
        <v>104.7</v>
      </c>
      <c r="EK241" s="32">
        <v>95.8</v>
      </c>
      <c r="EL241" s="32">
        <v>86.8</v>
      </c>
      <c r="EM241" s="32">
        <v>86.5</v>
      </c>
      <c r="EN241" s="32">
        <v>103.1</v>
      </c>
      <c r="EO241" s="32">
        <v>94.5</v>
      </c>
      <c r="EP241" s="32">
        <v>93.6</v>
      </c>
      <c r="EQ241" s="32">
        <v>93.6</v>
      </c>
      <c r="ER241" s="32">
        <v>90.8</v>
      </c>
      <c r="ES241" s="32">
        <v>90.8</v>
      </c>
      <c r="ET241" s="32">
        <v>98</v>
      </c>
      <c r="EU241" s="32">
        <v>95.4</v>
      </c>
      <c r="EV241" s="32">
        <v>95.4</v>
      </c>
      <c r="EW241" s="32">
        <v>103.9</v>
      </c>
      <c r="EX241" s="32">
        <v>105.3</v>
      </c>
      <c r="EY241" s="32">
        <v>102.8</v>
      </c>
      <c r="EZ241" s="32">
        <v>90.3</v>
      </c>
      <c r="FA241" s="32">
        <v>88.2</v>
      </c>
      <c r="FB241" s="32">
        <v>83.1</v>
      </c>
      <c r="FC241" s="32">
        <v>80.400000000000006</v>
      </c>
      <c r="FD241" s="32">
        <v>98.7</v>
      </c>
      <c r="FE241" s="32">
        <v>80.599999999999994</v>
      </c>
      <c r="FF241" s="32">
        <v>94.6</v>
      </c>
      <c r="FG241" s="32">
        <v>92.2</v>
      </c>
      <c r="FH241" s="32">
        <v>84.4</v>
      </c>
      <c r="FI241" s="32">
        <v>130</v>
      </c>
      <c r="FJ241" s="32">
        <v>91.2</v>
      </c>
      <c r="FK241" s="32">
        <v>88.8</v>
      </c>
      <c r="FL241" s="32">
        <v>88.8</v>
      </c>
    </row>
    <row r="242" spans="1:168" x14ac:dyDescent="0.2">
      <c r="A242" s="34" t="s">
        <v>1222</v>
      </c>
      <c r="B242" s="32">
        <v>95</v>
      </c>
      <c r="C242" s="32">
        <v>91.5</v>
      </c>
      <c r="D242" s="32">
        <v>95.2</v>
      </c>
      <c r="E242" s="32">
        <v>94.6</v>
      </c>
      <c r="F242" s="32">
        <v>100.5</v>
      </c>
      <c r="G242" s="32">
        <v>587.9</v>
      </c>
      <c r="H242" s="32">
        <v>100.6</v>
      </c>
      <c r="I242" s="32">
        <v>96.1</v>
      </c>
      <c r="J242" s="32">
        <v>93.7</v>
      </c>
      <c r="K242" s="32">
        <v>92.2</v>
      </c>
      <c r="L242" s="32">
        <v>92.8</v>
      </c>
      <c r="M242" s="32">
        <v>98.6</v>
      </c>
      <c r="N242" s="32">
        <v>85.5</v>
      </c>
      <c r="O242" s="32">
        <v>32.799999999999997</v>
      </c>
      <c r="P242" s="32">
        <v>125.7</v>
      </c>
      <c r="Q242" s="32">
        <v>85.8</v>
      </c>
      <c r="R242" s="32">
        <v>88.2</v>
      </c>
      <c r="S242" s="32">
        <v>91.9</v>
      </c>
      <c r="T242" s="32">
        <v>112.9</v>
      </c>
      <c r="U242" s="32">
        <v>113</v>
      </c>
      <c r="V242" s="32">
        <v>80.5</v>
      </c>
      <c r="W242" s="32">
        <v>71.599999999999994</v>
      </c>
      <c r="X242" s="32">
        <v>71.400000000000006</v>
      </c>
      <c r="Y242" s="32">
        <v>69.3</v>
      </c>
      <c r="Z242" s="32">
        <v>82.5</v>
      </c>
      <c r="AA242" s="32">
        <v>93.8</v>
      </c>
      <c r="AB242" s="32">
        <v>97.1</v>
      </c>
      <c r="AC242" s="32">
        <v>86.5</v>
      </c>
      <c r="AD242" s="32">
        <v>98.1</v>
      </c>
      <c r="AE242" s="32">
        <v>162.5</v>
      </c>
      <c r="AF242" s="32">
        <v>162.5</v>
      </c>
      <c r="AG242" s="32">
        <v>80.5</v>
      </c>
      <c r="AH242" s="32">
        <v>80.5</v>
      </c>
      <c r="AI242" s="32">
        <v>89.8</v>
      </c>
      <c r="AJ242" s="32">
        <v>69.900000000000006</v>
      </c>
      <c r="AK242" s="32">
        <v>95.5</v>
      </c>
      <c r="AL242" s="32">
        <v>78.3</v>
      </c>
      <c r="AM242" s="32">
        <v>78.599999999999994</v>
      </c>
      <c r="AN242" s="32">
        <v>90.8</v>
      </c>
      <c r="AO242" s="32">
        <v>91.6</v>
      </c>
      <c r="AP242" s="32">
        <v>91.6</v>
      </c>
      <c r="AQ242" s="32">
        <v>92.5</v>
      </c>
      <c r="AR242" s="32">
        <v>91</v>
      </c>
      <c r="AS242" s="32">
        <v>94.4</v>
      </c>
      <c r="AT242" s="32">
        <v>89.3</v>
      </c>
      <c r="AU242" s="32">
        <v>98.6</v>
      </c>
      <c r="AV242" s="32">
        <v>105.8</v>
      </c>
      <c r="AW242" s="32">
        <v>152.9</v>
      </c>
      <c r="AX242" s="32">
        <v>171</v>
      </c>
      <c r="AY242" s="32">
        <v>142.30000000000001</v>
      </c>
      <c r="AZ242" s="32">
        <v>96.7</v>
      </c>
      <c r="BA242" s="32">
        <v>95</v>
      </c>
      <c r="BB242" s="32">
        <v>95</v>
      </c>
      <c r="BC242" s="32">
        <v>79.099999999999994</v>
      </c>
      <c r="BD242" s="32">
        <v>79.099999999999994</v>
      </c>
      <c r="BE242" s="32">
        <v>90.7</v>
      </c>
      <c r="BF242" s="32">
        <v>90.7</v>
      </c>
      <c r="BG242" s="32">
        <v>98</v>
      </c>
      <c r="BH242" s="32">
        <v>109.9</v>
      </c>
      <c r="BI242" s="32">
        <v>83.4</v>
      </c>
      <c r="BJ242" s="32">
        <v>57.3</v>
      </c>
      <c r="BK242" s="32">
        <v>90.1</v>
      </c>
      <c r="BL242" s="32">
        <v>83.6</v>
      </c>
      <c r="BM242" s="32">
        <v>95.5</v>
      </c>
      <c r="BN242" s="32">
        <v>90.4</v>
      </c>
      <c r="BO242" s="32">
        <v>95.9</v>
      </c>
      <c r="BP242" s="32">
        <v>85.5</v>
      </c>
      <c r="BQ242" s="32">
        <v>101.5</v>
      </c>
      <c r="BR242" s="32">
        <v>120.2</v>
      </c>
      <c r="BS242" s="32">
        <v>97.5</v>
      </c>
      <c r="BT242" s="32">
        <v>99.5</v>
      </c>
      <c r="BU242" s="32">
        <v>96.9</v>
      </c>
      <c r="BV242" s="32">
        <v>96.9</v>
      </c>
      <c r="BW242" s="32">
        <v>107.2</v>
      </c>
      <c r="BX242" s="32">
        <v>71.599999999999994</v>
      </c>
      <c r="BY242" s="32">
        <v>97.1</v>
      </c>
      <c r="BZ242" s="32">
        <v>96.9</v>
      </c>
      <c r="CA242" s="32">
        <v>97.2</v>
      </c>
      <c r="CB242" s="32">
        <v>103.4</v>
      </c>
      <c r="CC242" s="32">
        <v>91.1</v>
      </c>
      <c r="CD242" s="32">
        <v>86.8</v>
      </c>
      <c r="CE242" s="32">
        <v>96.7</v>
      </c>
      <c r="CF242" s="32">
        <v>95</v>
      </c>
      <c r="CG242" s="32">
        <v>98.2</v>
      </c>
      <c r="CH242" s="32">
        <v>99.6</v>
      </c>
      <c r="CI242" s="32">
        <v>108.5</v>
      </c>
      <c r="CJ242" s="32">
        <v>97.8</v>
      </c>
      <c r="CK242" s="32">
        <v>98.7</v>
      </c>
      <c r="CL242" s="32">
        <v>94.9</v>
      </c>
      <c r="CM242" s="32">
        <v>103.2</v>
      </c>
      <c r="CN242" s="32">
        <v>116.9</v>
      </c>
      <c r="CO242" s="32">
        <v>100.8</v>
      </c>
      <c r="CP242" s="32">
        <v>103.7</v>
      </c>
      <c r="CQ242" s="32">
        <v>54.5</v>
      </c>
      <c r="CR242" s="32">
        <v>95.5</v>
      </c>
      <c r="CS242" s="32">
        <v>94.3</v>
      </c>
      <c r="CT242" s="32">
        <v>98.1</v>
      </c>
      <c r="CU242" s="32">
        <v>94.2</v>
      </c>
      <c r="CV242" s="32">
        <v>99.7</v>
      </c>
      <c r="CW242" s="32">
        <v>82.7</v>
      </c>
      <c r="CX242" s="32">
        <v>115</v>
      </c>
      <c r="CY242" s="32">
        <v>104.4</v>
      </c>
      <c r="CZ242" s="32">
        <v>121.1</v>
      </c>
      <c r="DA242" s="32">
        <v>118.8</v>
      </c>
      <c r="DB242" s="32">
        <v>126.1</v>
      </c>
      <c r="DC242" s="32">
        <v>54.7</v>
      </c>
      <c r="DD242" s="32">
        <v>54.7</v>
      </c>
      <c r="DE242" s="32">
        <v>90.9</v>
      </c>
      <c r="DF242" s="32">
        <v>89</v>
      </c>
      <c r="DG242" s="32">
        <v>102.1</v>
      </c>
      <c r="DH242" s="32">
        <v>101.6</v>
      </c>
      <c r="DI242" s="32">
        <v>116.8</v>
      </c>
      <c r="DJ242" s="32">
        <v>88.1</v>
      </c>
      <c r="DK242" s="32">
        <v>88.1</v>
      </c>
      <c r="DL242" s="32">
        <v>87.6</v>
      </c>
      <c r="DM242" s="32">
        <v>95.4</v>
      </c>
      <c r="DN242" s="32">
        <v>94.9</v>
      </c>
      <c r="DO242" s="32">
        <v>95.8</v>
      </c>
      <c r="DP242" s="32">
        <v>90.8</v>
      </c>
      <c r="DQ242" s="32">
        <v>95.4</v>
      </c>
      <c r="DR242" s="32">
        <v>94.9</v>
      </c>
      <c r="DS242" s="32">
        <v>96.1</v>
      </c>
      <c r="DT242" s="32">
        <v>94.8</v>
      </c>
      <c r="DU242" s="32">
        <v>94.8</v>
      </c>
      <c r="DV242" s="32">
        <v>94.7</v>
      </c>
      <c r="DW242" s="32">
        <v>94.9</v>
      </c>
      <c r="DX242" s="32">
        <v>94.7</v>
      </c>
      <c r="DY242" s="32">
        <v>100.6</v>
      </c>
      <c r="DZ242" s="32">
        <v>95.8</v>
      </c>
      <c r="EA242" s="32">
        <v>95.8</v>
      </c>
      <c r="EB242" s="32">
        <v>91.1</v>
      </c>
      <c r="EC242" s="32">
        <v>92.6</v>
      </c>
      <c r="ED242" s="32">
        <v>89.4</v>
      </c>
      <c r="EE242" s="32">
        <v>90.4</v>
      </c>
      <c r="EF242" s="32">
        <v>86.6</v>
      </c>
      <c r="EG242" s="32">
        <v>96.2</v>
      </c>
      <c r="EH242" s="32">
        <v>95.9</v>
      </c>
      <c r="EI242" s="32">
        <v>89.7</v>
      </c>
      <c r="EJ242" s="32">
        <v>106</v>
      </c>
      <c r="EK242" s="32">
        <v>99</v>
      </c>
      <c r="EL242" s="32">
        <v>86.4</v>
      </c>
      <c r="EM242" s="32">
        <v>88.4</v>
      </c>
      <c r="EN242" s="32">
        <v>108</v>
      </c>
      <c r="EO242" s="32">
        <v>94.2</v>
      </c>
      <c r="EP242" s="32">
        <v>93.8</v>
      </c>
      <c r="EQ242" s="32">
        <v>93.8</v>
      </c>
      <c r="ER242" s="32">
        <v>90.1</v>
      </c>
      <c r="ES242" s="32">
        <v>90.1</v>
      </c>
      <c r="ET242" s="32">
        <v>97.8</v>
      </c>
      <c r="EU242" s="32">
        <v>95.1</v>
      </c>
      <c r="EV242" s="32">
        <v>95.1</v>
      </c>
      <c r="EW242" s="32">
        <v>104.1</v>
      </c>
      <c r="EX242" s="32">
        <v>105.8</v>
      </c>
      <c r="EY242" s="32">
        <v>102.8</v>
      </c>
      <c r="EZ242" s="32">
        <v>90.5</v>
      </c>
      <c r="FA242" s="32">
        <v>88.4</v>
      </c>
      <c r="FB242" s="32">
        <v>84.4</v>
      </c>
      <c r="FC242" s="32">
        <v>82.3</v>
      </c>
      <c r="FD242" s="32">
        <v>100.9</v>
      </c>
      <c r="FE242" s="32">
        <v>80.599999999999994</v>
      </c>
      <c r="FF242" s="32">
        <v>93.4</v>
      </c>
      <c r="FG242" s="32">
        <v>92.4</v>
      </c>
      <c r="FH242" s="32">
        <v>85.1</v>
      </c>
      <c r="FI242" s="32">
        <v>128.6</v>
      </c>
      <c r="FJ242" s="32">
        <v>91.2</v>
      </c>
      <c r="FK242" s="32">
        <v>88.9</v>
      </c>
      <c r="FL242" s="32">
        <v>88.9</v>
      </c>
    </row>
    <row r="243" spans="1:168" x14ac:dyDescent="0.2">
      <c r="A243" s="34" t="s">
        <v>1223</v>
      </c>
      <c r="B243" s="32">
        <v>94.7</v>
      </c>
      <c r="C243" s="32">
        <v>90.6</v>
      </c>
      <c r="D243" s="32">
        <v>93.4</v>
      </c>
      <c r="E243" s="32">
        <v>92.5</v>
      </c>
      <c r="F243" s="32">
        <v>91.7</v>
      </c>
      <c r="G243" s="32">
        <v>435.5</v>
      </c>
      <c r="H243" s="32">
        <v>90.1</v>
      </c>
      <c r="I243" s="32">
        <v>93</v>
      </c>
      <c r="J243" s="32">
        <v>91.2</v>
      </c>
      <c r="K243" s="32">
        <v>89.3</v>
      </c>
      <c r="L243" s="32">
        <v>89.9</v>
      </c>
      <c r="M243" s="32">
        <v>96.3</v>
      </c>
      <c r="N243" s="32">
        <v>85.4</v>
      </c>
      <c r="O243" s="32">
        <v>33.6</v>
      </c>
      <c r="P243" s="32">
        <v>110.8</v>
      </c>
      <c r="Q243" s="32">
        <v>81.599999999999994</v>
      </c>
      <c r="R243" s="32">
        <v>86.1</v>
      </c>
      <c r="S243" s="32">
        <v>90.5</v>
      </c>
      <c r="T243" s="32">
        <v>104.6</v>
      </c>
      <c r="U243" s="32">
        <v>110.1</v>
      </c>
      <c r="V243" s="32">
        <v>79.3</v>
      </c>
      <c r="W243" s="32">
        <v>69.7</v>
      </c>
      <c r="X243" s="32">
        <v>72</v>
      </c>
      <c r="Y243" s="32">
        <v>61.7</v>
      </c>
      <c r="Z243" s="32">
        <v>84.8</v>
      </c>
      <c r="AA243" s="32">
        <v>93.9</v>
      </c>
      <c r="AB243" s="32">
        <v>90</v>
      </c>
      <c r="AC243" s="32">
        <v>86</v>
      </c>
      <c r="AD243" s="32">
        <v>104</v>
      </c>
      <c r="AE243" s="32">
        <v>160.30000000000001</v>
      </c>
      <c r="AF243" s="32">
        <v>160.30000000000001</v>
      </c>
      <c r="AG243" s="32">
        <v>78.099999999999994</v>
      </c>
      <c r="AH243" s="32">
        <v>78.099999999999994</v>
      </c>
      <c r="AI243" s="32">
        <v>83</v>
      </c>
      <c r="AJ243" s="32">
        <v>70.2</v>
      </c>
      <c r="AK243" s="32">
        <v>93.8</v>
      </c>
      <c r="AL243" s="32">
        <v>78.099999999999994</v>
      </c>
      <c r="AM243" s="32">
        <v>76.599999999999994</v>
      </c>
      <c r="AN243" s="32">
        <v>83.4</v>
      </c>
      <c r="AO243" s="32">
        <v>86.1</v>
      </c>
      <c r="AP243" s="32">
        <v>86.1</v>
      </c>
      <c r="AQ243" s="32">
        <v>90.7</v>
      </c>
      <c r="AR243" s="32">
        <v>88.1</v>
      </c>
      <c r="AS243" s="32">
        <v>94.2</v>
      </c>
      <c r="AT243" s="32">
        <v>90.7</v>
      </c>
      <c r="AU243" s="32">
        <v>97</v>
      </c>
      <c r="AV243" s="32">
        <v>103.5</v>
      </c>
      <c r="AW243" s="32">
        <v>147.6</v>
      </c>
      <c r="AX243" s="32">
        <v>165.4</v>
      </c>
      <c r="AY243" s="32">
        <v>135.80000000000001</v>
      </c>
      <c r="AZ243" s="32">
        <v>95</v>
      </c>
      <c r="BA243" s="32">
        <v>96</v>
      </c>
      <c r="BB243" s="32">
        <v>96</v>
      </c>
      <c r="BC243" s="32">
        <v>80.400000000000006</v>
      </c>
      <c r="BD243" s="32">
        <v>80.400000000000006</v>
      </c>
      <c r="BE243" s="32">
        <v>88.8</v>
      </c>
      <c r="BF243" s="32">
        <v>88.8</v>
      </c>
      <c r="BG243" s="32">
        <v>93.1</v>
      </c>
      <c r="BH243" s="32">
        <v>103.7</v>
      </c>
      <c r="BI243" s="32">
        <v>80.099999999999994</v>
      </c>
      <c r="BJ243" s="32">
        <v>56.9</v>
      </c>
      <c r="BK243" s="32">
        <v>86.6</v>
      </c>
      <c r="BL243" s="32">
        <v>73.3</v>
      </c>
      <c r="BM243" s="32">
        <v>92.8</v>
      </c>
      <c r="BN243" s="32">
        <v>89.7</v>
      </c>
      <c r="BO243" s="32">
        <v>95</v>
      </c>
      <c r="BP243" s="32">
        <v>85.3</v>
      </c>
      <c r="BQ243" s="32">
        <v>96.3</v>
      </c>
      <c r="BR243" s="32">
        <v>115.4</v>
      </c>
      <c r="BS243" s="32">
        <v>103.6</v>
      </c>
      <c r="BT243" s="32">
        <v>91</v>
      </c>
      <c r="BU243" s="32">
        <v>97</v>
      </c>
      <c r="BV243" s="32">
        <v>97</v>
      </c>
      <c r="BW243" s="32">
        <v>102.2</v>
      </c>
      <c r="BX243" s="32">
        <v>81.900000000000006</v>
      </c>
      <c r="BY243" s="32">
        <v>100.1</v>
      </c>
      <c r="BZ243" s="32">
        <v>95.9</v>
      </c>
      <c r="CA243" s="32">
        <v>102.2</v>
      </c>
      <c r="CB243" s="32">
        <v>114.3</v>
      </c>
      <c r="CC243" s="32">
        <v>90.1</v>
      </c>
      <c r="CD243" s="32">
        <v>84.9</v>
      </c>
      <c r="CE243" s="32">
        <v>95.4</v>
      </c>
      <c r="CF243" s="32">
        <v>95.1</v>
      </c>
      <c r="CG243" s="32">
        <v>97.6</v>
      </c>
      <c r="CH243" s="32">
        <v>99.6</v>
      </c>
      <c r="CI243" s="32">
        <v>105</v>
      </c>
      <c r="CJ243" s="32">
        <v>96.8</v>
      </c>
      <c r="CK243" s="32">
        <v>100.2</v>
      </c>
      <c r="CL243" s="32">
        <v>94.7</v>
      </c>
      <c r="CM243" s="32">
        <v>102.8</v>
      </c>
      <c r="CN243" s="32">
        <v>114.5</v>
      </c>
      <c r="CO243" s="32">
        <v>100.6</v>
      </c>
      <c r="CP243" s="32">
        <v>103.7</v>
      </c>
      <c r="CQ243" s="32">
        <v>54.2</v>
      </c>
      <c r="CR243" s="32">
        <v>94.9</v>
      </c>
      <c r="CS243" s="32">
        <v>95.2</v>
      </c>
      <c r="CT243" s="32">
        <v>95.1</v>
      </c>
      <c r="CU243" s="32">
        <v>94.4</v>
      </c>
      <c r="CV243" s="32">
        <v>95.5</v>
      </c>
      <c r="CW243" s="32">
        <v>82.8</v>
      </c>
      <c r="CX243" s="32">
        <v>109.7</v>
      </c>
      <c r="CY243" s="32">
        <v>104.4</v>
      </c>
      <c r="CZ243" s="32">
        <v>112.9</v>
      </c>
      <c r="DA243" s="32">
        <v>107.8</v>
      </c>
      <c r="DB243" s="32">
        <v>123.1</v>
      </c>
      <c r="DC243" s="32">
        <v>56.2</v>
      </c>
      <c r="DD243" s="32">
        <v>56.2</v>
      </c>
      <c r="DE243" s="32">
        <v>91.6</v>
      </c>
      <c r="DF243" s="32">
        <v>90</v>
      </c>
      <c r="DG243" s="32">
        <v>101.2</v>
      </c>
      <c r="DH243" s="32">
        <v>102.8</v>
      </c>
      <c r="DI243" s="32">
        <v>115.2</v>
      </c>
      <c r="DJ243" s="32">
        <v>90</v>
      </c>
      <c r="DK243" s="32">
        <v>90</v>
      </c>
      <c r="DL243" s="32">
        <v>92.6</v>
      </c>
      <c r="DM243" s="32">
        <v>95.8</v>
      </c>
      <c r="DN243" s="32">
        <v>95.7</v>
      </c>
      <c r="DO243" s="32">
        <v>95.8</v>
      </c>
      <c r="DP243" s="32">
        <v>96</v>
      </c>
      <c r="DQ243" s="32">
        <v>95.2</v>
      </c>
      <c r="DR243" s="32">
        <v>95.2</v>
      </c>
      <c r="DS243" s="32">
        <v>96.3</v>
      </c>
      <c r="DT243" s="32">
        <v>95</v>
      </c>
      <c r="DU243" s="32">
        <v>95.7</v>
      </c>
      <c r="DV243" s="32">
        <v>98.5</v>
      </c>
      <c r="DW243" s="32">
        <v>92.4</v>
      </c>
      <c r="DX243" s="32">
        <v>93.5</v>
      </c>
      <c r="DY243" s="32">
        <v>100.9</v>
      </c>
      <c r="DZ243" s="32">
        <v>91.2</v>
      </c>
      <c r="EA243" s="32">
        <v>91.2</v>
      </c>
      <c r="EB243" s="32">
        <v>93.7</v>
      </c>
      <c r="EC243" s="32">
        <v>95.3</v>
      </c>
      <c r="ED243" s="32">
        <v>91.7</v>
      </c>
      <c r="EE243" s="32">
        <v>93.8</v>
      </c>
      <c r="EF243" s="32">
        <v>86.3</v>
      </c>
      <c r="EG243" s="32">
        <v>95.2</v>
      </c>
      <c r="EH243" s="32">
        <v>96.5</v>
      </c>
      <c r="EI243" s="32">
        <v>89.4</v>
      </c>
      <c r="EJ243" s="32">
        <v>105.7</v>
      </c>
      <c r="EK243" s="32">
        <v>96.2</v>
      </c>
      <c r="EL243" s="32">
        <v>91.2</v>
      </c>
      <c r="EM243" s="32">
        <v>89</v>
      </c>
      <c r="EN243" s="32">
        <v>101.3</v>
      </c>
      <c r="EO243" s="32">
        <v>94.5</v>
      </c>
      <c r="EP243" s="32">
        <v>93.8</v>
      </c>
      <c r="EQ243" s="32">
        <v>93.8</v>
      </c>
      <c r="ER243" s="32">
        <v>89.9</v>
      </c>
      <c r="ES243" s="32">
        <v>89.9</v>
      </c>
      <c r="ET243" s="32">
        <v>98.8</v>
      </c>
      <c r="EU243" s="32">
        <v>96.5</v>
      </c>
      <c r="EV243" s="32">
        <v>96.5</v>
      </c>
      <c r="EW243" s="32">
        <v>104</v>
      </c>
      <c r="EX243" s="32">
        <v>106.2</v>
      </c>
      <c r="EY243" s="32">
        <v>102.2</v>
      </c>
      <c r="EZ243" s="32">
        <v>89.5</v>
      </c>
      <c r="FA243" s="32">
        <v>88.4</v>
      </c>
      <c r="FB243" s="32">
        <v>82.3</v>
      </c>
      <c r="FC243" s="32">
        <v>77.3</v>
      </c>
      <c r="FD243" s="32">
        <v>106.3</v>
      </c>
      <c r="FE243" s="32">
        <v>79.900000000000006</v>
      </c>
      <c r="FF243" s="32">
        <v>95.9</v>
      </c>
      <c r="FG243" s="32">
        <v>90.5</v>
      </c>
      <c r="FH243" s="32">
        <v>87.4</v>
      </c>
      <c r="FI243" s="32">
        <v>115.4</v>
      </c>
      <c r="FJ243" s="32">
        <v>88.8</v>
      </c>
      <c r="FK243" s="32">
        <v>90</v>
      </c>
      <c r="FL243" s="32">
        <v>90</v>
      </c>
    </row>
    <row r="244" spans="1:168" x14ac:dyDescent="0.2">
      <c r="A244" s="34" t="s">
        <v>1224</v>
      </c>
      <c r="B244" s="32">
        <v>95.2</v>
      </c>
      <c r="C244" s="32">
        <v>91.5</v>
      </c>
      <c r="D244" s="32">
        <v>94.5</v>
      </c>
      <c r="E244" s="32">
        <v>94</v>
      </c>
      <c r="F244" s="32">
        <v>98.5</v>
      </c>
      <c r="G244" s="32">
        <v>397.3</v>
      </c>
      <c r="H244" s="32">
        <v>99.4</v>
      </c>
      <c r="I244" s="32">
        <v>92.3</v>
      </c>
      <c r="J244" s="32">
        <v>92.3</v>
      </c>
      <c r="K244" s="32">
        <v>88.7</v>
      </c>
      <c r="L244" s="32">
        <v>88.6</v>
      </c>
      <c r="M244" s="32">
        <v>95.2</v>
      </c>
      <c r="N244" s="32">
        <v>82.5</v>
      </c>
      <c r="O244" s="32">
        <v>41.9</v>
      </c>
      <c r="P244" s="32">
        <v>107.5</v>
      </c>
      <c r="Q244" s="32">
        <v>89</v>
      </c>
      <c r="R244" s="32">
        <v>85.5</v>
      </c>
      <c r="S244" s="32">
        <v>88.6</v>
      </c>
      <c r="T244" s="32">
        <v>98.2</v>
      </c>
      <c r="U244" s="32">
        <v>113</v>
      </c>
      <c r="V244" s="32">
        <v>80.599999999999994</v>
      </c>
      <c r="W244" s="32">
        <v>70.099999999999994</v>
      </c>
      <c r="X244" s="32">
        <v>72</v>
      </c>
      <c r="Y244" s="32">
        <v>59.7</v>
      </c>
      <c r="Z244" s="32">
        <v>98.5</v>
      </c>
      <c r="AA244" s="32">
        <v>94.8</v>
      </c>
      <c r="AB244" s="32">
        <v>95</v>
      </c>
      <c r="AC244" s="32">
        <v>85.9</v>
      </c>
      <c r="AD244" s="32">
        <v>103</v>
      </c>
      <c r="AE244" s="32">
        <v>164.7</v>
      </c>
      <c r="AF244" s="32">
        <v>164.7</v>
      </c>
      <c r="AG244" s="32">
        <v>77.2</v>
      </c>
      <c r="AH244" s="32">
        <v>77.2</v>
      </c>
      <c r="AI244" s="32">
        <v>92.1</v>
      </c>
      <c r="AJ244" s="32">
        <v>66.3</v>
      </c>
      <c r="AK244" s="32">
        <v>91.7</v>
      </c>
      <c r="AL244" s="32">
        <v>73.7</v>
      </c>
      <c r="AM244" s="32">
        <v>78.2</v>
      </c>
      <c r="AN244" s="32">
        <v>81.3</v>
      </c>
      <c r="AO244" s="32">
        <v>93.3</v>
      </c>
      <c r="AP244" s="32">
        <v>93.3</v>
      </c>
      <c r="AQ244" s="32">
        <v>91.7</v>
      </c>
      <c r="AR244" s="32">
        <v>90.3</v>
      </c>
      <c r="AS244" s="32">
        <v>93.5</v>
      </c>
      <c r="AT244" s="32">
        <v>88.9</v>
      </c>
      <c r="AU244" s="32">
        <v>97.2</v>
      </c>
      <c r="AV244" s="32">
        <v>104.5</v>
      </c>
      <c r="AW244" s="32">
        <v>139.4</v>
      </c>
      <c r="AX244" s="32">
        <v>146.69999999999999</v>
      </c>
      <c r="AY244" s="32">
        <v>141.80000000000001</v>
      </c>
      <c r="AZ244" s="32">
        <v>97.7</v>
      </c>
      <c r="BA244" s="32">
        <v>95.3</v>
      </c>
      <c r="BB244" s="32">
        <v>95.3</v>
      </c>
      <c r="BC244" s="32">
        <v>84.3</v>
      </c>
      <c r="BD244" s="32">
        <v>84.3</v>
      </c>
      <c r="BE244" s="32">
        <v>91</v>
      </c>
      <c r="BF244" s="32">
        <v>91</v>
      </c>
      <c r="BG244" s="32">
        <v>97.3</v>
      </c>
      <c r="BH244" s="32">
        <v>110.7</v>
      </c>
      <c r="BI244" s="32">
        <v>81.099999999999994</v>
      </c>
      <c r="BJ244" s="32">
        <v>59.5</v>
      </c>
      <c r="BK244" s="32">
        <v>87</v>
      </c>
      <c r="BL244" s="32">
        <v>74.5</v>
      </c>
      <c r="BM244" s="32">
        <v>88.3</v>
      </c>
      <c r="BN244" s="32">
        <v>89.6</v>
      </c>
      <c r="BO244" s="32">
        <v>94</v>
      </c>
      <c r="BP244" s="32">
        <v>85.9</v>
      </c>
      <c r="BQ244" s="32">
        <v>86.8</v>
      </c>
      <c r="BR244" s="32">
        <v>53.4</v>
      </c>
      <c r="BS244" s="32">
        <v>92.4</v>
      </c>
      <c r="BT244" s="32">
        <v>89.9</v>
      </c>
      <c r="BU244" s="32">
        <v>100.9</v>
      </c>
      <c r="BV244" s="32">
        <v>100.9</v>
      </c>
      <c r="BW244" s="32">
        <v>105.5</v>
      </c>
      <c r="BX244" s="32">
        <v>87.6</v>
      </c>
      <c r="BY244" s="32">
        <v>99.3</v>
      </c>
      <c r="BZ244" s="32">
        <v>97.7</v>
      </c>
      <c r="CA244" s="32">
        <v>100.1</v>
      </c>
      <c r="CB244" s="32">
        <v>109.6</v>
      </c>
      <c r="CC244" s="32">
        <v>90.7</v>
      </c>
      <c r="CD244" s="32">
        <v>83.7</v>
      </c>
      <c r="CE244" s="32">
        <v>95.6</v>
      </c>
      <c r="CF244" s="32">
        <v>95.5</v>
      </c>
      <c r="CG244" s="32">
        <v>98</v>
      </c>
      <c r="CH244" s="32">
        <v>100</v>
      </c>
      <c r="CI244" s="32">
        <v>104.3</v>
      </c>
      <c r="CJ244" s="32">
        <v>98.6</v>
      </c>
      <c r="CK244" s="32">
        <v>99.9</v>
      </c>
      <c r="CL244" s="32">
        <v>93.7</v>
      </c>
      <c r="CM244" s="32">
        <v>101.9</v>
      </c>
      <c r="CN244" s="32">
        <v>115.8</v>
      </c>
      <c r="CO244" s="32">
        <v>99.3</v>
      </c>
      <c r="CP244" s="32">
        <v>103.9</v>
      </c>
      <c r="CQ244" s="32">
        <v>54.2</v>
      </c>
      <c r="CR244" s="32">
        <v>94.1</v>
      </c>
      <c r="CS244" s="32">
        <v>92.3</v>
      </c>
      <c r="CT244" s="32">
        <v>97.1</v>
      </c>
      <c r="CU244" s="32">
        <v>96.1</v>
      </c>
      <c r="CV244" s="32">
        <v>97.6</v>
      </c>
      <c r="CW244" s="32">
        <v>82.7</v>
      </c>
      <c r="CX244" s="32">
        <v>108.4</v>
      </c>
      <c r="CY244" s="32">
        <v>106</v>
      </c>
      <c r="CZ244" s="32">
        <v>109.9</v>
      </c>
      <c r="DA244" s="32">
        <v>102.2</v>
      </c>
      <c r="DB244" s="32">
        <v>124.8</v>
      </c>
      <c r="DC244" s="32">
        <v>57.3</v>
      </c>
      <c r="DD244" s="32">
        <v>57.3</v>
      </c>
      <c r="DE244" s="32">
        <v>90.8</v>
      </c>
      <c r="DF244" s="32">
        <v>89.3</v>
      </c>
      <c r="DG244" s="32">
        <v>99.7</v>
      </c>
      <c r="DH244" s="32">
        <v>103.3</v>
      </c>
      <c r="DI244" s="32">
        <v>115.7</v>
      </c>
      <c r="DJ244" s="32">
        <v>92.2</v>
      </c>
      <c r="DK244" s="32">
        <v>92.2</v>
      </c>
      <c r="DL244" s="32">
        <v>91.8</v>
      </c>
      <c r="DM244" s="32">
        <v>95.9</v>
      </c>
      <c r="DN244" s="32">
        <v>96.1</v>
      </c>
      <c r="DO244" s="32">
        <v>95.8</v>
      </c>
      <c r="DP244" s="32">
        <v>95.3</v>
      </c>
      <c r="DQ244" s="32">
        <v>95.3</v>
      </c>
      <c r="DR244" s="32">
        <v>95.1</v>
      </c>
      <c r="DS244" s="32">
        <v>96.8</v>
      </c>
      <c r="DT244" s="32">
        <v>95.5</v>
      </c>
      <c r="DU244" s="32">
        <v>96.4</v>
      </c>
      <c r="DV244" s="32">
        <v>97.3</v>
      </c>
      <c r="DW244" s="32">
        <v>95.3</v>
      </c>
      <c r="DX244" s="32">
        <v>93.4</v>
      </c>
      <c r="DY244" s="32">
        <v>101.3</v>
      </c>
      <c r="DZ244" s="32">
        <v>88.1</v>
      </c>
      <c r="EA244" s="32">
        <v>88.1</v>
      </c>
      <c r="EB244" s="32">
        <v>92.9</v>
      </c>
      <c r="EC244" s="32">
        <v>94.8</v>
      </c>
      <c r="ED244" s="32">
        <v>90.6</v>
      </c>
      <c r="EE244" s="32">
        <v>91.8</v>
      </c>
      <c r="EF244" s="32">
        <v>87.3</v>
      </c>
      <c r="EG244" s="32">
        <v>95.7</v>
      </c>
      <c r="EH244" s="32">
        <v>95.4</v>
      </c>
      <c r="EI244" s="32">
        <v>91.3</v>
      </c>
      <c r="EJ244" s="32">
        <v>107.2</v>
      </c>
      <c r="EK244" s="32">
        <v>96.4</v>
      </c>
      <c r="EL244" s="32">
        <v>87.2</v>
      </c>
      <c r="EM244" s="32">
        <v>92.5</v>
      </c>
      <c r="EN244" s="32">
        <v>100.1</v>
      </c>
      <c r="EO244" s="32">
        <v>95</v>
      </c>
      <c r="EP244" s="32">
        <v>94.3</v>
      </c>
      <c r="EQ244" s="32">
        <v>94.3</v>
      </c>
      <c r="ER244" s="32">
        <v>90</v>
      </c>
      <c r="ES244" s="32">
        <v>90</v>
      </c>
      <c r="ET244" s="32">
        <v>99.7</v>
      </c>
      <c r="EU244" s="32">
        <v>97.7</v>
      </c>
      <c r="EV244" s="32">
        <v>97.7</v>
      </c>
      <c r="EW244" s="32">
        <v>104.4</v>
      </c>
      <c r="EX244" s="32">
        <v>106.9</v>
      </c>
      <c r="EY244" s="32">
        <v>102.3</v>
      </c>
      <c r="EZ244" s="32">
        <v>92.1</v>
      </c>
      <c r="FA244" s="32">
        <v>92</v>
      </c>
      <c r="FB244" s="32">
        <v>85.2</v>
      </c>
      <c r="FC244" s="32">
        <v>82.7</v>
      </c>
      <c r="FD244" s="32">
        <v>104</v>
      </c>
      <c r="FE244" s="32">
        <v>80.900000000000006</v>
      </c>
      <c r="FF244" s="32">
        <v>100.6</v>
      </c>
      <c r="FG244" s="32">
        <v>92.3</v>
      </c>
      <c r="FH244" s="32">
        <v>90.1</v>
      </c>
      <c r="FI244" s="32">
        <v>120.7</v>
      </c>
      <c r="FJ244" s="32">
        <v>90</v>
      </c>
      <c r="FK244" s="32">
        <v>90.1</v>
      </c>
      <c r="FL244" s="32">
        <v>90.1</v>
      </c>
    </row>
    <row r="245" spans="1:168" x14ac:dyDescent="0.2">
      <c r="A245" s="34" t="s">
        <v>1225</v>
      </c>
      <c r="B245" s="32">
        <v>95.9</v>
      </c>
      <c r="C245" s="32">
        <v>94.1</v>
      </c>
      <c r="D245" s="32">
        <v>96.8</v>
      </c>
      <c r="E245" s="32">
        <v>96</v>
      </c>
      <c r="F245" s="32">
        <v>99</v>
      </c>
      <c r="G245" s="32">
        <v>322.5</v>
      </c>
      <c r="H245" s="32">
        <v>100.1</v>
      </c>
      <c r="I245" s="32">
        <v>92.3</v>
      </c>
      <c r="J245" s="32">
        <v>95.5</v>
      </c>
      <c r="K245" s="32">
        <v>89.8</v>
      </c>
      <c r="L245" s="32">
        <v>89.2</v>
      </c>
      <c r="M245" s="32">
        <v>96.1</v>
      </c>
      <c r="N245" s="32">
        <v>82.9</v>
      </c>
      <c r="O245" s="32">
        <v>43.7</v>
      </c>
      <c r="P245" s="32">
        <v>96.4</v>
      </c>
      <c r="Q245" s="32">
        <v>91.8</v>
      </c>
      <c r="R245" s="32">
        <v>91.8</v>
      </c>
      <c r="S245" s="32">
        <v>89.5</v>
      </c>
      <c r="T245" s="32">
        <v>88.6</v>
      </c>
      <c r="U245" s="32">
        <v>114.2</v>
      </c>
      <c r="V245" s="32">
        <v>84.1</v>
      </c>
      <c r="W245" s="32">
        <v>79.5</v>
      </c>
      <c r="X245" s="32">
        <v>84.1</v>
      </c>
      <c r="Y245" s="32">
        <v>67.599999999999994</v>
      </c>
      <c r="Z245" s="32">
        <v>89.7</v>
      </c>
      <c r="AA245" s="32">
        <v>96.5</v>
      </c>
      <c r="AB245" s="32">
        <v>96.6</v>
      </c>
      <c r="AC245" s="32">
        <v>88.2</v>
      </c>
      <c r="AD245" s="32">
        <v>104.1</v>
      </c>
      <c r="AE245" s="32">
        <v>155.80000000000001</v>
      </c>
      <c r="AF245" s="32">
        <v>155.80000000000001</v>
      </c>
      <c r="AG245" s="32">
        <v>78.3</v>
      </c>
      <c r="AH245" s="32">
        <v>78.3</v>
      </c>
      <c r="AI245" s="32">
        <v>96.6</v>
      </c>
      <c r="AJ245" s="32">
        <v>67.8</v>
      </c>
      <c r="AK245" s="32">
        <v>108.7</v>
      </c>
      <c r="AL245" s="32">
        <v>75</v>
      </c>
      <c r="AM245" s="32">
        <v>76</v>
      </c>
      <c r="AN245" s="32">
        <v>81</v>
      </c>
      <c r="AO245" s="32">
        <v>105.2</v>
      </c>
      <c r="AP245" s="32">
        <v>105.2</v>
      </c>
      <c r="AQ245" s="32">
        <v>92.5</v>
      </c>
      <c r="AR245" s="32">
        <v>91.7</v>
      </c>
      <c r="AS245" s="32">
        <v>93.5</v>
      </c>
      <c r="AT245" s="32">
        <v>89.3</v>
      </c>
      <c r="AU245" s="32">
        <v>96.9</v>
      </c>
      <c r="AV245" s="32">
        <v>109.3</v>
      </c>
      <c r="AW245" s="32">
        <v>153.5</v>
      </c>
      <c r="AX245" s="32">
        <v>165.8</v>
      </c>
      <c r="AY245" s="32">
        <v>149.80000000000001</v>
      </c>
      <c r="AZ245" s="32">
        <v>100.8</v>
      </c>
      <c r="BA245" s="32">
        <v>102.7</v>
      </c>
      <c r="BB245" s="32">
        <v>102.7</v>
      </c>
      <c r="BC245" s="32">
        <v>82.5</v>
      </c>
      <c r="BD245" s="32">
        <v>82.5</v>
      </c>
      <c r="BE245" s="32">
        <v>93.2</v>
      </c>
      <c r="BF245" s="32">
        <v>93.2</v>
      </c>
      <c r="BG245" s="32">
        <v>97.2</v>
      </c>
      <c r="BH245" s="32">
        <v>110.3</v>
      </c>
      <c r="BI245" s="32">
        <v>81.400000000000006</v>
      </c>
      <c r="BJ245" s="32">
        <v>62.3</v>
      </c>
      <c r="BK245" s="32">
        <v>86.7</v>
      </c>
      <c r="BL245" s="32">
        <v>74.900000000000006</v>
      </c>
      <c r="BM245" s="32">
        <v>94.3</v>
      </c>
      <c r="BN245" s="32">
        <v>91.2</v>
      </c>
      <c r="BO245" s="32">
        <v>91.1</v>
      </c>
      <c r="BP245" s="32">
        <v>91.3</v>
      </c>
      <c r="BQ245" s="32">
        <v>97.9</v>
      </c>
      <c r="BR245" s="32">
        <v>56.7</v>
      </c>
      <c r="BS245" s="32">
        <v>92.5</v>
      </c>
      <c r="BT245" s="32">
        <v>105.9</v>
      </c>
      <c r="BU245" s="32">
        <v>96.9</v>
      </c>
      <c r="BV245" s="32">
        <v>96.9</v>
      </c>
      <c r="BW245" s="32">
        <v>103.6</v>
      </c>
      <c r="BX245" s="32">
        <v>78.3</v>
      </c>
      <c r="BY245" s="32">
        <v>99</v>
      </c>
      <c r="BZ245" s="32">
        <v>96.5</v>
      </c>
      <c r="CA245" s="32">
        <v>100.2</v>
      </c>
      <c r="CB245" s="32">
        <v>109.2</v>
      </c>
      <c r="CC245" s="32">
        <v>91.4</v>
      </c>
      <c r="CD245" s="32">
        <v>81.2</v>
      </c>
      <c r="CE245" s="32">
        <v>98.8</v>
      </c>
      <c r="CF245" s="32">
        <v>95.8</v>
      </c>
      <c r="CG245" s="32">
        <v>99</v>
      </c>
      <c r="CH245" s="32">
        <v>101.2</v>
      </c>
      <c r="CI245" s="32">
        <v>108.6</v>
      </c>
      <c r="CJ245" s="32">
        <v>101.5</v>
      </c>
      <c r="CK245" s="32">
        <v>99.2</v>
      </c>
      <c r="CL245" s="32">
        <v>93.5</v>
      </c>
      <c r="CM245" s="32">
        <v>102</v>
      </c>
      <c r="CN245" s="32">
        <v>116.7</v>
      </c>
      <c r="CO245" s="32">
        <v>99.4</v>
      </c>
      <c r="CP245" s="32">
        <v>102.8</v>
      </c>
      <c r="CQ245" s="32">
        <v>55.3</v>
      </c>
      <c r="CR245" s="32">
        <v>96.5</v>
      </c>
      <c r="CS245" s="32">
        <v>85.9</v>
      </c>
      <c r="CT245" s="32">
        <v>99</v>
      </c>
      <c r="CU245" s="32">
        <v>96</v>
      </c>
      <c r="CV245" s="32">
        <v>100.3</v>
      </c>
      <c r="CW245" s="32">
        <v>82.2</v>
      </c>
      <c r="CX245" s="32">
        <v>106.4</v>
      </c>
      <c r="CY245" s="32">
        <v>105.7</v>
      </c>
      <c r="CZ245" s="32">
        <v>106.8</v>
      </c>
      <c r="DA245" s="32">
        <v>98.1</v>
      </c>
      <c r="DB245" s="32">
        <v>123.4</v>
      </c>
      <c r="DC245" s="32">
        <v>58.2</v>
      </c>
      <c r="DD245" s="32">
        <v>58.2</v>
      </c>
      <c r="DE245" s="32">
        <v>89.6</v>
      </c>
      <c r="DF245" s="32">
        <v>87.6</v>
      </c>
      <c r="DG245" s="32">
        <v>101.9</v>
      </c>
      <c r="DH245" s="32">
        <v>102.8</v>
      </c>
      <c r="DI245" s="32">
        <v>115.6</v>
      </c>
      <c r="DJ245" s="32">
        <v>92.9</v>
      </c>
      <c r="DK245" s="32">
        <v>92.9</v>
      </c>
      <c r="DL245" s="32">
        <v>89.7</v>
      </c>
      <c r="DM245" s="32">
        <v>95.6</v>
      </c>
      <c r="DN245" s="32">
        <v>96.1</v>
      </c>
      <c r="DO245" s="32">
        <v>95.3</v>
      </c>
      <c r="DP245" s="32">
        <v>98.4</v>
      </c>
      <c r="DQ245" s="32">
        <v>96.3</v>
      </c>
      <c r="DR245" s="32">
        <v>96.4</v>
      </c>
      <c r="DS245" s="32">
        <v>96.7</v>
      </c>
      <c r="DT245" s="32">
        <v>94.4</v>
      </c>
      <c r="DU245" s="32">
        <v>94.6</v>
      </c>
      <c r="DV245" s="32">
        <v>98.3</v>
      </c>
      <c r="DW245" s="32">
        <v>90.1</v>
      </c>
      <c r="DX245" s="32">
        <v>94</v>
      </c>
      <c r="DY245" s="32">
        <v>104.1</v>
      </c>
      <c r="DZ245" s="32">
        <v>95.5</v>
      </c>
      <c r="EA245" s="32">
        <v>95.5</v>
      </c>
      <c r="EB245" s="32">
        <v>96.2</v>
      </c>
      <c r="EC245" s="32">
        <v>100</v>
      </c>
      <c r="ED245" s="32">
        <v>91.4</v>
      </c>
      <c r="EE245" s="32">
        <v>92.4</v>
      </c>
      <c r="EF245" s="32">
        <v>88.8</v>
      </c>
      <c r="EG245" s="32">
        <v>96.2</v>
      </c>
      <c r="EH245" s="32">
        <v>96.5</v>
      </c>
      <c r="EI245" s="32">
        <v>91</v>
      </c>
      <c r="EJ245" s="32">
        <v>110.7</v>
      </c>
      <c r="EK245" s="32">
        <v>96.3</v>
      </c>
      <c r="EL245" s="32">
        <v>87.5</v>
      </c>
      <c r="EM245" s="32">
        <v>91.4</v>
      </c>
      <c r="EN245" s="32">
        <v>100.7</v>
      </c>
      <c r="EO245" s="32">
        <v>95.2</v>
      </c>
      <c r="EP245" s="32">
        <v>94.2</v>
      </c>
      <c r="EQ245" s="32">
        <v>94.2</v>
      </c>
      <c r="ER245" s="32">
        <v>90.1</v>
      </c>
      <c r="ES245" s="32">
        <v>90.1</v>
      </c>
      <c r="ET245" s="32">
        <v>100</v>
      </c>
      <c r="EU245" s="32">
        <v>98</v>
      </c>
      <c r="EV245" s="32">
        <v>98</v>
      </c>
      <c r="EW245" s="32">
        <v>104.6</v>
      </c>
      <c r="EX245" s="32">
        <v>106.9</v>
      </c>
      <c r="EY245" s="32">
        <v>102.8</v>
      </c>
      <c r="EZ245" s="32">
        <v>92.9</v>
      </c>
      <c r="FA245" s="32">
        <v>91.7</v>
      </c>
      <c r="FB245" s="32">
        <v>90.3</v>
      </c>
      <c r="FC245" s="32">
        <v>91.2</v>
      </c>
      <c r="FD245" s="32">
        <v>101.1</v>
      </c>
      <c r="FE245" s="32">
        <v>84.1</v>
      </c>
      <c r="FF245" s="32">
        <v>93.3</v>
      </c>
      <c r="FG245" s="32">
        <v>94.5</v>
      </c>
      <c r="FH245" s="32">
        <v>92.4</v>
      </c>
      <c r="FI245" s="32">
        <v>133.19999999999999</v>
      </c>
      <c r="FJ245" s="32">
        <v>91</v>
      </c>
      <c r="FK245" s="32">
        <v>87.3</v>
      </c>
      <c r="FL245" s="32">
        <v>87.3</v>
      </c>
    </row>
    <row r="246" spans="1:168" x14ac:dyDescent="0.2">
      <c r="A246" s="34" t="s">
        <v>1226</v>
      </c>
      <c r="B246" s="32">
        <v>96.1</v>
      </c>
      <c r="C246" s="32">
        <v>95.8</v>
      </c>
      <c r="D246" s="32">
        <v>96.6</v>
      </c>
      <c r="E246" s="32">
        <v>95.1</v>
      </c>
      <c r="F246" s="32">
        <v>97.4</v>
      </c>
      <c r="G246" s="32">
        <v>193.2</v>
      </c>
      <c r="H246" s="32">
        <v>99</v>
      </c>
      <c r="I246" s="32">
        <v>89.6</v>
      </c>
      <c r="J246" s="32">
        <v>94</v>
      </c>
      <c r="K246" s="32">
        <v>89.4</v>
      </c>
      <c r="L246" s="32">
        <v>87.5</v>
      </c>
      <c r="M246" s="32">
        <v>91.5</v>
      </c>
      <c r="N246" s="32">
        <v>78.5</v>
      </c>
      <c r="O246" s="32">
        <v>49.7</v>
      </c>
      <c r="P246" s="32">
        <v>89.4</v>
      </c>
      <c r="Q246" s="32">
        <v>87.5</v>
      </c>
      <c r="R246" s="32">
        <v>91.1</v>
      </c>
      <c r="S246" s="32">
        <v>91.4</v>
      </c>
      <c r="T246" s="32">
        <v>93.7</v>
      </c>
      <c r="U246" s="32">
        <v>109.6</v>
      </c>
      <c r="V246" s="32">
        <v>90.8</v>
      </c>
      <c r="W246" s="32">
        <v>79.599999999999994</v>
      </c>
      <c r="X246" s="32">
        <v>80.599999999999994</v>
      </c>
      <c r="Y246" s="32">
        <v>74.3</v>
      </c>
      <c r="Z246" s="32">
        <v>92.3</v>
      </c>
      <c r="AA246" s="32">
        <v>94.2</v>
      </c>
      <c r="AB246" s="32">
        <v>90.9</v>
      </c>
      <c r="AC246" s="32">
        <v>87</v>
      </c>
      <c r="AD246" s="32">
        <v>103</v>
      </c>
      <c r="AE246" s="32">
        <v>153.5</v>
      </c>
      <c r="AF246" s="32">
        <v>153.5</v>
      </c>
      <c r="AG246" s="32">
        <v>79.2</v>
      </c>
      <c r="AH246" s="32">
        <v>79.2</v>
      </c>
      <c r="AI246" s="32">
        <v>94.2</v>
      </c>
      <c r="AJ246" s="32">
        <v>69.8</v>
      </c>
      <c r="AK246" s="32">
        <v>97.2</v>
      </c>
      <c r="AL246" s="32">
        <v>74</v>
      </c>
      <c r="AM246" s="32">
        <v>80.5</v>
      </c>
      <c r="AN246" s="32">
        <v>80.2</v>
      </c>
      <c r="AO246" s="32">
        <v>91.1</v>
      </c>
      <c r="AP246" s="32">
        <v>91.1</v>
      </c>
      <c r="AQ246" s="32">
        <v>92.1</v>
      </c>
      <c r="AR246" s="32">
        <v>90.8</v>
      </c>
      <c r="AS246" s="32">
        <v>93.8</v>
      </c>
      <c r="AT246" s="32">
        <v>89.6</v>
      </c>
      <c r="AU246" s="32">
        <v>97.2</v>
      </c>
      <c r="AV246" s="32">
        <v>105</v>
      </c>
      <c r="AW246" s="32">
        <v>146.4</v>
      </c>
      <c r="AX246" s="32">
        <v>162.5</v>
      </c>
      <c r="AY246" s="32">
        <v>136</v>
      </c>
      <c r="AZ246" s="32">
        <v>97</v>
      </c>
      <c r="BA246" s="32">
        <v>98.6</v>
      </c>
      <c r="BB246" s="32">
        <v>98.6</v>
      </c>
      <c r="BC246" s="32">
        <v>82.6</v>
      </c>
      <c r="BD246" s="32">
        <v>82.6</v>
      </c>
      <c r="BE246" s="32">
        <v>92.5</v>
      </c>
      <c r="BF246" s="32">
        <v>92.5</v>
      </c>
      <c r="BG246" s="32">
        <v>101</v>
      </c>
      <c r="BH246" s="32">
        <v>116.2</v>
      </c>
      <c r="BI246" s="32">
        <v>82.9</v>
      </c>
      <c r="BJ246" s="32">
        <v>64.7</v>
      </c>
      <c r="BK246" s="32">
        <v>88</v>
      </c>
      <c r="BL246" s="32">
        <v>75.5</v>
      </c>
      <c r="BM246" s="32">
        <v>94</v>
      </c>
      <c r="BN246" s="32">
        <v>96.2</v>
      </c>
      <c r="BO246" s="32">
        <v>95.6</v>
      </c>
      <c r="BP246" s="32">
        <v>96.7</v>
      </c>
      <c r="BQ246" s="32">
        <v>91.5</v>
      </c>
      <c r="BR246" s="32">
        <v>68.7</v>
      </c>
      <c r="BS246" s="32">
        <v>83.7</v>
      </c>
      <c r="BT246" s="32">
        <v>97.5</v>
      </c>
      <c r="BU246" s="32">
        <v>97.8</v>
      </c>
      <c r="BV246" s="32">
        <v>97.8</v>
      </c>
      <c r="BW246" s="32">
        <v>104.1</v>
      </c>
      <c r="BX246" s="32">
        <v>80.400000000000006</v>
      </c>
      <c r="BY246" s="32">
        <v>100.9</v>
      </c>
      <c r="BZ246" s="32">
        <v>96.2</v>
      </c>
      <c r="CA246" s="32">
        <v>103.3</v>
      </c>
      <c r="CB246" s="32">
        <v>111.3</v>
      </c>
      <c r="CC246" s="32">
        <v>96</v>
      </c>
      <c r="CD246" s="32">
        <v>82.4</v>
      </c>
      <c r="CE246" s="32">
        <v>100.2</v>
      </c>
      <c r="CF246" s="32">
        <v>96</v>
      </c>
      <c r="CG246" s="32">
        <v>98.7</v>
      </c>
      <c r="CH246" s="32">
        <v>100.6</v>
      </c>
      <c r="CI246" s="32">
        <v>106.5</v>
      </c>
      <c r="CJ246" s="32">
        <v>100.7</v>
      </c>
      <c r="CK246" s="32">
        <v>99.1</v>
      </c>
      <c r="CL246" s="32">
        <v>94.6</v>
      </c>
      <c r="CM246" s="32">
        <v>101.4</v>
      </c>
      <c r="CN246" s="32">
        <v>117.7</v>
      </c>
      <c r="CO246" s="32">
        <v>98.5</v>
      </c>
      <c r="CP246" s="32">
        <v>102</v>
      </c>
      <c r="CQ246" s="32">
        <v>56.4</v>
      </c>
      <c r="CR246" s="32">
        <v>96</v>
      </c>
      <c r="CS246" s="32">
        <v>95.4</v>
      </c>
      <c r="CT246" s="32">
        <v>97.9</v>
      </c>
      <c r="CU246" s="32">
        <v>94.1</v>
      </c>
      <c r="CV246" s="32">
        <v>99.6</v>
      </c>
      <c r="CW246" s="32">
        <v>81.099999999999994</v>
      </c>
      <c r="CX246" s="32">
        <v>103.7</v>
      </c>
      <c r="CY246" s="32">
        <v>102.4</v>
      </c>
      <c r="CZ246" s="32">
        <v>104.5</v>
      </c>
      <c r="DA246" s="32">
        <v>98.7</v>
      </c>
      <c r="DB246" s="32">
        <v>115.7</v>
      </c>
      <c r="DC246" s="32">
        <v>58.8</v>
      </c>
      <c r="DD246" s="32">
        <v>58.8</v>
      </c>
      <c r="DE246" s="32">
        <v>87.9</v>
      </c>
      <c r="DF246" s="32">
        <v>85.9</v>
      </c>
      <c r="DG246" s="32">
        <v>99.7</v>
      </c>
      <c r="DH246" s="32">
        <v>102</v>
      </c>
      <c r="DI246" s="32">
        <v>114.4</v>
      </c>
      <c r="DJ246" s="32">
        <v>94.5</v>
      </c>
      <c r="DK246" s="32">
        <v>94.5</v>
      </c>
      <c r="DL246" s="32">
        <v>87.6</v>
      </c>
      <c r="DM246" s="32">
        <v>95.6</v>
      </c>
      <c r="DN246" s="32">
        <v>96.5</v>
      </c>
      <c r="DO246" s="32">
        <v>95</v>
      </c>
      <c r="DP246" s="32">
        <v>99.2</v>
      </c>
      <c r="DQ246" s="32">
        <v>97.4</v>
      </c>
      <c r="DR246" s="32">
        <v>97.6</v>
      </c>
      <c r="DS246" s="32">
        <v>99.7</v>
      </c>
      <c r="DT246" s="32">
        <v>98.7</v>
      </c>
      <c r="DU246" s="32">
        <v>100.1</v>
      </c>
      <c r="DV246" s="32">
        <v>102.9</v>
      </c>
      <c r="DW246" s="32">
        <v>96.7</v>
      </c>
      <c r="DX246" s="32">
        <v>95.7</v>
      </c>
      <c r="DY246" s="32">
        <v>103.3</v>
      </c>
      <c r="DZ246" s="32">
        <v>95.5</v>
      </c>
      <c r="EA246" s="32">
        <v>95.5</v>
      </c>
      <c r="EB246" s="32">
        <v>92</v>
      </c>
      <c r="EC246" s="32">
        <v>94.5</v>
      </c>
      <c r="ED246" s="32">
        <v>89</v>
      </c>
      <c r="EE246" s="32">
        <v>89</v>
      </c>
      <c r="EF246" s="32">
        <v>88.8</v>
      </c>
      <c r="EG246" s="32">
        <v>97.2</v>
      </c>
      <c r="EH246" s="32">
        <v>99.3</v>
      </c>
      <c r="EI246" s="32">
        <v>93.9</v>
      </c>
      <c r="EJ246" s="32">
        <v>113.6</v>
      </c>
      <c r="EK246" s="32">
        <v>94.4</v>
      </c>
      <c r="EL246" s="32">
        <v>88.3</v>
      </c>
      <c r="EM246" s="32">
        <v>87.6</v>
      </c>
      <c r="EN246" s="32">
        <v>99.7</v>
      </c>
      <c r="EO246" s="32">
        <v>96.2</v>
      </c>
      <c r="EP246" s="32">
        <v>94.3</v>
      </c>
      <c r="EQ246" s="32">
        <v>94.3</v>
      </c>
      <c r="ER246" s="32">
        <v>90</v>
      </c>
      <c r="ES246" s="32">
        <v>90</v>
      </c>
      <c r="ET246" s="32">
        <v>102.6</v>
      </c>
      <c r="EU246" s="32">
        <v>101.7</v>
      </c>
      <c r="EV246" s="32">
        <v>101.7</v>
      </c>
      <c r="EW246" s="32">
        <v>104.8</v>
      </c>
      <c r="EX246" s="32">
        <v>106.2</v>
      </c>
      <c r="EY246" s="32">
        <v>103.7</v>
      </c>
      <c r="EZ246" s="32">
        <v>93.8</v>
      </c>
      <c r="FA246" s="32">
        <v>94.4</v>
      </c>
      <c r="FB246" s="32">
        <v>92</v>
      </c>
      <c r="FC246" s="32">
        <v>90.8</v>
      </c>
      <c r="FD246" s="32">
        <v>103.1</v>
      </c>
      <c r="FE246" s="32">
        <v>89.1</v>
      </c>
      <c r="FF246" s="32">
        <v>97.4</v>
      </c>
      <c r="FG246" s="32">
        <v>94.2</v>
      </c>
      <c r="FH246" s="32">
        <v>93.7</v>
      </c>
      <c r="FI246" s="32">
        <v>124.5</v>
      </c>
      <c r="FJ246" s="32">
        <v>91</v>
      </c>
      <c r="FK246" s="32">
        <v>85</v>
      </c>
      <c r="FL246" s="32">
        <v>85</v>
      </c>
    </row>
    <row r="247" spans="1:168" x14ac:dyDescent="0.2">
      <c r="A247" s="34" t="s">
        <v>1227</v>
      </c>
      <c r="B247" s="32">
        <v>96.1</v>
      </c>
      <c r="C247" s="32">
        <v>97.4</v>
      </c>
      <c r="D247" s="32">
        <v>96.2</v>
      </c>
      <c r="E247" s="32">
        <v>94.3</v>
      </c>
      <c r="F247" s="32">
        <v>93.1</v>
      </c>
      <c r="G247" s="32">
        <v>174.8</v>
      </c>
      <c r="H247" s="32">
        <v>94</v>
      </c>
      <c r="I247" s="32">
        <v>87.9</v>
      </c>
      <c r="J247" s="32">
        <v>93.6</v>
      </c>
      <c r="K247" s="32">
        <v>87.1</v>
      </c>
      <c r="L247" s="32">
        <v>85.2</v>
      </c>
      <c r="M247" s="32">
        <v>85.4</v>
      </c>
      <c r="N247" s="32">
        <v>76.900000000000006</v>
      </c>
      <c r="O247" s="32">
        <v>54.7</v>
      </c>
      <c r="P247" s="32">
        <v>81.5</v>
      </c>
      <c r="Q247" s="32">
        <v>87.2</v>
      </c>
      <c r="R247" s="32">
        <v>91.2</v>
      </c>
      <c r="S247" s="32">
        <v>90.5</v>
      </c>
      <c r="T247" s="32">
        <v>90.6</v>
      </c>
      <c r="U247" s="32">
        <v>114.5</v>
      </c>
      <c r="V247" s="32">
        <v>86.8</v>
      </c>
      <c r="W247" s="32">
        <v>83.6</v>
      </c>
      <c r="X247" s="32">
        <v>85.1</v>
      </c>
      <c r="Y247" s="32">
        <v>77.900000000000006</v>
      </c>
      <c r="Z247" s="32">
        <v>93.3</v>
      </c>
      <c r="AA247" s="32">
        <v>91.8</v>
      </c>
      <c r="AB247" s="32">
        <v>84.1</v>
      </c>
      <c r="AC247" s="32">
        <v>88.2</v>
      </c>
      <c r="AD247" s="32">
        <v>100.5</v>
      </c>
      <c r="AE247" s="32">
        <v>151.5</v>
      </c>
      <c r="AF247" s="32">
        <v>151.5</v>
      </c>
      <c r="AG247" s="32">
        <v>77.7</v>
      </c>
      <c r="AH247" s="32">
        <v>77.7</v>
      </c>
      <c r="AI247" s="32">
        <v>91.2</v>
      </c>
      <c r="AJ247" s="32">
        <v>71.400000000000006</v>
      </c>
      <c r="AK247" s="32">
        <v>83.1</v>
      </c>
      <c r="AL247" s="32">
        <v>73.599999999999994</v>
      </c>
      <c r="AM247" s="32">
        <v>77.8</v>
      </c>
      <c r="AN247" s="32">
        <v>79.599999999999994</v>
      </c>
      <c r="AO247" s="32">
        <v>86.4</v>
      </c>
      <c r="AP247" s="32">
        <v>86.4</v>
      </c>
      <c r="AQ247" s="32">
        <v>91.9</v>
      </c>
      <c r="AR247" s="32">
        <v>91.2</v>
      </c>
      <c r="AS247" s="32">
        <v>92.7</v>
      </c>
      <c r="AT247" s="32">
        <v>87.8</v>
      </c>
      <c r="AU247" s="32">
        <v>96.7</v>
      </c>
      <c r="AV247" s="32">
        <v>102.6</v>
      </c>
      <c r="AW247" s="32">
        <v>144.30000000000001</v>
      </c>
      <c r="AX247" s="32">
        <v>154.69999999999999</v>
      </c>
      <c r="AY247" s="32">
        <v>141.80000000000001</v>
      </c>
      <c r="AZ247" s="32">
        <v>94.6</v>
      </c>
      <c r="BA247" s="32">
        <v>97.8</v>
      </c>
      <c r="BB247" s="32">
        <v>97.8</v>
      </c>
      <c r="BC247" s="32">
        <v>84.1</v>
      </c>
      <c r="BD247" s="32">
        <v>84.1</v>
      </c>
      <c r="BE247" s="32">
        <v>98.3</v>
      </c>
      <c r="BF247" s="32">
        <v>98.3</v>
      </c>
      <c r="BG247" s="32">
        <v>101.7</v>
      </c>
      <c r="BH247" s="32">
        <v>115.9</v>
      </c>
      <c r="BI247" s="32">
        <v>84.8</v>
      </c>
      <c r="BJ247" s="32">
        <v>67.900000000000006</v>
      </c>
      <c r="BK247" s="32">
        <v>90.1</v>
      </c>
      <c r="BL247" s="32">
        <v>72.599999999999994</v>
      </c>
      <c r="BM247" s="32">
        <v>95.7</v>
      </c>
      <c r="BN247" s="32">
        <v>97.5</v>
      </c>
      <c r="BO247" s="32">
        <v>98.4</v>
      </c>
      <c r="BP247" s="32">
        <v>96.8</v>
      </c>
      <c r="BQ247" s="32">
        <v>93.6</v>
      </c>
      <c r="BR247" s="32">
        <v>81.599999999999994</v>
      </c>
      <c r="BS247" s="32">
        <v>82.1</v>
      </c>
      <c r="BT247" s="32">
        <v>99.3</v>
      </c>
      <c r="BU247" s="32">
        <v>94.2</v>
      </c>
      <c r="BV247" s="32">
        <v>94.2</v>
      </c>
      <c r="BW247" s="32">
        <v>101</v>
      </c>
      <c r="BX247" s="32">
        <v>75.599999999999994</v>
      </c>
      <c r="BY247" s="32">
        <v>101.7</v>
      </c>
      <c r="BZ247" s="32">
        <v>95.2</v>
      </c>
      <c r="CA247" s="32">
        <v>105</v>
      </c>
      <c r="CB247" s="32">
        <v>112.3</v>
      </c>
      <c r="CC247" s="32">
        <v>98.4</v>
      </c>
      <c r="CD247" s="32">
        <v>81.8</v>
      </c>
      <c r="CE247" s="32">
        <v>100.6</v>
      </c>
      <c r="CF247" s="32">
        <v>96.1</v>
      </c>
      <c r="CG247" s="32">
        <v>99.3</v>
      </c>
      <c r="CH247" s="32">
        <v>101</v>
      </c>
      <c r="CI247" s="32">
        <v>108.2</v>
      </c>
      <c r="CJ247" s="32">
        <v>99.7</v>
      </c>
      <c r="CK247" s="32">
        <v>100.2</v>
      </c>
      <c r="CL247" s="32">
        <v>94.7</v>
      </c>
      <c r="CM247" s="32">
        <v>100.8</v>
      </c>
      <c r="CN247" s="32">
        <v>117.5</v>
      </c>
      <c r="CO247" s="32">
        <v>97.9</v>
      </c>
      <c r="CP247" s="32">
        <v>102</v>
      </c>
      <c r="CQ247" s="32">
        <v>58</v>
      </c>
      <c r="CR247" s="32">
        <v>96.1</v>
      </c>
      <c r="CS247" s="32">
        <v>96.1</v>
      </c>
      <c r="CT247" s="32">
        <v>99.9</v>
      </c>
      <c r="CU247" s="32">
        <v>94.4</v>
      </c>
      <c r="CV247" s="32">
        <v>102.4</v>
      </c>
      <c r="CW247" s="32">
        <v>81.3</v>
      </c>
      <c r="CX247" s="32">
        <v>103.5</v>
      </c>
      <c r="CY247" s="32">
        <v>101</v>
      </c>
      <c r="CZ247" s="32">
        <v>105</v>
      </c>
      <c r="DA247" s="32">
        <v>97.2</v>
      </c>
      <c r="DB247" s="32">
        <v>120</v>
      </c>
      <c r="DC247" s="32">
        <v>58.3</v>
      </c>
      <c r="DD247" s="32">
        <v>58.3</v>
      </c>
      <c r="DE247" s="32">
        <v>89</v>
      </c>
      <c r="DF247" s="32">
        <v>88</v>
      </c>
      <c r="DG247" s="32">
        <v>95.3</v>
      </c>
      <c r="DH247" s="32">
        <v>102.6</v>
      </c>
      <c r="DI247" s="32">
        <v>116</v>
      </c>
      <c r="DJ247" s="32">
        <v>96.7</v>
      </c>
      <c r="DK247" s="32">
        <v>96.7</v>
      </c>
      <c r="DL247" s="32">
        <v>85.3</v>
      </c>
      <c r="DM247" s="32">
        <v>95.3</v>
      </c>
      <c r="DN247" s="32">
        <v>96.3</v>
      </c>
      <c r="DO247" s="32">
        <v>94.8</v>
      </c>
      <c r="DP247" s="32">
        <v>98.5</v>
      </c>
      <c r="DQ247" s="32">
        <v>97</v>
      </c>
      <c r="DR247" s="32">
        <v>96</v>
      </c>
      <c r="DS247" s="32">
        <v>98.2</v>
      </c>
      <c r="DT247" s="32">
        <v>95.9</v>
      </c>
      <c r="DU247" s="32">
        <v>96.1</v>
      </c>
      <c r="DV247" s="32">
        <v>96.5</v>
      </c>
      <c r="DW247" s="32">
        <v>95.6</v>
      </c>
      <c r="DX247" s="32">
        <v>95.5</v>
      </c>
      <c r="DY247" s="32">
        <v>106.1</v>
      </c>
      <c r="DZ247" s="32">
        <v>84.8</v>
      </c>
      <c r="EA247" s="32">
        <v>84.8</v>
      </c>
      <c r="EB247" s="32">
        <v>94.1</v>
      </c>
      <c r="EC247" s="32">
        <v>96.6</v>
      </c>
      <c r="ED247" s="32">
        <v>91.1</v>
      </c>
      <c r="EE247" s="32">
        <v>91.8</v>
      </c>
      <c r="EF247" s="32">
        <v>89</v>
      </c>
      <c r="EG247" s="32">
        <v>98.4</v>
      </c>
      <c r="EH247" s="32">
        <v>99.2</v>
      </c>
      <c r="EI247" s="32">
        <v>94.9</v>
      </c>
      <c r="EJ247" s="32">
        <v>109</v>
      </c>
      <c r="EK247" s="32">
        <v>98</v>
      </c>
      <c r="EL247" s="32">
        <v>91</v>
      </c>
      <c r="EM247" s="32">
        <v>93.3</v>
      </c>
      <c r="EN247" s="32">
        <v>101.9</v>
      </c>
      <c r="EO247" s="32">
        <v>96.3</v>
      </c>
      <c r="EP247" s="32">
        <v>94.5</v>
      </c>
      <c r="EQ247" s="32">
        <v>94.5</v>
      </c>
      <c r="ER247" s="32">
        <v>91.2</v>
      </c>
      <c r="ES247" s="32">
        <v>91.2</v>
      </c>
      <c r="ET247" s="32">
        <v>101.8</v>
      </c>
      <c r="EU247" s="32">
        <v>100.3</v>
      </c>
      <c r="EV247" s="32">
        <v>100.3</v>
      </c>
      <c r="EW247" s="32">
        <v>105.1</v>
      </c>
      <c r="EX247" s="32">
        <v>105.2</v>
      </c>
      <c r="EY247" s="32">
        <v>105</v>
      </c>
      <c r="EZ247" s="32">
        <v>93.8</v>
      </c>
      <c r="FA247" s="32">
        <v>94.6</v>
      </c>
      <c r="FB247" s="32">
        <v>92.1</v>
      </c>
      <c r="FC247" s="32">
        <v>87.3</v>
      </c>
      <c r="FD247" s="32">
        <v>105.7</v>
      </c>
      <c r="FE247" s="32">
        <v>93.8</v>
      </c>
      <c r="FF247" s="32">
        <v>97.7</v>
      </c>
      <c r="FG247" s="32">
        <v>94.3</v>
      </c>
      <c r="FH247" s="32">
        <v>95.1</v>
      </c>
      <c r="FI247" s="32">
        <v>122.5</v>
      </c>
      <c r="FJ247" s="32">
        <v>90.8</v>
      </c>
      <c r="FK247" s="32">
        <v>82.9</v>
      </c>
      <c r="FL247" s="32">
        <v>82.9</v>
      </c>
    </row>
    <row r="248" spans="1:168" x14ac:dyDescent="0.2">
      <c r="A248" s="34" t="s">
        <v>1228</v>
      </c>
      <c r="B248" s="32">
        <v>96.2</v>
      </c>
      <c r="C248" s="32">
        <v>98</v>
      </c>
      <c r="D248" s="32">
        <v>95.7</v>
      </c>
      <c r="E248" s="32">
        <v>93.5</v>
      </c>
      <c r="F248" s="32">
        <v>93.4</v>
      </c>
      <c r="G248" s="32">
        <v>115.4</v>
      </c>
      <c r="H248" s="32">
        <v>94.3</v>
      </c>
      <c r="I248" s="32">
        <v>88.3</v>
      </c>
      <c r="J248" s="32">
        <v>93.1</v>
      </c>
      <c r="K248" s="32">
        <v>86.5</v>
      </c>
      <c r="L248" s="32">
        <v>83.9</v>
      </c>
      <c r="M248" s="32">
        <v>82.3</v>
      </c>
      <c r="N248" s="32">
        <v>72.8</v>
      </c>
      <c r="O248" s="32">
        <v>60.1</v>
      </c>
      <c r="P248" s="32">
        <v>73.900000000000006</v>
      </c>
      <c r="Q248" s="32">
        <v>87.4</v>
      </c>
      <c r="R248" s="32">
        <v>93.7</v>
      </c>
      <c r="S248" s="32">
        <v>90.7</v>
      </c>
      <c r="T248" s="32">
        <v>88.7</v>
      </c>
      <c r="U248" s="32">
        <v>118.6</v>
      </c>
      <c r="V248" s="32">
        <v>87.3</v>
      </c>
      <c r="W248" s="32">
        <v>85.8</v>
      </c>
      <c r="X248" s="32">
        <v>86.6</v>
      </c>
      <c r="Y248" s="32">
        <v>81.7</v>
      </c>
      <c r="Z248" s="32">
        <v>93.7</v>
      </c>
      <c r="AA248" s="32">
        <v>94.5</v>
      </c>
      <c r="AB248" s="32">
        <v>88.1</v>
      </c>
      <c r="AC248" s="32">
        <v>87.2</v>
      </c>
      <c r="AD248" s="32">
        <v>105.8</v>
      </c>
      <c r="AE248" s="32">
        <v>151.5</v>
      </c>
      <c r="AF248" s="32">
        <v>151.5</v>
      </c>
      <c r="AG248" s="32">
        <v>78.599999999999994</v>
      </c>
      <c r="AH248" s="32">
        <v>78.599999999999994</v>
      </c>
      <c r="AI248" s="32">
        <v>88.9</v>
      </c>
      <c r="AJ248" s="32">
        <v>74.099999999999994</v>
      </c>
      <c r="AK248" s="32">
        <v>93.2</v>
      </c>
      <c r="AL248" s="32">
        <v>73.3</v>
      </c>
      <c r="AM248" s="32">
        <v>75.7</v>
      </c>
      <c r="AN248" s="32">
        <v>82.5</v>
      </c>
      <c r="AO248" s="32">
        <v>85.9</v>
      </c>
      <c r="AP248" s="32">
        <v>85.9</v>
      </c>
      <c r="AQ248" s="32">
        <v>92.8</v>
      </c>
      <c r="AR248" s="32">
        <v>90.5</v>
      </c>
      <c r="AS248" s="32">
        <v>95.9</v>
      </c>
      <c r="AT248" s="32">
        <v>90</v>
      </c>
      <c r="AU248" s="32">
        <v>100.8</v>
      </c>
      <c r="AV248" s="32">
        <v>101.7</v>
      </c>
      <c r="AW248" s="32">
        <v>139.19999999999999</v>
      </c>
      <c r="AX248" s="32">
        <v>143.19999999999999</v>
      </c>
      <c r="AY248" s="32">
        <v>145.6</v>
      </c>
      <c r="AZ248" s="32">
        <v>94.4</v>
      </c>
      <c r="BA248" s="32">
        <v>92.5</v>
      </c>
      <c r="BB248" s="32">
        <v>92.5</v>
      </c>
      <c r="BC248" s="32">
        <v>81.400000000000006</v>
      </c>
      <c r="BD248" s="32">
        <v>81.400000000000006</v>
      </c>
      <c r="BE248" s="32">
        <v>94.7</v>
      </c>
      <c r="BF248" s="32">
        <v>94.7</v>
      </c>
      <c r="BG248" s="32">
        <v>102.7</v>
      </c>
      <c r="BH248" s="32">
        <v>116</v>
      </c>
      <c r="BI248" s="32">
        <v>86.8</v>
      </c>
      <c r="BJ248" s="32">
        <v>70.7</v>
      </c>
      <c r="BK248" s="32">
        <v>91.7</v>
      </c>
      <c r="BL248" s="32">
        <v>76.2</v>
      </c>
      <c r="BM248" s="32">
        <v>95.1</v>
      </c>
      <c r="BN248" s="32">
        <v>95.6</v>
      </c>
      <c r="BO248" s="32">
        <v>94.7</v>
      </c>
      <c r="BP248" s="32">
        <v>96.5</v>
      </c>
      <c r="BQ248" s="32">
        <v>94.6</v>
      </c>
      <c r="BR248" s="32">
        <v>69.7</v>
      </c>
      <c r="BS248" s="32">
        <v>94.5</v>
      </c>
      <c r="BT248" s="32">
        <v>98.4</v>
      </c>
      <c r="BU248" s="32">
        <v>89.8</v>
      </c>
      <c r="BV248" s="32">
        <v>89.8</v>
      </c>
      <c r="BW248" s="32">
        <v>96.6</v>
      </c>
      <c r="BX248" s="32">
        <v>71.5</v>
      </c>
      <c r="BY248" s="32">
        <v>102.1</v>
      </c>
      <c r="BZ248" s="32">
        <v>93.8</v>
      </c>
      <c r="CA248" s="32">
        <v>106.5</v>
      </c>
      <c r="CB248" s="32">
        <v>112.7</v>
      </c>
      <c r="CC248" s="32">
        <v>101</v>
      </c>
      <c r="CD248" s="32">
        <v>84.5</v>
      </c>
      <c r="CE248" s="32">
        <v>100.8</v>
      </c>
      <c r="CF248" s="32">
        <v>96.3</v>
      </c>
      <c r="CG248" s="32">
        <v>99.9</v>
      </c>
      <c r="CH248" s="32">
        <v>101.5</v>
      </c>
      <c r="CI248" s="32">
        <v>113.2</v>
      </c>
      <c r="CJ248" s="32">
        <v>99.7</v>
      </c>
      <c r="CK248" s="32">
        <v>99.8</v>
      </c>
      <c r="CL248" s="32">
        <v>95.4</v>
      </c>
      <c r="CM248" s="32">
        <v>101.5</v>
      </c>
      <c r="CN248" s="32">
        <v>115.8</v>
      </c>
      <c r="CO248" s="32">
        <v>98.9</v>
      </c>
      <c r="CP248" s="32">
        <v>103.7</v>
      </c>
      <c r="CQ248" s="32">
        <v>58.6</v>
      </c>
      <c r="CR248" s="32">
        <v>96.8</v>
      </c>
      <c r="CS248" s="32">
        <v>96.4</v>
      </c>
      <c r="CT248" s="32">
        <v>101.1</v>
      </c>
      <c r="CU248" s="32">
        <v>94.9</v>
      </c>
      <c r="CV248" s="32">
        <v>103.8</v>
      </c>
      <c r="CW248" s="32">
        <v>81.400000000000006</v>
      </c>
      <c r="CX248" s="32">
        <v>103.8</v>
      </c>
      <c r="CY248" s="32">
        <v>100.7</v>
      </c>
      <c r="CZ248" s="32">
        <v>105.7</v>
      </c>
      <c r="DA248" s="32">
        <v>100</v>
      </c>
      <c r="DB248" s="32">
        <v>116.9</v>
      </c>
      <c r="DC248" s="32">
        <v>57.4</v>
      </c>
      <c r="DD248" s="32">
        <v>57.4</v>
      </c>
      <c r="DE248" s="32">
        <v>90.4</v>
      </c>
      <c r="DF248" s="32">
        <v>89.4</v>
      </c>
      <c r="DG248" s="32">
        <v>96.3</v>
      </c>
      <c r="DH248" s="32">
        <v>103.2</v>
      </c>
      <c r="DI248" s="32">
        <v>115.8</v>
      </c>
      <c r="DJ248" s="32">
        <v>99.6</v>
      </c>
      <c r="DK248" s="32">
        <v>99.6</v>
      </c>
      <c r="DL248" s="32">
        <v>85.4</v>
      </c>
      <c r="DM248" s="32">
        <v>95.1</v>
      </c>
      <c r="DN248" s="32">
        <v>96.3</v>
      </c>
      <c r="DO248" s="32">
        <v>94.7</v>
      </c>
      <c r="DP248" s="32">
        <v>93.5</v>
      </c>
      <c r="DQ248" s="32">
        <v>97.2</v>
      </c>
      <c r="DR248" s="32">
        <v>96</v>
      </c>
      <c r="DS248" s="32">
        <v>98.7</v>
      </c>
      <c r="DT248" s="32">
        <v>97</v>
      </c>
      <c r="DU248" s="32">
        <v>97.6</v>
      </c>
      <c r="DV248" s="32">
        <v>98.5</v>
      </c>
      <c r="DW248" s="32">
        <v>96.4</v>
      </c>
      <c r="DX248" s="32">
        <v>95.7</v>
      </c>
      <c r="DY248" s="32">
        <v>104.7</v>
      </c>
      <c r="DZ248" s="32">
        <v>84.7</v>
      </c>
      <c r="EA248" s="32">
        <v>84.7</v>
      </c>
      <c r="EB248" s="32">
        <v>92.4</v>
      </c>
      <c r="EC248" s="32">
        <v>92.2</v>
      </c>
      <c r="ED248" s="32">
        <v>92.7</v>
      </c>
      <c r="EE248" s="32">
        <v>93.3</v>
      </c>
      <c r="EF248" s="32">
        <v>91</v>
      </c>
      <c r="EG248" s="32">
        <v>99</v>
      </c>
      <c r="EH248" s="32">
        <v>101.9</v>
      </c>
      <c r="EI248" s="32">
        <v>95.5</v>
      </c>
      <c r="EJ248" s="32">
        <v>105.1</v>
      </c>
      <c r="EK248" s="32">
        <v>98.6</v>
      </c>
      <c r="EL248" s="32">
        <v>93.1</v>
      </c>
      <c r="EM248" s="32">
        <v>91.7</v>
      </c>
      <c r="EN248" s="32">
        <v>103.8</v>
      </c>
      <c r="EO248" s="32">
        <v>96.3</v>
      </c>
      <c r="EP248" s="32">
        <v>94.8</v>
      </c>
      <c r="EQ248" s="32">
        <v>94.8</v>
      </c>
      <c r="ER248" s="32">
        <v>90.6</v>
      </c>
      <c r="ES248" s="32">
        <v>90.6</v>
      </c>
      <c r="ET248" s="32">
        <v>101.9</v>
      </c>
      <c r="EU248" s="32">
        <v>100.3</v>
      </c>
      <c r="EV248" s="32">
        <v>100.3</v>
      </c>
      <c r="EW248" s="32">
        <v>105.6</v>
      </c>
      <c r="EX248" s="32">
        <v>104.3</v>
      </c>
      <c r="EY248" s="32">
        <v>106.6</v>
      </c>
      <c r="EZ248" s="32">
        <v>95.2</v>
      </c>
      <c r="FA248" s="32">
        <v>95</v>
      </c>
      <c r="FB248" s="32">
        <v>94.1</v>
      </c>
      <c r="FC248" s="32">
        <v>90</v>
      </c>
      <c r="FD248" s="32">
        <v>101.6</v>
      </c>
      <c r="FE248" s="32">
        <v>97.3</v>
      </c>
      <c r="FF248" s="32">
        <v>96.1</v>
      </c>
      <c r="FG248" s="32">
        <v>96.7</v>
      </c>
      <c r="FH248" s="32">
        <v>96</v>
      </c>
      <c r="FI248" s="32">
        <v>129.1</v>
      </c>
      <c r="FJ248" s="32">
        <v>93.3</v>
      </c>
      <c r="FK248" s="32">
        <v>82.8</v>
      </c>
      <c r="FL248" s="32">
        <v>82.8</v>
      </c>
    </row>
    <row r="249" spans="1:168" x14ac:dyDescent="0.2">
      <c r="A249" s="34" t="s">
        <v>1229</v>
      </c>
      <c r="B249" s="32">
        <v>96.6</v>
      </c>
      <c r="C249" s="32">
        <v>98.3</v>
      </c>
      <c r="D249" s="32">
        <v>96.2</v>
      </c>
      <c r="E249" s="32">
        <v>93.9</v>
      </c>
      <c r="F249" s="32">
        <v>91.5</v>
      </c>
      <c r="G249" s="32">
        <v>72.2</v>
      </c>
      <c r="H249" s="32">
        <v>91.6</v>
      </c>
      <c r="I249" s="32">
        <v>88.9</v>
      </c>
      <c r="J249" s="32">
        <v>93.7</v>
      </c>
      <c r="K249" s="32">
        <v>86.9</v>
      </c>
      <c r="L249" s="32">
        <v>83.5</v>
      </c>
      <c r="M249" s="32">
        <v>79.400000000000006</v>
      </c>
      <c r="N249" s="32">
        <v>74.599999999999994</v>
      </c>
      <c r="O249" s="32">
        <v>67.099999999999994</v>
      </c>
      <c r="P249" s="32">
        <v>70.099999999999994</v>
      </c>
      <c r="Q249" s="32">
        <v>86.4</v>
      </c>
      <c r="R249" s="32">
        <v>95.2</v>
      </c>
      <c r="S249" s="32">
        <v>91.1</v>
      </c>
      <c r="T249" s="32">
        <v>85.9</v>
      </c>
      <c r="U249" s="32">
        <v>118.2</v>
      </c>
      <c r="V249" s="32">
        <v>91.6</v>
      </c>
      <c r="W249" s="32">
        <v>86.7</v>
      </c>
      <c r="X249" s="32">
        <v>86.8</v>
      </c>
      <c r="Y249" s="32">
        <v>83.8</v>
      </c>
      <c r="Z249" s="32">
        <v>94.8</v>
      </c>
      <c r="AA249" s="32">
        <v>94.5</v>
      </c>
      <c r="AB249" s="32">
        <v>87</v>
      </c>
      <c r="AC249" s="32">
        <v>89.6</v>
      </c>
      <c r="AD249" s="32">
        <v>104.4</v>
      </c>
      <c r="AE249" s="32">
        <v>152.1</v>
      </c>
      <c r="AF249" s="32">
        <v>152.1</v>
      </c>
      <c r="AG249" s="32">
        <v>81.5</v>
      </c>
      <c r="AH249" s="32">
        <v>81.5</v>
      </c>
      <c r="AI249" s="32">
        <v>94.5</v>
      </c>
      <c r="AJ249" s="32">
        <v>79.3</v>
      </c>
      <c r="AK249" s="32">
        <v>98.8</v>
      </c>
      <c r="AL249" s="32">
        <v>73.7</v>
      </c>
      <c r="AM249" s="32">
        <v>79.5</v>
      </c>
      <c r="AN249" s="32">
        <v>78.7</v>
      </c>
      <c r="AO249" s="32">
        <v>89.1</v>
      </c>
      <c r="AP249" s="32">
        <v>89.1</v>
      </c>
      <c r="AQ249" s="32">
        <v>93.6</v>
      </c>
      <c r="AR249" s="32">
        <v>93.5</v>
      </c>
      <c r="AS249" s="32">
        <v>93.7</v>
      </c>
      <c r="AT249" s="32">
        <v>92.1</v>
      </c>
      <c r="AU249" s="32">
        <v>94.9</v>
      </c>
      <c r="AV249" s="32">
        <v>101.4</v>
      </c>
      <c r="AW249" s="32">
        <v>134.30000000000001</v>
      </c>
      <c r="AX249" s="32">
        <v>138.19999999999999</v>
      </c>
      <c r="AY249" s="32">
        <v>140.6</v>
      </c>
      <c r="AZ249" s="32">
        <v>95</v>
      </c>
      <c r="BA249" s="32">
        <v>96.6</v>
      </c>
      <c r="BB249" s="32">
        <v>96.6</v>
      </c>
      <c r="BC249" s="32">
        <v>85.9</v>
      </c>
      <c r="BD249" s="32">
        <v>85.9</v>
      </c>
      <c r="BE249" s="32">
        <v>94.6</v>
      </c>
      <c r="BF249" s="32">
        <v>94.6</v>
      </c>
      <c r="BG249" s="32">
        <v>102.3</v>
      </c>
      <c r="BH249" s="32">
        <v>114</v>
      </c>
      <c r="BI249" s="32">
        <v>88.4</v>
      </c>
      <c r="BJ249" s="32">
        <v>73.900000000000006</v>
      </c>
      <c r="BK249" s="32">
        <v>93</v>
      </c>
      <c r="BL249" s="32">
        <v>76.8</v>
      </c>
      <c r="BM249" s="32">
        <v>92</v>
      </c>
      <c r="BN249" s="32">
        <v>92.6</v>
      </c>
      <c r="BO249" s="32">
        <v>95.4</v>
      </c>
      <c r="BP249" s="32">
        <v>90.3</v>
      </c>
      <c r="BQ249" s="32">
        <v>91.3</v>
      </c>
      <c r="BR249" s="32">
        <v>94.7</v>
      </c>
      <c r="BS249" s="32">
        <v>87.5</v>
      </c>
      <c r="BT249" s="32">
        <v>92</v>
      </c>
      <c r="BU249" s="32">
        <v>92.8</v>
      </c>
      <c r="BV249" s="32">
        <v>92.8</v>
      </c>
      <c r="BW249" s="32">
        <v>99</v>
      </c>
      <c r="BX249" s="32">
        <v>76.2</v>
      </c>
      <c r="BY249" s="32">
        <v>98.6</v>
      </c>
      <c r="BZ249" s="32">
        <v>93.7</v>
      </c>
      <c r="CA249" s="32">
        <v>101.2</v>
      </c>
      <c r="CB249" s="32">
        <v>102.6</v>
      </c>
      <c r="CC249" s="32">
        <v>101</v>
      </c>
      <c r="CD249" s="32">
        <v>80.400000000000006</v>
      </c>
      <c r="CE249" s="32">
        <v>101.6</v>
      </c>
      <c r="CF249" s="32">
        <v>96.7</v>
      </c>
      <c r="CG249" s="32">
        <v>100.2</v>
      </c>
      <c r="CH249" s="32">
        <v>102.2</v>
      </c>
      <c r="CI249" s="32">
        <v>107.9</v>
      </c>
      <c r="CJ249" s="32">
        <v>100.5</v>
      </c>
      <c r="CK249" s="32">
        <v>101.9</v>
      </c>
      <c r="CL249" s="32">
        <v>94.8</v>
      </c>
      <c r="CM249" s="32">
        <v>99.3</v>
      </c>
      <c r="CN249" s="32">
        <v>116.5</v>
      </c>
      <c r="CO249" s="32">
        <v>96.2</v>
      </c>
      <c r="CP249" s="32">
        <v>106.5</v>
      </c>
      <c r="CQ249" s="32">
        <v>63.3</v>
      </c>
      <c r="CR249" s="32">
        <v>96.8</v>
      </c>
      <c r="CS249" s="32">
        <v>92.7</v>
      </c>
      <c r="CT249" s="32">
        <v>101</v>
      </c>
      <c r="CU249" s="32">
        <v>93.9</v>
      </c>
      <c r="CV249" s="32">
        <v>104</v>
      </c>
      <c r="CW249" s="32">
        <v>82.1</v>
      </c>
      <c r="CX249" s="32">
        <v>101.3</v>
      </c>
      <c r="CY249" s="32">
        <v>99.3</v>
      </c>
      <c r="CZ249" s="32">
        <v>102.5</v>
      </c>
      <c r="DA249" s="32">
        <v>96.1</v>
      </c>
      <c r="DB249" s="32">
        <v>114.9</v>
      </c>
      <c r="DC249" s="32">
        <v>59.8</v>
      </c>
      <c r="DD249" s="32">
        <v>59.8</v>
      </c>
      <c r="DE249" s="32">
        <v>90.8</v>
      </c>
      <c r="DF249" s="32">
        <v>89.6</v>
      </c>
      <c r="DG249" s="32">
        <v>98.3</v>
      </c>
      <c r="DH249" s="32">
        <v>103.8</v>
      </c>
      <c r="DI249" s="32">
        <v>114.7</v>
      </c>
      <c r="DJ249" s="32">
        <v>102.6</v>
      </c>
      <c r="DK249" s="32">
        <v>102.6</v>
      </c>
      <c r="DL249" s="32">
        <v>87</v>
      </c>
      <c r="DM249" s="32">
        <v>95.5</v>
      </c>
      <c r="DN249" s="32">
        <v>96.8</v>
      </c>
      <c r="DO249" s="32">
        <v>94.9</v>
      </c>
      <c r="DP249" s="32">
        <v>99</v>
      </c>
      <c r="DQ249" s="32">
        <v>97.1</v>
      </c>
      <c r="DR249" s="32">
        <v>96.7</v>
      </c>
      <c r="DS249" s="32">
        <v>99.8</v>
      </c>
      <c r="DT249" s="32">
        <v>97.2</v>
      </c>
      <c r="DU249" s="32">
        <v>98.2</v>
      </c>
      <c r="DV249" s="32">
        <v>101.2</v>
      </c>
      <c r="DW249" s="32">
        <v>94.6</v>
      </c>
      <c r="DX249" s="32">
        <v>95</v>
      </c>
      <c r="DY249" s="32">
        <v>108.3</v>
      </c>
      <c r="DZ249" s="32">
        <v>82.2</v>
      </c>
      <c r="EA249" s="32">
        <v>82.2</v>
      </c>
      <c r="EB249" s="32">
        <v>93.7</v>
      </c>
      <c r="EC249" s="32">
        <v>94.5</v>
      </c>
      <c r="ED249" s="32">
        <v>92.8</v>
      </c>
      <c r="EE249" s="32">
        <v>94.2</v>
      </c>
      <c r="EF249" s="32">
        <v>89.1</v>
      </c>
      <c r="EG249" s="32">
        <v>97.6</v>
      </c>
      <c r="EH249" s="32">
        <v>101.9</v>
      </c>
      <c r="EI249" s="32">
        <v>91.6</v>
      </c>
      <c r="EJ249" s="32">
        <v>99.1</v>
      </c>
      <c r="EK249" s="32">
        <v>99.5</v>
      </c>
      <c r="EL249" s="32">
        <v>93.7</v>
      </c>
      <c r="EM249" s="32">
        <v>91.3</v>
      </c>
      <c r="EN249" s="32">
        <v>105.5</v>
      </c>
      <c r="EO249" s="32">
        <v>96.6</v>
      </c>
      <c r="EP249" s="32">
        <v>95.3</v>
      </c>
      <c r="EQ249" s="32">
        <v>95.3</v>
      </c>
      <c r="ER249" s="32">
        <v>90.7</v>
      </c>
      <c r="ES249" s="32">
        <v>90.7</v>
      </c>
      <c r="ET249" s="32">
        <v>102.3</v>
      </c>
      <c r="EU249" s="32">
        <v>100.7</v>
      </c>
      <c r="EV249" s="32">
        <v>100.7</v>
      </c>
      <c r="EW249" s="32">
        <v>106.1</v>
      </c>
      <c r="EX249" s="32">
        <v>103.6</v>
      </c>
      <c r="EY249" s="32">
        <v>108</v>
      </c>
      <c r="EZ249" s="32">
        <v>96.7</v>
      </c>
      <c r="FA249" s="32">
        <v>98</v>
      </c>
      <c r="FB249" s="32">
        <v>95.5</v>
      </c>
      <c r="FC249" s="32">
        <v>90</v>
      </c>
      <c r="FD249" s="32">
        <v>104.7</v>
      </c>
      <c r="FE249" s="32">
        <v>100.2</v>
      </c>
      <c r="FF249" s="32">
        <v>101.1</v>
      </c>
      <c r="FG249" s="32">
        <v>97</v>
      </c>
      <c r="FH249" s="32">
        <v>96.8</v>
      </c>
      <c r="FI249" s="32">
        <v>120</v>
      </c>
      <c r="FJ249" s="32">
        <v>94.3</v>
      </c>
      <c r="FK249" s="32">
        <v>84.8</v>
      </c>
      <c r="FL249" s="32">
        <v>84.8</v>
      </c>
    </row>
    <row r="250" spans="1:168" x14ac:dyDescent="0.2">
      <c r="A250" s="34" t="s">
        <v>1230</v>
      </c>
      <c r="B250" s="32">
        <v>96.8</v>
      </c>
      <c r="C250" s="32">
        <v>97.1</v>
      </c>
      <c r="D250" s="32">
        <v>96.2</v>
      </c>
      <c r="E250" s="32">
        <v>94.3</v>
      </c>
      <c r="F250" s="32">
        <v>91.8</v>
      </c>
      <c r="G250" s="32">
        <v>48.2</v>
      </c>
      <c r="H250" s="32">
        <v>92.8</v>
      </c>
      <c r="I250" s="32">
        <v>86.7</v>
      </c>
      <c r="J250" s="32">
        <v>94.3</v>
      </c>
      <c r="K250" s="32">
        <v>86.2</v>
      </c>
      <c r="L250" s="32">
        <v>82.8</v>
      </c>
      <c r="M250" s="32">
        <v>75.8</v>
      </c>
      <c r="N250" s="32">
        <v>74.2</v>
      </c>
      <c r="O250" s="32">
        <v>74.599999999999994</v>
      </c>
      <c r="P250" s="32">
        <v>65.3</v>
      </c>
      <c r="Q250" s="32">
        <v>87.3</v>
      </c>
      <c r="R250" s="32">
        <v>97</v>
      </c>
      <c r="S250" s="32">
        <v>90.9</v>
      </c>
      <c r="T250" s="32">
        <v>87</v>
      </c>
      <c r="U250" s="32">
        <v>117.5</v>
      </c>
      <c r="V250" s="32">
        <v>91.3</v>
      </c>
      <c r="W250" s="32">
        <v>87.6</v>
      </c>
      <c r="X250" s="32">
        <v>86.5</v>
      </c>
      <c r="Y250" s="32">
        <v>88.3</v>
      </c>
      <c r="Z250" s="32">
        <v>92.1</v>
      </c>
      <c r="AA250" s="32">
        <v>93.7</v>
      </c>
      <c r="AB250" s="32">
        <v>86.2</v>
      </c>
      <c r="AC250" s="32">
        <v>89.8</v>
      </c>
      <c r="AD250" s="32">
        <v>102.4</v>
      </c>
      <c r="AE250" s="32">
        <v>152</v>
      </c>
      <c r="AF250" s="32">
        <v>152</v>
      </c>
      <c r="AG250" s="32">
        <v>79.5</v>
      </c>
      <c r="AH250" s="32">
        <v>79.5</v>
      </c>
      <c r="AI250" s="32">
        <v>93.6</v>
      </c>
      <c r="AJ250" s="32">
        <v>74.8</v>
      </c>
      <c r="AK250" s="32">
        <v>99.1</v>
      </c>
      <c r="AL250" s="32">
        <v>72.2</v>
      </c>
      <c r="AM250" s="32">
        <v>78.2</v>
      </c>
      <c r="AN250" s="32">
        <v>78.3</v>
      </c>
      <c r="AO250" s="32">
        <v>93</v>
      </c>
      <c r="AP250" s="32">
        <v>93</v>
      </c>
      <c r="AQ250" s="32">
        <v>93.5</v>
      </c>
      <c r="AR250" s="32">
        <v>92.8</v>
      </c>
      <c r="AS250" s="32">
        <v>94.4</v>
      </c>
      <c r="AT250" s="32">
        <v>91.4</v>
      </c>
      <c r="AU250" s="32">
        <v>96.8</v>
      </c>
      <c r="AV250" s="32">
        <v>100.3</v>
      </c>
      <c r="AW250" s="32">
        <v>133.6</v>
      </c>
      <c r="AX250" s="32">
        <v>131.80000000000001</v>
      </c>
      <c r="AY250" s="32">
        <v>148.30000000000001</v>
      </c>
      <c r="AZ250" s="32">
        <v>93.9</v>
      </c>
      <c r="BA250" s="32">
        <v>98.6</v>
      </c>
      <c r="BB250" s="32">
        <v>98.6</v>
      </c>
      <c r="BC250" s="32">
        <v>83.9</v>
      </c>
      <c r="BD250" s="32">
        <v>83.9</v>
      </c>
      <c r="BE250" s="32">
        <v>97.4</v>
      </c>
      <c r="BF250" s="32">
        <v>97.4</v>
      </c>
      <c r="BG250" s="32">
        <v>104</v>
      </c>
      <c r="BH250" s="32">
        <v>116.6</v>
      </c>
      <c r="BI250" s="32">
        <v>88.9</v>
      </c>
      <c r="BJ250" s="32">
        <v>76.7</v>
      </c>
      <c r="BK250" s="32">
        <v>92.8</v>
      </c>
      <c r="BL250" s="32">
        <v>78.5</v>
      </c>
      <c r="BM250" s="32">
        <v>93.4</v>
      </c>
      <c r="BN250" s="32">
        <v>93.4</v>
      </c>
      <c r="BO250" s="32">
        <v>93.9</v>
      </c>
      <c r="BP250" s="32">
        <v>93</v>
      </c>
      <c r="BQ250" s="32">
        <v>93.6</v>
      </c>
      <c r="BR250" s="32">
        <v>103.7</v>
      </c>
      <c r="BS250" s="32">
        <v>95.5</v>
      </c>
      <c r="BT250" s="32">
        <v>91.5</v>
      </c>
      <c r="BU250" s="32">
        <v>95.9</v>
      </c>
      <c r="BV250" s="32">
        <v>95.9</v>
      </c>
      <c r="BW250" s="32">
        <v>103.1</v>
      </c>
      <c r="BX250" s="32">
        <v>76.900000000000006</v>
      </c>
      <c r="BY250" s="32">
        <v>94.3</v>
      </c>
      <c r="BZ250" s="32">
        <v>95.4</v>
      </c>
      <c r="CA250" s="32">
        <v>93.6</v>
      </c>
      <c r="CB250" s="32">
        <v>90.5</v>
      </c>
      <c r="CC250" s="32">
        <v>98.2</v>
      </c>
      <c r="CD250" s="32">
        <v>78.900000000000006</v>
      </c>
      <c r="CE250" s="32">
        <v>100.6</v>
      </c>
      <c r="CF250" s="32">
        <v>96.9</v>
      </c>
      <c r="CG250" s="32">
        <v>99.3</v>
      </c>
      <c r="CH250" s="32">
        <v>100.5</v>
      </c>
      <c r="CI250" s="32">
        <v>109.6</v>
      </c>
      <c r="CJ250" s="32">
        <v>96.4</v>
      </c>
      <c r="CK250" s="32">
        <v>101.1</v>
      </c>
      <c r="CL250" s="32">
        <v>95</v>
      </c>
      <c r="CM250" s="32">
        <v>98.4</v>
      </c>
      <c r="CN250" s="32">
        <v>113.5</v>
      </c>
      <c r="CO250" s="32">
        <v>95.8</v>
      </c>
      <c r="CP250" s="32">
        <v>109</v>
      </c>
      <c r="CQ250" s="32">
        <v>63.1</v>
      </c>
      <c r="CR250" s="32">
        <v>96.2</v>
      </c>
      <c r="CS250" s="32">
        <v>95.8</v>
      </c>
      <c r="CT250" s="32">
        <v>101.2</v>
      </c>
      <c r="CU250" s="32">
        <v>94.2</v>
      </c>
      <c r="CV250" s="32">
        <v>104.3</v>
      </c>
      <c r="CW250" s="32">
        <v>82</v>
      </c>
      <c r="CX250" s="32">
        <v>101.6</v>
      </c>
      <c r="CY250" s="32">
        <v>99.5</v>
      </c>
      <c r="CZ250" s="32">
        <v>102.8</v>
      </c>
      <c r="DA250" s="32">
        <v>96.2</v>
      </c>
      <c r="DB250" s="32">
        <v>115.5</v>
      </c>
      <c r="DC250" s="32">
        <v>59.5</v>
      </c>
      <c r="DD250" s="32">
        <v>59.5</v>
      </c>
      <c r="DE250" s="32">
        <v>90.9</v>
      </c>
      <c r="DF250" s="32">
        <v>89.9</v>
      </c>
      <c r="DG250" s="32">
        <v>97.6</v>
      </c>
      <c r="DH250" s="32">
        <v>104.2</v>
      </c>
      <c r="DI250" s="32">
        <v>114.3</v>
      </c>
      <c r="DJ250" s="32">
        <v>103.8</v>
      </c>
      <c r="DK250" s="32">
        <v>103.8</v>
      </c>
      <c r="DL250" s="32">
        <v>88</v>
      </c>
      <c r="DM250" s="32">
        <v>95.9</v>
      </c>
      <c r="DN250" s="32">
        <v>97</v>
      </c>
      <c r="DO250" s="32">
        <v>95.2</v>
      </c>
      <c r="DP250" s="32">
        <v>100</v>
      </c>
      <c r="DQ250" s="32">
        <v>98.3</v>
      </c>
      <c r="DR250" s="32">
        <v>97.5</v>
      </c>
      <c r="DS250" s="32">
        <v>99.6</v>
      </c>
      <c r="DT250" s="32">
        <v>97.2</v>
      </c>
      <c r="DU250" s="32">
        <v>98.7</v>
      </c>
      <c r="DV250" s="32">
        <v>98.4</v>
      </c>
      <c r="DW250" s="32">
        <v>98.9</v>
      </c>
      <c r="DX250" s="32">
        <v>94.1</v>
      </c>
      <c r="DY250" s="32">
        <v>107.7</v>
      </c>
      <c r="DZ250" s="32">
        <v>82.1</v>
      </c>
      <c r="EA250" s="32">
        <v>82.1</v>
      </c>
      <c r="EB250" s="32">
        <v>97.5</v>
      </c>
      <c r="EC250" s="32">
        <v>98</v>
      </c>
      <c r="ED250" s="32">
        <v>97</v>
      </c>
      <c r="EE250" s="32">
        <v>99.1</v>
      </c>
      <c r="EF250" s="32">
        <v>91.5</v>
      </c>
      <c r="EG250" s="32">
        <v>99.5</v>
      </c>
      <c r="EH250" s="32">
        <v>103.3</v>
      </c>
      <c r="EI250" s="32">
        <v>95.6</v>
      </c>
      <c r="EJ250" s="32">
        <v>101</v>
      </c>
      <c r="EK250" s="32">
        <v>100.1</v>
      </c>
      <c r="EL250" s="32">
        <v>92</v>
      </c>
      <c r="EM250" s="32">
        <v>93.6</v>
      </c>
      <c r="EN250" s="32">
        <v>105.4</v>
      </c>
      <c r="EO250" s="32">
        <v>97.1</v>
      </c>
      <c r="EP250" s="32">
        <v>95.5</v>
      </c>
      <c r="EQ250" s="32">
        <v>95.5</v>
      </c>
      <c r="ER250" s="32">
        <v>90.9</v>
      </c>
      <c r="ES250" s="32">
        <v>90.9</v>
      </c>
      <c r="ET250" s="32">
        <v>103.2</v>
      </c>
      <c r="EU250" s="32">
        <v>101.8</v>
      </c>
      <c r="EV250" s="32">
        <v>101.8</v>
      </c>
      <c r="EW250" s="32">
        <v>106.2</v>
      </c>
      <c r="EX250" s="32">
        <v>102.8</v>
      </c>
      <c r="EY250" s="32">
        <v>108.8</v>
      </c>
      <c r="EZ250" s="32">
        <v>96.8</v>
      </c>
      <c r="FA250" s="32">
        <v>97.8</v>
      </c>
      <c r="FB250" s="32">
        <v>95.7</v>
      </c>
      <c r="FC250" s="32">
        <v>89.5</v>
      </c>
      <c r="FD250" s="32">
        <v>100.7</v>
      </c>
      <c r="FE250" s="32">
        <v>103.3</v>
      </c>
      <c r="FF250" s="32">
        <v>100.4</v>
      </c>
      <c r="FG250" s="32">
        <v>97.1</v>
      </c>
      <c r="FH250" s="32">
        <v>97.6</v>
      </c>
      <c r="FI250" s="32">
        <v>120.9</v>
      </c>
      <c r="FJ250" s="32">
        <v>94.1</v>
      </c>
      <c r="FK250" s="32">
        <v>86.4</v>
      </c>
      <c r="FL250" s="32">
        <v>86.4</v>
      </c>
    </row>
    <row r="251" spans="1:168" x14ac:dyDescent="0.2">
      <c r="A251" s="34" t="s">
        <v>1231</v>
      </c>
      <c r="B251" s="32">
        <v>96.8</v>
      </c>
      <c r="C251" s="32">
        <v>96.1</v>
      </c>
      <c r="D251" s="32">
        <v>96.3</v>
      </c>
      <c r="E251" s="32">
        <v>94.3</v>
      </c>
      <c r="F251" s="32">
        <v>92.2</v>
      </c>
      <c r="G251" s="32">
        <v>48.2</v>
      </c>
      <c r="H251" s="32">
        <v>93.5</v>
      </c>
      <c r="I251" s="32">
        <v>85.9</v>
      </c>
      <c r="J251" s="32">
        <v>94.5</v>
      </c>
      <c r="K251" s="32">
        <v>87.8</v>
      </c>
      <c r="L251" s="32">
        <v>82.2</v>
      </c>
      <c r="M251" s="32">
        <v>75</v>
      </c>
      <c r="N251" s="32">
        <v>72.599999999999994</v>
      </c>
      <c r="O251" s="32">
        <v>67.400000000000006</v>
      </c>
      <c r="P251" s="32">
        <v>65</v>
      </c>
      <c r="Q251" s="32">
        <v>88.2</v>
      </c>
      <c r="R251" s="32">
        <v>96.8</v>
      </c>
      <c r="S251" s="32">
        <v>90.5</v>
      </c>
      <c r="T251" s="32">
        <v>85.1</v>
      </c>
      <c r="U251" s="32">
        <v>123.5</v>
      </c>
      <c r="V251" s="32">
        <v>101.7</v>
      </c>
      <c r="W251" s="32">
        <v>87</v>
      </c>
      <c r="X251" s="32">
        <v>82.5</v>
      </c>
      <c r="Y251" s="32">
        <v>94.8</v>
      </c>
      <c r="Z251" s="32">
        <v>91.7</v>
      </c>
      <c r="AA251" s="32">
        <v>93.1</v>
      </c>
      <c r="AB251" s="32">
        <v>85.1</v>
      </c>
      <c r="AC251" s="32">
        <v>91.1</v>
      </c>
      <c r="AD251" s="32">
        <v>100.3</v>
      </c>
      <c r="AE251" s="32">
        <v>151.30000000000001</v>
      </c>
      <c r="AF251" s="32">
        <v>151.30000000000001</v>
      </c>
      <c r="AG251" s="32">
        <v>80.7</v>
      </c>
      <c r="AH251" s="32">
        <v>80.7</v>
      </c>
      <c r="AI251" s="32">
        <v>97.6</v>
      </c>
      <c r="AJ251" s="32">
        <v>78.400000000000006</v>
      </c>
      <c r="AK251" s="32">
        <v>96.5</v>
      </c>
      <c r="AL251" s="32">
        <v>76</v>
      </c>
      <c r="AM251" s="32">
        <v>77.400000000000006</v>
      </c>
      <c r="AN251" s="32">
        <v>78.2</v>
      </c>
      <c r="AO251" s="32">
        <v>91.2</v>
      </c>
      <c r="AP251" s="32">
        <v>91.2</v>
      </c>
      <c r="AQ251" s="32">
        <v>91.7</v>
      </c>
      <c r="AR251" s="32">
        <v>90.4</v>
      </c>
      <c r="AS251" s="32">
        <v>93.5</v>
      </c>
      <c r="AT251" s="32">
        <v>90.4</v>
      </c>
      <c r="AU251" s="32">
        <v>95.9</v>
      </c>
      <c r="AV251" s="32">
        <v>102</v>
      </c>
      <c r="AW251" s="32">
        <v>130.5</v>
      </c>
      <c r="AX251" s="32">
        <v>123.9</v>
      </c>
      <c r="AY251" s="32">
        <v>152.19999999999999</v>
      </c>
      <c r="AZ251" s="32">
        <v>96.4</v>
      </c>
      <c r="BA251" s="32">
        <v>103.5</v>
      </c>
      <c r="BB251" s="32">
        <v>103.5</v>
      </c>
      <c r="BC251" s="32">
        <v>88.1</v>
      </c>
      <c r="BD251" s="32">
        <v>88.1</v>
      </c>
      <c r="BE251" s="32">
        <v>93.6</v>
      </c>
      <c r="BF251" s="32">
        <v>93.6</v>
      </c>
      <c r="BG251" s="32">
        <v>100.9</v>
      </c>
      <c r="BH251" s="32">
        <v>111.9</v>
      </c>
      <c r="BI251" s="32">
        <v>87.8</v>
      </c>
      <c r="BJ251" s="32">
        <v>78.599999999999994</v>
      </c>
      <c r="BK251" s="32">
        <v>90.8</v>
      </c>
      <c r="BL251" s="32">
        <v>78.599999999999994</v>
      </c>
      <c r="BM251" s="32">
        <v>97.7</v>
      </c>
      <c r="BN251" s="32">
        <v>94.1</v>
      </c>
      <c r="BO251" s="32">
        <v>92.3</v>
      </c>
      <c r="BP251" s="32">
        <v>95.8</v>
      </c>
      <c r="BQ251" s="32">
        <v>101.8</v>
      </c>
      <c r="BR251" s="32">
        <v>93.4</v>
      </c>
      <c r="BS251" s="32">
        <v>105.9</v>
      </c>
      <c r="BT251" s="32">
        <v>101.8</v>
      </c>
      <c r="BU251" s="32">
        <v>94.5</v>
      </c>
      <c r="BV251" s="32">
        <v>94.5</v>
      </c>
      <c r="BW251" s="32">
        <v>102.5</v>
      </c>
      <c r="BX251" s="32">
        <v>73.599999999999994</v>
      </c>
      <c r="BY251" s="32">
        <v>93.5</v>
      </c>
      <c r="BZ251" s="32">
        <v>97</v>
      </c>
      <c r="CA251" s="32">
        <v>91.5</v>
      </c>
      <c r="CB251" s="32">
        <v>84.4</v>
      </c>
      <c r="CC251" s="32">
        <v>100.3</v>
      </c>
      <c r="CD251" s="32">
        <v>80.7</v>
      </c>
      <c r="CE251" s="32">
        <v>101</v>
      </c>
      <c r="CF251" s="32">
        <v>96.9</v>
      </c>
      <c r="CG251" s="32">
        <v>99.4</v>
      </c>
      <c r="CH251" s="32">
        <v>101.1</v>
      </c>
      <c r="CI251" s="32">
        <v>111.5</v>
      </c>
      <c r="CJ251" s="32">
        <v>97.2</v>
      </c>
      <c r="CK251" s="32">
        <v>101.2</v>
      </c>
      <c r="CL251" s="32">
        <v>94.3</v>
      </c>
      <c r="CM251" s="32">
        <v>96.7</v>
      </c>
      <c r="CN251" s="32">
        <v>112.7</v>
      </c>
      <c r="CO251" s="32">
        <v>93.9</v>
      </c>
      <c r="CP251" s="32">
        <v>110.3</v>
      </c>
      <c r="CQ251" s="32">
        <v>64.099999999999994</v>
      </c>
      <c r="CR251" s="32">
        <v>95.5</v>
      </c>
      <c r="CS251" s="32">
        <v>95.3</v>
      </c>
      <c r="CT251" s="32">
        <v>100.6</v>
      </c>
      <c r="CU251" s="32">
        <v>92</v>
      </c>
      <c r="CV251" s="32">
        <v>104.3</v>
      </c>
      <c r="CW251" s="32">
        <v>82.9</v>
      </c>
      <c r="CX251" s="32">
        <v>100.6</v>
      </c>
      <c r="CY251" s="32">
        <v>102.8</v>
      </c>
      <c r="CZ251" s="32">
        <v>99.3</v>
      </c>
      <c r="DA251" s="32">
        <v>92.8</v>
      </c>
      <c r="DB251" s="32">
        <v>111.6</v>
      </c>
      <c r="DC251" s="32">
        <v>60.7</v>
      </c>
      <c r="DD251" s="32">
        <v>60.7</v>
      </c>
      <c r="DE251" s="32">
        <v>92.5</v>
      </c>
      <c r="DF251" s="32">
        <v>91.7</v>
      </c>
      <c r="DG251" s="32">
        <v>97.2</v>
      </c>
      <c r="DH251" s="32">
        <v>104.3</v>
      </c>
      <c r="DI251" s="32">
        <v>114.4</v>
      </c>
      <c r="DJ251" s="32">
        <v>102.6</v>
      </c>
      <c r="DK251" s="32">
        <v>102.6</v>
      </c>
      <c r="DL251" s="32">
        <v>89</v>
      </c>
      <c r="DM251" s="32">
        <v>95.8</v>
      </c>
      <c r="DN251" s="32">
        <v>96.8</v>
      </c>
      <c r="DO251" s="32">
        <v>95.3</v>
      </c>
      <c r="DP251" s="32">
        <v>100.2</v>
      </c>
      <c r="DQ251" s="32">
        <v>98.2</v>
      </c>
      <c r="DR251" s="32">
        <v>97.7</v>
      </c>
      <c r="DS251" s="32">
        <v>99.2</v>
      </c>
      <c r="DT251" s="32">
        <v>97</v>
      </c>
      <c r="DU251" s="32">
        <v>98.8</v>
      </c>
      <c r="DV251" s="32">
        <v>99.7</v>
      </c>
      <c r="DW251" s="32">
        <v>97.7</v>
      </c>
      <c r="DX251" s="32">
        <v>93.1</v>
      </c>
      <c r="DY251" s="32">
        <v>106.5</v>
      </c>
      <c r="DZ251" s="32">
        <v>86.9</v>
      </c>
      <c r="EA251" s="32">
        <v>86.9</v>
      </c>
      <c r="EB251" s="32">
        <v>97.8</v>
      </c>
      <c r="EC251" s="32">
        <v>99.4</v>
      </c>
      <c r="ED251" s="32">
        <v>95.9</v>
      </c>
      <c r="EE251" s="32">
        <v>96.2</v>
      </c>
      <c r="EF251" s="32">
        <v>95</v>
      </c>
      <c r="EG251" s="32">
        <v>99</v>
      </c>
      <c r="EH251" s="32">
        <v>102.8</v>
      </c>
      <c r="EI251" s="32">
        <v>96.7</v>
      </c>
      <c r="EJ251" s="32">
        <v>100.4</v>
      </c>
      <c r="EK251" s="32">
        <v>98.3</v>
      </c>
      <c r="EL251" s="32">
        <v>91.8</v>
      </c>
      <c r="EM251" s="32">
        <v>91.1</v>
      </c>
      <c r="EN251" s="32">
        <v>103.8</v>
      </c>
      <c r="EO251" s="32">
        <v>96.8</v>
      </c>
      <c r="EP251" s="32">
        <v>95.5</v>
      </c>
      <c r="EQ251" s="32">
        <v>95.5</v>
      </c>
      <c r="ER251" s="32">
        <v>90.8</v>
      </c>
      <c r="ES251" s="32">
        <v>90.8</v>
      </c>
      <c r="ET251" s="32">
        <v>102.6</v>
      </c>
      <c r="EU251" s="32">
        <v>101.3</v>
      </c>
      <c r="EV251" s="32">
        <v>101.3</v>
      </c>
      <c r="EW251" s="32">
        <v>105.8</v>
      </c>
      <c r="EX251" s="32">
        <v>102.3</v>
      </c>
      <c r="EY251" s="32">
        <v>108.6</v>
      </c>
      <c r="EZ251" s="32">
        <v>95.7</v>
      </c>
      <c r="FA251" s="32">
        <v>95.1</v>
      </c>
      <c r="FB251" s="32">
        <v>97.3</v>
      </c>
      <c r="FC251" s="32">
        <v>89.7</v>
      </c>
      <c r="FD251" s="32">
        <v>101.1</v>
      </c>
      <c r="FE251" s="32">
        <v>107.4</v>
      </c>
      <c r="FF251" s="32">
        <v>92.3</v>
      </c>
      <c r="FG251" s="32">
        <v>97.1</v>
      </c>
      <c r="FH251" s="32">
        <v>97.6</v>
      </c>
      <c r="FI251" s="32">
        <v>120</v>
      </c>
      <c r="FJ251" s="32">
        <v>94.2</v>
      </c>
      <c r="FK251" s="32">
        <v>88.4</v>
      </c>
      <c r="FL251" s="32">
        <v>88.4</v>
      </c>
    </row>
    <row r="252" spans="1:168" x14ac:dyDescent="0.2">
      <c r="A252" s="34" t="s">
        <v>1232</v>
      </c>
      <c r="B252" s="32">
        <v>97</v>
      </c>
      <c r="C252" s="32">
        <v>95.6</v>
      </c>
      <c r="D252" s="32">
        <v>96.5</v>
      </c>
      <c r="E252" s="32">
        <v>94.7</v>
      </c>
      <c r="F252" s="32">
        <v>92.2</v>
      </c>
      <c r="G252" s="32">
        <v>53.6</v>
      </c>
      <c r="H252" s="32">
        <v>93.4</v>
      </c>
      <c r="I252" s="32">
        <v>86.4</v>
      </c>
      <c r="J252" s="32">
        <v>94.7</v>
      </c>
      <c r="K252" s="32">
        <v>87.5</v>
      </c>
      <c r="L252" s="32">
        <v>84.1</v>
      </c>
      <c r="M252" s="32">
        <v>75.099999999999994</v>
      </c>
      <c r="N252" s="32">
        <v>74.3</v>
      </c>
      <c r="O252" s="32">
        <v>75</v>
      </c>
      <c r="P252" s="32">
        <v>65</v>
      </c>
      <c r="Q252" s="32">
        <v>90</v>
      </c>
      <c r="R252" s="32">
        <v>97.6</v>
      </c>
      <c r="S252" s="32">
        <v>94.9</v>
      </c>
      <c r="T252" s="32">
        <v>85.6</v>
      </c>
      <c r="U252" s="32">
        <v>112.1</v>
      </c>
      <c r="V252" s="32">
        <v>95.1</v>
      </c>
      <c r="W252" s="32">
        <v>87.8</v>
      </c>
      <c r="X252" s="32">
        <v>83.9</v>
      </c>
      <c r="Y252" s="32">
        <v>94.7</v>
      </c>
      <c r="Z252" s="32">
        <v>90.4</v>
      </c>
      <c r="AA252" s="32">
        <v>92.7</v>
      </c>
      <c r="AB252" s="32">
        <v>85.3</v>
      </c>
      <c r="AC252" s="32">
        <v>91.1</v>
      </c>
      <c r="AD252" s="32">
        <v>99</v>
      </c>
      <c r="AE252" s="32">
        <v>134.69999999999999</v>
      </c>
      <c r="AF252" s="32">
        <v>134.69999999999999</v>
      </c>
      <c r="AG252" s="32">
        <v>80.099999999999994</v>
      </c>
      <c r="AH252" s="32">
        <v>80.099999999999994</v>
      </c>
      <c r="AI252" s="32">
        <v>99.6</v>
      </c>
      <c r="AJ252" s="32">
        <v>75.5</v>
      </c>
      <c r="AK252" s="32">
        <v>101.9</v>
      </c>
      <c r="AL252" s="32">
        <v>75.8</v>
      </c>
      <c r="AM252" s="32">
        <v>76.900000000000006</v>
      </c>
      <c r="AN252" s="32">
        <v>77.7</v>
      </c>
      <c r="AO252" s="32">
        <v>86.7</v>
      </c>
      <c r="AP252" s="32">
        <v>86.7</v>
      </c>
      <c r="AQ252" s="32">
        <v>92.7</v>
      </c>
      <c r="AR252" s="32">
        <v>93</v>
      </c>
      <c r="AS252" s="32">
        <v>92.3</v>
      </c>
      <c r="AT252" s="32">
        <v>92.5</v>
      </c>
      <c r="AU252" s="32">
        <v>92</v>
      </c>
      <c r="AV252" s="32">
        <v>100.2</v>
      </c>
      <c r="AW252" s="32">
        <v>125.8</v>
      </c>
      <c r="AX252" s="32">
        <v>114.9</v>
      </c>
      <c r="AY252" s="32">
        <v>153.69999999999999</v>
      </c>
      <c r="AZ252" s="32">
        <v>95.2</v>
      </c>
      <c r="BA252" s="32">
        <v>96.6</v>
      </c>
      <c r="BB252" s="32">
        <v>96.6</v>
      </c>
      <c r="BC252" s="32">
        <v>88.6</v>
      </c>
      <c r="BD252" s="32">
        <v>88.6</v>
      </c>
      <c r="BE252" s="32">
        <v>98.3</v>
      </c>
      <c r="BF252" s="32">
        <v>98.3</v>
      </c>
      <c r="BG252" s="32">
        <v>107.4</v>
      </c>
      <c r="BH252" s="32">
        <v>124.9</v>
      </c>
      <c r="BI252" s="32">
        <v>86.7</v>
      </c>
      <c r="BJ252" s="32">
        <v>80.7</v>
      </c>
      <c r="BK252" s="32">
        <v>88.8</v>
      </c>
      <c r="BL252" s="32">
        <v>78.400000000000006</v>
      </c>
      <c r="BM252" s="32">
        <v>97.7</v>
      </c>
      <c r="BN252" s="32">
        <v>96.3</v>
      </c>
      <c r="BO252" s="32">
        <v>93.8</v>
      </c>
      <c r="BP252" s="32">
        <v>98.6</v>
      </c>
      <c r="BQ252" s="32">
        <v>99.4</v>
      </c>
      <c r="BR252" s="32">
        <v>102.1</v>
      </c>
      <c r="BS252" s="32">
        <v>93.1</v>
      </c>
      <c r="BT252" s="32">
        <v>101.2</v>
      </c>
      <c r="BU252" s="32">
        <v>94.2</v>
      </c>
      <c r="BV252" s="32">
        <v>94.2</v>
      </c>
      <c r="BW252" s="32">
        <v>101.7</v>
      </c>
      <c r="BX252" s="32">
        <v>74.5</v>
      </c>
      <c r="BY252" s="32">
        <v>97.7</v>
      </c>
      <c r="BZ252" s="32">
        <v>94.3</v>
      </c>
      <c r="CA252" s="32">
        <v>99.4</v>
      </c>
      <c r="CB252" s="32">
        <v>100.4</v>
      </c>
      <c r="CC252" s="32">
        <v>99.8</v>
      </c>
      <c r="CD252" s="32">
        <v>79.599999999999994</v>
      </c>
      <c r="CE252" s="32">
        <v>100.5</v>
      </c>
      <c r="CF252" s="32">
        <v>97.1</v>
      </c>
      <c r="CG252" s="32">
        <v>100.3</v>
      </c>
      <c r="CH252" s="32">
        <v>101.9</v>
      </c>
      <c r="CI252" s="32">
        <v>111.8</v>
      </c>
      <c r="CJ252" s="32">
        <v>98.9</v>
      </c>
      <c r="CK252" s="32">
        <v>101.5</v>
      </c>
      <c r="CL252" s="32">
        <v>94.6</v>
      </c>
      <c r="CM252" s="32">
        <v>98.5</v>
      </c>
      <c r="CN252" s="32">
        <v>112</v>
      </c>
      <c r="CO252" s="32">
        <v>96.1</v>
      </c>
      <c r="CP252" s="32">
        <v>110.9</v>
      </c>
      <c r="CQ252" s="32">
        <v>64.8</v>
      </c>
      <c r="CR252" s="32">
        <v>94.1</v>
      </c>
      <c r="CS252" s="32">
        <v>94.6</v>
      </c>
      <c r="CT252" s="32">
        <v>102.9</v>
      </c>
      <c r="CU252" s="32">
        <v>96.1</v>
      </c>
      <c r="CV252" s="32">
        <v>105.8</v>
      </c>
      <c r="CW252" s="32">
        <v>82</v>
      </c>
      <c r="CX252" s="32">
        <v>96.8</v>
      </c>
      <c r="CY252" s="32">
        <v>103.6</v>
      </c>
      <c r="CZ252" s="32">
        <v>92.7</v>
      </c>
      <c r="DA252" s="32">
        <v>90.3</v>
      </c>
      <c r="DB252" s="32">
        <v>97.9</v>
      </c>
      <c r="DC252" s="32">
        <v>62.3</v>
      </c>
      <c r="DD252" s="32">
        <v>62.3</v>
      </c>
      <c r="DE252" s="32">
        <v>90.3</v>
      </c>
      <c r="DF252" s="32">
        <v>89.4</v>
      </c>
      <c r="DG252" s="32">
        <v>95.5</v>
      </c>
      <c r="DH252" s="32">
        <v>105.2</v>
      </c>
      <c r="DI252" s="32">
        <v>114.9</v>
      </c>
      <c r="DJ252" s="32">
        <v>100.9</v>
      </c>
      <c r="DK252" s="32">
        <v>100.9</v>
      </c>
      <c r="DL252" s="32">
        <v>92.6</v>
      </c>
      <c r="DM252" s="32">
        <v>96.2</v>
      </c>
      <c r="DN252" s="32">
        <v>97</v>
      </c>
      <c r="DO252" s="32">
        <v>95.6</v>
      </c>
      <c r="DP252" s="32">
        <v>101.7</v>
      </c>
      <c r="DQ252" s="32">
        <v>98.2</v>
      </c>
      <c r="DR252" s="32">
        <v>98</v>
      </c>
      <c r="DS252" s="32">
        <v>100.1</v>
      </c>
      <c r="DT252" s="32">
        <v>97.9</v>
      </c>
      <c r="DU252" s="32">
        <v>100.3</v>
      </c>
      <c r="DV252" s="32">
        <v>100.5</v>
      </c>
      <c r="DW252" s="32">
        <v>100.1</v>
      </c>
      <c r="DX252" s="32">
        <v>92.9</v>
      </c>
      <c r="DY252" s="32">
        <v>107.2</v>
      </c>
      <c r="DZ252" s="32">
        <v>86.5</v>
      </c>
      <c r="EA252" s="32">
        <v>86.5</v>
      </c>
      <c r="EB252" s="32">
        <v>96.6</v>
      </c>
      <c r="EC252" s="32">
        <v>98.3</v>
      </c>
      <c r="ED252" s="32">
        <v>94.6</v>
      </c>
      <c r="EE252" s="32">
        <v>94.8</v>
      </c>
      <c r="EF252" s="32">
        <v>93.8</v>
      </c>
      <c r="EG252" s="32">
        <v>98.6</v>
      </c>
      <c r="EH252" s="32">
        <v>103.2</v>
      </c>
      <c r="EI252" s="32">
        <v>98.8</v>
      </c>
      <c r="EJ252" s="32">
        <v>100.1</v>
      </c>
      <c r="EK252" s="32">
        <v>95.6</v>
      </c>
      <c r="EL252" s="32">
        <v>90.9</v>
      </c>
      <c r="EM252" s="32">
        <v>89</v>
      </c>
      <c r="EN252" s="32">
        <v>100.4</v>
      </c>
      <c r="EO252" s="32">
        <v>96.6</v>
      </c>
      <c r="EP252" s="32">
        <v>95.7</v>
      </c>
      <c r="EQ252" s="32">
        <v>95.7</v>
      </c>
      <c r="ER252" s="32">
        <v>91.1</v>
      </c>
      <c r="ES252" s="32">
        <v>91.1</v>
      </c>
      <c r="ET252" s="32">
        <v>101.7</v>
      </c>
      <c r="EU252" s="32">
        <v>100.1</v>
      </c>
      <c r="EV252" s="32">
        <v>100.1</v>
      </c>
      <c r="EW252" s="32">
        <v>105.3</v>
      </c>
      <c r="EX252" s="32">
        <v>101.9</v>
      </c>
      <c r="EY252" s="32">
        <v>107.9</v>
      </c>
      <c r="EZ252" s="32">
        <v>96.3</v>
      </c>
      <c r="FA252" s="32">
        <v>97.5</v>
      </c>
      <c r="FB252" s="32">
        <v>97.8</v>
      </c>
      <c r="FC252" s="32">
        <v>88.2</v>
      </c>
      <c r="FD252" s="32">
        <v>100.2</v>
      </c>
      <c r="FE252" s="32">
        <v>111.7</v>
      </c>
      <c r="FF252" s="32">
        <v>97.2</v>
      </c>
      <c r="FG252" s="32">
        <v>96.4</v>
      </c>
      <c r="FH252" s="32">
        <v>98.4</v>
      </c>
      <c r="FI252" s="32">
        <v>116.2</v>
      </c>
      <c r="FJ252" s="32">
        <v>93.2</v>
      </c>
      <c r="FK252" s="32">
        <v>87.5</v>
      </c>
      <c r="FL252" s="32">
        <v>87.5</v>
      </c>
    </row>
    <row r="253" spans="1:168" x14ac:dyDescent="0.2">
      <c r="A253" s="34" t="s">
        <v>1233</v>
      </c>
      <c r="B253" s="32">
        <v>97.2</v>
      </c>
      <c r="C253" s="32">
        <v>94.9</v>
      </c>
      <c r="D253" s="32">
        <v>97</v>
      </c>
      <c r="E253" s="32">
        <v>94.9</v>
      </c>
      <c r="F253" s="32">
        <v>89.7</v>
      </c>
      <c r="G253" s="32">
        <v>72.900000000000006</v>
      </c>
      <c r="H253" s="32">
        <v>90.8</v>
      </c>
      <c r="I253" s="32">
        <v>84.6</v>
      </c>
      <c r="J253" s="32">
        <v>95</v>
      </c>
      <c r="K253" s="32">
        <v>87.2</v>
      </c>
      <c r="L253" s="32">
        <v>83.8</v>
      </c>
      <c r="M253" s="32">
        <v>74.599999999999994</v>
      </c>
      <c r="N253" s="32">
        <v>74.400000000000006</v>
      </c>
      <c r="O253" s="32">
        <v>75.099999999999994</v>
      </c>
      <c r="P253" s="32">
        <v>67.2</v>
      </c>
      <c r="Q253" s="32">
        <v>92</v>
      </c>
      <c r="R253" s="32">
        <v>100.3</v>
      </c>
      <c r="S253" s="32">
        <v>91.9</v>
      </c>
      <c r="T253" s="32">
        <v>82.6</v>
      </c>
      <c r="U253" s="32">
        <v>107.2</v>
      </c>
      <c r="V253" s="32">
        <v>96</v>
      </c>
      <c r="W253" s="32">
        <v>89.5</v>
      </c>
      <c r="X253" s="32">
        <v>84.6</v>
      </c>
      <c r="Y253" s="32">
        <v>99.1</v>
      </c>
      <c r="Z253" s="32">
        <v>88.4</v>
      </c>
      <c r="AA253" s="32">
        <v>94.7</v>
      </c>
      <c r="AB253" s="32">
        <v>84.2</v>
      </c>
      <c r="AC253" s="32">
        <v>92.4</v>
      </c>
      <c r="AD253" s="32">
        <v>104.1</v>
      </c>
      <c r="AE253" s="32">
        <v>145.5</v>
      </c>
      <c r="AF253" s="32">
        <v>145.5</v>
      </c>
      <c r="AG253" s="32">
        <v>81.099999999999994</v>
      </c>
      <c r="AH253" s="32">
        <v>81.099999999999994</v>
      </c>
      <c r="AI253" s="32">
        <v>95.1</v>
      </c>
      <c r="AJ253" s="32">
        <v>75.900000000000006</v>
      </c>
      <c r="AK253" s="32">
        <v>109.6</v>
      </c>
      <c r="AL253" s="32">
        <v>81.900000000000006</v>
      </c>
      <c r="AM253" s="32">
        <v>77.3</v>
      </c>
      <c r="AN253" s="32">
        <v>78.5</v>
      </c>
      <c r="AO253" s="32">
        <v>95.4</v>
      </c>
      <c r="AP253" s="32">
        <v>95.4</v>
      </c>
      <c r="AQ253" s="32">
        <v>93.5</v>
      </c>
      <c r="AR253" s="32">
        <v>93.9</v>
      </c>
      <c r="AS253" s="32">
        <v>92.9</v>
      </c>
      <c r="AT253" s="32">
        <v>93.7</v>
      </c>
      <c r="AU253" s="32">
        <v>92.2</v>
      </c>
      <c r="AV253" s="32">
        <v>101.7</v>
      </c>
      <c r="AW253" s="32">
        <v>129</v>
      </c>
      <c r="AX253" s="32">
        <v>115.4</v>
      </c>
      <c r="AY253" s="32">
        <v>161.6</v>
      </c>
      <c r="AZ253" s="32">
        <v>96.4</v>
      </c>
      <c r="BA253" s="32">
        <v>97.6</v>
      </c>
      <c r="BB253" s="32">
        <v>97.6</v>
      </c>
      <c r="BC253" s="32">
        <v>83.8</v>
      </c>
      <c r="BD253" s="32">
        <v>83.8</v>
      </c>
      <c r="BE253" s="32">
        <v>98.5</v>
      </c>
      <c r="BF253" s="32">
        <v>98.5</v>
      </c>
      <c r="BG253" s="32">
        <v>103.4</v>
      </c>
      <c r="BH253" s="32">
        <v>117.8</v>
      </c>
      <c r="BI253" s="32">
        <v>86.3</v>
      </c>
      <c r="BJ253" s="32">
        <v>81.7</v>
      </c>
      <c r="BK253" s="32">
        <v>87.9</v>
      </c>
      <c r="BL253" s="32">
        <v>79.8</v>
      </c>
      <c r="BM253" s="32">
        <v>95.4</v>
      </c>
      <c r="BN253" s="32">
        <v>95.6</v>
      </c>
      <c r="BO253" s="32">
        <v>95.3</v>
      </c>
      <c r="BP253" s="32">
        <v>96</v>
      </c>
      <c r="BQ253" s="32">
        <v>95.2</v>
      </c>
      <c r="BR253" s="32">
        <v>90.8</v>
      </c>
      <c r="BS253" s="32">
        <v>95.4</v>
      </c>
      <c r="BT253" s="32">
        <v>95.9</v>
      </c>
      <c r="BU253" s="32">
        <v>94.1</v>
      </c>
      <c r="BV253" s="32">
        <v>94.1</v>
      </c>
      <c r="BW253" s="32">
        <v>101.1</v>
      </c>
      <c r="BX253" s="32">
        <v>75.900000000000006</v>
      </c>
      <c r="BY253" s="32">
        <v>97.9</v>
      </c>
      <c r="BZ253" s="32">
        <v>93.6</v>
      </c>
      <c r="CA253" s="32">
        <v>100.1</v>
      </c>
      <c r="CB253" s="32">
        <v>101.6</v>
      </c>
      <c r="CC253" s="32">
        <v>99.8</v>
      </c>
      <c r="CD253" s="32">
        <v>79.8</v>
      </c>
      <c r="CE253" s="32">
        <v>102.1</v>
      </c>
      <c r="CF253" s="32">
        <v>97.2</v>
      </c>
      <c r="CG253" s="32">
        <v>100.4</v>
      </c>
      <c r="CH253" s="32">
        <v>102.2</v>
      </c>
      <c r="CI253" s="32">
        <v>112.4</v>
      </c>
      <c r="CJ253" s="32">
        <v>98.3</v>
      </c>
      <c r="CK253" s="32">
        <v>102.4</v>
      </c>
      <c r="CL253" s="32">
        <v>95</v>
      </c>
      <c r="CM253" s="32">
        <v>98.8</v>
      </c>
      <c r="CN253" s="32">
        <v>112.8</v>
      </c>
      <c r="CO253" s="32">
        <v>96.3</v>
      </c>
      <c r="CP253" s="32">
        <v>110.4</v>
      </c>
      <c r="CQ253" s="32">
        <v>63.7</v>
      </c>
      <c r="CR253" s="32">
        <v>95.2</v>
      </c>
      <c r="CS253" s="32">
        <v>95.5</v>
      </c>
      <c r="CT253" s="32">
        <v>101.6</v>
      </c>
      <c r="CU253" s="32">
        <v>93.7</v>
      </c>
      <c r="CV253" s="32">
        <v>105</v>
      </c>
      <c r="CW253" s="32">
        <v>83.7</v>
      </c>
      <c r="CX253" s="32">
        <v>103.1</v>
      </c>
      <c r="CY253" s="32">
        <v>101.4</v>
      </c>
      <c r="CZ253" s="32">
        <v>104.1</v>
      </c>
      <c r="DA253" s="32">
        <v>96.6</v>
      </c>
      <c r="DB253" s="32">
        <v>118.2</v>
      </c>
      <c r="DC253" s="32">
        <v>62.7</v>
      </c>
      <c r="DD253" s="32">
        <v>62.7</v>
      </c>
      <c r="DE253" s="32">
        <v>90.9</v>
      </c>
      <c r="DF253" s="32">
        <v>90.3</v>
      </c>
      <c r="DG253" s="32">
        <v>94.8</v>
      </c>
      <c r="DH253" s="32">
        <v>104.9</v>
      </c>
      <c r="DI253" s="32">
        <v>114.4</v>
      </c>
      <c r="DJ253" s="32">
        <v>100.2</v>
      </c>
      <c r="DK253" s="32">
        <v>100.2</v>
      </c>
      <c r="DL253" s="32">
        <v>93</v>
      </c>
      <c r="DM253" s="32">
        <v>96.3</v>
      </c>
      <c r="DN253" s="32">
        <v>97.3</v>
      </c>
      <c r="DO253" s="32">
        <v>95.7</v>
      </c>
      <c r="DP253" s="32">
        <v>101.1</v>
      </c>
      <c r="DQ253" s="32">
        <v>97.8</v>
      </c>
      <c r="DR253" s="32">
        <v>97.4</v>
      </c>
      <c r="DS253" s="32">
        <v>98.9</v>
      </c>
      <c r="DT253" s="32">
        <v>97.2</v>
      </c>
      <c r="DU253" s="32">
        <v>99.3</v>
      </c>
      <c r="DV253" s="32">
        <v>98.9</v>
      </c>
      <c r="DW253" s="32">
        <v>99.8</v>
      </c>
      <c r="DX253" s="32">
        <v>92.6</v>
      </c>
      <c r="DY253" s="32">
        <v>104.9</v>
      </c>
      <c r="DZ253" s="32">
        <v>86.4</v>
      </c>
      <c r="EA253" s="32">
        <v>86.4</v>
      </c>
      <c r="EB253" s="32">
        <v>97.4</v>
      </c>
      <c r="EC253" s="32">
        <v>100.3</v>
      </c>
      <c r="ED253" s="32">
        <v>93.9</v>
      </c>
      <c r="EE253" s="32">
        <v>92.8</v>
      </c>
      <c r="EF253" s="32">
        <v>96.7</v>
      </c>
      <c r="EG253" s="32">
        <v>98.3</v>
      </c>
      <c r="EH253" s="32">
        <v>101.3</v>
      </c>
      <c r="EI253" s="32">
        <v>99.4</v>
      </c>
      <c r="EJ253" s="32">
        <v>98.9</v>
      </c>
      <c r="EK253" s="32">
        <v>95.6</v>
      </c>
      <c r="EL253" s="32">
        <v>94.2</v>
      </c>
      <c r="EM253" s="32">
        <v>90.4</v>
      </c>
      <c r="EN253" s="32">
        <v>99</v>
      </c>
      <c r="EO253" s="32">
        <v>96.3</v>
      </c>
      <c r="EP253" s="32">
        <v>95.6</v>
      </c>
      <c r="EQ253" s="32">
        <v>95.6</v>
      </c>
      <c r="ER253" s="32">
        <v>91</v>
      </c>
      <c r="ES253" s="32">
        <v>91</v>
      </c>
      <c r="ET253" s="32">
        <v>101.1</v>
      </c>
      <c r="EU253" s="32">
        <v>99.6</v>
      </c>
      <c r="EV253" s="32">
        <v>99.6</v>
      </c>
      <c r="EW253" s="32">
        <v>104.7</v>
      </c>
      <c r="EX253" s="32">
        <v>101.4</v>
      </c>
      <c r="EY253" s="32">
        <v>107.2</v>
      </c>
      <c r="EZ253" s="32">
        <v>97.8</v>
      </c>
      <c r="FA253" s="32">
        <v>97.7</v>
      </c>
      <c r="FB253" s="32">
        <v>100.1</v>
      </c>
      <c r="FC253" s="32">
        <v>90.4</v>
      </c>
      <c r="FD253" s="32">
        <v>102.4</v>
      </c>
      <c r="FE253" s="32">
        <v>114.5</v>
      </c>
      <c r="FF253" s="32">
        <v>94.6</v>
      </c>
      <c r="FG253" s="32">
        <v>99.3</v>
      </c>
      <c r="FH253" s="32">
        <v>98</v>
      </c>
      <c r="FI253" s="32">
        <v>124</v>
      </c>
      <c r="FJ253" s="32">
        <v>97</v>
      </c>
      <c r="FK253" s="32">
        <v>86.2</v>
      </c>
      <c r="FL253" s="32">
        <v>86.2</v>
      </c>
    </row>
    <row r="254" spans="1:168" x14ac:dyDescent="0.2">
      <c r="A254" s="34" t="s">
        <v>1234</v>
      </c>
      <c r="B254" s="32">
        <v>97.6</v>
      </c>
      <c r="C254" s="32">
        <v>94.1</v>
      </c>
      <c r="D254" s="32">
        <v>98</v>
      </c>
      <c r="E254" s="32">
        <v>96.8</v>
      </c>
      <c r="F254" s="32">
        <v>92.5</v>
      </c>
      <c r="G254" s="32">
        <v>97.5</v>
      </c>
      <c r="H254" s="32">
        <v>94.3</v>
      </c>
      <c r="I254" s="32">
        <v>84.8</v>
      </c>
      <c r="J254" s="32">
        <v>97</v>
      </c>
      <c r="K254" s="32">
        <v>87.8</v>
      </c>
      <c r="L254" s="32">
        <v>84.1</v>
      </c>
      <c r="M254" s="32">
        <v>74.599999999999994</v>
      </c>
      <c r="N254" s="32">
        <v>74.7</v>
      </c>
      <c r="O254" s="32">
        <v>73.7</v>
      </c>
      <c r="P254" s="32">
        <v>70.599999999999994</v>
      </c>
      <c r="Q254" s="32">
        <v>96.8</v>
      </c>
      <c r="R254" s="32">
        <v>99</v>
      </c>
      <c r="S254" s="32">
        <v>92.3</v>
      </c>
      <c r="T254" s="32">
        <v>79.3</v>
      </c>
      <c r="U254" s="32">
        <v>114</v>
      </c>
      <c r="V254" s="32">
        <v>96.3</v>
      </c>
      <c r="W254" s="32">
        <v>90.8</v>
      </c>
      <c r="X254" s="32">
        <v>86.5</v>
      </c>
      <c r="Y254" s="32">
        <v>99</v>
      </c>
      <c r="Z254" s="32">
        <v>90</v>
      </c>
      <c r="AA254" s="32">
        <v>94.8</v>
      </c>
      <c r="AB254" s="32">
        <v>87.2</v>
      </c>
      <c r="AC254" s="32">
        <v>90.7</v>
      </c>
      <c r="AD254" s="32">
        <v>103.7</v>
      </c>
      <c r="AE254" s="32">
        <v>141.1</v>
      </c>
      <c r="AF254" s="32">
        <v>141.1</v>
      </c>
      <c r="AG254" s="32">
        <v>81.900000000000006</v>
      </c>
      <c r="AH254" s="32">
        <v>81.900000000000006</v>
      </c>
      <c r="AI254" s="32">
        <v>94.1</v>
      </c>
      <c r="AJ254" s="32">
        <v>76</v>
      </c>
      <c r="AK254" s="32">
        <v>107.2</v>
      </c>
      <c r="AL254" s="32">
        <v>78.099999999999994</v>
      </c>
      <c r="AM254" s="32">
        <v>79.400000000000006</v>
      </c>
      <c r="AN254" s="32">
        <v>82.2</v>
      </c>
      <c r="AO254" s="32">
        <v>94</v>
      </c>
      <c r="AP254" s="32">
        <v>94</v>
      </c>
      <c r="AQ254" s="32">
        <v>94.7</v>
      </c>
      <c r="AR254" s="32">
        <v>95.2</v>
      </c>
      <c r="AS254" s="32">
        <v>94.2</v>
      </c>
      <c r="AT254" s="32">
        <v>94.6</v>
      </c>
      <c r="AU254" s="32">
        <v>93.7</v>
      </c>
      <c r="AV254" s="32">
        <v>102.8</v>
      </c>
      <c r="AW254" s="32">
        <v>130.30000000000001</v>
      </c>
      <c r="AX254" s="32">
        <v>111.5</v>
      </c>
      <c r="AY254" s="32">
        <v>171.1</v>
      </c>
      <c r="AZ254" s="32">
        <v>97.5</v>
      </c>
      <c r="BA254" s="32">
        <v>104.5</v>
      </c>
      <c r="BB254" s="32">
        <v>104.5</v>
      </c>
      <c r="BC254" s="32">
        <v>89.5</v>
      </c>
      <c r="BD254" s="32">
        <v>89.5</v>
      </c>
      <c r="BE254" s="32">
        <v>103.6</v>
      </c>
      <c r="BF254" s="32">
        <v>103.6</v>
      </c>
      <c r="BG254" s="32">
        <v>104.8</v>
      </c>
      <c r="BH254" s="32">
        <v>119</v>
      </c>
      <c r="BI254" s="32">
        <v>88</v>
      </c>
      <c r="BJ254" s="32">
        <v>83</v>
      </c>
      <c r="BK254" s="32">
        <v>89.8</v>
      </c>
      <c r="BL254" s="32">
        <v>80</v>
      </c>
      <c r="BM254" s="32">
        <v>100.5</v>
      </c>
      <c r="BN254" s="32">
        <v>97.1</v>
      </c>
      <c r="BO254" s="32">
        <v>95.7</v>
      </c>
      <c r="BP254" s="32">
        <v>98.3</v>
      </c>
      <c r="BQ254" s="32">
        <v>104.5</v>
      </c>
      <c r="BR254" s="32">
        <v>103.2</v>
      </c>
      <c r="BS254" s="32">
        <v>115.2</v>
      </c>
      <c r="BT254" s="32">
        <v>101.4</v>
      </c>
      <c r="BU254" s="32">
        <v>94.2</v>
      </c>
      <c r="BV254" s="32">
        <v>94.2</v>
      </c>
      <c r="BW254" s="32">
        <v>100.2</v>
      </c>
      <c r="BX254" s="32">
        <v>78.2</v>
      </c>
      <c r="BY254" s="32">
        <v>100.8</v>
      </c>
      <c r="BZ254" s="32">
        <v>94.1</v>
      </c>
      <c r="CA254" s="32">
        <v>104.2</v>
      </c>
      <c r="CB254" s="32">
        <v>111.6</v>
      </c>
      <c r="CC254" s="32">
        <v>97.8</v>
      </c>
      <c r="CD254" s="32">
        <v>78.599999999999994</v>
      </c>
      <c r="CE254" s="32">
        <v>101</v>
      </c>
      <c r="CF254" s="32">
        <v>97.5</v>
      </c>
      <c r="CG254" s="32">
        <v>100.9</v>
      </c>
      <c r="CH254" s="32">
        <v>103.1</v>
      </c>
      <c r="CI254" s="32">
        <v>118.6</v>
      </c>
      <c r="CJ254" s="32">
        <v>99.1</v>
      </c>
      <c r="CK254" s="32">
        <v>101.9</v>
      </c>
      <c r="CL254" s="32">
        <v>94.9</v>
      </c>
      <c r="CM254" s="32">
        <v>98.1</v>
      </c>
      <c r="CN254" s="32">
        <v>111.9</v>
      </c>
      <c r="CO254" s="32">
        <v>95.7</v>
      </c>
      <c r="CP254" s="32">
        <v>109.7</v>
      </c>
      <c r="CQ254" s="32">
        <v>65.2</v>
      </c>
      <c r="CR254" s="32">
        <v>95.9</v>
      </c>
      <c r="CS254" s="32">
        <v>94.7</v>
      </c>
      <c r="CT254" s="32">
        <v>102.1</v>
      </c>
      <c r="CU254" s="32">
        <v>94.4</v>
      </c>
      <c r="CV254" s="32">
        <v>105.5</v>
      </c>
      <c r="CW254" s="32">
        <v>83.7</v>
      </c>
      <c r="CX254" s="32">
        <v>100</v>
      </c>
      <c r="CY254" s="32">
        <v>99.8</v>
      </c>
      <c r="CZ254" s="32">
        <v>100</v>
      </c>
      <c r="DA254" s="32">
        <v>95.3</v>
      </c>
      <c r="DB254" s="32">
        <v>109.4</v>
      </c>
      <c r="DC254" s="32">
        <v>62.6</v>
      </c>
      <c r="DD254" s="32">
        <v>62.6</v>
      </c>
      <c r="DE254" s="32">
        <v>92.7</v>
      </c>
      <c r="DF254" s="32">
        <v>91.6</v>
      </c>
      <c r="DG254" s="32">
        <v>99.1</v>
      </c>
      <c r="DH254" s="32">
        <v>105.2</v>
      </c>
      <c r="DI254" s="32">
        <v>112.9</v>
      </c>
      <c r="DJ254" s="32">
        <v>102.2</v>
      </c>
      <c r="DK254" s="32">
        <v>102.2</v>
      </c>
      <c r="DL254" s="32">
        <v>94.8</v>
      </c>
      <c r="DM254" s="32">
        <v>96.3</v>
      </c>
      <c r="DN254" s="32">
        <v>96.5</v>
      </c>
      <c r="DO254" s="32">
        <v>96.1</v>
      </c>
      <c r="DP254" s="32">
        <v>100.1</v>
      </c>
      <c r="DQ254" s="32">
        <v>97.8</v>
      </c>
      <c r="DR254" s="32">
        <v>97.4</v>
      </c>
      <c r="DS254" s="32">
        <v>97.8</v>
      </c>
      <c r="DT254" s="32">
        <v>96</v>
      </c>
      <c r="DU254" s="32">
        <v>97.5</v>
      </c>
      <c r="DV254" s="32">
        <v>99</v>
      </c>
      <c r="DW254" s="32">
        <v>95.6</v>
      </c>
      <c r="DX254" s="32">
        <v>92.8</v>
      </c>
      <c r="DY254" s="32">
        <v>104</v>
      </c>
      <c r="DZ254" s="32">
        <v>91.2</v>
      </c>
      <c r="EA254" s="32">
        <v>91.2</v>
      </c>
      <c r="EB254" s="32">
        <v>98.9</v>
      </c>
      <c r="EC254" s="32">
        <v>102.9</v>
      </c>
      <c r="ED254" s="32">
        <v>93.9</v>
      </c>
      <c r="EE254" s="32">
        <v>93.1</v>
      </c>
      <c r="EF254" s="32">
        <v>95.9</v>
      </c>
      <c r="EG254" s="32">
        <v>98.3</v>
      </c>
      <c r="EH254" s="32">
        <v>100.2</v>
      </c>
      <c r="EI254" s="32">
        <v>98.1</v>
      </c>
      <c r="EJ254" s="32">
        <v>99.2</v>
      </c>
      <c r="EK254" s="32">
        <v>97.1</v>
      </c>
      <c r="EL254" s="32">
        <v>95.5</v>
      </c>
      <c r="EM254" s="32">
        <v>90.8</v>
      </c>
      <c r="EN254" s="32">
        <v>101.2</v>
      </c>
      <c r="EO254" s="32">
        <v>97</v>
      </c>
      <c r="EP254" s="32">
        <v>95.6</v>
      </c>
      <c r="EQ254" s="32">
        <v>95.6</v>
      </c>
      <c r="ER254" s="32">
        <v>91.6</v>
      </c>
      <c r="ES254" s="32">
        <v>91.6</v>
      </c>
      <c r="ET254" s="32">
        <v>102.2</v>
      </c>
      <c r="EU254" s="32">
        <v>101.3</v>
      </c>
      <c r="EV254" s="32">
        <v>101.3</v>
      </c>
      <c r="EW254" s="32">
        <v>104.3</v>
      </c>
      <c r="EX254" s="32">
        <v>101</v>
      </c>
      <c r="EY254" s="32">
        <v>106.9</v>
      </c>
      <c r="EZ254" s="32">
        <v>97.7</v>
      </c>
      <c r="FA254" s="32">
        <v>97.5</v>
      </c>
      <c r="FB254" s="32">
        <v>99.3</v>
      </c>
      <c r="FC254" s="32">
        <v>88.6</v>
      </c>
      <c r="FD254" s="32">
        <v>102.8</v>
      </c>
      <c r="FE254" s="32">
        <v>114.7</v>
      </c>
      <c r="FF254" s="32">
        <v>95.3</v>
      </c>
      <c r="FG254" s="32">
        <v>98.9</v>
      </c>
      <c r="FH254" s="32">
        <v>96.6</v>
      </c>
      <c r="FI254" s="32">
        <v>121.9</v>
      </c>
      <c r="FJ254" s="32">
        <v>97.2</v>
      </c>
      <c r="FK254" s="32">
        <v>87.7</v>
      </c>
      <c r="FL254" s="32">
        <v>87.7</v>
      </c>
    </row>
    <row r="255" spans="1:168" x14ac:dyDescent="0.2">
      <c r="A255" s="34" t="s">
        <v>1235</v>
      </c>
      <c r="B255" s="32">
        <v>97.6</v>
      </c>
      <c r="C255" s="32">
        <v>93.5</v>
      </c>
      <c r="D255" s="32">
        <v>98.2</v>
      </c>
      <c r="E255" s="32">
        <v>97.2</v>
      </c>
      <c r="F255" s="32">
        <v>96</v>
      </c>
      <c r="G255" s="32">
        <v>176</v>
      </c>
      <c r="H255" s="32">
        <v>97.9</v>
      </c>
      <c r="I255" s="32">
        <v>85.7</v>
      </c>
      <c r="J255" s="32">
        <v>97.9</v>
      </c>
      <c r="K255" s="32">
        <v>89.8</v>
      </c>
      <c r="L255" s="32">
        <v>85.8</v>
      </c>
      <c r="M255" s="32">
        <v>75.3</v>
      </c>
      <c r="N255" s="32">
        <v>76.599999999999994</v>
      </c>
      <c r="O255" s="32">
        <v>72.8</v>
      </c>
      <c r="P255" s="32">
        <v>72.900000000000006</v>
      </c>
      <c r="Q255" s="32">
        <v>98</v>
      </c>
      <c r="R255" s="32">
        <v>100.6</v>
      </c>
      <c r="S255" s="32">
        <v>95.1</v>
      </c>
      <c r="T255" s="32">
        <v>82</v>
      </c>
      <c r="U255" s="32">
        <v>111.7</v>
      </c>
      <c r="V255" s="32">
        <v>101.1</v>
      </c>
      <c r="W255" s="32">
        <v>88.2</v>
      </c>
      <c r="X255" s="32">
        <v>84.8</v>
      </c>
      <c r="Y255" s="32">
        <v>95.6</v>
      </c>
      <c r="Z255" s="32">
        <v>82.7</v>
      </c>
      <c r="AA255" s="32">
        <v>95.3</v>
      </c>
      <c r="AB255" s="32">
        <v>89.3</v>
      </c>
      <c r="AC255" s="32">
        <v>91.6</v>
      </c>
      <c r="AD255" s="32">
        <v>102.6</v>
      </c>
      <c r="AE255" s="32">
        <v>138.4</v>
      </c>
      <c r="AF255" s="32">
        <v>138.4</v>
      </c>
      <c r="AG255" s="32">
        <v>79.7</v>
      </c>
      <c r="AH255" s="32">
        <v>79.7</v>
      </c>
      <c r="AI255" s="32">
        <v>88.1</v>
      </c>
      <c r="AJ255" s="32">
        <v>73.5</v>
      </c>
      <c r="AK255" s="32">
        <v>109.7</v>
      </c>
      <c r="AL255" s="32">
        <v>79.7</v>
      </c>
      <c r="AM255" s="32">
        <v>77.400000000000006</v>
      </c>
      <c r="AN255" s="32">
        <v>77.8</v>
      </c>
      <c r="AO255" s="32">
        <v>95.5</v>
      </c>
      <c r="AP255" s="32">
        <v>95.5</v>
      </c>
      <c r="AQ255" s="32">
        <v>95.6</v>
      </c>
      <c r="AR255" s="32">
        <v>95.1</v>
      </c>
      <c r="AS255" s="32">
        <v>96.5</v>
      </c>
      <c r="AT255" s="32">
        <v>98.6</v>
      </c>
      <c r="AU255" s="32">
        <v>94.8</v>
      </c>
      <c r="AV255" s="32">
        <v>106.9</v>
      </c>
      <c r="AW255" s="32">
        <v>136.9</v>
      </c>
      <c r="AX255" s="32">
        <v>116.6</v>
      </c>
      <c r="AY255" s="32">
        <v>179.5</v>
      </c>
      <c r="AZ255" s="32">
        <v>101.1</v>
      </c>
      <c r="BA255" s="32">
        <v>97</v>
      </c>
      <c r="BB255" s="32">
        <v>97</v>
      </c>
      <c r="BC255" s="32">
        <v>89.6</v>
      </c>
      <c r="BD255" s="32">
        <v>89.6</v>
      </c>
      <c r="BE255" s="32">
        <v>104.4</v>
      </c>
      <c r="BF255" s="32">
        <v>104.4</v>
      </c>
      <c r="BG255" s="32">
        <v>112.6</v>
      </c>
      <c r="BH255" s="32">
        <v>131</v>
      </c>
      <c r="BI255" s="32">
        <v>90.9</v>
      </c>
      <c r="BJ255" s="32">
        <v>84</v>
      </c>
      <c r="BK255" s="32">
        <v>93.1</v>
      </c>
      <c r="BL255" s="32">
        <v>84</v>
      </c>
      <c r="BM255" s="32">
        <v>96.1</v>
      </c>
      <c r="BN255" s="32">
        <v>97.4</v>
      </c>
      <c r="BO255" s="32">
        <v>95.9</v>
      </c>
      <c r="BP255" s="32">
        <v>98.8</v>
      </c>
      <c r="BQ255" s="32">
        <v>94.7</v>
      </c>
      <c r="BR255" s="32">
        <v>103.4</v>
      </c>
      <c r="BS255" s="32">
        <v>82.9</v>
      </c>
      <c r="BT255" s="32">
        <v>97.5</v>
      </c>
      <c r="BU255" s="32">
        <v>91.7</v>
      </c>
      <c r="BV255" s="32">
        <v>91.7</v>
      </c>
      <c r="BW255" s="32">
        <v>99.6</v>
      </c>
      <c r="BX255" s="32">
        <v>71.3</v>
      </c>
      <c r="BY255" s="32">
        <v>98.6</v>
      </c>
      <c r="BZ255" s="32">
        <v>96</v>
      </c>
      <c r="CA255" s="32">
        <v>99.8</v>
      </c>
      <c r="CB255" s="32">
        <v>101.2</v>
      </c>
      <c r="CC255" s="32">
        <v>99.6</v>
      </c>
      <c r="CD255" s="32">
        <v>81.3</v>
      </c>
      <c r="CE255" s="32">
        <v>100.3</v>
      </c>
      <c r="CF255" s="32">
        <v>97.5</v>
      </c>
      <c r="CG255" s="32">
        <v>100</v>
      </c>
      <c r="CH255" s="32">
        <v>102.4</v>
      </c>
      <c r="CI255" s="32">
        <v>112.8</v>
      </c>
      <c r="CJ255" s="32">
        <v>98.7</v>
      </c>
      <c r="CK255" s="32">
        <v>102.4</v>
      </c>
      <c r="CL255" s="32">
        <v>95.9</v>
      </c>
      <c r="CM255" s="32">
        <v>98.1</v>
      </c>
      <c r="CN255" s="32">
        <v>110.1</v>
      </c>
      <c r="CO255" s="32">
        <v>95.9</v>
      </c>
      <c r="CP255" s="32">
        <v>109.1</v>
      </c>
      <c r="CQ255" s="32">
        <v>65.7</v>
      </c>
      <c r="CR255" s="32">
        <v>98.7</v>
      </c>
      <c r="CS255" s="32">
        <v>95.3</v>
      </c>
      <c r="CT255" s="32">
        <v>97.4</v>
      </c>
      <c r="CU255" s="32">
        <v>93.3</v>
      </c>
      <c r="CV255" s="32">
        <v>99.2</v>
      </c>
      <c r="CW255" s="32">
        <v>84.2</v>
      </c>
      <c r="CX255" s="32">
        <v>102</v>
      </c>
      <c r="CY255" s="32">
        <v>103.5</v>
      </c>
      <c r="CZ255" s="32">
        <v>101.1</v>
      </c>
      <c r="DA255" s="32">
        <v>97.4</v>
      </c>
      <c r="DB255" s="32">
        <v>108.9</v>
      </c>
      <c r="DC255" s="32">
        <v>62.9</v>
      </c>
      <c r="DD255" s="32">
        <v>62.9</v>
      </c>
      <c r="DE255" s="32">
        <v>92.3</v>
      </c>
      <c r="DF255" s="32">
        <v>91.3</v>
      </c>
      <c r="DG255" s="32">
        <v>98.5</v>
      </c>
      <c r="DH255" s="32">
        <v>105</v>
      </c>
      <c r="DI255" s="32">
        <v>111.2</v>
      </c>
      <c r="DJ255" s="32">
        <v>106.3</v>
      </c>
      <c r="DK255" s="32">
        <v>106.3</v>
      </c>
      <c r="DL255" s="32">
        <v>93.9</v>
      </c>
      <c r="DM255" s="32">
        <v>97</v>
      </c>
      <c r="DN255" s="32">
        <v>97.1</v>
      </c>
      <c r="DO255" s="32">
        <v>96.6</v>
      </c>
      <c r="DP255" s="32">
        <v>102.8</v>
      </c>
      <c r="DQ255" s="32">
        <v>97.2</v>
      </c>
      <c r="DR255" s="32">
        <v>96.5</v>
      </c>
      <c r="DS255" s="32">
        <v>97.5</v>
      </c>
      <c r="DT255" s="32">
        <v>95.2</v>
      </c>
      <c r="DU255" s="32">
        <v>96</v>
      </c>
      <c r="DV255" s="32">
        <v>98.8</v>
      </c>
      <c r="DW255" s="32">
        <v>92.5</v>
      </c>
      <c r="DX255" s="32">
        <v>93.6</v>
      </c>
      <c r="DY255" s="32">
        <v>105.1</v>
      </c>
      <c r="DZ255" s="32">
        <v>87.4</v>
      </c>
      <c r="EA255" s="32">
        <v>87.4</v>
      </c>
      <c r="EB255" s="32">
        <v>97.4</v>
      </c>
      <c r="EC255" s="32">
        <v>99.8</v>
      </c>
      <c r="ED255" s="32">
        <v>94.4</v>
      </c>
      <c r="EE255" s="32">
        <v>93.2</v>
      </c>
      <c r="EF255" s="32">
        <v>97.5</v>
      </c>
      <c r="EG255" s="32">
        <v>98.2</v>
      </c>
      <c r="EH255" s="32">
        <v>101</v>
      </c>
      <c r="EI255" s="32">
        <v>98.6</v>
      </c>
      <c r="EJ255" s="32">
        <v>98.9</v>
      </c>
      <c r="EK255" s="32">
        <v>96.2</v>
      </c>
      <c r="EL255" s="32">
        <v>96.1</v>
      </c>
      <c r="EM255" s="32">
        <v>91.7</v>
      </c>
      <c r="EN255" s="32">
        <v>98.9</v>
      </c>
      <c r="EO255" s="32">
        <v>97.7</v>
      </c>
      <c r="EP255" s="32">
        <v>96.1</v>
      </c>
      <c r="EQ255" s="32">
        <v>96.1</v>
      </c>
      <c r="ER255" s="32">
        <v>92</v>
      </c>
      <c r="ES255" s="32">
        <v>92</v>
      </c>
      <c r="ET255" s="32">
        <v>103.4</v>
      </c>
      <c r="EU255" s="32">
        <v>103</v>
      </c>
      <c r="EV255" s="32">
        <v>103</v>
      </c>
      <c r="EW255" s="32">
        <v>104.5</v>
      </c>
      <c r="EX255" s="32">
        <v>100.8</v>
      </c>
      <c r="EY255" s="32">
        <v>107.4</v>
      </c>
      <c r="EZ255" s="32">
        <v>97.6</v>
      </c>
      <c r="FA255" s="32">
        <v>97.3</v>
      </c>
      <c r="FB255" s="32">
        <v>98.7</v>
      </c>
      <c r="FC255" s="32">
        <v>88.3</v>
      </c>
      <c r="FD255" s="32">
        <v>103.3</v>
      </c>
      <c r="FE255" s="32">
        <v>113.2</v>
      </c>
      <c r="FF255" s="32">
        <v>95.4</v>
      </c>
      <c r="FG255" s="32">
        <v>98.9</v>
      </c>
      <c r="FH255" s="32">
        <v>95</v>
      </c>
      <c r="FI255" s="32">
        <v>116.2</v>
      </c>
      <c r="FJ255" s="32">
        <v>98.4</v>
      </c>
      <c r="FK255" s="32">
        <v>89.5</v>
      </c>
      <c r="FL255" s="32">
        <v>89.5</v>
      </c>
    </row>
    <row r="256" spans="1:168" x14ac:dyDescent="0.2">
      <c r="A256" s="34" t="s">
        <v>1236</v>
      </c>
      <c r="B256" s="32">
        <v>97.8</v>
      </c>
      <c r="C256" s="32">
        <v>92.8</v>
      </c>
      <c r="D256" s="32">
        <v>98.8</v>
      </c>
      <c r="E256" s="32">
        <v>97.6</v>
      </c>
      <c r="F256" s="32">
        <v>96.3</v>
      </c>
      <c r="G256" s="32">
        <v>187.5</v>
      </c>
      <c r="H256" s="32">
        <v>97.6</v>
      </c>
      <c r="I256" s="32">
        <v>88.3</v>
      </c>
      <c r="J256" s="32">
        <v>98.1</v>
      </c>
      <c r="K256" s="32">
        <v>91.9</v>
      </c>
      <c r="L256" s="32">
        <v>87.8</v>
      </c>
      <c r="M256" s="32">
        <v>77.099999999999994</v>
      </c>
      <c r="N256" s="32">
        <v>78.400000000000006</v>
      </c>
      <c r="O256" s="32">
        <v>71.5</v>
      </c>
      <c r="P256" s="32">
        <v>78.5</v>
      </c>
      <c r="Q256" s="32">
        <v>103.6</v>
      </c>
      <c r="R256" s="32">
        <v>103.5</v>
      </c>
      <c r="S256" s="32">
        <v>95</v>
      </c>
      <c r="T256" s="32">
        <v>84.2</v>
      </c>
      <c r="U256" s="32">
        <v>116.1</v>
      </c>
      <c r="V256" s="32">
        <v>102.8</v>
      </c>
      <c r="W256" s="32">
        <v>90.2</v>
      </c>
      <c r="X256" s="32">
        <v>85.5</v>
      </c>
      <c r="Y256" s="32">
        <v>99.9</v>
      </c>
      <c r="Z256" s="32">
        <v>87.3</v>
      </c>
      <c r="AA256" s="32">
        <v>95.4</v>
      </c>
      <c r="AB256" s="32">
        <v>87.2</v>
      </c>
      <c r="AC256" s="32">
        <v>91</v>
      </c>
      <c r="AD256" s="32">
        <v>105</v>
      </c>
      <c r="AE256" s="32">
        <v>131.1</v>
      </c>
      <c r="AF256" s="32">
        <v>131.1</v>
      </c>
      <c r="AG256" s="32">
        <v>81.099999999999994</v>
      </c>
      <c r="AH256" s="32">
        <v>81.099999999999994</v>
      </c>
      <c r="AI256" s="32">
        <v>88.7</v>
      </c>
      <c r="AJ256" s="32">
        <v>80.099999999999994</v>
      </c>
      <c r="AK256" s="32">
        <v>109.4</v>
      </c>
      <c r="AL256" s="32">
        <v>80.7</v>
      </c>
      <c r="AM256" s="32">
        <v>76.400000000000006</v>
      </c>
      <c r="AN256" s="32">
        <v>77.2</v>
      </c>
      <c r="AO256" s="32">
        <v>99</v>
      </c>
      <c r="AP256" s="32">
        <v>99</v>
      </c>
      <c r="AQ256" s="32">
        <v>97.7</v>
      </c>
      <c r="AR256" s="32">
        <v>97.5</v>
      </c>
      <c r="AS256" s="32">
        <v>98.1</v>
      </c>
      <c r="AT256" s="32">
        <v>97.9</v>
      </c>
      <c r="AU256" s="32">
        <v>98.1</v>
      </c>
      <c r="AV256" s="32">
        <v>106.5</v>
      </c>
      <c r="AW256" s="32">
        <v>136.1</v>
      </c>
      <c r="AX256" s="32">
        <v>107.8</v>
      </c>
      <c r="AY256" s="32">
        <v>192.8</v>
      </c>
      <c r="AZ256" s="32">
        <v>100.8</v>
      </c>
      <c r="BA256" s="32">
        <v>97</v>
      </c>
      <c r="BB256" s="32">
        <v>97</v>
      </c>
      <c r="BC256" s="32">
        <v>89.5</v>
      </c>
      <c r="BD256" s="32">
        <v>89.5</v>
      </c>
      <c r="BE256" s="32">
        <v>106.8</v>
      </c>
      <c r="BF256" s="32">
        <v>106.8</v>
      </c>
      <c r="BG256" s="32">
        <v>105.1</v>
      </c>
      <c r="BH256" s="32">
        <v>114.7</v>
      </c>
      <c r="BI256" s="32">
        <v>93.7</v>
      </c>
      <c r="BJ256" s="32">
        <v>84.4</v>
      </c>
      <c r="BK256" s="32">
        <v>96.4</v>
      </c>
      <c r="BL256" s="32">
        <v>88.1</v>
      </c>
      <c r="BM256" s="32">
        <v>99</v>
      </c>
      <c r="BN256" s="32">
        <v>100.4</v>
      </c>
      <c r="BO256" s="32">
        <v>96</v>
      </c>
      <c r="BP256" s="32">
        <v>104.3</v>
      </c>
      <c r="BQ256" s="32">
        <v>97.5</v>
      </c>
      <c r="BR256" s="32">
        <v>99.9</v>
      </c>
      <c r="BS256" s="32">
        <v>93</v>
      </c>
      <c r="BT256" s="32">
        <v>98.7</v>
      </c>
      <c r="BU256" s="32">
        <v>93.5</v>
      </c>
      <c r="BV256" s="32">
        <v>93.5</v>
      </c>
      <c r="BW256" s="32">
        <v>99.3</v>
      </c>
      <c r="BX256" s="32">
        <v>77.8</v>
      </c>
      <c r="BY256" s="32">
        <v>98.4</v>
      </c>
      <c r="BZ256" s="32">
        <v>95.1</v>
      </c>
      <c r="CA256" s="32">
        <v>100.1</v>
      </c>
      <c r="CB256" s="32">
        <v>101.5</v>
      </c>
      <c r="CC256" s="32">
        <v>99.6</v>
      </c>
      <c r="CD256" s="32">
        <v>83.1</v>
      </c>
      <c r="CE256" s="32">
        <v>101.7</v>
      </c>
      <c r="CF256" s="32">
        <v>97.6</v>
      </c>
      <c r="CG256" s="32">
        <v>99.8</v>
      </c>
      <c r="CH256" s="32">
        <v>102.9</v>
      </c>
      <c r="CI256" s="32">
        <v>112</v>
      </c>
      <c r="CJ256" s="32">
        <v>100.6</v>
      </c>
      <c r="CK256" s="32">
        <v>102.3</v>
      </c>
      <c r="CL256" s="32">
        <v>94.8</v>
      </c>
      <c r="CM256" s="32">
        <v>96.4</v>
      </c>
      <c r="CN256" s="32">
        <v>107.3</v>
      </c>
      <c r="CO256" s="32">
        <v>94.4</v>
      </c>
      <c r="CP256" s="32">
        <v>106.8</v>
      </c>
      <c r="CQ256" s="32">
        <v>65.8</v>
      </c>
      <c r="CR256" s="32">
        <v>97.2</v>
      </c>
      <c r="CS256" s="32">
        <v>96.7</v>
      </c>
      <c r="CT256" s="32">
        <v>96.5</v>
      </c>
      <c r="CU256" s="32">
        <v>94.5</v>
      </c>
      <c r="CV256" s="32">
        <v>97.3</v>
      </c>
      <c r="CW256" s="32">
        <v>84.8</v>
      </c>
      <c r="CX256" s="32">
        <v>101.1</v>
      </c>
      <c r="CY256" s="32">
        <v>101.5</v>
      </c>
      <c r="CZ256" s="32">
        <v>100.8</v>
      </c>
      <c r="DA256" s="32">
        <v>101.1</v>
      </c>
      <c r="DB256" s="32">
        <v>100.7</v>
      </c>
      <c r="DC256" s="32">
        <v>64.8</v>
      </c>
      <c r="DD256" s="32">
        <v>64.8</v>
      </c>
      <c r="DE256" s="32">
        <v>92.4</v>
      </c>
      <c r="DF256" s="32">
        <v>91.1</v>
      </c>
      <c r="DG256" s="32">
        <v>99.8</v>
      </c>
      <c r="DH256" s="32">
        <v>106.4</v>
      </c>
      <c r="DI256" s="32">
        <v>110.8</v>
      </c>
      <c r="DJ256" s="32">
        <v>109.3</v>
      </c>
      <c r="DK256" s="32">
        <v>109.3</v>
      </c>
      <c r="DL256" s="32">
        <v>96.9</v>
      </c>
      <c r="DM256" s="32">
        <v>97.3</v>
      </c>
      <c r="DN256" s="32">
        <v>97.1</v>
      </c>
      <c r="DO256" s="32">
        <v>97</v>
      </c>
      <c r="DP256" s="32">
        <v>103.7</v>
      </c>
      <c r="DQ256" s="32">
        <v>97.7</v>
      </c>
      <c r="DR256" s="32">
        <v>97.6</v>
      </c>
      <c r="DS256" s="32">
        <v>97.9</v>
      </c>
      <c r="DT256" s="32">
        <v>95.5</v>
      </c>
      <c r="DU256" s="32">
        <v>96.3</v>
      </c>
      <c r="DV256" s="32">
        <v>98.2</v>
      </c>
      <c r="DW256" s="32">
        <v>94</v>
      </c>
      <c r="DX256" s="32">
        <v>93.8</v>
      </c>
      <c r="DY256" s="32">
        <v>105.8</v>
      </c>
      <c r="DZ256" s="32">
        <v>96.5</v>
      </c>
      <c r="EA256" s="32">
        <v>96.5</v>
      </c>
      <c r="EB256" s="32">
        <v>97.2</v>
      </c>
      <c r="EC256" s="32">
        <v>101.1</v>
      </c>
      <c r="ED256" s="32">
        <v>92.3</v>
      </c>
      <c r="EE256" s="32">
        <v>90.9</v>
      </c>
      <c r="EF256" s="32">
        <v>95.9</v>
      </c>
      <c r="EG256" s="32">
        <v>98</v>
      </c>
      <c r="EH256" s="32">
        <v>98.7</v>
      </c>
      <c r="EI256" s="32">
        <v>98.7</v>
      </c>
      <c r="EJ256" s="32">
        <v>100.6</v>
      </c>
      <c r="EK256" s="32">
        <v>96.4</v>
      </c>
      <c r="EL256" s="32">
        <v>94.8</v>
      </c>
      <c r="EM256" s="32">
        <v>90.8</v>
      </c>
      <c r="EN256" s="32">
        <v>100</v>
      </c>
      <c r="EO256" s="32">
        <v>96.9</v>
      </c>
      <c r="EP256" s="32">
        <v>96</v>
      </c>
      <c r="EQ256" s="32">
        <v>96</v>
      </c>
      <c r="ER256" s="32">
        <v>91.5</v>
      </c>
      <c r="ES256" s="32">
        <v>91.5</v>
      </c>
      <c r="ET256" s="32">
        <v>101.9</v>
      </c>
      <c r="EU256" s="32">
        <v>100.7</v>
      </c>
      <c r="EV256" s="32">
        <v>100.7</v>
      </c>
      <c r="EW256" s="32">
        <v>104.5</v>
      </c>
      <c r="EX256" s="32">
        <v>100.3</v>
      </c>
      <c r="EY256" s="32">
        <v>107.8</v>
      </c>
      <c r="EZ256" s="32">
        <v>97.3</v>
      </c>
      <c r="FA256" s="32">
        <v>96.7</v>
      </c>
      <c r="FB256" s="32">
        <v>97.2</v>
      </c>
      <c r="FC256" s="32">
        <v>87.7</v>
      </c>
      <c r="FD256" s="32">
        <v>102</v>
      </c>
      <c r="FE256" s="32">
        <v>110</v>
      </c>
      <c r="FF256" s="32">
        <v>96</v>
      </c>
      <c r="FG256" s="32">
        <v>98.7</v>
      </c>
      <c r="FH256" s="32">
        <v>93.9</v>
      </c>
      <c r="FI256" s="32">
        <v>115.8</v>
      </c>
      <c r="FJ256" s="32">
        <v>98.6</v>
      </c>
      <c r="FK256" s="32">
        <v>89</v>
      </c>
      <c r="FL256" s="32">
        <v>89</v>
      </c>
    </row>
    <row r="257" spans="1:168" x14ac:dyDescent="0.2">
      <c r="A257" s="34" t="s">
        <v>1237</v>
      </c>
      <c r="B257" s="32">
        <v>98.1</v>
      </c>
      <c r="C257" s="32">
        <v>91</v>
      </c>
      <c r="D257" s="32">
        <v>99.5</v>
      </c>
      <c r="E257" s="32">
        <v>97.4</v>
      </c>
      <c r="F257" s="32">
        <v>76.2</v>
      </c>
      <c r="G257" s="32">
        <v>185.9</v>
      </c>
      <c r="H257" s="32">
        <v>72.5</v>
      </c>
      <c r="I257" s="32">
        <v>90.3</v>
      </c>
      <c r="J257" s="32">
        <v>99.4</v>
      </c>
      <c r="K257" s="32">
        <v>92.8</v>
      </c>
      <c r="L257" s="32">
        <v>90</v>
      </c>
      <c r="M257" s="32">
        <v>78.2</v>
      </c>
      <c r="N257" s="32">
        <v>79.599999999999994</v>
      </c>
      <c r="O257" s="32">
        <v>70.900000000000006</v>
      </c>
      <c r="P257" s="32">
        <v>85.5</v>
      </c>
      <c r="Q257" s="32">
        <v>110.4</v>
      </c>
      <c r="R257" s="32">
        <v>103.6</v>
      </c>
      <c r="S257" s="32">
        <v>97.4</v>
      </c>
      <c r="T257" s="32">
        <v>83.2</v>
      </c>
      <c r="U257" s="32">
        <v>116.3</v>
      </c>
      <c r="V257" s="32">
        <v>97.6</v>
      </c>
      <c r="W257" s="32">
        <v>91.1</v>
      </c>
      <c r="X257" s="32">
        <v>84.5</v>
      </c>
      <c r="Y257" s="32">
        <v>105.4</v>
      </c>
      <c r="Z257" s="32">
        <v>84.2</v>
      </c>
      <c r="AA257" s="32">
        <v>97.2</v>
      </c>
      <c r="AB257" s="32">
        <v>94.1</v>
      </c>
      <c r="AC257" s="32">
        <v>91.3</v>
      </c>
      <c r="AD257" s="32">
        <v>104.8</v>
      </c>
      <c r="AE257" s="32">
        <v>132.30000000000001</v>
      </c>
      <c r="AF257" s="32">
        <v>132.30000000000001</v>
      </c>
      <c r="AG257" s="32">
        <v>80.2</v>
      </c>
      <c r="AH257" s="32">
        <v>80.2</v>
      </c>
      <c r="AI257" s="32">
        <v>82.3</v>
      </c>
      <c r="AJ257" s="32">
        <v>76.5</v>
      </c>
      <c r="AK257" s="32">
        <v>108.7</v>
      </c>
      <c r="AL257" s="32">
        <v>76.900000000000006</v>
      </c>
      <c r="AM257" s="32">
        <v>80.8</v>
      </c>
      <c r="AN257" s="32">
        <v>74.099999999999994</v>
      </c>
      <c r="AO257" s="32">
        <v>95.5</v>
      </c>
      <c r="AP257" s="32">
        <v>95.5</v>
      </c>
      <c r="AQ257" s="32">
        <v>95.7</v>
      </c>
      <c r="AR257" s="32">
        <v>93</v>
      </c>
      <c r="AS257" s="32">
        <v>99.5</v>
      </c>
      <c r="AT257" s="32">
        <v>99.2</v>
      </c>
      <c r="AU257" s="32">
        <v>99.6</v>
      </c>
      <c r="AV257" s="32">
        <v>109.4</v>
      </c>
      <c r="AW257" s="32">
        <v>137.9</v>
      </c>
      <c r="AX257" s="32">
        <v>104.1</v>
      </c>
      <c r="AY257" s="32">
        <v>204.8</v>
      </c>
      <c r="AZ257" s="32">
        <v>104</v>
      </c>
      <c r="BA257" s="32">
        <v>100.9</v>
      </c>
      <c r="BB257" s="32">
        <v>100.9</v>
      </c>
      <c r="BC257" s="32">
        <v>89.6</v>
      </c>
      <c r="BD257" s="32">
        <v>89.6</v>
      </c>
      <c r="BE257" s="32">
        <v>110.1</v>
      </c>
      <c r="BF257" s="32">
        <v>110.1</v>
      </c>
      <c r="BG257" s="32">
        <v>106.9</v>
      </c>
      <c r="BH257" s="32">
        <v>116.4</v>
      </c>
      <c r="BI257" s="32">
        <v>95.6</v>
      </c>
      <c r="BJ257" s="32">
        <v>84.8</v>
      </c>
      <c r="BK257" s="32">
        <v>99.1</v>
      </c>
      <c r="BL257" s="32">
        <v>85.7</v>
      </c>
      <c r="BM257" s="32">
        <v>103.4</v>
      </c>
      <c r="BN257" s="32">
        <v>99.4</v>
      </c>
      <c r="BO257" s="32">
        <v>99</v>
      </c>
      <c r="BP257" s="32">
        <v>99.9</v>
      </c>
      <c r="BQ257" s="32">
        <v>107.9</v>
      </c>
      <c r="BR257" s="32">
        <v>89.4</v>
      </c>
      <c r="BS257" s="32">
        <v>100.4</v>
      </c>
      <c r="BT257" s="32">
        <v>113.3</v>
      </c>
      <c r="BU257" s="32">
        <v>95</v>
      </c>
      <c r="BV257" s="32">
        <v>95</v>
      </c>
      <c r="BW257" s="32">
        <v>100.3</v>
      </c>
      <c r="BX257" s="32">
        <v>80.7</v>
      </c>
      <c r="BY257" s="32">
        <v>98.5</v>
      </c>
      <c r="BZ257" s="32">
        <v>97.9</v>
      </c>
      <c r="CA257" s="32">
        <v>98.8</v>
      </c>
      <c r="CB257" s="32">
        <v>100.6</v>
      </c>
      <c r="CC257" s="32">
        <v>97.9</v>
      </c>
      <c r="CD257" s="32">
        <v>82.6</v>
      </c>
      <c r="CE257" s="32">
        <v>104.5</v>
      </c>
      <c r="CF257" s="32">
        <v>97.8</v>
      </c>
      <c r="CG257" s="32">
        <v>99.6</v>
      </c>
      <c r="CH257" s="32">
        <v>102.6</v>
      </c>
      <c r="CI257" s="32">
        <v>112.4</v>
      </c>
      <c r="CJ257" s="32">
        <v>100.1</v>
      </c>
      <c r="CK257" s="32">
        <v>101.8</v>
      </c>
      <c r="CL257" s="32">
        <v>94.5</v>
      </c>
      <c r="CM257" s="32">
        <v>96</v>
      </c>
      <c r="CN257" s="32">
        <v>105.5</v>
      </c>
      <c r="CO257" s="32">
        <v>94.3</v>
      </c>
      <c r="CP257" s="32">
        <v>103.9</v>
      </c>
      <c r="CQ257" s="32">
        <v>65.8</v>
      </c>
      <c r="CR257" s="32">
        <v>97.7</v>
      </c>
      <c r="CS257" s="32">
        <v>96</v>
      </c>
      <c r="CT257" s="32">
        <v>96.4</v>
      </c>
      <c r="CU257" s="32">
        <v>96.5</v>
      </c>
      <c r="CV257" s="32">
        <v>96.4</v>
      </c>
      <c r="CW257" s="32">
        <v>85.6</v>
      </c>
      <c r="CX257" s="32">
        <v>100.2</v>
      </c>
      <c r="CY257" s="32">
        <v>99.5</v>
      </c>
      <c r="CZ257" s="32">
        <v>100.5</v>
      </c>
      <c r="DA257" s="32">
        <v>98.4</v>
      </c>
      <c r="DB257" s="32">
        <v>105.1</v>
      </c>
      <c r="DC257" s="32">
        <v>68.3</v>
      </c>
      <c r="DD257" s="32">
        <v>68.3</v>
      </c>
      <c r="DE257" s="32">
        <v>91.6</v>
      </c>
      <c r="DF257" s="32">
        <v>89.6</v>
      </c>
      <c r="DG257" s="32">
        <v>104</v>
      </c>
      <c r="DH257" s="32">
        <v>108.5</v>
      </c>
      <c r="DI257" s="32">
        <v>115.3</v>
      </c>
      <c r="DJ257" s="32">
        <v>110.1</v>
      </c>
      <c r="DK257" s="32">
        <v>110.1</v>
      </c>
      <c r="DL257" s="32">
        <v>96.4</v>
      </c>
      <c r="DM257" s="32">
        <v>97.6</v>
      </c>
      <c r="DN257" s="32">
        <v>97.1</v>
      </c>
      <c r="DO257" s="32">
        <v>97.6</v>
      </c>
      <c r="DP257" s="32">
        <v>102.9</v>
      </c>
      <c r="DQ257" s="32">
        <v>98.9</v>
      </c>
      <c r="DR257" s="32">
        <v>99.5</v>
      </c>
      <c r="DS257" s="32">
        <v>97.9</v>
      </c>
      <c r="DT257" s="32">
        <v>94.9</v>
      </c>
      <c r="DU257" s="32">
        <v>95.4</v>
      </c>
      <c r="DV257" s="32">
        <v>94.9</v>
      </c>
      <c r="DW257" s="32">
        <v>96</v>
      </c>
      <c r="DX257" s="32">
        <v>94</v>
      </c>
      <c r="DY257" s="32">
        <v>107.7</v>
      </c>
      <c r="DZ257" s="32">
        <v>117.9</v>
      </c>
      <c r="EA257" s="32">
        <v>117.9</v>
      </c>
      <c r="EB257" s="32">
        <v>96.5</v>
      </c>
      <c r="EC257" s="32">
        <v>100.6</v>
      </c>
      <c r="ED257" s="32">
        <v>91.3</v>
      </c>
      <c r="EE257" s="32">
        <v>89.6</v>
      </c>
      <c r="EF257" s="32">
        <v>95.6</v>
      </c>
      <c r="EG257" s="32">
        <v>98.1</v>
      </c>
      <c r="EH257" s="32">
        <v>93.2</v>
      </c>
      <c r="EI257" s="32">
        <v>99.2</v>
      </c>
      <c r="EJ257" s="32">
        <v>102.4</v>
      </c>
      <c r="EK257" s="32">
        <v>99</v>
      </c>
      <c r="EL257" s="32">
        <v>93.9</v>
      </c>
      <c r="EM257" s="32">
        <v>92.3</v>
      </c>
      <c r="EN257" s="32">
        <v>103.9</v>
      </c>
      <c r="EO257" s="32">
        <v>95.2</v>
      </c>
      <c r="EP257" s="32">
        <v>95.9</v>
      </c>
      <c r="EQ257" s="32">
        <v>95.9</v>
      </c>
      <c r="ER257" s="32">
        <v>91.9</v>
      </c>
      <c r="ES257" s="32">
        <v>91.9</v>
      </c>
      <c r="ET257" s="32">
        <v>97.4</v>
      </c>
      <c r="EU257" s="32">
        <v>94.2</v>
      </c>
      <c r="EV257" s="32">
        <v>94.2</v>
      </c>
      <c r="EW257" s="32">
        <v>104.5</v>
      </c>
      <c r="EX257" s="32">
        <v>99.8</v>
      </c>
      <c r="EY257" s="32">
        <v>108.3</v>
      </c>
      <c r="EZ257" s="32">
        <v>97.9</v>
      </c>
      <c r="FA257" s="32">
        <v>97.4</v>
      </c>
      <c r="FB257" s="32">
        <v>97.8</v>
      </c>
      <c r="FC257" s="32">
        <v>90.4</v>
      </c>
      <c r="FD257" s="32">
        <v>105</v>
      </c>
      <c r="FE257" s="32">
        <v>106.2</v>
      </c>
      <c r="FF257" s="32">
        <v>96.8</v>
      </c>
      <c r="FG257" s="32">
        <v>99.3</v>
      </c>
      <c r="FH257" s="32">
        <v>94.2</v>
      </c>
      <c r="FI257" s="32">
        <v>125.7</v>
      </c>
      <c r="FJ257" s="32">
        <v>98.4</v>
      </c>
      <c r="FK257" s="32">
        <v>89.2</v>
      </c>
      <c r="FL257" s="32">
        <v>89.2</v>
      </c>
    </row>
    <row r="258" spans="1:168" x14ac:dyDescent="0.2">
      <c r="A258" s="34" t="s">
        <v>1238</v>
      </c>
      <c r="B258" s="32">
        <v>97.8</v>
      </c>
      <c r="C258" s="32">
        <v>89.3</v>
      </c>
      <c r="D258" s="32">
        <v>99.3</v>
      </c>
      <c r="E258" s="32">
        <v>98.7</v>
      </c>
      <c r="F258" s="32">
        <v>97.2</v>
      </c>
      <c r="G258" s="32">
        <v>129.80000000000001</v>
      </c>
      <c r="H258" s="32">
        <v>99.4</v>
      </c>
      <c r="I258" s="32">
        <v>86.9</v>
      </c>
      <c r="J258" s="32">
        <v>100.1</v>
      </c>
      <c r="K258" s="32">
        <v>94.8</v>
      </c>
      <c r="L258" s="32">
        <v>91.7</v>
      </c>
      <c r="M258" s="32">
        <v>80.7</v>
      </c>
      <c r="N258" s="32">
        <v>82.3</v>
      </c>
      <c r="O258" s="32">
        <v>64.400000000000006</v>
      </c>
      <c r="P258" s="32">
        <v>90.4</v>
      </c>
      <c r="Q258" s="32">
        <v>113.2</v>
      </c>
      <c r="R258" s="32">
        <v>104.1</v>
      </c>
      <c r="S258" s="32">
        <v>97.5</v>
      </c>
      <c r="T258" s="32">
        <v>84.8</v>
      </c>
      <c r="U258" s="32">
        <v>113.6</v>
      </c>
      <c r="V258" s="32">
        <v>102.5</v>
      </c>
      <c r="W258" s="32">
        <v>88.5</v>
      </c>
      <c r="X258" s="32">
        <v>82.8</v>
      </c>
      <c r="Y258" s="32">
        <v>101.5</v>
      </c>
      <c r="Z258" s="32">
        <v>77.599999999999994</v>
      </c>
      <c r="AA258" s="32">
        <v>95.5</v>
      </c>
      <c r="AB258" s="32">
        <v>89.6</v>
      </c>
      <c r="AC258" s="32">
        <v>91.3</v>
      </c>
      <c r="AD258" s="32">
        <v>103.4</v>
      </c>
      <c r="AE258" s="32">
        <v>127.1</v>
      </c>
      <c r="AF258" s="32">
        <v>127.1</v>
      </c>
      <c r="AG258" s="32">
        <v>79.2</v>
      </c>
      <c r="AH258" s="32">
        <v>79.2</v>
      </c>
      <c r="AI258" s="32">
        <v>83.9</v>
      </c>
      <c r="AJ258" s="32">
        <v>76.8</v>
      </c>
      <c r="AK258" s="32">
        <v>106.4</v>
      </c>
      <c r="AL258" s="32">
        <v>88.8</v>
      </c>
      <c r="AM258" s="32">
        <v>76.8</v>
      </c>
      <c r="AN258" s="32">
        <v>69</v>
      </c>
      <c r="AO258" s="32">
        <v>93.4</v>
      </c>
      <c r="AP258" s="32">
        <v>93.4</v>
      </c>
      <c r="AQ258" s="32">
        <v>97.5</v>
      </c>
      <c r="AR258" s="32">
        <v>97.5</v>
      </c>
      <c r="AS258" s="32">
        <v>97.7</v>
      </c>
      <c r="AT258" s="32">
        <v>98</v>
      </c>
      <c r="AU258" s="32">
        <v>97.3</v>
      </c>
      <c r="AV258" s="32">
        <v>107</v>
      </c>
      <c r="AW258" s="32">
        <v>140.30000000000001</v>
      </c>
      <c r="AX258" s="32">
        <v>100.1</v>
      </c>
      <c r="AY258" s="32">
        <v>219.1</v>
      </c>
      <c r="AZ258" s="32">
        <v>100.6</v>
      </c>
      <c r="BA258" s="32">
        <v>105.1</v>
      </c>
      <c r="BB258" s="32">
        <v>105.1</v>
      </c>
      <c r="BC258" s="32">
        <v>87</v>
      </c>
      <c r="BD258" s="32">
        <v>87</v>
      </c>
      <c r="BE258" s="32">
        <v>113</v>
      </c>
      <c r="BF258" s="32">
        <v>113</v>
      </c>
      <c r="BG258" s="32">
        <v>111.2</v>
      </c>
      <c r="BH258" s="32">
        <v>123.4</v>
      </c>
      <c r="BI258" s="32">
        <v>96.8</v>
      </c>
      <c r="BJ258" s="32">
        <v>85.1</v>
      </c>
      <c r="BK258" s="32">
        <v>100.2</v>
      </c>
      <c r="BL258" s="32">
        <v>89</v>
      </c>
      <c r="BM258" s="32">
        <v>102.7</v>
      </c>
      <c r="BN258" s="32">
        <v>100.7</v>
      </c>
      <c r="BO258" s="32">
        <v>102.1</v>
      </c>
      <c r="BP258" s="32">
        <v>99.6</v>
      </c>
      <c r="BQ258" s="32">
        <v>105</v>
      </c>
      <c r="BR258" s="32">
        <v>114.3</v>
      </c>
      <c r="BS258" s="32">
        <v>104.8</v>
      </c>
      <c r="BT258" s="32">
        <v>103.8</v>
      </c>
      <c r="BU258" s="32">
        <v>90.7</v>
      </c>
      <c r="BV258" s="32">
        <v>90.7</v>
      </c>
      <c r="BW258" s="32">
        <v>96</v>
      </c>
      <c r="BX258" s="32">
        <v>76.099999999999994</v>
      </c>
      <c r="BY258" s="32">
        <v>97.3</v>
      </c>
      <c r="BZ258" s="32">
        <v>97</v>
      </c>
      <c r="CA258" s="32">
        <v>97.4</v>
      </c>
      <c r="CB258" s="32">
        <v>98.5</v>
      </c>
      <c r="CC258" s="32">
        <v>97.2</v>
      </c>
      <c r="CD258" s="32">
        <v>83.4</v>
      </c>
      <c r="CE258" s="32">
        <v>100.8</v>
      </c>
      <c r="CF258" s="32">
        <v>97.5</v>
      </c>
      <c r="CG258" s="32">
        <v>98.9</v>
      </c>
      <c r="CH258" s="32">
        <v>101.6</v>
      </c>
      <c r="CI258" s="32">
        <v>113.5</v>
      </c>
      <c r="CJ258" s="32">
        <v>98.7</v>
      </c>
      <c r="CK258" s="32">
        <v>100.6</v>
      </c>
      <c r="CL258" s="32">
        <v>94.8</v>
      </c>
      <c r="CM258" s="32">
        <v>95.9</v>
      </c>
      <c r="CN258" s="32">
        <v>101.4</v>
      </c>
      <c r="CO258" s="32">
        <v>94.9</v>
      </c>
      <c r="CP258" s="32">
        <v>101.5</v>
      </c>
      <c r="CQ258" s="32">
        <v>68</v>
      </c>
      <c r="CR258" s="32">
        <v>98.7</v>
      </c>
      <c r="CS258" s="32">
        <v>95.9</v>
      </c>
      <c r="CT258" s="32">
        <v>95.3</v>
      </c>
      <c r="CU258" s="32">
        <v>95.3</v>
      </c>
      <c r="CV258" s="32">
        <v>95.3</v>
      </c>
      <c r="CW258" s="32">
        <v>87.5</v>
      </c>
      <c r="CX258" s="32">
        <v>100.8</v>
      </c>
      <c r="CY258" s="32">
        <v>99.4</v>
      </c>
      <c r="CZ258" s="32">
        <v>101.6</v>
      </c>
      <c r="DA258" s="32">
        <v>100.6</v>
      </c>
      <c r="DB258" s="32">
        <v>103.9</v>
      </c>
      <c r="DC258" s="32">
        <v>72.599999999999994</v>
      </c>
      <c r="DD258" s="32">
        <v>72.599999999999994</v>
      </c>
      <c r="DE258" s="32">
        <v>91.8</v>
      </c>
      <c r="DF258" s="32">
        <v>90.4</v>
      </c>
      <c r="DG258" s="32">
        <v>100.7</v>
      </c>
      <c r="DH258" s="32">
        <v>104.7</v>
      </c>
      <c r="DI258" s="32">
        <v>107.4</v>
      </c>
      <c r="DJ258" s="32">
        <v>109.7</v>
      </c>
      <c r="DK258" s="32">
        <v>109.7</v>
      </c>
      <c r="DL258" s="32">
        <v>96.8</v>
      </c>
      <c r="DM258" s="32">
        <v>97.8</v>
      </c>
      <c r="DN258" s="32">
        <v>96.8</v>
      </c>
      <c r="DO258" s="32">
        <v>98</v>
      </c>
      <c r="DP258" s="32">
        <v>101</v>
      </c>
      <c r="DQ258" s="32">
        <v>98.3</v>
      </c>
      <c r="DR258" s="32">
        <v>98.7</v>
      </c>
      <c r="DS258" s="32">
        <v>99</v>
      </c>
      <c r="DT258" s="32">
        <v>97</v>
      </c>
      <c r="DU258" s="32">
        <v>98.2</v>
      </c>
      <c r="DV258" s="32">
        <v>99</v>
      </c>
      <c r="DW258" s="32">
        <v>97.3</v>
      </c>
      <c r="DX258" s="32">
        <v>94.3</v>
      </c>
      <c r="DY258" s="32">
        <v>105.6</v>
      </c>
      <c r="DZ258" s="32">
        <v>96.8</v>
      </c>
      <c r="EA258" s="32">
        <v>96.8</v>
      </c>
      <c r="EB258" s="32">
        <v>98.7</v>
      </c>
      <c r="EC258" s="32">
        <v>104.2</v>
      </c>
      <c r="ED258" s="32">
        <v>91.8</v>
      </c>
      <c r="EE258" s="32">
        <v>89.7</v>
      </c>
      <c r="EF258" s="32">
        <v>97.2</v>
      </c>
      <c r="EG258" s="32">
        <v>97.6</v>
      </c>
      <c r="EH258" s="32">
        <v>93.8</v>
      </c>
      <c r="EI258" s="32">
        <v>98.1</v>
      </c>
      <c r="EJ258" s="32">
        <v>102</v>
      </c>
      <c r="EK258" s="32">
        <v>98.1</v>
      </c>
      <c r="EL258" s="32">
        <v>97.4</v>
      </c>
      <c r="EM258" s="32">
        <v>92.1</v>
      </c>
      <c r="EN258" s="32">
        <v>101.9</v>
      </c>
      <c r="EO258" s="32">
        <v>96.2</v>
      </c>
      <c r="EP258" s="32">
        <v>95.7</v>
      </c>
      <c r="EQ258" s="32">
        <v>95.7</v>
      </c>
      <c r="ER258" s="32">
        <v>91.9</v>
      </c>
      <c r="ES258" s="32">
        <v>91.9</v>
      </c>
      <c r="ET258" s="32">
        <v>100.1</v>
      </c>
      <c r="EU258" s="32">
        <v>98.1</v>
      </c>
      <c r="EV258" s="32">
        <v>98.1</v>
      </c>
      <c r="EW258" s="32">
        <v>104.6</v>
      </c>
      <c r="EX258" s="32">
        <v>99.5</v>
      </c>
      <c r="EY258" s="32">
        <v>108.7</v>
      </c>
      <c r="EZ258" s="32">
        <v>97.8</v>
      </c>
      <c r="FA258" s="32">
        <v>96.5</v>
      </c>
      <c r="FB258" s="32">
        <v>97.3</v>
      </c>
      <c r="FC258" s="32">
        <v>90.9</v>
      </c>
      <c r="FD258" s="32">
        <v>107.9</v>
      </c>
      <c r="FE258" s="32">
        <v>102.8</v>
      </c>
      <c r="FF258" s="32">
        <v>95.6</v>
      </c>
      <c r="FG258" s="32">
        <v>99.8</v>
      </c>
      <c r="FH258" s="32">
        <v>95</v>
      </c>
      <c r="FI258" s="32">
        <v>118.2</v>
      </c>
      <c r="FJ258" s="32">
        <v>99.6</v>
      </c>
      <c r="FK258" s="32">
        <v>89.8</v>
      </c>
      <c r="FL258" s="32">
        <v>89.8</v>
      </c>
    </row>
    <row r="259" spans="1:168" x14ac:dyDescent="0.2">
      <c r="A259" s="34" t="s">
        <v>1239</v>
      </c>
      <c r="B259" s="32">
        <v>97.9</v>
      </c>
      <c r="C259" s="32">
        <v>88.1</v>
      </c>
      <c r="D259" s="32">
        <v>99.8</v>
      </c>
      <c r="E259" s="32">
        <v>99.4</v>
      </c>
      <c r="F259" s="32">
        <v>96.6</v>
      </c>
      <c r="G259" s="32">
        <v>167.7</v>
      </c>
      <c r="H259" s="32">
        <v>98.1</v>
      </c>
      <c r="I259" s="32">
        <v>87.6</v>
      </c>
      <c r="J259" s="32">
        <v>100.4</v>
      </c>
      <c r="K259" s="32">
        <v>96.5</v>
      </c>
      <c r="L259" s="32">
        <v>93.5</v>
      </c>
      <c r="M259" s="32">
        <v>83.2</v>
      </c>
      <c r="N259" s="32">
        <v>83</v>
      </c>
      <c r="O259" s="32">
        <v>62.9</v>
      </c>
      <c r="P259" s="32">
        <v>95.8</v>
      </c>
      <c r="Q259" s="32">
        <v>117.5</v>
      </c>
      <c r="R259" s="32">
        <v>105.2</v>
      </c>
      <c r="S259" s="32">
        <v>99</v>
      </c>
      <c r="T259" s="32">
        <v>82.5</v>
      </c>
      <c r="U259" s="32">
        <v>115.6</v>
      </c>
      <c r="V259" s="32">
        <v>103.5</v>
      </c>
      <c r="W259" s="32">
        <v>85.8</v>
      </c>
      <c r="X259" s="32">
        <v>79.400000000000006</v>
      </c>
      <c r="Y259" s="32">
        <v>98.8</v>
      </c>
      <c r="Z259" s="32">
        <v>81.7</v>
      </c>
      <c r="AA259" s="32">
        <v>96.5</v>
      </c>
      <c r="AB259" s="32">
        <v>90.8</v>
      </c>
      <c r="AC259" s="32">
        <v>90.3</v>
      </c>
      <c r="AD259" s="32">
        <v>106.2</v>
      </c>
      <c r="AE259" s="32">
        <v>123.5</v>
      </c>
      <c r="AF259" s="32">
        <v>123.5</v>
      </c>
      <c r="AG259" s="32">
        <v>82.5</v>
      </c>
      <c r="AH259" s="32">
        <v>82.5</v>
      </c>
      <c r="AI259" s="32">
        <v>86.5</v>
      </c>
      <c r="AJ259" s="32">
        <v>76.8</v>
      </c>
      <c r="AK259" s="32">
        <v>119.4</v>
      </c>
      <c r="AL259" s="32">
        <v>82.7</v>
      </c>
      <c r="AM259" s="32">
        <v>82.5</v>
      </c>
      <c r="AN259" s="32">
        <v>74.599999999999994</v>
      </c>
      <c r="AO259" s="32">
        <v>96.4</v>
      </c>
      <c r="AP259" s="32">
        <v>96.4</v>
      </c>
      <c r="AQ259" s="32">
        <v>96.5</v>
      </c>
      <c r="AR259" s="32">
        <v>94.6</v>
      </c>
      <c r="AS259" s="32">
        <v>99.2</v>
      </c>
      <c r="AT259" s="32">
        <v>99.2</v>
      </c>
      <c r="AU259" s="32">
        <v>99.1</v>
      </c>
      <c r="AV259" s="32">
        <v>109.4</v>
      </c>
      <c r="AW259" s="32">
        <v>145.69999999999999</v>
      </c>
      <c r="AX259" s="32">
        <v>97.5</v>
      </c>
      <c r="AY259" s="32">
        <v>239.4</v>
      </c>
      <c r="AZ259" s="32">
        <v>102.4</v>
      </c>
      <c r="BA259" s="32">
        <v>103</v>
      </c>
      <c r="BB259" s="32">
        <v>103</v>
      </c>
      <c r="BC259" s="32">
        <v>85.6</v>
      </c>
      <c r="BD259" s="32">
        <v>85.6</v>
      </c>
      <c r="BE259" s="32">
        <v>110.5</v>
      </c>
      <c r="BF259" s="32">
        <v>110.5</v>
      </c>
      <c r="BG259" s="32">
        <v>111.1</v>
      </c>
      <c r="BH259" s="32">
        <v>123.3</v>
      </c>
      <c r="BI259" s="32">
        <v>96.8</v>
      </c>
      <c r="BJ259" s="32">
        <v>85.1</v>
      </c>
      <c r="BK259" s="32">
        <v>100.2</v>
      </c>
      <c r="BL259" s="32">
        <v>88.9</v>
      </c>
      <c r="BM259" s="32">
        <v>101.7</v>
      </c>
      <c r="BN259" s="32">
        <v>99.6</v>
      </c>
      <c r="BO259" s="32">
        <v>101.2</v>
      </c>
      <c r="BP259" s="32">
        <v>98.4</v>
      </c>
      <c r="BQ259" s="32">
        <v>104</v>
      </c>
      <c r="BR259" s="32">
        <v>136.6</v>
      </c>
      <c r="BS259" s="32">
        <v>97.9</v>
      </c>
      <c r="BT259" s="32">
        <v>101.3</v>
      </c>
      <c r="BU259" s="32">
        <v>95.8</v>
      </c>
      <c r="BV259" s="32">
        <v>95.8</v>
      </c>
      <c r="BW259" s="32">
        <v>100.8</v>
      </c>
      <c r="BX259" s="32">
        <v>82</v>
      </c>
      <c r="BY259" s="32">
        <v>97.6</v>
      </c>
      <c r="BZ259" s="32">
        <v>100.2</v>
      </c>
      <c r="CA259" s="32">
        <v>96.3</v>
      </c>
      <c r="CB259" s="32">
        <v>98.3</v>
      </c>
      <c r="CC259" s="32">
        <v>95.2</v>
      </c>
      <c r="CD259" s="32">
        <v>82.6</v>
      </c>
      <c r="CE259" s="32">
        <v>100.6</v>
      </c>
      <c r="CF259" s="32">
        <v>97.5</v>
      </c>
      <c r="CG259" s="32">
        <v>98.1</v>
      </c>
      <c r="CH259" s="32">
        <v>101.1</v>
      </c>
      <c r="CI259" s="32">
        <v>111.1</v>
      </c>
      <c r="CJ259" s="32">
        <v>98.1</v>
      </c>
      <c r="CK259" s="32">
        <v>100.6</v>
      </c>
      <c r="CL259" s="32">
        <v>94.2</v>
      </c>
      <c r="CM259" s="32">
        <v>94.5</v>
      </c>
      <c r="CN259" s="32">
        <v>100.3</v>
      </c>
      <c r="CO259" s="32">
        <v>93.4</v>
      </c>
      <c r="CP259" s="32">
        <v>100.7</v>
      </c>
      <c r="CQ259" s="32">
        <v>69.099999999999994</v>
      </c>
      <c r="CR259" s="32">
        <v>98.4</v>
      </c>
      <c r="CS259" s="32">
        <v>95.6</v>
      </c>
      <c r="CT259" s="32">
        <v>93.4</v>
      </c>
      <c r="CU259" s="32">
        <v>93.4</v>
      </c>
      <c r="CV259" s="32">
        <v>93.4</v>
      </c>
      <c r="CW259" s="32">
        <v>87.3</v>
      </c>
      <c r="CX259" s="32">
        <v>98</v>
      </c>
      <c r="CY259" s="32">
        <v>100.9</v>
      </c>
      <c r="CZ259" s="32">
        <v>96.3</v>
      </c>
      <c r="DA259" s="32">
        <v>97.9</v>
      </c>
      <c r="DB259" s="32">
        <v>93.4</v>
      </c>
      <c r="DC259" s="32">
        <v>76.099999999999994</v>
      </c>
      <c r="DD259" s="32">
        <v>76.099999999999994</v>
      </c>
      <c r="DE259" s="32">
        <v>89.7</v>
      </c>
      <c r="DF259" s="32">
        <v>87.9</v>
      </c>
      <c r="DG259" s="32">
        <v>101</v>
      </c>
      <c r="DH259" s="32">
        <v>104.9</v>
      </c>
      <c r="DI259" s="32">
        <v>108.4</v>
      </c>
      <c r="DJ259" s="32">
        <v>108.8</v>
      </c>
      <c r="DK259" s="32">
        <v>108.8</v>
      </c>
      <c r="DL259" s="32">
        <v>96.6</v>
      </c>
      <c r="DM259" s="32">
        <v>97.8</v>
      </c>
      <c r="DN259" s="32">
        <v>96</v>
      </c>
      <c r="DO259" s="32">
        <v>98.5</v>
      </c>
      <c r="DP259" s="32">
        <v>100.4</v>
      </c>
      <c r="DQ259" s="32">
        <v>97.3</v>
      </c>
      <c r="DR259" s="32">
        <v>97.4</v>
      </c>
      <c r="DS259" s="32">
        <v>96.9</v>
      </c>
      <c r="DT259" s="32">
        <v>95</v>
      </c>
      <c r="DU259" s="32">
        <v>94.9</v>
      </c>
      <c r="DV259" s="32">
        <v>94.5</v>
      </c>
      <c r="DW259" s="32">
        <v>95.4</v>
      </c>
      <c r="DX259" s="32">
        <v>95</v>
      </c>
      <c r="DY259" s="32">
        <v>103.7</v>
      </c>
      <c r="DZ259" s="32">
        <v>97.5</v>
      </c>
      <c r="EA259" s="32">
        <v>97.5</v>
      </c>
      <c r="EB259" s="32">
        <v>98.6</v>
      </c>
      <c r="EC259" s="32">
        <v>103.5</v>
      </c>
      <c r="ED259" s="32">
        <v>92.5</v>
      </c>
      <c r="EE259" s="32">
        <v>90</v>
      </c>
      <c r="EF259" s="32">
        <v>98.6</v>
      </c>
      <c r="EG259" s="32">
        <v>97.1</v>
      </c>
      <c r="EH259" s="32">
        <v>91.4</v>
      </c>
      <c r="EI259" s="32">
        <v>98</v>
      </c>
      <c r="EJ259" s="32">
        <v>101.4</v>
      </c>
      <c r="EK259" s="32">
        <v>98.5</v>
      </c>
      <c r="EL259" s="32">
        <v>99</v>
      </c>
      <c r="EM259" s="32">
        <v>95.1</v>
      </c>
      <c r="EN259" s="32">
        <v>100.4</v>
      </c>
      <c r="EO259" s="32">
        <v>97.4</v>
      </c>
      <c r="EP259" s="32">
        <v>95.6</v>
      </c>
      <c r="EQ259" s="32">
        <v>95.6</v>
      </c>
      <c r="ER259" s="32">
        <v>92.3</v>
      </c>
      <c r="ES259" s="32">
        <v>92.3</v>
      </c>
      <c r="ET259" s="32">
        <v>102.9</v>
      </c>
      <c r="EU259" s="32">
        <v>102.3</v>
      </c>
      <c r="EV259" s="32">
        <v>102.3</v>
      </c>
      <c r="EW259" s="32">
        <v>104.3</v>
      </c>
      <c r="EX259" s="32">
        <v>99.2</v>
      </c>
      <c r="EY259" s="32">
        <v>108.3</v>
      </c>
      <c r="EZ259" s="32">
        <v>96.9</v>
      </c>
      <c r="FA259" s="32">
        <v>95.1</v>
      </c>
      <c r="FB259" s="32">
        <v>96.8</v>
      </c>
      <c r="FC259" s="32">
        <v>92.1</v>
      </c>
      <c r="FD259" s="32">
        <v>105.8</v>
      </c>
      <c r="FE259" s="32">
        <v>100.4</v>
      </c>
      <c r="FF259" s="32">
        <v>92.9</v>
      </c>
      <c r="FG259" s="32">
        <v>99.3</v>
      </c>
      <c r="FH259" s="32">
        <v>95.4</v>
      </c>
      <c r="FI259" s="32">
        <v>122.1</v>
      </c>
      <c r="FJ259" s="32">
        <v>98.2</v>
      </c>
      <c r="FK259" s="32">
        <v>89.4</v>
      </c>
      <c r="FL259" s="32">
        <v>89.4</v>
      </c>
    </row>
    <row r="260" spans="1:168" x14ac:dyDescent="0.2">
      <c r="A260" s="34" t="s">
        <v>1240</v>
      </c>
      <c r="B260" s="32">
        <v>98</v>
      </c>
      <c r="C260" s="32">
        <v>86.7</v>
      </c>
      <c r="D260" s="32">
        <v>99</v>
      </c>
      <c r="E260" s="32">
        <v>99</v>
      </c>
      <c r="F260" s="32">
        <v>91.3</v>
      </c>
      <c r="G260" s="32">
        <v>142.9</v>
      </c>
      <c r="H260" s="32">
        <v>91.8</v>
      </c>
      <c r="I260" s="32">
        <v>86.9</v>
      </c>
      <c r="J260" s="32">
        <v>100.3</v>
      </c>
      <c r="K260" s="32">
        <v>97.4</v>
      </c>
      <c r="L260" s="32">
        <v>95.5</v>
      </c>
      <c r="M260" s="32">
        <v>86.1</v>
      </c>
      <c r="N260" s="32">
        <v>82.6</v>
      </c>
      <c r="O260" s="32">
        <v>59.7</v>
      </c>
      <c r="P260" s="32">
        <v>101.4</v>
      </c>
      <c r="Q260" s="32">
        <v>117.5</v>
      </c>
      <c r="R260" s="32">
        <v>107.2</v>
      </c>
      <c r="S260" s="32">
        <v>100.4</v>
      </c>
      <c r="T260" s="32">
        <v>84.4</v>
      </c>
      <c r="U260" s="32">
        <v>110.1</v>
      </c>
      <c r="V260" s="32">
        <v>101.5</v>
      </c>
      <c r="W260" s="32">
        <v>86</v>
      </c>
      <c r="X260" s="32">
        <v>82.7</v>
      </c>
      <c r="Y260" s="32">
        <v>93.5</v>
      </c>
      <c r="Z260" s="32">
        <v>78.3</v>
      </c>
      <c r="AA260" s="32">
        <v>96.6</v>
      </c>
      <c r="AB260" s="32">
        <v>89.6</v>
      </c>
      <c r="AC260" s="32">
        <v>91</v>
      </c>
      <c r="AD260" s="32">
        <v>106.5</v>
      </c>
      <c r="AE260" s="32">
        <v>130.30000000000001</v>
      </c>
      <c r="AF260" s="32">
        <v>130.30000000000001</v>
      </c>
      <c r="AG260" s="32">
        <v>81.2</v>
      </c>
      <c r="AH260" s="32">
        <v>81.2</v>
      </c>
      <c r="AI260" s="32">
        <v>81</v>
      </c>
      <c r="AJ260" s="32">
        <v>76.099999999999994</v>
      </c>
      <c r="AK260" s="32">
        <v>106.4</v>
      </c>
      <c r="AL260" s="32">
        <v>86.6</v>
      </c>
      <c r="AM260" s="32">
        <v>83</v>
      </c>
      <c r="AN260" s="32">
        <v>72.400000000000006</v>
      </c>
      <c r="AO260" s="32">
        <v>91.9</v>
      </c>
      <c r="AP260" s="32">
        <v>91.9</v>
      </c>
      <c r="AQ260" s="32">
        <v>96.5</v>
      </c>
      <c r="AR260" s="32">
        <v>95.5</v>
      </c>
      <c r="AS260" s="32">
        <v>97.9</v>
      </c>
      <c r="AT260" s="32">
        <v>98.7</v>
      </c>
      <c r="AU260" s="32">
        <v>97.1</v>
      </c>
      <c r="AV260" s="32">
        <v>109.7</v>
      </c>
      <c r="AW260" s="32">
        <v>152.9</v>
      </c>
      <c r="AX260" s="32">
        <v>98.1</v>
      </c>
      <c r="AY260" s="32">
        <v>259.39999999999998</v>
      </c>
      <c r="AZ260" s="32">
        <v>101.3</v>
      </c>
      <c r="BA260" s="32">
        <v>103.4</v>
      </c>
      <c r="BB260" s="32">
        <v>103.4</v>
      </c>
      <c r="BC260" s="32">
        <v>86</v>
      </c>
      <c r="BD260" s="32">
        <v>86</v>
      </c>
      <c r="BE260" s="32">
        <v>115.7</v>
      </c>
      <c r="BF260" s="32">
        <v>115.7</v>
      </c>
      <c r="BG260" s="32">
        <v>106.5</v>
      </c>
      <c r="BH260" s="32">
        <v>116.6</v>
      </c>
      <c r="BI260" s="32">
        <v>94.5</v>
      </c>
      <c r="BJ260" s="32">
        <v>84.8</v>
      </c>
      <c r="BK260" s="32">
        <v>98.3</v>
      </c>
      <c r="BL260" s="32">
        <v>79.5</v>
      </c>
      <c r="BM260" s="32">
        <v>103.6</v>
      </c>
      <c r="BN260" s="32">
        <v>100.1</v>
      </c>
      <c r="BO260" s="32">
        <v>102.9</v>
      </c>
      <c r="BP260" s="32">
        <v>97.7</v>
      </c>
      <c r="BQ260" s="32">
        <v>107.7</v>
      </c>
      <c r="BR260" s="32">
        <v>132.30000000000001</v>
      </c>
      <c r="BS260" s="32">
        <v>105.8</v>
      </c>
      <c r="BT260" s="32">
        <v>104.7</v>
      </c>
      <c r="BU260" s="32">
        <v>96.2</v>
      </c>
      <c r="BV260" s="32">
        <v>96.2</v>
      </c>
      <c r="BW260" s="32">
        <v>100.2</v>
      </c>
      <c r="BX260" s="32">
        <v>84.5</v>
      </c>
      <c r="BY260" s="32">
        <v>98.1</v>
      </c>
      <c r="BZ260" s="32">
        <v>100.2</v>
      </c>
      <c r="CA260" s="32">
        <v>97.1</v>
      </c>
      <c r="CB260" s="32">
        <v>99.5</v>
      </c>
      <c r="CC260" s="32">
        <v>95.3</v>
      </c>
      <c r="CD260" s="32">
        <v>84.7</v>
      </c>
      <c r="CE260" s="32">
        <v>98.8</v>
      </c>
      <c r="CF260" s="32">
        <v>97.9</v>
      </c>
      <c r="CG260" s="32">
        <v>97.8</v>
      </c>
      <c r="CH260" s="32">
        <v>99.5</v>
      </c>
      <c r="CI260" s="32">
        <v>108.8</v>
      </c>
      <c r="CJ260" s="32">
        <v>96.9</v>
      </c>
      <c r="CK260" s="32">
        <v>98.9</v>
      </c>
      <c r="CL260" s="32">
        <v>94.7</v>
      </c>
      <c r="CM260" s="32">
        <v>96.1</v>
      </c>
      <c r="CN260" s="32">
        <v>100.4</v>
      </c>
      <c r="CO260" s="32">
        <v>95.2</v>
      </c>
      <c r="CP260" s="32">
        <v>102.1</v>
      </c>
      <c r="CQ260" s="32">
        <v>69</v>
      </c>
      <c r="CR260" s="32">
        <v>96.8</v>
      </c>
      <c r="CS260" s="32">
        <v>97.7</v>
      </c>
      <c r="CT260" s="32">
        <v>96.8</v>
      </c>
      <c r="CU260" s="32">
        <v>94.9</v>
      </c>
      <c r="CV260" s="32">
        <v>97.6</v>
      </c>
      <c r="CW260" s="32">
        <v>90.2</v>
      </c>
      <c r="CX260" s="32">
        <v>103.5</v>
      </c>
      <c r="CY260" s="32">
        <v>104.2</v>
      </c>
      <c r="CZ260" s="32">
        <v>103.1</v>
      </c>
      <c r="DA260" s="32">
        <v>104.8</v>
      </c>
      <c r="DB260" s="32">
        <v>100</v>
      </c>
      <c r="DC260" s="32">
        <v>78.3</v>
      </c>
      <c r="DD260" s="32">
        <v>78.3</v>
      </c>
      <c r="DE260" s="32">
        <v>91.7</v>
      </c>
      <c r="DF260" s="32">
        <v>89.7</v>
      </c>
      <c r="DG260" s="32">
        <v>104.3</v>
      </c>
      <c r="DH260" s="32">
        <v>105.5</v>
      </c>
      <c r="DI260" s="32">
        <v>109.7</v>
      </c>
      <c r="DJ260" s="32">
        <v>108.2</v>
      </c>
      <c r="DK260" s="32">
        <v>108.2</v>
      </c>
      <c r="DL260" s="32">
        <v>97</v>
      </c>
      <c r="DM260" s="32">
        <v>97.8</v>
      </c>
      <c r="DN260" s="32">
        <v>95.8</v>
      </c>
      <c r="DO260" s="32">
        <v>98.5</v>
      </c>
      <c r="DP260" s="32">
        <v>100.2</v>
      </c>
      <c r="DQ260" s="32">
        <v>97.1</v>
      </c>
      <c r="DR260" s="32">
        <v>96.6</v>
      </c>
      <c r="DS260" s="32">
        <v>96.9</v>
      </c>
      <c r="DT260" s="32">
        <v>95.8</v>
      </c>
      <c r="DU260" s="32">
        <v>96.4</v>
      </c>
      <c r="DV260" s="32">
        <v>97.6</v>
      </c>
      <c r="DW260" s="32">
        <v>94.9</v>
      </c>
      <c r="DX260" s="32">
        <v>94.4</v>
      </c>
      <c r="DY260" s="32">
        <v>100.6</v>
      </c>
      <c r="DZ260" s="32">
        <v>89.1</v>
      </c>
      <c r="EA260" s="32">
        <v>89.1</v>
      </c>
      <c r="EB260" s="32">
        <v>99.3</v>
      </c>
      <c r="EC260" s="32">
        <v>105.3</v>
      </c>
      <c r="ED260" s="32">
        <v>91.7</v>
      </c>
      <c r="EE260" s="32">
        <v>88.2</v>
      </c>
      <c r="EF260" s="32">
        <v>100.7</v>
      </c>
      <c r="EG260" s="32">
        <v>97.7</v>
      </c>
      <c r="EH260" s="32">
        <v>94.8</v>
      </c>
      <c r="EI260" s="32">
        <v>97.6</v>
      </c>
      <c r="EJ260" s="32">
        <v>102.8</v>
      </c>
      <c r="EK260" s="32">
        <v>98.2</v>
      </c>
      <c r="EL260" s="32">
        <v>100.6</v>
      </c>
      <c r="EM260" s="32">
        <v>91.8</v>
      </c>
      <c r="EN260" s="32">
        <v>101.6</v>
      </c>
      <c r="EO260" s="32">
        <v>97.8</v>
      </c>
      <c r="EP260" s="32">
        <v>95.4</v>
      </c>
      <c r="EQ260" s="32">
        <v>95.4</v>
      </c>
      <c r="ER260" s="32">
        <v>92.4</v>
      </c>
      <c r="ES260" s="32">
        <v>92.4</v>
      </c>
      <c r="ET260" s="32">
        <v>103.9</v>
      </c>
      <c r="EU260" s="32">
        <v>104</v>
      </c>
      <c r="EV260" s="32">
        <v>104</v>
      </c>
      <c r="EW260" s="32">
        <v>103.7</v>
      </c>
      <c r="EX260" s="32">
        <v>99.3</v>
      </c>
      <c r="EY260" s="32">
        <v>107.2</v>
      </c>
      <c r="EZ260" s="32">
        <v>98</v>
      </c>
      <c r="FA260" s="32">
        <v>95.7</v>
      </c>
      <c r="FB260" s="32">
        <v>98.5</v>
      </c>
      <c r="FC260" s="32">
        <v>94.3</v>
      </c>
      <c r="FD260" s="32">
        <v>111.1</v>
      </c>
      <c r="FE260" s="32">
        <v>99.5</v>
      </c>
      <c r="FF260" s="32">
        <v>92.3</v>
      </c>
      <c r="FG260" s="32">
        <v>100.6</v>
      </c>
      <c r="FH260" s="32">
        <v>95.1</v>
      </c>
      <c r="FI260" s="32">
        <v>127</v>
      </c>
      <c r="FJ260" s="32">
        <v>99.9</v>
      </c>
      <c r="FK260" s="32">
        <v>91.9</v>
      </c>
      <c r="FL260" s="32">
        <v>91.9</v>
      </c>
    </row>
    <row r="261" spans="1:168" x14ac:dyDescent="0.2">
      <c r="A261" s="34" t="s">
        <v>1241</v>
      </c>
      <c r="B261" s="32">
        <v>97.8</v>
      </c>
      <c r="C261" s="32">
        <v>85.1</v>
      </c>
      <c r="D261" s="32">
        <v>98.3</v>
      </c>
      <c r="E261" s="32">
        <v>98.5</v>
      </c>
      <c r="F261" s="32">
        <v>100.8</v>
      </c>
      <c r="G261" s="32">
        <v>177.1</v>
      </c>
      <c r="H261" s="32">
        <v>102.9</v>
      </c>
      <c r="I261" s="32">
        <v>88</v>
      </c>
      <c r="J261" s="32">
        <v>99.6</v>
      </c>
      <c r="K261" s="32">
        <v>98.9</v>
      </c>
      <c r="L261" s="32">
        <v>96.3</v>
      </c>
      <c r="M261" s="32">
        <v>88.1</v>
      </c>
      <c r="N261" s="32">
        <v>86</v>
      </c>
      <c r="O261" s="32">
        <v>56.7</v>
      </c>
      <c r="P261" s="32">
        <v>104.5</v>
      </c>
      <c r="Q261" s="32">
        <v>118.8</v>
      </c>
      <c r="R261" s="32">
        <v>102.9</v>
      </c>
      <c r="S261" s="32">
        <v>101</v>
      </c>
      <c r="T261" s="32">
        <v>86.5</v>
      </c>
      <c r="U261" s="32">
        <v>113.9</v>
      </c>
      <c r="V261" s="32">
        <v>105</v>
      </c>
      <c r="W261" s="32">
        <v>86.9</v>
      </c>
      <c r="X261" s="32">
        <v>80.599999999999994</v>
      </c>
      <c r="Y261" s="32">
        <v>100.6</v>
      </c>
      <c r="Z261" s="32">
        <v>76.900000000000006</v>
      </c>
      <c r="AA261" s="32">
        <v>96.1</v>
      </c>
      <c r="AB261" s="32">
        <v>91.5</v>
      </c>
      <c r="AC261" s="32">
        <v>89.7</v>
      </c>
      <c r="AD261" s="32">
        <v>105</v>
      </c>
      <c r="AE261" s="32">
        <v>127.9</v>
      </c>
      <c r="AF261" s="32">
        <v>127.9</v>
      </c>
      <c r="AG261" s="32">
        <v>83.7</v>
      </c>
      <c r="AH261" s="32">
        <v>83.7</v>
      </c>
      <c r="AI261" s="32">
        <v>83.6</v>
      </c>
      <c r="AJ261" s="32">
        <v>79.7</v>
      </c>
      <c r="AK261" s="32">
        <v>114.6</v>
      </c>
      <c r="AL261" s="32">
        <v>86.1</v>
      </c>
      <c r="AM261" s="32">
        <v>83.8</v>
      </c>
      <c r="AN261" s="32">
        <v>75.7</v>
      </c>
      <c r="AO261" s="32">
        <v>91.1</v>
      </c>
      <c r="AP261" s="32">
        <v>91.1</v>
      </c>
      <c r="AQ261" s="32">
        <v>95.4</v>
      </c>
      <c r="AR261" s="32">
        <v>93.8</v>
      </c>
      <c r="AS261" s="32">
        <v>97.6</v>
      </c>
      <c r="AT261" s="32">
        <v>98.7</v>
      </c>
      <c r="AU261" s="32">
        <v>96.7</v>
      </c>
      <c r="AV261" s="32">
        <v>108.5</v>
      </c>
      <c r="AW261" s="32">
        <v>155.5</v>
      </c>
      <c r="AX261" s="32">
        <v>98.5</v>
      </c>
      <c r="AY261" s="32">
        <v>266.5</v>
      </c>
      <c r="AZ261" s="32">
        <v>99.4</v>
      </c>
      <c r="BA261" s="32">
        <v>101.3</v>
      </c>
      <c r="BB261" s="32">
        <v>101.3</v>
      </c>
      <c r="BC261" s="32">
        <v>84.7</v>
      </c>
      <c r="BD261" s="32">
        <v>84.7</v>
      </c>
      <c r="BE261" s="32">
        <v>112.8</v>
      </c>
      <c r="BF261" s="32">
        <v>112.8</v>
      </c>
      <c r="BG261" s="32">
        <v>104.5</v>
      </c>
      <c r="BH261" s="32">
        <v>113.8</v>
      </c>
      <c r="BI261" s="32">
        <v>93.4</v>
      </c>
      <c r="BJ261" s="32">
        <v>84</v>
      </c>
      <c r="BK261" s="32">
        <v>96.4</v>
      </c>
      <c r="BL261" s="32">
        <v>85.7</v>
      </c>
      <c r="BM261" s="32">
        <v>101.9</v>
      </c>
      <c r="BN261" s="32">
        <v>100.1</v>
      </c>
      <c r="BO261" s="32">
        <v>103.3</v>
      </c>
      <c r="BP261" s="32">
        <v>97.6</v>
      </c>
      <c r="BQ261" s="32">
        <v>104</v>
      </c>
      <c r="BR261" s="32">
        <v>104.4</v>
      </c>
      <c r="BS261" s="32">
        <v>106</v>
      </c>
      <c r="BT261" s="32">
        <v>103.4</v>
      </c>
      <c r="BU261" s="32">
        <v>89.9</v>
      </c>
      <c r="BV261" s="32">
        <v>89.9</v>
      </c>
      <c r="BW261" s="32">
        <v>96.2</v>
      </c>
      <c r="BX261" s="32">
        <v>73.2</v>
      </c>
      <c r="BY261" s="32">
        <v>98</v>
      </c>
      <c r="BZ261" s="32">
        <v>99.8</v>
      </c>
      <c r="CA261" s="32">
        <v>97.1</v>
      </c>
      <c r="CB261" s="32">
        <v>100.4</v>
      </c>
      <c r="CC261" s="32">
        <v>94.4</v>
      </c>
      <c r="CD261" s="32">
        <v>86</v>
      </c>
      <c r="CE261" s="32">
        <v>97.9</v>
      </c>
      <c r="CF261" s="32">
        <v>97.8</v>
      </c>
      <c r="CG261" s="32">
        <v>98.1</v>
      </c>
      <c r="CH261" s="32">
        <v>99.7</v>
      </c>
      <c r="CI261" s="32">
        <v>109.1</v>
      </c>
      <c r="CJ261" s="32">
        <v>96.8</v>
      </c>
      <c r="CK261" s="32">
        <v>99.3</v>
      </c>
      <c r="CL261" s="32">
        <v>95.2</v>
      </c>
      <c r="CM261" s="32">
        <v>94.7</v>
      </c>
      <c r="CN261" s="32">
        <v>105.6</v>
      </c>
      <c r="CO261" s="32">
        <v>92.8</v>
      </c>
      <c r="CP261" s="32">
        <v>104</v>
      </c>
      <c r="CQ261" s="32">
        <v>80.3</v>
      </c>
      <c r="CR261" s="32">
        <v>97.3</v>
      </c>
      <c r="CS261" s="32">
        <v>95.2</v>
      </c>
      <c r="CT261" s="32">
        <v>96.6</v>
      </c>
      <c r="CU261" s="32">
        <v>95.7</v>
      </c>
      <c r="CV261" s="32">
        <v>96.9</v>
      </c>
      <c r="CW261" s="32">
        <v>89.4</v>
      </c>
      <c r="CX261" s="32">
        <v>99.1</v>
      </c>
      <c r="CY261" s="32">
        <v>101.5</v>
      </c>
      <c r="CZ261" s="32">
        <v>97.7</v>
      </c>
      <c r="DA261" s="32">
        <v>97.7</v>
      </c>
      <c r="DB261" s="32">
        <v>97.7</v>
      </c>
      <c r="DC261" s="32">
        <v>79.3</v>
      </c>
      <c r="DD261" s="32">
        <v>79.3</v>
      </c>
      <c r="DE261" s="32">
        <v>91.4</v>
      </c>
      <c r="DF261" s="32">
        <v>89.7</v>
      </c>
      <c r="DG261" s="32">
        <v>101.7</v>
      </c>
      <c r="DH261" s="32">
        <v>104</v>
      </c>
      <c r="DI261" s="32">
        <v>107.4</v>
      </c>
      <c r="DJ261" s="32">
        <v>107.5</v>
      </c>
      <c r="DK261" s="32">
        <v>107.5</v>
      </c>
      <c r="DL261" s="32">
        <v>96.3</v>
      </c>
      <c r="DM261" s="32">
        <v>97.5</v>
      </c>
      <c r="DN261" s="32">
        <v>95.6</v>
      </c>
      <c r="DO261" s="32">
        <v>98</v>
      </c>
      <c r="DP261" s="32">
        <v>101.4</v>
      </c>
      <c r="DQ261" s="32">
        <v>98.5</v>
      </c>
      <c r="DR261" s="32">
        <v>99</v>
      </c>
      <c r="DS261" s="32">
        <v>98.1</v>
      </c>
      <c r="DT261" s="32">
        <v>96.4</v>
      </c>
      <c r="DU261" s="32">
        <v>97.6</v>
      </c>
      <c r="DV261" s="32">
        <v>97.7</v>
      </c>
      <c r="DW261" s="32">
        <v>97.5</v>
      </c>
      <c r="DX261" s="32">
        <v>93.9</v>
      </c>
      <c r="DY261" s="32">
        <v>103.6</v>
      </c>
      <c r="DZ261" s="32">
        <v>109.6</v>
      </c>
      <c r="EA261" s="32">
        <v>109.6</v>
      </c>
      <c r="EB261" s="32">
        <v>97.2</v>
      </c>
      <c r="EC261" s="32">
        <v>102.1</v>
      </c>
      <c r="ED261" s="32">
        <v>91.1</v>
      </c>
      <c r="EE261" s="32">
        <v>85.9</v>
      </c>
      <c r="EF261" s="32">
        <v>104.3</v>
      </c>
      <c r="EG261" s="32">
        <v>97.8</v>
      </c>
      <c r="EH261" s="32">
        <v>96.4</v>
      </c>
      <c r="EI261" s="32">
        <v>97.5</v>
      </c>
      <c r="EJ261" s="32">
        <v>103.9</v>
      </c>
      <c r="EK261" s="32">
        <v>97.2</v>
      </c>
      <c r="EL261" s="32">
        <v>101.8</v>
      </c>
      <c r="EM261" s="32">
        <v>90.7</v>
      </c>
      <c r="EN261" s="32">
        <v>100.4</v>
      </c>
      <c r="EO261" s="32">
        <v>97.4</v>
      </c>
      <c r="EP261" s="32">
        <v>94.8</v>
      </c>
      <c r="EQ261" s="32">
        <v>94.8</v>
      </c>
      <c r="ER261" s="32">
        <v>93.7</v>
      </c>
      <c r="ES261" s="32">
        <v>93.7</v>
      </c>
      <c r="ET261" s="32">
        <v>102.2</v>
      </c>
      <c r="EU261" s="32">
        <v>102</v>
      </c>
      <c r="EV261" s="32">
        <v>102</v>
      </c>
      <c r="EW261" s="32">
        <v>102.7</v>
      </c>
      <c r="EX261" s="32">
        <v>99.2</v>
      </c>
      <c r="EY261" s="32">
        <v>105.4</v>
      </c>
      <c r="EZ261" s="32">
        <v>97.8</v>
      </c>
      <c r="FA261" s="32">
        <v>96</v>
      </c>
      <c r="FB261" s="32">
        <v>98</v>
      </c>
      <c r="FC261" s="32">
        <v>94.5</v>
      </c>
      <c r="FD261" s="32">
        <v>107.4</v>
      </c>
      <c r="FE261" s="32">
        <v>99.4</v>
      </c>
      <c r="FF261" s="32">
        <v>93.6</v>
      </c>
      <c r="FG261" s="32">
        <v>99.9</v>
      </c>
      <c r="FH261" s="32">
        <v>94.3</v>
      </c>
      <c r="FI261" s="32">
        <v>124.3</v>
      </c>
      <c r="FJ261" s="32">
        <v>99.4</v>
      </c>
      <c r="FK261" s="32">
        <v>92.2</v>
      </c>
      <c r="FL261" s="32">
        <v>92.2</v>
      </c>
    </row>
    <row r="262" spans="1:168" x14ac:dyDescent="0.2">
      <c r="A262" s="34" t="s">
        <v>1242</v>
      </c>
      <c r="B262" s="32">
        <v>98.1</v>
      </c>
      <c r="C262" s="32">
        <v>84.5</v>
      </c>
      <c r="D262" s="32">
        <v>98.4</v>
      </c>
      <c r="E262" s="32">
        <v>97.9</v>
      </c>
      <c r="F262" s="32">
        <v>98.7</v>
      </c>
      <c r="G262" s="32">
        <v>136.5</v>
      </c>
      <c r="H262" s="32">
        <v>99.6</v>
      </c>
      <c r="I262" s="32">
        <v>92.7</v>
      </c>
      <c r="J262" s="32">
        <v>99.8</v>
      </c>
      <c r="K262" s="32">
        <v>101</v>
      </c>
      <c r="L262" s="32">
        <v>99.5</v>
      </c>
      <c r="M262" s="32">
        <v>89.9</v>
      </c>
      <c r="N262" s="32">
        <v>90.4</v>
      </c>
      <c r="O262" s="32">
        <v>57.6</v>
      </c>
      <c r="P262" s="32">
        <v>116.7</v>
      </c>
      <c r="Q262" s="32">
        <v>124.2</v>
      </c>
      <c r="R262" s="32">
        <v>105.1</v>
      </c>
      <c r="S262" s="32">
        <v>101.9</v>
      </c>
      <c r="T262" s="32">
        <v>85.9</v>
      </c>
      <c r="U262" s="32">
        <v>116.9</v>
      </c>
      <c r="V262" s="32">
        <v>102.1</v>
      </c>
      <c r="W262" s="32">
        <v>87.7</v>
      </c>
      <c r="X262" s="32">
        <v>80.099999999999994</v>
      </c>
      <c r="Y262" s="32">
        <v>102.6</v>
      </c>
      <c r="Z262" s="32">
        <v>85.3</v>
      </c>
      <c r="AA262" s="32">
        <v>99.4</v>
      </c>
      <c r="AB262" s="32">
        <v>95</v>
      </c>
      <c r="AC262" s="32">
        <v>91.9</v>
      </c>
      <c r="AD262" s="32">
        <v>109.3</v>
      </c>
      <c r="AE262" s="32">
        <v>125</v>
      </c>
      <c r="AF262" s="32">
        <v>125</v>
      </c>
      <c r="AG262" s="32">
        <v>84.4</v>
      </c>
      <c r="AH262" s="32">
        <v>84.4</v>
      </c>
      <c r="AI262" s="32">
        <v>84.3</v>
      </c>
      <c r="AJ262" s="32">
        <v>80</v>
      </c>
      <c r="AK262" s="32">
        <v>115.4</v>
      </c>
      <c r="AL262" s="32">
        <v>92.5</v>
      </c>
      <c r="AM262" s="32">
        <v>83.1</v>
      </c>
      <c r="AN262" s="32">
        <v>76.7</v>
      </c>
      <c r="AO262" s="32">
        <v>93.1</v>
      </c>
      <c r="AP262" s="32">
        <v>93.1</v>
      </c>
      <c r="AQ262" s="32">
        <v>98.9</v>
      </c>
      <c r="AR262" s="32">
        <v>96.7</v>
      </c>
      <c r="AS262" s="32">
        <v>101.9</v>
      </c>
      <c r="AT262" s="32">
        <v>100.3</v>
      </c>
      <c r="AU262" s="32">
        <v>103.2</v>
      </c>
      <c r="AV262" s="32">
        <v>102.8</v>
      </c>
      <c r="AW262" s="32">
        <v>145.19999999999999</v>
      </c>
      <c r="AX262" s="32">
        <v>82.1</v>
      </c>
      <c r="AY262" s="32">
        <v>266.39999999999998</v>
      </c>
      <c r="AZ262" s="32">
        <v>94.6</v>
      </c>
      <c r="BA262" s="32">
        <v>101.7</v>
      </c>
      <c r="BB262" s="32">
        <v>101.7</v>
      </c>
      <c r="BC262" s="32">
        <v>85.2</v>
      </c>
      <c r="BD262" s="32">
        <v>85.2</v>
      </c>
      <c r="BE262" s="32">
        <v>109.4</v>
      </c>
      <c r="BF262" s="32">
        <v>109.4</v>
      </c>
      <c r="BG262" s="32">
        <v>105.1</v>
      </c>
      <c r="BH262" s="32">
        <v>118.2</v>
      </c>
      <c r="BI262" s="32">
        <v>89.5</v>
      </c>
      <c r="BJ262" s="32">
        <v>82.8</v>
      </c>
      <c r="BK262" s="32">
        <v>91.7</v>
      </c>
      <c r="BL262" s="32">
        <v>83.8</v>
      </c>
      <c r="BM262" s="32">
        <v>101</v>
      </c>
      <c r="BN262" s="32">
        <v>99</v>
      </c>
      <c r="BO262" s="32">
        <v>101.6</v>
      </c>
      <c r="BP262" s="32">
        <v>96.9</v>
      </c>
      <c r="BQ262" s="32">
        <v>103.3</v>
      </c>
      <c r="BR262" s="32">
        <v>95.5</v>
      </c>
      <c r="BS262" s="32">
        <v>106.5</v>
      </c>
      <c r="BT262" s="32">
        <v>103.4</v>
      </c>
      <c r="BU262" s="32">
        <v>84.2</v>
      </c>
      <c r="BV262" s="32">
        <v>84.2</v>
      </c>
      <c r="BW262" s="32">
        <v>91.9</v>
      </c>
      <c r="BX262" s="32">
        <v>64.400000000000006</v>
      </c>
      <c r="BY262" s="32">
        <v>98.6</v>
      </c>
      <c r="BZ262" s="32">
        <v>100.6</v>
      </c>
      <c r="CA262" s="32">
        <v>97.6</v>
      </c>
      <c r="CB262" s="32">
        <v>100.2</v>
      </c>
      <c r="CC262" s="32">
        <v>95.5</v>
      </c>
      <c r="CD262" s="32">
        <v>89.2</v>
      </c>
      <c r="CE262" s="32">
        <v>99.5</v>
      </c>
      <c r="CF262" s="32">
        <v>98.1</v>
      </c>
      <c r="CG262" s="32">
        <v>99.5</v>
      </c>
      <c r="CH262" s="32">
        <v>100.5</v>
      </c>
      <c r="CI262" s="32">
        <v>109.6</v>
      </c>
      <c r="CJ262" s="32">
        <v>96.3</v>
      </c>
      <c r="CK262" s="32">
        <v>101</v>
      </c>
      <c r="CL262" s="32">
        <v>97.4</v>
      </c>
      <c r="CM262" s="32">
        <v>96.5</v>
      </c>
      <c r="CN262" s="32">
        <v>106.2</v>
      </c>
      <c r="CO262" s="32">
        <v>94.7</v>
      </c>
      <c r="CP262" s="32">
        <v>106.1</v>
      </c>
      <c r="CQ262" s="32">
        <v>82.6</v>
      </c>
      <c r="CR262" s="32">
        <v>98.6</v>
      </c>
      <c r="CS262" s="32">
        <v>99.9</v>
      </c>
      <c r="CT262" s="32">
        <v>99</v>
      </c>
      <c r="CU262" s="32">
        <v>95.9</v>
      </c>
      <c r="CV262" s="32">
        <v>100.3</v>
      </c>
      <c r="CW262" s="32">
        <v>90.4</v>
      </c>
      <c r="CX262" s="32">
        <v>99.2</v>
      </c>
      <c r="CY262" s="32">
        <v>100.5</v>
      </c>
      <c r="CZ262" s="32">
        <v>98.4</v>
      </c>
      <c r="DA262" s="32">
        <v>98.1</v>
      </c>
      <c r="DB262" s="32">
        <v>99.2</v>
      </c>
      <c r="DC262" s="32">
        <v>80.900000000000006</v>
      </c>
      <c r="DD262" s="32">
        <v>80.900000000000006</v>
      </c>
      <c r="DE262" s="32">
        <v>92.3</v>
      </c>
      <c r="DF262" s="32">
        <v>90.7</v>
      </c>
      <c r="DG262" s="32">
        <v>101.9</v>
      </c>
      <c r="DH262" s="32">
        <v>103.9</v>
      </c>
      <c r="DI262" s="32">
        <v>107.3</v>
      </c>
      <c r="DJ262" s="32">
        <v>107.2</v>
      </c>
      <c r="DK262" s="32">
        <v>107.2</v>
      </c>
      <c r="DL262" s="32">
        <v>96.2</v>
      </c>
      <c r="DM262" s="32">
        <v>97.4</v>
      </c>
      <c r="DN262" s="32">
        <v>95.8</v>
      </c>
      <c r="DO262" s="32">
        <v>98</v>
      </c>
      <c r="DP262" s="32">
        <v>98.5</v>
      </c>
      <c r="DQ262" s="32">
        <v>98.4</v>
      </c>
      <c r="DR262" s="32">
        <v>98.5</v>
      </c>
      <c r="DS262" s="32">
        <v>97.2</v>
      </c>
      <c r="DT262" s="32">
        <v>95.8</v>
      </c>
      <c r="DU262" s="32">
        <v>97.2</v>
      </c>
      <c r="DV262" s="32">
        <v>97.9</v>
      </c>
      <c r="DW262" s="32">
        <v>96.4</v>
      </c>
      <c r="DX262" s="32">
        <v>92.8</v>
      </c>
      <c r="DY262" s="32">
        <v>101.8</v>
      </c>
      <c r="DZ262" s="32">
        <v>111</v>
      </c>
      <c r="EA262" s="32">
        <v>111</v>
      </c>
      <c r="EB262" s="32">
        <v>97.2</v>
      </c>
      <c r="EC262" s="32">
        <v>102.4</v>
      </c>
      <c r="ED262" s="32">
        <v>90.6</v>
      </c>
      <c r="EE262" s="32">
        <v>85.8</v>
      </c>
      <c r="EF262" s="32">
        <v>102.8</v>
      </c>
      <c r="EG262" s="32">
        <v>98.1</v>
      </c>
      <c r="EH262" s="32">
        <v>95.6</v>
      </c>
      <c r="EI262" s="32">
        <v>99.6</v>
      </c>
      <c r="EJ262" s="32">
        <v>100.9</v>
      </c>
      <c r="EK262" s="32">
        <v>97.7</v>
      </c>
      <c r="EL262" s="32">
        <v>101.5</v>
      </c>
      <c r="EM262" s="32">
        <v>91.8</v>
      </c>
      <c r="EN262" s="32">
        <v>100.7</v>
      </c>
      <c r="EO262" s="32">
        <v>97.4</v>
      </c>
      <c r="EP262" s="32">
        <v>95</v>
      </c>
      <c r="EQ262" s="32">
        <v>95</v>
      </c>
      <c r="ER262" s="32">
        <v>94</v>
      </c>
      <c r="ES262" s="32">
        <v>94</v>
      </c>
      <c r="ET262" s="32">
        <v>101.8</v>
      </c>
      <c r="EU262" s="32">
        <v>101.6</v>
      </c>
      <c r="EV262" s="32">
        <v>101.6</v>
      </c>
      <c r="EW262" s="32">
        <v>102.3</v>
      </c>
      <c r="EX262" s="32">
        <v>99.8</v>
      </c>
      <c r="EY262" s="32">
        <v>104.2</v>
      </c>
      <c r="EZ262" s="32">
        <v>98.8</v>
      </c>
      <c r="FA262" s="32">
        <v>98.2</v>
      </c>
      <c r="FB262" s="32">
        <v>96.8</v>
      </c>
      <c r="FC262" s="32">
        <v>91.4</v>
      </c>
      <c r="FD262" s="32">
        <v>107.8</v>
      </c>
      <c r="FE262" s="32">
        <v>100.6</v>
      </c>
      <c r="FF262" s="32">
        <v>100</v>
      </c>
      <c r="FG262" s="32">
        <v>100.2</v>
      </c>
      <c r="FH262" s="32">
        <v>94.8</v>
      </c>
      <c r="FI262" s="32">
        <v>123.2</v>
      </c>
      <c r="FJ262" s="32">
        <v>99.7</v>
      </c>
      <c r="FK262" s="32">
        <v>91</v>
      </c>
      <c r="FL262" s="32">
        <v>91</v>
      </c>
    </row>
    <row r="263" spans="1:168" x14ac:dyDescent="0.2">
      <c r="A263" s="34" t="s">
        <v>1243</v>
      </c>
      <c r="B263" s="32">
        <v>98.4</v>
      </c>
      <c r="C263" s="32">
        <v>83.7</v>
      </c>
      <c r="D263" s="32">
        <v>100.2</v>
      </c>
      <c r="E263" s="32">
        <v>100.1</v>
      </c>
      <c r="F263" s="32">
        <v>103.7</v>
      </c>
      <c r="G263" s="32">
        <v>123.4</v>
      </c>
      <c r="H263" s="32">
        <v>105.2</v>
      </c>
      <c r="I263" s="32">
        <v>95.6</v>
      </c>
      <c r="J263" s="32">
        <v>101.7</v>
      </c>
      <c r="K263" s="32">
        <v>102.2</v>
      </c>
      <c r="L263" s="32">
        <v>100.7</v>
      </c>
      <c r="M263" s="32">
        <v>91.2</v>
      </c>
      <c r="N263" s="32">
        <v>94</v>
      </c>
      <c r="O263" s="32">
        <v>57</v>
      </c>
      <c r="P263" s="32">
        <v>116.9</v>
      </c>
      <c r="Q263" s="32">
        <v>119.3</v>
      </c>
      <c r="R263" s="32">
        <v>106.3</v>
      </c>
      <c r="S263" s="32">
        <v>103.5</v>
      </c>
      <c r="T263" s="32">
        <v>86.7</v>
      </c>
      <c r="U263" s="32">
        <v>113.6</v>
      </c>
      <c r="V263" s="32">
        <v>104.7</v>
      </c>
      <c r="W263" s="32">
        <v>89.1</v>
      </c>
      <c r="X263" s="32">
        <v>84</v>
      </c>
      <c r="Y263" s="32">
        <v>98.8</v>
      </c>
      <c r="Z263" s="32">
        <v>87.6</v>
      </c>
      <c r="AA263" s="32">
        <v>100</v>
      </c>
      <c r="AB263" s="32">
        <v>96.2</v>
      </c>
      <c r="AC263" s="32">
        <v>90.4</v>
      </c>
      <c r="AD263" s="32">
        <v>111.5</v>
      </c>
      <c r="AE263" s="32">
        <v>130.69999999999999</v>
      </c>
      <c r="AF263" s="32">
        <v>130.69999999999999</v>
      </c>
      <c r="AG263" s="32">
        <v>87.2</v>
      </c>
      <c r="AH263" s="32">
        <v>87.2</v>
      </c>
      <c r="AI263" s="32">
        <v>92.3</v>
      </c>
      <c r="AJ263" s="32">
        <v>82</v>
      </c>
      <c r="AK263" s="32">
        <v>114.3</v>
      </c>
      <c r="AL263" s="32">
        <v>91.8</v>
      </c>
      <c r="AM263" s="32">
        <v>87.4</v>
      </c>
      <c r="AN263" s="32">
        <v>78.400000000000006</v>
      </c>
      <c r="AO263" s="32">
        <v>99.8</v>
      </c>
      <c r="AP263" s="32">
        <v>99.8</v>
      </c>
      <c r="AQ263" s="32">
        <v>101.9</v>
      </c>
      <c r="AR263" s="32">
        <v>98.5</v>
      </c>
      <c r="AS263" s="32">
        <v>106.3</v>
      </c>
      <c r="AT263" s="32">
        <v>101.5</v>
      </c>
      <c r="AU263" s="32">
        <v>110.3</v>
      </c>
      <c r="AV263" s="32">
        <v>107.9</v>
      </c>
      <c r="AW263" s="32">
        <v>148.30000000000001</v>
      </c>
      <c r="AX263" s="32">
        <v>94.2</v>
      </c>
      <c r="AY263" s="32">
        <v>254.1</v>
      </c>
      <c r="AZ263" s="32">
        <v>100.1</v>
      </c>
      <c r="BA263" s="32">
        <v>101.5</v>
      </c>
      <c r="BB263" s="32">
        <v>101.5</v>
      </c>
      <c r="BC263" s="32">
        <v>81.900000000000006</v>
      </c>
      <c r="BD263" s="32">
        <v>81.900000000000006</v>
      </c>
      <c r="BE263" s="32">
        <v>110</v>
      </c>
      <c r="BF263" s="32">
        <v>110</v>
      </c>
      <c r="BG263" s="32">
        <v>105.9</v>
      </c>
      <c r="BH263" s="32">
        <v>117.1</v>
      </c>
      <c r="BI263" s="32">
        <v>92.6</v>
      </c>
      <c r="BJ263" s="32">
        <v>82.4</v>
      </c>
      <c r="BK263" s="32">
        <v>95.7</v>
      </c>
      <c r="BL263" s="32">
        <v>85.6</v>
      </c>
      <c r="BM263" s="32">
        <v>102</v>
      </c>
      <c r="BN263" s="32">
        <v>99</v>
      </c>
      <c r="BO263" s="32">
        <v>101</v>
      </c>
      <c r="BP263" s="32">
        <v>97.5</v>
      </c>
      <c r="BQ263" s="32">
        <v>105.4</v>
      </c>
      <c r="BR263" s="32">
        <v>94.2</v>
      </c>
      <c r="BS263" s="32">
        <v>107.4</v>
      </c>
      <c r="BT263" s="32">
        <v>106.5</v>
      </c>
      <c r="BU263" s="32">
        <v>85.7</v>
      </c>
      <c r="BV263" s="32">
        <v>85.7</v>
      </c>
      <c r="BW263" s="32">
        <v>92.3</v>
      </c>
      <c r="BX263" s="32">
        <v>68.400000000000006</v>
      </c>
      <c r="BY263" s="32">
        <v>101.8</v>
      </c>
      <c r="BZ263" s="32">
        <v>104.3</v>
      </c>
      <c r="CA263" s="32">
        <v>100.6</v>
      </c>
      <c r="CB263" s="32">
        <v>102.6</v>
      </c>
      <c r="CC263" s="32">
        <v>98.8</v>
      </c>
      <c r="CD263" s="32">
        <v>96.7</v>
      </c>
      <c r="CE263" s="32">
        <v>100.2</v>
      </c>
      <c r="CF263" s="32">
        <v>98.1</v>
      </c>
      <c r="CG263" s="32">
        <v>99.6</v>
      </c>
      <c r="CH263" s="32">
        <v>100.3</v>
      </c>
      <c r="CI263" s="32">
        <v>108</v>
      </c>
      <c r="CJ263" s="32">
        <v>97.5</v>
      </c>
      <c r="CK263" s="32">
        <v>100.4</v>
      </c>
      <c r="CL263" s="32">
        <v>97.6</v>
      </c>
      <c r="CM263" s="32">
        <v>96.9</v>
      </c>
      <c r="CN263" s="32">
        <v>106.1</v>
      </c>
      <c r="CO263" s="32">
        <v>95.2</v>
      </c>
      <c r="CP263" s="32">
        <v>106.7</v>
      </c>
      <c r="CQ263" s="32">
        <v>84.5</v>
      </c>
      <c r="CR263" s="32">
        <v>99</v>
      </c>
      <c r="CS263" s="32">
        <v>97.9</v>
      </c>
      <c r="CT263" s="32">
        <v>100</v>
      </c>
      <c r="CU263" s="32">
        <v>98.1</v>
      </c>
      <c r="CV263" s="32">
        <v>100.8</v>
      </c>
      <c r="CW263" s="32">
        <v>90.7</v>
      </c>
      <c r="CX263" s="32">
        <v>97.9</v>
      </c>
      <c r="CY263" s="32">
        <v>97.9</v>
      </c>
      <c r="CZ263" s="32">
        <v>97.9</v>
      </c>
      <c r="DA263" s="32">
        <v>96.9</v>
      </c>
      <c r="DB263" s="32">
        <v>100.1</v>
      </c>
      <c r="DC263" s="32">
        <v>80.099999999999994</v>
      </c>
      <c r="DD263" s="32">
        <v>80.099999999999994</v>
      </c>
      <c r="DE263" s="32">
        <v>94.4</v>
      </c>
      <c r="DF263" s="32">
        <v>93.2</v>
      </c>
      <c r="DG263" s="32">
        <v>102.2</v>
      </c>
      <c r="DH263" s="32">
        <v>102.7</v>
      </c>
      <c r="DI263" s="32">
        <v>105.6</v>
      </c>
      <c r="DJ263" s="32">
        <v>106.6</v>
      </c>
      <c r="DK263" s="32">
        <v>106.6</v>
      </c>
      <c r="DL263" s="32">
        <v>95.4</v>
      </c>
      <c r="DM263" s="32">
        <v>98</v>
      </c>
      <c r="DN263" s="32">
        <v>97</v>
      </c>
      <c r="DO263" s="32">
        <v>98.1</v>
      </c>
      <c r="DP263" s="32">
        <v>104.3</v>
      </c>
      <c r="DQ263" s="32">
        <v>97.9</v>
      </c>
      <c r="DR263" s="32">
        <v>96.7</v>
      </c>
      <c r="DS263" s="32">
        <v>95.8</v>
      </c>
      <c r="DT263" s="32">
        <v>94.9</v>
      </c>
      <c r="DU263" s="32">
        <v>95.8</v>
      </c>
      <c r="DV263" s="32">
        <v>97.5</v>
      </c>
      <c r="DW263" s="32">
        <v>93.8</v>
      </c>
      <c r="DX263" s="32">
        <v>92.9</v>
      </c>
      <c r="DY263" s="32">
        <v>98.8</v>
      </c>
      <c r="DZ263" s="32">
        <v>100.2</v>
      </c>
      <c r="EA263" s="32">
        <v>100.2</v>
      </c>
      <c r="EB263" s="32">
        <v>97.9</v>
      </c>
      <c r="EC263" s="32">
        <v>103.2</v>
      </c>
      <c r="ED263" s="32">
        <v>91.2</v>
      </c>
      <c r="EE263" s="32">
        <v>85.9</v>
      </c>
      <c r="EF263" s="32">
        <v>104.5</v>
      </c>
      <c r="EG263" s="32">
        <v>99.8</v>
      </c>
      <c r="EH263" s="32">
        <v>98.3</v>
      </c>
      <c r="EI263" s="32">
        <v>101.2</v>
      </c>
      <c r="EJ263" s="32">
        <v>103</v>
      </c>
      <c r="EK263" s="32">
        <v>98.7</v>
      </c>
      <c r="EL263" s="32">
        <v>102.8</v>
      </c>
      <c r="EM263" s="32">
        <v>92.8</v>
      </c>
      <c r="EN263" s="32">
        <v>101.5</v>
      </c>
      <c r="EO263" s="32">
        <v>97.5</v>
      </c>
      <c r="EP263" s="32">
        <v>95.5</v>
      </c>
      <c r="EQ263" s="32">
        <v>95.5</v>
      </c>
      <c r="ER263" s="32">
        <v>94.6</v>
      </c>
      <c r="ES263" s="32">
        <v>94.6</v>
      </c>
      <c r="ET263" s="32">
        <v>101.3</v>
      </c>
      <c r="EU263" s="32">
        <v>100.9</v>
      </c>
      <c r="EV263" s="32">
        <v>100.9</v>
      </c>
      <c r="EW263" s="32">
        <v>102.3</v>
      </c>
      <c r="EX263" s="32">
        <v>100.5</v>
      </c>
      <c r="EY263" s="32">
        <v>103.7</v>
      </c>
      <c r="EZ263" s="32">
        <v>99.2</v>
      </c>
      <c r="FA263" s="32">
        <v>96.8</v>
      </c>
      <c r="FB263" s="32">
        <v>97.1</v>
      </c>
      <c r="FC263" s="32">
        <v>91.3</v>
      </c>
      <c r="FD263" s="32">
        <v>106</v>
      </c>
      <c r="FE263" s="32">
        <v>102.1</v>
      </c>
      <c r="FF263" s="32">
        <v>96.5</v>
      </c>
      <c r="FG263" s="32">
        <v>102</v>
      </c>
      <c r="FH263" s="32">
        <v>96.9</v>
      </c>
      <c r="FI263" s="32">
        <v>128.69999999999999</v>
      </c>
      <c r="FJ263" s="32">
        <v>101</v>
      </c>
      <c r="FK263" s="32">
        <v>91.8</v>
      </c>
      <c r="FL263" s="32">
        <v>91.8</v>
      </c>
    </row>
    <row r="264" spans="1:168" x14ac:dyDescent="0.2">
      <c r="A264" s="34" t="s">
        <v>1244</v>
      </c>
      <c r="B264" s="32">
        <v>98.3</v>
      </c>
      <c r="C264" s="32">
        <v>83.7</v>
      </c>
      <c r="D264" s="32">
        <v>99.1</v>
      </c>
      <c r="E264" s="32">
        <v>98.7</v>
      </c>
      <c r="F264" s="32">
        <v>95</v>
      </c>
      <c r="G264" s="32">
        <v>116.9</v>
      </c>
      <c r="H264" s="32">
        <v>94.6</v>
      </c>
      <c r="I264" s="32">
        <v>96</v>
      </c>
      <c r="J264" s="32">
        <v>100.3</v>
      </c>
      <c r="K264" s="32">
        <v>102.9</v>
      </c>
      <c r="L264" s="32">
        <v>101.2</v>
      </c>
      <c r="M264" s="32">
        <v>90.6</v>
      </c>
      <c r="N264" s="32">
        <v>95.1</v>
      </c>
      <c r="O264" s="32">
        <v>56.8</v>
      </c>
      <c r="P264" s="32">
        <v>118.9</v>
      </c>
      <c r="Q264" s="32">
        <v>120.6</v>
      </c>
      <c r="R264" s="32">
        <v>106.3</v>
      </c>
      <c r="S264" s="32">
        <v>103.2</v>
      </c>
      <c r="T264" s="32">
        <v>92.4</v>
      </c>
      <c r="U264" s="32">
        <v>120.6</v>
      </c>
      <c r="V264" s="32">
        <v>104.2</v>
      </c>
      <c r="W264" s="32">
        <v>90.7</v>
      </c>
      <c r="X264" s="32">
        <v>84.9</v>
      </c>
      <c r="Y264" s="32">
        <v>102.9</v>
      </c>
      <c r="Z264" s="32">
        <v>82.4</v>
      </c>
      <c r="AA264" s="32">
        <v>100.3</v>
      </c>
      <c r="AB264" s="32">
        <v>98.1</v>
      </c>
      <c r="AC264" s="32">
        <v>92</v>
      </c>
      <c r="AD264" s="32">
        <v>109.6</v>
      </c>
      <c r="AE264" s="32">
        <v>124</v>
      </c>
      <c r="AF264" s="32">
        <v>124</v>
      </c>
      <c r="AG264" s="32">
        <v>88.6</v>
      </c>
      <c r="AH264" s="32">
        <v>88.6</v>
      </c>
      <c r="AI264" s="32">
        <v>91.7</v>
      </c>
      <c r="AJ264" s="32">
        <v>85.8</v>
      </c>
      <c r="AK264" s="32">
        <v>113.2</v>
      </c>
      <c r="AL264" s="32">
        <v>95.9</v>
      </c>
      <c r="AM264" s="32">
        <v>88.4</v>
      </c>
      <c r="AN264" s="32">
        <v>77.8</v>
      </c>
      <c r="AO264" s="32">
        <v>87.2</v>
      </c>
      <c r="AP264" s="32">
        <v>87.2</v>
      </c>
      <c r="AQ264" s="32">
        <v>100.9</v>
      </c>
      <c r="AR264" s="32">
        <v>99.5</v>
      </c>
      <c r="AS264" s="32">
        <v>102.9</v>
      </c>
      <c r="AT264" s="32">
        <v>100.6</v>
      </c>
      <c r="AU264" s="32">
        <v>104.8</v>
      </c>
      <c r="AV264" s="32">
        <v>107.4</v>
      </c>
      <c r="AW264" s="32">
        <v>141.1</v>
      </c>
      <c r="AX264" s="32">
        <v>87</v>
      </c>
      <c r="AY264" s="32">
        <v>246.3</v>
      </c>
      <c r="AZ264" s="32">
        <v>100.9</v>
      </c>
      <c r="BA264" s="32">
        <v>97.6</v>
      </c>
      <c r="BB264" s="32">
        <v>97.6</v>
      </c>
      <c r="BC264" s="32">
        <v>84.4</v>
      </c>
      <c r="BD264" s="32">
        <v>84.4</v>
      </c>
      <c r="BE264" s="32">
        <v>108.5</v>
      </c>
      <c r="BF264" s="32">
        <v>108.5</v>
      </c>
      <c r="BG264" s="32">
        <v>105</v>
      </c>
      <c r="BH264" s="32">
        <v>114.7</v>
      </c>
      <c r="BI264" s="32">
        <v>93.5</v>
      </c>
      <c r="BJ264" s="32">
        <v>82.2</v>
      </c>
      <c r="BK264" s="32">
        <v>97.2</v>
      </c>
      <c r="BL264" s="32">
        <v>82.6</v>
      </c>
      <c r="BM264" s="32">
        <v>100.3</v>
      </c>
      <c r="BN264" s="32">
        <v>100</v>
      </c>
      <c r="BO264" s="32">
        <v>101.4</v>
      </c>
      <c r="BP264" s="32">
        <v>98.9</v>
      </c>
      <c r="BQ264" s="32">
        <v>100.8</v>
      </c>
      <c r="BR264" s="32">
        <v>79.400000000000006</v>
      </c>
      <c r="BS264" s="32">
        <v>106.7</v>
      </c>
      <c r="BT264" s="32">
        <v>102</v>
      </c>
      <c r="BU264" s="32">
        <v>87.7</v>
      </c>
      <c r="BV264" s="32">
        <v>87.7</v>
      </c>
      <c r="BW264" s="32">
        <v>93.2</v>
      </c>
      <c r="BX264" s="32">
        <v>72.8</v>
      </c>
      <c r="BY264" s="32">
        <v>101.5</v>
      </c>
      <c r="BZ264" s="32">
        <v>106.7</v>
      </c>
      <c r="CA264" s="32">
        <v>98.8</v>
      </c>
      <c r="CB264" s="32">
        <v>102.7</v>
      </c>
      <c r="CC264" s="32">
        <v>95.2</v>
      </c>
      <c r="CD264" s="32">
        <v>91.9</v>
      </c>
      <c r="CE264" s="32">
        <v>100.1</v>
      </c>
      <c r="CF264" s="32">
        <v>98.2</v>
      </c>
      <c r="CG264" s="32">
        <v>99.7</v>
      </c>
      <c r="CH264" s="32">
        <v>100.6</v>
      </c>
      <c r="CI264" s="32">
        <v>106.1</v>
      </c>
      <c r="CJ264" s="32">
        <v>98.1</v>
      </c>
      <c r="CK264" s="32">
        <v>101</v>
      </c>
      <c r="CL264" s="32">
        <v>97.7</v>
      </c>
      <c r="CM264" s="32">
        <v>97.6</v>
      </c>
      <c r="CN264" s="32">
        <v>102.5</v>
      </c>
      <c r="CO264" s="32">
        <v>96.7</v>
      </c>
      <c r="CP264" s="32">
        <v>106.1</v>
      </c>
      <c r="CQ264" s="32">
        <v>85.5</v>
      </c>
      <c r="CR264" s="32">
        <v>98.6</v>
      </c>
      <c r="CS264" s="32">
        <v>97.2</v>
      </c>
      <c r="CT264" s="32">
        <v>99.3</v>
      </c>
      <c r="CU264" s="32">
        <v>98.7</v>
      </c>
      <c r="CV264" s="32">
        <v>99.5</v>
      </c>
      <c r="CW264" s="32">
        <v>90.7</v>
      </c>
      <c r="CX264" s="32">
        <v>98.1</v>
      </c>
      <c r="CY264" s="32">
        <v>96.1</v>
      </c>
      <c r="CZ264" s="32">
        <v>99.3</v>
      </c>
      <c r="DA264" s="32">
        <v>99.7</v>
      </c>
      <c r="DB264" s="32">
        <v>98.5</v>
      </c>
      <c r="DC264" s="32">
        <v>82.4</v>
      </c>
      <c r="DD264" s="32">
        <v>82.4</v>
      </c>
      <c r="DE264" s="32">
        <v>92.3</v>
      </c>
      <c r="DF264" s="32">
        <v>90.6</v>
      </c>
      <c r="DG264" s="32">
        <v>102.8</v>
      </c>
      <c r="DH264" s="32">
        <v>102.3</v>
      </c>
      <c r="DI264" s="32">
        <v>105.9</v>
      </c>
      <c r="DJ264" s="32">
        <v>105.6</v>
      </c>
      <c r="DK264" s="32">
        <v>105.6</v>
      </c>
      <c r="DL264" s="32">
        <v>94.3</v>
      </c>
      <c r="DM264" s="32">
        <v>98.2</v>
      </c>
      <c r="DN264" s="32">
        <v>97.3</v>
      </c>
      <c r="DO264" s="32">
        <v>98.5</v>
      </c>
      <c r="DP264" s="32">
        <v>100.6</v>
      </c>
      <c r="DQ264" s="32">
        <v>97.9</v>
      </c>
      <c r="DR264" s="32">
        <v>97.2</v>
      </c>
      <c r="DS264" s="32">
        <v>96.5</v>
      </c>
      <c r="DT264" s="32">
        <v>95.1</v>
      </c>
      <c r="DU264" s="32">
        <v>95.9</v>
      </c>
      <c r="DV264" s="32">
        <v>96.9</v>
      </c>
      <c r="DW264" s="32">
        <v>94.7</v>
      </c>
      <c r="DX264" s="32">
        <v>93.3</v>
      </c>
      <c r="DY264" s="32">
        <v>101.3</v>
      </c>
      <c r="DZ264" s="32">
        <v>103.3</v>
      </c>
      <c r="EA264" s="32">
        <v>103.3</v>
      </c>
      <c r="EB264" s="32">
        <v>96.7</v>
      </c>
      <c r="EC264" s="32">
        <v>100.4</v>
      </c>
      <c r="ED264" s="32">
        <v>92.1</v>
      </c>
      <c r="EE264" s="32">
        <v>87.2</v>
      </c>
      <c r="EF264" s="32">
        <v>104.4</v>
      </c>
      <c r="EG264" s="32">
        <v>98.8</v>
      </c>
      <c r="EH264" s="32">
        <v>96.4</v>
      </c>
      <c r="EI264" s="32">
        <v>100.2</v>
      </c>
      <c r="EJ264" s="32">
        <v>101.3</v>
      </c>
      <c r="EK264" s="32">
        <v>98.6</v>
      </c>
      <c r="EL264" s="32">
        <v>103.3</v>
      </c>
      <c r="EM264" s="32">
        <v>92.6</v>
      </c>
      <c r="EN264" s="32">
        <v>101.3</v>
      </c>
      <c r="EO264" s="32">
        <v>98</v>
      </c>
      <c r="EP264" s="32">
        <v>96.3</v>
      </c>
      <c r="EQ264" s="32">
        <v>96.3</v>
      </c>
      <c r="ER264" s="32">
        <v>94.8</v>
      </c>
      <c r="ES264" s="32">
        <v>94.8</v>
      </c>
      <c r="ET264" s="32">
        <v>101.7</v>
      </c>
      <c r="EU264" s="32">
        <v>101.4</v>
      </c>
      <c r="EV264" s="32">
        <v>101.4</v>
      </c>
      <c r="EW264" s="32">
        <v>102.5</v>
      </c>
      <c r="EX264" s="32">
        <v>101.1</v>
      </c>
      <c r="EY264" s="32">
        <v>103.6</v>
      </c>
      <c r="EZ264" s="32">
        <v>98.4</v>
      </c>
      <c r="FA264" s="32">
        <v>95.8</v>
      </c>
      <c r="FB264" s="32">
        <v>98.6</v>
      </c>
      <c r="FC264" s="32">
        <v>93.4</v>
      </c>
      <c r="FD264" s="32">
        <v>106.8</v>
      </c>
      <c r="FE264" s="32">
        <v>103.1</v>
      </c>
      <c r="FF264" s="32">
        <v>92.4</v>
      </c>
      <c r="FG264" s="32">
        <v>101.2</v>
      </c>
      <c r="FH264" s="32">
        <v>99.3</v>
      </c>
      <c r="FI264" s="32">
        <v>113.9</v>
      </c>
      <c r="FJ264" s="32">
        <v>100.5</v>
      </c>
      <c r="FK264" s="32">
        <v>92.6</v>
      </c>
      <c r="FL264" s="32">
        <v>92.6</v>
      </c>
    </row>
    <row r="265" spans="1:168" x14ac:dyDescent="0.2">
      <c r="A265" s="34" t="s">
        <v>1245</v>
      </c>
      <c r="B265" s="32">
        <v>98.5</v>
      </c>
      <c r="C265" s="32">
        <v>83.7</v>
      </c>
      <c r="D265" s="32">
        <v>98.9</v>
      </c>
      <c r="E265" s="32">
        <v>98.7</v>
      </c>
      <c r="F265" s="32">
        <v>102.4</v>
      </c>
      <c r="G265" s="32">
        <v>128.4</v>
      </c>
      <c r="H265" s="32">
        <v>103.1</v>
      </c>
      <c r="I265" s="32">
        <v>97.4</v>
      </c>
      <c r="J265" s="32">
        <v>99.7</v>
      </c>
      <c r="K265" s="32">
        <v>102.1</v>
      </c>
      <c r="L265" s="32">
        <v>101.5</v>
      </c>
      <c r="M265" s="32">
        <v>89.3</v>
      </c>
      <c r="N265" s="32">
        <v>96.7</v>
      </c>
      <c r="O265" s="32">
        <v>63.5</v>
      </c>
      <c r="P265" s="32">
        <v>123.1</v>
      </c>
      <c r="Q265" s="32">
        <v>123.8</v>
      </c>
      <c r="R265" s="32">
        <v>105</v>
      </c>
      <c r="S265" s="32">
        <v>103</v>
      </c>
      <c r="T265" s="32">
        <v>91.4</v>
      </c>
      <c r="U265" s="32">
        <v>116.9</v>
      </c>
      <c r="V265" s="32">
        <v>99.3</v>
      </c>
      <c r="W265" s="32">
        <v>89.6</v>
      </c>
      <c r="X265" s="32">
        <v>87</v>
      </c>
      <c r="Y265" s="32">
        <v>95.5</v>
      </c>
      <c r="Z265" s="32">
        <v>81.3</v>
      </c>
      <c r="AA265" s="32">
        <v>97.7</v>
      </c>
      <c r="AB265" s="32">
        <v>98.7</v>
      </c>
      <c r="AC265" s="32">
        <v>88.7</v>
      </c>
      <c r="AD265" s="32">
        <v>105.4</v>
      </c>
      <c r="AE265" s="32">
        <v>130</v>
      </c>
      <c r="AF265" s="32">
        <v>130</v>
      </c>
      <c r="AG265" s="32">
        <v>87.3</v>
      </c>
      <c r="AH265" s="32">
        <v>87.3</v>
      </c>
      <c r="AI265" s="32">
        <v>98.6</v>
      </c>
      <c r="AJ265" s="32">
        <v>85.6</v>
      </c>
      <c r="AK265" s="32">
        <v>107.8</v>
      </c>
      <c r="AL265" s="32">
        <v>95.8</v>
      </c>
      <c r="AM265" s="32">
        <v>84</v>
      </c>
      <c r="AN265" s="32">
        <v>78</v>
      </c>
      <c r="AO265" s="32">
        <v>93.5</v>
      </c>
      <c r="AP265" s="32">
        <v>93.5</v>
      </c>
      <c r="AQ265" s="32">
        <v>99.7</v>
      </c>
      <c r="AR265" s="32">
        <v>97.4</v>
      </c>
      <c r="AS265" s="32">
        <v>102.7</v>
      </c>
      <c r="AT265" s="32">
        <v>99.6</v>
      </c>
      <c r="AU265" s="32">
        <v>105.2</v>
      </c>
      <c r="AV265" s="32">
        <v>105.7</v>
      </c>
      <c r="AW265" s="32">
        <v>132.1</v>
      </c>
      <c r="AX265" s="32">
        <v>80.3</v>
      </c>
      <c r="AY265" s="32">
        <v>232.1</v>
      </c>
      <c r="AZ265" s="32">
        <v>100.6</v>
      </c>
      <c r="BA265" s="32">
        <v>98.5</v>
      </c>
      <c r="BB265" s="32">
        <v>98.5</v>
      </c>
      <c r="BC265" s="32">
        <v>85.1</v>
      </c>
      <c r="BD265" s="32">
        <v>85.1</v>
      </c>
      <c r="BE265" s="32">
        <v>108.5</v>
      </c>
      <c r="BF265" s="32">
        <v>108.5</v>
      </c>
      <c r="BG265" s="32">
        <v>102.5</v>
      </c>
      <c r="BH265" s="32">
        <v>109.5</v>
      </c>
      <c r="BI265" s="32">
        <v>94.2</v>
      </c>
      <c r="BJ265" s="32">
        <v>82.1</v>
      </c>
      <c r="BK265" s="32">
        <v>97.8</v>
      </c>
      <c r="BL265" s="32">
        <v>87.5</v>
      </c>
      <c r="BM265" s="32">
        <v>98.7</v>
      </c>
      <c r="BN265" s="32">
        <v>96.9</v>
      </c>
      <c r="BO265" s="32">
        <v>96</v>
      </c>
      <c r="BP265" s="32">
        <v>97.7</v>
      </c>
      <c r="BQ265" s="32">
        <v>100.9</v>
      </c>
      <c r="BR265" s="32">
        <v>82.2</v>
      </c>
      <c r="BS265" s="32">
        <v>108.6</v>
      </c>
      <c r="BT265" s="32">
        <v>101.1</v>
      </c>
      <c r="BU265" s="32">
        <v>87.7</v>
      </c>
      <c r="BV265" s="32">
        <v>87.7</v>
      </c>
      <c r="BW265" s="32">
        <v>92.7</v>
      </c>
      <c r="BX265" s="32">
        <v>73.8</v>
      </c>
      <c r="BY265" s="32">
        <v>101.3</v>
      </c>
      <c r="BZ265" s="32">
        <v>103.7</v>
      </c>
      <c r="CA265" s="32">
        <v>100.2</v>
      </c>
      <c r="CB265" s="32">
        <v>103.6</v>
      </c>
      <c r="CC265" s="32">
        <v>96.9</v>
      </c>
      <c r="CD265" s="32">
        <v>95.5</v>
      </c>
      <c r="CE265" s="32">
        <v>99.1</v>
      </c>
      <c r="CF265" s="32">
        <v>98.5</v>
      </c>
      <c r="CG265" s="32">
        <v>99.5</v>
      </c>
      <c r="CH265" s="32">
        <v>100.1</v>
      </c>
      <c r="CI265" s="32">
        <v>105.9</v>
      </c>
      <c r="CJ265" s="32">
        <v>96.6</v>
      </c>
      <c r="CK265" s="32">
        <v>101.1</v>
      </c>
      <c r="CL265" s="32">
        <v>98.1</v>
      </c>
      <c r="CM265" s="32">
        <v>98.3</v>
      </c>
      <c r="CN265" s="32">
        <v>102</v>
      </c>
      <c r="CO265" s="32">
        <v>97.5</v>
      </c>
      <c r="CP265" s="32">
        <v>105</v>
      </c>
      <c r="CQ265" s="32">
        <v>88.5</v>
      </c>
      <c r="CR265" s="32">
        <v>98.1</v>
      </c>
      <c r="CS265" s="32">
        <v>98.1</v>
      </c>
      <c r="CT265" s="32">
        <v>99.4</v>
      </c>
      <c r="CU265" s="32">
        <v>97.3</v>
      </c>
      <c r="CV265" s="32">
        <v>100.3</v>
      </c>
      <c r="CW265" s="32">
        <v>93.5</v>
      </c>
      <c r="CX265" s="32">
        <v>100.7</v>
      </c>
      <c r="CY265" s="32">
        <v>100.6</v>
      </c>
      <c r="CZ265" s="32">
        <v>100.8</v>
      </c>
      <c r="DA265" s="32">
        <v>102.9</v>
      </c>
      <c r="DB265" s="32">
        <v>96.7</v>
      </c>
      <c r="DC265" s="32">
        <v>84.4</v>
      </c>
      <c r="DD265" s="32">
        <v>84.4</v>
      </c>
      <c r="DE265" s="32">
        <v>95.8</v>
      </c>
      <c r="DF265" s="32">
        <v>94.7</v>
      </c>
      <c r="DG265" s="32">
        <v>102.5</v>
      </c>
      <c r="DH265" s="32">
        <v>101.4</v>
      </c>
      <c r="DI265" s="32">
        <v>105.4</v>
      </c>
      <c r="DJ265" s="32">
        <v>104.6</v>
      </c>
      <c r="DK265" s="32">
        <v>104.6</v>
      </c>
      <c r="DL265" s="32">
        <v>93</v>
      </c>
      <c r="DM265" s="32">
        <v>98.4</v>
      </c>
      <c r="DN265" s="32">
        <v>97.3</v>
      </c>
      <c r="DO265" s="32">
        <v>98.9</v>
      </c>
      <c r="DP265" s="32">
        <v>99.5</v>
      </c>
      <c r="DQ265" s="32">
        <v>97.7</v>
      </c>
      <c r="DR265" s="32">
        <v>97.2</v>
      </c>
      <c r="DS265" s="32">
        <v>96.5</v>
      </c>
      <c r="DT265" s="32">
        <v>95.3</v>
      </c>
      <c r="DU265" s="32">
        <v>95.9</v>
      </c>
      <c r="DV265" s="32">
        <v>94.5</v>
      </c>
      <c r="DW265" s="32">
        <v>97.5</v>
      </c>
      <c r="DX265" s="32">
        <v>94.1</v>
      </c>
      <c r="DY265" s="32">
        <v>100.6</v>
      </c>
      <c r="DZ265" s="32">
        <v>101.9</v>
      </c>
      <c r="EA265" s="32">
        <v>101.9</v>
      </c>
      <c r="EB265" s="32">
        <v>97.2</v>
      </c>
      <c r="EC265" s="32">
        <v>100.6</v>
      </c>
      <c r="ED265" s="32">
        <v>92.9</v>
      </c>
      <c r="EE265" s="32">
        <v>87.7</v>
      </c>
      <c r="EF265" s="32">
        <v>105.8</v>
      </c>
      <c r="EG265" s="32">
        <v>98.5</v>
      </c>
      <c r="EH265" s="32">
        <v>97.3</v>
      </c>
      <c r="EI265" s="32">
        <v>98.9</v>
      </c>
      <c r="EJ265" s="32">
        <v>97.5</v>
      </c>
      <c r="EK265" s="32">
        <v>99.3</v>
      </c>
      <c r="EL265" s="32">
        <v>100.1</v>
      </c>
      <c r="EM265" s="32">
        <v>93.8</v>
      </c>
      <c r="EN265" s="32">
        <v>102.4</v>
      </c>
      <c r="EO265" s="32">
        <v>98.4</v>
      </c>
      <c r="EP265" s="32">
        <v>96.9</v>
      </c>
      <c r="EQ265" s="32">
        <v>96.9</v>
      </c>
      <c r="ER265" s="32">
        <v>95.5</v>
      </c>
      <c r="ES265" s="32">
        <v>95.5</v>
      </c>
      <c r="ET265" s="32">
        <v>101.6</v>
      </c>
      <c r="EU265" s="32">
        <v>101.1</v>
      </c>
      <c r="EV265" s="32">
        <v>101.1</v>
      </c>
      <c r="EW265" s="32">
        <v>102.7</v>
      </c>
      <c r="EX265" s="32">
        <v>101.4</v>
      </c>
      <c r="EY265" s="32">
        <v>103.8</v>
      </c>
      <c r="EZ265" s="32">
        <v>99.5</v>
      </c>
      <c r="FA265" s="32">
        <v>96.5</v>
      </c>
      <c r="FB265" s="32">
        <v>99.4</v>
      </c>
      <c r="FC265" s="32">
        <v>95.8</v>
      </c>
      <c r="FD265" s="32">
        <v>104.9</v>
      </c>
      <c r="FE265" s="32">
        <v>102.7</v>
      </c>
      <c r="FF265" s="32">
        <v>92.8</v>
      </c>
      <c r="FG265" s="32">
        <v>102.6</v>
      </c>
      <c r="FH265" s="32">
        <v>100.8</v>
      </c>
      <c r="FI265" s="32">
        <v>120.6</v>
      </c>
      <c r="FJ265" s="32">
        <v>101.2</v>
      </c>
      <c r="FK265" s="32">
        <v>94</v>
      </c>
      <c r="FL265" s="32">
        <v>94</v>
      </c>
    </row>
    <row r="266" spans="1:168" x14ac:dyDescent="0.2">
      <c r="A266" s="34" t="s">
        <v>1246</v>
      </c>
      <c r="B266" s="32">
        <v>98.6</v>
      </c>
      <c r="C266" s="32">
        <v>83.7</v>
      </c>
      <c r="D266" s="32">
        <v>98.8</v>
      </c>
      <c r="E266" s="32">
        <v>98.4</v>
      </c>
      <c r="F266" s="32">
        <v>98.5</v>
      </c>
      <c r="G266" s="32">
        <v>147.9</v>
      </c>
      <c r="H266" s="32">
        <v>98.7</v>
      </c>
      <c r="I266" s="32">
        <v>95.1</v>
      </c>
      <c r="J266" s="32">
        <v>99.6</v>
      </c>
      <c r="K266" s="32">
        <v>101.3</v>
      </c>
      <c r="L266" s="32">
        <v>101.1</v>
      </c>
      <c r="M266" s="32">
        <v>90.5</v>
      </c>
      <c r="N266" s="32">
        <v>96.2</v>
      </c>
      <c r="O266" s="32">
        <v>64.8</v>
      </c>
      <c r="P266" s="32">
        <v>120.4</v>
      </c>
      <c r="Q266" s="32">
        <v>118.8</v>
      </c>
      <c r="R266" s="32">
        <v>104.1</v>
      </c>
      <c r="S266" s="32">
        <v>103.3</v>
      </c>
      <c r="T266" s="32">
        <v>92.5</v>
      </c>
      <c r="U266" s="32">
        <v>110.9</v>
      </c>
      <c r="V266" s="32">
        <v>97.7</v>
      </c>
      <c r="W266" s="32">
        <v>89.4</v>
      </c>
      <c r="X266" s="32">
        <v>87.4</v>
      </c>
      <c r="Y266" s="32">
        <v>94</v>
      </c>
      <c r="Z266" s="32">
        <v>83.4</v>
      </c>
      <c r="AA266" s="32">
        <v>99.3</v>
      </c>
      <c r="AB266" s="32">
        <v>99.5</v>
      </c>
      <c r="AC266" s="32">
        <v>92.3</v>
      </c>
      <c r="AD266" s="32">
        <v>105.5</v>
      </c>
      <c r="AE266" s="32">
        <v>122.8</v>
      </c>
      <c r="AF266" s="32">
        <v>122.8</v>
      </c>
      <c r="AG266" s="32">
        <v>92.3</v>
      </c>
      <c r="AH266" s="32">
        <v>92.3</v>
      </c>
      <c r="AI266" s="32">
        <v>99.8</v>
      </c>
      <c r="AJ266" s="32">
        <v>91.9</v>
      </c>
      <c r="AK266" s="32">
        <v>106.6</v>
      </c>
      <c r="AL266" s="32">
        <v>97.5</v>
      </c>
      <c r="AM266" s="32">
        <v>92.3</v>
      </c>
      <c r="AN266" s="32">
        <v>80.900000000000006</v>
      </c>
      <c r="AO266" s="32">
        <v>95.3</v>
      </c>
      <c r="AP266" s="32">
        <v>95.3</v>
      </c>
      <c r="AQ266" s="32">
        <v>101</v>
      </c>
      <c r="AR266" s="32">
        <v>99.6</v>
      </c>
      <c r="AS266" s="32">
        <v>102.9</v>
      </c>
      <c r="AT266" s="32">
        <v>101.2</v>
      </c>
      <c r="AU266" s="32">
        <v>104.3</v>
      </c>
      <c r="AV266" s="32">
        <v>103.7</v>
      </c>
      <c r="AW266" s="32">
        <v>127.4</v>
      </c>
      <c r="AX266" s="32">
        <v>82.3</v>
      </c>
      <c r="AY266" s="32">
        <v>215.2</v>
      </c>
      <c r="AZ266" s="32">
        <v>99.1</v>
      </c>
      <c r="BA266" s="32">
        <v>93.2</v>
      </c>
      <c r="BB266" s="32">
        <v>93.2</v>
      </c>
      <c r="BC266" s="32">
        <v>85.4</v>
      </c>
      <c r="BD266" s="32">
        <v>85.4</v>
      </c>
      <c r="BE266" s="32">
        <v>107.3</v>
      </c>
      <c r="BF266" s="32">
        <v>107.3</v>
      </c>
      <c r="BG266" s="32">
        <v>100.2</v>
      </c>
      <c r="BH266" s="32">
        <v>105.8</v>
      </c>
      <c r="BI266" s="32">
        <v>93.7</v>
      </c>
      <c r="BJ266" s="32">
        <v>82.8</v>
      </c>
      <c r="BK266" s="32">
        <v>97.4</v>
      </c>
      <c r="BL266" s="32">
        <v>82</v>
      </c>
      <c r="BM266" s="32">
        <v>103.2</v>
      </c>
      <c r="BN266" s="32">
        <v>99.4</v>
      </c>
      <c r="BO266" s="32">
        <v>101.4</v>
      </c>
      <c r="BP266" s="32">
        <v>97.9</v>
      </c>
      <c r="BQ266" s="32">
        <v>107.5</v>
      </c>
      <c r="BR266" s="32">
        <v>79.2</v>
      </c>
      <c r="BS266" s="32">
        <v>114.6</v>
      </c>
      <c r="BT266" s="32">
        <v>109.4</v>
      </c>
      <c r="BU266" s="32">
        <v>86.8</v>
      </c>
      <c r="BV266" s="32">
        <v>86.8</v>
      </c>
      <c r="BW266" s="32">
        <v>90.8</v>
      </c>
      <c r="BX266" s="32">
        <v>75.599999999999994</v>
      </c>
      <c r="BY266" s="32">
        <v>102</v>
      </c>
      <c r="BZ266" s="32">
        <v>103.2</v>
      </c>
      <c r="CA266" s="32">
        <v>101.4</v>
      </c>
      <c r="CB266" s="32">
        <v>106.3</v>
      </c>
      <c r="CC266" s="32">
        <v>96.7</v>
      </c>
      <c r="CD266" s="32">
        <v>96.4</v>
      </c>
      <c r="CE266" s="32">
        <v>99.7</v>
      </c>
      <c r="CF266" s="32">
        <v>98.7</v>
      </c>
      <c r="CG266" s="32">
        <v>99.9</v>
      </c>
      <c r="CH266" s="32">
        <v>100.6</v>
      </c>
      <c r="CI266" s="32">
        <v>107.6</v>
      </c>
      <c r="CJ266" s="32">
        <v>98.2</v>
      </c>
      <c r="CK266" s="32">
        <v>100.5</v>
      </c>
      <c r="CL266" s="32">
        <v>98.4</v>
      </c>
      <c r="CM266" s="32">
        <v>99.1</v>
      </c>
      <c r="CN266" s="32">
        <v>103.6</v>
      </c>
      <c r="CO266" s="32">
        <v>98.2</v>
      </c>
      <c r="CP266" s="32">
        <v>103.7</v>
      </c>
      <c r="CQ266" s="32">
        <v>91.5</v>
      </c>
      <c r="CR266" s="32">
        <v>97.2</v>
      </c>
      <c r="CS266" s="32">
        <v>98.9</v>
      </c>
      <c r="CT266" s="32">
        <v>99.4</v>
      </c>
      <c r="CU266" s="32">
        <v>96.4</v>
      </c>
      <c r="CV266" s="32">
        <v>100.7</v>
      </c>
      <c r="CW266" s="32">
        <v>94.6</v>
      </c>
      <c r="CX266" s="32">
        <v>100.7</v>
      </c>
      <c r="CY266" s="32">
        <v>98.6</v>
      </c>
      <c r="CZ266" s="32">
        <v>101.9</v>
      </c>
      <c r="DA266" s="32">
        <v>104.8</v>
      </c>
      <c r="DB266" s="32">
        <v>96.4</v>
      </c>
      <c r="DC266" s="32">
        <v>86.4</v>
      </c>
      <c r="DD266" s="32">
        <v>86.4</v>
      </c>
      <c r="DE266" s="32">
        <v>96.8</v>
      </c>
      <c r="DF266" s="32">
        <v>96.1</v>
      </c>
      <c r="DG266" s="32">
        <v>101.4</v>
      </c>
      <c r="DH266" s="32">
        <v>101</v>
      </c>
      <c r="DI266" s="32">
        <v>105.5</v>
      </c>
      <c r="DJ266" s="32">
        <v>103.4</v>
      </c>
      <c r="DK266" s="32">
        <v>103.4</v>
      </c>
      <c r="DL266" s="32">
        <v>92.2</v>
      </c>
      <c r="DM266" s="32">
        <v>98.7</v>
      </c>
      <c r="DN266" s="32">
        <v>98</v>
      </c>
      <c r="DO266" s="32">
        <v>98.9</v>
      </c>
      <c r="DP266" s="32">
        <v>99.9</v>
      </c>
      <c r="DQ266" s="32">
        <v>98.3</v>
      </c>
      <c r="DR266" s="32">
        <v>97.2</v>
      </c>
      <c r="DS266" s="32">
        <v>95.9</v>
      </c>
      <c r="DT266" s="32">
        <v>95.9</v>
      </c>
      <c r="DU266" s="32">
        <v>96.7</v>
      </c>
      <c r="DV266" s="32">
        <v>95.4</v>
      </c>
      <c r="DW266" s="32">
        <v>98.3</v>
      </c>
      <c r="DX266" s="32">
        <v>94.1</v>
      </c>
      <c r="DY266" s="32">
        <v>96.1</v>
      </c>
      <c r="DZ266" s="32">
        <v>108.2</v>
      </c>
      <c r="EA266" s="32">
        <v>108.2</v>
      </c>
      <c r="EB266" s="32">
        <v>96.3</v>
      </c>
      <c r="EC266" s="32">
        <v>98.6</v>
      </c>
      <c r="ED266" s="32">
        <v>93.5</v>
      </c>
      <c r="EE266" s="32">
        <v>88.6</v>
      </c>
      <c r="EF266" s="32">
        <v>105.7</v>
      </c>
      <c r="EG266" s="32">
        <v>99.8</v>
      </c>
      <c r="EH266" s="32">
        <v>99.2</v>
      </c>
      <c r="EI266" s="32">
        <v>100.3</v>
      </c>
      <c r="EJ266" s="32">
        <v>96.3</v>
      </c>
      <c r="EK266" s="32">
        <v>100.7</v>
      </c>
      <c r="EL266" s="32">
        <v>101.6</v>
      </c>
      <c r="EM266" s="32">
        <v>94.7</v>
      </c>
      <c r="EN266" s="32">
        <v>104.3</v>
      </c>
      <c r="EO266" s="32">
        <v>98.3</v>
      </c>
      <c r="EP266" s="32">
        <v>97.1</v>
      </c>
      <c r="EQ266" s="32">
        <v>97.1</v>
      </c>
      <c r="ER266" s="32">
        <v>95.3</v>
      </c>
      <c r="ES266" s="32">
        <v>95.3</v>
      </c>
      <c r="ET266" s="32">
        <v>101.6</v>
      </c>
      <c r="EU266" s="32">
        <v>101.2</v>
      </c>
      <c r="EV266" s="32">
        <v>101.2</v>
      </c>
      <c r="EW266" s="32">
        <v>102.6</v>
      </c>
      <c r="EX266" s="32">
        <v>101.1</v>
      </c>
      <c r="EY266" s="32">
        <v>103.8</v>
      </c>
      <c r="EZ266" s="32">
        <v>98.4</v>
      </c>
      <c r="FA266" s="32">
        <v>96.5</v>
      </c>
      <c r="FB266" s="32">
        <v>96.3</v>
      </c>
      <c r="FC266" s="32">
        <v>91.4</v>
      </c>
      <c r="FD266" s="32">
        <v>104.7</v>
      </c>
      <c r="FE266" s="32">
        <v>100.5</v>
      </c>
      <c r="FF266" s="32">
        <v>96.6</v>
      </c>
      <c r="FG266" s="32">
        <v>100.5</v>
      </c>
      <c r="FH266" s="32">
        <v>100.3</v>
      </c>
      <c r="FI266" s="32">
        <v>117.2</v>
      </c>
      <c r="FJ266" s="32">
        <v>98.6</v>
      </c>
      <c r="FK266" s="32">
        <v>94</v>
      </c>
      <c r="FL266" s="32">
        <v>94</v>
      </c>
    </row>
    <row r="267" spans="1:168" x14ac:dyDescent="0.2">
      <c r="A267" s="34" t="s">
        <v>1247</v>
      </c>
      <c r="B267" s="32">
        <v>98.5</v>
      </c>
      <c r="C267" s="32">
        <v>84</v>
      </c>
      <c r="D267" s="32">
        <v>98.2</v>
      </c>
      <c r="E267" s="32">
        <v>97.6</v>
      </c>
      <c r="F267" s="32">
        <v>100.3</v>
      </c>
      <c r="G267" s="32">
        <v>116.1</v>
      </c>
      <c r="H267" s="32">
        <v>101</v>
      </c>
      <c r="I267" s="32">
        <v>96.2</v>
      </c>
      <c r="J267" s="32">
        <v>98.2</v>
      </c>
      <c r="K267" s="32">
        <v>101.1</v>
      </c>
      <c r="L267" s="32">
        <v>100.8</v>
      </c>
      <c r="M267" s="32">
        <v>90.9</v>
      </c>
      <c r="N267" s="32">
        <v>95.3</v>
      </c>
      <c r="O267" s="32">
        <v>68.900000000000006</v>
      </c>
      <c r="P267" s="32">
        <v>122.8</v>
      </c>
      <c r="Q267" s="32">
        <v>122.1</v>
      </c>
      <c r="R267" s="32">
        <v>106.1</v>
      </c>
      <c r="S267" s="32">
        <v>101.2</v>
      </c>
      <c r="T267" s="32">
        <v>85.7</v>
      </c>
      <c r="U267" s="32">
        <v>112.1</v>
      </c>
      <c r="V267" s="32">
        <v>97.3</v>
      </c>
      <c r="W267" s="32">
        <v>87</v>
      </c>
      <c r="X267" s="32">
        <v>84.2</v>
      </c>
      <c r="Y267" s="32">
        <v>93.1</v>
      </c>
      <c r="Z267" s="32">
        <v>80.8</v>
      </c>
      <c r="AA267" s="32">
        <v>97.9</v>
      </c>
      <c r="AB267" s="32">
        <v>101.2</v>
      </c>
      <c r="AC267" s="32">
        <v>91.7</v>
      </c>
      <c r="AD267" s="32">
        <v>101.2</v>
      </c>
      <c r="AE267" s="32">
        <v>116</v>
      </c>
      <c r="AF267" s="32">
        <v>116</v>
      </c>
      <c r="AG267" s="32">
        <v>90.8</v>
      </c>
      <c r="AH267" s="32">
        <v>90.8</v>
      </c>
      <c r="AI267" s="32">
        <v>100</v>
      </c>
      <c r="AJ267" s="32">
        <v>90.4</v>
      </c>
      <c r="AK267" s="32">
        <v>108.4</v>
      </c>
      <c r="AL267" s="32">
        <v>96.6</v>
      </c>
      <c r="AM267" s="32">
        <v>87.7</v>
      </c>
      <c r="AN267" s="32">
        <v>82.2</v>
      </c>
      <c r="AO267" s="32">
        <v>94.4</v>
      </c>
      <c r="AP267" s="32">
        <v>94.4</v>
      </c>
      <c r="AQ267" s="32">
        <v>100</v>
      </c>
      <c r="AR267" s="32">
        <v>99</v>
      </c>
      <c r="AS267" s="32">
        <v>101.3</v>
      </c>
      <c r="AT267" s="32">
        <v>98.4</v>
      </c>
      <c r="AU267" s="32">
        <v>103.6</v>
      </c>
      <c r="AV267" s="32">
        <v>101.1</v>
      </c>
      <c r="AW267" s="32">
        <v>112.1</v>
      </c>
      <c r="AX267" s="32">
        <v>74.400000000000006</v>
      </c>
      <c r="AY267" s="32">
        <v>188</v>
      </c>
      <c r="AZ267" s="32">
        <v>99.1</v>
      </c>
      <c r="BA267" s="32">
        <v>95.6</v>
      </c>
      <c r="BB267" s="32">
        <v>95.6</v>
      </c>
      <c r="BC267" s="32">
        <v>87.9</v>
      </c>
      <c r="BD267" s="32">
        <v>87.9</v>
      </c>
      <c r="BE267" s="32">
        <v>106.2</v>
      </c>
      <c r="BF267" s="32">
        <v>106.2</v>
      </c>
      <c r="BG267" s="32">
        <v>96.1</v>
      </c>
      <c r="BH267" s="32">
        <v>98.7</v>
      </c>
      <c r="BI267" s="32">
        <v>93</v>
      </c>
      <c r="BJ267" s="32">
        <v>83.8</v>
      </c>
      <c r="BK267" s="32">
        <v>95.9</v>
      </c>
      <c r="BL267" s="32">
        <v>85.6</v>
      </c>
      <c r="BM267" s="32">
        <v>100.9</v>
      </c>
      <c r="BN267" s="32">
        <v>97.3</v>
      </c>
      <c r="BO267" s="32">
        <v>98.8</v>
      </c>
      <c r="BP267" s="32">
        <v>96.1</v>
      </c>
      <c r="BQ267" s="32">
        <v>105</v>
      </c>
      <c r="BR267" s="32">
        <v>82.9</v>
      </c>
      <c r="BS267" s="32">
        <v>111.4</v>
      </c>
      <c r="BT267" s="32">
        <v>106.2</v>
      </c>
      <c r="BU267" s="32">
        <v>88.7</v>
      </c>
      <c r="BV267" s="32">
        <v>88.7</v>
      </c>
      <c r="BW267" s="32">
        <v>90.4</v>
      </c>
      <c r="BX267" s="32">
        <v>82.9</v>
      </c>
      <c r="BY267" s="32">
        <v>101.2</v>
      </c>
      <c r="BZ267" s="32">
        <v>103.6</v>
      </c>
      <c r="CA267" s="32">
        <v>100</v>
      </c>
      <c r="CB267" s="32">
        <v>103.3</v>
      </c>
      <c r="CC267" s="32">
        <v>96.7</v>
      </c>
      <c r="CD267" s="32">
        <v>98.6</v>
      </c>
      <c r="CE267" s="32">
        <v>99.4</v>
      </c>
      <c r="CF267" s="32">
        <v>98.7</v>
      </c>
      <c r="CG267" s="32">
        <v>100</v>
      </c>
      <c r="CH267" s="32">
        <v>100.2</v>
      </c>
      <c r="CI267" s="32">
        <v>106.3</v>
      </c>
      <c r="CJ267" s="32">
        <v>98.6</v>
      </c>
      <c r="CK267" s="32">
        <v>99.9</v>
      </c>
      <c r="CL267" s="32">
        <v>99.4</v>
      </c>
      <c r="CM267" s="32">
        <v>98.4</v>
      </c>
      <c r="CN267" s="32">
        <v>102.2</v>
      </c>
      <c r="CO267" s="32">
        <v>97.6</v>
      </c>
      <c r="CP267" s="32">
        <v>102.3</v>
      </c>
      <c r="CQ267" s="32">
        <v>92.5</v>
      </c>
      <c r="CR267" s="32">
        <v>99.2</v>
      </c>
      <c r="CS267" s="32">
        <v>102.7</v>
      </c>
      <c r="CT267" s="32">
        <v>99.8</v>
      </c>
      <c r="CU267" s="32">
        <v>96.8</v>
      </c>
      <c r="CV267" s="32">
        <v>101</v>
      </c>
      <c r="CW267" s="32">
        <v>93.7</v>
      </c>
      <c r="CX267" s="32">
        <v>97.4</v>
      </c>
      <c r="CY267" s="32">
        <v>96.7</v>
      </c>
      <c r="CZ267" s="32">
        <v>97.8</v>
      </c>
      <c r="DA267" s="32">
        <v>99.8</v>
      </c>
      <c r="DB267" s="32">
        <v>93.8</v>
      </c>
      <c r="DC267" s="32">
        <v>85.9</v>
      </c>
      <c r="DD267" s="32">
        <v>85.9</v>
      </c>
      <c r="DE267" s="32">
        <v>96.7</v>
      </c>
      <c r="DF267" s="32">
        <v>95.7</v>
      </c>
      <c r="DG267" s="32">
        <v>102.2</v>
      </c>
      <c r="DH267" s="32">
        <v>100.6</v>
      </c>
      <c r="DI267" s="32">
        <v>104.5</v>
      </c>
      <c r="DJ267" s="32">
        <v>102.7</v>
      </c>
      <c r="DK267" s="32">
        <v>102.7</v>
      </c>
      <c r="DL267" s="32">
        <v>93.1</v>
      </c>
      <c r="DM267" s="32">
        <v>99.1</v>
      </c>
      <c r="DN267" s="32">
        <v>99</v>
      </c>
      <c r="DO267" s="32">
        <v>99</v>
      </c>
      <c r="DP267" s="32">
        <v>101.8</v>
      </c>
      <c r="DQ267" s="32">
        <v>98.1</v>
      </c>
      <c r="DR267" s="32">
        <v>97.3</v>
      </c>
      <c r="DS267" s="32">
        <v>97</v>
      </c>
      <c r="DT267" s="32">
        <v>96.7</v>
      </c>
      <c r="DU267" s="32">
        <v>98</v>
      </c>
      <c r="DV267" s="32">
        <v>96.9</v>
      </c>
      <c r="DW267" s="32">
        <v>99.4</v>
      </c>
      <c r="DX267" s="32">
        <v>93.7</v>
      </c>
      <c r="DY267" s="32">
        <v>98.3</v>
      </c>
      <c r="DZ267" s="32">
        <v>99.2</v>
      </c>
      <c r="EA267" s="32">
        <v>99.2</v>
      </c>
      <c r="EB267" s="32">
        <v>97.4</v>
      </c>
      <c r="EC267" s="32">
        <v>99.4</v>
      </c>
      <c r="ED267" s="32">
        <v>94.9</v>
      </c>
      <c r="EE267" s="32">
        <v>90.6</v>
      </c>
      <c r="EF267" s="32">
        <v>105.6</v>
      </c>
      <c r="EG267" s="32">
        <v>99.2</v>
      </c>
      <c r="EH267" s="32">
        <v>99</v>
      </c>
      <c r="EI267" s="32">
        <v>102.1</v>
      </c>
      <c r="EJ267" s="32">
        <v>97.1</v>
      </c>
      <c r="EK267" s="32">
        <v>97.7</v>
      </c>
      <c r="EL267" s="32">
        <v>98.6</v>
      </c>
      <c r="EM267" s="32">
        <v>93.7</v>
      </c>
      <c r="EN267" s="32">
        <v>99.9</v>
      </c>
      <c r="EO267" s="32">
        <v>98.6</v>
      </c>
      <c r="EP267" s="32">
        <v>97.4</v>
      </c>
      <c r="EQ267" s="32">
        <v>97.4</v>
      </c>
      <c r="ER267" s="32">
        <v>96.1</v>
      </c>
      <c r="ES267" s="32">
        <v>96.1</v>
      </c>
      <c r="ET267" s="32">
        <v>101.4</v>
      </c>
      <c r="EU267" s="32">
        <v>101.1</v>
      </c>
      <c r="EV267" s="32">
        <v>101.1</v>
      </c>
      <c r="EW267" s="32">
        <v>102.2</v>
      </c>
      <c r="EX267" s="32">
        <v>100.5</v>
      </c>
      <c r="EY267" s="32">
        <v>103.5</v>
      </c>
      <c r="EZ267" s="32">
        <v>98.9</v>
      </c>
      <c r="FA267" s="32">
        <v>96.3</v>
      </c>
      <c r="FB267" s="32">
        <v>95.9</v>
      </c>
      <c r="FC267" s="32">
        <v>93</v>
      </c>
      <c r="FD267" s="32">
        <v>102.4</v>
      </c>
      <c r="FE267" s="32">
        <v>97.6</v>
      </c>
      <c r="FF267" s="32">
        <v>96.8</v>
      </c>
      <c r="FG267" s="32">
        <v>100.9</v>
      </c>
      <c r="FH267" s="32">
        <v>99.5</v>
      </c>
      <c r="FI267" s="32">
        <v>111.1</v>
      </c>
      <c r="FJ267" s="32">
        <v>100.3</v>
      </c>
      <c r="FK267" s="32">
        <v>100.6</v>
      </c>
      <c r="FL267" s="32">
        <v>100.6</v>
      </c>
    </row>
    <row r="268" spans="1:168" x14ac:dyDescent="0.2">
      <c r="A268" s="34" t="s">
        <v>1248</v>
      </c>
      <c r="B268" s="32">
        <v>98.8</v>
      </c>
      <c r="C268" s="32">
        <v>85.8</v>
      </c>
      <c r="D268" s="32">
        <v>97.4</v>
      </c>
      <c r="E268" s="32">
        <v>96.5</v>
      </c>
      <c r="F268" s="32">
        <v>97.5</v>
      </c>
      <c r="G268" s="32">
        <v>130.69999999999999</v>
      </c>
      <c r="H268" s="32">
        <v>98.2</v>
      </c>
      <c r="I268" s="32">
        <v>92.6</v>
      </c>
      <c r="J268" s="32">
        <v>97.3</v>
      </c>
      <c r="K268" s="32">
        <v>100.1</v>
      </c>
      <c r="L268" s="32">
        <v>100.7</v>
      </c>
      <c r="M268" s="32">
        <v>92</v>
      </c>
      <c r="N268" s="32">
        <v>91.8</v>
      </c>
      <c r="O268" s="32">
        <v>75.099999999999994</v>
      </c>
      <c r="P268" s="32">
        <v>123.5</v>
      </c>
      <c r="Q268" s="32">
        <v>116.9</v>
      </c>
      <c r="R268" s="32">
        <v>103.9</v>
      </c>
      <c r="S268" s="32">
        <v>101.6</v>
      </c>
      <c r="T268" s="32">
        <v>92.4</v>
      </c>
      <c r="U268" s="32">
        <v>105.5</v>
      </c>
      <c r="V268" s="32">
        <v>95.2</v>
      </c>
      <c r="W268" s="32">
        <v>92</v>
      </c>
      <c r="X268" s="32">
        <v>88</v>
      </c>
      <c r="Y268" s="32">
        <v>99.9</v>
      </c>
      <c r="Z268" s="32">
        <v>88.7</v>
      </c>
      <c r="AA268" s="32">
        <v>100.3</v>
      </c>
      <c r="AB268" s="32">
        <v>101</v>
      </c>
      <c r="AC268" s="32">
        <v>96.1</v>
      </c>
      <c r="AD268" s="32">
        <v>103.6</v>
      </c>
      <c r="AE268" s="32">
        <v>111.6</v>
      </c>
      <c r="AF268" s="32">
        <v>111.6</v>
      </c>
      <c r="AG268" s="32">
        <v>94</v>
      </c>
      <c r="AH268" s="32">
        <v>94</v>
      </c>
      <c r="AI268" s="32">
        <v>87.9</v>
      </c>
      <c r="AJ268" s="32">
        <v>86.9</v>
      </c>
      <c r="AK268" s="32">
        <v>110.9</v>
      </c>
      <c r="AL268" s="32">
        <v>108.8</v>
      </c>
      <c r="AM268" s="32">
        <v>92.7</v>
      </c>
      <c r="AN268" s="32">
        <v>94</v>
      </c>
      <c r="AO268" s="32">
        <v>98.1</v>
      </c>
      <c r="AP268" s="32">
        <v>98.1</v>
      </c>
      <c r="AQ268" s="32">
        <v>98.9</v>
      </c>
      <c r="AR268" s="32">
        <v>97.3</v>
      </c>
      <c r="AS268" s="32">
        <v>101</v>
      </c>
      <c r="AT268" s="32">
        <v>98.7</v>
      </c>
      <c r="AU268" s="32">
        <v>102.7</v>
      </c>
      <c r="AV268" s="32">
        <v>89.3</v>
      </c>
      <c r="AW268" s="32">
        <v>103.1</v>
      </c>
      <c r="AX268" s="32">
        <v>76.599999999999994</v>
      </c>
      <c r="AY268" s="32">
        <v>156.1</v>
      </c>
      <c r="AZ268" s="32">
        <v>86.7</v>
      </c>
      <c r="BA268" s="32">
        <v>95.4</v>
      </c>
      <c r="BB268" s="32">
        <v>95.4</v>
      </c>
      <c r="BC268" s="32">
        <v>87.5</v>
      </c>
      <c r="BD268" s="32">
        <v>87.5</v>
      </c>
      <c r="BE268" s="32">
        <v>105.1</v>
      </c>
      <c r="BF268" s="32">
        <v>105.1</v>
      </c>
      <c r="BG268" s="32">
        <v>95.1</v>
      </c>
      <c r="BH268" s="32">
        <v>97.7</v>
      </c>
      <c r="BI268" s="32">
        <v>92.1</v>
      </c>
      <c r="BJ268" s="32">
        <v>85.4</v>
      </c>
      <c r="BK268" s="32">
        <v>94.5</v>
      </c>
      <c r="BL268" s="32">
        <v>83.5</v>
      </c>
      <c r="BM268" s="32">
        <v>101.3</v>
      </c>
      <c r="BN268" s="32">
        <v>97.3</v>
      </c>
      <c r="BO268" s="32">
        <v>97.8</v>
      </c>
      <c r="BP268" s="32">
        <v>96.9</v>
      </c>
      <c r="BQ268" s="32">
        <v>105.8</v>
      </c>
      <c r="BR268" s="32">
        <v>79</v>
      </c>
      <c r="BS268" s="32">
        <v>110.8</v>
      </c>
      <c r="BT268" s="32">
        <v>108.2</v>
      </c>
      <c r="BU268" s="32">
        <v>87.7</v>
      </c>
      <c r="BV268" s="32">
        <v>87.7</v>
      </c>
      <c r="BW268" s="32">
        <v>89.2</v>
      </c>
      <c r="BX268" s="32">
        <v>82.5</v>
      </c>
      <c r="BY268" s="32">
        <v>100.1</v>
      </c>
      <c r="BZ268" s="32">
        <v>103.4</v>
      </c>
      <c r="CA268" s="32">
        <v>98.5</v>
      </c>
      <c r="CB268" s="32">
        <v>100.1</v>
      </c>
      <c r="CC268" s="32">
        <v>96.8</v>
      </c>
      <c r="CD268" s="32">
        <v>97.9</v>
      </c>
      <c r="CE268" s="32">
        <v>99.2</v>
      </c>
      <c r="CF268" s="32">
        <v>99.2</v>
      </c>
      <c r="CG268" s="32">
        <v>101.3</v>
      </c>
      <c r="CH268" s="32">
        <v>102</v>
      </c>
      <c r="CI268" s="32">
        <v>105.1</v>
      </c>
      <c r="CJ268" s="32">
        <v>102</v>
      </c>
      <c r="CK268" s="32">
        <v>101.2</v>
      </c>
      <c r="CL268" s="32">
        <v>99.6</v>
      </c>
      <c r="CM268" s="32">
        <v>100.6</v>
      </c>
      <c r="CN268" s="32">
        <v>104</v>
      </c>
      <c r="CO268" s="32">
        <v>99.9</v>
      </c>
      <c r="CP268" s="32">
        <v>100</v>
      </c>
      <c r="CQ268" s="32">
        <v>95.2</v>
      </c>
      <c r="CR268" s="32">
        <v>97.7</v>
      </c>
      <c r="CS268" s="32">
        <v>101.4</v>
      </c>
      <c r="CT268" s="32">
        <v>101.1</v>
      </c>
      <c r="CU268" s="32">
        <v>98.1</v>
      </c>
      <c r="CV268" s="32">
        <v>102.4</v>
      </c>
      <c r="CW268" s="32">
        <v>94.5</v>
      </c>
      <c r="CX268" s="32">
        <v>96.2</v>
      </c>
      <c r="CY268" s="32">
        <v>98.7</v>
      </c>
      <c r="CZ268" s="32">
        <v>94.7</v>
      </c>
      <c r="DA268" s="32">
        <v>98.9</v>
      </c>
      <c r="DB268" s="32">
        <v>86.6</v>
      </c>
      <c r="DC268" s="32">
        <v>89.1</v>
      </c>
      <c r="DD268" s="32">
        <v>89.1</v>
      </c>
      <c r="DE268" s="32">
        <v>96.8</v>
      </c>
      <c r="DF268" s="32">
        <v>96.1</v>
      </c>
      <c r="DG268" s="32">
        <v>101.5</v>
      </c>
      <c r="DH268" s="32">
        <v>101</v>
      </c>
      <c r="DI268" s="32">
        <v>105.1</v>
      </c>
      <c r="DJ268" s="32">
        <v>101.7</v>
      </c>
      <c r="DK268" s="32">
        <v>101.7</v>
      </c>
      <c r="DL268" s="32">
        <v>93.9</v>
      </c>
      <c r="DM268" s="32">
        <v>99.2</v>
      </c>
      <c r="DN268" s="32">
        <v>98.9</v>
      </c>
      <c r="DO268" s="32">
        <v>99.2</v>
      </c>
      <c r="DP268" s="32">
        <v>102.9</v>
      </c>
      <c r="DQ268" s="32">
        <v>99</v>
      </c>
      <c r="DR268" s="32">
        <v>98.9</v>
      </c>
      <c r="DS268" s="32">
        <v>97.2</v>
      </c>
      <c r="DT268" s="32">
        <v>96</v>
      </c>
      <c r="DU268" s="32">
        <v>96.8</v>
      </c>
      <c r="DV268" s="32">
        <v>96.4</v>
      </c>
      <c r="DW268" s="32">
        <v>97.2</v>
      </c>
      <c r="DX268" s="32">
        <v>94.4</v>
      </c>
      <c r="DY268" s="32">
        <v>101.2</v>
      </c>
      <c r="DZ268" s="32">
        <v>111.7</v>
      </c>
      <c r="EA268" s="32">
        <v>111.7</v>
      </c>
      <c r="EB268" s="32">
        <v>98.5</v>
      </c>
      <c r="EC268" s="32">
        <v>99.3</v>
      </c>
      <c r="ED268" s="32">
        <v>97.5</v>
      </c>
      <c r="EE268" s="32">
        <v>94.9</v>
      </c>
      <c r="EF268" s="32">
        <v>104</v>
      </c>
      <c r="EG268" s="32">
        <v>99.1</v>
      </c>
      <c r="EH268" s="32">
        <v>101.1</v>
      </c>
      <c r="EI268" s="32">
        <v>101.4</v>
      </c>
      <c r="EJ268" s="32">
        <v>100.7</v>
      </c>
      <c r="EK268" s="32">
        <v>95.9</v>
      </c>
      <c r="EL268" s="32">
        <v>95.6</v>
      </c>
      <c r="EM268" s="32">
        <v>92.6</v>
      </c>
      <c r="EN268" s="32">
        <v>97.9</v>
      </c>
      <c r="EO268" s="32">
        <v>98.6</v>
      </c>
      <c r="EP268" s="32">
        <v>97.5</v>
      </c>
      <c r="EQ268" s="32">
        <v>97.5</v>
      </c>
      <c r="ER268" s="32">
        <v>97.4</v>
      </c>
      <c r="ES268" s="32">
        <v>97.4</v>
      </c>
      <c r="ET268" s="32">
        <v>100.2</v>
      </c>
      <c r="EU268" s="32">
        <v>99.6</v>
      </c>
      <c r="EV268" s="32">
        <v>99.6</v>
      </c>
      <c r="EW268" s="32">
        <v>101.7</v>
      </c>
      <c r="EX268" s="32">
        <v>100.1</v>
      </c>
      <c r="EY268" s="32">
        <v>102.9</v>
      </c>
      <c r="EZ268" s="32">
        <v>98.3</v>
      </c>
      <c r="FA268" s="32">
        <v>96</v>
      </c>
      <c r="FB268" s="32">
        <v>95.3</v>
      </c>
      <c r="FC268" s="32">
        <v>90.9</v>
      </c>
      <c r="FD268" s="32">
        <v>110</v>
      </c>
      <c r="FE268" s="32">
        <v>95.8</v>
      </c>
      <c r="FF268" s="32">
        <v>96.8</v>
      </c>
      <c r="FG268" s="32">
        <v>100.2</v>
      </c>
      <c r="FH268" s="32">
        <v>97.5</v>
      </c>
      <c r="FI268" s="32">
        <v>114.2</v>
      </c>
      <c r="FJ268" s="32">
        <v>99.5</v>
      </c>
      <c r="FK268" s="32">
        <v>99.8</v>
      </c>
      <c r="FL268" s="32">
        <v>99.8</v>
      </c>
    </row>
    <row r="269" spans="1:168" x14ac:dyDescent="0.2">
      <c r="A269" s="34" t="s">
        <v>1249</v>
      </c>
      <c r="B269" s="32">
        <v>98.5</v>
      </c>
      <c r="C269" s="32">
        <v>89.4</v>
      </c>
      <c r="D269" s="32">
        <v>96.5</v>
      </c>
      <c r="E269" s="32">
        <v>96.1</v>
      </c>
      <c r="F269" s="32">
        <v>97</v>
      </c>
      <c r="G269" s="32">
        <v>132.6</v>
      </c>
      <c r="H269" s="32">
        <v>97.5</v>
      </c>
      <c r="I269" s="32">
        <v>93.4</v>
      </c>
      <c r="J269" s="32">
        <v>97</v>
      </c>
      <c r="K269" s="32">
        <v>100.4</v>
      </c>
      <c r="L269" s="32">
        <v>100.9</v>
      </c>
      <c r="M269" s="32">
        <v>90.3</v>
      </c>
      <c r="N269" s="32">
        <v>94.9</v>
      </c>
      <c r="O269" s="32">
        <v>80.7</v>
      </c>
      <c r="P269" s="32">
        <v>118.8</v>
      </c>
      <c r="Q269" s="32">
        <v>122.3</v>
      </c>
      <c r="R269" s="32">
        <v>103.4</v>
      </c>
      <c r="S269" s="32">
        <v>101</v>
      </c>
      <c r="T269" s="32">
        <v>102.7</v>
      </c>
      <c r="U269" s="32">
        <v>108.8</v>
      </c>
      <c r="V269" s="32">
        <v>94.5</v>
      </c>
      <c r="W269" s="32">
        <v>93.6</v>
      </c>
      <c r="X269" s="32">
        <v>91.5</v>
      </c>
      <c r="Y269" s="32">
        <v>97</v>
      </c>
      <c r="Z269" s="32">
        <v>97.1</v>
      </c>
      <c r="AA269" s="32">
        <v>97.9</v>
      </c>
      <c r="AB269" s="32">
        <v>98.7</v>
      </c>
      <c r="AC269" s="32">
        <v>93</v>
      </c>
      <c r="AD269" s="32">
        <v>101.8</v>
      </c>
      <c r="AE269" s="32">
        <v>106.9</v>
      </c>
      <c r="AF269" s="32">
        <v>106.9</v>
      </c>
      <c r="AG269" s="32">
        <v>96.8</v>
      </c>
      <c r="AH269" s="32">
        <v>96.8</v>
      </c>
      <c r="AI269" s="32">
        <v>97</v>
      </c>
      <c r="AJ269" s="32">
        <v>92</v>
      </c>
      <c r="AK269" s="32">
        <v>111</v>
      </c>
      <c r="AL269" s="32">
        <v>104.2</v>
      </c>
      <c r="AM269" s="32">
        <v>98.2</v>
      </c>
      <c r="AN269" s="32">
        <v>90.7</v>
      </c>
      <c r="AO269" s="32">
        <v>100.8</v>
      </c>
      <c r="AP269" s="32">
        <v>100.8</v>
      </c>
      <c r="AQ269" s="32">
        <v>96.8</v>
      </c>
      <c r="AR269" s="32">
        <v>96.1</v>
      </c>
      <c r="AS269" s="32">
        <v>97.8</v>
      </c>
      <c r="AT269" s="32">
        <v>98.4</v>
      </c>
      <c r="AU269" s="32">
        <v>97.3</v>
      </c>
      <c r="AV269" s="32">
        <v>92.2</v>
      </c>
      <c r="AW269" s="32">
        <v>96.2</v>
      </c>
      <c r="AX269" s="32">
        <v>76.2</v>
      </c>
      <c r="AY269" s="32">
        <v>136.19999999999999</v>
      </c>
      <c r="AZ269" s="32">
        <v>91.4</v>
      </c>
      <c r="BA269" s="32">
        <v>96.5</v>
      </c>
      <c r="BB269" s="32">
        <v>96.5</v>
      </c>
      <c r="BC269" s="32">
        <v>90.9</v>
      </c>
      <c r="BD269" s="32">
        <v>90.9</v>
      </c>
      <c r="BE269" s="32">
        <v>105.9</v>
      </c>
      <c r="BF269" s="32">
        <v>105.9</v>
      </c>
      <c r="BG269" s="32">
        <v>91.2</v>
      </c>
      <c r="BH269" s="32">
        <v>90.7</v>
      </c>
      <c r="BI269" s="32">
        <v>91.8</v>
      </c>
      <c r="BJ269" s="32">
        <v>87.1</v>
      </c>
      <c r="BK269" s="32">
        <v>93.5</v>
      </c>
      <c r="BL269" s="32">
        <v>85.7</v>
      </c>
      <c r="BM269" s="32">
        <v>97.1</v>
      </c>
      <c r="BN269" s="32">
        <v>94.1</v>
      </c>
      <c r="BO269" s="32">
        <v>96.6</v>
      </c>
      <c r="BP269" s="32">
        <v>92.1</v>
      </c>
      <c r="BQ269" s="32">
        <v>100.6</v>
      </c>
      <c r="BR269" s="32">
        <v>93.5</v>
      </c>
      <c r="BS269" s="32">
        <v>106.8</v>
      </c>
      <c r="BT269" s="32">
        <v>99.5</v>
      </c>
      <c r="BU269" s="32">
        <v>86.8</v>
      </c>
      <c r="BV269" s="32">
        <v>86.8</v>
      </c>
      <c r="BW269" s="32">
        <v>89.7</v>
      </c>
      <c r="BX269" s="32">
        <v>77.8</v>
      </c>
      <c r="BY269" s="32">
        <v>99.6</v>
      </c>
      <c r="BZ269" s="32">
        <v>101.6</v>
      </c>
      <c r="CA269" s="32">
        <v>98.6</v>
      </c>
      <c r="CB269" s="32">
        <v>98.2</v>
      </c>
      <c r="CC269" s="32">
        <v>99</v>
      </c>
      <c r="CD269" s="32">
        <v>99.5</v>
      </c>
      <c r="CE269" s="32">
        <v>97.4</v>
      </c>
      <c r="CF269" s="32">
        <v>99.1</v>
      </c>
      <c r="CG269" s="32">
        <v>100.9</v>
      </c>
      <c r="CH269" s="32">
        <v>101.3</v>
      </c>
      <c r="CI269" s="32">
        <v>103.6</v>
      </c>
      <c r="CJ269" s="32">
        <v>100</v>
      </c>
      <c r="CK269" s="32">
        <v>101.6</v>
      </c>
      <c r="CL269" s="32">
        <v>99.6</v>
      </c>
      <c r="CM269" s="32">
        <v>101.7</v>
      </c>
      <c r="CN269" s="32">
        <v>105</v>
      </c>
      <c r="CO269" s="32">
        <v>101</v>
      </c>
      <c r="CP269" s="32">
        <v>100.1</v>
      </c>
      <c r="CQ269" s="32">
        <v>97.9</v>
      </c>
      <c r="CR269" s="32">
        <v>96.4</v>
      </c>
      <c r="CS269" s="32">
        <v>100.6</v>
      </c>
      <c r="CT269" s="32">
        <v>101.3</v>
      </c>
      <c r="CU269" s="32">
        <v>100.7</v>
      </c>
      <c r="CV269" s="32">
        <v>101.5</v>
      </c>
      <c r="CW269" s="32">
        <v>97.3</v>
      </c>
      <c r="CX269" s="32">
        <v>102.5</v>
      </c>
      <c r="CY269" s="32">
        <v>100.2</v>
      </c>
      <c r="CZ269" s="32">
        <v>103.8</v>
      </c>
      <c r="DA269" s="32">
        <v>108.5</v>
      </c>
      <c r="DB269" s="32">
        <v>94.9</v>
      </c>
      <c r="DC269" s="32">
        <v>90.7</v>
      </c>
      <c r="DD269" s="32">
        <v>90.7</v>
      </c>
      <c r="DE269" s="32">
        <v>98.6</v>
      </c>
      <c r="DF269" s="32">
        <v>96.2</v>
      </c>
      <c r="DG269" s="32">
        <v>112.7</v>
      </c>
      <c r="DH269" s="32">
        <v>100.8</v>
      </c>
      <c r="DI269" s="32">
        <v>106.1</v>
      </c>
      <c r="DJ269" s="32">
        <v>100.5</v>
      </c>
      <c r="DK269" s="32">
        <v>100.5</v>
      </c>
      <c r="DL269" s="32">
        <v>92.4</v>
      </c>
      <c r="DM269" s="32">
        <v>98.9</v>
      </c>
      <c r="DN269" s="32">
        <v>97.1</v>
      </c>
      <c r="DO269" s="32">
        <v>99.4</v>
      </c>
      <c r="DP269" s="32">
        <v>101.6</v>
      </c>
      <c r="DQ269" s="32">
        <v>97.9</v>
      </c>
      <c r="DR269" s="32">
        <v>97.6</v>
      </c>
      <c r="DS269" s="32">
        <v>97.3</v>
      </c>
      <c r="DT269" s="32">
        <v>96.7</v>
      </c>
      <c r="DU269" s="32">
        <v>97.3</v>
      </c>
      <c r="DV269" s="32">
        <v>99.1</v>
      </c>
      <c r="DW269" s="32">
        <v>95</v>
      </c>
      <c r="DX269" s="32">
        <v>95.6</v>
      </c>
      <c r="DY269" s="32">
        <v>99.1</v>
      </c>
      <c r="DZ269" s="32">
        <v>97.2</v>
      </c>
      <c r="EA269" s="32">
        <v>97.2</v>
      </c>
      <c r="EB269" s="32">
        <v>98.7</v>
      </c>
      <c r="EC269" s="32">
        <v>101.7</v>
      </c>
      <c r="ED269" s="32">
        <v>95</v>
      </c>
      <c r="EE269" s="32">
        <v>92.1</v>
      </c>
      <c r="EF269" s="32">
        <v>102.4</v>
      </c>
      <c r="EG269" s="32">
        <v>98.3</v>
      </c>
      <c r="EH269" s="32">
        <v>101.2</v>
      </c>
      <c r="EI269" s="32">
        <v>97.9</v>
      </c>
      <c r="EJ269" s="32">
        <v>100.3</v>
      </c>
      <c r="EK269" s="32">
        <v>96.5</v>
      </c>
      <c r="EL269" s="32">
        <v>98.4</v>
      </c>
      <c r="EM269" s="32">
        <v>94.1</v>
      </c>
      <c r="EN269" s="32">
        <v>97.7</v>
      </c>
      <c r="EO269" s="32">
        <v>98.2</v>
      </c>
      <c r="EP269" s="32">
        <v>97.9</v>
      </c>
      <c r="EQ269" s="32">
        <v>97.9</v>
      </c>
      <c r="ER269" s="32">
        <v>98.3</v>
      </c>
      <c r="ES269" s="32">
        <v>98.3</v>
      </c>
      <c r="ET269" s="32">
        <v>98.4</v>
      </c>
      <c r="EU269" s="32">
        <v>97.2</v>
      </c>
      <c r="EV269" s="32">
        <v>97.2</v>
      </c>
      <c r="EW269" s="32">
        <v>101.2</v>
      </c>
      <c r="EX269" s="32">
        <v>100.2</v>
      </c>
      <c r="EY269" s="32">
        <v>102</v>
      </c>
      <c r="EZ269" s="32">
        <v>98.7</v>
      </c>
      <c r="FA269" s="32">
        <v>98.3</v>
      </c>
      <c r="FB269" s="32">
        <v>97.2</v>
      </c>
      <c r="FC269" s="32">
        <v>97.6</v>
      </c>
      <c r="FD269" s="32">
        <v>97.6</v>
      </c>
      <c r="FE269" s="32">
        <v>96.3</v>
      </c>
      <c r="FF269" s="32">
        <v>99.6</v>
      </c>
      <c r="FG269" s="32">
        <v>98.9</v>
      </c>
      <c r="FH269" s="32">
        <v>97.9</v>
      </c>
      <c r="FI269" s="32">
        <v>122</v>
      </c>
      <c r="FJ269" s="32">
        <v>96.7</v>
      </c>
      <c r="FK269" s="32">
        <v>100.8</v>
      </c>
      <c r="FL269" s="32">
        <v>100.8</v>
      </c>
    </row>
    <row r="270" spans="1:168" x14ac:dyDescent="0.2">
      <c r="A270" s="34" t="s">
        <v>1250</v>
      </c>
      <c r="B270" s="32">
        <v>98.9</v>
      </c>
      <c r="C270" s="32">
        <v>91.5</v>
      </c>
      <c r="D270" s="32">
        <v>97.9</v>
      </c>
      <c r="E270" s="32">
        <v>97.4</v>
      </c>
      <c r="F270" s="32">
        <v>95.5</v>
      </c>
      <c r="G270" s="32">
        <v>121.6</v>
      </c>
      <c r="H270" s="32">
        <v>95.3</v>
      </c>
      <c r="I270" s="32">
        <v>96.3</v>
      </c>
      <c r="J270" s="32">
        <v>98.2</v>
      </c>
      <c r="K270" s="32">
        <v>101.2</v>
      </c>
      <c r="L270" s="32">
        <v>102</v>
      </c>
      <c r="M270" s="32">
        <v>94.8</v>
      </c>
      <c r="N270" s="32">
        <v>97.9</v>
      </c>
      <c r="O270" s="32">
        <v>95.9</v>
      </c>
      <c r="P270" s="32">
        <v>119.2</v>
      </c>
      <c r="Q270" s="32">
        <v>120.5</v>
      </c>
      <c r="R270" s="32">
        <v>103.2</v>
      </c>
      <c r="S270" s="32">
        <v>101.2</v>
      </c>
      <c r="T270" s="32">
        <v>97.4</v>
      </c>
      <c r="U270" s="32">
        <v>108.6</v>
      </c>
      <c r="V270" s="32">
        <v>94.4</v>
      </c>
      <c r="W270" s="32">
        <v>99</v>
      </c>
      <c r="X270" s="32">
        <v>99.5</v>
      </c>
      <c r="Y270" s="32">
        <v>97.8</v>
      </c>
      <c r="Z270" s="32">
        <v>99.8</v>
      </c>
      <c r="AA270" s="32">
        <v>99.2</v>
      </c>
      <c r="AB270" s="32">
        <v>93.2</v>
      </c>
      <c r="AC270" s="32">
        <v>100.7</v>
      </c>
      <c r="AD270" s="32">
        <v>102</v>
      </c>
      <c r="AE270" s="32">
        <v>111.3</v>
      </c>
      <c r="AF270" s="32">
        <v>111.3</v>
      </c>
      <c r="AG270" s="32">
        <v>97.2</v>
      </c>
      <c r="AH270" s="32">
        <v>97.2</v>
      </c>
      <c r="AI270" s="32">
        <v>94</v>
      </c>
      <c r="AJ270" s="32">
        <v>100.3</v>
      </c>
      <c r="AK270" s="32">
        <v>109.1</v>
      </c>
      <c r="AL270" s="32">
        <v>102.5</v>
      </c>
      <c r="AM270" s="32">
        <v>96.9</v>
      </c>
      <c r="AN270" s="32">
        <v>87.2</v>
      </c>
      <c r="AO270" s="32">
        <v>104.6</v>
      </c>
      <c r="AP270" s="32">
        <v>104.6</v>
      </c>
      <c r="AQ270" s="32">
        <v>97.2</v>
      </c>
      <c r="AR270" s="32">
        <v>98.3</v>
      </c>
      <c r="AS270" s="32">
        <v>95.8</v>
      </c>
      <c r="AT270" s="32">
        <v>94.3</v>
      </c>
      <c r="AU270" s="32">
        <v>97</v>
      </c>
      <c r="AV270" s="32">
        <v>96.5</v>
      </c>
      <c r="AW270" s="32">
        <v>91.4</v>
      </c>
      <c r="AX270" s="32">
        <v>80</v>
      </c>
      <c r="AY270" s="32">
        <v>113.9</v>
      </c>
      <c r="AZ270" s="32">
        <v>97.6</v>
      </c>
      <c r="BA270" s="32">
        <v>96</v>
      </c>
      <c r="BB270" s="32">
        <v>96</v>
      </c>
      <c r="BC270" s="32">
        <v>91.3</v>
      </c>
      <c r="BD270" s="32">
        <v>91.3</v>
      </c>
      <c r="BE270" s="32">
        <v>102.7</v>
      </c>
      <c r="BF270" s="32">
        <v>102.7</v>
      </c>
      <c r="BG270" s="32">
        <v>93.7</v>
      </c>
      <c r="BH270" s="32">
        <v>94.6</v>
      </c>
      <c r="BI270" s="32">
        <v>92.7</v>
      </c>
      <c r="BJ270" s="32">
        <v>89.5</v>
      </c>
      <c r="BK270" s="32">
        <v>93.6</v>
      </c>
      <c r="BL270" s="32">
        <v>90.1</v>
      </c>
      <c r="BM270" s="32">
        <v>95.6</v>
      </c>
      <c r="BN270" s="32">
        <v>96.4</v>
      </c>
      <c r="BO270" s="32">
        <v>96.7</v>
      </c>
      <c r="BP270" s="32">
        <v>96.2</v>
      </c>
      <c r="BQ270" s="32">
        <v>94.6</v>
      </c>
      <c r="BR270" s="32">
        <v>81.7</v>
      </c>
      <c r="BS270" s="32">
        <v>103.9</v>
      </c>
      <c r="BT270" s="32">
        <v>93.4</v>
      </c>
      <c r="BU270" s="32">
        <v>92.2</v>
      </c>
      <c r="BV270" s="32">
        <v>92.2</v>
      </c>
      <c r="BW270" s="32">
        <v>93.9</v>
      </c>
      <c r="BX270" s="32">
        <v>86.4</v>
      </c>
      <c r="BY270" s="32">
        <v>99.2</v>
      </c>
      <c r="BZ270" s="32">
        <v>102.7</v>
      </c>
      <c r="CA270" s="32">
        <v>97.4</v>
      </c>
      <c r="CB270" s="32">
        <v>97.6</v>
      </c>
      <c r="CC270" s="32">
        <v>97.3</v>
      </c>
      <c r="CD270" s="32">
        <v>95.9</v>
      </c>
      <c r="CE270" s="32">
        <v>98.9</v>
      </c>
      <c r="CF270" s="32">
        <v>99.2</v>
      </c>
      <c r="CG270" s="32">
        <v>101.4</v>
      </c>
      <c r="CH270" s="32">
        <v>101.7</v>
      </c>
      <c r="CI270" s="32">
        <v>104.4</v>
      </c>
      <c r="CJ270" s="32">
        <v>101.8</v>
      </c>
      <c r="CK270" s="32">
        <v>100.9</v>
      </c>
      <c r="CL270" s="32">
        <v>100.2</v>
      </c>
      <c r="CM270" s="32">
        <v>100</v>
      </c>
      <c r="CN270" s="32">
        <v>97.6</v>
      </c>
      <c r="CO270" s="32">
        <v>100.4</v>
      </c>
      <c r="CP270" s="32">
        <v>100.8</v>
      </c>
      <c r="CQ270" s="32">
        <v>99.5</v>
      </c>
      <c r="CR270" s="32">
        <v>99.7</v>
      </c>
      <c r="CS270" s="32">
        <v>101.2</v>
      </c>
      <c r="CT270" s="32">
        <v>101.8</v>
      </c>
      <c r="CU270" s="32">
        <v>100.9</v>
      </c>
      <c r="CV270" s="32">
        <v>102.1</v>
      </c>
      <c r="CW270" s="32">
        <v>95.9</v>
      </c>
      <c r="CX270" s="32">
        <v>101.4</v>
      </c>
      <c r="CY270" s="32">
        <v>101.5</v>
      </c>
      <c r="CZ270" s="32">
        <v>101.4</v>
      </c>
      <c r="DA270" s="32">
        <v>103.2</v>
      </c>
      <c r="DB270" s="32">
        <v>97.9</v>
      </c>
      <c r="DC270" s="32">
        <v>90.4</v>
      </c>
      <c r="DD270" s="32">
        <v>90.4</v>
      </c>
      <c r="DE270" s="32">
        <v>96.4</v>
      </c>
      <c r="DF270" s="32">
        <v>96.1</v>
      </c>
      <c r="DG270" s="32">
        <v>98.5</v>
      </c>
      <c r="DH270" s="32">
        <v>99.9</v>
      </c>
      <c r="DI270" s="32">
        <v>104.3</v>
      </c>
      <c r="DJ270" s="32">
        <v>99.3</v>
      </c>
      <c r="DK270" s="32">
        <v>99.3</v>
      </c>
      <c r="DL270" s="32">
        <v>93.2</v>
      </c>
      <c r="DM270" s="32">
        <v>99.2</v>
      </c>
      <c r="DN270" s="32">
        <v>97.6</v>
      </c>
      <c r="DO270" s="32">
        <v>99.7</v>
      </c>
      <c r="DP270" s="32">
        <v>102</v>
      </c>
      <c r="DQ270" s="32">
        <v>98.2</v>
      </c>
      <c r="DR270" s="32">
        <v>97.3</v>
      </c>
      <c r="DS270" s="32">
        <v>96.4</v>
      </c>
      <c r="DT270" s="32">
        <v>95.6</v>
      </c>
      <c r="DU270" s="32">
        <v>95.5</v>
      </c>
      <c r="DV270" s="32">
        <v>97.7</v>
      </c>
      <c r="DW270" s="32">
        <v>92.9</v>
      </c>
      <c r="DX270" s="32">
        <v>95.6</v>
      </c>
      <c r="DY270" s="32">
        <v>99.4</v>
      </c>
      <c r="DZ270" s="32">
        <v>102.4</v>
      </c>
      <c r="EA270" s="32">
        <v>102.4</v>
      </c>
      <c r="EB270" s="32">
        <v>97.4</v>
      </c>
      <c r="EC270" s="32">
        <v>99.2</v>
      </c>
      <c r="ED270" s="32">
        <v>95.2</v>
      </c>
      <c r="EE270" s="32">
        <v>92.6</v>
      </c>
      <c r="EF270" s="32">
        <v>101.8</v>
      </c>
      <c r="EG270" s="32">
        <v>99.7</v>
      </c>
      <c r="EH270" s="32">
        <v>99.8</v>
      </c>
      <c r="EI270" s="32">
        <v>98.4</v>
      </c>
      <c r="EJ270" s="32">
        <v>104.2</v>
      </c>
      <c r="EK270" s="32">
        <v>99.3</v>
      </c>
      <c r="EL270" s="32">
        <v>100.6</v>
      </c>
      <c r="EM270" s="32">
        <v>95.3</v>
      </c>
      <c r="EN270" s="32">
        <v>101.5</v>
      </c>
      <c r="EO270" s="32">
        <v>98.7</v>
      </c>
      <c r="EP270" s="32">
        <v>99.1</v>
      </c>
      <c r="EQ270" s="32">
        <v>99.1</v>
      </c>
      <c r="ER270" s="32">
        <v>99.8</v>
      </c>
      <c r="ES270" s="32">
        <v>99.8</v>
      </c>
      <c r="ET270" s="32">
        <v>97.5</v>
      </c>
      <c r="EU270" s="32">
        <v>96.2</v>
      </c>
      <c r="EV270" s="32">
        <v>96.2</v>
      </c>
      <c r="EW270" s="32">
        <v>100.3</v>
      </c>
      <c r="EX270" s="32">
        <v>100.6</v>
      </c>
      <c r="EY270" s="32">
        <v>100.1</v>
      </c>
      <c r="EZ270" s="32">
        <v>98.6</v>
      </c>
      <c r="FA270" s="32">
        <v>99</v>
      </c>
      <c r="FB270" s="32">
        <v>98.8</v>
      </c>
      <c r="FC270" s="32">
        <v>98.3</v>
      </c>
      <c r="FD270" s="32">
        <v>100</v>
      </c>
      <c r="FE270" s="32">
        <v>98.9</v>
      </c>
      <c r="FF270" s="32">
        <v>99.2</v>
      </c>
      <c r="FG270" s="32">
        <v>98.1</v>
      </c>
      <c r="FH270" s="32">
        <v>99.5</v>
      </c>
      <c r="FI270" s="32">
        <v>112</v>
      </c>
      <c r="FJ270" s="32">
        <v>96</v>
      </c>
      <c r="FK270" s="32">
        <v>99.9</v>
      </c>
      <c r="FL270" s="32">
        <v>99.9</v>
      </c>
    </row>
    <row r="271" spans="1:168" x14ac:dyDescent="0.2">
      <c r="A271" s="34" t="s">
        <v>1251</v>
      </c>
      <c r="B271" s="32">
        <v>99.5</v>
      </c>
      <c r="C271" s="32">
        <v>93.5</v>
      </c>
      <c r="D271" s="32">
        <v>98.9</v>
      </c>
      <c r="E271" s="32">
        <v>98</v>
      </c>
      <c r="F271" s="32">
        <v>98.6</v>
      </c>
      <c r="G271" s="32">
        <v>132.30000000000001</v>
      </c>
      <c r="H271" s="32">
        <v>98.5</v>
      </c>
      <c r="I271" s="32">
        <v>98.2</v>
      </c>
      <c r="J271" s="32">
        <v>99.4</v>
      </c>
      <c r="K271" s="32">
        <v>100.7</v>
      </c>
      <c r="L271" s="32">
        <v>101.8</v>
      </c>
      <c r="M271" s="32">
        <v>94.5</v>
      </c>
      <c r="N271" s="32">
        <v>100.4</v>
      </c>
      <c r="O271" s="32">
        <v>100.7</v>
      </c>
      <c r="P271" s="32">
        <v>114.7</v>
      </c>
      <c r="Q271" s="32">
        <v>120.1</v>
      </c>
      <c r="R271" s="32">
        <v>103.1</v>
      </c>
      <c r="S271" s="32">
        <v>100.7</v>
      </c>
      <c r="T271" s="32">
        <v>99.2</v>
      </c>
      <c r="U271" s="32">
        <v>104.1</v>
      </c>
      <c r="V271" s="32">
        <v>94.3</v>
      </c>
      <c r="W271" s="32">
        <v>103.5</v>
      </c>
      <c r="X271" s="32">
        <v>100.6</v>
      </c>
      <c r="Y271" s="32">
        <v>110.1</v>
      </c>
      <c r="Z271" s="32">
        <v>97.1</v>
      </c>
      <c r="AA271" s="32">
        <v>100.7</v>
      </c>
      <c r="AB271" s="32">
        <v>99.3</v>
      </c>
      <c r="AC271" s="32">
        <v>101</v>
      </c>
      <c r="AD271" s="32">
        <v>101.5</v>
      </c>
      <c r="AE271" s="32">
        <v>108.9</v>
      </c>
      <c r="AF271" s="32">
        <v>108.9</v>
      </c>
      <c r="AG271" s="32">
        <v>101.1</v>
      </c>
      <c r="AH271" s="32">
        <v>101.1</v>
      </c>
      <c r="AI271" s="32">
        <v>94.6</v>
      </c>
      <c r="AJ271" s="32">
        <v>105.7</v>
      </c>
      <c r="AK271" s="32">
        <v>109.9</v>
      </c>
      <c r="AL271" s="32">
        <v>102.4</v>
      </c>
      <c r="AM271" s="32">
        <v>98.6</v>
      </c>
      <c r="AN271" s="32">
        <v>97.9</v>
      </c>
      <c r="AO271" s="32">
        <v>103.4</v>
      </c>
      <c r="AP271" s="32">
        <v>103.4</v>
      </c>
      <c r="AQ271" s="32">
        <v>98.8</v>
      </c>
      <c r="AR271" s="32">
        <v>100.4</v>
      </c>
      <c r="AS271" s="32">
        <v>96.8</v>
      </c>
      <c r="AT271" s="32">
        <v>97.4</v>
      </c>
      <c r="AU271" s="32">
        <v>96.4</v>
      </c>
      <c r="AV271" s="32">
        <v>96.7</v>
      </c>
      <c r="AW271" s="32">
        <v>93.5</v>
      </c>
      <c r="AX271" s="32">
        <v>89.3</v>
      </c>
      <c r="AY271" s="32">
        <v>101.4</v>
      </c>
      <c r="AZ271" s="32">
        <v>97.4</v>
      </c>
      <c r="BA271" s="32">
        <v>97.8</v>
      </c>
      <c r="BB271" s="32">
        <v>97.8</v>
      </c>
      <c r="BC271" s="32">
        <v>92.9</v>
      </c>
      <c r="BD271" s="32">
        <v>92.9</v>
      </c>
      <c r="BE271" s="32">
        <v>103.9</v>
      </c>
      <c r="BF271" s="32">
        <v>103.9</v>
      </c>
      <c r="BG271" s="32">
        <v>95.9</v>
      </c>
      <c r="BH271" s="32">
        <v>95.8</v>
      </c>
      <c r="BI271" s="32">
        <v>95.9</v>
      </c>
      <c r="BJ271" s="32">
        <v>92</v>
      </c>
      <c r="BK271" s="32">
        <v>97.2</v>
      </c>
      <c r="BL271" s="32">
        <v>92.2</v>
      </c>
      <c r="BM271" s="32">
        <v>97</v>
      </c>
      <c r="BN271" s="32">
        <v>97</v>
      </c>
      <c r="BO271" s="32">
        <v>95.5</v>
      </c>
      <c r="BP271" s="32">
        <v>98.2</v>
      </c>
      <c r="BQ271" s="32">
        <v>97</v>
      </c>
      <c r="BR271" s="32">
        <v>102.3</v>
      </c>
      <c r="BS271" s="32">
        <v>108.2</v>
      </c>
      <c r="BT271" s="32">
        <v>92.4</v>
      </c>
      <c r="BU271" s="32">
        <v>87.8</v>
      </c>
      <c r="BV271" s="32">
        <v>87.8</v>
      </c>
      <c r="BW271" s="32">
        <v>91.2</v>
      </c>
      <c r="BX271" s="32">
        <v>77.7</v>
      </c>
      <c r="BY271" s="32">
        <v>98.6</v>
      </c>
      <c r="BZ271" s="32">
        <v>97.7</v>
      </c>
      <c r="CA271" s="32">
        <v>99.1</v>
      </c>
      <c r="CB271" s="32">
        <v>98.1</v>
      </c>
      <c r="CC271" s="32">
        <v>100.1</v>
      </c>
      <c r="CD271" s="32">
        <v>99.5</v>
      </c>
      <c r="CE271" s="32">
        <v>100.8</v>
      </c>
      <c r="CF271" s="32">
        <v>99.8</v>
      </c>
      <c r="CG271" s="32">
        <v>101.4</v>
      </c>
      <c r="CH271" s="32">
        <v>102.2</v>
      </c>
      <c r="CI271" s="32">
        <v>103.6</v>
      </c>
      <c r="CJ271" s="32">
        <v>103.1</v>
      </c>
      <c r="CK271" s="32">
        <v>101.1</v>
      </c>
      <c r="CL271" s="32">
        <v>101.3</v>
      </c>
      <c r="CM271" s="32">
        <v>101.6</v>
      </c>
      <c r="CN271" s="32">
        <v>96.5</v>
      </c>
      <c r="CO271" s="32">
        <v>102.6</v>
      </c>
      <c r="CP271" s="32">
        <v>101.5</v>
      </c>
      <c r="CQ271" s="32">
        <v>103.1</v>
      </c>
      <c r="CR271" s="32">
        <v>100.6</v>
      </c>
      <c r="CS271" s="32">
        <v>100.7</v>
      </c>
      <c r="CT271" s="32">
        <v>99.1</v>
      </c>
      <c r="CU271" s="32">
        <v>101.1</v>
      </c>
      <c r="CV271" s="32">
        <v>98.2</v>
      </c>
      <c r="CW271" s="32">
        <v>96.6</v>
      </c>
      <c r="CX271" s="32">
        <v>99.6</v>
      </c>
      <c r="CY271" s="32">
        <v>100.3</v>
      </c>
      <c r="CZ271" s="32">
        <v>99.1</v>
      </c>
      <c r="DA271" s="32">
        <v>100.4</v>
      </c>
      <c r="DB271" s="32">
        <v>96.7</v>
      </c>
      <c r="DC271" s="32">
        <v>92.3</v>
      </c>
      <c r="DD271" s="32">
        <v>92.3</v>
      </c>
      <c r="DE271" s="32">
        <v>97.7</v>
      </c>
      <c r="DF271" s="32">
        <v>97.6</v>
      </c>
      <c r="DG271" s="32">
        <v>98.3</v>
      </c>
      <c r="DH271" s="32">
        <v>99</v>
      </c>
      <c r="DI271" s="32">
        <v>102</v>
      </c>
      <c r="DJ271" s="32">
        <v>98.5</v>
      </c>
      <c r="DK271" s="32">
        <v>98.5</v>
      </c>
      <c r="DL271" s="32">
        <v>94.5</v>
      </c>
      <c r="DM271" s="32">
        <v>99.3</v>
      </c>
      <c r="DN271" s="32">
        <v>97.6</v>
      </c>
      <c r="DO271" s="32">
        <v>99.9</v>
      </c>
      <c r="DP271" s="32">
        <v>102.5</v>
      </c>
      <c r="DQ271" s="32">
        <v>100.2</v>
      </c>
      <c r="DR271" s="32">
        <v>99.8</v>
      </c>
      <c r="DS271" s="32">
        <v>96.9</v>
      </c>
      <c r="DT271" s="32">
        <v>95.7</v>
      </c>
      <c r="DU271" s="32">
        <v>95.7</v>
      </c>
      <c r="DV271" s="32">
        <v>97.3</v>
      </c>
      <c r="DW271" s="32">
        <v>93.8</v>
      </c>
      <c r="DX271" s="32">
        <v>95.5</v>
      </c>
      <c r="DY271" s="32">
        <v>101.1</v>
      </c>
      <c r="DZ271" s="32">
        <v>122.1</v>
      </c>
      <c r="EA271" s="32">
        <v>122.1</v>
      </c>
      <c r="EB271" s="32">
        <v>98.6</v>
      </c>
      <c r="EC271" s="32">
        <v>100.3</v>
      </c>
      <c r="ED271" s="32">
        <v>96.4</v>
      </c>
      <c r="EE271" s="32">
        <v>93.8</v>
      </c>
      <c r="EF271" s="32">
        <v>102.9</v>
      </c>
      <c r="EG271" s="32">
        <v>100.7</v>
      </c>
      <c r="EH271" s="32">
        <v>100.8</v>
      </c>
      <c r="EI271" s="32">
        <v>99.2</v>
      </c>
      <c r="EJ271" s="32">
        <v>104.3</v>
      </c>
      <c r="EK271" s="32">
        <v>100.9</v>
      </c>
      <c r="EL271" s="32">
        <v>99.6</v>
      </c>
      <c r="EM271" s="32">
        <v>98</v>
      </c>
      <c r="EN271" s="32">
        <v>102.8</v>
      </c>
      <c r="EO271" s="32">
        <v>99.7</v>
      </c>
      <c r="EP271" s="32">
        <v>99.7</v>
      </c>
      <c r="EQ271" s="32">
        <v>99.7</v>
      </c>
      <c r="ER271" s="32">
        <v>100.5</v>
      </c>
      <c r="ES271" s="32">
        <v>100.5</v>
      </c>
      <c r="ET271" s="32">
        <v>99.1</v>
      </c>
      <c r="EU271" s="32">
        <v>98.8</v>
      </c>
      <c r="EV271" s="32">
        <v>98.8</v>
      </c>
      <c r="EW271" s="32">
        <v>99.9</v>
      </c>
      <c r="EX271" s="32">
        <v>100.8</v>
      </c>
      <c r="EY271" s="32">
        <v>99.1</v>
      </c>
      <c r="EZ271" s="32">
        <v>99.4</v>
      </c>
      <c r="FA271" s="32">
        <v>99.7</v>
      </c>
      <c r="FB271" s="32">
        <v>101.6</v>
      </c>
      <c r="FC271" s="32">
        <v>99.6</v>
      </c>
      <c r="FD271" s="32">
        <v>107.3</v>
      </c>
      <c r="FE271" s="32">
        <v>102.2</v>
      </c>
      <c r="FF271" s="32">
        <v>97.3</v>
      </c>
      <c r="FG271" s="32">
        <v>98.9</v>
      </c>
      <c r="FH271" s="32">
        <v>100.9</v>
      </c>
      <c r="FI271" s="32">
        <v>112.4</v>
      </c>
      <c r="FJ271" s="32">
        <v>96.6</v>
      </c>
      <c r="FK271" s="32">
        <v>101</v>
      </c>
      <c r="FL271" s="32">
        <v>101</v>
      </c>
    </row>
    <row r="272" spans="1:168" x14ac:dyDescent="0.2">
      <c r="A272" s="34" t="s">
        <v>1252</v>
      </c>
      <c r="B272" s="32">
        <v>99.6</v>
      </c>
      <c r="C272" s="32">
        <v>95.5</v>
      </c>
      <c r="D272" s="32">
        <v>99</v>
      </c>
      <c r="E272" s="32">
        <v>99</v>
      </c>
      <c r="F272" s="32">
        <v>98.7</v>
      </c>
      <c r="G272" s="32">
        <v>110.9</v>
      </c>
      <c r="H272" s="32">
        <v>98.9</v>
      </c>
      <c r="I272" s="32">
        <v>97.2</v>
      </c>
      <c r="J272" s="32">
        <v>100.6</v>
      </c>
      <c r="K272" s="32">
        <v>101.3</v>
      </c>
      <c r="L272" s="32">
        <v>102.1</v>
      </c>
      <c r="M272" s="32">
        <v>95.5</v>
      </c>
      <c r="N272" s="32">
        <v>102.5</v>
      </c>
      <c r="O272" s="32">
        <v>104.7</v>
      </c>
      <c r="P272" s="32">
        <v>109.5</v>
      </c>
      <c r="Q272" s="32">
        <v>109.5</v>
      </c>
      <c r="R272" s="32">
        <v>102.1</v>
      </c>
      <c r="S272" s="32">
        <v>102.8</v>
      </c>
      <c r="T272" s="32">
        <v>104.5</v>
      </c>
      <c r="U272" s="32">
        <v>107.8</v>
      </c>
      <c r="V272" s="32">
        <v>95.2</v>
      </c>
      <c r="W272" s="32">
        <v>106</v>
      </c>
      <c r="X272" s="32">
        <v>103</v>
      </c>
      <c r="Y272" s="32">
        <v>113.5</v>
      </c>
      <c r="Z272" s="32">
        <v>95.1</v>
      </c>
      <c r="AA272" s="32">
        <v>104.2</v>
      </c>
      <c r="AB272" s="32">
        <v>100.2</v>
      </c>
      <c r="AC272" s="32">
        <v>102.7</v>
      </c>
      <c r="AD272" s="32">
        <v>108.4</v>
      </c>
      <c r="AE272" s="32">
        <v>102.2</v>
      </c>
      <c r="AF272" s="32">
        <v>102.2</v>
      </c>
      <c r="AG272" s="32">
        <v>101.6</v>
      </c>
      <c r="AH272" s="32">
        <v>101.6</v>
      </c>
      <c r="AI272" s="32">
        <v>100.7</v>
      </c>
      <c r="AJ272" s="32">
        <v>101.4</v>
      </c>
      <c r="AK272" s="32">
        <v>110.3</v>
      </c>
      <c r="AL272" s="32">
        <v>103.2</v>
      </c>
      <c r="AM272" s="32">
        <v>100.6</v>
      </c>
      <c r="AN272" s="32">
        <v>100</v>
      </c>
      <c r="AO272" s="32">
        <v>108.4</v>
      </c>
      <c r="AP272" s="32">
        <v>108.4</v>
      </c>
      <c r="AQ272" s="32">
        <v>99.2</v>
      </c>
      <c r="AR272" s="32">
        <v>101.3</v>
      </c>
      <c r="AS272" s="32">
        <v>96.5</v>
      </c>
      <c r="AT272" s="32">
        <v>94.6</v>
      </c>
      <c r="AU272" s="32">
        <v>97.9</v>
      </c>
      <c r="AV272" s="32">
        <v>96.5</v>
      </c>
      <c r="AW272" s="32">
        <v>89.4</v>
      </c>
      <c r="AX272" s="32">
        <v>89.4</v>
      </c>
      <c r="AY272" s="32">
        <v>89</v>
      </c>
      <c r="AZ272" s="32">
        <v>97.9</v>
      </c>
      <c r="BA272" s="32">
        <v>98.4</v>
      </c>
      <c r="BB272" s="32">
        <v>98.4</v>
      </c>
      <c r="BC272" s="32">
        <v>96.3</v>
      </c>
      <c r="BD272" s="32">
        <v>96.3</v>
      </c>
      <c r="BE272" s="32">
        <v>103.3</v>
      </c>
      <c r="BF272" s="32">
        <v>103.3</v>
      </c>
      <c r="BG272" s="32">
        <v>97.9</v>
      </c>
      <c r="BH272" s="32">
        <v>97.1</v>
      </c>
      <c r="BI272" s="32">
        <v>98.8</v>
      </c>
      <c r="BJ272" s="32">
        <v>94.3</v>
      </c>
      <c r="BK272" s="32">
        <v>100.3</v>
      </c>
      <c r="BL272" s="32">
        <v>94.3</v>
      </c>
      <c r="BM272" s="32">
        <v>97.9</v>
      </c>
      <c r="BN272" s="32">
        <v>99.8</v>
      </c>
      <c r="BO272" s="32">
        <v>99</v>
      </c>
      <c r="BP272" s="32">
        <v>100.4</v>
      </c>
      <c r="BQ272" s="32">
        <v>95.8</v>
      </c>
      <c r="BR272" s="32">
        <v>109.5</v>
      </c>
      <c r="BS272" s="32">
        <v>101.6</v>
      </c>
      <c r="BT272" s="32">
        <v>91.7</v>
      </c>
      <c r="BU272" s="32">
        <v>89.2</v>
      </c>
      <c r="BV272" s="32">
        <v>89.2</v>
      </c>
      <c r="BW272" s="32">
        <v>93.4</v>
      </c>
      <c r="BX272" s="32">
        <v>77</v>
      </c>
      <c r="BY272" s="32">
        <v>98.3</v>
      </c>
      <c r="BZ272" s="32">
        <v>98.1</v>
      </c>
      <c r="CA272" s="32">
        <v>98.3</v>
      </c>
      <c r="CB272" s="32">
        <v>100</v>
      </c>
      <c r="CC272" s="32">
        <v>96.8</v>
      </c>
      <c r="CD272" s="32">
        <v>95.9</v>
      </c>
      <c r="CE272" s="32">
        <v>98.9</v>
      </c>
      <c r="CF272" s="32">
        <v>99.7</v>
      </c>
      <c r="CG272" s="32">
        <v>101.2</v>
      </c>
      <c r="CH272" s="32">
        <v>102</v>
      </c>
      <c r="CI272" s="32">
        <v>100.8</v>
      </c>
      <c r="CJ272" s="32">
        <v>103.7</v>
      </c>
      <c r="CK272" s="32">
        <v>101</v>
      </c>
      <c r="CL272" s="32">
        <v>100.9</v>
      </c>
      <c r="CM272" s="32">
        <v>101.3</v>
      </c>
      <c r="CN272" s="32">
        <v>98.7</v>
      </c>
      <c r="CO272" s="32">
        <v>101.8</v>
      </c>
      <c r="CP272" s="32">
        <v>102</v>
      </c>
      <c r="CQ272" s="32">
        <v>98.2</v>
      </c>
      <c r="CR272" s="32">
        <v>100.2</v>
      </c>
      <c r="CS272" s="32">
        <v>101.6</v>
      </c>
      <c r="CT272" s="32">
        <v>98.8</v>
      </c>
      <c r="CU272" s="32">
        <v>101.5</v>
      </c>
      <c r="CV272" s="32">
        <v>97.6</v>
      </c>
      <c r="CW272" s="32">
        <v>97.5</v>
      </c>
      <c r="CX272" s="32">
        <v>100</v>
      </c>
      <c r="CY272" s="32">
        <v>98.6</v>
      </c>
      <c r="CZ272" s="32">
        <v>100.8</v>
      </c>
      <c r="DA272" s="32">
        <v>101.7</v>
      </c>
      <c r="DB272" s="32">
        <v>99</v>
      </c>
      <c r="DC272" s="32">
        <v>97.1</v>
      </c>
      <c r="DD272" s="32">
        <v>97.1</v>
      </c>
      <c r="DE272" s="32">
        <v>96.3</v>
      </c>
      <c r="DF272" s="32">
        <v>96.8</v>
      </c>
      <c r="DG272" s="32">
        <v>93.2</v>
      </c>
      <c r="DH272" s="32">
        <v>98.2</v>
      </c>
      <c r="DI272" s="32">
        <v>100.6</v>
      </c>
      <c r="DJ272" s="32">
        <v>98.2</v>
      </c>
      <c r="DK272" s="32">
        <v>98.2</v>
      </c>
      <c r="DL272" s="32">
        <v>94.5</v>
      </c>
      <c r="DM272" s="32">
        <v>99.6</v>
      </c>
      <c r="DN272" s="32">
        <v>98.5</v>
      </c>
      <c r="DO272" s="32">
        <v>100</v>
      </c>
      <c r="DP272" s="32">
        <v>100.9</v>
      </c>
      <c r="DQ272" s="32">
        <v>99.1</v>
      </c>
      <c r="DR272" s="32">
        <v>98.2</v>
      </c>
      <c r="DS272" s="32">
        <v>97.3</v>
      </c>
      <c r="DT272" s="32">
        <v>96.6</v>
      </c>
      <c r="DU272" s="32">
        <v>96.7</v>
      </c>
      <c r="DV272" s="32">
        <v>98.4</v>
      </c>
      <c r="DW272" s="32">
        <v>94.6</v>
      </c>
      <c r="DX272" s="32">
        <v>96.6</v>
      </c>
      <c r="DY272" s="32">
        <v>99.5</v>
      </c>
      <c r="DZ272" s="32">
        <v>105.3</v>
      </c>
      <c r="EA272" s="32">
        <v>105.3</v>
      </c>
      <c r="EB272" s="32">
        <v>97.7</v>
      </c>
      <c r="EC272" s="32">
        <v>98.2</v>
      </c>
      <c r="ED272" s="32">
        <v>97</v>
      </c>
      <c r="EE272" s="32">
        <v>95.2</v>
      </c>
      <c r="EF272" s="32">
        <v>101.8</v>
      </c>
      <c r="EG272" s="32">
        <v>100.4</v>
      </c>
      <c r="EH272" s="32">
        <v>99.8</v>
      </c>
      <c r="EI272" s="32">
        <v>100.3</v>
      </c>
      <c r="EJ272" s="32">
        <v>99.9</v>
      </c>
      <c r="EK272" s="32">
        <v>101</v>
      </c>
      <c r="EL272" s="32">
        <v>99.8</v>
      </c>
      <c r="EM272" s="32">
        <v>100.7</v>
      </c>
      <c r="EN272" s="32">
        <v>101.4</v>
      </c>
      <c r="EO272" s="32">
        <v>100.4</v>
      </c>
      <c r="EP272" s="32">
        <v>100.1</v>
      </c>
      <c r="EQ272" s="32">
        <v>100.1</v>
      </c>
      <c r="ER272" s="32">
        <v>100.4</v>
      </c>
      <c r="ES272" s="32">
        <v>100.4</v>
      </c>
      <c r="ET272" s="32">
        <v>100.5</v>
      </c>
      <c r="EU272" s="32">
        <v>100.9</v>
      </c>
      <c r="EV272" s="32">
        <v>100.9</v>
      </c>
      <c r="EW272" s="32">
        <v>99.7</v>
      </c>
      <c r="EX272" s="32">
        <v>100.8</v>
      </c>
      <c r="EY272" s="32">
        <v>98.9</v>
      </c>
      <c r="EZ272" s="32">
        <v>100</v>
      </c>
      <c r="FA272" s="32">
        <v>101.5</v>
      </c>
      <c r="FB272" s="32">
        <v>101.7</v>
      </c>
      <c r="FC272" s="32">
        <v>101.1</v>
      </c>
      <c r="FD272" s="32">
        <v>94.7</v>
      </c>
      <c r="FE272" s="32">
        <v>105.4</v>
      </c>
      <c r="FF272" s="32">
        <v>101.2</v>
      </c>
      <c r="FG272" s="32">
        <v>98.5</v>
      </c>
      <c r="FH272" s="32">
        <v>101.6</v>
      </c>
      <c r="FI272" s="32">
        <v>107.4</v>
      </c>
      <c r="FJ272" s="32">
        <v>96.2</v>
      </c>
      <c r="FK272" s="32">
        <v>102.2</v>
      </c>
      <c r="FL272" s="32">
        <v>102.2</v>
      </c>
    </row>
    <row r="273" spans="1:168" x14ac:dyDescent="0.2">
      <c r="A273" s="34" t="s">
        <v>1253</v>
      </c>
      <c r="B273" s="32">
        <v>99.3</v>
      </c>
      <c r="C273" s="32">
        <v>97.7</v>
      </c>
      <c r="D273" s="32">
        <v>98</v>
      </c>
      <c r="E273" s="32">
        <v>97.3</v>
      </c>
      <c r="F273" s="32">
        <v>98.5</v>
      </c>
      <c r="G273" s="32">
        <v>104.6</v>
      </c>
      <c r="H273" s="32">
        <v>98.6</v>
      </c>
      <c r="I273" s="32">
        <v>97.7</v>
      </c>
      <c r="J273" s="32">
        <v>97.6</v>
      </c>
      <c r="K273" s="32">
        <v>99.5</v>
      </c>
      <c r="L273" s="32">
        <v>100.7</v>
      </c>
      <c r="M273" s="32">
        <v>98.3</v>
      </c>
      <c r="N273" s="32">
        <v>101.6</v>
      </c>
      <c r="O273" s="32">
        <v>111.5</v>
      </c>
      <c r="P273" s="32">
        <v>105.9</v>
      </c>
      <c r="Q273" s="32">
        <v>109.1</v>
      </c>
      <c r="R273" s="32">
        <v>100</v>
      </c>
      <c r="S273" s="32">
        <v>99.8</v>
      </c>
      <c r="T273" s="32">
        <v>98.5</v>
      </c>
      <c r="U273" s="32">
        <v>103.9</v>
      </c>
      <c r="V273" s="32">
        <v>92.2</v>
      </c>
      <c r="W273" s="32">
        <v>106.4</v>
      </c>
      <c r="X273" s="32">
        <v>106.8</v>
      </c>
      <c r="Y273" s="32">
        <v>106.7</v>
      </c>
      <c r="Z273" s="32">
        <v>101.8</v>
      </c>
      <c r="AA273" s="32">
        <v>101.3</v>
      </c>
      <c r="AB273" s="32">
        <v>99.8</v>
      </c>
      <c r="AC273" s="32">
        <v>102.3</v>
      </c>
      <c r="AD273" s="32">
        <v>101.4</v>
      </c>
      <c r="AE273" s="32">
        <v>98</v>
      </c>
      <c r="AF273" s="32">
        <v>98</v>
      </c>
      <c r="AG273" s="32">
        <v>98.9</v>
      </c>
      <c r="AH273" s="32">
        <v>98.9</v>
      </c>
      <c r="AI273" s="32">
        <v>105.6</v>
      </c>
      <c r="AJ273" s="32">
        <v>98.5</v>
      </c>
      <c r="AK273" s="32">
        <v>87.4</v>
      </c>
      <c r="AL273" s="32">
        <v>103.2</v>
      </c>
      <c r="AM273" s="32">
        <v>98.8</v>
      </c>
      <c r="AN273" s="32">
        <v>98.2</v>
      </c>
      <c r="AO273" s="32">
        <v>100.2</v>
      </c>
      <c r="AP273" s="32">
        <v>100.2</v>
      </c>
      <c r="AQ273" s="32">
        <v>98.3</v>
      </c>
      <c r="AR273" s="32">
        <v>99</v>
      </c>
      <c r="AS273" s="32">
        <v>97.3</v>
      </c>
      <c r="AT273" s="32">
        <v>93.7</v>
      </c>
      <c r="AU273" s="32">
        <v>100</v>
      </c>
      <c r="AV273" s="32">
        <v>94.9</v>
      </c>
      <c r="AW273" s="32">
        <v>86.7</v>
      </c>
      <c r="AX273" s="32">
        <v>87.4</v>
      </c>
      <c r="AY273" s="32">
        <v>84.9</v>
      </c>
      <c r="AZ273" s="32">
        <v>96.4</v>
      </c>
      <c r="BA273" s="32">
        <v>97.5</v>
      </c>
      <c r="BB273" s="32">
        <v>97.5</v>
      </c>
      <c r="BC273" s="32">
        <v>96.4</v>
      </c>
      <c r="BD273" s="32">
        <v>96.4</v>
      </c>
      <c r="BE273" s="32">
        <v>99.7</v>
      </c>
      <c r="BF273" s="32">
        <v>99.7</v>
      </c>
      <c r="BG273" s="32">
        <v>87.1</v>
      </c>
      <c r="BH273" s="32">
        <v>75.8</v>
      </c>
      <c r="BI273" s="32">
        <v>100.3</v>
      </c>
      <c r="BJ273" s="32">
        <v>96.5</v>
      </c>
      <c r="BK273" s="32">
        <v>101.5</v>
      </c>
      <c r="BL273" s="32">
        <v>97.6</v>
      </c>
      <c r="BM273" s="32">
        <v>101.9</v>
      </c>
      <c r="BN273" s="32">
        <v>100.9</v>
      </c>
      <c r="BO273" s="32">
        <v>99.4</v>
      </c>
      <c r="BP273" s="32">
        <v>102.1</v>
      </c>
      <c r="BQ273" s="32">
        <v>103.1</v>
      </c>
      <c r="BR273" s="32">
        <v>101.3</v>
      </c>
      <c r="BS273" s="32">
        <v>101.9</v>
      </c>
      <c r="BT273" s="32">
        <v>103.7</v>
      </c>
      <c r="BU273" s="32">
        <v>93.6</v>
      </c>
      <c r="BV273" s="32">
        <v>93.6</v>
      </c>
      <c r="BW273" s="32">
        <v>96.9</v>
      </c>
      <c r="BX273" s="32">
        <v>83.6</v>
      </c>
      <c r="BY273" s="32">
        <v>98.7</v>
      </c>
      <c r="BZ273" s="32">
        <v>101.3</v>
      </c>
      <c r="CA273" s="32">
        <v>97.4</v>
      </c>
      <c r="CB273" s="32">
        <v>98.2</v>
      </c>
      <c r="CC273" s="32">
        <v>96.7</v>
      </c>
      <c r="CD273" s="32">
        <v>96.2</v>
      </c>
      <c r="CE273" s="32">
        <v>99.5</v>
      </c>
      <c r="CF273" s="32">
        <v>99.6</v>
      </c>
      <c r="CG273" s="32">
        <v>100.9</v>
      </c>
      <c r="CH273" s="32">
        <v>101.5</v>
      </c>
      <c r="CI273" s="32">
        <v>101.9</v>
      </c>
      <c r="CJ273" s="32">
        <v>102.2</v>
      </c>
      <c r="CK273" s="32">
        <v>100.9</v>
      </c>
      <c r="CL273" s="32">
        <v>101.5</v>
      </c>
      <c r="CM273" s="32">
        <v>102.3</v>
      </c>
      <c r="CN273" s="32">
        <v>98.6</v>
      </c>
      <c r="CO273" s="32">
        <v>102.9</v>
      </c>
      <c r="CP273" s="32">
        <v>102.7</v>
      </c>
      <c r="CQ273" s="32">
        <v>99.5</v>
      </c>
      <c r="CR273" s="32">
        <v>100.8</v>
      </c>
      <c r="CS273" s="32">
        <v>101.1</v>
      </c>
      <c r="CT273" s="32">
        <v>98.3</v>
      </c>
      <c r="CU273" s="32">
        <v>99.8</v>
      </c>
      <c r="CV273" s="32">
        <v>97.6</v>
      </c>
      <c r="CW273" s="32">
        <v>98</v>
      </c>
      <c r="CX273" s="32">
        <v>99.9</v>
      </c>
      <c r="CY273" s="32">
        <v>97.9</v>
      </c>
      <c r="CZ273" s="32">
        <v>101</v>
      </c>
      <c r="DA273" s="32">
        <v>101</v>
      </c>
      <c r="DB273" s="32">
        <v>101</v>
      </c>
      <c r="DC273" s="32">
        <v>95.9</v>
      </c>
      <c r="DD273" s="32">
        <v>95.9</v>
      </c>
      <c r="DE273" s="32">
        <v>98.4</v>
      </c>
      <c r="DF273" s="32">
        <v>98.5</v>
      </c>
      <c r="DG273" s="32">
        <v>98.2</v>
      </c>
      <c r="DH273" s="32">
        <v>99</v>
      </c>
      <c r="DI273" s="32">
        <v>99.3</v>
      </c>
      <c r="DJ273" s="32">
        <v>98.4</v>
      </c>
      <c r="DK273" s="32">
        <v>98.4</v>
      </c>
      <c r="DL273" s="32">
        <v>98.8</v>
      </c>
      <c r="DM273" s="32">
        <v>99.7</v>
      </c>
      <c r="DN273" s="32">
        <v>99.1</v>
      </c>
      <c r="DO273" s="32">
        <v>100.1</v>
      </c>
      <c r="DP273" s="32">
        <v>97.6</v>
      </c>
      <c r="DQ273" s="32">
        <v>98.9</v>
      </c>
      <c r="DR273" s="32">
        <v>98.5</v>
      </c>
      <c r="DS273" s="32">
        <v>98</v>
      </c>
      <c r="DT273" s="32">
        <v>97.9</v>
      </c>
      <c r="DU273" s="32">
        <v>98.3</v>
      </c>
      <c r="DV273" s="32">
        <v>99.5</v>
      </c>
      <c r="DW273" s="32">
        <v>96.9</v>
      </c>
      <c r="DX273" s="32">
        <v>97.1</v>
      </c>
      <c r="DY273" s="32">
        <v>98.3</v>
      </c>
      <c r="DZ273" s="32">
        <v>97.3</v>
      </c>
      <c r="EA273" s="32">
        <v>97.3</v>
      </c>
      <c r="EB273" s="32">
        <v>100.3</v>
      </c>
      <c r="EC273" s="32">
        <v>100.4</v>
      </c>
      <c r="ED273" s="32">
        <v>100.2</v>
      </c>
      <c r="EE273" s="32">
        <v>99.2</v>
      </c>
      <c r="EF273" s="32">
        <v>102.5</v>
      </c>
      <c r="EG273" s="32">
        <v>99.4</v>
      </c>
      <c r="EH273" s="32">
        <v>96.9</v>
      </c>
      <c r="EI273" s="32">
        <v>98</v>
      </c>
      <c r="EJ273" s="32">
        <v>102.6</v>
      </c>
      <c r="EK273" s="32">
        <v>101.1</v>
      </c>
      <c r="EL273" s="32">
        <v>98.9</v>
      </c>
      <c r="EM273" s="32">
        <v>101</v>
      </c>
      <c r="EN273" s="32">
        <v>101.4</v>
      </c>
      <c r="EO273" s="32">
        <v>99.9</v>
      </c>
      <c r="EP273" s="32">
        <v>100.5</v>
      </c>
      <c r="EQ273" s="32">
        <v>100.5</v>
      </c>
      <c r="ER273" s="32">
        <v>99.9</v>
      </c>
      <c r="ES273" s="32">
        <v>99.9</v>
      </c>
      <c r="ET273" s="32">
        <v>99.5</v>
      </c>
      <c r="EU273" s="32">
        <v>99.4</v>
      </c>
      <c r="EV273" s="32">
        <v>99.4</v>
      </c>
      <c r="EW273" s="32">
        <v>99.7</v>
      </c>
      <c r="EX273" s="32">
        <v>99.5</v>
      </c>
      <c r="EY273" s="32">
        <v>99.9</v>
      </c>
      <c r="EZ273" s="32">
        <v>99.1</v>
      </c>
      <c r="FA273" s="32">
        <v>100.3</v>
      </c>
      <c r="FB273" s="32">
        <v>102.5</v>
      </c>
      <c r="FC273" s="32">
        <v>100.9</v>
      </c>
      <c r="FD273" s="32">
        <v>96</v>
      </c>
      <c r="FE273" s="32">
        <v>107.6</v>
      </c>
      <c r="FF273" s="32">
        <v>97.6</v>
      </c>
      <c r="FG273" s="32">
        <v>97.5</v>
      </c>
      <c r="FH273" s="32">
        <v>101.7</v>
      </c>
      <c r="FI273" s="32">
        <v>104.7</v>
      </c>
      <c r="FJ273" s="32">
        <v>95</v>
      </c>
      <c r="FK273" s="32">
        <v>103.7</v>
      </c>
      <c r="FL273" s="32">
        <v>103.7</v>
      </c>
    </row>
    <row r="274" spans="1:168" x14ac:dyDescent="0.2">
      <c r="A274" s="34" t="s">
        <v>1254</v>
      </c>
      <c r="B274" s="32">
        <v>99.6</v>
      </c>
      <c r="C274" s="32">
        <v>99.2</v>
      </c>
      <c r="D274" s="32">
        <v>98.8</v>
      </c>
      <c r="E274" s="32">
        <v>98.6</v>
      </c>
      <c r="F274" s="32">
        <v>100.5</v>
      </c>
      <c r="G274" s="32">
        <v>105.2</v>
      </c>
      <c r="H274" s="32">
        <v>101.1</v>
      </c>
      <c r="I274" s="32">
        <v>96.9</v>
      </c>
      <c r="J274" s="32">
        <v>98.6</v>
      </c>
      <c r="K274" s="32">
        <v>97.9</v>
      </c>
      <c r="L274" s="32">
        <v>98.5</v>
      </c>
      <c r="M274" s="32">
        <v>95.3</v>
      </c>
      <c r="N274" s="32">
        <v>99.8</v>
      </c>
      <c r="O274" s="32">
        <v>112.8</v>
      </c>
      <c r="P274" s="32">
        <v>104.6</v>
      </c>
      <c r="Q274" s="32">
        <v>105.3</v>
      </c>
      <c r="R274" s="32">
        <v>95.9</v>
      </c>
      <c r="S274" s="32">
        <v>98.2</v>
      </c>
      <c r="T274" s="32">
        <v>100.6</v>
      </c>
      <c r="U274" s="32">
        <v>100.5</v>
      </c>
      <c r="V274" s="32">
        <v>94.2</v>
      </c>
      <c r="W274" s="32">
        <v>102.6</v>
      </c>
      <c r="X274" s="32">
        <v>101.3</v>
      </c>
      <c r="Y274" s="32">
        <v>105.5</v>
      </c>
      <c r="Z274" s="32">
        <v>100.4</v>
      </c>
      <c r="AA274" s="32">
        <v>98.2</v>
      </c>
      <c r="AB274" s="32">
        <v>98.7</v>
      </c>
      <c r="AC274" s="32">
        <v>99</v>
      </c>
      <c r="AD274" s="32">
        <v>97.1</v>
      </c>
      <c r="AE274" s="32">
        <v>97.8</v>
      </c>
      <c r="AF274" s="32">
        <v>97.8</v>
      </c>
      <c r="AG274" s="32">
        <v>100.2</v>
      </c>
      <c r="AH274" s="32">
        <v>100.2</v>
      </c>
      <c r="AI274" s="32">
        <v>101.2</v>
      </c>
      <c r="AJ274" s="32">
        <v>104.5</v>
      </c>
      <c r="AK274" s="32">
        <v>92.2</v>
      </c>
      <c r="AL274" s="32">
        <v>99</v>
      </c>
      <c r="AM274" s="32">
        <v>98.3</v>
      </c>
      <c r="AN274" s="32">
        <v>100.7</v>
      </c>
      <c r="AO274" s="32">
        <v>94</v>
      </c>
      <c r="AP274" s="32">
        <v>94</v>
      </c>
      <c r="AQ274" s="32">
        <v>97.8</v>
      </c>
      <c r="AR274" s="32">
        <v>98.3</v>
      </c>
      <c r="AS274" s="32">
        <v>97.2</v>
      </c>
      <c r="AT274" s="32">
        <v>95.5</v>
      </c>
      <c r="AU274" s="32">
        <v>98.5</v>
      </c>
      <c r="AV274" s="32">
        <v>95.7</v>
      </c>
      <c r="AW274" s="32">
        <v>86.2</v>
      </c>
      <c r="AX274" s="32">
        <v>88</v>
      </c>
      <c r="AY274" s="32">
        <v>82.1</v>
      </c>
      <c r="AZ274" s="32">
        <v>97.5</v>
      </c>
      <c r="BA274" s="32">
        <v>101.6</v>
      </c>
      <c r="BB274" s="32">
        <v>101.6</v>
      </c>
      <c r="BC274" s="32">
        <v>95.3</v>
      </c>
      <c r="BD274" s="32">
        <v>95.3</v>
      </c>
      <c r="BE274" s="32">
        <v>98.6</v>
      </c>
      <c r="BF274" s="32">
        <v>98.6</v>
      </c>
      <c r="BG274" s="32">
        <v>101</v>
      </c>
      <c r="BH274" s="32">
        <v>101.2</v>
      </c>
      <c r="BI274" s="32">
        <v>100.8</v>
      </c>
      <c r="BJ274" s="32">
        <v>98.1</v>
      </c>
      <c r="BK274" s="32">
        <v>101.4</v>
      </c>
      <c r="BL274" s="32">
        <v>100.9</v>
      </c>
      <c r="BM274" s="32">
        <v>99.7</v>
      </c>
      <c r="BN274" s="32">
        <v>99.8</v>
      </c>
      <c r="BO274" s="32">
        <v>99.4</v>
      </c>
      <c r="BP274" s="32">
        <v>100.1</v>
      </c>
      <c r="BQ274" s="32">
        <v>99.5</v>
      </c>
      <c r="BR274" s="32">
        <v>101</v>
      </c>
      <c r="BS274" s="32">
        <v>93.9</v>
      </c>
      <c r="BT274" s="32">
        <v>101.2</v>
      </c>
      <c r="BU274" s="32">
        <v>96.7</v>
      </c>
      <c r="BV274" s="32">
        <v>96.7</v>
      </c>
      <c r="BW274" s="32">
        <v>99.3</v>
      </c>
      <c r="BX274" s="32">
        <v>89</v>
      </c>
      <c r="BY274" s="32">
        <v>99.2</v>
      </c>
      <c r="BZ274" s="32">
        <v>99.9</v>
      </c>
      <c r="CA274" s="32">
        <v>98.9</v>
      </c>
      <c r="CB274" s="32">
        <v>97.1</v>
      </c>
      <c r="CC274" s="32">
        <v>100.5</v>
      </c>
      <c r="CD274" s="32">
        <v>101.2</v>
      </c>
      <c r="CE274" s="32">
        <v>99.3</v>
      </c>
      <c r="CF274" s="32">
        <v>99.8</v>
      </c>
      <c r="CG274" s="32">
        <v>100.5</v>
      </c>
      <c r="CH274" s="32">
        <v>100.7</v>
      </c>
      <c r="CI274" s="32">
        <v>99.6</v>
      </c>
      <c r="CJ274" s="32">
        <v>102.1</v>
      </c>
      <c r="CK274" s="32">
        <v>100</v>
      </c>
      <c r="CL274" s="32">
        <v>101.4</v>
      </c>
      <c r="CM274" s="32">
        <v>102.6</v>
      </c>
      <c r="CN274" s="32">
        <v>98.8</v>
      </c>
      <c r="CO274" s="32">
        <v>103.3</v>
      </c>
      <c r="CP274" s="32">
        <v>102.6</v>
      </c>
      <c r="CQ274" s="32">
        <v>99.5</v>
      </c>
      <c r="CR274" s="32">
        <v>100.8</v>
      </c>
      <c r="CS274" s="32">
        <v>100.2</v>
      </c>
      <c r="CT274" s="32">
        <v>98.3</v>
      </c>
      <c r="CU274" s="32">
        <v>98.8</v>
      </c>
      <c r="CV274" s="32">
        <v>98.1</v>
      </c>
      <c r="CW274" s="32">
        <v>98.2</v>
      </c>
      <c r="CX274" s="32">
        <v>99.6</v>
      </c>
      <c r="CY274" s="32">
        <v>100.8</v>
      </c>
      <c r="CZ274" s="32">
        <v>98.9</v>
      </c>
      <c r="DA274" s="32">
        <v>97.5</v>
      </c>
      <c r="DB274" s="32">
        <v>101.4</v>
      </c>
      <c r="DC274" s="32">
        <v>96.5</v>
      </c>
      <c r="DD274" s="32">
        <v>96.5</v>
      </c>
      <c r="DE274" s="32">
        <v>98.7</v>
      </c>
      <c r="DF274" s="32">
        <v>98.2</v>
      </c>
      <c r="DG274" s="32">
        <v>101.5</v>
      </c>
      <c r="DH274" s="32">
        <v>99.4</v>
      </c>
      <c r="DI274" s="32">
        <v>98.9</v>
      </c>
      <c r="DJ274" s="32">
        <v>98.5</v>
      </c>
      <c r="DK274" s="32">
        <v>98.5</v>
      </c>
      <c r="DL274" s="32">
        <v>100.8</v>
      </c>
      <c r="DM274" s="32">
        <v>100.1</v>
      </c>
      <c r="DN274" s="32">
        <v>99.7</v>
      </c>
      <c r="DO274" s="32">
        <v>100.2</v>
      </c>
      <c r="DP274" s="32">
        <v>103.5</v>
      </c>
      <c r="DQ274" s="32">
        <v>99.2</v>
      </c>
      <c r="DR274" s="32">
        <v>99.1</v>
      </c>
      <c r="DS274" s="32">
        <v>99.8</v>
      </c>
      <c r="DT274" s="32">
        <v>99.6</v>
      </c>
      <c r="DU274" s="32">
        <v>99.8</v>
      </c>
      <c r="DV274" s="32">
        <v>99.2</v>
      </c>
      <c r="DW274" s="32">
        <v>100.5</v>
      </c>
      <c r="DX274" s="32">
        <v>99.1</v>
      </c>
      <c r="DY274" s="32">
        <v>100.7</v>
      </c>
      <c r="DZ274" s="32">
        <v>97.6</v>
      </c>
      <c r="EA274" s="32">
        <v>97.6</v>
      </c>
      <c r="EB274" s="32">
        <v>97.7</v>
      </c>
      <c r="EC274" s="32">
        <v>95.4</v>
      </c>
      <c r="ED274" s="32">
        <v>100.6</v>
      </c>
      <c r="EE274" s="32">
        <v>101.3</v>
      </c>
      <c r="EF274" s="32">
        <v>98.8</v>
      </c>
      <c r="EG274" s="32">
        <v>99.4</v>
      </c>
      <c r="EH274" s="32">
        <v>96.4</v>
      </c>
      <c r="EI274" s="32">
        <v>98</v>
      </c>
      <c r="EJ274" s="32">
        <v>102.4</v>
      </c>
      <c r="EK274" s="32">
        <v>101.4</v>
      </c>
      <c r="EL274" s="32">
        <v>100.1</v>
      </c>
      <c r="EM274" s="32">
        <v>100.2</v>
      </c>
      <c r="EN274" s="32">
        <v>102.3</v>
      </c>
      <c r="EO274" s="32">
        <v>100</v>
      </c>
      <c r="EP274" s="32">
        <v>100.5</v>
      </c>
      <c r="EQ274" s="32">
        <v>100.5</v>
      </c>
      <c r="ER274" s="32">
        <v>100.4</v>
      </c>
      <c r="ES274" s="32">
        <v>100.4</v>
      </c>
      <c r="ET274" s="32">
        <v>99.4</v>
      </c>
      <c r="EU274" s="32">
        <v>99.2</v>
      </c>
      <c r="EV274" s="32">
        <v>99.2</v>
      </c>
      <c r="EW274" s="32">
        <v>100</v>
      </c>
      <c r="EX274" s="32">
        <v>98.5</v>
      </c>
      <c r="EY274" s="32">
        <v>101.2</v>
      </c>
      <c r="EZ274" s="32">
        <v>100</v>
      </c>
      <c r="FA274" s="32">
        <v>100.9</v>
      </c>
      <c r="FB274" s="32">
        <v>102</v>
      </c>
      <c r="FC274" s="32">
        <v>100</v>
      </c>
      <c r="FD274" s="32">
        <v>96.9</v>
      </c>
      <c r="FE274" s="32">
        <v>107.1</v>
      </c>
      <c r="FF274" s="32">
        <v>99.6</v>
      </c>
      <c r="FG274" s="32">
        <v>98.8</v>
      </c>
      <c r="FH274" s="32">
        <v>101</v>
      </c>
      <c r="FI274" s="32">
        <v>99.6</v>
      </c>
      <c r="FJ274" s="32">
        <v>97.9</v>
      </c>
      <c r="FK274" s="32">
        <v>102.7</v>
      </c>
      <c r="FL274" s="32">
        <v>102.7</v>
      </c>
    </row>
    <row r="275" spans="1:168" x14ac:dyDescent="0.2">
      <c r="A275" s="34" t="s">
        <v>1255</v>
      </c>
      <c r="B275" s="32">
        <v>100.1</v>
      </c>
      <c r="C275" s="32">
        <v>99.3</v>
      </c>
      <c r="D275" s="32">
        <v>99.2</v>
      </c>
      <c r="E275" s="32">
        <v>99.1</v>
      </c>
      <c r="F275" s="32">
        <v>95.2</v>
      </c>
      <c r="G275" s="32">
        <v>89.8</v>
      </c>
      <c r="H275" s="32">
        <v>95.1</v>
      </c>
      <c r="I275" s="32">
        <v>96</v>
      </c>
      <c r="J275" s="32">
        <v>99.5</v>
      </c>
      <c r="K275" s="32">
        <v>95.9</v>
      </c>
      <c r="L275" s="32">
        <v>96.8</v>
      </c>
      <c r="M275" s="32">
        <v>95.5</v>
      </c>
      <c r="N275" s="32">
        <v>97.3</v>
      </c>
      <c r="O275" s="32">
        <v>109</v>
      </c>
      <c r="P275" s="32">
        <v>95.8</v>
      </c>
      <c r="Q275" s="32">
        <v>87.3</v>
      </c>
      <c r="R275" s="32">
        <v>96.3</v>
      </c>
      <c r="S275" s="32">
        <v>98.6</v>
      </c>
      <c r="T275" s="32">
        <v>99.8</v>
      </c>
      <c r="U275" s="32">
        <v>93.7</v>
      </c>
      <c r="V275" s="32">
        <v>92.9</v>
      </c>
      <c r="W275" s="32">
        <v>103.3</v>
      </c>
      <c r="X275" s="32">
        <v>103.4</v>
      </c>
      <c r="Y275" s="32">
        <v>102.8</v>
      </c>
      <c r="Z275" s="32">
        <v>104.5</v>
      </c>
      <c r="AA275" s="32">
        <v>99.8</v>
      </c>
      <c r="AB275" s="32">
        <v>100.5</v>
      </c>
      <c r="AC275" s="32">
        <v>102.9</v>
      </c>
      <c r="AD275" s="32">
        <v>96.4</v>
      </c>
      <c r="AE275" s="32">
        <v>91.1</v>
      </c>
      <c r="AF275" s="32">
        <v>91.1</v>
      </c>
      <c r="AG275" s="32">
        <v>101.4</v>
      </c>
      <c r="AH275" s="32">
        <v>101.4</v>
      </c>
      <c r="AI275" s="32">
        <v>99</v>
      </c>
      <c r="AJ275" s="32">
        <v>101.5</v>
      </c>
      <c r="AK275" s="32">
        <v>101.5</v>
      </c>
      <c r="AL275" s="32">
        <v>102.1</v>
      </c>
      <c r="AM275" s="32">
        <v>102.2</v>
      </c>
      <c r="AN275" s="32">
        <v>100.4</v>
      </c>
      <c r="AO275" s="32">
        <v>101.3</v>
      </c>
      <c r="AP275" s="32">
        <v>101.3</v>
      </c>
      <c r="AQ275" s="32">
        <v>99.6</v>
      </c>
      <c r="AR275" s="32">
        <v>100.8</v>
      </c>
      <c r="AS275" s="32">
        <v>98</v>
      </c>
      <c r="AT275" s="32">
        <v>97.2</v>
      </c>
      <c r="AU275" s="32">
        <v>98.5</v>
      </c>
      <c r="AV275" s="32">
        <v>96.9</v>
      </c>
      <c r="AW275" s="32">
        <v>91</v>
      </c>
      <c r="AX275" s="32">
        <v>93.3</v>
      </c>
      <c r="AY275" s="32">
        <v>85.9</v>
      </c>
      <c r="AZ275" s="32">
        <v>98.1</v>
      </c>
      <c r="BA275" s="32">
        <v>98.4</v>
      </c>
      <c r="BB275" s="32">
        <v>98.4</v>
      </c>
      <c r="BC275" s="32">
        <v>100.5</v>
      </c>
      <c r="BD275" s="32">
        <v>100.5</v>
      </c>
      <c r="BE275" s="32">
        <v>99</v>
      </c>
      <c r="BF275" s="32">
        <v>99</v>
      </c>
      <c r="BG275" s="32">
        <v>104.7</v>
      </c>
      <c r="BH275" s="32">
        <v>109</v>
      </c>
      <c r="BI275" s="32">
        <v>99.6</v>
      </c>
      <c r="BJ275" s="32">
        <v>99.7</v>
      </c>
      <c r="BK275" s="32">
        <v>99.9</v>
      </c>
      <c r="BL275" s="32">
        <v>95.6</v>
      </c>
      <c r="BM275" s="32">
        <v>98.1</v>
      </c>
      <c r="BN275" s="32">
        <v>96.7</v>
      </c>
      <c r="BO275" s="32">
        <v>94.3</v>
      </c>
      <c r="BP275" s="32">
        <v>98.7</v>
      </c>
      <c r="BQ275" s="32">
        <v>99.6</v>
      </c>
      <c r="BR275" s="32">
        <v>114.5</v>
      </c>
      <c r="BS275" s="32">
        <v>95.5</v>
      </c>
      <c r="BT275" s="32">
        <v>98.8</v>
      </c>
      <c r="BU275" s="32">
        <v>98.6</v>
      </c>
      <c r="BV275" s="32">
        <v>98.6</v>
      </c>
      <c r="BW275" s="32">
        <v>99.7</v>
      </c>
      <c r="BX275" s="32">
        <v>95.3</v>
      </c>
      <c r="BY275" s="32">
        <v>100.1</v>
      </c>
      <c r="BZ275" s="32">
        <v>100.1</v>
      </c>
      <c r="CA275" s="32">
        <v>100</v>
      </c>
      <c r="CB275" s="32">
        <v>99.1</v>
      </c>
      <c r="CC275" s="32">
        <v>101.1</v>
      </c>
      <c r="CD275" s="32">
        <v>99.2</v>
      </c>
      <c r="CE275" s="32">
        <v>99.4</v>
      </c>
      <c r="CF275" s="32">
        <v>100.3</v>
      </c>
      <c r="CG275" s="32">
        <v>99.8</v>
      </c>
      <c r="CH275" s="32">
        <v>100.1</v>
      </c>
      <c r="CI275" s="32">
        <v>99.5</v>
      </c>
      <c r="CJ275" s="32">
        <v>99.9</v>
      </c>
      <c r="CK275" s="32">
        <v>100.3</v>
      </c>
      <c r="CL275" s="32">
        <v>100.7</v>
      </c>
      <c r="CM275" s="32">
        <v>102.5</v>
      </c>
      <c r="CN275" s="32">
        <v>98.3</v>
      </c>
      <c r="CO275" s="32">
        <v>103.3</v>
      </c>
      <c r="CP275" s="32">
        <v>102</v>
      </c>
      <c r="CQ275" s="32">
        <v>99.1</v>
      </c>
      <c r="CR275" s="32">
        <v>101.4</v>
      </c>
      <c r="CS275" s="32">
        <v>95.3</v>
      </c>
      <c r="CT275" s="32">
        <v>97.8</v>
      </c>
      <c r="CU275" s="32">
        <v>98.3</v>
      </c>
      <c r="CV275" s="32">
        <v>97.6</v>
      </c>
      <c r="CW275" s="32">
        <v>101</v>
      </c>
      <c r="CX275" s="32">
        <v>100.6</v>
      </c>
      <c r="CY275" s="32">
        <v>102.3</v>
      </c>
      <c r="CZ275" s="32">
        <v>99.6</v>
      </c>
      <c r="DA275" s="32">
        <v>98.4</v>
      </c>
      <c r="DB275" s="32">
        <v>102</v>
      </c>
      <c r="DC275" s="32">
        <v>100.8</v>
      </c>
      <c r="DD275" s="32">
        <v>100.8</v>
      </c>
      <c r="DE275" s="32">
        <v>101.4</v>
      </c>
      <c r="DF275" s="32">
        <v>102</v>
      </c>
      <c r="DG275" s="32">
        <v>97.6</v>
      </c>
      <c r="DH275" s="32">
        <v>100.4</v>
      </c>
      <c r="DI275" s="32">
        <v>99.6</v>
      </c>
      <c r="DJ275" s="32">
        <v>98.8</v>
      </c>
      <c r="DK275" s="32">
        <v>98.8</v>
      </c>
      <c r="DL275" s="32">
        <v>102.8</v>
      </c>
      <c r="DM275" s="32">
        <v>100.2</v>
      </c>
      <c r="DN275" s="32">
        <v>100.1</v>
      </c>
      <c r="DO275" s="32">
        <v>100.2</v>
      </c>
      <c r="DP275" s="32">
        <v>101.6</v>
      </c>
      <c r="DQ275" s="32">
        <v>100.6</v>
      </c>
      <c r="DR275" s="32">
        <v>100.9</v>
      </c>
      <c r="DS275" s="32">
        <v>101.7</v>
      </c>
      <c r="DT275" s="32">
        <v>101.1</v>
      </c>
      <c r="DU275" s="32">
        <v>101.3</v>
      </c>
      <c r="DV275" s="32">
        <v>100.6</v>
      </c>
      <c r="DW275" s="32">
        <v>102.2</v>
      </c>
      <c r="DX275" s="32">
        <v>100.7</v>
      </c>
      <c r="DY275" s="32">
        <v>103.9</v>
      </c>
      <c r="DZ275" s="32">
        <v>100.6</v>
      </c>
      <c r="EA275" s="32">
        <v>100.6</v>
      </c>
      <c r="EB275" s="32">
        <v>98.6</v>
      </c>
      <c r="EC275" s="32">
        <v>98.1</v>
      </c>
      <c r="ED275" s="32">
        <v>99.1</v>
      </c>
      <c r="EE275" s="32">
        <v>99.7</v>
      </c>
      <c r="EF275" s="32">
        <v>97.8</v>
      </c>
      <c r="EG275" s="32">
        <v>100.1</v>
      </c>
      <c r="EH275" s="32">
        <v>98</v>
      </c>
      <c r="EI275" s="32">
        <v>99.5</v>
      </c>
      <c r="EJ275" s="32">
        <v>100.3</v>
      </c>
      <c r="EK275" s="32">
        <v>101.6</v>
      </c>
      <c r="EL275" s="32">
        <v>100.6</v>
      </c>
      <c r="EM275" s="32">
        <v>101.5</v>
      </c>
      <c r="EN275" s="32">
        <v>101.8</v>
      </c>
      <c r="EO275" s="32">
        <v>100.3</v>
      </c>
      <c r="EP275" s="32">
        <v>100.6</v>
      </c>
      <c r="EQ275" s="32">
        <v>100.6</v>
      </c>
      <c r="ER275" s="32">
        <v>100.6</v>
      </c>
      <c r="ES275" s="32">
        <v>100.6</v>
      </c>
      <c r="ET275" s="32">
        <v>100</v>
      </c>
      <c r="EU275" s="32">
        <v>99.7</v>
      </c>
      <c r="EV275" s="32">
        <v>99.7</v>
      </c>
      <c r="EW275" s="32">
        <v>100.7</v>
      </c>
      <c r="EX275" s="32">
        <v>98.8</v>
      </c>
      <c r="EY275" s="32">
        <v>102.2</v>
      </c>
      <c r="EZ275" s="32">
        <v>100.5</v>
      </c>
      <c r="FA275" s="32">
        <v>102.3</v>
      </c>
      <c r="FB275" s="32">
        <v>101</v>
      </c>
      <c r="FC275" s="32">
        <v>100.7</v>
      </c>
      <c r="FD275" s="32">
        <v>96</v>
      </c>
      <c r="FE275" s="32">
        <v>103.5</v>
      </c>
      <c r="FF275" s="32">
        <v>103.8</v>
      </c>
      <c r="FG275" s="32">
        <v>98.9</v>
      </c>
      <c r="FH275" s="32">
        <v>100</v>
      </c>
      <c r="FI275" s="32">
        <v>99.9</v>
      </c>
      <c r="FJ275" s="32">
        <v>98.4</v>
      </c>
      <c r="FK275" s="32">
        <v>100.6</v>
      </c>
      <c r="FL275" s="32">
        <v>100.6</v>
      </c>
    </row>
    <row r="276" spans="1:168" x14ac:dyDescent="0.2">
      <c r="A276" s="34" t="s">
        <v>1256</v>
      </c>
      <c r="B276" s="32">
        <v>100.6</v>
      </c>
      <c r="C276" s="32">
        <v>100</v>
      </c>
      <c r="D276" s="32">
        <v>100.1</v>
      </c>
      <c r="E276" s="32">
        <v>100</v>
      </c>
      <c r="F276" s="32">
        <v>98.4</v>
      </c>
      <c r="G276" s="32">
        <v>97.7</v>
      </c>
      <c r="H276" s="32">
        <v>98.6</v>
      </c>
      <c r="I276" s="32">
        <v>97.5</v>
      </c>
      <c r="J276" s="32">
        <v>100.2</v>
      </c>
      <c r="K276" s="32">
        <v>98.3</v>
      </c>
      <c r="L276" s="32">
        <v>98.8</v>
      </c>
      <c r="M276" s="32">
        <v>98.8</v>
      </c>
      <c r="N276" s="32">
        <v>101</v>
      </c>
      <c r="O276" s="32">
        <v>116.7</v>
      </c>
      <c r="P276" s="32">
        <v>98.6</v>
      </c>
      <c r="Q276" s="32">
        <v>92.1</v>
      </c>
      <c r="R276" s="32">
        <v>98.3</v>
      </c>
      <c r="S276" s="32">
        <v>98.5</v>
      </c>
      <c r="T276" s="32">
        <v>100.2</v>
      </c>
      <c r="U276" s="32">
        <v>101.2</v>
      </c>
      <c r="V276" s="32">
        <v>95.2</v>
      </c>
      <c r="W276" s="32">
        <v>104.7</v>
      </c>
      <c r="X276" s="32">
        <v>105.2</v>
      </c>
      <c r="Y276" s="32">
        <v>101.5</v>
      </c>
      <c r="Z276" s="32">
        <v>117.6</v>
      </c>
      <c r="AA276" s="32">
        <v>95.4</v>
      </c>
      <c r="AB276" s="32">
        <v>97.4</v>
      </c>
      <c r="AC276" s="32">
        <v>97.4</v>
      </c>
      <c r="AD276" s="32">
        <v>92</v>
      </c>
      <c r="AE276" s="32">
        <v>96.3</v>
      </c>
      <c r="AF276" s="32">
        <v>96.3</v>
      </c>
      <c r="AG276" s="32">
        <v>98.8</v>
      </c>
      <c r="AH276" s="32">
        <v>98.8</v>
      </c>
      <c r="AI276" s="32">
        <v>94.7</v>
      </c>
      <c r="AJ276" s="32">
        <v>99.4</v>
      </c>
      <c r="AK276" s="32">
        <v>99</v>
      </c>
      <c r="AL276" s="32">
        <v>98.6</v>
      </c>
      <c r="AM276" s="32">
        <v>97.8</v>
      </c>
      <c r="AN276" s="32">
        <v>101.6</v>
      </c>
      <c r="AO276" s="32">
        <v>107</v>
      </c>
      <c r="AP276" s="32">
        <v>107</v>
      </c>
      <c r="AQ276" s="32">
        <v>100.5</v>
      </c>
      <c r="AR276" s="32">
        <v>101.9</v>
      </c>
      <c r="AS276" s="32">
        <v>98.5</v>
      </c>
      <c r="AT276" s="32">
        <v>96.8</v>
      </c>
      <c r="AU276" s="32">
        <v>99.8</v>
      </c>
      <c r="AV276" s="32">
        <v>99.3</v>
      </c>
      <c r="AW276" s="32">
        <v>99.1</v>
      </c>
      <c r="AX276" s="32">
        <v>102.4</v>
      </c>
      <c r="AY276" s="32">
        <v>92.2</v>
      </c>
      <c r="AZ276" s="32">
        <v>99.3</v>
      </c>
      <c r="BA276" s="32">
        <v>97.8</v>
      </c>
      <c r="BB276" s="32">
        <v>97.8</v>
      </c>
      <c r="BC276" s="32">
        <v>99.8</v>
      </c>
      <c r="BD276" s="32">
        <v>99.8</v>
      </c>
      <c r="BE276" s="32">
        <v>96.5</v>
      </c>
      <c r="BF276" s="32">
        <v>96.5</v>
      </c>
      <c r="BG276" s="32">
        <v>105.1</v>
      </c>
      <c r="BH276" s="32">
        <v>110.6</v>
      </c>
      <c r="BI276" s="32">
        <v>98.6</v>
      </c>
      <c r="BJ276" s="32">
        <v>101.2</v>
      </c>
      <c r="BK276" s="32">
        <v>97.7</v>
      </c>
      <c r="BL276" s="32">
        <v>101.1</v>
      </c>
      <c r="BM276" s="32">
        <v>99.6</v>
      </c>
      <c r="BN276" s="32">
        <v>100.2</v>
      </c>
      <c r="BO276" s="32">
        <v>99.9</v>
      </c>
      <c r="BP276" s="32">
        <v>100.4</v>
      </c>
      <c r="BQ276" s="32">
        <v>99</v>
      </c>
      <c r="BR276" s="32">
        <v>95.8</v>
      </c>
      <c r="BS276" s="32">
        <v>96.3</v>
      </c>
      <c r="BT276" s="32">
        <v>100.5</v>
      </c>
      <c r="BU276" s="32">
        <v>100.4</v>
      </c>
      <c r="BV276" s="32">
        <v>100.4</v>
      </c>
      <c r="BW276" s="32">
        <v>101.2</v>
      </c>
      <c r="BX276" s="32">
        <v>97.9</v>
      </c>
      <c r="BY276" s="32">
        <v>99.9</v>
      </c>
      <c r="BZ276" s="32">
        <v>99.7</v>
      </c>
      <c r="CA276" s="32">
        <v>100</v>
      </c>
      <c r="CB276" s="32">
        <v>99.3</v>
      </c>
      <c r="CC276" s="32">
        <v>100.7</v>
      </c>
      <c r="CD276" s="32">
        <v>101.8</v>
      </c>
      <c r="CE276" s="32">
        <v>100.4</v>
      </c>
      <c r="CF276" s="32">
        <v>100.7</v>
      </c>
      <c r="CG276" s="32">
        <v>100</v>
      </c>
      <c r="CH276" s="32">
        <v>99.6</v>
      </c>
      <c r="CI276" s="32">
        <v>96.7</v>
      </c>
      <c r="CJ276" s="32">
        <v>99.1</v>
      </c>
      <c r="CK276" s="32">
        <v>100.6</v>
      </c>
      <c r="CL276" s="32">
        <v>101.6</v>
      </c>
      <c r="CM276" s="32">
        <v>103</v>
      </c>
      <c r="CN276" s="32">
        <v>99</v>
      </c>
      <c r="CO276" s="32">
        <v>103.8</v>
      </c>
      <c r="CP276" s="32">
        <v>100.9</v>
      </c>
      <c r="CQ276" s="32">
        <v>100</v>
      </c>
      <c r="CR276" s="32">
        <v>102.3</v>
      </c>
      <c r="CS276" s="32">
        <v>98.2</v>
      </c>
      <c r="CT276" s="32">
        <v>99.5</v>
      </c>
      <c r="CU276" s="32">
        <v>98.7</v>
      </c>
      <c r="CV276" s="32">
        <v>99.9</v>
      </c>
      <c r="CW276" s="32">
        <v>101.1</v>
      </c>
      <c r="CX276" s="32">
        <v>99.7</v>
      </c>
      <c r="CY276" s="32">
        <v>102.5</v>
      </c>
      <c r="CZ276" s="32">
        <v>98.1</v>
      </c>
      <c r="DA276" s="32">
        <v>95.4</v>
      </c>
      <c r="DB276" s="32">
        <v>103.1</v>
      </c>
      <c r="DC276" s="32">
        <v>102.9</v>
      </c>
      <c r="DD276" s="32">
        <v>102.9</v>
      </c>
      <c r="DE276" s="32">
        <v>100.5</v>
      </c>
      <c r="DF276" s="32">
        <v>100.6</v>
      </c>
      <c r="DG276" s="32">
        <v>100</v>
      </c>
      <c r="DH276" s="32">
        <v>100.9</v>
      </c>
      <c r="DI276" s="32">
        <v>100.6</v>
      </c>
      <c r="DJ276" s="32">
        <v>99.5</v>
      </c>
      <c r="DK276" s="32">
        <v>99.5</v>
      </c>
      <c r="DL276" s="32">
        <v>102</v>
      </c>
      <c r="DM276" s="32">
        <v>100.1</v>
      </c>
      <c r="DN276" s="32">
        <v>99.8</v>
      </c>
      <c r="DO276" s="32">
        <v>100.3</v>
      </c>
      <c r="DP276" s="32">
        <v>98.9</v>
      </c>
      <c r="DQ276" s="32">
        <v>101.4</v>
      </c>
      <c r="DR276" s="32">
        <v>101.6</v>
      </c>
      <c r="DS276" s="32">
        <v>100.9</v>
      </c>
      <c r="DT276" s="32">
        <v>100.9</v>
      </c>
      <c r="DU276" s="32">
        <v>100.7</v>
      </c>
      <c r="DV276" s="32">
        <v>99.8</v>
      </c>
      <c r="DW276" s="32">
        <v>101.7</v>
      </c>
      <c r="DX276" s="32">
        <v>101.5</v>
      </c>
      <c r="DY276" s="32">
        <v>100.7</v>
      </c>
      <c r="DZ276" s="32">
        <v>105.6</v>
      </c>
      <c r="EA276" s="32">
        <v>105.6</v>
      </c>
      <c r="EB276" s="32">
        <v>102</v>
      </c>
      <c r="EC276" s="32">
        <v>103.1</v>
      </c>
      <c r="ED276" s="32">
        <v>100.5</v>
      </c>
      <c r="EE276" s="32">
        <v>101.6</v>
      </c>
      <c r="EF276" s="32">
        <v>97.9</v>
      </c>
      <c r="EG276" s="32">
        <v>101</v>
      </c>
      <c r="EH276" s="32">
        <v>103.9</v>
      </c>
      <c r="EI276" s="32">
        <v>99.7</v>
      </c>
      <c r="EJ276" s="32">
        <v>101.1</v>
      </c>
      <c r="EK276" s="32">
        <v>100.4</v>
      </c>
      <c r="EL276" s="32">
        <v>100.1</v>
      </c>
      <c r="EM276" s="32">
        <v>99.1</v>
      </c>
      <c r="EN276" s="32">
        <v>101.2</v>
      </c>
      <c r="EO276" s="32">
        <v>101.3</v>
      </c>
      <c r="EP276" s="32">
        <v>100.7</v>
      </c>
      <c r="EQ276" s="32">
        <v>100.7</v>
      </c>
      <c r="ER276" s="32">
        <v>100.9</v>
      </c>
      <c r="ES276" s="32">
        <v>100.9</v>
      </c>
      <c r="ET276" s="32">
        <v>102.1</v>
      </c>
      <c r="EU276" s="32">
        <v>102.3</v>
      </c>
      <c r="EV276" s="32">
        <v>102.3</v>
      </c>
      <c r="EW276" s="32">
        <v>101.5</v>
      </c>
      <c r="EX276" s="32">
        <v>100.2</v>
      </c>
      <c r="EY276" s="32">
        <v>102.6</v>
      </c>
      <c r="EZ276" s="32">
        <v>99</v>
      </c>
      <c r="FA276" s="32">
        <v>98.8</v>
      </c>
      <c r="FB276" s="32">
        <v>99.8</v>
      </c>
      <c r="FC276" s="32">
        <v>100.5</v>
      </c>
      <c r="FD276" s="32">
        <v>99.3</v>
      </c>
      <c r="FE276" s="32">
        <v>99.2</v>
      </c>
      <c r="FF276" s="32">
        <v>97.5</v>
      </c>
      <c r="FG276" s="32">
        <v>98.9</v>
      </c>
      <c r="FH276" s="32">
        <v>99.4</v>
      </c>
      <c r="FI276" s="32">
        <v>96.3</v>
      </c>
      <c r="FJ276" s="32">
        <v>99</v>
      </c>
      <c r="FK276" s="32">
        <v>100.6</v>
      </c>
      <c r="FL276" s="32">
        <v>100.6</v>
      </c>
    </row>
    <row r="277" spans="1:168" x14ac:dyDescent="0.2">
      <c r="A277" s="34" t="s">
        <v>1257</v>
      </c>
      <c r="B277" s="32">
        <v>100.3</v>
      </c>
      <c r="C277" s="32">
        <v>102</v>
      </c>
      <c r="D277" s="32">
        <v>99.9</v>
      </c>
      <c r="E277" s="32">
        <v>99.5</v>
      </c>
      <c r="F277" s="32">
        <v>99.5</v>
      </c>
      <c r="G277" s="32">
        <v>93.7</v>
      </c>
      <c r="H277" s="32">
        <v>99.2</v>
      </c>
      <c r="I277" s="32">
        <v>101.5</v>
      </c>
      <c r="J277" s="32">
        <v>99.3</v>
      </c>
      <c r="K277" s="32">
        <v>99.4</v>
      </c>
      <c r="L277" s="32">
        <v>99.2</v>
      </c>
      <c r="M277" s="32">
        <v>101.6</v>
      </c>
      <c r="N277" s="32">
        <v>100.4</v>
      </c>
      <c r="O277" s="32">
        <v>105.6</v>
      </c>
      <c r="P277" s="32">
        <v>95</v>
      </c>
      <c r="Q277" s="32">
        <v>90</v>
      </c>
      <c r="R277" s="32">
        <v>98.9</v>
      </c>
      <c r="S277" s="32">
        <v>99.6</v>
      </c>
      <c r="T277" s="32">
        <v>99.7</v>
      </c>
      <c r="U277" s="32">
        <v>97.4</v>
      </c>
      <c r="V277" s="32">
        <v>101.2</v>
      </c>
      <c r="W277" s="32">
        <v>99.5</v>
      </c>
      <c r="X277" s="32">
        <v>103.2</v>
      </c>
      <c r="Y277" s="32">
        <v>94.5</v>
      </c>
      <c r="Z277" s="32">
        <v>89.3</v>
      </c>
      <c r="AA277" s="32">
        <v>100.5</v>
      </c>
      <c r="AB277" s="32">
        <v>101.4</v>
      </c>
      <c r="AC277" s="32">
        <v>101.9</v>
      </c>
      <c r="AD277" s="32">
        <v>98.7</v>
      </c>
      <c r="AE277" s="32">
        <v>94.3</v>
      </c>
      <c r="AF277" s="32">
        <v>94.3</v>
      </c>
      <c r="AG277" s="32">
        <v>100</v>
      </c>
      <c r="AH277" s="32">
        <v>100</v>
      </c>
      <c r="AI277" s="32">
        <v>99.7</v>
      </c>
      <c r="AJ277" s="32">
        <v>100.9</v>
      </c>
      <c r="AK277" s="32">
        <v>96</v>
      </c>
      <c r="AL277" s="32">
        <v>100.3</v>
      </c>
      <c r="AM277" s="32">
        <v>98.8</v>
      </c>
      <c r="AN277" s="32">
        <v>102.3</v>
      </c>
      <c r="AO277" s="32">
        <v>95.8</v>
      </c>
      <c r="AP277" s="32">
        <v>95.8</v>
      </c>
      <c r="AQ277" s="32">
        <v>100.4</v>
      </c>
      <c r="AR277" s="32">
        <v>100.9</v>
      </c>
      <c r="AS277" s="32">
        <v>99.7</v>
      </c>
      <c r="AT277" s="32">
        <v>99.6</v>
      </c>
      <c r="AU277" s="32">
        <v>99.8</v>
      </c>
      <c r="AV277" s="32">
        <v>99.8</v>
      </c>
      <c r="AW277" s="32">
        <v>97.1</v>
      </c>
      <c r="AX277" s="32">
        <v>97.3</v>
      </c>
      <c r="AY277" s="32">
        <v>96.4</v>
      </c>
      <c r="AZ277" s="32">
        <v>100.4</v>
      </c>
      <c r="BA277" s="32">
        <v>97.9</v>
      </c>
      <c r="BB277" s="32">
        <v>97.9</v>
      </c>
      <c r="BC277" s="32">
        <v>100.7</v>
      </c>
      <c r="BD277" s="32">
        <v>100.7</v>
      </c>
      <c r="BE277" s="32">
        <v>97.7</v>
      </c>
      <c r="BF277" s="32">
        <v>97.7</v>
      </c>
      <c r="BG277" s="32">
        <v>101.2</v>
      </c>
      <c r="BH277" s="32">
        <v>105</v>
      </c>
      <c r="BI277" s="32">
        <v>96.7</v>
      </c>
      <c r="BJ277" s="32">
        <v>101.8</v>
      </c>
      <c r="BK277" s="32">
        <v>95.1</v>
      </c>
      <c r="BL277" s="32">
        <v>100.7</v>
      </c>
      <c r="BM277" s="32">
        <v>98.5</v>
      </c>
      <c r="BN277" s="32">
        <v>99.3</v>
      </c>
      <c r="BO277" s="32">
        <v>100.6</v>
      </c>
      <c r="BP277" s="32">
        <v>98.3</v>
      </c>
      <c r="BQ277" s="32">
        <v>97.5</v>
      </c>
      <c r="BR277" s="32">
        <v>102.7</v>
      </c>
      <c r="BS277" s="32">
        <v>93.5</v>
      </c>
      <c r="BT277" s="32">
        <v>98</v>
      </c>
      <c r="BU277" s="32">
        <v>99.3</v>
      </c>
      <c r="BV277" s="32">
        <v>99.3</v>
      </c>
      <c r="BW277" s="32">
        <v>102.2</v>
      </c>
      <c r="BX277" s="32">
        <v>91.1</v>
      </c>
      <c r="BY277" s="32">
        <v>101.4</v>
      </c>
      <c r="BZ277" s="32">
        <v>101.1</v>
      </c>
      <c r="CA277" s="32">
        <v>101.5</v>
      </c>
      <c r="CB277" s="32">
        <v>100.2</v>
      </c>
      <c r="CC277" s="32">
        <v>102.8</v>
      </c>
      <c r="CD277" s="32">
        <v>103.3</v>
      </c>
      <c r="CE277" s="32">
        <v>100.8</v>
      </c>
      <c r="CF277" s="32">
        <v>100.4</v>
      </c>
      <c r="CG277" s="32">
        <v>99.5</v>
      </c>
      <c r="CH277" s="32">
        <v>99.2</v>
      </c>
      <c r="CI277" s="32">
        <v>97.4</v>
      </c>
      <c r="CJ277" s="32">
        <v>98.7</v>
      </c>
      <c r="CK277" s="32">
        <v>100</v>
      </c>
      <c r="CL277" s="32">
        <v>100.4</v>
      </c>
      <c r="CM277" s="32">
        <v>100.3</v>
      </c>
      <c r="CN277" s="32">
        <v>98.5</v>
      </c>
      <c r="CO277" s="32">
        <v>100.7</v>
      </c>
      <c r="CP277" s="32">
        <v>100.1</v>
      </c>
      <c r="CQ277" s="32">
        <v>100.9</v>
      </c>
      <c r="CR277" s="32">
        <v>100.9</v>
      </c>
      <c r="CS277" s="32">
        <v>99.5</v>
      </c>
      <c r="CT277" s="32">
        <v>99.5</v>
      </c>
      <c r="CU277" s="32">
        <v>98.9</v>
      </c>
      <c r="CV277" s="32">
        <v>99.7</v>
      </c>
      <c r="CW277" s="32">
        <v>100.7</v>
      </c>
      <c r="CX277" s="32">
        <v>98.6</v>
      </c>
      <c r="CY277" s="32">
        <v>102.7</v>
      </c>
      <c r="CZ277" s="32">
        <v>96.3</v>
      </c>
      <c r="DA277" s="32">
        <v>93.8</v>
      </c>
      <c r="DB277" s="32">
        <v>101</v>
      </c>
      <c r="DC277" s="32">
        <v>102.6</v>
      </c>
      <c r="DD277" s="32">
        <v>102.6</v>
      </c>
      <c r="DE277" s="32">
        <v>100.5</v>
      </c>
      <c r="DF277" s="32">
        <v>101.6</v>
      </c>
      <c r="DG277" s="32">
        <v>93.9</v>
      </c>
      <c r="DH277" s="32">
        <v>100.9</v>
      </c>
      <c r="DI277" s="32">
        <v>100.5</v>
      </c>
      <c r="DJ277" s="32">
        <v>100.1</v>
      </c>
      <c r="DK277" s="32">
        <v>100.1</v>
      </c>
      <c r="DL277" s="32">
        <v>101.9</v>
      </c>
      <c r="DM277" s="32">
        <v>100.2</v>
      </c>
      <c r="DN277" s="32">
        <v>100.3</v>
      </c>
      <c r="DO277" s="32">
        <v>100.4</v>
      </c>
      <c r="DP277" s="32">
        <v>95.9</v>
      </c>
      <c r="DQ277" s="32">
        <v>101.7</v>
      </c>
      <c r="DR277" s="32">
        <v>102.1</v>
      </c>
      <c r="DS277" s="32">
        <v>103.4</v>
      </c>
      <c r="DT277" s="32">
        <v>103.6</v>
      </c>
      <c r="DU277" s="32">
        <v>104.3</v>
      </c>
      <c r="DV277" s="32">
        <v>103.2</v>
      </c>
      <c r="DW277" s="32">
        <v>105.5</v>
      </c>
      <c r="DX277" s="32">
        <v>102.3</v>
      </c>
      <c r="DY277" s="32">
        <v>102.6</v>
      </c>
      <c r="DZ277" s="32">
        <v>95.8</v>
      </c>
      <c r="EA277" s="32">
        <v>95.8</v>
      </c>
      <c r="EB277" s="32">
        <v>100.8</v>
      </c>
      <c r="EC277" s="32">
        <v>101</v>
      </c>
      <c r="ED277" s="32">
        <v>100.6</v>
      </c>
      <c r="EE277" s="32">
        <v>101.4</v>
      </c>
      <c r="EF277" s="32">
        <v>98.6</v>
      </c>
      <c r="EG277" s="32">
        <v>101.1</v>
      </c>
      <c r="EH277" s="32">
        <v>100.7</v>
      </c>
      <c r="EI277" s="32">
        <v>101.6</v>
      </c>
      <c r="EJ277" s="32">
        <v>102.7</v>
      </c>
      <c r="EK277" s="32">
        <v>100.5</v>
      </c>
      <c r="EL277" s="32">
        <v>100</v>
      </c>
      <c r="EM277" s="32">
        <v>102.4</v>
      </c>
      <c r="EN277" s="32">
        <v>99.5</v>
      </c>
      <c r="EO277" s="32">
        <v>100</v>
      </c>
      <c r="EP277" s="32">
        <v>100.5</v>
      </c>
      <c r="EQ277" s="32">
        <v>100.5</v>
      </c>
      <c r="ER277" s="32">
        <v>99.5</v>
      </c>
      <c r="ES277" s="32">
        <v>99.5</v>
      </c>
      <c r="ET277" s="32">
        <v>100.1</v>
      </c>
      <c r="EU277" s="32">
        <v>99.6</v>
      </c>
      <c r="EV277" s="32">
        <v>99.6</v>
      </c>
      <c r="EW277" s="32">
        <v>101.1</v>
      </c>
      <c r="EX277" s="32">
        <v>100.2</v>
      </c>
      <c r="EY277" s="32">
        <v>101.8</v>
      </c>
      <c r="EZ277" s="32">
        <v>100.6</v>
      </c>
      <c r="FA277" s="32">
        <v>101.2</v>
      </c>
      <c r="FB277" s="32">
        <v>99.7</v>
      </c>
      <c r="FC277" s="32">
        <v>102.2</v>
      </c>
      <c r="FD277" s="32">
        <v>100.1</v>
      </c>
      <c r="FE277" s="32">
        <v>95.7</v>
      </c>
      <c r="FF277" s="32">
        <v>103.1</v>
      </c>
      <c r="FG277" s="32">
        <v>100.3</v>
      </c>
      <c r="FH277" s="32">
        <v>99.4</v>
      </c>
      <c r="FI277" s="32">
        <v>96.6</v>
      </c>
      <c r="FJ277" s="32">
        <v>101.2</v>
      </c>
      <c r="FK277" s="32">
        <v>98.1</v>
      </c>
      <c r="FL277" s="32">
        <v>98.1</v>
      </c>
    </row>
    <row r="278" spans="1:168" x14ac:dyDescent="0.2">
      <c r="A278" s="34" t="s">
        <v>1258</v>
      </c>
      <c r="B278" s="32">
        <v>100.6</v>
      </c>
      <c r="C278" s="32">
        <v>104.7</v>
      </c>
      <c r="D278" s="32">
        <v>101.2</v>
      </c>
      <c r="E278" s="32">
        <v>101.3</v>
      </c>
      <c r="F278" s="32">
        <v>103.8</v>
      </c>
      <c r="G278" s="32">
        <v>92.6</v>
      </c>
      <c r="H278" s="32">
        <v>103.9</v>
      </c>
      <c r="I278" s="32">
        <v>103.3</v>
      </c>
      <c r="J278" s="32">
        <v>100.8</v>
      </c>
      <c r="K278" s="32">
        <v>101.1</v>
      </c>
      <c r="L278" s="32">
        <v>100.4</v>
      </c>
      <c r="M278" s="32">
        <v>106</v>
      </c>
      <c r="N278" s="32">
        <v>99.2</v>
      </c>
      <c r="O278" s="32">
        <v>107.4</v>
      </c>
      <c r="P278" s="32">
        <v>93.1</v>
      </c>
      <c r="Q278" s="32">
        <v>90.7</v>
      </c>
      <c r="R278" s="32">
        <v>98.8</v>
      </c>
      <c r="S278" s="32">
        <v>100.6</v>
      </c>
      <c r="T278" s="32">
        <v>103.4</v>
      </c>
      <c r="U278" s="32">
        <v>96.7</v>
      </c>
      <c r="V278" s="32">
        <v>106.1</v>
      </c>
      <c r="W278" s="32">
        <v>99.8</v>
      </c>
      <c r="X278" s="32">
        <v>102.8</v>
      </c>
      <c r="Y278" s="32">
        <v>95.9</v>
      </c>
      <c r="Z278" s="32">
        <v>88.7</v>
      </c>
      <c r="AA278" s="32">
        <v>100.4</v>
      </c>
      <c r="AB278" s="32">
        <v>100.1</v>
      </c>
      <c r="AC278" s="32">
        <v>100.3</v>
      </c>
      <c r="AD278" s="32">
        <v>100.7</v>
      </c>
      <c r="AE278" s="32">
        <v>91.8</v>
      </c>
      <c r="AF278" s="32">
        <v>91.8</v>
      </c>
      <c r="AG278" s="32">
        <v>101.4</v>
      </c>
      <c r="AH278" s="32">
        <v>101.4</v>
      </c>
      <c r="AI278" s="32">
        <v>97.5</v>
      </c>
      <c r="AJ278" s="32">
        <v>96.8</v>
      </c>
      <c r="AK278" s="32">
        <v>103</v>
      </c>
      <c r="AL278" s="32">
        <v>99.6</v>
      </c>
      <c r="AM278" s="32">
        <v>104.1</v>
      </c>
      <c r="AN278" s="32">
        <v>105.5</v>
      </c>
      <c r="AO278" s="32">
        <v>94.4</v>
      </c>
      <c r="AP278" s="32">
        <v>94.4</v>
      </c>
      <c r="AQ278" s="32">
        <v>100.7</v>
      </c>
      <c r="AR278" s="32">
        <v>99</v>
      </c>
      <c r="AS278" s="32">
        <v>103</v>
      </c>
      <c r="AT278" s="32">
        <v>108</v>
      </c>
      <c r="AU278" s="32">
        <v>99.2</v>
      </c>
      <c r="AV278" s="32">
        <v>102.3</v>
      </c>
      <c r="AW278" s="32">
        <v>106.6</v>
      </c>
      <c r="AX278" s="32">
        <v>109.5</v>
      </c>
      <c r="AY278" s="32">
        <v>100.7</v>
      </c>
      <c r="AZ278" s="32">
        <v>101.5</v>
      </c>
      <c r="BA278" s="32">
        <v>101.5</v>
      </c>
      <c r="BB278" s="32">
        <v>101.5</v>
      </c>
      <c r="BC278" s="32">
        <v>103.1</v>
      </c>
      <c r="BD278" s="32">
        <v>103.1</v>
      </c>
      <c r="BE278" s="32">
        <v>98.7</v>
      </c>
      <c r="BF278" s="32">
        <v>98.7</v>
      </c>
      <c r="BG278" s="32">
        <v>103.1</v>
      </c>
      <c r="BH278" s="32">
        <v>107.5</v>
      </c>
      <c r="BI278" s="32">
        <v>98</v>
      </c>
      <c r="BJ278" s="32">
        <v>102.7</v>
      </c>
      <c r="BK278" s="32">
        <v>96.6</v>
      </c>
      <c r="BL278" s="32">
        <v>101.3</v>
      </c>
      <c r="BM278" s="32">
        <v>101.8</v>
      </c>
      <c r="BN278" s="32">
        <v>102.5</v>
      </c>
      <c r="BO278" s="32">
        <v>101.8</v>
      </c>
      <c r="BP278" s="32">
        <v>103</v>
      </c>
      <c r="BQ278" s="32">
        <v>101.1</v>
      </c>
      <c r="BR278" s="32">
        <v>100.9</v>
      </c>
      <c r="BS278" s="32">
        <v>97.1</v>
      </c>
      <c r="BT278" s="32">
        <v>102.5</v>
      </c>
      <c r="BU278" s="32">
        <v>103.1</v>
      </c>
      <c r="BV278" s="32">
        <v>103.1</v>
      </c>
      <c r="BW278" s="32">
        <v>103.6</v>
      </c>
      <c r="BX278" s="32">
        <v>102</v>
      </c>
      <c r="BY278" s="32">
        <v>101.4</v>
      </c>
      <c r="BZ278" s="32">
        <v>100</v>
      </c>
      <c r="CA278" s="32">
        <v>102.1</v>
      </c>
      <c r="CB278" s="32">
        <v>100.4</v>
      </c>
      <c r="CC278" s="32">
        <v>103.6</v>
      </c>
      <c r="CD278" s="32">
        <v>104.5</v>
      </c>
      <c r="CE278" s="32">
        <v>100.9</v>
      </c>
      <c r="CF278" s="32">
        <v>100.4</v>
      </c>
      <c r="CG278" s="32">
        <v>99.6</v>
      </c>
      <c r="CH278" s="32">
        <v>99.5</v>
      </c>
      <c r="CI278" s="32">
        <v>101.9</v>
      </c>
      <c r="CJ278" s="32">
        <v>99.7</v>
      </c>
      <c r="CK278" s="32">
        <v>98.7</v>
      </c>
      <c r="CL278" s="32">
        <v>100</v>
      </c>
      <c r="CM278" s="32">
        <v>99.5</v>
      </c>
      <c r="CN278" s="32">
        <v>99.6</v>
      </c>
      <c r="CO278" s="32">
        <v>99.5</v>
      </c>
      <c r="CP278" s="32">
        <v>100.3</v>
      </c>
      <c r="CQ278" s="32">
        <v>100.5</v>
      </c>
      <c r="CR278" s="32">
        <v>101.1</v>
      </c>
      <c r="CS278" s="32">
        <v>99.2</v>
      </c>
      <c r="CT278" s="32">
        <v>99.3</v>
      </c>
      <c r="CU278" s="32">
        <v>99.9</v>
      </c>
      <c r="CV278" s="32">
        <v>99.1</v>
      </c>
      <c r="CW278" s="32">
        <v>103.6</v>
      </c>
      <c r="CX278" s="32">
        <v>101.2</v>
      </c>
      <c r="CY278" s="32">
        <v>100.8</v>
      </c>
      <c r="CZ278" s="32">
        <v>101.5</v>
      </c>
      <c r="DA278" s="32">
        <v>101.9</v>
      </c>
      <c r="DB278" s="32">
        <v>100.6</v>
      </c>
      <c r="DC278" s="32">
        <v>105</v>
      </c>
      <c r="DD278" s="32">
        <v>105</v>
      </c>
      <c r="DE278" s="32">
        <v>104</v>
      </c>
      <c r="DF278" s="32">
        <v>104.4</v>
      </c>
      <c r="DG278" s="32">
        <v>101.5</v>
      </c>
      <c r="DH278" s="32">
        <v>100.7</v>
      </c>
      <c r="DI278" s="32">
        <v>99.8</v>
      </c>
      <c r="DJ278" s="32">
        <v>100.9</v>
      </c>
      <c r="DK278" s="32">
        <v>100.9</v>
      </c>
      <c r="DL278" s="32">
        <v>102</v>
      </c>
      <c r="DM278" s="32">
        <v>100.4</v>
      </c>
      <c r="DN278" s="32">
        <v>101.3</v>
      </c>
      <c r="DO278" s="32">
        <v>100.2</v>
      </c>
      <c r="DP278" s="32">
        <v>97.5</v>
      </c>
      <c r="DQ278" s="32">
        <v>100.1</v>
      </c>
      <c r="DR278" s="32">
        <v>100.3</v>
      </c>
      <c r="DS278" s="32">
        <v>100.5</v>
      </c>
      <c r="DT278" s="32">
        <v>101.8</v>
      </c>
      <c r="DU278" s="32">
        <v>101.1</v>
      </c>
      <c r="DV278" s="32">
        <v>100.7</v>
      </c>
      <c r="DW278" s="32">
        <v>101.7</v>
      </c>
      <c r="DX278" s="32">
        <v>103.1</v>
      </c>
      <c r="DY278" s="32">
        <v>96</v>
      </c>
      <c r="DZ278" s="32">
        <v>96.5</v>
      </c>
      <c r="EA278" s="32">
        <v>96.5</v>
      </c>
      <c r="EB278" s="32">
        <v>101.4</v>
      </c>
      <c r="EC278" s="32">
        <v>99.5</v>
      </c>
      <c r="ED278" s="32">
        <v>103.8</v>
      </c>
      <c r="EE278" s="32">
        <v>105.2</v>
      </c>
      <c r="EF278" s="32">
        <v>100.1</v>
      </c>
      <c r="EG278" s="32">
        <v>99.9</v>
      </c>
      <c r="EH278" s="32">
        <v>96.4</v>
      </c>
      <c r="EI278" s="32">
        <v>102.5</v>
      </c>
      <c r="EJ278" s="32">
        <v>99.3</v>
      </c>
      <c r="EK278" s="32">
        <v>100.2</v>
      </c>
      <c r="EL278" s="32">
        <v>100</v>
      </c>
      <c r="EM278" s="32">
        <v>101.4</v>
      </c>
      <c r="EN278" s="32">
        <v>99.5</v>
      </c>
      <c r="EO278" s="32">
        <v>100.3</v>
      </c>
      <c r="EP278" s="32">
        <v>100.5</v>
      </c>
      <c r="EQ278" s="32">
        <v>100.5</v>
      </c>
      <c r="ER278" s="32">
        <v>99.5</v>
      </c>
      <c r="ES278" s="32">
        <v>99.5</v>
      </c>
      <c r="ET278" s="32">
        <v>100.9</v>
      </c>
      <c r="EU278" s="32">
        <v>101.1</v>
      </c>
      <c r="EV278" s="32">
        <v>101.1</v>
      </c>
      <c r="EW278" s="32">
        <v>100.5</v>
      </c>
      <c r="EX278" s="32">
        <v>100.3</v>
      </c>
      <c r="EY278" s="32">
        <v>100.6</v>
      </c>
      <c r="EZ278" s="32">
        <v>99.8</v>
      </c>
      <c r="FA278" s="32">
        <v>98.5</v>
      </c>
      <c r="FB278" s="32">
        <v>98.6</v>
      </c>
      <c r="FC278" s="32">
        <v>100.6</v>
      </c>
      <c r="FD278" s="32">
        <v>100</v>
      </c>
      <c r="FE278" s="32">
        <v>95.1</v>
      </c>
      <c r="FF278" s="32">
        <v>98.4</v>
      </c>
      <c r="FG278" s="32">
        <v>101.4</v>
      </c>
      <c r="FH278" s="32">
        <v>100.1</v>
      </c>
      <c r="FI278" s="32">
        <v>95.4</v>
      </c>
      <c r="FJ278" s="32">
        <v>102.5</v>
      </c>
      <c r="FK278" s="32">
        <v>95.8</v>
      </c>
      <c r="FL278" s="32">
        <v>95.8</v>
      </c>
    </row>
    <row r="279" spans="1:168" x14ac:dyDescent="0.2">
      <c r="A279" s="34" t="s">
        <v>1259</v>
      </c>
      <c r="B279" s="32">
        <v>100.5</v>
      </c>
      <c r="C279" s="32">
        <v>106.2</v>
      </c>
      <c r="D279" s="32">
        <v>101.6</v>
      </c>
      <c r="E279" s="32">
        <v>102.7</v>
      </c>
      <c r="F279" s="32">
        <v>100.4</v>
      </c>
      <c r="G279" s="32">
        <v>89.4</v>
      </c>
      <c r="H279" s="32">
        <v>99.7</v>
      </c>
      <c r="I279" s="32">
        <v>104.1</v>
      </c>
      <c r="J279" s="32">
        <v>101.8</v>
      </c>
      <c r="K279" s="32">
        <v>101.2</v>
      </c>
      <c r="L279" s="32">
        <v>100.4</v>
      </c>
      <c r="M279" s="32">
        <v>105</v>
      </c>
      <c r="N279" s="32">
        <v>102</v>
      </c>
      <c r="O279" s="32">
        <v>96.9</v>
      </c>
      <c r="P279" s="32">
        <v>90.3</v>
      </c>
      <c r="Q279" s="32">
        <v>94</v>
      </c>
      <c r="R279" s="32">
        <v>99.6</v>
      </c>
      <c r="S279" s="32">
        <v>100.7</v>
      </c>
      <c r="T279" s="32">
        <v>101.7</v>
      </c>
      <c r="U279" s="32">
        <v>96.9</v>
      </c>
      <c r="V279" s="32">
        <v>106.3</v>
      </c>
      <c r="W279" s="32">
        <v>97.1</v>
      </c>
      <c r="X279" s="32">
        <v>98.7</v>
      </c>
      <c r="Y279" s="32">
        <v>94.5</v>
      </c>
      <c r="Z279" s="32">
        <v>96.9</v>
      </c>
      <c r="AA279" s="32">
        <v>101.3</v>
      </c>
      <c r="AB279" s="32">
        <v>102.5</v>
      </c>
      <c r="AC279" s="32">
        <v>100.2</v>
      </c>
      <c r="AD279" s="32">
        <v>101.6</v>
      </c>
      <c r="AE279" s="32">
        <v>99.9</v>
      </c>
      <c r="AF279" s="32">
        <v>99.9</v>
      </c>
      <c r="AG279" s="32">
        <v>100.5</v>
      </c>
      <c r="AH279" s="32">
        <v>100.5</v>
      </c>
      <c r="AI279" s="32">
        <v>105.1</v>
      </c>
      <c r="AJ279" s="32">
        <v>94</v>
      </c>
      <c r="AK279" s="32">
        <v>100</v>
      </c>
      <c r="AL279" s="32">
        <v>99.1</v>
      </c>
      <c r="AM279" s="32">
        <v>102.2</v>
      </c>
      <c r="AN279" s="32">
        <v>105.3</v>
      </c>
      <c r="AO279" s="32">
        <v>95.5</v>
      </c>
      <c r="AP279" s="32">
        <v>95.5</v>
      </c>
      <c r="AQ279" s="32">
        <v>100.6</v>
      </c>
      <c r="AR279" s="32">
        <v>99.1</v>
      </c>
      <c r="AS279" s="32">
        <v>102.7</v>
      </c>
      <c r="AT279" s="32">
        <v>102.4</v>
      </c>
      <c r="AU279" s="32">
        <v>102.8</v>
      </c>
      <c r="AV279" s="32">
        <v>104.3</v>
      </c>
      <c r="AW279" s="32">
        <v>115.1</v>
      </c>
      <c r="AX279" s="32">
        <v>113.4</v>
      </c>
      <c r="AY279" s="32">
        <v>117</v>
      </c>
      <c r="AZ279" s="32">
        <v>102.3</v>
      </c>
      <c r="BA279" s="32">
        <v>105.4</v>
      </c>
      <c r="BB279" s="32">
        <v>105.4</v>
      </c>
      <c r="BC279" s="32">
        <v>103.6</v>
      </c>
      <c r="BD279" s="32">
        <v>103.6</v>
      </c>
      <c r="BE279" s="32">
        <v>103.6</v>
      </c>
      <c r="BF279" s="32">
        <v>103.6</v>
      </c>
      <c r="BG279" s="32">
        <v>104.3</v>
      </c>
      <c r="BH279" s="32">
        <v>107.2</v>
      </c>
      <c r="BI279" s="32">
        <v>99.9</v>
      </c>
      <c r="BJ279" s="32">
        <v>105.2</v>
      </c>
      <c r="BK279" s="32">
        <v>98.3</v>
      </c>
      <c r="BL279" s="32">
        <v>104.2</v>
      </c>
      <c r="BM279" s="32">
        <v>101</v>
      </c>
      <c r="BN279" s="32">
        <v>101.2</v>
      </c>
      <c r="BO279" s="32">
        <v>102.5</v>
      </c>
      <c r="BP279" s="32">
        <v>100.3</v>
      </c>
      <c r="BQ279" s="32">
        <v>100.8</v>
      </c>
      <c r="BR279" s="32">
        <v>99.3</v>
      </c>
      <c r="BS279" s="32">
        <v>94.9</v>
      </c>
      <c r="BT279" s="32">
        <v>103</v>
      </c>
      <c r="BU279" s="32">
        <v>112.1</v>
      </c>
      <c r="BV279" s="32">
        <v>112.1</v>
      </c>
      <c r="BW279" s="32">
        <v>106.6</v>
      </c>
      <c r="BX279" s="32">
        <v>127.1</v>
      </c>
      <c r="BY279" s="32">
        <v>100.6</v>
      </c>
      <c r="BZ279" s="32">
        <v>100.3</v>
      </c>
      <c r="CA279" s="32">
        <v>100.8</v>
      </c>
      <c r="CB279" s="32">
        <v>100.7</v>
      </c>
      <c r="CC279" s="32">
        <v>100.9</v>
      </c>
      <c r="CD279" s="32">
        <v>101.5</v>
      </c>
      <c r="CE279" s="32">
        <v>99.2</v>
      </c>
      <c r="CF279" s="32">
        <v>100.1</v>
      </c>
      <c r="CG279" s="32">
        <v>99.3</v>
      </c>
      <c r="CH279" s="32">
        <v>98.7</v>
      </c>
      <c r="CI279" s="32">
        <v>98.5</v>
      </c>
      <c r="CJ279" s="32">
        <v>97.8</v>
      </c>
      <c r="CK279" s="32">
        <v>99.5</v>
      </c>
      <c r="CL279" s="32">
        <v>99.8</v>
      </c>
      <c r="CM279" s="32">
        <v>99</v>
      </c>
      <c r="CN279" s="32">
        <v>106</v>
      </c>
      <c r="CO279" s="32">
        <v>97.7</v>
      </c>
      <c r="CP279" s="32">
        <v>98.9</v>
      </c>
      <c r="CQ279" s="32">
        <v>100.2</v>
      </c>
      <c r="CR279" s="32">
        <v>99.4</v>
      </c>
      <c r="CS279" s="32">
        <v>103.2</v>
      </c>
      <c r="CT279" s="32">
        <v>100.7</v>
      </c>
      <c r="CU279" s="32">
        <v>98.7</v>
      </c>
      <c r="CV279" s="32">
        <v>101.5</v>
      </c>
      <c r="CW279" s="32">
        <v>102.2</v>
      </c>
      <c r="CX279" s="32">
        <v>99.3</v>
      </c>
      <c r="CY279" s="32">
        <v>97.8</v>
      </c>
      <c r="CZ279" s="32">
        <v>100.2</v>
      </c>
      <c r="DA279" s="32">
        <v>99.7</v>
      </c>
      <c r="DB279" s="32">
        <v>101</v>
      </c>
      <c r="DC279" s="32">
        <v>104</v>
      </c>
      <c r="DD279" s="32">
        <v>104</v>
      </c>
      <c r="DE279" s="32">
        <v>102.5</v>
      </c>
      <c r="DF279" s="32">
        <v>101.7</v>
      </c>
      <c r="DG279" s="32">
        <v>107.3</v>
      </c>
      <c r="DH279" s="32">
        <v>100.6</v>
      </c>
      <c r="DI279" s="32">
        <v>99.4</v>
      </c>
      <c r="DJ279" s="32">
        <v>101.5</v>
      </c>
      <c r="DK279" s="32">
        <v>101.5</v>
      </c>
      <c r="DL279" s="32">
        <v>102.1</v>
      </c>
      <c r="DM279" s="32">
        <v>100.2</v>
      </c>
      <c r="DN279" s="32">
        <v>101.6</v>
      </c>
      <c r="DO279" s="32">
        <v>99.7</v>
      </c>
      <c r="DP279" s="32">
        <v>99.3</v>
      </c>
      <c r="DQ279" s="32">
        <v>100.7</v>
      </c>
      <c r="DR279" s="32">
        <v>102.1</v>
      </c>
      <c r="DS279" s="32">
        <v>102.1</v>
      </c>
      <c r="DT279" s="32">
        <v>102.2</v>
      </c>
      <c r="DU279" s="32">
        <v>102.1</v>
      </c>
      <c r="DV279" s="32">
        <v>101.5</v>
      </c>
      <c r="DW279" s="32">
        <v>102.8</v>
      </c>
      <c r="DX279" s="32">
        <v>102.6</v>
      </c>
      <c r="DY279" s="32">
        <v>101.6</v>
      </c>
      <c r="DZ279" s="32">
        <v>102.7</v>
      </c>
      <c r="EA279" s="32">
        <v>102.7</v>
      </c>
      <c r="EB279" s="32">
        <v>101.7</v>
      </c>
      <c r="EC279" s="32">
        <v>99.5</v>
      </c>
      <c r="ED279" s="32">
        <v>104.5</v>
      </c>
      <c r="EE279" s="32">
        <v>106.5</v>
      </c>
      <c r="EF279" s="32">
        <v>99.5</v>
      </c>
      <c r="EG279" s="32">
        <v>98.7</v>
      </c>
      <c r="EH279" s="32">
        <v>99.9</v>
      </c>
      <c r="EI279" s="32">
        <v>98.4</v>
      </c>
      <c r="EJ279" s="32">
        <v>96.7</v>
      </c>
      <c r="EK279" s="32">
        <v>98.7</v>
      </c>
      <c r="EL279" s="32">
        <v>99.9</v>
      </c>
      <c r="EM279" s="32">
        <v>101.9</v>
      </c>
      <c r="EN279" s="32">
        <v>96.5</v>
      </c>
      <c r="EO279" s="32">
        <v>99.6</v>
      </c>
      <c r="EP279" s="32">
        <v>99.8</v>
      </c>
      <c r="EQ279" s="32">
        <v>99.8</v>
      </c>
      <c r="ER279" s="32">
        <v>99.2</v>
      </c>
      <c r="ES279" s="32">
        <v>99.2</v>
      </c>
      <c r="ET279" s="32">
        <v>99.7</v>
      </c>
      <c r="EU279" s="32">
        <v>99.8</v>
      </c>
      <c r="EV279" s="32">
        <v>99.8</v>
      </c>
      <c r="EW279" s="32">
        <v>99.5</v>
      </c>
      <c r="EX279" s="32">
        <v>100.2</v>
      </c>
      <c r="EY279" s="32">
        <v>98.9</v>
      </c>
      <c r="EZ279" s="32">
        <v>99.3</v>
      </c>
      <c r="FA279" s="32">
        <v>96.5</v>
      </c>
      <c r="FB279" s="32">
        <v>96.4</v>
      </c>
      <c r="FC279" s="32">
        <v>95.7</v>
      </c>
      <c r="FD279" s="32">
        <v>100.7</v>
      </c>
      <c r="FE279" s="32">
        <v>95.6</v>
      </c>
      <c r="FF279" s="32">
        <v>96.6</v>
      </c>
      <c r="FG279" s="32">
        <v>102.1</v>
      </c>
      <c r="FH279" s="32">
        <v>100.4</v>
      </c>
      <c r="FI279" s="32">
        <v>94.6</v>
      </c>
      <c r="FJ279" s="32">
        <v>103.6</v>
      </c>
      <c r="FK279" s="32">
        <v>96</v>
      </c>
      <c r="FL279" s="32">
        <v>96</v>
      </c>
    </row>
    <row r="280" spans="1:168" x14ac:dyDescent="0.2">
      <c r="A280" s="34" t="s">
        <v>1260</v>
      </c>
      <c r="B280" s="32">
        <v>100.3</v>
      </c>
      <c r="C280" s="32">
        <v>106.6</v>
      </c>
      <c r="D280" s="32">
        <v>102.3</v>
      </c>
      <c r="E280" s="32">
        <v>103</v>
      </c>
      <c r="F280" s="32">
        <v>105.8</v>
      </c>
      <c r="G280" s="32">
        <v>82</v>
      </c>
      <c r="H280" s="32">
        <v>106</v>
      </c>
      <c r="I280" s="32">
        <v>105.3</v>
      </c>
      <c r="J280" s="32">
        <v>101</v>
      </c>
      <c r="K280" s="32">
        <v>100.8</v>
      </c>
      <c r="L280" s="32">
        <v>99.6</v>
      </c>
      <c r="M280" s="32">
        <v>106.7</v>
      </c>
      <c r="N280" s="32">
        <v>99.7</v>
      </c>
      <c r="O280" s="32">
        <v>74.099999999999994</v>
      </c>
      <c r="P280" s="32">
        <v>84.7</v>
      </c>
      <c r="Q280" s="32">
        <v>89.5</v>
      </c>
      <c r="R280" s="32">
        <v>100.8</v>
      </c>
      <c r="S280" s="32">
        <v>100.5</v>
      </c>
      <c r="T280" s="32">
        <v>99.4</v>
      </c>
      <c r="U280" s="32">
        <v>94.5</v>
      </c>
      <c r="V280" s="32">
        <v>108.6</v>
      </c>
      <c r="W280" s="32">
        <v>92.1</v>
      </c>
      <c r="X280" s="32">
        <v>92</v>
      </c>
      <c r="Y280" s="32">
        <v>91.8</v>
      </c>
      <c r="Z280" s="32">
        <v>95.5</v>
      </c>
      <c r="AA280" s="32">
        <v>99.9</v>
      </c>
      <c r="AB280" s="32">
        <v>102</v>
      </c>
      <c r="AC280" s="32">
        <v>97.4</v>
      </c>
      <c r="AD280" s="32">
        <v>100.8</v>
      </c>
      <c r="AE280" s="32">
        <v>101</v>
      </c>
      <c r="AF280" s="32">
        <v>101</v>
      </c>
      <c r="AG280" s="32">
        <v>97</v>
      </c>
      <c r="AH280" s="32">
        <v>97</v>
      </c>
      <c r="AI280" s="32">
        <v>96.6</v>
      </c>
      <c r="AJ280" s="32">
        <v>94.5</v>
      </c>
      <c r="AK280" s="32">
        <v>89.8</v>
      </c>
      <c r="AL280" s="32">
        <v>93.5</v>
      </c>
      <c r="AM280" s="32">
        <v>100</v>
      </c>
      <c r="AN280" s="32">
        <v>100.1</v>
      </c>
      <c r="AO280" s="32">
        <v>100.3</v>
      </c>
      <c r="AP280" s="32">
        <v>100.3</v>
      </c>
      <c r="AQ280" s="32">
        <v>100.6</v>
      </c>
      <c r="AR280" s="32">
        <v>99</v>
      </c>
      <c r="AS280" s="32">
        <v>102.8</v>
      </c>
      <c r="AT280" s="32">
        <v>104.3</v>
      </c>
      <c r="AU280" s="32">
        <v>101.7</v>
      </c>
      <c r="AV280" s="32">
        <v>106.7</v>
      </c>
      <c r="AW280" s="32">
        <v>113.8</v>
      </c>
      <c r="AX280" s="32">
        <v>118.9</v>
      </c>
      <c r="AY280" s="32">
        <v>107.6</v>
      </c>
      <c r="AZ280" s="32">
        <v>105.6</v>
      </c>
      <c r="BA280" s="32">
        <v>103.6</v>
      </c>
      <c r="BB280" s="32">
        <v>103.6</v>
      </c>
      <c r="BC280" s="32">
        <v>106.4</v>
      </c>
      <c r="BD280" s="32">
        <v>106.4</v>
      </c>
      <c r="BE280" s="32">
        <v>97.6</v>
      </c>
      <c r="BF280" s="32">
        <v>97.6</v>
      </c>
      <c r="BG280" s="32">
        <v>99.8</v>
      </c>
      <c r="BH280" s="32">
        <v>95.7</v>
      </c>
      <c r="BI280" s="32">
        <v>105</v>
      </c>
      <c r="BJ280" s="32">
        <v>108.9</v>
      </c>
      <c r="BK280" s="32">
        <v>103.8</v>
      </c>
      <c r="BL280" s="32">
        <v>108.3</v>
      </c>
      <c r="BM280" s="32">
        <v>104.6</v>
      </c>
      <c r="BN280" s="32">
        <v>101.2</v>
      </c>
      <c r="BO280" s="32">
        <v>103.5</v>
      </c>
      <c r="BP280" s="32">
        <v>99.3</v>
      </c>
      <c r="BQ280" s="32">
        <v>108.5</v>
      </c>
      <c r="BR280" s="32">
        <v>100.9</v>
      </c>
      <c r="BS280" s="32">
        <v>104.9</v>
      </c>
      <c r="BT280" s="32">
        <v>110.9</v>
      </c>
      <c r="BU280" s="32">
        <v>115.7</v>
      </c>
      <c r="BV280" s="32">
        <v>115.7</v>
      </c>
      <c r="BW280" s="32">
        <v>107.1</v>
      </c>
      <c r="BX280" s="32">
        <v>142.6</v>
      </c>
      <c r="BY280" s="32">
        <v>100.9</v>
      </c>
      <c r="BZ280" s="32">
        <v>99.7</v>
      </c>
      <c r="CA280" s="32">
        <v>101.5</v>
      </c>
      <c r="CB280" s="32">
        <v>103.8</v>
      </c>
      <c r="CC280" s="32">
        <v>99.2</v>
      </c>
      <c r="CD280" s="32">
        <v>99.5</v>
      </c>
      <c r="CE280" s="32">
        <v>100.7</v>
      </c>
      <c r="CF280" s="32">
        <v>99.7</v>
      </c>
      <c r="CG280" s="32">
        <v>98.3</v>
      </c>
      <c r="CH280" s="32">
        <v>97.8</v>
      </c>
      <c r="CI280" s="32">
        <v>97.1</v>
      </c>
      <c r="CJ280" s="32">
        <v>96.7</v>
      </c>
      <c r="CK280" s="32">
        <v>98.9</v>
      </c>
      <c r="CL280" s="32">
        <v>96.1</v>
      </c>
      <c r="CM280" s="32">
        <v>94.5</v>
      </c>
      <c r="CN280" s="32">
        <v>105</v>
      </c>
      <c r="CO280" s="32">
        <v>92.5</v>
      </c>
      <c r="CP280" s="32">
        <v>96.8</v>
      </c>
      <c r="CQ280" s="32">
        <v>99.9</v>
      </c>
      <c r="CR280" s="32">
        <v>94.9</v>
      </c>
      <c r="CS280" s="32">
        <v>100.5</v>
      </c>
      <c r="CT280" s="32">
        <v>102.8</v>
      </c>
      <c r="CU280" s="32">
        <v>101.4</v>
      </c>
      <c r="CV280" s="32">
        <v>103.3</v>
      </c>
      <c r="CW280" s="32">
        <v>100.9</v>
      </c>
      <c r="CX280" s="32">
        <v>96.1</v>
      </c>
      <c r="CY280" s="32">
        <v>96</v>
      </c>
      <c r="CZ280" s="32">
        <v>96.2</v>
      </c>
      <c r="DA280" s="32">
        <v>95.4</v>
      </c>
      <c r="DB280" s="32">
        <v>97.6</v>
      </c>
      <c r="DC280" s="32">
        <v>104.5</v>
      </c>
      <c r="DD280" s="32">
        <v>104.5</v>
      </c>
      <c r="DE280" s="32">
        <v>101.2</v>
      </c>
      <c r="DF280" s="32">
        <v>100.9</v>
      </c>
      <c r="DG280" s="32">
        <v>102.9</v>
      </c>
      <c r="DH280" s="32">
        <v>100.4</v>
      </c>
      <c r="DI280" s="32">
        <v>97.7</v>
      </c>
      <c r="DJ280" s="32">
        <v>102.5</v>
      </c>
      <c r="DK280" s="32">
        <v>102.5</v>
      </c>
      <c r="DL280" s="32">
        <v>103.5</v>
      </c>
      <c r="DM280" s="32">
        <v>100.3</v>
      </c>
      <c r="DN280" s="32">
        <v>101.9</v>
      </c>
      <c r="DO280" s="32">
        <v>99.6</v>
      </c>
      <c r="DP280" s="32">
        <v>100.1</v>
      </c>
      <c r="DQ280" s="32">
        <v>99.9</v>
      </c>
      <c r="DR280" s="32">
        <v>100.3</v>
      </c>
      <c r="DS280" s="32">
        <v>101.4</v>
      </c>
      <c r="DT280" s="32">
        <v>102.1</v>
      </c>
      <c r="DU280" s="32">
        <v>101.8</v>
      </c>
      <c r="DV280" s="32">
        <v>101.3</v>
      </c>
      <c r="DW280" s="32">
        <v>102.5</v>
      </c>
      <c r="DX280" s="32">
        <v>102.6</v>
      </c>
      <c r="DY280" s="32">
        <v>99</v>
      </c>
      <c r="DZ280" s="32">
        <v>90.4</v>
      </c>
      <c r="EA280" s="32">
        <v>90.4</v>
      </c>
      <c r="EB280" s="32">
        <v>101.5</v>
      </c>
      <c r="EC280" s="32">
        <v>102</v>
      </c>
      <c r="ED280" s="32">
        <v>100.9</v>
      </c>
      <c r="EE280" s="32">
        <v>101.9</v>
      </c>
      <c r="EF280" s="32">
        <v>98.4</v>
      </c>
      <c r="EG280" s="32">
        <v>99.3</v>
      </c>
      <c r="EH280" s="32">
        <v>102.8</v>
      </c>
      <c r="EI280" s="32">
        <v>102.1</v>
      </c>
      <c r="EJ280" s="32">
        <v>91.7</v>
      </c>
      <c r="EK280" s="32">
        <v>97.2</v>
      </c>
      <c r="EL280" s="32">
        <v>99.8</v>
      </c>
      <c r="EM280" s="32">
        <v>98.8</v>
      </c>
      <c r="EN280" s="32">
        <v>95.8</v>
      </c>
      <c r="EO280" s="32">
        <v>99.6</v>
      </c>
      <c r="EP280" s="32">
        <v>99.2</v>
      </c>
      <c r="EQ280" s="32">
        <v>99.2</v>
      </c>
      <c r="ER280" s="32">
        <v>99.5</v>
      </c>
      <c r="ES280" s="32">
        <v>99.5</v>
      </c>
      <c r="ET280" s="32">
        <v>100.1</v>
      </c>
      <c r="EU280" s="32">
        <v>100.6</v>
      </c>
      <c r="EV280" s="32">
        <v>100.6</v>
      </c>
      <c r="EW280" s="32">
        <v>98.8</v>
      </c>
      <c r="EX280" s="32">
        <v>100.2</v>
      </c>
      <c r="EY280" s="32">
        <v>97.7</v>
      </c>
      <c r="EZ280" s="32">
        <v>101.5</v>
      </c>
      <c r="FA280" s="32">
        <v>99.8</v>
      </c>
      <c r="FB280" s="32">
        <v>97.7</v>
      </c>
      <c r="FC280" s="32">
        <v>97.1</v>
      </c>
      <c r="FD280" s="32">
        <v>104.3</v>
      </c>
      <c r="FE280" s="32">
        <v>95.9</v>
      </c>
      <c r="FF280" s="32">
        <v>102.5</v>
      </c>
      <c r="FG280" s="32">
        <v>103.2</v>
      </c>
      <c r="FH280" s="32">
        <v>99.6</v>
      </c>
      <c r="FI280" s="32">
        <v>90.7</v>
      </c>
      <c r="FJ280" s="32">
        <v>106.1</v>
      </c>
      <c r="FK280" s="32">
        <v>98.4</v>
      </c>
      <c r="FL280" s="32">
        <v>98.4</v>
      </c>
    </row>
    <row r="281" spans="1:168" x14ac:dyDescent="0.2">
      <c r="A281" s="34" t="s">
        <v>1261</v>
      </c>
      <c r="B281" s="32">
        <v>100.8</v>
      </c>
      <c r="C281" s="32">
        <v>103.8</v>
      </c>
      <c r="D281" s="32">
        <v>103.2</v>
      </c>
      <c r="E281" s="32">
        <v>104.1</v>
      </c>
      <c r="F281" s="32">
        <v>105.1</v>
      </c>
      <c r="G281" s="32">
        <v>80.3</v>
      </c>
      <c r="H281" s="32">
        <v>105.1</v>
      </c>
      <c r="I281" s="32">
        <v>106.1</v>
      </c>
      <c r="J281" s="32">
        <v>103.2</v>
      </c>
      <c r="K281" s="32">
        <v>102.8</v>
      </c>
      <c r="L281" s="32">
        <v>99.8</v>
      </c>
      <c r="M281" s="32">
        <v>108</v>
      </c>
      <c r="N281" s="32">
        <v>98.3</v>
      </c>
      <c r="O281" s="32">
        <v>64.7</v>
      </c>
      <c r="P281" s="32">
        <v>88.6</v>
      </c>
      <c r="Q281" s="32">
        <v>92</v>
      </c>
      <c r="R281" s="32">
        <v>102.9</v>
      </c>
      <c r="S281" s="32">
        <v>98.8</v>
      </c>
      <c r="T281" s="32">
        <v>95.6</v>
      </c>
      <c r="U281" s="32">
        <v>94.6</v>
      </c>
      <c r="V281" s="32">
        <v>119.4</v>
      </c>
      <c r="W281" s="32">
        <v>86</v>
      </c>
      <c r="X281" s="32">
        <v>83.5</v>
      </c>
      <c r="Y281" s="32">
        <v>85.2</v>
      </c>
      <c r="Z281" s="32">
        <v>113.4</v>
      </c>
      <c r="AA281" s="32">
        <v>99.2</v>
      </c>
      <c r="AB281" s="32">
        <v>104.9</v>
      </c>
      <c r="AC281" s="32">
        <v>94.4</v>
      </c>
      <c r="AD281" s="32">
        <v>99.3</v>
      </c>
      <c r="AE281" s="32">
        <v>107.5</v>
      </c>
      <c r="AF281" s="32">
        <v>107.5</v>
      </c>
      <c r="AG281" s="32">
        <v>102</v>
      </c>
      <c r="AH281" s="32">
        <v>102</v>
      </c>
      <c r="AI281" s="32">
        <v>111.2</v>
      </c>
      <c r="AJ281" s="32">
        <v>102.5</v>
      </c>
      <c r="AK281" s="32">
        <v>101.8</v>
      </c>
      <c r="AL281" s="32">
        <v>96.4</v>
      </c>
      <c r="AM281" s="32">
        <v>101.7</v>
      </c>
      <c r="AN281" s="32">
        <v>100.8</v>
      </c>
      <c r="AO281" s="32">
        <v>95.3</v>
      </c>
      <c r="AP281" s="32">
        <v>95.3</v>
      </c>
      <c r="AQ281" s="32">
        <v>106.2</v>
      </c>
      <c r="AR281" s="32">
        <v>101.9</v>
      </c>
      <c r="AS281" s="32">
        <v>111.7</v>
      </c>
      <c r="AT281" s="32">
        <v>116.1</v>
      </c>
      <c r="AU281" s="32">
        <v>108.4</v>
      </c>
      <c r="AV281" s="32">
        <v>110.5</v>
      </c>
      <c r="AW281" s="32">
        <v>130.1</v>
      </c>
      <c r="AX281" s="32">
        <v>131.19999999999999</v>
      </c>
      <c r="AY281" s="32">
        <v>129</v>
      </c>
      <c r="AZ281" s="32">
        <v>106.2</v>
      </c>
      <c r="BA281" s="32">
        <v>104.1</v>
      </c>
      <c r="BB281" s="32">
        <v>104.1</v>
      </c>
      <c r="BC281" s="32">
        <v>113.8</v>
      </c>
      <c r="BD281" s="32">
        <v>113.8</v>
      </c>
      <c r="BE281" s="32">
        <v>98.8</v>
      </c>
      <c r="BF281" s="32">
        <v>98.8</v>
      </c>
      <c r="BG281" s="32">
        <v>106.2</v>
      </c>
      <c r="BH281" s="32">
        <v>100.6</v>
      </c>
      <c r="BI281" s="32">
        <v>113.7</v>
      </c>
      <c r="BJ281" s="32">
        <v>110</v>
      </c>
      <c r="BK281" s="32">
        <v>114.5</v>
      </c>
      <c r="BL281" s="32">
        <v>113.7</v>
      </c>
      <c r="BM281" s="32">
        <v>104.2</v>
      </c>
      <c r="BN281" s="32">
        <v>104.9</v>
      </c>
      <c r="BO281" s="32">
        <v>107.2</v>
      </c>
      <c r="BP281" s="32">
        <v>103</v>
      </c>
      <c r="BQ281" s="32">
        <v>103.5</v>
      </c>
      <c r="BR281" s="32">
        <v>90.2</v>
      </c>
      <c r="BS281" s="32">
        <v>108.3</v>
      </c>
      <c r="BT281" s="32">
        <v>103.9</v>
      </c>
      <c r="BU281" s="32">
        <v>111.1</v>
      </c>
      <c r="BV281" s="32">
        <v>111.1</v>
      </c>
      <c r="BW281" s="32">
        <v>104.9</v>
      </c>
      <c r="BX281" s="32">
        <v>130.30000000000001</v>
      </c>
      <c r="BY281" s="32">
        <v>101.8</v>
      </c>
      <c r="BZ281" s="32">
        <v>99.4</v>
      </c>
      <c r="CA281" s="32">
        <v>103</v>
      </c>
      <c r="CB281" s="32">
        <v>105.5</v>
      </c>
      <c r="CC281" s="32">
        <v>100.5</v>
      </c>
      <c r="CD281" s="32">
        <v>101.4</v>
      </c>
      <c r="CE281" s="32">
        <v>101.3</v>
      </c>
      <c r="CF281" s="32">
        <v>100.2</v>
      </c>
      <c r="CG281" s="32">
        <v>98</v>
      </c>
      <c r="CH281" s="32">
        <v>97</v>
      </c>
      <c r="CI281" s="32">
        <v>98.6</v>
      </c>
      <c r="CJ281" s="32">
        <v>95.1</v>
      </c>
      <c r="CK281" s="32">
        <v>98</v>
      </c>
      <c r="CL281" s="32">
        <v>95.9</v>
      </c>
      <c r="CM281" s="32">
        <v>93.3</v>
      </c>
      <c r="CN281" s="32">
        <v>103.4</v>
      </c>
      <c r="CO281" s="32">
        <v>91.4</v>
      </c>
      <c r="CP281" s="32">
        <v>91.5</v>
      </c>
      <c r="CQ281" s="32">
        <v>99.7</v>
      </c>
      <c r="CR281" s="32">
        <v>97.8</v>
      </c>
      <c r="CS281" s="32">
        <v>99.3</v>
      </c>
      <c r="CT281" s="32">
        <v>104.3</v>
      </c>
      <c r="CU281" s="32">
        <v>102</v>
      </c>
      <c r="CV281" s="32">
        <v>105.2</v>
      </c>
      <c r="CW281" s="32">
        <v>104.3</v>
      </c>
      <c r="CX281" s="32">
        <v>103.9</v>
      </c>
      <c r="CY281" s="32">
        <v>98.6</v>
      </c>
      <c r="CZ281" s="32">
        <v>106.9</v>
      </c>
      <c r="DA281" s="32">
        <v>111.3</v>
      </c>
      <c r="DB281" s="32">
        <v>98.7</v>
      </c>
      <c r="DC281" s="32">
        <v>107.8</v>
      </c>
      <c r="DD281" s="32">
        <v>107.8</v>
      </c>
      <c r="DE281" s="32">
        <v>102.4</v>
      </c>
      <c r="DF281" s="32">
        <v>101.6</v>
      </c>
      <c r="DG281" s="32">
        <v>107.2</v>
      </c>
      <c r="DH281" s="32">
        <v>100.6</v>
      </c>
      <c r="DI281" s="32">
        <v>97.5</v>
      </c>
      <c r="DJ281" s="32">
        <v>103.7</v>
      </c>
      <c r="DK281" s="32">
        <v>103.7</v>
      </c>
      <c r="DL281" s="32">
        <v>103.9</v>
      </c>
      <c r="DM281" s="32">
        <v>100.5</v>
      </c>
      <c r="DN281" s="32">
        <v>102.6</v>
      </c>
      <c r="DO281" s="32">
        <v>99.8</v>
      </c>
      <c r="DP281" s="32">
        <v>100.2</v>
      </c>
      <c r="DQ281" s="32">
        <v>100.1</v>
      </c>
      <c r="DR281" s="32">
        <v>99.9</v>
      </c>
      <c r="DS281" s="32">
        <v>101.6</v>
      </c>
      <c r="DT281" s="32">
        <v>102.9</v>
      </c>
      <c r="DU281" s="32">
        <v>102.7</v>
      </c>
      <c r="DV281" s="32">
        <v>100.9</v>
      </c>
      <c r="DW281" s="32">
        <v>105</v>
      </c>
      <c r="DX281" s="32">
        <v>103.4</v>
      </c>
      <c r="DY281" s="32">
        <v>97.2</v>
      </c>
      <c r="DZ281" s="32">
        <v>83.6</v>
      </c>
      <c r="EA281" s="32">
        <v>83.6</v>
      </c>
      <c r="EB281" s="32">
        <v>102.3</v>
      </c>
      <c r="EC281" s="32">
        <v>103.2</v>
      </c>
      <c r="ED281" s="32">
        <v>101.2</v>
      </c>
      <c r="EE281" s="32">
        <v>101.7</v>
      </c>
      <c r="EF281" s="32">
        <v>100</v>
      </c>
      <c r="EG281" s="32">
        <v>100.2</v>
      </c>
      <c r="EH281" s="32">
        <v>104.5</v>
      </c>
      <c r="EI281" s="32">
        <v>102.3</v>
      </c>
      <c r="EJ281" s="32">
        <v>94.7</v>
      </c>
      <c r="EK281" s="32">
        <v>97.8</v>
      </c>
      <c r="EL281" s="32">
        <v>100.7</v>
      </c>
      <c r="EM281" s="32">
        <v>99.8</v>
      </c>
      <c r="EN281" s="32">
        <v>96.1</v>
      </c>
      <c r="EO281" s="32">
        <v>100.1</v>
      </c>
      <c r="EP281" s="32">
        <v>98.6</v>
      </c>
      <c r="EQ281" s="32">
        <v>98.6</v>
      </c>
      <c r="ER281" s="32">
        <v>99.9</v>
      </c>
      <c r="ES281" s="32">
        <v>99.9</v>
      </c>
      <c r="ET281" s="32">
        <v>101.1</v>
      </c>
      <c r="EU281" s="32">
        <v>102.4</v>
      </c>
      <c r="EV281" s="32">
        <v>102.4</v>
      </c>
      <c r="EW281" s="32">
        <v>98.3</v>
      </c>
      <c r="EX281" s="32">
        <v>100.1</v>
      </c>
      <c r="EY281" s="32">
        <v>96.9</v>
      </c>
      <c r="EZ281" s="32">
        <v>102.4</v>
      </c>
      <c r="FA281" s="32">
        <v>101.4</v>
      </c>
      <c r="FB281" s="32">
        <v>100.2</v>
      </c>
      <c r="FC281" s="32">
        <v>103.2</v>
      </c>
      <c r="FD281" s="32">
        <v>104.8</v>
      </c>
      <c r="FE281" s="32">
        <v>93.8</v>
      </c>
      <c r="FF281" s="32">
        <v>103</v>
      </c>
      <c r="FG281" s="32">
        <v>103.3</v>
      </c>
      <c r="FH281" s="32">
        <v>96.6</v>
      </c>
      <c r="FI281" s="32">
        <v>90.4</v>
      </c>
      <c r="FJ281" s="32">
        <v>107.5</v>
      </c>
      <c r="FK281" s="32">
        <v>101</v>
      </c>
      <c r="FL281" s="32">
        <v>101</v>
      </c>
    </row>
    <row r="282" spans="1:168" x14ac:dyDescent="0.2">
      <c r="A282" s="34" t="s">
        <v>1262</v>
      </c>
      <c r="B282" s="32">
        <v>100.8</v>
      </c>
      <c r="C282" s="32">
        <v>103.2</v>
      </c>
      <c r="D282" s="32">
        <v>104.3</v>
      </c>
      <c r="E282" s="32">
        <v>105.8</v>
      </c>
      <c r="F282" s="32">
        <v>106.9</v>
      </c>
      <c r="G282" s="32">
        <v>72</v>
      </c>
      <c r="H282" s="32">
        <v>107.1</v>
      </c>
      <c r="I282" s="32">
        <v>107.5</v>
      </c>
      <c r="J282" s="32">
        <v>105.9</v>
      </c>
      <c r="K282" s="32">
        <v>101.7</v>
      </c>
      <c r="L282" s="32">
        <v>98.6</v>
      </c>
      <c r="M282" s="32">
        <v>104.6</v>
      </c>
      <c r="N282" s="32">
        <v>99</v>
      </c>
      <c r="O282" s="32">
        <v>50.6</v>
      </c>
      <c r="P282" s="32">
        <v>86.5</v>
      </c>
      <c r="Q282" s="32">
        <v>91.8</v>
      </c>
      <c r="R282" s="32">
        <v>104</v>
      </c>
      <c r="S282" s="32">
        <v>98.1</v>
      </c>
      <c r="T282" s="32">
        <v>93.6</v>
      </c>
      <c r="U282" s="32">
        <v>95</v>
      </c>
      <c r="V282" s="32">
        <v>117.6</v>
      </c>
      <c r="W282" s="32">
        <v>80.3</v>
      </c>
      <c r="X282" s="32">
        <v>78.400000000000006</v>
      </c>
      <c r="Y282" s="32">
        <v>80.099999999999994</v>
      </c>
      <c r="Z282" s="32">
        <v>98.7</v>
      </c>
      <c r="AA282" s="32">
        <v>100.4</v>
      </c>
      <c r="AB282" s="32">
        <v>107</v>
      </c>
      <c r="AC282" s="32">
        <v>91</v>
      </c>
      <c r="AD282" s="32">
        <v>104</v>
      </c>
      <c r="AE282" s="32">
        <v>102.6</v>
      </c>
      <c r="AF282" s="32">
        <v>102.6</v>
      </c>
      <c r="AG282" s="32">
        <v>105</v>
      </c>
      <c r="AH282" s="32">
        <v>105</v>
      </c>
      <c r="AI282" s="32">
        <v>123.6</v>
      </c>
      <c r="AJ282" s="32">
        <v>102.4</v>
      </c>
      <c r="AK282" s="32">
        <v>105.7</v>
      </c>
      <c r="AL282" s="32">
        <v>105</v>
      </c>
      <c r="AM282" s="32">
        <v>102.9</v>
      </c>
      <c r="AN282" s="32">
        <v>103.4</v>
      </c>
      <c r="AO282" s="32">
        <v>104.1</v>
      </c>
      <c r="AP282" s="32">
        <v>104.1</v>
      </c>
      <c r="AQ282" s="32">
        <v>107.5</v>
      </c>
      <c r="AR282" s="32">
        <v>100.2</v>
      </c>
      <c r="AS282" s="32">
        <v>116.8</v>
      </c>
      <c r="AT282" s="32">
        <v>119</v>
      </c>
      <c r="AU282" s="32">
        <v>115.2</v>
      </c>
      <c r="AV282" s="32">
        <v>112.8</v>
      </c>
      <c r="AW282" s="32">
        <v>132.30000000000001</v>
      </c>
      <c r="AX282" s="32">
        <v>139.6</v>
      </c>
      <c r="AY282" s="32">
        <v>124.2</v>
      </c>
      <c r="AZ282" s="32">
        <v>107.9</v>
      </c>
      <c r="BA282" s="32">
        <v>105.2</v>
      </c>
      <c r="BB282" s="32">
        <v>105.2</v>
      </c>
      <c r="BC282" s="32">
        <v>114.7</v>
      </c>
      <c r="BD282" s="32">
        <v>114.7</v>
      </c>
      <c r="BE282" s="32">
        <v>98.9</v>
      </c>
      <c r="BF282" s="32">
        <v>98.9</v>
      </c>
      <c r="BG282" s="32">
        <v>115.6</v>
      </c>
      <c r="BH282" s="32">
        <v>110.1</v>
      </c>
      <c r="BI282" s="32">
        <v>123.2</v>
      </c>
      <c r="BJ282" s="32">
        <v>108.7</v>
      </c>
      <c r="BK282" s="32">
        <v>127.4</v>
      </c>
      <c r="BL282" s="32">
        <v>111.6</v>
      </c>
      <c r="BM282" s="32">
        <v>108.2</v>
      </c>
      <c r="BN282" s="32">
        <v>104.4</v>
      </c>
      <c r="BO282" s="32">
        <v>105.5</v>
      </c>
      <c r="BP282" s="32">
        <v>103.6</v>
      </c>
      <c r="BQ282" s="32">
        <v>112.5</v>
      </c>
      <c r="BR282" s="32">
        <v>99.2</v>
      </c>
      <c r="BS282" s="32">
        <v>106.7</v>
      </c>
      <c r="BT282" s="32">
        <v>116.4</v>
      </c>
      <c r="BU282" s="32">
        <v>107.3</v>
      </c>
      <c r="BV282" s="32">
        <v>107.3</v>
      </c>
      <c r="BW282" s="32">
        <v>103.3</v>
      </c>
      <c r="BX282" s="32">
        <v>122.2</v>
      </c>
      <c r="BY282" s="32">
        <v>102.7</v>
      </c>
      <c r="BZ282" s="32">
        <v>97.3</v>
      </c>
      <c r="CA282" s="32">
        <v>105.5</v>
      </c>
      <c r="CB282" s="32">
        <v>107.3</v>
      </c>
      <c r="CC282" s="32">
        <v>103.5</v>
      </c>
      <c r="CD282" s="32">
        <v>106.6</v>
      </c>
      <c r="CE282" s="32">
        <v>101</v>
      </c>
      <c r="CF282" s="32">
        <v>99.9</v>
      </c>
      <c r="CG282" s="32">
        <v>97.3</v>
      </c>
      <c r="CH282" s="32">
        <v>95.2</v>
      </c>
      <c r="CI282" s="32">
        <v>97.4</v>
      </c>
      <c r="CJ282" s="32">
        <v>91.6</v>
      </c>
      <c r="CK282" s="32">
        <v>97.5</v>
      </c>
      <c r="CL282" s="32">
        <v>95.4</v>
      </c>
      <c r="CM282" s="32">
        <v>91.8</v>
      </c>
      <c r="CN282" s="32">
        <v>98.8</v>
      </c>
      <c r="CO282" s="32">
        <v>90.3</v>
      </c>
      <c r="CP282" s="32">
        <v>79.400000000000006</v>
      </c>
      <c r="CQ282" s="32">
        <v>98.7</v>
      </c>
      <c r="CR282" s="32">
        <v>98.4</v>
      </c>
      <c r="CS282" s="32">
        <v>105.5</v>
      </c>
      <c r="CT282" s="32">
        <v>107.1</v>
      </c>
      <c r="CU282" s="32">
        <v>104</v>
      </c>
      <c r="CV282" s="32">
        <v>108.4</v>
      </c>
      <c r="CW282" s="32">
        <v>103.2</v>
      </c>
      <c r="CX282" s="32">
        <v>96.7</v>
      </c>
      <c r="CY282" s="32">
        <v>97.1</v>
      </c>
      <c r="CZ282" s="32">
        <v>96.5</v>
      </c>
      <c r="DA282" s="32">
        <v>98.6</v>
      </c>
      <c r="DB282" s="32">
        <v>92.7</v>
      </c>
      <c r="DC282" s="32">
        <v>115.4</v>
      </c>
      <c r="DD282" s="32">
        <v>115.4</v>
      </c>
      <c r="DE282" s="32">
        <v>99.6</v>
      </c>
      <c r="DF282" s="32">
        <v>101</v>
      </c>
      <c r="DG282" s="32">
        <v>91.4</v>
      </c>
      <c r="DH282" s="32">
        <v>99</v>
      </c>
      <c r="DI282" s="32">
        <v>96.1</v>
      </c>
      <c r="DJ282" s="32">
        <v>103.8</v>
      </c>
      <c r="DK282" s="32">
        <v>103.8</v>
      </c>
      <c r="DL282" s="32">
        <v>100.8</v>
      </c>
      <c r="DM282" s="32">
        <v>100.4</v>
      </c>
      <c r="DN282" s="32">
        <v>102.3</v>
      </c>
      <c r="DO282" s="32">
        <v>99.6</v>
      </c>
      <c r="DP282" s="32">
        <v>102.5</v>
      </c>
      <c r="DQ282" s="32">
        <v>101.7</v>
      </c>
      <c r="DR282" s="32">
        <v>101.8</v>
      </c>
      <c r="DS282" s="32">
        <v>100.9</v>
      </c>
      <c r="DT282" s="32">
        <v>101.6</v>
      </c>
      <c r="DU282" s="32">
        <v>100.8</v>
      </c>
      <c r="DV282" s="32">
        <v>98.4</v>
      </c>
      <c r="DW282" s="32">
        <v>103.8</v>
      </c>
      <c r="DX282" s="32">
        <v>103.1</v>
      </c>
      <c r="DY282" s="32">
        <v>98.6</v>
      </c>
      <c r="DZ282" s="32">
        <v>102.4</v>
      </c>
      <c r="EA282" s="32">
        <v>102.4</v>
      </c>
      <c r="EB282" s="32">
        <v>104.5</v>
      </c>
      <c r="EC282" s="32">
        <v>106.5</v>
      </c>
      <c r="ED282" s="32">
        <v>102</v>
      </c>
      <c r="EE282" s="32">
        <v>102</v>
      </c>
      <c r="EF282" s="32">
        <v>102.1</v>
      </c>
      <c r="EG282" s="32">
        <v>101.5</v>
      </c>
      <c r="EH282" s="32">
        <v>103</v>
      </c>
      <c r="EI282" s="32">
        <v>103</v>
      </c>
      <c r="EJ282" s="32">
        <v>96.8</v>
      </c>
      <c r="EK282" s="32">
        <v>100.7</v>
      </c>
      <c r="EL282" s="32">
        <v>99.3</v>
      </c>
      <c r="EM282" s="32">
        <v>103.1</v>
      </c>
      <c r="EN282" s="32">
        <v>99.6</v>
      </c>
      <c r="EO282" s="32">
        <v>100.3</v>
      </c>
      <c r="EP282" s="32">
        <v>97.3</v>
      </c>
      <c r="EQ282" s="32">
        <v>97.3</v>
      </c>
      <c r="ER282" s="32">
        <v>100.9</v>
      </c>
      <c r="ES282" s="32">
        <v>100.9</v>
      </c>
      <c r="ET282" s="32">
        <v>101.8</v>
      </c>
      <c r="EU282" s="32">
        <v>103.8</v>
      </c>
      <c r="EV282" s="32">
        <v>103.8</v>
      </c>
      <c r="EW282" s="32">
        <v>97.6</v>
      </c>
      <c r="EX282" s="32">
        <v>99.6</v>
      </c>
      <c r="EY282" s="32">
        <v>96.1</v>
      </c>
      <c r="EZ282" s="32">
        <v>98.6</v>
      </c>
      <c r="FA282" s="32">
        <v>100.7</v>
      </c>
      <c r="FB282" s="32">
        <v>98.1</v>
      </c>
      <c r="FC282" s="32">
        <v>102.2</v>
      </c>
      <c r="FD282" s="32">
        <v>106.3</v>
      </c>
      <c r="FE282" s="32">
        <v>88.8</v>
      </c>
      <c r="FF282" s="32">
        <v>103.9</v>
      </c>
      <c r="FG282" s="32">
        <v>95.8</v>
      </c>
      <c r="FH282" s="32">
        <v>92.3</v>
      </c>
      <c r="FI282" s="32">
        <v>91.5</v>
      </c>
      <c r="FJ282" s="32">
        <v>97.7</v>
      </c>
      <c r="FK282" s="32">
        <v>107.7</v>
      </c>
      <c r="FL282" s="32">
        <v>107.7</v>
      </c>
    </row>
    <row r="283" spans="1:168" x14ac:dyDescent="0.2">
      <c r="A283" s="34" t="s">
        <v>1263</v>
      </c>
      <c r="B283" s="32">
        <v>100.4</v>
      </c>
      <c r="C283" s="32">
        <v>99.8</v>
      </c>
      <c r="D283" s="32">
        <v>105.3</v>
      </c>
      <c r="E283" s="32">
        <v>107.5</v>
      </c>
      <c r="F283" s="32">
        <v>108.4</v>
      </c>
      <c r="G283" s="32">
        <v>95</v>
      </c>
      <c r="H283" s="32">
        <v>108</v>
      </c>
      <c r="I283" s="32">
        <v>111.1</v>
      </c>
      <c r="J283" s="32">
        <v>107.7</v>
      </c>
      <c r="K283" s="32">
        <v>102.6</v>
      </c>
      <c r="L283" s="32">
        <v>99.3</v>
      </c>
      <c r="M283" s="32">
        <v>106.9</v>
      </c>
      <c r="N283" s="32">
        <v>97.4</v>
      </c>
      <c r="O283" s="32">
        <v>38.4</v>
      </c>
      <c r="P283" s="32">
        <v>84.3</v>
      </c>
      <c r="Q283" s="32">
        <v>95</v>
      </c>
      <c r="R283" s="32">
        <v>106.1</v>
      </c>
      <c r="S283" s="32">
        <v>98.8</v>
      </c>
      <c r="T283" s="32">
        <v>92.2</v>
      </c>
      <c r="U283" s="32">
        <v>92.7</v>
      </c>
      <c r="V283" s="32">
        <v>120.8</v>
      </c>
      <c r="W283" s="32">
        <v>79.7</v>
      </c>
      <c r="X283" s="32">
        <v>75.5</v>
      </c>
      <c r="Y283" s="32">
        <v>85</v>
      </c>
      <c r="Z283" s="32">
        <v>93.8</v>
      </c>
      <c r="AA283" s="32">
        <v>100.4</v>
      </c>
      <c r="AB283" s="32">
        <v>106.3</v>
      </c>
      <c r="AC283" s="32">
        <v>89.9</v>
      </c>
      <c r="AD283" s="32">
        <v>105.6</v>
      </c>
      <c r="AE283" s="32">
        <v>105.2</v>
      </c>
      <c r="AF283" s="32">
        <v>105.2</v>
      </c>
      <c r="AG283" s="32">
        <v>102.8</v>
      </c>
      <c r="AH283" s="32">
        <v>102.8</v>
      </c>
      <c r="AI283" s="32">
        <v>124.2</v>
      </c>
      <c r="AJ283" s="32">
        <v>99.6</v>
      </c>
      <c r="AK283" s="32">
        <v>103.5</v>
      </c>
      <c r="AL283" s="32">
        <v>94.9</v>
      </c>
      <c r="AM283" s="32">
        <v>102.6</v>
      </c>
      <c r="AN283" s="32">
        <v>102.5</v>
      </c>
      <c r="AO283" s="32">
        <v>112.3</v>
      </c>
      <c r="AP283" s="32">
        <v>112.3</v>
      </c>
      <c r="AQ283" s="32">
        <v>109</v>
      </c>
      <c r="AR283" s="32">
        <v>101.1</v>
      </c>
      <c r="AS283" s="32">
        <v>119</v>
      </c>
      <c r="AT283" s="32">
        <v>126.1</v>
      </c>
      <c r="AU283" s="32">
        <v>113.6</v>
      </c>
      <c r="AV283" s="32">
        <v>115.3</v>
      </c>
      <c r="AW283" s="32">
        <v>140.6</v>
      </c>
      <c r="AX283" s="32">
        <v>146.6</v>
      </c>
      <c r="AY283" s="32">
        <v>134</v>
      </c>
      <c r="AZ283" s="32">
        <v>108.9</v>
      </c>
      <c r="BA283" s="32">
        <v>106.1</v>
      </c>
      <c r="BB283" s="32">
        <v>106.1</v>
      </c>
      <c r="BC283" s="32">
        <v>128.19999999999999</v>
      </c>
      <c r="BD283" s="32">
        <v>128.19999999999999</v>
      </c>
      <c r="BE283" s="32">
        <v>102.5</v>
      </c>
      <c r="BF283" s="32">
        <v>102.5</v>
      </c>
      <c r="BG283" s="32">
        <v>116.1</v>
      </c>
      <c r="BH283" s="32">
        <v>111.9</v>
      </c>
      <c r="BI283" s="32">
        <v>122</v>
      </c>
      <c r="BJ283" s="32">
        <v>107.8</v>
      </c>
      <c r="BK283" s="32">
        <v>125.5</v>
      </c>
      <c r="BL283" s="32">
        <v>116.1</v>
      </c>
      <c r="BM283" s="32">
        <v>109.2</v>
      </c>
      <c r="BN283" s="32">
        <v>106.6</v>
      </c>
      <c r="BO283" s="32">
        <v>110.2</v>
      </c>
      <c r="BP283" s="32">
        <v>103.6</v>
      </c>
      <c r="BQ283" s="32">
        <v>112.3</v>
      </c>
      <c r="BR283" s="32">
        <v>95.1</v>
      </c>
      <c r="BS283" s="32">
        <v>119.3</v>
      </c>
      <c r="BT283" s="32">
        <v>112.6</v>
      </c>
      <c r="BU283" s="32">
        <v>110.1</v>
      </c>
      <c r="BV283" s="32">
        <v>110.1</v>
      </c>
      <c r="BW283" s="32">
        <v>104.3</v>
      </c>
      <c r="BX283" s="32">
        <v>131.69999999999999</v>
      </c>
      <c r="BY283" s="32">
        <v>102.2</v>
      </c>
      <c r="BZ283" s="32">
        <v>97.8</v>
      </c>
      <c r="CA283" s="32">
        <v>104.4</v>
      </c>
      <c r="CB283" s="32">
        <v>107.5</v>
      </c>
      <c r="CC283" s="32">
        <v>101.3</v>
      </c>
      <c r="CD283" s="32">
        <v>101</v>
      </c>
      <c r="CE283" s="32">
        <v>100.5</v>
      </c>
      <c r="CF283" s="32">
        <v>99.2</v>
      </c>
      <c r="CG283" s="32">
        <v>95.9</v>
      </c>
      <c r="CH283" s="32">
        <v>93.2</v>
      </c>
      <c r="CI283" s="32">
        <v>96.6</v>
      </c>
      <c r="CJ283" s="32">
        <v>87.7</v>
      </c>
      <c r="CK283" s="32">
        <v>96.6</v>
      </c>
      <c r="CL283" s="32">
        <v>92.5</v>
      </c>
      <c r="CM283" s="32">
        <v>90.9</v>
      </c>
      <c r="CN283" s="32">
        <v>94.3</v>
      </c>
      <c r="CO283" s="32">
        <v>90.1</v>
      </c>
      <c r="CP283" s="32">
        <v>68.7</v>
      </c>
      <c r="CQ283" s="32">
        <v>85.8</v>
      </c>
      <c r="CR283" s="32">
        <v>97.8</v>
      </c>
      <c r="CS283" s="32">
        <v>101.6</v>
      </c>
      <c r="CT283" s="32">
        <v>109.3</v>
      </c>
      <c r="CU283" s="32">
        <v>104.9</v>
      </c>
      <c r="CV283" s="32">
        <v>111.2</v>
      </c>
      <c r="CW283" s="32">
        <v>106.7</v>
      </c>
      <c r="CX283" s="32">
        <v>101.7</v>
      </c>
      <c r="CY283" s="32">
        <v>103.1</v>
      </c>
      <c r="CZ283" s="32">
        <v>100.8</v>
      </c>
      <c r="DA283" s="32">
        <v>105.6</v>
      </c>
      <c r="DB283" s="32">
        <v>92.1</v>
      </c>
      <c r="DC283" s="32">
        <v>120.6</v>
      </c>
      <c r="DD283" s="32">
        <v>120.6</v>
      </c>
      <c r="DE283" s="32">
        <v>101.5</v>
      </c>
      <c r="DF283" s="32">
        <v>103.1</v>
      </c>
      <c r="DG283" s="32">
        <v>91.7</v>
      </c>
      <c r="DH283" s="32">
        <v>99.1</v>
      </c>
      <c r="DI283" s="32">
        <v>95.7</v>
      </c>
      <c r="DJ283" s="32">
        <v>105.1</v>
      </c>
      <c r="DK283" s="32">
        <v>105.1</v>
      </c>
      <c r="DL283" s="32">
        <v>101.1</v>
      </c>
      <c r="DM283" s="32">
        <v>100.6</v>
      </c>
      <c r="DN283" s="32">
        <v>102.5</v>
      </c>
      <c r="DO283" s="32">
        <v>99.7</v>
      </c>
      <c r="DP283" s="32">
        <v>101.5</v>
      </c>
      <c r="DQ283" s="32">
        <v>100.7</v>
      </c>
      <c r="DR283" s="32">
        <v>101</v>
      </c>
      <c r="DS283" s="32">
        <v>99.9</v>
      </c>
      <c r="DT283" s="32">
        <v>101.3</v>
      </c>
      <c r="DU283" s="32">
        <v>100.4</v>
      </c>
      <c r="DV283" s="32">
        <v>96.4</v>
      </c>
      <c r="DW283" s="32">
        <v>105.4</v>
      </c>
      <c r="DX283" s="32">
        <v>103.2</v>
      </c>
      <c r="DY283" s="32">
        <v>95.4</v>
      </c>
      <c r="DZ283" s="32">
        <v>103</v>
      </c>
      <c r="EA283" s="32">
        <v>103</v>
      </c>
      <c r="EB283" s="32">
        <v>103.5</v>
      </c>
      <c r="EC283" s="32">
        <v>105.5</v>
      </c>
      <c r="ED283" s="32">
        <v>100.9</v>
      </c>
      <c r="EE283" s="32">
        <v>99.3</v>
      </c>
      <c r="EF283" s="32">
        <v>104.8</v>
      </c>
      <c r="EG283" s="32">
        <v>100.1</v>
      </c>
      <c r="EH283" s="32">
        <v>103.2</v>
      </c>
      <c r="EI283" s="32">
        <v>103.5</v>
      </c>
      <c r="EJ283" s="32">
        <v>93.5</v>
      </c>
      <c r="EK283" s="32">
        <v>97.7</v>
      </c>
      <c r="EL283" s="32">
        <v>98.8</v>
      </c>
      <c r="EM283" s="32">
        <v>98.6</v>
      </c>
      <c r="EN283" s="32">
        <v>96.9</v>
      </c>
      <c r="EO283" s="32">
        <v>98.4</v>
      </c>
      <c r="EP283" s="32">
        <v>96.6</v>
      </c>
      <c r="EQ283" s="32">
        <v>96.6</v>
      </c>
      <c r="ER283" s="32">
        <v>95.1</v>
      </c>
      <c r="ES283" s="32">
        <v>95.1</v>
      </c>
      <c r="ET283" s="32">
        <v>102</v>
      </c>
      <c r="EU283" s="32">
        <v>104.4</v>
      </c>
      <c r="EV283" s="32">
        <v>104.4</v>
      </c>
      <c r="EW283" s="32">
        <v>96.6</v>
      </c>
      <c r="EX283" s="32">
        <v>100.1</v>
      </c>
      <c r="EY283" s="32">
        <v>93.8</v>
      </c>
      <c r="EZ283" s="32">
        <v>97</v>
      </c>
      <c r="FA283" s="32">
        <v>98.2</v>
      </c>
      <c r="FB283" s="32">
        <v>94.7</v>
      </c>
      <c r="FC283" s="32">
        <v>99.5</v>
      </c>
      <c r="FD283" s="32">
        <v>107</v>
      </c>
      <c r="FE283" s="32">
        <v>82.7</v>
      </c>
      <c r="FF283" s="32">
        <v>102.6</v>
      </c>
      <c r="FG283" s="32">
        <v>95.4</v>
      </c>
      <c r="FH283" s="32">
        <v>88.8</v>
      </c>
      <c r="FI283" s="32">
        <v>84.6</v>
      </c>
      <c r="FJ283" s="32">
        <v>99.3</v>
      </c>
      <c r="FK283" s="32">
        <v>102.2</v>
      </c>
      <c r="FL283" s="32">
        <v>102.2</v>
      </c>
    </row>
    <row r="284" spans="1:168" x14ac:dyDescent="0.2">
      <c r="A284" s="34" t="s">
        <v>1264</v>
      </c>
      <c r="B284" s="32">
        <v>92.8</v>
      </c>
      <c r="C284" s="32">
        <v>95.1</v>
      </c>
      <c r="D284" s="32">
        <v>98.1</v>
      </c>
      <c r="E284" s="32">
        <v>99.3</v>
      </c>
      <c r="F284" s="32">
        <v>96.2</v>
      </c>
      <c r="G284" s="32">
        <v>82.8</v>
      </c>
      <c r="H284" s="32">
        <v>94.7</v>
      </c>
      <c r="I284" s="32">
        <v>104.5</v>
      </c>
      <c r="J284" s="32">
        <v>97.4</v>
      </c>
      <c r="K284" s="32">
        <v>102.6</v>
      </c>
      <c r="L284" s="32">
        <v>102.2</v>
      </c>
      <c r="M284" s="32">
        <v>114.6</v>
      </c>
      <c r="N284" s="32">
        <v>100.6</v>
      </c>
      <c r="O284" s="32">
        <v>26.2</v>
      </c>
      <c r="P284" s="32">
        <v>87.2</v>
      </c>
      <c r="Q284" s="32">
        <v>108</v>
      </c>
      <c r="R284" s="32">
        <v>106.8</v>
      </c>
      <c r="S284" s="32">
        <v>99</v>
      </c>
      <c r="T284" s="32">
        <v>90.5</v>
      </c>
      <c r="U284" s="32">
        <v>86.8</v>
      </c>
      <c r="V284" s="32">
        <v>109.9</v>
      </c>
      <c r="W284" s="32">
        <v>58.2</v>
      </c>
      <c r="X284" s="32">
        <v>60.9</v>
      </c>
      <c r="Y284" s="32">
        <v>50.6</v>
      </c>
      <c r="Z284" s="32">
        <v>71</v>
      </c>
      <c r="AA284" s="32">
        <v>92.9</v>
      </c>
      <c r="AB284" s="32">
        <v>93.5</v>
      </c>
      <c r="AC284" s="32">
        <v>92.9</v>
      </c>
      <c r="AD284" s="32">
        <v>92.5</v>
      </c>
      <c r="AE284" s="32">
        <v>98.9</v>
      </c>
      <c r="AF284" s="32">
        <v>98.9</v>
      </c>
      <c r="AG284" s="32">
        <v>105.2</v>
      </c>
      <c r="AH284" s="32">
        <v>105.2</v>
      </c>
      <c r="AI284" s="32">
        <v>131.1</v>
      </c>
      <c r="AJ284" s="32">
        <v>101.6</v>
      </c>
      <c r="AK284" s="32">
        <v>107</v>
      </c>
      <c r="AL284" s="32">
        <v>88.5</v>
      </c>
      <c r="AM284" s="32">
        <v>107</v>
      </c>
      <c r="AN284" s="32">
        <v>104.1</v>
      </c>
      <c r="AO284" s="32">
        <v>123.7</v>
      </c>
      <c r="AP284" s="32">
        <v>123.7</v>
      </c>
      <c r="AQ284" s="32">
        <v>98.1</v>
      </c>
      <c r="AR284" s="32">
        <v>94.3</v>
      </c>
      <c r="AS284" s="32">
        <v>102.9</v>
      </c>
      <c r="AT284" s="32">
        <v>98.6</v>
      </c>
      <c r="AU284" s="32">
        <v>106.2</v>
      </c>
      <c r="AV284" s="32">
        <v>108</v>
      </c>
      <c r="AW284" s="32">
        <v>135.1</v>
      </c>
      <c r="AX284" s="32">
        <v>146.6</v>
      </c>
      <c r="AY284" s="32">
        <v>122.4</v>
      </c>
      <c r="AZ284" s="32">
        <v>101.1</v>
      </c>
      <c r="BA284" s="32">
        <v>99</v>
      </c>
      <c r="BB284" s="32">
        <v>99</v>
      </c>
      <c r="BC284" s="32">
        <v>124.9</v>
      </c>
      <c r="BD284" s="32">
        <v>124.9</v>
      </c>
      <c r="BE284" s="32">
        <v>69.099999999999994</v>
      </c>
      <c r="BF284" s="32">
        <v>69.099999999999994</v>
      </c>
      <c r="BG284" s="32">
        <v>85.8</v>
      </c>
      <c r="BH284" s="32">
        <v>68.5</v>
      </c>
      <c r="BI284" s="32">
        <v>109.9</v>
      </c>
      <c r="BJ284" s="32">
        <v>80.099999999999994</v>
      </c>
      <c r="BK284" s="32">
        <v>116</v>
      </c>
      <c r="BL284" s="32">
        <v>112.3</v>
      </c>
      <c r="BM284" s="32">
        <v>100.9</v>
      </c>
      <c r="BN284" s="32">
        <v>99.6</v>
      </c>
      <c r="BO284" s="32">
        <v>95.6</v>
      </c>
      <c r="BP284" s="32">
        <v>102.8</v>
      </c>
      <c r="BQ284" s="32">
        <v>102.4</v>
      </c>
      <c r="BR284" s="32">
        <v>93.1</v>
      </c>
      <c r="BS284" s="32">
        <v>105.1</v>
      </c>
      <c r="BT284" s="32">
        <v>102.9</v>
      </c>
      <c r="BU284" s="32">
        <v>111.9</v>
      </c>
      <c r="BV284" s="32">
        <v>111.9</v>
      </c>
      <c r="BW284" s="32">
        <v>102.4</v>
      </c>
      <c r="BX284" s="32">
        <v>147.4</v>
      </c>
      <c r="BY284" s="32">
        <v>101.7</v>
      </c>
      <c r="BZ284" s="32">
        <v>98.9</v>
      </c>
      <c r="CA284" s="32">
        <v>103.2</v>
      </c>
      <c r="CB284" s="32">
        <v>106.4</v>
      </c>
      <c r="CC284" s="32">
        <v>99.8</v>
      </c>
      <c r="CD284" s="32">
        <v>101.1</v>
      </c>
      <c r="CE284" s="32">
        <v>95.4</v>
      </c>
      <c r="CF284" s="32">
        <v>91.4</v>
      </c>
      <c r="CG284" s="32">
        <v>78.3</v>
      </c>
      <c r="CH284" s="32">
        <v>79.900000000000006</v>
      </c>
      <c r="CI284" s="32">
        <v>63.4</v>
      </c>
      <c r="CJ284" s="32">
        <v>82.3</v>
      </c>
      <c r="CK284" s="32">
        <v>82.8</v>
      </c>
      <c r="CL284" s="32">
        <v>76.5</v>
      </c>
      <c r="CM284" s="32">
        <v>74</v>
      </c>
      <c r="CN284" s="32">
        <v>58.3</v>
      </c>
      <c r="CO284" s="32">
        <v>77.5</v>
      </c>
      <c r="CP284" s="32">
        <v>53.2</v>
      </c>
      <c r="CQ284" s="32">
        <v>1.5</v>
      </c>
      <c r="CR284" s="32">
        <v>90.5</v>
      </c>
      <c r="CS284" s="32">
        <v>100.4</v>
      </c>
      <c r="CT284" s="32">
        <v>75.3</v>
      </c>
      <c r="CU284" s="32">
        <v>60.8</v>
      </c>
      <c r="CV284" s="32">
        <v>81.400000000000006</v>
      </c>
      <c r="CW284" s="32">
        <v>108.1</v>
      </c>
      <c r="CX284" s="32">
        <v>99.2</v>
      </c>
      <c r="CY284" s="32">
        <v>103.9</v>
      </c>
      <c r="CZ284" s="32">
        <v>96.6</v>
      </c>
      <c r="DA284" s="32">
        <v>97</v>
      </c>
      <c r="DB284" s="32">
        <v>95.8</v>
      </c>
      <c r="DC284" s="32">
        <v>126.8</v>
      </c>
      <c r="DD284" s="32">
        <v>126.8</v>
      </c>
      <c r="DE284" s="32">
        <v>102.2</v>
      </c>
      <c r="DF284" s="32">
        <v>104</v>
      </c>
      <c r="DG284" s="32">
        <v>91.3</v>
      </c>
      <c r="DH284" s="32">
        <v>98.4</v>
      </c>
      <c r="DI284" s="32">
        <v>94.3</v>
      </c>
      <c r="DJ284" s="32">
        <v>106.5</v>
      </c>
      <c r="DK284" s="32">
        <v>106.5</v>
      </c>
      <c r="DL284" s="32">
        <v>100.1</v>
      </c>
      <c r="DM284" s="32">
        <v>100.4</v>
      </c>
      <c r="DN284" s="32">
        <v>102.2</v>
      </c>
      <c r="DO284" s="32">
        <v>99.9</v>
      </c>
      <c r="DP284" s="32">
        <v>97.8</v>
      </c>
      <c r="DQ284" s="32">
        <v>95.4</v>
      </c>
      <c r="DR284" s="32">
        <v>99.2</v>
      </c>
      <c r="DS284" s="32">
        <v>98.6</v>
      </c>
      <c r="DT284" s="32">
        <v>99.2</v>
      </c>
      <c r="DU284" s="32">
        <v>98.4</v>
      </c>
      <c r="DV284" s="32">
        <v>97.1</v>
      </c>
      <c r="DW284" s="32">
        <v>99.9</v>
      </c>
      <c r="DX284" s="32">
        <v>100.9</v>
      </c>
      <c r="DY284" s="32">
        <v>96.6</v>
      </c>
      <c r="DZ284" s="32">
        <v>107.5</v>
      </c>
      <c r="EA284" s="32">
        <v>107.5</v>
      </c>
      <c r="EB284" s="32">
        <v>97.1</v>
      </c>
      <c r="EC284" s="32">
        <v>96.5</v>
      </c>
      <c r="ED284" s="32">
        <v>97.9</v>
      </c>
      <c r="EE284" s="32">
        <v>95.8</v>
      </c>
      <c r="EF284" s="32">
        <v>102.8</v>
      </c>
      <c r="EG284" s="32">
        <v>89.9</v>
      </c>
      <c r="EH284" s="32">
        <v>88.9</v>
      </c>
      <c r="EI284" s="32">
        <v>99.5</v>
      </c>
      <c r="EJ284" s="32">
        <v>48</v>
      </c>
      <c r="EK284" s="32">
        <v>94.8</v>
      </c>
      <c r="EL284" s="32">
        <v>93.7</v>
      </c>
      <c r="EM284" s="32">
        <v>95.1</v>
      </c>
      <c r="EN284" s="32">
        <v>94.7</v>
      </c>
      <c r="EO284" s="32">
        <v>87.5</v>
      </c>
      <c r="EP284" s="32">
        <v>95.8</v>
      </c>
      <c r="EQ284" s="32">
        <v>95.8</v>
      </c>
      <c r="ER284" s="32">
        <v>81.099999999999994</v>
      </c>
      <c r="ES284" s="32">
        <v>81.099999999999994</v>
      </c>
      <c r="ET284" s="32">
        <v>86.9</v>
      </c>
      <c r="EU284" s="32">
        <v>84.5</v>
      </c>
      <c r="EV284" s="32">
        <v>84.5</v>
      </c>
      <c r="EW284" s="32">
        <v>92.1</v>
      </c>
      <c r="EX284" s="32">
        <v>101.3</v>
      </c>
      <c r="EY284" s="32">
        <v>84.8</v>
      </c>
      <c r="EZ284" s="32">
        <v>82.5</v>
      </c>
      <c r="FA284" s="32">
        <v>79.400000000000006</v>
      </c>
      <c r="FB284" s="32">
        <v>79</v>
      </c>
      <c r="FC284" s="32">
        <v>81.099999999999994</v>
      </c>
      <c r="FD284" s="32">
        <v>79.099999999999994</v>
      </c>
      <c r="FE284" s="32">
        <v>75.8</v>
      </c>
      <c r="FF284" s="32">
        <v>79.8</v>
      </c>
      <c r="FG284" s="32">
        <v>85.8</v>
      </c>
      <c r="FH284" s="32">
        <v>84.2</v>
      </c>
      <c r="FI284" s="32">
        <v>81.599999999999994</v>
      </c>
      <c r="FJ284" s="32">
        <v>86.9</v>
      </c>
      <c r="FK284" s="32">
        <v>77.3</v>
      </c>
      <c r="FL284" s="32">
        <v>77.3</v>
      </c>
    </row>
    <row r="285" spans="1:168" x14ac:dyDescent="0.2">
      <c r="A285" s="34" t="s">
        <v>1265</v>
      </c>
      <c r="B285" s="32">
        <v>74.599999999999994</v>
      </c>
      <c r="C285" s="32">
        <v>86</v>
      </c>
      <c r="D285" s="32">
        <v>75.599999999999994</v>
      </c>
      <c r="E285" s="32">
        <v>84.1</v>
      </c>
      <c r="F285" s="32">
        <v>102.1</v>
      </c>
      <c r="G285" s="32">
        <v>53.6</v>
      </c>
      <c r="H285" s="32">
        <v>106.5</v>
      </c>
      <c r="I285" s="32">
        <v>81.5</v>
      </c>
      <c r="J285" s="32">
        <v>77.599999999999994</v>
      </c>
      <c r="K285" s="32">
        <v>93.8</v>
      </c>
      <c r="L285" s="32">
        <v>95.7</v>
      </c>
      <c r="M285" s="32">
        <v>104.3</v>
      </c>
      <c r="N285" s="32">
        <v>91.6</v>
      </c>
      <c r="O285" s="32">
        <v>16.5</v>
      </c>
      <c r="P285" s="32">
        <v>93.9</v>
      </c>
      <c r="Q285" s="32">
        <v>106.8</v>
      </c>
      <c r="R285" s="32">
        <v>97.1</v>
      </c>
      <c r="S285" s="32">
        <v>91</v>
      </c>
      <c r="T285" s="32">
        <v>92.7</v>
      </c>
      <c r="U285" s="32">
        <v>66.099999999999994</v>
      </c>
      <c r="V285" s="32">
        <v>96.4</v>
      </c>
      <c r="W285" s="32">
        <v>27.5</v>
      </c>
      <c r="X285" s="32">
        <v>29.1</v>
      </c>
      <c r="Y285" s="32">
        <v>23.9</v>
      </c>
      <c r="Z285" s="32">
        <v>30.5</v>
      </c>
      <c r="AA285" s="32">
        <v>68.7</v>
      </c>
      <c r="AB285" s="32">
        <v>48.4</v>
      </c>
      <c r="AC285" s="32">
        <v>84.9</v>
      </c>
      <c r="AD285" s="32">
        <v>69.2</v>
      </c>
      <c r="AE285" s="32">
        <v>80.900000000000006</v>
      </c>
      <c r="AF285" s="32">
        <v>80.900000000000006</v>
      </c>
      <c r="AG285" s="32">
        <v>99.8</v>
      </c>
      <c r="AH285" s="32">
        <v>99.8</v>
      </c>
      <c r="AI285" s="32">
        <v>132.9</v>
      </c>
      <c r="AJ285" s="32">
        <v>97.9</v>
      </c>
      <c r="AK285" s="32">
        <v>104.1</v>
      </c>
      <c r="AL285" s="32">
        <v>70.400000000000006</v>
      </c>
      <c r="AM285" s="32">
        <v>100.3</v>
      </c>
      <c r="AN285" s="32">
        <v>102.6</v>
      </c>
      <c r="AO285" s="32">
        <v>131</v>
      </c>
      <c r="AP285" s="32">
        <v>131</v>
      </c>
      <c r="AQ285" s="32">
        <v>58.4</v>
      </c>
      <c r="AR285" s="32">
        <v>64.400000000000006</v>
      </c>
      <c r="AS285" s="32">
        <v>50.7</v>
      </c>
      <c r="AT285" s="32">
        <v>54.9</v>
      </c>
      <c r="AU285" s="32">
        <v>47.5</v>
      </c>
      <c r="AV285" s="32">
        <v>84.8</v>
      </c>
      <c r="AW285" s="32">
        <v>110.6</v>
      </c>
      <c r="AX285" s="32">
        <v>132.9</v>
      </c>
      <c r="AY285" s="32">
        <v>85.9</v>
      </c>
      <c r="AZ285" s="32">
        <v>78.3</v>
      </c>
      <c r="BA285" s="32">
        <v>87.5</v>
      </c>
      <c r="BB285" s="32">
        <v>87.5</v>
      </c>
      <c r="BC285" s="32">
        <v>115.7</v>
      </c>
      <c r="BD285" s="32">
        <v>115.7</v>
      </c>
      <c r="BE285" s="32">
        <v>49.8</v>
      </c>
      <c r="BF285" s="32">
        <v>49.8</v>
      </c>
      <c r="BG285" s="32">
        <v>47.4</v>
      </c>
      <c r="BH285" s="32">
        <v>15</v>
      </c>
      <c r="BI285" s="32">
        <v>92.6</v>
      </c>
      <c r="BJ285" s="32">
        <v>68.400000000000006</v>
      </c>
      <c r="BK285" s="32">
        <v>96.8</v>
      </c>
      <c r="BL285" s="32">
        <v>102.2</v>
      </c>
      <c r="BM285" s="32">
        <v>76.400000000000006</v>
      </c>
      <c r="BN285" s="32">
        <v>64.8</v>
      </c>
      <c r="BO285" s="32">
        <v>39.700000000000003</v>
      </c>
      <c r="BP285" s="32">
        <v>84.9</v>
      </c>
      <c r="BQ285" s="32">
        <v>89.6</v>
      </c>
      <c r="BR285" s="32">
        <v>84.2</v>
      </c>
      <c r="BS285" s="32">
        <v>75.599999999999994</v>
      </c>
      <c r="BT285" s="32">
        <v>94.9</v>
      </c>
      <c r="BU285" s="32">
        <v>105.1</v>
      </c>
      <c r="BV285" s="32">
        <v>105.1</v>
      </c>
      <c r="BW285" s="32">
        <v>93.8</v>
      </c>
      <c r="BX285" s="32">
        <v>147.69999999999999</v>
      </c>
      <c r="BY285" s="32">
        <v>95.4</v>
      </c>
      <c r="BZ285" s="32">
        <v>99.7</v>
      </c>
      <c r="CA285" s="32">
        <v>93.1</v>
      </c>
      <c r="CB285" s="32">
        <v>100.6</v>
      </c>
      <c r="CC285" s="32">
        <v>86</v>
      </c>
      <c r="CD285" s="32">
        <v>77.8</v>
      </c>
      <c r="CE285" s="32">
        <v>56.9</v>
      </c>
      <c r="CF285" s="32">
        <v>74.2</v>
      </c>
      <c r="CG285" s="32">
        <v>45.3</v>
      </c>
      <c r="CH285" s="32">
        <v>56.1</v>
      </c>
      <c r="CI285" s="32">
        <v>6.3</v>
      </c>
      <c r="CJ285" s="32">
        <v>63.6</v>
      </c>
      <c r="CK285" s="32">
        <v>64.5</v>
      </c>
      <c r="CL285" s="32">
        <v>43</v>
      </c>
      <c r="CM285" s="32">
        <v>21.5</v>
      </c>
      <c r="CN285" s="32">
        <v>-122.1</v>
      </c>
      <c r="CO285" s="32">
        <v>53.1</v>
      </c>
      <c r="CP285" s="32">
        <v>43</v>
      </c>
      <c r="CQ285" s="32">
        <v>-113.6</v>
      </c>
      <c r="CR285" s="32">
        <v>77.900000000000006</v>
      </c>
      <c r="CS285" s="32">
        <v>96.2</v>
      </c>
      <c r="CT285" s="32">
        <v>11.4</v>
      </c>
      <c r="CU285" s="32">
        <v>5.5</v>
      </c>
      <c r="CV285" s="32">
        <v>13.8</v>
      </c>
      <c r="CW285" s="32">
        <v>100.6</v>
      </c>
      <c r="CX285" s="32">
        <v>81</v>
      </c>
      <c r="CY285" s="32">
        <v>90.9</v>
      </c>
      <c r="CZ285" s="32">
        <v>75.5</v>
      </c>
      <c r="DA285" s="32">
        <v>65.099999999999994</v>
      </c>
      <c r="DB285" s="32">
        <v>94.7</v>
      </c>
      <c r="DC285" s="32">
        <v>125.4</v>
      </c>
      <c r="DD285" s="32">
        <v>125.4</v>
      </c>
      <c r="DE285" s="32">
        <v>96.7</v>
      </c>
      <c r="DF285" s="32">
        <v>98</v>
      </c>
      <c r="DG285" s="32">
        <v>88.7</v>
      </c>
      <c r="DH285" s="32">
        <v>94.6</v>
      </c>
      <c r="DI285" s="32">
        <v>89.9</v>
      </c>
      <c r="DJ285" s="32">
        <v>109.3</v>
      </c>
      <c r="DK285" s="32">
        <v>109.3</v>
      </c>
      <c r="DL285" s="32">
        <v>93.3</v>
      </c>
      <c r="DM285" s="32">
        <v>99.3</v>
      </c>
      <c r="DN285" s="32">
        <v>98.5</v>
      </c>
      <c r="DO285" s="32">
        <v>100.7</v>
      </c>
      <c r="DP285" s="32">
        <v>73.2</v>
      </c>
      <c r="DQ285" s="32">
        <v>78.8</v>
      </c>
      <c r="DR285" s="32">
        <v>86.3</v>
      </c>
      <c r="DS285" s="32">
        <v>87.5</v>
      </c>
      <c r="DT285" s="32">
        <v>89.7</v>
      </c>
      <c r="DU285" s="32">
        <v>89.7</v>
      </c>
      <c r="DV285" s="32">
        <v>89.5</v>
      </c>
      <c r="DW285" s="32">
        <v>89.9</v>
      </c>
      <c r="DX285" s="32">
        <v>89.7</v>
      </c>
      <c r="DY285" s="32">
        <v>80</v>
      </c>
      <c r="DZ285" s="32">
        <v>102.3</v>
      </c>
      <c r="EA285" s="32">
        <v>102.3</v>
      </c>
      <c r="EB285" s="32">
        <v>75</v>
      </c>
      <c r="EC285" s="32">
        <v>76.2</v>
      </c>
      <c r="ED285" s="32">
        <v>73.5</v>
      </c>
      <c r="EE285" s="32">
        <v>74.599999999999994</v>
      </c>
      <c r="EF285" s="32">
        <v>70.900000000000006</v>
      </c>
      <c r="EG285" s="32">
        <v>67.900000000000006</v>
      </c>
      <c r="EH285" s="32">
        <v>63.6</v>
      </c>
      <c r="EI285" s="32">
        <v>81.099999999999994</v>
      </c>
      <c r="EJ285" s="32">
        <v>6.7</v>
      </c>
      <c r="EK285" s="32">
        <v>77.400000000000006</v>
      </c>
      <c r="EL285" s="32">
        <v>87.6</v>
      </c>
      <c r="EM285" s="32">
        <v>73.599999999999994</v>
      </c>
      <c r="EN285" s="32">
        <v>77.900000000000006</v>
      </c>
      <c r="EO285" s="32">
        <v>65.900000000000006</v>
      </c>
      <c r="EP285" s="32">
        <v>96.4</v>
      </c>
      <c r="EQ285" s="32">
        <v>96.4</v>
      </c>
      <c r="ER285" s="32">
        <v>59.8</v>
      </c>
      <c r="ES285" s="32">
        <v>59.8</v>
      </c>
      <c r="ET285" s="32">
        <v>50.9</v>
      </c>
      <c r="EU285" s="32">
        <v>32.5</v>
      </c>
      <c r="EV285" s="32">
        <v>32.5</v>
      </c>
      <c r="EW285" s="32">
        <v>91.2</v>
      </c>
      <c r="EX285" s="32">
        <v>103.7</v>
      </c>
      <c r="EY285" s="32">
        <v>81.3</v>
      </c>
      <c r="EZ285" s="32">
        <v>55.1</v>
      </c>
      <c r="FA285" s="32">
        <v>51</v>
      </c>
      <c r="FB285" s="32">
        <v>60.1</v>
      </c>
      <c r="FC285" s="32">
        <v>56</v>
      </c>
      <c r="FD285" s="32">
        <v>48.4</v>
      </c>
      <c r="FE285" s="32">
        <v>70.900000000000006</v>
      </c>
      <c r="FF285" s="32">
        <v>39.6</v>
      </c>
      <c r="FG285" s="32">
        <v>58.7</v>
      </c>
      <c r="FH285" s="32">
        <v>81.2</v>
      </c>
      <c r="FI285" s="32">
        <v>79.3</v>
      </c>
      <c r="FJ285" s="32">
        <v>47.4</v>
      </c>
      <c r="FK285" s="32">
        <v>54</v>
      </c>
      <c r="FL285" s="32">
        <v>54</v>
      </c>
    </row>
    <row r="286" spans="1:168" x14ac:dyDescent="0.2">
      <c r="A286" s="34" t="s">
        <v>1266</v>
      </c>
      <c r="B286" s="32">
        <v>76.2</v>
      </c>
      <c r="C286" s="32">
        <v>87.6</v>
      </c>
      <c r="D286" s="32">
        <v>81.900000000000006</v>
      </c>
      <c r="E286" s="32">
        <v>90.6</v>
      </c>
      <c r="F286" s="32">
        <v>103.7</v>
      </c>
      <c r="G286" s="32">
        <v>63.9</v>
      </c>
      <c r="H286" s="32">
        <v>105.9</v>
      </c>
      <c r="I286" s="32">
        <v>93.9</v>
      </c>
      <c r="J286" s="32">
        <v>86.4</v>
      </c>
      <c r="K286" s="32">
        <v>96.6</v>
      </c>
      <c r="L286" s="32">
        <v>96.9</v>
      </c>
      <c r="M286" s="32">
        <v>110.6</v>
      </c>
      <c r="N286" s="32">
        <v>95.3</v>
      </c>
      <c r="O286" s="32">
        <v>10.6</v>
      </c>
      <c r="P286" s="32">
        <v>90</v>
      </c>
      <c r="Q286" s="32">
        <v>105</v>
      </c>
      <c r="R286" s="32">
        <v>97.5</v>
      </c>
      <c r="S286" s="32">
        <v>90.1</v>
      </c>
      <c r="T286" s="32">
        <v>95</v>
      </c>
      <c r="U286" s="32">
        <v>73.8</v>
      </c>
      <c r="V286" s="32">
        <v>103.9</v>
      </c>
      <c r="W286" s="32">
        <v>40.5</v>
      </c>
      <c r="X286" s="32">
        <v>41.8</v>
      </c>
      <c r="Y286" s="32">
        <v>35.6</v>
      </c>
      <c r="Z286" s="32">
        <v>52.3</v>
      </c>
      <c r="AA286" s="32">
        <v>74.3</v>
      </c>
      <c r="AB286" s="32">
        <v>70.2</v>
      </c>
      <c r="AC286" s="32">
        <v>76.400000000000006</v>
      </c>
      <c r="AD286" s="32">
        <v>75.400000000000006</v>
      </c>
      <c r="AE286" s="32">
        <v>76.400000000000006</v>
      </c>
      <c r="AF286" s="32">
        <v>76.400000000000006</v>
      </c>
      <c r="AG286" s="32">
        <v>98.9</v>
      </c>
      <c r="AH286" s="32">
        <v>98.9</v>
      </c>
      <c r="AI286" s="32">
        <v>108.7</v>
      </c>
      <c r="AJ286" s="32">
        <v>91.1</v>
      </c>
      <c r="AK286" s="32">
        <v>112.8</v>
      </c>
      <c r="AL286" s="32">
        <v>73.5</v>
      </c>
      <c r="AM286" s="32">
        <v>103</v>
      </c>
      <c r="AN286" s="32">
        <v>108.4</v>
      </c>
      <c r="AO286" s="32">
        <v>127.7</v>
      </c>
      <c r="AP286" s="32">
        <v>127.7</v>
      </c>
      <c r="AQ286" s="32">
        <v>78.5</v>
      </c>
      <c r="AR286" s="32">
        <v>76.7</v>
      </c>
      <c r="AS286" s="32">
        <v>80.7</v>
      </c>
      <c r="AT286" s="32">
        <v>84.1</v>
      </c>
      <c r="AU286" s="32">
        <v>78.099999999999994</v>
      </c>
      <c r="AV286" s="32">
        <v>91.8</v>
      </c>
      <c r="AW286" s="32">
        <v>121.2</v>
      </c>
      <c r="AX286" s="32">
        <v>138.19999999999999</v>
      </c>
      <c r="AY286" s="32">
        <v>102.5</v>
      </c>
      <c r="AZ286" s="32">
        <v>84.4</v>
      </c>
      <c r="BA286" s="32">
        <v>101.3</v>
      </c>
      <c r="BB286" s="32">
        <v>101.3</v>
      </c>
      <c r="BC286" s="32">
        <v>128</v>
      </c>
      <c r="BD286" s="32">
        <v>128</v>
      </c>
      <c r="BE286" s="32">
        <v>72.099999999999994</v>
      </c>
      <c r="BF286" s="32">
        <v>72.099999999999994</v>
      </c>
      <c r="BG286" s="32">
        <v>62</v>
      </c>
      <c r="BH286" s="32">
        <v>42.4</v>
      </c>
      <c r="BI286" s="32">
        <v>89.3</v>
      </c>
      <c r="BJ286" s="32">
        <v>80.7</v>
      </c>
      <c r="BK286" s="32">
        <v>89.2</v>
      </c>
      <c r="BL286" s="32">
        <v>110</v>
      </c>
      <c r="BM286" s="32">
        <v>82.6</v>
      </c>
      <c r="BN286" s="32">
        <v>74.8</v>
      </c>
      <c r="BO286" s="32">
        <v>58.4</v>
      </c>
      <c r="BP286" s="32">
        <v>88</v>
      </c>
      <c r="BQ286" s="32">
        <v>91.5</v>
      </c>
      <c r="BR286" s="32">
        <v>98.2</v>
      </c>
      <c r="BS286" s="32">
        <v>80</v>
      </c>
      <c r="BT286" s="32">
        <v>94.2</v>
      </c>
      <c r="BU286" s="32">
        <v>105</v>
      </c>
      <c r="BV286" s="32">
        <v>105</v>
      </c>
      <c r="BW286" s="32">
        <v>96.9</v>
      </c>
      <c r="BX286" s="32">
        <v>135.19999999999999</v>
      </c>
      <c r="BY286" s="32">
        <v>95.6</v>
      </c>
      <c r="BZ286" s="32">
        <v>101.1</v>
      </c>
      <c r="CA286" s="32">
        <v>92.7</v>
      </c>
      <c r="CB286" s="32">
        <v>102.6</v>
      </c>
      <c r="CC286" s="32">
        <v>83</v>
      </c>
      <c r="CD286" s="32">
        <v>73.7</v>
      </c>
      <c r="CE286" s="32">
        <v>62.7</v>
      </c>
      <c r="CF286" s="32">
        <v>74.599999999999994</v>
      </c>
      <c r="CG286" s="32">
        <v>51.1</v>
      </c>
      <c r="CH286" s="32">
        <v>65</v>
      </c>
      <c r="CI286" s="32">
        <v>15.8</v>
      </c>
      <c r="CJ286" s="32">
        <v>68.599999999999994</v>
      </c>
      <c r="CK286" s="32">
        <v>76.400000000000006</v>
      </c>
      <c r="CL286" s="32">
        <v>45.7</v>
      </c>
      <c r="CM286" s="32">
        <v>23.9</v>
      </c>
      <c r="CN286" s="32">
        <v>-126.8</v>
      </c>
      <c r="CO286" s="32">
        <v>57.1</v>
      </c>
      <c r="CP286" s="32">
        <v>45</v>
      </c>
      <c r="CQ286" s="32">
        <v>-109.2</v>
      </c>
      <c r="CR286" s="32">
        <v>78.8</v>
      </c>
      <c r="CS286" s="32">
        <v>103.4</v>
      </c>
      <c r="CT286" s="32">
        <v>10.7</v>
      </c>
      <c r="CU286" s="32">
        <v>5</v>
      </c>
      <c r="CV286" s="32">
        <v>13.1</v>
      </c>
      <c r="CW286" s="32">
        <v>98.9</v>
      </c>
      <c r="CX286" s="32">
        <v>77.400000000000006</v>
      </c>
      <c r="CY286" s="32">
        <v>91.3</v>
      </c>
      <c r="CZ286" s="32">
        <v>69.599999999999994</v>
      </c>
      <c r="DA286" s="32">
        <v>56</v>
      </c>
      <c r="DB286" s="32">
        <v>94.5</v>
      </c>
      <c r="DC286" s="32">
        <v>123.3</v>
      </c>
      <c r="DD286" s="32">
        <v>123.3</v>
      </c>
      <c r="DE286" s="32">
        <v>96.4</v>
      </c>
      <c r="DF286" s="32">
        <v>97.2</v>
      </c>
      <c r="DG286" s="32">
        <v>91.9</v>
      </c>
      <c r="DH286" s="32">
        <v>95.5</v>
      </c>
      <c r="DI286" s="32">
        <v>87.9</v>
      </c>
      <c r="DJ286" s="32">
        <v>111</v>
      </c>
      <c r="DK286" s="32">
        <v>111</v>
      </c>
      <c r="DL286" s="32">
        <v>98.6</v>
      </c>
      <c r="DM286" s="32">
        <v>99</v>
      </c>
      <c r="DN286" s="32">
        <v>96.3</v>
      </c>
      <c r="DO286" s="32">
        <v>100.8</v>
      </c>
      <c r="DP286" s="32">
        <v>81.400000000000006</v>
      </c>
      <c r="DQ286" s="32">
        <v>77.8</v>
      </c>
      <c r="DR286" s="32">
        <v>84.6</v>
      </c>
      <c r="DS286" s="32">
        <v>85.6</v>
      </c>
      <c r="DT286" s="32">
        <v>87.2</v>
      </c>
      <c r="DU286" s="32">
        <v>87.5</v>
      </c>
      <c r="DV286" s="32">
        <v>85.4</v>
      </c>
      <c r="DW286" s="32">
        <v>90</v>
      </c>
      <c r="DX286" s="32">
        <v>86.5</v>
      </c>
      <c r="DY286" s="32">
        <v>80.099999999999994</v>
      </c>
      <c r="DZ286" s="32">
        <v>101.2</v>
      </c>
      <c r="EA286" s="32">
        <v>101.2</v>
      </c>
      <c r="EB286" s="32">
        <v>73.900000000000006</v>
      </c>
      <c r="EC286" s="32">
        <v>74.599999999999994</v>
      </c>
      <c r="ED286" s="32">
        <v>73</v>
      </c>
      <c r="EE286" s="32">
        <v>66.400000000000006</v>
      </c>
      <c r="EF286" s="32">
        <v>89.2</v>
      </c>
      <c r="EG286" s="32">
        <v>67.8</v>
      </c>
      <c r="EH286" s="32">
        <v>66.3</v>
      </c>
      <c r="EI286" s="32">
        <v>79.599999999999994</v>
      </c>
      <c r="EJ286" s="32">
        <v>4.2</v>
      </c>
      <c r="EK286" s="32">
        <v>77.400000000000006</v>
      </c>
      <c r="EL286" s="32">
        <v>86.2</v>
      </c>
      <c r="EM286" s="32">
        <v>73.900000000000006</v>
      </c>
      <c r="EN286" s="32">
        <v>77.900000000000006</v>
      </c>
      <c r="EO286" s="32">
        <v>63.8</v>
      </c>
      <c r="EP286" s="32">
        <v>95.9</v>
      </c>
      <c r="EQ286" s="32">
        <v>95.9</v>
      </c>
      <c r="ER286" s="32">
        <v>51.9</v>
      </c>
      <c r="ES286" s="32">
        <v>51.9</v>
      </c>
      <c r="ET286" s="32">
        <v>52.3</v>
      </c>
      <c r="EU286" s="32">
        <v>33.200000000000003</v>
      </c>
      <c r="EV286" s="32">
        <v>33.200000000000003</v>
      </c>
      <c r="EW286" s="32">
        <v>94.1</v>
      </c>
      <c r="EX286" s="32">
        <v>104.3</v>
      </c>
      <c r="EY286" s="32">
        <v>86.1</v>
      </c>
      <c r="EZ286" s="32">
        <v>51.9</v>
      </c>
      <c r="FA286" s="32">
        <v>43.1</v>
      </c>
      <c r="FB286" s="32">
        <v>53.6</v>
      </c>
      <c r="FC286" s="32">
        <v>44.8</v>
      </c>
      <c r="FD286" s="32">
        <v>49.8</v>
      </c>
      <c r="FE286" s="32">
        <v>68.099999999999994</v>
      </c>
      <c r="FF286" s="32">
        <v>30</v>
      </c>
      <c r="FG286" s="32">
        <v>60.1</v>
      </c>
      <c r="FH286" s="32">
        <v>81.8</v>
      </c>
      <c r="FI286" s="32">
        <v>75.599999999999994</v>
      </c>
      <c r="FJ286" s="32">
        <v>49.7</v>
      </c>
      <c r="FK286" s="32">
        <v>47.4</v>
      </c>
      <c r="FL286" s="32">
        <v>47.4</v>
      </c>
    </row>
    <row r="287" spans="1:168" x14ac:dyDescent="0.2">
      <c r="A287" s="34" t="s">
        <v>1267</v>
      </c>
      <c r="B287" s="32">
        <v>83.6</v>
      </c>
      <c r="C287" s="32">
        <v>89.2</v>
      </c>
      <c r="D287" s="32">
        <v>92.8</v>
      </c>
      <c r="E287" s="32">
        <v>100.2</v>
      </c>
      <c r="F287" s="32">
        <v>108.1</v>
      </c>
      <c r="G287" s="32">
        <v>68.5</v>
      </c>
      <c r="H287" s="32">
        <v>108.9</v>
      </c>
      <c r="I287" s="32">
        <v>105.6</v>
      </c>
      <c r="J287" s="32">
        <v>97.9</v>
      </c>
      <c r="K287" s="32">
        <v>101.3</v>
      </c>
      <c r="L287" s="32">
        <v>101</v>
      </c>
      <c r="M287" s="32">
        <v>116.2</v>
      </c>
      <c r="N287" s="32">
        <v>95.6</v>
      </c>
      <c r="O287" s="32">
        <v>5.8</v>
      </c>
      <c r="P287" s="32">
        <v>89.8</v>
      </c>
      <c r="Q287" s="32">
        <v>114.1</v>
      </c>
      <c r="R287" s="32">
        <v>102.3</v>
      </c>
      <c r="S287" s="32">
        <v>94.8</v>
      </c>
      <c r="T287" s="32">
        <v>99</v>
      </c>
      <c r="U287" s="32">
        <v>82.3</v>
      </c>
      <c r="V287" s="32">
        <v>109.9</v>
      </c>
      <c r="W287" s="32">
        <v>58.2</v>
      </c>
      <c r="X287" s="32">
        <v>57.7</v>
      </c>
      <c r="Y287" s="32">
        <v>55</v>
      </c>
      <c r="Z287" s="32">
        <v>79.099999999999994</v>
      </c>
      <c r="AA287" s="32">
        <v>84.3</v>
      </c>
      <c r="AB287" s="32">
        <v>94.1</v>
      </c>
      <c r="AC287" s="32">
        <v>80.5</v>
      </c>
      <c r="AD287" s="32">
        <v>80.400000000000006</v>
      </c>
      <c r="AE287" s="32">
        <v>78</v>
      </c>
      <c r="AF287" s="32">
        <v>78</v>
      </c>
      <c r="AG287" s="32">
        <v>100</v>
      </c>
      <c r="AH287" s="32">
        <v>100</v>
      </c>
      <c r="AI287" s="32">
        <v>128.5</v>
      </c>
      <c r="AJ287" s="32">
        <v>84.8</v>
      </c>
      <c r="AK287" s="32">
        <v>114.4</v>
      </c>
      <c r="AL287" s="32">
        <v>92.7</v>
      </c>
      <c r="AM287" s="32">
        <v>98.5</v>
      </c>
      <c r="AN287" s="32">
        <v>109.6</v>
      </c>
      <c r="AO287" s="32">
        <v>129</v>
      </c>
      <c r="AP287" s="32">
        <v>129</v>
      </c>
      <c r="AQ287" s="32">
        <v>96.5</v>
      </c>
      <c r="AR287" s="32">
        <v>91.1</v>
      </c>
      <c r="AS287" s="32">
        <v>103.5</v>
      </c>
      <c r="AT287" s="32">
        <v>100.1</v>
      </c>
      <c r="AU287" s="32">
        <v>106.1</v>
      </c>
      <c r="AV287" s="32">
        <v>105</v>
      </c>
      <c r="AW287" s="32">
        <v>135.1</v>
      </c>
      <c r="AX287" s="32">
        <v>145.5</v>
      </c>
      <c r="AY287" s="32">
        <v>123.7</v>
      </c>
      <c r="AZ287" s="32">
        <v>97.5</v>
      </c>
      <c r="BA287" s="32">
        <v>98.9</v>
      </c>
      <c r="BB287" s="32">
        <v>98.9</v>
      </c>
      <c r="BC287" s="32">
        <v>143.69999999999999</v>
      </c>
      <c r="BD287" s="32">
        <v>143.69999999999999</v>
      </c>
      <c r="BE287" s="32">
        <v>101.1</v>
      </c>
      <c r="BF287" s="32">
        <v>101.1</v>
      </c>
      <c r="BG287" s="32">
        <v>86.1</v>
      </c>
      <c r="BH287" s="32">
        <v>76</v>
      </c>
      <c r="BI287" s="32">
        <v>100.1</v>
      </c>
      <c r="BJ287" s="32">
        <v>103.5</v>
      </c>
      <c r="BK287" s="32">
        <v>97.5</v>
      </c>
      <c r="BL287" s="32">
        <v>120.8</v>
      </c>
      <c r="BM287" s="32">
        <v>89.2</v>
      </c>
      <c r="BN287" s="32">
        <v>87</v>
      </c>
      <c r="BO287" s="32">
        <v>70.8</v>
      </c>
      <c r="BP287" s="32">
        <v>100</v>
      </c>
      <c r="BQ287" s="32">
        <v>91.6</v>
      </c>
      <c r="BR287" s="32">
        <v>86.3</v>
      </c>
      <c r="BS287" s="32">
        <v>78.3</v>
      </c>
      <c r="BT287" s="32">
        <v>96.8</v>
      </c>
      <c r="BU287" s="32">
        <v>109.1</v>
      </c>
      <c r="BV287" s="32">
        <v>109.1</v>
      </c>
      <c r="BW287" s="32">
        <v>101</v>
      </c>
      <c r="BX287" s="32">
        <v>139.5</v>
      </c>
      <c r="BY287" s="32">
        <v>101.2</v>
      </c>
      <c r="BZ287" s="32">
        <v>99.2</v>
      </c>
      <c r="CA287" s="32">
        <v>102.3</v>
      </c>
      <c r="CB287" s="32">
        <v>104.6</v>
      </c>
      <c r="CC287" s="32">
        <v>99.9</v>
      </c>
      <c r="CD287" s="32">
        <v>98.9</v>
      </c>
      <c r="CE287" s="32">
        <v>76.599999999999994</v>
      </c>
      <c r="CF287" s="32">
        <v>81.2</v>
      </c>
      <c r="CG287" s="32">
        <v>67.2</v>
      </c>
      <c r="CH287" s="32">
        <v>83.7</v>
      </c>
      <c r="CI287" s="32">
        <v>76.8</v>
      </c>
      <c r="CJ287" s="32">
        <v>80.099999999999994</v>
      </c>
      <c r="CK287" s="32">
        <v>88.5</v>
      </c>
      <c r="CL287" s="32">
        <v>56.8</v>
      </c>
      <c r="CM287" s="32">
        <v>44.7</v>
      </c>
      <c r="CN287" s="32">
        <v>-93.6</v>
      </c>
      <c r="CO287" s="32">
        <v>75.2</v>
      </c>
      <c r="CP287" s="32">
        <v>43.2</v>
      </c>
      <c r="CQ287" s="32">
        <v>-83.1</v>
      </c>
      <c r="CR287" s="32">
        <v>79.8</v>
      </c>
      <c r="CS287" s="32">
        <v>110.7</v>
      </c>
      <c r="CT287" s="32">
        <v>25.2</v>
      </c>
      <c r="CU287" s="32">
        <v>8.4</v>
      </c>
      <c r="CV287" s="32">
        <v>32.200000000000003</v>
      </c>
      <c r="CW287" s="32">
        <v>104.1</v>
      </c>
      <c r="CX287" s="32">
        <v>87.2</v>
      </c>
      <c r="CY287" s="32">
        <v>97.7</v>
      </c>
      <c r="CZ287" s="32">
        <v>81.400000000000006</v>
      </c>
      <c r="DA287" s="32">
        <v>75.099999999999994</v>
      </c>
      <c r="DB287" s="32">
        <v>92.9</v>
      </c>
      <c r="DC287" s="32">
        <v>129.69999999999999</v>
      </c>
      <c r="DD287" s="32">
        <v>129.69999999999999</v>
      </c>
      <c r="DE287" s="32">
        <v>98.4</v>
      </c>
      <c r="DF287" s="32">
        <v>98.6</v>
      </c>
      <c r="DG287" s="32">
        <v>97</v>
      </c>
      <c r="DH287" s="32">
        <v>96.9</v>
      </c>
      <c r="DI287" s="32">
        <v>85.1</v>
      </c>
      <c r="DJ287" s="32">
        <v>112.5</v>
      </c>
      <c r="DK287" s="32">
        <v>112.5</v>
      </c>
      <c r="DL287" s="32">
        <v>107</v>
      </c>
      <c r="DM287" s="32">
        <v>99</v>
      </c>
      <c r="DN287" s="32">
        <v>95.5</v>
      </c>
      <c r="DO287" s="32">
        <v>100.9</v>
      </c>
      <c r="DP287" s="32">
        <v>85.5</v>
      </c>
      <c r="DQ287" s="32">
        <v>87.2</v>
      </c>
      <c r="DR287" s="32">
        <v>92</v>
      </c>
      <c r="DS287" s="32">
        <v>91.8</v>
      </c>
      <c r="DT287" s="32">
        <v>92.4</v>
      </c>
      <c r="DU287" s="32">
        <v>94.7</v>
      </c>
      <c r="DV287" s="32">
        <v>90.9</v>
      </c>
      <c r="DW287" s="32">
        <v>99.3</v>
      </c>
      <c r="DX287" s="32">
        <v>87.5</v>
      </c>
      <c r="DY287" s="32">
        <v>89.8</v>
      </c>
      <c r="DZ287" s="32">
        <v>116.6</v>
      </c>
      <c r="EA287" s="32">
        <v>116.6</v>
      </c>
      <c r="EB287" s="32">
        <v>81</v>
      </c>
      <c r="EC287" s="32">
        <v>81.400000000000006</v>
      </c>
      <c r="ED287" s="32">
        <v>80.5</v>
      </c>
      <c r="EE287" s="32">
        <v>70.599999999999994</v>
      </c>
      <c r="EF287" s="32">
        <v>104.9</v>
      </c>
      <c r="EG287" s="32">
        <v>80.3</v>
      </c>
      <c r="EH287" s="32">
        <v>88.5</v>
      </c>
      <c r="EI287" s="32">
        <v>84.5</v>
      </c>
      <c r="EJ287" s="32">
        <v>17.7</v>
      </c>
      <c r="EK287" s="32">
        <v>89.4</v>
      </c>
      <c r="EL287" s="32">
        <v>91.5</v>
      </c>
      <c r="EM287" s="32">
        <v>78.3</v>
      </c>
      <c r="EN287" s="32">
        <v>95.4</v>
      </c>
      <c r="EO287" s="32">
        <v>67</v>
      </c>
      <c r="EP287" s="32">
        <v>95.4</v>
      </c>
      <c r="EQ287" s="32">
        <v>95.4</v>
      </c>
      <c r="ER287" s="32">
        <v>56.2</v>
      </c>
      <c r="ES287" s="32">
        <v>56.2</v>
      </c>
      <c r="ET287" s="32">
        <v>57</v>
      </c>
      <c r="EU287" s="32">
        <v>38.799999999999997</v>
      </c>
      <c r="EV287" s="32">
        <v>38.799999999999997</v>
      </c>
      <c r="EW287" s="32">
        <v>97</v>
      </c>
      <c r="EX287" s="32">
        <v>103.6</v>
      </c>
      <c r="EY287" s="32">
        <v>91.8</v>
      </c>
      <c r="EZ287" s="32">
        <v>58.3</v>
      </c>
      <c r="FA287" s="32">
        <v>55.2</v>
      </c>
      <c r="FB287" s="32">
        <v>55.8</v>
      </c>
      <c r="FC287" s="32">
        <v>45.3</v>
      </c>
      <c r="FD287" s="32">
        <v>60.3</v>
      </c>
      <c r="FE287" s="32">
        <v>69.5</v>
      </c>
      <c r="FF287" s="32">
        <v>54.5</v>
      </c>
      <c r="FG287" s="32">
        <v>61.4</v>
      </c>
      <c r="FH287" s="32">
        <v>88.1</v>
      </c>
      <c r="FI287" s="32">
        <v>81.099999999999994</v>
      </c>
      <c r="FJ287" s="32">
        <v>48.5</v>
      </c>
      <c r="FK287" s="32">
        <v>54.5</v>
      </c>
      <c r="FL287" s="32">
        <v>54.5</v>
      </c>
    </row>
    <row r="288" spans="1:168" x14ac:dyDescent="0.2">
      <c r="A288" s="34" t="s">
        <v>1268</v>
      </c>
      <c r="B288" s="32">
        <v>89.1</v>
      </c>
      <c r="C288" s="32">
        <v>88.6</v>
      </c>
      <c r="D288" s="32">
        <v>99.7</v>
      </c>
      <c r="E288" s="32">
        <v>104.9</v>
      </c>
      <c r="F288" s="32">
        <v>105.6</v>
      </c>
      <c r="G288" s="32">
        <v>70.599999999999994</v>
      </c>
      <c r="H288" s="32">
        <v>106.1</v>
      </c>
      <c r="I288" s="32">
        <v>104.7</v>
      </c>
      <c r="J288" s="32">
        <v>104.6</v>
      </c>
      <c r="K288" s="32">
        <v>105.9</v>
      </c>
      <c r="L288" s="32">
        <v>103.1</v>
      </c>
      <c r="M288" s="32">
        <v>119</v>
      </c>
      <c r="N288" s="32">
        <v>92.8</v>
      </c>
      <c r="O288" s="32">
        <v>3</v>
      </c>
      <c r="P288" s="32">
        <v>90.9</v>
      </c>
      <c r="Q288" s="32">
        <v>110.2</v>
      </c>
      <c r="R288" s="32">
        <v>114.4</v>
      </c>
      <c r="S288" s="32">
        <v>95.6</v>
      </c>
      <c r="T288" s="32">
        <v>93.4</v>
      </c>
      <c r="U288" s="32">
        <v>76.099999999999994</v>
      </c>
      <c r="V288" s="32">
        <v>129.19999999999999</v>
      </c>
      <c r="W288" s="32">
        <v>67.2</v>
      </c>
      <c r="X288" s="32">
        <v>65.099999999999994</v>
      </c>
      <c r="Y288" s="32">
        <v>68.2</v>
      </c>
      <c r="Z288" s="32">
        <v>81.3</v>
      </c>
      <c r="AA288" s="32">
        <v>90.5</v>
      </c>
      <c r="AB288" s="32">
        <v>106.6</v>
      </c>
      <c r="AC288" s="32">
        <v>83.3</v>
      </c>
      <c r="AD288" s="32">
        <v>85.1</v>
      </c>
      <c r="AE288" s="32">
        <v>78.400000000000006</v>
      </c>
      <c r="AF288" s="32">
        <v>78.400000000000006</v>
      </c>
      <c r="AG288" s="32">
        <v>101.6</v>
      </c>
      <c r="AH288" s="32">
        <v>101.6</v>
      </c>
      <c r="AI288" s="32">
        <v>136.30000000000001</v>
      </c>
      <c r="AJ288" s="32">
        <v>90.6</v>
      </c>
      <c r="AK288" s="32">
        <v>114.7</v>
      </c>
      <c r="AL288" s="32">
        <v>90.2</v>
      </c>
      <c r="AM288" s="32">
        <v>100.5</v>
      </c>
      <c r="AN288" s="32">
        <v>104.3</v>
      </c>
      <c r="AO288" s="32">
        <v>130.6</v>
      </c>
      <c r="AP288" s="32">
        <v>130.6</v>
      </c>
      <c r="AQ288" s="32">
        <v>104.6</v>
      </c>
      <c r="AR288" s="32">
        <v>100.1</v>
      </c>
      <c r="AS288" s="32">
        <v>110.4</v>
      </c>
      <c r="AT288" s="32">
        <v>116.3</v>
      </c>
      <c r="AU288" s="32">
        <v>105.9</v>
      </c>
      <c r="AV288" s="32">
        <v>107.1</v>
      </c>
      <c r="AW288" s="32">
        <v>134.1</v>
      </c>
      <c r="AX288" s="32">
        <v>141.19999999999999</v>
      </c>
      <c r="AY288" s="32">
        <v>126.2</v>
      </c>
      <c r="AZ288" s="32">
        <v>100.3</v>
      </c>
      <c r="BA288" s="32">
        <v>103.7</v>
      </c>
      <c r="BB288" s="32">
        <v>103.7</v>
      </c>
      <c r="BC288" s="32">
        <v>151.30000000000001</v>
      </c>
      <c r="BD288" s="32">
        <v>151.30000000000001</v>
      </c>
      <c r="BE288" s="32">
        <v>108.6</v>
      </c>
      <c r="BF288" s="32">
        <v>108.6</v>
      </c>
      <c r="BG288" s="32">
        <v>100.8</v>
      </c>
      <c r="BH288" s="32">
        <v>98.7</v>
      </c>
      <c r="BI288" s="32">
        <v>103.9</v>
      </c>
      <c r="BJ288" s="32">
        <v>94.8</v>
      </c>
      <c r="BK288" s="32">
        <v>104.2</v>
      </c>
      <c r="BL288" s="32">
        <v>122.2</v>
      </c>
      <c r="BM288" s="32">
        <v>100.3</v>
      </c>
      <c r="BN288" s="32">
        <v>104.6</v>
      </c>
      <c r="BO288" s="32">
        <v>98.7</v>
      </c>
      <c r="BP288" s="32">
        <v>109.4</v>
      </c>
      <c r="BQ288" s="32">
        <v>95.3</v>
      </c>
      <c r="BR288" s="32">
        <v>90.2</v>
      </c>
      <c r="BS288" s="32">
        <v>76.400000000000006</v>
      </c>
      <c r="BT288" s="32">
        <v>102.2</v>
      </c>
      <c r="BU288" s="32">
        <v>109.7</v>
      </c>
      <c r="BV288" s="32">
        <v>109.7</v>
      </c>
      <c r="BW288" s="32">
        <v>101</v>
      </c>
      <c r="BX288" s="32">
        <v>142.1</v>
      </c>
      <c r="BY288" s="32">
        <v>100.6</v>
      </c>
      <c r="BZ288" s="32">
        <v>97.3</v>
      </c>
      <c r="CA288" s="32">
        <v>102.3</v>
      </c>
      <c r="CB288" s="32">
        <v>103.3</v>
      </c>
      <c r="CC288" s="32">
        <v>101.3</v>
      </c>
      <c r="CD288" s="32">
        <v>100.9</v>
      </c>
      <c r="CE288" s="32">
        <v>88.5</v>
      </c>
      <c r="CF288" s="32">
        <v>86.5</v>
      </c>
      <c r="CG288" s="32">
        <v>78.8</v>
      </c>
      <c r="CH288" s="32">
        <v>88.8</v>
      </c>
      <c r="CI288" s="32">
        <v>101.6</v>
      </c>
      <c r="CJ288" s="32">
        <v>81.599999999999994</v>
      </c>
      <c r="CK288" s="32">
        <v>90.7</v>
      </c>
      <c r="CL288" s="32">
        <v>65.400000000000006</v>
      </c>
      <c r="CM288" s="32">
        <v>63.2</v>
      </c>
      <c r="CN288" s="32">
        <v>8.4</v>
      </c>
      <c r="CO288" s="32">
        <v>75.2</v>
      </c>
      <c r="CP288" s="32">
        <v>38.200000000000003</v>
      </c>
      <c r="CQ288" s="32">
        <v>-72.5</v>
      </c>
      <c r="CR288" s="32">
        <v>82.6</v>
      </c>
      <c r="CS288" s="32">
        <v>112.9</v>
      </c>
      <c r="CT288" s="32">
        <v>63.1</v>
      </c>
      <c r="CU288" s="32">
        <v>45.1</v>
      </c>
      <c r="CV288" s="32">
        <v>70.8</v>
      </c>
      <c r="CW288" s="32">
        <v>107</v>
      </c>
      <c r="CX288" s="32">
        <v>90.5</v>
      </c>
      <c r="CY288" s="32">
        <v>98.7</v>
      </c>
      <c r="CZ288" s="32">
        <v>85.9</v>
      </c>
      <c r="DA288" s="32">
        <v>84.9</v>
      </c>
      <c r="DB288" s="32">
        <v>87.7</v>
      </c>
      <c r="DC288" s="32">
        <v>132.80000000000001</v>
      </c>
      <c r="DD288" s="32">
        <v>132.80000000000001</v>
      </c>
      <c r="DE288" s="32">
        <v>101</v>
      </c>
      <c r="DF288" s="32">
        <v>101.9</v>
      </c>
      <c r="DG288" s="32">
        <v>95.9</v>
      </c>
      <c r="DH288" s="32">
        <v>96.8</v>
      </c>
      <c r="DI288" s="32">
        <v>83.8</v>
      </c>
      <c r="DJ288" s="32">
        <v>112.7</v>
      </c>
      <c r="DK288" s="32">
        <v>112.7</v>
      </c>
      <c r="DL288" s="32">
        <v>108.5</v>
      </c>
      <c r="DM288" s="32">
        <v>98.8</v>
      </c>
      <c r="DN288" s="32">
        <v>95.5</v>
      </c>
      <c r="DO288" s="32">
        <v>100.3</v>
      </c>
      <c r="DP288" s="32">
        <v>95</v>
      </c>
      <c r="DQ288" s="32">
        <v>88.7</v>
      </c>
      <c r="DR288" s="32">
        <v>93.8</v>
      </c>
      <c r="DS288" s="32">
        <v>93.4</v>
      </c>
      <c r="DT288" s="32">
        <v>93.5</v>
      </c>
      <c r="DU288" s="32">
        <v>95.9</v>
      </c>
      <c r="DV288" s="32">
        <v>92.5</v>
      </c>
      <c r="DW288" s="32">
        <v>100.1</v>
      </c>
      <c r="DX288" s="32">
        <v>88.4</v>
      </c>
      <c r="DY288" s="32">
        <v>92.9</v>
      </c>
      <c r="DZ288" s="32">
        <v>108.8</v>
      </c>
      <c r="EA288" s="32">
        <v>108.8</v>
      </c>
      <c r="EB288" s="32">
        <v>87.9</v>
      </c>
      <c r="EC288" s="32">
        <v>88.2</v>
      </c>
      <c r="ED288" s="32">
        <v>87.5</v>
      </c>
      <c r="EE288" s="32">
        <v>79.8</v>
      </c>
      <c r="EF288" s="32">
        <v>106.5</v>
      </c>
      <c r="EG288" s="32">
        <v>81.2</v>
      </c>
      <c r="EH288" s="32">
        <v>92.1</v>
      </c>
      <c r="EI288" s="32">
        <v>86.2</v>
      </c>
      <c r="EJ288" s="32">
        <v>24</v>
      </c>
      <c r="EK288" s="32">
        <v>86.7</v>
      </c>
      <c r="EL288" s="32">
        <v>91.1</v>
      </c>
      <c r="EM288" s="32">
        <v>76.900000000000006</v>
      </c>
      <c r="EN288" s="32">
        <v>91.7</v>
      </c>
      <c r="EO288" s="32">
        <v>72.8</v>
      </c>
      <c r="EP288" s="32">
        <v>93.9</v>
      </c>
      <c r="EQ288" s="32">
        <v>93.9</v>
      </c>
      <c r="ER288" s="32">
        <v>70.8</v>
      </c>
      <c r="ES288" s="32">
        <v>70.8</v>
      </c>
      <c r="ET288" s="32">
        <v>60.8</v>
      </c>
      <c r="EU288" s="32">
        <v>43.6</v>
      </c>
      <c r="EV288" s="32">
        <v>43.6</v>
      </c>
      <c r="EW288" s="32">
        <v>98.6</v>
      </c>
      <c r="EX288" s="32">
        <v>101.2</v>
      </c>
      <c r="EY288" s="32">
        <v>96.6</v>
      </c>
      <c r="EZ288" s="32">
        <v>81</v>
      </c>
      <c r="FA288" s="32">
        <v>65.8</v>
      </c>
      <c r="FB288" s="32">
        <v>60.7</v>
      </c>
      <c r="FC288" s="32">
        <v>47.1</v>
      </c>
      <c r="FD288" s="32">
        <v>81</v>
      </c>
      <c r="FE288" s="32">
        <v>72.599999999999994</v>
      </c>
      <c r="FF288" s="32">
        <v>72.2</v>
      </c>
      <c r="FG288" s="32">
        <v>95</v>
      </c>
      <c r="FH288" s="32">
        <v>87.4</v>
      </c>
      <c r="FI288" s="32">
        <v>84.5</v>
      </c>
      <c r="FJ288" s="32">
        <v>99.3</v>
      </c>
      <c r="FK288" s="32">
        <v>72.3</v>
      </c>
      <c r="FL288" s="32">
        <v>72.3</v>
      </c>
    </row>
    <row r="289" spans="1:168" x14ac:dyDescent="0.2">
      <c r="A289" s="34" t="s">
        <v>1269</v>
      </c>
      <c r="B289" s="32">
        <v>91.8</v>
      </c>
      <c r="C289" s="32">
        <v>89.6</v>
      </c>
      <c r="D289" s="32">
        <v>102.1</v>
      </c>
      <c r="E289" s="32">
        <v>107.2</v>
      </c>
      <c r="F289" s="32">
        <v>100.2</v>
      </c>
      <c r="G289" s="32">
        <v>50.4</v>
      </c>
      <c r="H289" s="32">
        <v>100.3</v>
      </c>
      <c r="I289" s="32">
        <v>101.6</v>
      </c>
      <c r="J289" s="32">
        <v>108.6</v>
      </c>
      <c r="K289" s="32">
        <v>106.8</v>
      </c>
      <c r="L289" s="32">
        <v>102.6</v>
      </c>
      <c r="M289" s="32">
        <v>119</v>
      </c>
      <c r="N289" s="32">
        <v>95.5</v>
      </c>
      <c r="O289" s="32">
        <v>2.2000000000000002</v>
      </c>
      <c r="P289" s="32">
        <v>92.5</v>
      </c>
      <c r="Q289" s="32">
        <v>108.5</v>
      </c>
      <c r="R289" s="32">
        <v>102.4</v>
      </c>
      <c r="S289" s="32">
        <v>98.5</v>
      </c>
      <c r="T289" s="32">
        <v>98.3</v>
      </c>
      <c r="U289" s="32">
        <v>81.5</v>
      </c>
      <c r="V289" s="32">
        <v>134.69999999999999</v>
      </c>
      <c r="W289" s="32">
        <v>71.400000000000006</v>
      </c>
      <c r="X289" s="32">
        <v>61.5</v>
      </c>
      <c r="Y289" s="32">
        <v>88.6</v>
      </c>
      <c r="Z289" s="32">
        <v>78.8</v>
      </c>
      <c r="AA289" s="32">
        <v>91.6</v>
      </c>
      <c r="AB289" s="32">
        <v>102.6</v>
      </c>
      <c r="AC289" s="32">
        <v>84.4</v>
      </c>
      <c r="AD289" s="32">
        <v>90.1</v>
      </c>
      <c r="AE289" s="32">
        <v>76</v>
      </c>
      <c r="AF289" s="32">
        <v>76</v>
      </c>
      <c r="AG289" s="32">
        <v>102.6</v>
      </c>
      <c r="AH289" s="32">
        <v>102.6</v>
      </c>
      <c r="AI289" s="32">
        <v>133.4</v>
      </c>
      <c r="AJ289" s="32">
        <v>85.8</v>
      </c>
      <c r="AK289" s="32">
        <v>117</v>
      </c>
      <c r="AL289" s="32">
        <v>92.9</v>
      </c>
      <c r="AM289" s="32">
        <v>102.6</v>
      </c>
      <c r="AN289" s="32">
        <v>111.9</v>
      </c>
      <c r="AO289" s="32">
        <v>129.30000000000001</v>
      </c>
      <c r="AP289" s="32">
        <v>129.30000000000001</v>
      </c>
      <c r="AQ289" s="32">
        <v>109.1</v>
      </c>
      <c r="AR289" s="32">
        <v>104.6</v>
      </c>
      <c r="AS289" s="32">
        <v>114.9</v>
      </c>
      <c r="AT289" s="32">
        <v>122.3</v>
      </c>
      <c r="AU289" s="32">
        <v>109.3</v>
      </c>
      <c r="AV289" s="32">
        <v>109.4</v>
      </c>
      <c r="AW289" s="32">
        <v>132.6</v>
      </c>
      <c r="AX289" s="32">
        <v>131.80000000000001</v>
      </c>
      <c r="AY289" s="32">
        <v>133.4</v>
      </c>
      <c r="AZ289" s="32">
        <v>103.6</v>
      </c>
      <c r="BA289" s="32">
        <v>108.8</v>
      </c>
      <c r="BB289" s="32">
        <v>108.8</v>
      </c>
      <c r="BC289" s="32">
        <v>157.19999999999999</v>
      </c>
      <c r="BD289" s="32">
        <v>157.19999999999999</v>
      </c>
      <c r="BE289" s="32">
        <v>119.3</v>
      </c>
      <c r="BF289" s="32">
        <v>119.3</v>
      </c>
      <c r="BG289" s="32">
        <v>111.4</v>
      </c>
      <c r="BH289" s="32">
        <v>108.8</v>
      </c>
      <c r="BI289" s="32">
        <v>115.1</v>
      </c>
      <c r="BJ289" s="32">
        <v>93.5</v>
      </c>
      <c r="BK289" s="32">
        <v>119.1</v>
      </c>
      <c r="BL289" s="32">
        <v>121.1</v>
      </c>
      <c r="BM289" s="32">
        <v>103.6</v>
      </c>
      <c r="BN289" s="32">
        <v>105.6</v>
      </c>
      <c r="BO289" s="32">
        <v>100.7</v>
      </c>
      <c r="BP289" s="32">
        <v>109.5</v>
      </c>
      <c r="BQ289" s="32">
        <v>101.3</v>
      </c>
      <c r="BR289" s="32">
        <v>90</v>
      </c>
      <c r="BS289" s="32">
        <v>79.7</v>
      </c>
      <c r="BT289" s="32">
        <v>109.9</v>
      </c>
      <c r="BU289" s="32">
        <v>105.7</v>
      </c>
      <c r="BV289" s="32">
        <v>105.7</v>
      </c>
      <c r="BW289" s="32">
        <v>96.8</v>
      </c>
      <c r="BX289" s="32">
        <v>139.1</v>
      </c>
      <c r="BY289" s="32">
        <v>103.7</v>
      </c>
      <c r="BZ289" s="32">
        <v>98.5</v>
      </c>
      <c r="CA289" s="32">
        <v>106.5</v>
      </c>
      <c r="CB289" s="32">
        <v>112.3</v>
      </c>
      <c r="CC289" s="32">
        <v>100.5</v>
      </c>
      <c r="CD289" s="32">
        <v>100.2</v>
      </c>
      <c r="CE289" s="32">
        <v>90.9</v>
      </c>
      <c r="CF289" s="32">
        <v>89.3</v>
      </c>
      <c r="CG289" s="32">
        <v>85.2</v>
      </c>
      <c r="CH289" s="32">
        <v>89.7</v>
      </c>
      <c r="CI289" s="32">
        <v>96.3</v>
      </c>
      <c r="CJ289" s="32">
        <v>84.6</v>
      </c>
      <c r="CK289" s="32">
        <v>91.8</v>
      </c>
      <c r="CL289" s="32">
        <v>66.5</v>
      </c>
      <c r="CM289" s="32">
        <v>65.599999999999994</v>
      </c>
      <c r="CN289" s="32">
        <v>14.8</v>
      </c>
      <c r="CO289" s="32">
        <v>76.7</v>
      </c>
      <c r="CP289" s="32">
        <v>35.299999999999997</v>
      </c>
      <c r="CQ289" s="32">
        <v>-60.8</v>
      </c>
      <c r="CR289" s="32">
        <v>84.9</v>
      </c>
      <c r="CS289" s="32">
        <v>105.9</v>
      </c>
      <c r="CT289" s="32">
        <v>94.9</v>
      </c>
      <c r="CU289" s="32">
        <v>77.7</v>
      </c>
      <c r="CV289" s="32">
        <v>102.1</v>
      </c>
      <c r="CW289" s="32">
        <v>107.3</v>
      </c>
      <c r="CX289" s="32">
        <v>91.5</v>
      </c>
      <c r="CY289" s="32">
        <v>105.2</v>
      </c>
      <c r="CZ289" s="32">
        <v>83.8</v>
      </c>
      <c r="DA289" s="32">
        <v>82.3</v>
      </c>
      <c r="DB289" s="32">
        <v>86.4</v>
      </c>
      <c r="DC289" s="32">
        <v>135.19999999999999</v>
      </c>
      <c r="DD289" s="32">
        <v>135.19999999999999</v>
      </c>
      <c r="DE289" s="32">
        <v>99.6</v>
      </c>
      <c r="DF289" s="32">
        <v>100.3</v>
      </c>
      <c r="DG289" s="32">
        <v>95.3</v>
      </c>
      <c r="DH289" s="32">
        <v>97.2</v>
      </c>
      <c r="DI289" s="32">
        <v>85.4</v>
      </c>
      <c r="DJ289" s="32">
        <v>114.1</v>
      </c>
      <c r="DK289" s="32">
        <v>114.1</v>
      </c>
      <c r="DL289" s="32">
        <v>106.5</v>
      </c>
      <c r="DM289" s="32">
        <v>99.1</v>
      </c>
      <c r="DN289" s="32">
        <v>96</v>
      </c>
      <c r="DO289" s="32">
        <v>100.3</v>
      </c>
      <c r="DP289" s="32">
        <v>98.9</v>
      </c>
      <c r="DQ289" s="32">
        <v>90.6</v>
      </c>
      <c r="DR289" s="32">
        <v>95.4</v>
      </c>
      <c r="DS289" s="32">
        <v>95.4</v>
      </c>
      <c r="DT289" s="32">
        <v>95.4</v>
      </c>
      <c r="DU289" s="32">
        <v>96.7</v>
      </c>
      <c r="DV289" s="32">
        <v>91.9</v>
      </c>
      <c r="DW289" s="32">
        <v>102.7</v>
      </c>
      <c r="DX289" s="32">
        <v>92.6</v>
      </c>
      <c r="DY289" s="32">
        <v>95.5</v>
      </c>
      <c r="DZ289" s="32">
        <v>107.5</v>
      </c>
      <c r="EA289" s="32">
        <v>107.5</v>
      </c>
      <c r="EB289" s="32">
        <v>89.7</v>
      </c>
      <c r="EC289" s="32">
        <v>89.8</v>
      </c>
      <c r="ED289" s="32">
        <v>89.5</v>
      </c>
      <c r="EE289" s="32">
        <v>84.3</v>
      </c>
      <c r="EF289" s="32">
        <v>102.5</v>
      </c>
      <c r="EG289" s="32">
        <v>83.6</v>
      </c>
      <c r="EH289" s="32">
        <v>93.7</v>
      </c>
      <c r="EI289" s="32">
        <v>88.8</v>
      </c>
      <c r="EJ289" s="32">
        <v>31.5</v>
      </c>
      <c r="EK289" s="32">
        <v>88.2</v>
      </c>
      <c r="EL289" s="32">
        <v>91.7</v>
      </c>
      <c r="EM289" s="32">
        <v>80.400000000000006</v>
      </c>
      <c r="EN289" s="32">
        <v>92.1</v>
      </c>
      <c r="EO289" s="32">
        <v>77.8</v>
      </c>
      <c r="EP289" s="32">
        <v>93.7</v>
      </c>
      <c r="EQ289" s="32">
        <v>93.7</v>
      </c>
      <c r="ER289" s="32">
        <v>83.9</v>
      </c>
      <c r="ES289" s="32">
        <v>83.9</v>
      </c>
      <c r="ET289" s="32">
        <v>63</v>
      </c>
      <c r="EU289" s="32">
        <v>46.8</v>
      </c>
      <c r="EV289" s="32">
        <v>46.8</v>
      </c>
      <c r="EW289" s="32">
        <v>98.5</v>
      </c>
      <c r="EX289" s="32">
        <v>100.4</v>
      </c>
      <c r="EY289" s="32">
        <v>97</v>
      </c>
      <c r="EZ289" s="32">
        <v>77</v>
      </c>
      <c r="FA289" s="32">
        <v>65.8</v>
      </c>
      <c r="FB289" s="32">
        <v>65.5</v>
      </c>
      <c r="FC289" s="32">
        <v>53.2</v>
      </c>
      <c r="FD289" s="32">
        <v>82.5</v>
      </c>
      <c r="FE289" s="32">
        <v>76.900000000000006</v>
      </c>
      <c r="FF289" s="32">
        <v>66.2</v>
      </c>
      <c r="FG289" s="32">
        <v>85.5</v>
      </c>
      <c r="FH289" s="32">
        <v>87.1</v>
      </c>
      <c r="FI289" s="32">
        <v>82.5</v>
      </c>
      <c r="FJ289" s="32">
        <v>85.1</v>
      </c>
      <c r="FK289" s="32">
        <v>87.5</v>
      </c>
      <c r="FL289" s="32">
        <v>87.5</v>
      </c>
    </row>
    <row r="290" spans="1:168" x14ac:dyDescent="0.2">
      <c r="A290" s="34" t="s">
        <v>1270</v>
      </c>
      <c r="B290" s="32">
        <v>93</v>
      </c>
      <c r="C290" s="32">
        <v>90</v>
      </c>
      <c r="D290" s="32">
        <v>103.2</v>
      </c>
      <c r="E290" s="32">
        <v>107.5</v>
      </c>
      <c r="F290" s="32">
        <v>94.1</v>
      </c>
      <c r="G290" s="32">
        <v>41.8</v>
      </c>
      <c r="H290" s="32">
        <v>93.1</v>
      </c>
      <c r="I290" s="32">
        <v>101.1</v>
      </c>
      <c r="J290" s="32">
        <v>110.3</v>
      </c>
      <c r="K290" s="32">
        <v>107.3</v>
      </c>
      <c r="L290" s="32">
        <v>104.6</v>
      </c>
      <c r="M290" s="32">
        <v>121.4</v>
      </c>
      <c r="N290" s="32">
        <v>98.2</v>
      </c>
      <c r="O290" s="32">
        <v>3.4</v>
      </c>
      <c r="P290" s="32">
        <v>97.7</v>
      </c>
      <c r="Q290" s="32">
        <v>112</v>
      </c>
      <c r="R290" s="32">
        <v>104.7</v>
      </c>
      <c r="S290" s="32">
        <v>99.1</v>
      </c>
      <c r="T290" s="32">
        <v>98.1</v>
      </c>
      <c r="U290" s="32">
        <v>80.599999999999994</v>
      </c>
      <c r="V290" s="32">
        <v>129.1</v>
      </c>
      <c r="W290" s="32">
        <v>72.900000000000006</v>
      </c>
      <c r="X290" s="32">
        <v>62.9</v>
      </c>
      <c r="Y290" s="32">
        <v>89.3</v>
      </c>
      <c r="Z290" s="32">
        <v>84.7</v>
      </c>
      <c r="AA290" s="32">
        <v>91</v>
      </c>
      <c r="AB290" s="32">
        <v>103.5</v>
      </c>
      <c r="AC290" s="32">
        <v>86.6</v>
      </c>
      <c r="AD290" s="32">
        <v>85.6</v>
      </c>
      <c r="AE290" s="32">
        <v>84</v>
      </c>
      <c r="AF290" s="32">
        <v>84</v>
      </c>
      <c r="AG290" s="32">
        <v>102.5</v>
      </c>
      <c r="AH290" s="32">
        <v>102.5</v>
      </c>
      <c r="AI290" s="32">
        <v>127.8</v>
      </c>
      <c r="AJ290" s="32">
        <v>89.7</v>
      </c>
      <c r="AK290" s="32">
        <v>118.8</v>
      </c>
      <c r="AL290" s="32">
        <v>88.7</v>
      </c>
      <c r="AM290" s="32">
        <v>100.9</v>
      </c>
      <c r="AN290" s="32">
        <v>113.8</v>
      </c>
      <c r="AO290" s="32">
        <v>118.3</v>
      </c>
      <c r="AP290" s="32">
        <v>118.3</v>
      </c>
      <c r="AQ290" s="32">
        <v>110.2</v>
      </c>
      <c r="AR290" s="32">
        <v>104.3</v>
      </c>
      <c r="AS290" s="32">
        <v>117.8</v>
      </c>
      <c r="AT290" s="32">
        <v>121.4</v>
      </c>
      <c r="AU290" s="32">
        <v>115</v>
      </c>
      <c r="AV290" s="32">
        <v>114.2</v>
      </c>
      <c r="AW290" s="32">
        <v>148.9</v>
      </c>
      <c r="AX290" s="32">
        <v>139.4</v>
      </c>
      <c r="AY290" s="32">
        <v>159.4</v>
      </c>
      <c r="AZ290" s="32">
        <v>105.5</v>
      </c>
      <c r="BA290" s="32">
        <v>109.1</v>
      </c>
      <c r="BB290" s="32">
        <v>109.1</v>
      </c>
      <c r="BC290" s="32">
        <v>151.4</v>
      </c>
      <c r="BD290" s="32">
        <v>151.4</v>
      </c>
      <c r="BE290" s="32">
        <v>127.2</v>
      </c>
      <c r="BF290" s="32">
        <v>127.2</v>
      </c>
      <c r="BG290" s="32">
        <v>119.3</v>
      </c>
      <c r="BH290" s="32">
        <v>115.5</v>
      </c>
      <c r="BI290" s="32">
        <v>124.5</v>
      </c>
      <c r="BJ290" s="32">
        <v>115.5</v>
      </c>
      <c r="BK290" s="32">
        <v>126.2</v>
      </c>
      <c r="BL290" s="32">
        <v>127.5</v>
      </c>
      <c r="BM290" s="32">
        <v>103.9</v>
      </c>
      <c r="BN290" s="32">
        <v>107.1</v>
      </c>
      <c r="BO290" s="32">
        <v>104.4</v>
      </c>
      <c r="BP290" s="32">
        <v>109.3</v>
      </c>
      <c r="BQ290" s="32">
        <v>100.3</v>
      </c>
      <c r="BR290" s="32">
        <v>86.3</v>
      </c>
      <c r="BS290" s="32">
        <v>76.900000000000006</v>
      </c>
      <c r="BT290" s="32">
        <v>110</v>
      </c>
      <c r="BU290" s="32">
        <v>102.9</v>
      </c>
      <c r="BV290" s="32">
        <v>102.9</v>
      </c>
      <c r="BW290" s="32">
        <v>94.6</v>
      </c>
      <c r="BX290" s="32">
        <v>134</v>
      </c>
      <c r="BY290" s="32">
        <v>101.9</v>
      </c>
      <c r="BZ290" s="32">
        <v>99</v>
      </c>
      <c r="CA290" s="32">
        <v>103.4</v>
      </c>
      <c r="CB290" s="32">
        <v>103.7</v>
      </c>
      <c r="CC290" s="32">
        <v>102.9</v>
      </c>
      <c r="CD290" s="32">
        <v>104.6</v>
      </c>
      <c r="CE290" s="32">
        <v>93.7</v>
      </c>
      <c r="CF290" s="32">
        <v>90.5</v>
      </c>
      <c r="CG290" s="32">
        <v>84.4</v>
      </c>
      <c r="CH290" s="32">
        <v>90.5</v>
      </c>
      <c r="CI290" s="32">
        <v>95.9</v>
      </c>
      <c r="CJ290" s="32">
        <v>85.4</v>
      </c>
      <c r="CK290" s="32">
        <v>93</v>
      </c>
      <c r="CL290" s="32">
        <v>68.7</v>
      </c>
      <c r="CM290" s="32">
        <v>68.900000000000006</v>
      </c>
      <c r="CN290" s="32">
        <v>18.100000000000001</v>
      </c>
      <c r="CO290" s="32">
        <v>80</v>
      </c>
      <c r="CP290" s="32">
        <v>35.5</v>
      </c>
      <c r="CQ290" s="32">
        <v>-51.7</v>
      </c>
      <c r="CR290" s="32">
        <v>85.5</v>
      </c>
      <c r="CS290" s="32">
        <v>106.1</v>
      </c>
      <c r="CT290" s="32">
        <v>84.8</v>
      </c>
      <c r="CU290" s="32">
        <v>68.900000000000006</v>
      </c>
      <c r="CV290" s="32">
        <v>91.6</v>
      </c>
      <c r="CW290" s="32">
        <v>108.2</v>
      </c>
      <c r="CX290" s="32">
        <v>92.2</v>
      </c>
      <c r="CY290" s="32">
        <v>101.8</v>
      </c>
      <c r="CZ290" s="32">
        <v>86.9</v>
      </c>
      <c r="DA290" s="32">
        <v>87.5</v>
      </c>
      <c r="DB290" s="32">
        <v>85.7</v>
      </c>
      <c r="DC290" s="32">
        <v>134.80000000000001</v>
      </c>
      <c r="DD290" s="32">
        <v>134.80000000000001</v>
      </c>
      <c r="DE290" s="32">
        <v>101.4</v>
      </c>
      <c r="DF290" s="32">
        <v>101.7</v>
      </c>
      <c r="DG290" s="32">
        <v>99.5</v>
      </c>
      <c r="DH290" s="32">
        <v>99.1</v>
      </c>
      <c r="DI290" s="32">
        <v>87.8</v>
      </c>
      <c r="DJ290" s="32">
        <v>115.7</v>
      </c>
      <c r="DK290" s="32">
        <v>115.7</v>
      </c>
      <c r="DL290" s="32">
        <v>107.7</v>
      </c>
      <c r="DM290" s="32">
        <v>99.4</v>
      </c>
      <c r="DN290" s="32">
        <v>96.6</v>
      </c>
      <c r="DO290" s="32">
        <v>100.5</v>
      </c>
      <c r="DP290" s="32">
        <v>98.4</v>
      </c>
      <c r="DQ290" s="32">
        <v>92.4</v>
      </c>
      <c r="DR290" s="32">
        <v>97.8</v>
      </c>
      <c r="DS290" s="32">
        <v>96.4</v>
      </c>
      <c r="DT290" s="32">
        <v>97.2</v>
      </c>
      <c r="DU290" s="32">
        <v>98.7</v>
      </c>
      <c r="DV290" s="32">
        <v>93.5</v>
      </c>
      <c r="DW290" s="32">
        <v>105.2</v>
      </c>
      <c r="DX290" s="32">
        <v>94</v>
      </c>
      <c r="DY290" s="32">
        <v>93.8</v>
      </c>
      <c r="DZ290" s="32">
        <v>112.6</v>
      </c>
      <c r="EA290" s="32">
        <v>112.6</v>
      </c>
      <c r="EB290" s="32">
        <v>95</v>
      </c>
      <c r="EC290" s="32">
        <v>96.9</v>
      </c>
      <c r="ED290" s="32">
        <v>92.6</v>
      </c>
      <c r="EE290" s="32">
        <v>87.5</v>
      </c>
      <c r="EF290" s="32">
        <v>105.3</v>
      </c>
      <c r="EG290" s="32">
        <v>84.4</v>
      </c>
      <c r="EH290" s="32">
        <v>94</v>
      </c>
      <c r="EI290" s="32">
        <v>91.1</v>
      </c>
      <c r="EJ290" s="32">
        <v>33.4</v>
      </c>
      <c r="EK290" s="32">
        <v>87.7</v>
      </c>
      <c r="EL290" s="32">
        <v>94.6</v>
      </c>
      <c r="EM290" s="32">
        <v>82.8</v>
      </c>
      <c r="EN290" s="32">
        <v>89.5</v>
      </c>
      <c r="EO290" s="32">
        <v>80.900000000000006</v>
      </c>
      <c r="EP290" s="32">
        <v>93.6</v>
      </c>
      <c r="EQ290" s="32">
        <v>93.6</v>
      </c>
      <c r="ER290" s="32">
        <v>90.9</v>
      </c>
      <c r="ES290" s="32">
        <v>90.9</v>
      </c>
      <c r="ET290" s="32">
        <v>65.2</v>
      </c>
      <c r="EU290" s="32">
        <v>49.7</v>
      </c>
      <c r="EV290" s="32">
        <v>49.7</v>
      </c>
      <c r="EW290" s="32">
        <v>99.1</v>
      </c>
      <c r="EX290" s="32">
        <v>100.7</v>
      </c>
      <c r="EY290" s="32">
        <v>97.9</v>
      </c>
      <c r="EZ290" s="32">
        <v>79.5</v>
      </c>
      <c r="FA290" s="32">
        <v>72.900000000000006</v>
      </c>
      <c r="FB290" s="32">
        <v>70.599999999999994</v>
      </c>
      <c r="FC290" s="32">
        <v>60.2</v>
      </c>
      <c r="FD290" s="32">
        <v>86</v>
      </c>
      <c r="FE290" s="32">
        <v>79.900000000000006</v>
      </c>
      <c r="FF290" s="32">
        <v>75.599999999999994</v>
      </c>
      <c r="FG290" s="32">
        <v>84.2</v>
      </c>
      <c r="FH290" s="32">
        <v>88.3</v>
      </c>
      <c r="FI290" s="32">
        <v>86.4</v>
      </c>
      <c r="FJ290" s="32">
        <v>82.3</v>
      </c>
      <c r="FK290" s="32">
        <v>89.5</v>
      </c>
      <c r="FL290" s="32">
        <v>89.5</v>
      </c>
    </row>
    <row r="291" spans="1:168" x14ac:dyDescent="0.2">
      <c r="A291" s="34" t="s">
        <v>1271</v>
      </c>
      <c r="B291" s="32">
        <v>93.6</v>
      </c>
      <c r="C291" s="32">
        <v>88.2</v>
      </c>
      <c r="D291" s="32">
        <v>103.3</v>
      </c>
      <c r="E291" s="32">
        <v>107.3</v>
      </c>
      <c r="F291" s="32">
        <v>93.6</v>
      </c>
      <c r="G291" s="32">
        <v>43.2</v>
      </c>
      <c r="H291" s="32">
        <v>93.2</v>
      </c>
      <c r="I291" s="32">
        <v>97.4</v>
      </c>
      <c r="J291" s="32">
        <v>110.3</v>
      </c>
      <c r="K291" s="32">
        <v>106.8</v>
      </c>
      <c r="L291" s="32">
        <v>106.5</v>
      </c>
      <c r="M291" s="32">
        <v>124.4</v>
      </c>
      <c r="N291" s="32">
        <v>96.7</v>
      </c>
      <c r="O291" s="32">
        <v>7.2</v>
      </c>
      <c r="P291" s="32">
        <v>100</v>
      </c>
      <c r="Q291" s="32">
        <v>113.1</v>
      </c>
      <c r="R291" s="32">
        <v>105.7</v>
      </c>
      <c r="S291" s="32">
        <v>102.2</v>
      </c>
      <c r="T291" s="32">
        <v>99.6</v>
      </c>
      <c r="U291" s="32">
        <v>77.5</v>
      </c>
      <c r="V291" s="32">
        <v>119.2</v>
      </c>
      <c r="W291" s="32">
        <v>75.5</v>
      </c>
      <c r="X291" s="32">
        <v>63.5</v>
      </c>
      <c r="Y291" s="32">
        <v>94.8</v>
      </c>
      <c r="Z291" s="32">
        <v>92.5</v>
      </c>
      <c r="AA291" s="32">
        <v>90.7</v>
      </c>
      <c r="AB291" s="32">
        <v>102.2</v>
      </c>
      <c r="AC291" s="32">
        <v>85.8</v>
      </c>
      <c r="AD291" s="32">
        <v>86.6</v>
      </c>
      <c r="AE291" s="32">
        <v>82.9</v>
      </c>
      <c r="AF291" s="32">
        <v>82.9</v>
      </c>
      <c r="AG291" s="32">
        <v>102.6</v>
      </c>
      <c r="AH291" s="32">
        <v>102.6</v>
      </c>
      <c r="AI291" s="32">
        <v>138.69999999999999</v>
      </c>
      <c r="AJ291" s="32">
        <v>86.2</v>
      </c>
      <c r="AK291" s="32">
        <v>122.8</v>
      </c>
      <c r="AL291" s="32">
        <v>88.6</v>
      </c>
      <c r="AM291" s="32">
        <v>99</v>
      </c>
      <c r="AN291" s="32">
        <v>116.6</v>
      </c>
      <c r="AO291" s="32">
        <v>114</v>
      </c>
      <c r="AP291" s="32">
        <v>114</v>
      </c>
      <c r="AQ291" s="32">
        <v>109.7</v>
      </c>
      <c r="AR291" s="32">
        <v>105.1</v>
      </c>
      <c r="AS291" s="32">
        <v>115.6</v>
      </c>
      <c r="AT291" s="32">
        <v>119.6</v>
      </c>
      <c r="AU291" s="32">
        <v>112.5</v>
      </c>
      <c r="AV291" s="32">
        <v>114.6</v>
      </c>
      <c r="AW291" s="32">
        <v>149.5</v>
      </c>
      <c r="AX291" s="32">
        <v>129.5</v>
      </c>
      <c r="AY291" s="32">
        <v>171.6</v>
      </c>
      <c r="AZ291" s="32">
        <v>105.9</v>
      </c>
      <c r="BA291" s="32">
        <v>112.1</v>
      </c>
      <c r="BB291" s="32">
        <v>112.1</v>
      </c>
      <c r="BC291" s="32">
        <v>144.69999999999999</v>
      </c>
      <c r="BD291" s="32">
        <v>144.69999999999999</v>
      </c>
      <c r="BE291" s="32">
        <v>133.4</v>
      </c>
      <c r="BF291" s="32">
        <v>133.4</v>
      </c>
      <c r="BG291" s="32">
        <v>118.1</v>
      </c>
      <c r="BH291" s="32">
        <v>118</v>
      </c>
      <c r="BI291" s="32">
        <v>118.2</v>
      </c>
      <c r="BJ291" s="32">
        <v>105</v>
      </c>
      <c r="BK291" s="32">
        <v>120.9</v>
      </c>
      <c r="BL291" s="32">
        <v>119.5</v>
      </c>
      <c r="BM291" s="32">
        <v>103.4</v>
      </c>
      <c r="BN291" s="32">
        <v>109.4</v>
      </c>
      <c r="BO291" s="32">
        <v>105.7</v>
      </c>
      <c r="BP291" s="32">
        <v>112.3</v>
      </c>
      <c r="BQ291" s="32">
        <v>96.7</v>
      </c>
      <c r="BR291" s="32">
        <v>84.4</v>
      </c>
      <c r="BS291" s="32">
        <v>71.5</v>
      </c>
      <c r="BT291" s="32">
        <v>106.7</v>
      </c>
      <c r="BU291" s="32">
        <v>100.3</v>
      </c>
      <c r="BV291" s="32">
        <v>100.3</v>
      </c>
      <c r="BW291" s="32">
        <v>93.6</v>
      </c>
      <c r="BX291" s="32">
        <v>125.3</v>
      </c>
      <c r="BY291" s="32">
        <v>103.8</v>
      </c>
      <c r="BZ291" s="32">
        <v>99.3</v>
      </c>
      <c r="CA291" s="32">
        <v>106.2</v>
      </c>
      <c r="CB291" s="32">
        <v>108.4</v>
      </c>
      <c r="CC291" s="32">
        <v>103.6</v>
      </c>
      <c r="CD291" s="32">
        <v>110.7</v>
      </c>
      <c r="CE291" s="32">
        <v>94.4</v>
      </c>
      <c r="CF291" s="32">
        <v>91.2</v>
      </c>
      <c r="CG291" s="32">
        <v>83.3</v>
      </c>
      <c r="CH291" s="32">
        <v>92.2</v>
      </c>
      <c r="CI291" s="32">
        <v>92.4</v>
      </c>
      <c r="CJ291" s="32">
        <v>90.2</v>
      </c>
      <c r="CK291" s="32">
        <v>93.8</v>
      </c>
      <c r="CL291" s="32">
        <v>69.099999999999994</v>
      </c>
      <c r="CM291" s="32">
        <v>67.599999999999994</v>
      </c>
      <c r="CN291" s="32">
        <v>19</v>
      </c>
      <c r="CO291" s="32">
        <v>78.3</v>
      </c>
      <c r="CP291" s="32">
        <v>36.700000000000003</v>
      </c>
      <c r="CQ291" s="32">
        <v>-43.6</v>
      </c>
      <c r="CR291" s="32">
        <v>85.2</v>
      </c>
      <c r="CS291" s="32">
        <v>108.8</v>
      </c>
      <c r="CT291" s="32">
        <v>71.8</v>
      </c>
      <c r="CU291" s="32">
        <v>58.7</v>
      </c>
      <c r="CV291" s="32">
        <v>77.3</v>
      </c>
      <c r="CW291" s="32">
        <v>110.8</v>
      </c>
      <c r="CX291" s="32">
        <v>99.6</v>
      </c>
      <c r="CY291" s="32">
        <v>101.8</v>
      </c>
      <c r="CZ291" s="32">
        <v>98.4</v>
      </c>
      <c r="DA291" s="32">
        <v>103.4</v>
      </c>
      <c r="DB291" s="32">
        <v>89.4</v>
      </c>
      <c r="DC291" s="32">
        <v>141.19999999999999</v>
      </c>
      <c r="DD291" s="32">
        <v>141.19999999999999</v>
      </c>
      <c r="DE291" s="32">
        <v>99.3</v>
      </c>
      <c r="DF291" s="32">
        <v>99.6</v>
      </c>
      <c r="DG291" s="32">
        <v>97.2</v>
      </c>
      <c r="DH291" s="32">
        <v>99.9</v>
      </c>
      <c r="DI291" s="32">
        <v>87.4</v>
      </c>
      <c r="DJ291" s="32">
        <v>116.9</v>
      </c>
      <c r="DK291" s="32">
        <v>116.9</v>
      </c>
      <c r="DL291" s="32">
        <v>110.5</v>
      </c>
      <c r="DM291" s="32">
        <v>99.4</v>
      </c>
      <c r="DN291" s="32">
        <v>97.3</v>
      </c>
      <c r="DO291" s="32">
        <v>100.3</v>
      </c>
      <c r="DP291" s="32">
        <v>98.2</v>
      </c>
      <c r="DQ291" s="32">
        <v>94.8</v>
      </c>
      <c r="DR291" s="32">
        <v>100.6</v>
      </c>
      <c r="DS291" s="32">
        <v>97.6</v>
      </c>
      <c r="DT291" s="32">
        <v>97.2</v>
      </c>
      <c r="DU291" s="32">
        <v>98.6</v>
      </c>
      <c r="DV291" s="32">
        <v>92.1</v>
      </c>
      <c r="DW291" s="32">
        <v>106.7</v>
      </c>
      <c r="DX291" s="32">
        <v>94.2</v>
      </c>
      <c r="DY291" s="32">
        <v>99.1</v>
      </c>
      <c r="DZ291" s="32">
        <v>126.7</v>
      </c>
      <c r="EA291" s="32">
        <v>126.7</v>
      </c>
      <c r="EB291" s="32">
        <v>97.3</v>
      </c>
      <c r="EC291" s="32">
        <v>97.7</v>
      </c>
      <c r="ED291" s="32">
        <v>96.7</v>
      </c>
      <c r="EE291" s="32">
        <v>93.6</v>
      </c>
      <c r="EF291" s="32">
        <v>104.4</v>
      </c>
      <c r="EG291" s="32">
        <v>86.4</v>
      </c>
      <c r="EH291" s="32">
        <v>94.2</v>
      </c>
      <c r="EI291" s="32">
        <v>91.5</v>
      </c>
      <c r="EJ291" s="32">
        <v>37.4</v>
      </c>
      <c r="EK291" s="32">
        <v>91.5</v>
      </c>
      <c r="EL291" s="32">
        <v>93.5</v>
      </c>
      <c r="EM291" s="32">
        <v>89.4</v>
      </c>
      <c r="EN291" s="32">
        <v>92.4</v>
      </c>
      <c r="EO291" s="32">
        <v>82.2</v>
      </c>
      <c r="EP291" s="32">
        <v>93.2</v>
      </c>
      <c r="EQ291" s="32">
        <v>93.2</v>
      </c>
      <c r="ER291" s="32">
        <v>93.7</v>
      </c>
      <c r="ES291" s="32">
        <v>93.7</v>
      </c>
      <c r="ET291" s="32">
        <v>66.5</v>
      </c>
      <c r="EU291" s="32">
        <v>51.2</v>
      </c>
      <c r="EV291" s="32">
        <v>51.2</v>
      </c>
      <c r="EW291" s="32">
        <v>99.9</v>
      </c>
      <c r="EX291" s="32">
        <v>101.1</v>
      </c>
      <c r="EY291" s="32">
        <v>98.9</v>
      </c>
      <c r="EZ291" s="32">
        <v>77.8</v>
      </c>
      <c r="FA291" s="32">
        <v>75.599999999999994</v>
      </c>
      <c r="FB291" s="32">
        <v>73.599999999999994</v>
      </c>
      <c r="FC291" s="32">
        <v>64.400000000000006</v>
      </c>
      <c r="FD291" s="32">
        <v>88.5</v>
      </c>
      <c r="FE291" s="32">
        <v>81.3</v>
      </c>
      <c r="FF291" s="32">
        <v>78.099999999999994</v>
      </c>
      <c r="FG291" s="32">
        <v>79.099999999999994</v>
      </c>
      <c r="FH291" s="32">
        <v>88.3</v>
      </c>
      <c r="FI291" s="32">
        <v>94.2</v>
      </c>
      <c r="FJ291" s="32">
        <v>73.7</v>
      </c>
      <c r="FK291" s="32">
        <v>82.6</v>
      </c>
      <c r="FL291" s="32">
        <v>82.6</v>
      </c>
    </row>
    <row r="292" spans="1:168" x14ac:dyDescent="0.2">
      <c r="A292" s="34" t="s">
        <v>1272</v>
      </c>
      <c r="B292" s="32">
        <v>91.7</v>
      </c>
      <c r="C292" s="32">
        <v>86.2</v>
      </c>
      <c r="D292" s="32">
        <v>103.5</v>
      </c>
      <c r="E292" s="32">
        <v>107.6</v>
      </c>
      <c r="F292" s="32">
        <v>89</v>
      </c>
      <c r="G292" s="32">
        <v>32.9</v>
      </c>
      <c r="H292" s="32">
        <v>87.9</v>
      </c>
      <c r="I292" s="32">
        <v>96.7</v>
      </c>
      <c r="J292" s="32">
        <v>111.5</v>
      </c>
      <c r="K292" s="32">
        <v>107.6</v>
      </c>
      <c r="L292" s="32">
        <v>109.5</v>
      </c>
      <c r="M292" s="32">
        <v>125.9</v>
      </c>
      <c r="N292" s="32">
        <v>99.2</v>
      </c>
      <c r="O292" s="32">
        <v>12.3</v>
      </c>
      <c r="P292" s="32">
        <v>102</v>
      </c>
      <c r="Q292" s="32">
        <v>113.3</v>
      </c>
      <c r="R292" s="32">
        <v>111.7</v>
      </c>
      <c r="S292" s="32">
        <v>106.5</v>
      </c>
      <c r="T292" s="32">
        <v>96.5</v>
      </c>
      <c r="U292" s="32">
        <v>77.2</v>
      </c>
      <c r="V292" s="32">
        <v>111</v>
      </c>
      <c r="W292" s="32">
        <v>81.8</v>
      </c>
      <c r="X292" s="32">
        <v>70.3</v>
      </c>
      <c r="Y292" s="32">
        <v>101.1</v>
      </c>
      <c r="Z292" s="32">
        <v>92.9</v>
      </c>
      <c r="AA292" s="32">
        <v>93.2</v>
      </c>
      <c r="AB292" s="32">
        <v>103.3</v>
      </c>
      <c r="AC292" s="32">
        <v>88.5</v>
      </c>
      <c r="AD292" s="32">
        <v>90.1</v>
      </c>
      <c r="AE292" s="32">
        <v>82.2</v>
      </c>
      <c r="AF292" s="32">
        <v>82.2</v>
      </c>
      <c r="AG292" s="32">
        <v>104.1</v>
      </c>
      <c r="AH292" s="32">
        <v>104.1</v>
      </c>
      <c r="AI292" s="32">
        <v>167.3</v>
      </c>
      <c r="AJ292" s="32">
        <v>84.2</v>
      </c>
      <c r="AK292" s="32">
        <v>129.4</v>
      </c>
      <c r="AL292" s="32">
        <v>86</v>
      </c>
      <c r="AM292" s="32">
        <v>95</v>
      </c>
      <c r="AN292" s="32">
        <v>120.6</v>
      </c>
      <c r="AO292" s="32">
        <v>112.1</v>
      </c>
      <c r="AP292" s="32">
        <v>112.1</v>
      </c>
      <c r="AQ292" s="32">
        <v>111</v>
      </c>
      <c r="AR292" s="32">
        <v>107.8</v>
      </c>
      <c r="AS292" s="32">
        <v>115</v>
      </c>
      <c r="AT292" s="32">
        <v>120.3</v>
      </c>
      <c r="AU292" s="32">
        <v>111</v>
      </c>
      <c r="AV292" s="32">
        <v>113.7</v>
      </c>
      <c r="AW292" s="32">
        <v>151.5</v>
      </c>
      <c r="AX292" s="32">
        <v>124</v>
      </c>
      <c r="AY292" s="32">
        <v>182</v>
      </c>
      <c r="AZ292" s="32">
        <v>104.2</v>
      </c>
      <c r="BA292" s="32">
        <v>114.4</v>
      </c>
      <c r="BB292" s="32">
        <v>114.4</v>
      </c>
      <c r="BC292" s="32">
        <v>144.1</v>
      </c>
      <c r="BD292" s="32">
        <v>144.1</v>
      </c>
      <c r="BE292" s="32">
        <v>136.30000000000001</v>
      </c>
      <c r="BF292" s="32">
        <v>136.30000000000001</v>
      </c>
      <c r="BG292" s="32">
        <v>120.2</v>
      </c>
      <c r="BH292" s="32">
        <v>126.7</v>
      </c>
      <c r="BI292" s="32">
        <v>111.1</v>
      </c>
      <c r="BJ292" s="32">
        <v>105.2</v>
      </c>
      <c r="BK292" s="32">
        <v>111.9</v>
      </c>
      <c r="BL292" s="32">
        <v>116.6</v>
      </c>
      <c r="BM292" s="32">
        <v>104.4</v>
      </c>
      <c r="BN292" s="32">
        <v>111.6</v>
      </c>
      <c r="BO292" s="32">
        <v>108.9</v>
      </c>
      <c r="BP292" s="32">
        <v>113.7</v>
      </c>
      <c r="BQ292" s="32">
        <v>96.3</v>
      </c>
      <c r="BR292" s="32">
        <v>88.5</v>
      </c>
      <c r="BS292" s="32">
        <v>65</v>
      </c>
      <c r="BT292" s="32">
        <v>107.6</v>
      </c>
      <c r="BU292" s="32">
        <v>97.9</v>
      </c>
      <c r="BV292" s="32">
        <v>97.9</v>
      </c>
      <c r="BW292" s="32">
        <v>92.4</v>
      </c>
      <c r="BX292" s="32">
        <v>118.3</v>
      </c>
      <c r="BY292" s="32">
        <v>103.7</v>
      </c>
      <c r="BZ292" s="32">
        <v>99.5</v>
      </c>
      <c r="CA292" s="32">
        <v>105.9</v>
      </c>
      <c r="CB292" s="32">
        <v>109.6</v>
      </c>
      <c r="CC292" s="32">
        <v>101.8</v>
      </c>
      <c r="CD292" s="32">
        <v>107.8</v>
      </c>
      <c r="CE292" s="32">
        <v>94.7</v>
      </c>
      <c r="CF292" s="32">
        <v>88.7</v>
      </c>
      <c r="CG292" s="32">
        <v>75.599999999999994</v>
      </c>
      <c r="CH292" s="32">
        <v>87.7</v>
      </c>
      <c r="CI292" s="32">
        <v>75</v>
      </c>
      <c r="CJ292" s="32">
        <v>89.1</v>
      </c>
      <c r="CK292" s="32">
        <v>90.2</v>
      </c>
      <c r="CL292" s="32">
        <v>69.900000000000006</v>
      </c>
      <c r="CM292" s="32">
        <v>66.400000000000006</v>
      </c>
      <c r="CN292" s="32">
        <v>19</v>
      </c>
      <c r="CO292" s="32">
        <v>76.900000000000006</v>
      </c>
      <c r="CP292" s="32">
        <v>38.1</v>
      </c>
      <c r="CQ292" s="32">
        <v>-36.799999999999997</v>
      </c>
      <c r="CR292" s="32">
        <v>86.8</v>
      </c>
      <c r="CS292" s="32">
        <v>109.7</v>
      </c>
      <c r="CT292" s="32">
        <v>42</v>
      </c>
      <c r="CU292" s="32">
        <v>28.1</v>
      </c>
      <c r="CV292" s="32">
        <v>47.9</v>
      </c>
      <c r="CW292" s="32">
        <v>109.2</v>
      </c>
      <c r="CX292" s="32">
        <v>97</v>
      </c>
      <c r="CY292" s="32">
        <v>105.1</v>
      </c>
      <c r="CZ292" s="32">
        <v>92.5</v>
      </c>
      <c r="DA292" s="32">
        <v>95.5</v>
      </c>
      <c r="DB292" s="32">
        <v>87</v>
      </c>
      <c r="DC292" s="32">
        <v>139.69999999999999</v>
      </c>
      <c r="DD292" s="32">
        <v>139.69999999999999</v>
      </c>
      <c r="DE292" s="32">
        <v>98.1</v>
      </c>
      <c r="DF292" s="32">
        <v>97.8</v>
      </c>
      <c r="DG292" s="32">
        <v>100</v>
      </c>
      <c r="DH292" s="32">
        <v>101</v>
      </c>
      <c r="DI292" s="32">
        <v>87.4</v>
      </c>
      <c r="DJ292" s="32">
        <v>118.1</v>
      </c>
      <c r="DK292" s="32">
        <v>118.1</v>
      </c>
      <c r="DL292" s="32">
        <v>113.4</v>
      </c>
      <c r="DM292" s="32">
        <v>99.3</v>
      </c>
      <c r="DN292" s="32">
        <v>96.8</v>
      </c>
      <c r="DO292" s="32">
        <v>100.4</v>
      </c>
      <c r="DP292" s="32">
        <v>98</v>
      </c>
      <c r="DQ292" s="32">
        <v>93.1</v>
      </c>
      <c r="DR292" s="32">
        <v>98.5</v>
      </c>
      <c r="DS292" s="32">
        <v>97.3</v>
      </c>
      <c r="DT292" s="32">
        <v>97.5</v>
      </c>
      <c r="DU292" s="32">
        <v>98.9</v>
      </c>
      <c r="DV292" s="32">
        <v>92.1</v>
      </c>
      <c r="DW292" s="32">
        <v>107.3</v>
      </c>
      <c r="DX292" s="32">
        <v>94.4</v>
      </c>
      <c r="DY292" s="32">
        <v>96.7</v>
      </c>
      <c r="DZ292" s="32">
        <v>112.7</v>
      </c>
      <c r="EA292" s="32">
        <v>112.7</v>
      </c>
      <c r="EB292" s="32">
        <v>95.4</v>
      </c>
      <c r="EC292" s="32">
        <v>99.4</v>
      </c>
      <c r="ED292" s="32">
        <v>90.5</v>
      </c>
      <c r="EE292" s="32">
        <v>85.1</v>
      </c>
      <c r="EF292" s="32">
        <v>104.1</v>
      </c>
      <c r="EG292" s="32">
        <v>85.3</v>
      </c>
      <c r="EH292" s="32">
        <v>90.7</v>
      </c>
      <c r="EI292" s="32">
        <v>91</v>
      </c>
      <c r="EJ292" s="32">
        <v>46</v>
      </c>
      <c r="EK292" s="32">
        <v>88.6</v>
      </c>
      <c r="EL292" s="32">
        <v>88.6</v>
      </c>
      <c r="EM292" s="32">
        <v>91.4</v>
      </c>
      <c r="EN292" s="32">
        <v>86.9</v>
      </c>
      <c r="EO292" s="32">
        <v>80.7</v>
      </c>
      <c r="EP292" s="32">
        <v>93</v>
      </c>
      <c r="EQ292" s="32">
        <v>93</v>
      </c>
      <c r="ER292" s="32">
        <v>89.3</v>
      </c>
      <c r="ES292" s="32">
        <v>89.3</v>
      </c>
      <c r="ET292" s="32">
        <v>66.400000000000006</v>
      </c>
      <c r="EU292" s="32">
        <v>50.7</v>
      </c>
      <c r="EV292" s="32">
        <v>50.7</v>
      </c>
      <c r="EW292" s="32">
        <v>100.9</v>
      </c>
      <c r="EX292" s="32">
        <v>101.8</v>
      </c>
      <c r="EY292" s="32">
        <v>100.2</v>
      </c>
      <c r="EZ292" s="32">
        <v>74.900000000000006</v>
      </c>
      <c r="FA292" s="32">
        <v>69.2</v>
      </c>
      <c r="FB292" s="32">
        <v>76.3</v>
      </c>
      <c r="FC292" s="32">
        <v>72.5</v>
      </c>
      <c r="FD292" s="32">
        <v>75.8</v>
      </c>
      <c r="FE292" s="32">
        <v>82.2</v>
      </c>
      <c r="FF292" s="32">
        <v>60.4</v>
      </c>
      <c r="FG292" s="32">
        <v>79.400000000000006</v>
      </c>
      <c r="FH292" s="32">
        <v>87.7</v>
      </c>
      <c r="FI292" s="32">
        <v>84</v>
      </c>
      <c r="FJ292" s="32">
        <v>75.599999999999994</v>
      </c>
      <c r="FK292" s="32">
        <v>78.099999999999994</v>
      </c>
      <c r="FL292" s="32">
        <v>78.099999999999994</v>
      </c>
    </row>
    <row r="293" spans="1:168" x14ac:dyDescent="0.2">
      <c r="A293" s="34" t="s">
        <v>1273</v>
      </c>
      <c r="B293" s="32">
        <v>92.9</v>
      </c>
      <c r="C293" s="32">
        <v>84.8</v>
      </c>
      <c r="D293" s="32">
        <v>101.8</v>
      </c>
      <c r="E293" s="32">
        <v>105.8</v>
      </c>
      <c r="F293" s="32">
        <v>93.5</v>
      </c>
      <c r="G293" s="32">
        <v>37.700000000000003</v>
      </c>
      <c r="H293" s="32">
        <v>94.2</v>
      </c>
      <c r="I293" s="32">
        <v>91.7</v>
      </c>
      <c r="J293" s="32">
        <v>108.7</v>
      </c>
      <c r="K293" s="32">
        <v>107.4</v>
      </c>
      <c r="L293" s="32">
        <v>110.9</v>
      </c>
      <c r="M293" s="32">
        <v>128</v>
      </c>
      <c r="N293" s="32">
        <v>101.6</v>
      </c>
      <c r="O293" s="32">
        <v>21.2</v>
      </c>
      <c r="P293" s="32">
        <v>108.1</v>
      </c>
      <c r="Q293" s="32">
        <v>113.1</v>
      </c>
      <c r="R293" s="32">
        <v>111.1</v>
      </c>
      <c r="S293" s="32">
        <v>106.1</v>
      </c>
      <c r="T293" s="32">
        <v>101</v>
      </c>
      <c r="U293" s="32">
        <v>73.400000000000006</v>
      </c>
      <c r="V293" s="32">
        <v>105.2</v>
      </c>
      <c r="W293" s="32">
        <v>87.6</v>
      </c>
      <c r="X293" s="32">
        <v>75.7</v>
      </c>
      <c r="Y293" s="32">
        <v>110</v>
      </c>
      <c r="Z293" s="32">
        <v>87.2</v>
      </c>
      <c r="AA293" s="32">
        <v>93.1</v>
      </c>
      <c r="AB293" s="32">
        <v>99.7</v>
      </c>
      <c r="AC293" s="32">
        <v>89.4</v>
      </c>
      <c r="AD293" s="32">
        <v>91.6</v>
      </c>
      <c r="AE293" s="32">
        <v>82.1</v>
      </c>
      <c r="AF293" s="32">
        <v>82.1</v>
      </c>
      <c r="AG293" s="32">
        <v>97.6</v>
      </c>
      <c r="AH293" s="32">
        <v>97.6</v>
      </c>
      <c r="AI293" s="32">
        <v>147.19999999999999</v>
      </c>
      <c r="AJ293" s="32">
        <v>74.900000000000006</v>
      </c>
      <c r="AK293" s="32">
        <v>127.9</v>
      </c>
      <c r="AL293" s="32">
        <v>87.5</v>
      </c>
      <c r="AM293" s="32">
        <v>87.3</v>
      </c>
      <c r="AN293" s="32">
        <v>120.1</v>
      </c>
      <c r="AO293" s="32">
        <v>110.7</v>
      </c>
      <c r="AP293" s="32">
        <v>110.7</v>
      </c>
      <c r="AQ293" s="32">
        <v>109.5</v>
      </c>
      <c r="AR293" s="32">
        <v>106.8</v>
      </c>
      <c r="AS293" s="32">
        <v>112.8</v>
      </c>
      <c r="AT293" s="32">
        <v>117.3</v>
      </c>
      <c r="AU293" s="32">
        <v>109.4</v>
      </c>
      <c r="AV293" s="32">
        <v>114</v>
      </c>
      <c r="AW293" s="32">
        <v>151.1</v>
      </c>
      <c r="AX293" s="32">
        <v>113.2</v>
      </c>
      <c r="AY293" s="32">
        <v>193</v>
      </c>
      <c r="AZ293" s="32">
        <v>104.6</v>
      </c>
      <c r="BA293" s="32">
        <v>100.7</v>
      </c>
      <c r="BB293" s="32">
        <v>100.7</v>
      </c>
      <c r="BC293" s="32">
        <v>118.5</v>
      </c>
      <c r="BD293" s="32">
        <v>118.5</v>
      </c>
      <c r="BE293" s="32">
        <v>138.4</v>
      </c>
      <c r="BF293" s="32">
        <v>138.4</v>
      </c>
      <c r="BG293" s="32">
        <v>113.7</v>
      </c>
      <c r="BH293" s="32">
        <v>118.5</v>
      </c>
      <c r="BI293" s="32">
        <v>107.1</v>
      </c>
      <c r="BJ293" s="32">
        <v>104.1</v>
      </c>
      <c r="BK293" s="32">
        <v>107.1</v>
      </c>
      <c r="BL293" s="32">
        <v>114</v>
      </c>
      <c r="BM293" s="32">
        <v>103.6</v>
      </c>
      <c r="BN293" s="32">
        <v>110.2</v>
      </c>
      <c r="BO293" s="32">
        <v>106.4</v>
      </c>
      <c r="BP293" s="32">
        <v>113.3</v>
      </c>
      <c r="BQ293" s="32">
        <v>96.1</v>
      </c>
      <c r="BR293" s="32">
        <v>92.4</v>
      </c>
      <c r="BS293" s="32">
        <v>63.1</v>
      </c>
      <c r="BT293" s="32">
        <v>107.3</v>
      </c>
      <c r="BU293" s="32">
        <v>95.5</v>
      </c>
      <c r="BV293" s="32">
        <v>95.5</v>
      </c>
      <c r="BW293" s="32">
        <v>92.5</v>
      </c>
      <c r="BX293" s="32">
        <v>106.4</v>
      </c>
      <c r="BY293" s="32">
        <v>106.7</v>
      </c>
      <c r="BZ293" s="32">
        <v>101.6</v>
      </c>
      <c r="CA293" s="32">
        <v>109.4</v>
      </c>
      <c r="CB293" s="32">
        <v>114.7</v>
      </c>
      <c r="CC293" s="32">
        <v>103.5</v>
      </c>
      <c r="CD293" s="32">
        <v>111.1</v>
      </c>
      <c r="CE293" s="32">
        <v>93</v>
      </c>
      <c r="CF293" s="32">
        <v>90.7</v>
      </c>
      <c r="CG293" s="32">
        <v>79.599999999999994</v>
      </c>
      <c r="CH293" s="32">
        <v>91.3</v>
      </c>
      <c r="CI293" s="32">
        <v>85.7</v>
      </c>
      <c r="CJ293" s="32">
        <v>92.8</v>
      </c>
      <c r="CK293" s="32">
        <v>91.7</v>
      </c>
      <c r="CL293" s="32">
        <v>71.599999999999994</v>
      </c>
      <c r="CM293" s="32">
        <v>68.400000000000006</v>
      </c>
      <c r="CN293" s="32">
        <v>15.6</v>
      </c>
      <c r="CO293" s="32">
        <v>80.099999999999994</v>
      </c>
      <c r="CP293" s="32">
        <v>37.799999999999997</v>
      </c>
      <c r="CQ293" s="32">
        <v>-28.1</v>
      </c>
      <c r="CR293" s="32">
        <v>89.2</v>
      </c>
      <c r="CS293" s="32">
        <v>107</v>
      </c>
      <c r="CT293" s="32">
        <v>50.5</v>
      </c>
      <c r="CU293" s="32">
        <v>30.5</v>
      </c>
      <c r="CV293" s="32">
        <v>59</v>
      </c>
      <c r="CW293" s="32">
        <v>108.2</v>
      </c>
      <c r="CX293" s="32">
        <v>95.1</v>
      </c>
      <c r="CY293" s="32">
        <v>100.8</v>
      </c>
      <c r="CZ293" s="32">
        <v>91.9</v>
      </c>
      <c r="DA293" s="32">
        <v>95.3</v>
      </c>
      <c r="DB293" s="32">
        <v>85.6</v>
      </c>
      <c r="DC293" s="32">
        <v>139.5</v>
      </c>
      <c r="DD293" s="32">
        <v>139.5</v>
      </c>
      <c r="DE293" s="32">
        <v>97.3</v>
      </c>
      <c r="DF293" s="32">
        <v>97.1</v>
      </c>
      <c r="DG293" s="32">
        <v>98.7</v>
      </c>
      <c r="DH293" s="32">
        <v>103.9</v>
      </c>
      <c r="DI293" s="32">
        <v>86.7</v>
      </c>
      <c r="DJ293" s="32">
        <v>119</v>
      </c>
      <c r="DK293" s="32">
        <v>119</v>
      </c>
      <c r="DL293" s="32">
        <v>123.6</v>
      </c>
      <c r="DM293" s="32">
        <v>99.6</v>
      </c>
      <c r="DN293" s="32">
        <v>97.4</v>
      </c>
      <c r="DO293" s="32">
        <v>100.5</v>
      </c>
      <c r="DP293" s="32">
        <v>100.7</v>
      </c>
      <c r="DQ293" s="32">
        <v>96.1</v>
      </c>
      <c r="DR293" s="32">
        <v>101.2</v>
      </c>
      <c r="DS293" s="32">
        <v>98.4</v>
      </c>
      <c r="DT293" s="32">
        <v>98.8</v>
      </c>
      <c r="DU293" s="32">
        <v>100.4</v>
      </c>
      <c r="DV293" s="32">
        <v>93</v>
      </c>
      <c r="DW293" s="32">
        <v>109.6</v>
      </c>
      <c r="DX293" s="32">
        <v>95.4</v>
      </c>
      <c r="DY293" s="32">
        <v>97.1</v>
      </c>
      <c r="DZ293" s="32">
        <v>123.2</v>
      </c>
      <c r="EA293" s="32">
        <v>123.2</v>
      </c>
      <c r="EB293" s="32">
        <v>99.3</v>
      </c>
      <c r="EC293" s="32">
        <v>105.3</v>
      </c>
      <c r="ED293" s="32">
        <v>91.9</v>
      </c>
      <c r="EE293" s="32">
        <v>86.7</v>
      </c>
      <c r="EF293" s="32">
        <v>104.7</v>
      </c>
      <c r="EG293" s="32">
        <v>88.8</v>
      </c>
      <c r="EH293" s="32">
        <v>92.4</v>
      </c>
      <c r="EI293" s="32">
        <v>92.7</v>
      </c>
      <c r="EJ293" s="32">
        <v>61.8</v>
      </c>
      <c r="EK293" s="32">
        <v>91.2</v>
      </c>
      <c r="EL293" s="32">
        <v>92.7</v>
      </c>
      <c r="EM293" s="32">
        <v>92</v>
      </c>
      <c r="EN293" s="32">
        <v>90.5</v>
      </c>
      <c r="EO293" s="32">
        <v>78.5</v>
      </c>
      <c r="EP293" s="32">
        <v>93.2</v>
      </c>
      <c r="EQ293" s="32">
        <v>93.2</v>
      </c>
      <c r="ER293" s="32">
        <v>81.599999999999994</v>
      </c>
      <c r="ES293" s="32">
        <v>81.599999999999994</v>
      </c>
      <c r="ET293" s="32">
        <v>66.8</v>
      </c>
      <c r="EU293" s="32">
        <v>51.1</v>
      </c>
      <c r="EV293" s="32">
        <v>51.1</v>
      </c>
      <c r="EW293" s="32">
        <v>101.4</v>
      </c>
      <c r="EX293" s="32">
        <v>101.7</v>
      </c>
      <c r="EY293" s="32">
        <v>101.1</v>
      </c>
      <c r="EZ293" s="32">
        <v>95</v>
      </c>
      <c r="FA293" s="32">
        <v>77.5</v>
      </c>
      <c r="FB293" s="32">
        <v>81.8</v>
      </c>
      <c r="FC293" s="32">
        <v>83.3</v>
      </c>
      <c r="FD293" s="32">
        <v>74</v>
      </c>
      <c r="FE293" s="32">
        <v>82.8</v>
      </c>
      <c r="FF293" s="32">
        <v>72.2</v>
      </c>
      <c r="FG293" s="32">
        <v>111.5</v>
      </c>
      <c r="FH293" s="32">
        <v>89.1</v>
      </c>
      <c r="FI293" s="32">
        <v>91.2</v>
      </c>
      <c r="FJ293" s="32">
        <v>122.7</v>
      </c>
      <c r="FK293" s="32">
        <v>81.900000000000006</v>
      </c>
      <c r="FL293" s="32">
        <v>81.900000000000006</v>
      </c>
    </row>
    <row r="294" spans="1:168" x14ac:dyDescent="0.2">
      <c r="A294" s="34" t="s">
        <v>1274</v>
      </c>
      <c r="B294" s="32">
        <v>90.3</v>
      </c>
      <c r="C294" s="32">
        <v>84</v>
      </c>
      <c r="D294" s="32">
        <v>98.9</v>
      </c>
      <c r="E294" s="32">
        <v>102.4</v>
      </c>
      <c r="F294" s="32">
        <v>88.8</v>
      </c>
      <c r="G294" s="32">
        <v>33.1</v>
      </c>
      <c r="H294" s="32">
        <v>87.7</v>
      </c>
      <c r="I294" s="32">
        <v>96.5</v>
      </c>
      <c r="J294" s="32">
        <v>105.4</v>
      </c>
      <c r="K294" s="32">
        <v>106.3</v>
      </c>
      <c r="L294" s="32">
        <v>108.8</v>
      </c>
      <c r="M294" s="32">
        <v>127.5</v>
      </c>
      <c r="N294" s="32">
        <v>101.2</v>
      </c>
      <c r="O294" s="32">
        <v>24.9</v>
      </c>
      <c r="P294" s="32">
        <v>102.7</v>
      </c>
      <c r="Q294" s="32">
        <v>100.4</v>
      </c>
      <c r="R294" s="32">
        <v>108.4</v>
      </c>
      <c r="S294" s="32">
        <v>106.2</v>
      </c>
      <c r="T294" s="32">
        <v>96.8</v>
      </c>
      <c r="U294" s="32">
        <v>79.900000000000006</v>
      </c>
      <c r="V294" s="32">
        <v>105.7</v>
      </c>
      <c r="W294" s="32">
        <v>88.6</v>
      </c>
      <c r="X294" s="32">
        <v>88</v>
      </c>
      <c r="Y294" s="32">
        <v>91.2</v>
      </c>
      <c r="Z294" s="32">
        <v>82.1</v>
      </c>
      <c r="AA294" s="32">
        <v>91.5</v>
      </c>
      <c r="AB294" s="32">
        <v>96.3</v>
      </c>
      <c r="AC294" s="32">
        <v>89</v>
      </c>
      <c r="AD294" s="32">
        <v>90.2</v>
      </c>
      <c r="AE294" s="32">
        <v>76.599999999999994</v>
      </c>
      <c r="AF294" s="32">
        <v>76.599999999999994</v>
      </c>
      <c r="AG294" s="32">
        <v>95.6</v>
      </c>
      <c r="AH294" s="32">
        <v>95.6</v>
      </c>
      <c r="AI294" s="32">
        <v>150.5</v>
      </c>
      <c r="AJ294" s="32">
        <v>57.5</v>
      </c>
      <c r="AK294" s="32">
        <v>140.1</v>
      </c>
      <c r="AL294" s="32">
        <v>86</v>
      </c>
      <c r="AM294" s="32">
        <v>92.3</v>
      </c>
      <c r="AN294" s="32">
        <v>117.5</v>
      </c>
      <c r="AO294" s="32">
        <v>120.3</v>
      </c>
      <c r="AP294" s="32">
        <v>120.3</v>
      </c>
      <c r="AQ294" s="32">
        <v>105.3</v>
      </c>
      <c r="AR294" s="32">
        <v>103.1</v>
      </c>
      <c r="AS294" s="32">
        <v>108.1</v>
      </c>
      <c r="AT294" s="32">
        <v>115.7</v>
      </c>
      <c r="AU294" s="32">
        <v>102.4</v>
      </c>
      <c r="AV294" s="32">
        <v>104.4</v>
      </c>
      <c r="AW294" s="32">
        <v>126.4</v>
      </c>
      <c r="AX294" s="32">
        <v>95.5</v>
      </c>
      <c r="AY294" s="32">
        <v>160.5</v>
      </c>
      <c r="AZ294" s="32">
        <v>98.9</v>
      </c>
      <c r="BA294" s="32">
        <v>106.5</v>
      </c>
      <c r="BB294" s="32">
        <v>106.5</v>
      </c>
      <c r="BC294" s="32">
        <v>120.7</v>
      </c>
      <c r="BD294" s="32">
        <v>120.7</v>
      </c>
      <c r="BE294" s="32">
        <v>116.9</v>
      </c>
      <c r="BF294" s="32">
        <v>116.9</v>
      </c>
      <c r="BG294" s="32">
        <v>107.2</v>
      </c>
      <c r="BH294" s="32">
        <v>107.9</v>
      </c>
      <c r="BI294" s="32">
        <v>106.1</v>
      </c>
      <c r="BJ294" s="32">
        <v>103.2</v>
      </c>
      <c r="BK294" s="32">
        <v>107.1</v>
      </c>
      <c r="BL294" s="32">
        <v>102.5</v>
      </c>
      <c r="BM294" s="32">
        <v>104</v>
      </c>
      <c r="BN294" s="32">
        <v>106.4</v>
      </c>
      <c r="BO294" s="32">
        <v>105.2</v>
      </c>
      <c r="BP294" s="32">
        <v>107.4</v>
      </c>
      <c r="BQ294" s="32">
        <v>101.3</v>
      </c>
      <c r="BR294" s="32">
        <v>102.9</v>
      </c>
      <c r="BS294" s="32">
        <v>65.7</v>
      </c>
      <c r="BT294" s="32">
        <v>112.6</v>
      </c>
      <c r="BU294" s="32">
        <v>90.5</v>
      </c>
      <c r="BV294" s="32">
        <v>90.5</v>
      </c>
      <c r="BW294" s="32">
        <v>86.7</v>
      </c>
      <c r="BX294" s="32">
        <v>104.7</v>
      </c>
      <c r="BY294" s="32">
        <v>105.1</v>
      </c>
      <c r="BZ294" s="32">
        <v>100.9</v>
      </c>
      <c r="CA294" s="32">
        <v>107.3</v>
      </c>
      <c r="CB294" s="32">
        <v>109.3</v>
      </c>
      <c r="CC294" s="32">
        <v>104.9</v>
      </c>
      <c r="CD294" s="32">
        <v>111.7</v>
      </c>
      <c r="CE294" s="32">
        <v>91.2</v>
      </c>
      <c r="CF294" s="32">
        <v>88.2</v>
      </c>
      <c r="CG294" s="32">
        <v>73.2</v>
      </c>
      <c r="CH294" s="32">
        <v>83.9</v>
      </c>
      <c r="CI294" s="32">
        <v>67.099999999999994</v>
      </c>
      <c r="CJ294" s="32">
        <v>87.8</v>
      </c>
      <c r="CK294" s="32">
        <v>85.6</v>
      </c>
      <c r="CL294" s="32">
        <v>64.5</v>
      </c>
      <c r="CM294" s="32">
        <v>55.1</v>
      </c>
      <c r="CN294" s="32">
        <v>-35.4</v>
      </c>
      <c r="CO294" s="32">
        <v>75</v>
      </c>
      <c r="CP294" s="32">
        <v>48.9</v>
      </c>
      <c r="CQ294" s="32">
        <v>-51.2</v>
      </c>
      <c r="CR294" s="32">
        <v>85.5</v>
      </c>
      <c r="CS294" s="32">
        <v>106.2</v>
      </c>
      <c r="CT294" s="32">
        <v>48.6</v>
      </c>
      <c r="CU294" s="32">
        <v>31.4</v>
      </c>
      <c r="CV294" s="32">
        <v>55.9</v>
      </c>
      <c r="CW294" s="32">
        <v>110.7</v>
      </c>
      <c r="CX294" s="32">
        <v>98.4</v>
      </c>
      <c r="CY294" s="32">
        <v>107.9</v>
      </c>
      <c r="CZ294" s="32">
        <v>93.1</v>
      </c>
      <c r="DA294" s="32">
        <v>96.4</v>
      </c>
      <c r="DB294" s="32">
        <v>87</v>
      </c>
      <c r="DC294" s="32">
        <v>139.80000000000001</v>
      </c>
      <c r="DD294" s="32">
        <v>139.80000000000001</v>
      </c>
      <c r="DE294" s="32">
        <v>100.6</v>
      </c>
      <c r="DF294" s="32">
        <v>100.3</v>
      </c>
      <c r="DG294" s="32">
        <v>102.3</v>
      </c>
      <c r="DH294" s="32">
        <v>102.6</v>
      </c>
      <c r="DI294" s="32">
        <v>86.8</v>
      </c>
      <c r="DJ294" s="32">
        <v>115.4</v>
      </c>
      <c r="DK294" s="32">
        <v>115.4</v>
      </c>
      <c r="DL294" s="32">
        <v>121.3</v>
      </c>
      <c r="DM294" s="32">
        <v>100.9</v>
      </c>
      <c r="DN294" s="32">
        <v>100.4</v>
      </c>
      <c r="DO294" s="32">
        <v>101</v>
      </c>
      <c r="DP294" s="32">
        <v>102.3</v>
      </c>
      <c r="DQ294" s="32">
        <v>93.6</v>
      </c>
      <c r="DR294" s="32">
        <v>99.1</v>
      </c>
      <c r="DS294" s="32">
        <v>99.1</v>
      </c>
      <c r="DT294" s="32">
        <v>99.8</v>
      </c>
      <c r="DU294" s="32">
        <v>99.7</v>
      </c>
      <c r="DV294" s="32">
        <v>91.3</v>
      </c>
      <c r="DW294" s="32">
        <v>110.1</v>
      </c>
      <c r="DX294" s="32">
        <v>100</v>
      </c>
      <c r="DY294" s="32">
        <v>96.9</v>
      </c>
      <c r="DZ294" s="32">
        <v>109.1</v>
      </c>
      <c r="EA294" s="32">
        <v>109.1</v>
      </c>
      <c r="EB294" s="32">
        <v>94</v>
      </c>
      <c r="EC294" s="32">
        <v>93.5</v>
      </c>
      <c r="ED294" s="32">
        <v>94.7</v>
      </c>
      <c r="EE294" s="32">
        <v>90</v>
      </c>
      <c r="EF294" s="32">
        <v>106.4</v>
      </c>
      <c r="EG294" s="32">
        <v>85.6</v>
      </c>
      <c r="EH294" s="32">
        <v>90.7</v>
      </c>
      <c r="EI294" s="32">
        <v>92</v>
      </c>
      <c r="EJ294" s="32">
        <v>31.1</v>
      </c>
      <c r="EK294" s="32">
        <v>92.8</v>
      </c>
      <c r="EL294" s="32">
        <v>91.9</v>
      </c>
      <c r="EM294" s="32">
        <v>94.3</v>
      </c>
      <c r="EN294" s="32">
        <v>92</v>
      </c>
      <c r="EO294" s="32">
        <v>77.400000000000006</v>
      </c>
      <c r="EP294" s="32">
        <v>93.3</v>
      </c>
      <c r="EQ294" s="32">
        <v>93.3</v>
      </c>
      <c r="ER294" s="32">
        <v>75.900000000000006</v>
      </c>
      <c r="ES294" s="32">
        <v>75.900000000000006</v>
      </c>
      <c r="ET294" s="32">
        <v>68.400000000000006</v>
      </c>
      <c r="EU294" s="32">
        <v>54.5</v>
      </c>
      <c r="EV294" s="32">
        <v>54.5</v>
      </c>
      <c r="EW294" s="32">
        <v>98.8</v>
      </c>
      <c r="EX294" s="32">
        <v>100.8</v>
      </c>
      <c r="EY294" s="32">
        <v>97.2</v>
      </c>
      <c r="EZ294" s="32">
        <v>78.400000000000006</v>
      </c>
      <c r="FA294" s="32">
        <v>72.7</v>
      </c>
      <c r="FB294" s="32">
        <v>75.099999999999994</v>
      </c>
      <c r="FC294" s="32">
        <v>71.2</v>
      </c>
      <c r="FD294" s="32">
        <v>69.5</v>
      </c>
      <c r="FE294" s="32">
        <v>83.2</v>
      </c>
      <c r="FF294" s="32">
        <v>69.599999999999994</v>
      </c>
      <c r="FG294" s="32">
        <v>83.2</v>
      </c>
      <c r="FH294" s="32">
        <v>89.3</v>
      </c>
      <c r="FI294" s="32">
        <v>102.2</v>
      </c>
      <c r="FJ294" s="32">
        <v>78.599999999999994</v>
      </c>
      <c r="FK294" s="32">
        <v>79.400000000000006</v>
      </c>
      <c r="FL294" s="32">
        <v>79.400000000000006</v>
      </c>
    </row>
    <row r="295" spans="1:168" x14ac:dyDescent="0.2">
      <c r="A295" s="34" t="s">
        <v>1275</v>
      </c>
      <c r="B295" s="32">
        <v>91.3</v>
      </c>
      <c r="C295" s="32">
        <v>82.6</v>
      </c>
      <c r="D295" s="32">
        <v>99</v>
      </c>
      <c r="E295" s="32">
        <v>101.5</v>
      </c>
      <c r="F295" s="32">
        <v>81.599999999999994</v>
      </c>
      <c r="G295" s="32">
        <v>28.9</v>
      </c>
      <c r="H295" s="32">
        <v>79.599999999999994</v>
      </c>
      <c r="I295" s="32">
        <v>93.5</v>
      </c>
      <c r="J295" s="32">
        <v>105.5</v>
      </c>
      <c r="K295" s="32">
        <v>108.7</v>
      </c>
      <c r="L295" s="32">
        <v>111.3</v>
      </c>
      <c r="M295" s="32">
        <v>128.9</v>
      </c>
      <c r="N295" s="32">
        <v>99.6</v>
      </c>
      <c r="O295" s="32">
        <v>36.700000000000003</v>
      </c>
      <c r="P295" s="32">
        <v>118</v>
      </c>
      <c r="Q295" s="32">
        <v>100.4</v>
      </c>
      <c r="R295" s="32">
        <v>109</v>
      </c>
      <c r="S295" s="32">
        <v>107.8</v>
      </c>
      <c r="T295" s="32">
        <v>101.3</v>
      </c>
      <c r="U295" s="32">
        <v>82.5</v>
      </c>
      <c r="V295" s="32">
        <v>107.5</v>
      </c>
      <c r="W295" s="32">
        <v>93.2</v>
      </c>
      <c r="X295" s="32">
        <v>96.6</v>
      </c>
      <c r="Y295" s="32">
        <v>87.5</v>
      </c>
      <c r="Z295" s="32">
        <v>89.4</v>
      </c>
      <c r="AA295" s="32">
        <v>91.7</v>
      </c>
      <c r="AB295" s="32">
        <v>92.4</v>
      </c>
      <c r="AC295" s="32">
        <v>91.2</v>
      </c>
      <c r="AD295" s="32">
        <v>91.5</v>
      </c>
      <c r="AE295" s="32">
        <v>71.900000000000006</v>
      </c>
      <c r="AF295" s="32">
        <v>71.900000000000006</v>
      </c>
      <c r="AG295" s="32">
        <v>92.5</v>
      </c>
      <c r="AH295" s="32">
        <v>92.5</v>
      </c>
      <c r="AI295" s="32">
        <v>149.30000000000001</v>
      </c>
      <c r="AJ295" s="32">
        <v>61.5</v>
      </c>
      <c r="AK295" s="32">
        <v>132.19999999999999</v>
      </c>
      <c r="AL295" s="32">
        <v>87.4</v>
      </c>
      <c r="AM295" s="32">
        <v>92.2</v>
      </c>
      <c r="AN295" s="32">
        <v>96.3</v>
      </c>
      <c r="AO295" s="32">
        <v>119</v>
      </c>
      <c r="AP295" s="32">
        <v>119</v>
      </c>
      <c r="AQ295" s="32">
        <v>105.3</v>
      </c>
      <c r="AR295" s="32">
        <v>105.6</v>
      </c>
      <c r="AS295" s="32">
        <v>104.8</v>
      </c>
      <c r="AT295" s="32">
        <v>109.1</v>
      </c>
      <c r="AU295" s="32">
        <v>101.5</v>
      </c>
      <c r="AV295" s="32">
        <v>101.3</v>
      </c>
      <c r="AW295" s="32">
        <v>118.7</v>
      </c>
      <c r="AX295" s="32">
        <v>85.5</v>
      </c>
      <c r="AY295" s="32">
        <v>155.4</v>
      </c>
      <c r="AZ295" s="32">
        <v>97</v>
      </c>
      <c r="BA295" s="32">
        <v>110.6</v>
      </c>
      <c r="BB295" s="32">
        <v>110.6</v>
      </c>
      <c r="BC295" s="32">
        <v>115.3</v>
      </c>
      <c r="BD295" s="32">
        <v>115.3</v>
      </c>
      <c r="BE295" s="32">
        <v>113.7</v>
      </c>
      <c r="BF295" s="32">
        <v>113.7</v>
      </c>
      <c r="BG295" s="32">
        <v>110.3</v>
      </c>
      <c r="BH295" s="32">
        <v>115.1</v>
      </c>
      <c r="BI295" s="32">
        <v>103.7</v>
      </c>
      <c r="BJ295" s="32">
        <v>102.2</v>
      </c>
      <c r="BK295" s="32">
        <v>104</v>
      </c>
      <c r="BL295" s="32">
        <v>103.6</v>
      </c>
      <c r="BM295" s="32">
        <v>103.3</v>
      </c>
      <c r="BN295" s="32">
        <v>106.2</v>
      </c>
      <c r="BO295" s="32">
        <v>101.4</v>
      </c>
      <c r="BP295" s="32">
        <v>110</v>
      </c>
      <c r="BQ295" s="32">
        <v>100.1</v>
      </c>
      <c r="BR295" s="32">
        <v>88.8</v>
      </c>
      <c r="BS295" s="32">
        <v>65.2</v>
      </c>
      <c r="BT295" s="32">
        <v>113</v>
      </c>
      <c r="BU295" s="32">
        <v>85.7</v>
      </c>
      <c r="BV295" s="32">
        <v>85.7</v>
      </c>
      <c r="BW295" s="32">
        <v>82.1</v>
      </c>
      <c r="BX295" s="32">
        <v>98.8</v>
      </c>
      <c r="BY295" s="32">
        <v>105.9</v>
      </c>
      <c r="BZ295" s="32">
        <v>102</v>
      </c>
      <c r="CA295" s="32">
        <v>108</v>
      </c>
      <c r="CB295" s="32">
        <v>109.8</v>
      </c>
      <c r="CC295" s="32">
        <v>105.6</v>
      </c>
      <c r="CD295" s="32">
        <v>114.4</v>
      </c>
      <c r="CE295" s="32">
        <v>93.6</v>
      </c>
      <c r="CF295" s="32">
        <v>89.4</v>
      </c>
      <c r="CG295" s="32">
        <v>76.8</v>
      </c>
      <c r="CH295" s="32">
        <v>88.7</v>
      </c>
      <c r="CI295" s="32">
        <v>73.900000000000006</v>
      </c>
      <c r="CJ295" s="32">
        <v>95.4</v>
      </c>
      <c r="CK295" s="32">
        <v>87.7</v>
      </c>
      <c r="CL295" s="32">
        <v>67.2</v>
      </c>
      <c r="CM295" s="32">
        <v>58.4</v>
      </c>
      <c r="CN295" s="32">
        <v>-25.4</v>
      </c>
      <c r="CO295" s="32">
        <v>76.900000000000006</v>
      </c>
      <c r="CP295" s="32">
        <v>52.6</v>
      </c>
      <c r="CQ295" s="32">
        <v>-47.2</v>
      </c>
      <c r="CR295" s="32">
        <v>86.7</v>
      </c>
      <c r="CS295" s="32">
        <v>108.8</v>
      </c>
      <c r="CT295" s="32">
        <v>49.3</v>
      </c>
      <c r="CU295" s="32">
        <v>35.1</v>
      </c>
      <c r="CV295" s="32">
        <v>55.3</v>
      </c>
      <c r="CW295" s="32">
        <v>108.7</v>
      </c>
      <c r="CX295" s="32">
        <v>97.3</v>
      </c>
      <c r="CY295" s="32">
        <v>104</v>
      </c>
      <c r="CZ295" s="32">
        <v>93.6</v>
      </c>
      <c r="DA295" s="32">
        <v>97.7</v>
      </c>
      <c r="DB295" s="32">
        <v>86.1</v>
      </c>
      <c r="DC295" s="32">
        <v>137.19999999999999</v>
      </c>
      <c r="DD295" s="32">
        <v>137.19999999999999</v>
      </c>
      <c r="DE295" s="32">
        <v>98.5</v>
      </c>
      <c r="DF295" s="32">
        <v>98.8</v>
      </c>
      <c r="DG295" s="32">
        <v>96.7</v>
      </c>
      <c r="DH295" s="32">
        <v>102.6</v>
      </c>
      <c r="DI295" s="32">
        <v>85.8</v>
      </c>
      <c r="DJ295" s="32">
        <v>116.4</v>
      </c>
      <c r="DK295" s="32">
        <v>116.4</v>
      </c>
      <c r="DL295" s="32">
        <v>122.3</v>
      </c>
      <c r="DM295" s="32">
        <v>101.1</v>
      </c>
      <c r="DN295" s="32">
        <v>100.3</v>
      </c>
      <c r="DO295" s="32">
        <v>101.1</v>
      </c>
      <c r="DP295" s="32">
        <v>111.1</v>
      </c>
      <c r="DQ295" s="32">
        <v>95.8</v>
      </c>
      <c r="DR295" s="32">
        <v>102.5</v>
      </c>
      <c r="DS295" s="32">
        <v>103.2</v>
      </c>
      <c r="DT295" s="32">
        <v>104.6</v>
      </c>
      <c r="DU295" s="32">
        <v>105.2</v>
      </c>
      <c r="DV295" s="32">
        <v>99.3</v>
      </c>
      <c r="DW295" s="32">
        <v>112.4</v>
      </c>
      <c r="DX295" s="32">
        <v>103.2</v>
      </c>
      <c r="DY295" s="32">
        <v>98.5</v>
      </c>
      <c r="DZ295" s="32">
        <v>114.5</v>
      </c>
      <c r="EA295" s="32">
        <v>114.5</v>
      </c>
      <c r="EB295" s="32">
        <v>94.8</v>
      </c>
      <c r="EC295" s="32">
        <v>92.4</v>
      </c>
      <c r="ED295" s="32">
        <v>97.7</v>
      </c>
      <c r="EE295" s="32">
        <v>92.6</v>
      </c>
      <c r="EF295" s="32">
        <v>110.5</v>
      </c>
      <c r="EG295" s="32">
        <v>85.9</v>
      </c>
      <c r="EH295" s="32">
        <v>88.4</v>
      </c>
      <c r="EI295" s="32">
        <v>94.2</v>
      </c>
      <c r="EJ295" s="32">
        <v>32.4</v>
      </c>
      <c r="EK295" s="32">
        <v>92.8</v>
      </c>
      <c r="EL295" s="32">
        <v>94.3</v>
      </c>
      <c r="EM295" s="32">
        <v>94.1</v>
      </c>
      <c r="EN295" s="32">
        <v>91.9</v>
      </c>
      <c r="EO295" s="32">
        <v>78.099999999999994</v>
      </c>
      <c r="EP295" s="32">
        <v>93.7</v>
      </c>
      <c r="EQ295" s="32">
        <v>93.7</v>
      </c>
      <c r="ER295" s="32">
        <v>74.5</v>
      </c>
      <c r="ES295" s="32">
        <v>74.5</v>
      </c>
      <c r="ET295" s="32">
        <v>70.8</v>
      </c>
      <c r="EU295" s="32">
        <v>57.7</v>
      </c>
      <c r="EV295" s="32">
        <v>57.7</v>
      </c>
      <c r="EW295" s="32">
        <v>99.5</v>
      </c>
      <c r="EX295" s="32">
        <v>100.5</v>
      </c>
      <c r="EY295" s="32">
        <v>98.7</v>
      </c>
      <c r="EZ295" s="32">
        <v>78.3</v>
      </c>
      <c r="FA295" s="32">
        <v>72.900000000000006</v>
      </c>
      <c r="FB295" s="32">
        <v>72.3</v>
      </c>
      <c r="FC295" s="32">
        <v>65.7</v>
      </c>
      <c r="FD295" s="32">
        <v>72.3</v>
      </c>
      <c r="FE295" s="32">
        <v>82.1</v>
      </c>
      <c r="FF295" s="32">
        <v>73.599999999999994</v>
      </c>
      <c r="FG295" s="32">
        <v>83.7</v>
      </c>
      <c r="FH295" s="32">
        <v>90</v>
      </c>
      <c r="FI295" s="32">
        <v>97.6</v>
      </c>
      <c r="FJ295" s="32">
        <v>79.599999999999994</v>
      </c>
      <c r="FK295" s="32">
        <v>71.3</v>
      </c>
      <c r="FL295" s="32">
        <v>71.3</v>
      </c>
    </row>
    <row r="296" spans="1:168" x14ac:dyDescent="0.2">
      <c r="A296" s="34" t="s">
        <v>1276</v>
      </c>
      <c r="B296" s="32">
        <v>93.3</v>
      </c>
      <c r="C296" s="32">
        <v>82.8</v>
      </c>
      <c r="D296" s="32">
        <v>99.4</v>
      </c>
      <c r="E296" s="32">
        <v>101</v>
      </c>
      <c r="F296" s="32">
        <v>82.6</v>
      </c>
      <c r="G296" s="32">
        <v>33.5</v>
      </c>
      <c r="H296" s="32">
        <v>80.5</v>
      </c>
      <c r="I296" s="32">
        <v>95</v>
      </c>
      <c r="J296" s="32">
        <v>105.5</v>
      </c>
      <c r="K296" s="32">
        <v>110.3</v>
      </c>
      <c r="L296" s="32">
        <v>113.1</v>
      </c>
      <c r="M296" s="32">
        <v>130</v>
      </c>
      <c r="N296" s="32">
        <v>103.1</v>
      </c>
      <c r="O296" s="32">
        <v>45.1</v>
      </c>
      <c r="P296" s="32">
        <v>121.6</v>
      </c>
      <c r="Q296" s="32">
        <v>103.5</v>
      </c>
      <c r="R296" s="32">
        <v>106.2</v>
      </c>
      <c r="S296" s="32">
        <v>110.5</v>
      </c>
      <c r="T296" s="32">
        <v>105.9</v>
      </c>
      <c r="U296" s="32">
        <v>87.2</v>
      </c>
      <c r="V296" s="32">
        <v>107</v>
      </c>
      <c r="W296" s="32">
        <v>106.1</v>
      </c>
      <c r="X296" s="32">
        <v>107.3</v>
      </c>
      <c r="Y296" s="32">
        <v>105.4</v>
      </c>
      <c r="Z296" s="32">
        <v>98.5</v>
      </c>
      <c r="AA296" s="32">
        <v>91.4</v>
      </c>
      <c r="AB296" s="32">
        <v>91.8</v>
      </c>
      <c r="AC296" s="32">
        <v>93.6</v>
      </c>
      <c r="AD296" s="32">
        <v>89.1</v>
      </c>
      <c r="AE296" s="32">
        <v>72</v>
      </c>
      <c r="AF296" s="32">
        <v>72</v>
      </c>
      <c r="AG296" s="32">
        <v>89.2</v>
      </c>
      <c r="AH296" s="32">
        <v>89.2</v>
      </c>
      <c r="AI296" s="32">
        <v>146.19999999999999</v>
      </c>
      <c r="AJ296" s="32">
        <v>55.9</v>
      </c>
      <c r="AK296" s="32">
        <v>127</v>
      </c>
      <c r="AL296" s="32">
        <v>89.5</v>
      </c>
      <c r="AM296" s="32">
        <v>94.1</v>
      </c>
      <c r="AN296" s="32">
        <v>83.3</v>
      </c>
      <c r="AO296" s="32">
        <v>121.7</v>
      </c>
      <c r="AP296" s="32">
        <v>121.7</v>
      </c>
      <c r="AQ296" s="32">
        <v>108.5</v>
      </c>
      <c r="AR296" s="32">
        <v>106.9</v>
      </c>
      <c r="AS296" s="32">
        <v>110.5</v>
      </c>
      <c r="AT296" s="32">
        <v>109.6</v>
      </c>
      <c r="AU296" s="32">
        <v>111.2</v>
      </c>
      <c r="AV296" s="32">
        <v>100</v>
      </c>
      <c r="AW296" s="32">
        <v>110.8</v>
      </c>
      <c r="AX296" s="32">
        <v>70.5</v>
      </c>
      <c r="AY296" s="32">
        <v>155.30000000000001</v>
      </c>
      <c r="AZ296" s="32">
        <v>97.3</v>
      </c>
      <c r="BA296" s="32">
        <v>105.2</v>
      </c>
      <c r="BB296" s="32">
        <v>105.2</v>
      </c>
      <c r="BC296" s="32">
        <v>107.4</v>
      </c>
      <c r="BD296" s="32">
        <v>107.4</v>
      </c>
      <c r="BE296" s="32">
        <v>116.9</v>
      </c>
      <c r="BF296" s="32">
        <v>116.9</v>
      </c>
      <c r="BG296" s="32">
        <v>108.6</v>
      </c>
      <c r="BH296" s="32">
        <v>111.7</v>
      </c>
      <c r="BI296" s="32">
        <v>104.3</v>
      </c>
      <c r="BJ296" s="32">
        <v>105.6</v>
      </c>
      <c r="BK296" s="32">
        <v>103.9</v>
      </c>
      <c r="BL296" s="32">
        <v>105.2</v>
      </c>
      <c r="BM296" s="32">
        <v>101.3</v>
      </c>
      <c r="BN296" s="32">
        <v>101.7</v>
      </c>
      <c r="BO296" s="32">
        <v>100.8</v>
      </c>
      <c r="BP296" s="32">
        <v>102.4</v>
      </c>
      <c r="BQ296" s="32">
        <v>100.9</v>
      </c>
      <c r="BR296" s="32">
        <v>88.2</v>
      </c>
      <c r="BS296" s="32">
        <v>68.5</v>
      </c>
      <c r="BT296" s="32">
        <v>113.3</v>
      </c>
      <c r="BU296" s="32">
        <v>80.400000000000006</v>
      </c>
      <c r="BV296" s="32">
        <v>80.400000000000006</v>
      </c>
      <c r="BW296" s="32">
        <v>78.7</v>
      </c>
      <c r="BX296" s="32">
        <v>86.6</v>
      </c>
      <c r="BY296" s="32">
        <v>106.2</v>
      </c>
      <c r="BZ296" s="32">
        <v>101.2</v>
      </c>
      <c r="CA296" s="32">
        <v>108.9</v>
      </c>
      <c r="CB296" s="32">
        <v>108.3</v>
      </c>
      <c r="CC296" s="32">
        <v>108.7</v>
      </c>
      <c r="CD296" s="32">
        <v>123.6</v>
      </c>
      <c r="CE296" s="32">
        <v>96.1</v>
      </c>
      <c r="CF296" s="32">
        <v>91.9</v>
      </c>
      <c r="CG296" s="32">
        <v>80.2</v>
      </c>
      <c r="CH296" s="32">
        <v>94.6</v>
      </c>
      <c r="CI296" s="32">
        <v>71.8</v>
      </c>
      <c r="CJ296" s="32">
        <v>105.7</v>
      </c>
      <c r="CK296" s="32">
        <v>92.4</v>
      </c>
      <c r="CL296" s="32">
        <v>69.8</v>
      </c>
      <c r="CM296" s="32">
        <v>61</v>
      </c>
      <c r="CN296" s="32">
        <v>-15.6</v>
      </c>
      <c r="CO296" s="32">
        <v>77.8</v>
      </c>
      <c r="CP296" s="32">
        <v>54.9</v>
      </c>
      <c r="CQ296" s="32">
        <v>-40.1</v>
      </c>
      <c r="CR296" s="32">
        <v>89.2</v>
      </c>
      <c r="CS296" s="32">
        <v>110</v>
      </c>
      <c r="CT296" s="32">
        <v>45.2</v>
      </c>
      <c r="CU296" s="32">
        <v>33.6</v>
      </c>
      <c r="CV296" s="32">
        <v>50.1</v>
      </c>
      <c r="CW296" s="32">
        <v>110.7</v>
      </c>
      <c r="CX296" s="32">
        <v>98.9</v>
      </c>
      <c r="CY296" s="32">
        <v>104.9</v>
      </c>
      <c r="CZ296" s="32">
        <v>95.5</v>
      </c>
      <c r="DA296" s="32">
        <v>101.1</v>
      </c>
      <c r="DB296" s="32">
        <v>85.3</v>
      </c>
      <c r="DC296" s="32">
        <v>136.9</v>
      </c>
      <c r="DD296" s="32">
        <v>136.9</v>
      </c>
      <c r="DE296" s="32">
        <v>102</v>
      </c>
      <c r="DF296" s="32">
        <v>100.9</v>
      </c>
      <c r="DG296" s="32">
        <v>108.6</v>
      </c>
      <c r="DH296" s="32">
        <v>103.4</v>
      </c>
      <c r="DI296" s="32">
        <v>86.7</v>
      </c>
      <c r="DJ296" s="32">
        <v>117.1</v>
      </c>
      <c r="DK296" s="32">
        <v>117.1</v>
      </c>
      <c r="DL296" s="32">
        <v>122.9</v>
      </c>
      <c r="DM296" s="32">
        <v>101</v>
      </c>
      <c r="DN296" s="32">
        <v>99.8</v>
      </c>
      <c r="DO296" s="32">
        <v>101.2</v>
      </c>
      <c r="DP296" s="32">
        <v>107.2</v>
      </c>
      <c r="DQ296" s="32">
        <v>99.6</v>
      </c>
      <c r="DR296" s="32">
        <v>106.4</v>
      </c>
      <c r="DS296" s="32">
        <v>106.5</v>
      </c>
      <c r="DT296" s="32">
        <v>107.4</v>
      </c>
      <c r="DU296" s="32">
        <v>108.5</v>
      </c>
      <c r="DV296" s="32">
        <v>102.7</v>
      </c>
      <c r="DW296" s="32">
        <v>115.6</v>
      </c>
      <c r="DX296" s="32">
        <v>105.1</v>
      </c>
      <c r="DY296" s="32">
        <v>103.6</v>
      </c>
      <c r="DZ296" s="32">
        <v>116.7</v>
      </c>
      <c r="EA296" s="32">
        <v>116.7</v>
      </c>
      <c r="EB296" s="32">
        <v>101.3</v>
      </c>
      <c r="EC296" s="32">
        <v>102.9</v>
      </c>
      <c r="ED296" s="32">
        <v>99.2</v>
      </c>
      <c r="EE296" s="32">
        <v>92.3</v>
      </c>
      <c r="EF296" s="32">
        <v>116.1</v>
      </c>
      <c r="EG296" s="32">
        <v>89.5</v>
      </c>
      <c r="EH296" s="32">
        <v>90.3</v>
      </c>
      <c r="EI296" s="32">
        <v>94</v>
      </c>
      <c r="EJ296" s="32">
        <v>35</v>
      </c>
      <c r="EK296" s="32">
        <v>100.6</v>
      </c>
      <c r="EL296" s="32">
        <v>95.3</v>
      </c>
      <c r="EM296" s="32">
        <v>96.7</v>
      </c>
      <c r="EN296" s="32">
        <v>103.8</v>
      </c>
      <c r="EO296" s="32">
        <v>82.7</v>
      </c>
      <c r="EP296" s="32">
        <v>94</v>
      </c>
      <c r="EQ296" s="32">
        <v>94</v>
      </c>
      <c r="ER296" s="32">
        <v>79.400000000000006</v>
      </c>
      <c r="ES296" s="32">
        <v>79.400000000000006</v>
      </c>
      <c r="ET296" s="32">
        <v>77.8</v>
      </c>
      <c r="EU296" s="32">
        <v>67.099999999999994</v>
      </c>
      <c r="EV296" s="32">
        <v>67.099999999999994</v>
      </c>
      <c r="EW296" s="32">
        <v>101.4</v>
      </c>
      <c r="EX296" s="32">
        <v>100.8</v>
      </c>
      <c r="EY296" s="32">
        <v>101.8</v>
      </c>
      <c r="EZ296" s="32">
        <v>75.2</v>
      </c>
      <c r="FA296" s="32">
        <v>69.599999999999994</v>
      </c>
      <c r="FB296" s="32">
        <v>74.400000000000006</v>
      </c>
      <c r="FC296" s="32">
        <v>69.599999999999994</v>
      </c>
      <c r="FD296" s="32">
        <v>78.8</v>
      </c>
      <c r="FE296" s="32">
        <v>79.8</v>
      </c>
      <c r="FF296" s="32">
        <v>63.6</v>
      </c>
      <c r="FG296" s="32">
        <v>81.8</v>
      </c>
      <c r="FH296" s="32">
        <v>91.8</v>
      </c>
      <c r="FI296" s="32">
        <v>93</v>
      </c>
      <c r="FJ296" s="32">
        <v>76.5</v>
      </c>
      <c r="FK296" s="32">
        <v>60.2</v>
      </c>
      <c r="FL296" s="32">
        <v>60.2</v>
      </c>
    </row>
    <row r="297" spans="1:168" x14ac:dyDescent="0.2">
      <c r="A297" s="34" t="s">
        <v>1277</v>
      </c>
      <c r="B297" s="32">
        <v>96.8</v>
      </c>
      <c r="C297" s="32">
        <v>82.3</v>
      </c>
      <c r="D297" s="32">
        <v>99.1</v>
      </c>
      <c r="E297" s="32">
        <v>99.6</v>
      </c>
      <c r="F297" s="32">
        <v>70.3</v>
      </c>
      <c r="G297" s="32">
        <v>42.1</v>
      </c>
      <c r="H297" s="32">
        <v>65.599999999999994</v>
      </c>
      <c r="I297" s="32">
        <v>95.5</v>
      </c>
      <c r="J297" s="32">
        <v>105.1</v>
      </c>
      <c r="K297" s="32">
        <v>115.8</v>
      </c>
      <c r="L297" s="32">
        <v>117.1</v>
      </c>
      <c r="M297" s="32">
        <v>132</v>
      </c>
      <c r="N297" s="32">
        <v>107.9</v>
      </c>
      <c r="O297" s="32">
        <v>53.2</v>
      </c>
      <c r="P297" s="32">
        <v>127.8</v>
      </c>
      <c r="Q297" s="32">
        <v>105</v>
      </c>
      <c r="R297" s="32">
        <v>114.2</v>
      </c>
      <c r="S297" s="32">
        <v>113.3</v>
      </c>
      <c r="T297" s="32">
        <v>106.9</v>
      </c>
      <c r="U297" s="32">
        <v>91</v>
      </c>
      <c r="V297" s="32">
        <v>119.7</v>
      </c>
      <c r="W297" s="32">
        <v>113.4</v>
      </c>
      <c r="X297" s="32">
        <v>115.3</v>
      </c>
      <c r="Y297" s="32">
        <v>112.3</v>
      </c>
      <c r="Z297" s="32">
        <v>102.1</v>
      </c>
      <c r="AA297" s="32">
        <v>96.3</v>
      </c>
      <c r="AB297" s="32">
        <v>91.3</v>
      </c>
      <c r="AC297" s="32">
        <v>95.8</v>
      </c>
      <c r="AD297" s="32">
        <v>100.5</v>
      </c>
      <c r="AE297" s="32">
        <v>78.7</v>
      </c>
      <c r="AF297" s="32">
        <v>78.7</v>
      </c>
      <c r="AG297" s="32">
        <v>93.4</v>
      </c>
      <c r="AH297" s="32">
        <v>93.4</v>
      </c>
      <c r="AI297" s="32">
        <v>155.4</v>
      </c>
      <c r="AJ297" s="32">
        <v>51.3</v>
      </c>
      <c r="AK297" s="32">
        <v>146.9</v>
      </c>
      <c r="AL297" s="32">
        <v>92.3</v>
      </c>
      <c r="AM297" s="32">
        <v>93.7</v>
      </c>
      <c r="AN297" s="32">
        <v>100.8</v>
      </c>
      <c r="AO297" s="32">
        <v>106.3</v>
      </c>
      <c r="AP297" s="32">
        <v>106.3</v>
      </c>
      <c r="AQ297" s="32">
        <v>106.5</v>
      </c>
      <c r="AR297" s="32">
        <v>110.6</v>
      </c>
      <c r="AS297" s="32">
        <v>101.3</v>
      </c>
      <c r="AT297" s="32">
        <v>105.2</v>
      </c>
      <c r="AU297" s="32">
        <v>98.3</v>
      </c>
      <c r="AV297" s="32">
        <v>96.7</v>
      </c>
      <c r="AW297" s="32">
        <v>93.9</v>
      </c>
      <c r="AX297" s="32">
        <v>60.6</v>
      </c>
      <c r="AY297" s="32">
        <v>130.6</v>
      </c>
      <c r="AZ297" s="32">
        <v>97.5</v>
      </c>
      <c r="BA297" s="32">
        <v>110.6</v>
      </c>
      <c r="BB297" s="32">
        <v>110.6</v>
      </c>
      <c r="BC297" s="32">
        <v>103.1</v>
      </c>
      <c r="BD297" s="32">
        <v>103.1</v>
      </c>
      <c r="BE297" s="32">
        <v>113.5</v>
      </c>
      <c r="BF297" s="32">
        <v>113.5</v>
      </c>
      <c r="BG297" s="32">
        <v>103.2</v>
      </c>
      <c r="BH297" s="32">
        <v>103</v>
      </c>
      <c r="BI297" s="32">
        <v>103.6</v>
      </c>
      <c r="BJ297" s="32">
        <v>104.9</v>
      </c>
      <c r="BK297" s="32">
        <v>103.4</v>
      </c>
      <c r="BL297" s="32">
        <v>102.8</v>
      </c>
      <c r="BM297" s="32">
        <v>103</v>
      </c>
      <c r="BN297" s="32">
        <v>102.7</v>
      </c>
      <c r="BO297" s="32">
        <v>100.7</v>
      </c>
      <c r="BP297" s="32">
        <v>104.3</v>
      </c>
      <c r="BQ297" s="32">
        <v>103.3</v>
      </c>
      <c r="BR297" s="32">
        <v>90.2</v>
      </c>
      <c r="BS297" s="32">
        <v>69.900000000000006</v>
      </c>
      <c r="BT297" s="32">
        <v>116.1</v>
      </c>
      <c r="BU297" s="32">
        <v>79</v>
      </c>
      <c r="BV297" s="32">
        <v>79</v>
      </c>
      <c r="BW297" s="32">
        <v>77.400000000000006</v>
      </c>
      <c r="BX297" s="32">
        <v>84.9</v>
      </c>
      <c r="BY297" s="32">
        <v>105.5</v>
      </c>
      <c r="BZ297" s="32">
        <v>102.4</v>
      </c>
      <c r="CA297" s="32">
        <v>107.1</v>
      </c>
      <c r="CB297" s="32">
        <v>106</v>
      </c>
      <c r="CC297" s="32">
        <v>107.5</v>
      </c>
      <c r="CD297" s="32">
        <v>119.7</v>
      </c>
      <c r="CE297" s="32">
        <v>98</v>
      </c>
      <c r="CF297" s="32">
        <v>96.3</v>
      </c>
      <c r="CG297" s="32">
        <v>89.1</v>
      </c>
      <c r="CH297" s="32">
        <v>103.4</v>
      </c>
      <c r="CI297" s="32">
        <v>91.9</v>
      </c>
      <c r="CJ297" s="32">
        <v>110.4</v>
      </c>
      <c r="CK297" s="32">
        <v>101.2</v>
      </c>
      <c r="CL297" s="32">
        <v>72.599999999999994</v>
      </c>
      <c r="CM297" s="32">
        <v>64.7</v>
      </c>
      <c r="CN297" s="32">
        <v>-3.7</v>
      </c>
      <c r="CO297" s="32">
        <v>79.8</v>
      </c>
      <c r="CP297" s="32">
        <v>57</v>
      </c>
      <c r="CQ297" s="32">
        <v>-16.600000000000001</v>
      </c>
      <c r="CR297" s="32">
        <v>87.6</v>
      </c>
      <c r="CS297" s="32">
        <v>110.2</v>
      </c>
      <c r="CT297" s="32">
        <v>62.9</v>
      </c>
      <c r="CU297" s="32">
        <v>45.8</v>
      </c>
      <c r="CV297" s="32">
        <v>70.099999999999994</v>
      </c>
      <c r="CW297" s="32">
        <v>115.1</v>
      </c>
      <c r="CX297" s="32">
        <v>104.8</v>
      </c>
      <c r="CY297" s="32">
        <v>109.6</v>
      </c>
      <c r="CZ297" s="32">
        <v>102.1</v>
      </c>
      <c r="DA297" s="32">
        <v>108.8</v>
      </c>
      <c r="DB297" s="32">
        <v>89.9</v>
      </c>
      <c r="DC297" s="32">
        <v>146.19999999999999</v>
      </c>
      <c r="DD297" s="32">
        <v>146.19999999999999</v>
      </c>
      <c r="DE297" s="32">
        <v>102.8</v>
      </c>
      <c r="DF297" s="32">
        <v>102.1</v>
      </c>
      <c r="DG297" s="32">
        <v>106.8</v>
      </c>
      <c r="DH297" s="32">
        <v>103.6</v>
      </c>
      <c r="DI297" s="32">
        <v>85.9</v>
      </c>
      <c r="DJ297" s="32">
        <v>118.4</v>
      </c>
      <c r="DK297" s="32">
        <v>118.4</v>
      </c>
      <c r="DL297" s="32">
        <v>124.2</v>
      </c>
      <c r="DM297" s="32">
        <v>101</v>
      </c>
      <c r="DN297" s="32">
        <v>99.7</v>
      </c>
      <c r="DO297" s="32">
        <v>101.4</v>
      </c>
      <c r="DP297" s="32">
        <v>103.9</v>
      </c>
      <c r="DQ297" s="32">
        <v>99.2</v>
      </c>
      <c r="DR297" s="32">
        <v>105.2</v>
      </c>
      <c r="DS297" s="32">
        <v>103</v>
      </c>
      <c r="DT297" s="32">
        <v>104.7</v>
      </c>
      <c r="DU297" s="32">
        <v>104.4</v>
      </c>
      <c r="DV297" s="32">
        <v>96.6</v>
      </c>
      <c r="DW297" s="32">
        <v>113.9</v>
      </c>
      <c r="DX297" s="32">
        <v>105.5</v>
      </c>
      <c r="DY297" s="32">
        <v>97.2</v>
      </c>
      <c r="DZ297" s="32">
        <v>125.1</v>
      </c>
      <c r="EA297" s="32">
        <v>125.1</v>
      </c>
      <c r="EB297" s="32">
        <v>102.5</v>
      </c>
      <c r="EC297" s="32">
        <v>103.5</v>
      </c>
      <c r="ED297" s="32">
        <v>101.3</v>
      </c>
      <c r="EE297" s="32">
        <v>96.9</v>
      </c>
      <c r="EF297" s="32">
        <v>112.2</v>
      </c>
      <c r="EG297" s="32">
        <v>90.6</v>
      </c>
      <c r="EH297" s="32">
        <v>94.1</v>
      </c>
      <c r="EI297" s="32">
        <v>96.1</v>
      </c>
      <c r="EJ297" s="32">
        <v>37.4</v>
      </c>
      <c r="EK297" s="32">
        <v>98.8</v>
      </c>
      <c r="EL297" s="32">
        <v>97.7</v>
      </c>
      <c r="EM297" s="32">
        <v>99.2</v>
      </c>
      <c r="EN297" s="32">
        <v>98.8</v>
      </c>
      <c r="EO297" s="32">
        <v>89.2</v>
      </c>
      <c r="EP297" s="32">
        <v>96.2</v>
      </c>
      <c r="EQ297" s="32">
        <v>96.2</v>
      </c>
      <c r="ER297" s="32">
        <v>88.6</v>
      </c>
      <c r="ES297" s="32">
        <v>88.6</v>
      </c>
      <c r="ET297" s="32">
        <v>85.1</v>
      </c>
      <c r="EU297" s="32">
        <v>76.5</v>
      </c>
      <c r="EV297" s="32">
        <v>76.5</v>
      </c>
      <c r="EW297" s="32">
        <v>103.9</v>
      </c>
      <c r="EX297" s="32">
        <v>101.5</v>
      </c>
      <c r="EY297" s="32">
        <v>105.8</v>
      </c>
      <c r="EZ297" s="32">
        <v>90</v>
      </c>
      <c r="FA297" s="32">
        <v>75</v>
      </c>
      <c r="FB297" s="32">
        <v>78.7</v>
      </c>
      <c r="FC297" s="32">
        <v>76.7</v>
      </c>
      <c r="FD297" s="32">
        <v>89</v>
      </c>
      <c r="FE297" s="32">
        <v>77.599999999999994</v>
      </c>
      <c r="FF297" s="32">
        <v>70.3</v>
      </c>
      <c r="FG297" s="32">
        <v>104.9</v>
      </c>
      <c r="FH297" s="32">
        <v>93.2</v>
      </c>
      <c r="FI297" s="32">
        <v>91.9</v>
      </c>
      <c r="FJ297" s="32">
        <v>111</v>
      </c>
      <c r="FK297" s="32">
        <v>72.5</v>
      </c>
      <c r="FL297" s="32">
        <v>72.5</v>
      </c>
    </row>
    <row r="298" spans="1:168" x14ac:dyDescent="0.2">
      <c r="A298" s="34" t="s">
        <v>1278</v>
      </c>
      <c r="B298" s="32">
        <v>98.3</v>
      </c>
      <c r="C298" s="32">
        <v>83.9</v>
      </c>
      <c r="D298" s="32">
        <v>98.9</v>
      </c>
      <c r="E298" s="32">
        <v>99.5</v>
      </c>
      <c r="F298" s="32">
        <v>71.5</v>
      </c>
      <c r="G298" s="32">
        <v>38.200000000000003</v>
      </c>
      <c r="H298" s="32">
        <v>67.2</v>
      </c>
      <c r="I298" s="32">
        <v>94.8</v>
      </c>
      <c r="J298" s="32">
        <v>105</v>
      </c>
      <c r="K298" s="32">
        <v>116.3</v>
      </c>
      <c r="L298" s="32">
        <v>117.8</v>
      </c>
      <c r="M298" s="32">
        <v>131</v>
      </c>
      <c r="N298" s="32">
        <v>111</v>
      </c>
      <c r="O298" s="32">
        <v>54.2</v>
      </c>
      <c r="P298" s="32">
        <v>124.8</v>
      </c>
      <c r="Q298" s="32">
        <v>105.9</v>
      </c>
      <c r="R298" s="32">
        <v>110.8</v>
      </c>
      <c r="S298" s="32">
        <v>118.4</v>
      </c>
      <c r="T298" s="32">
        <v>105.8</v>
      </c>
      <c r="U298" s="32">
        <v>90.7</v>
      </c>
      <c r="V298" s="32">
        <v>119.9</v>
      </c>
      <c r="W298" s="32">
        <v>121.2</v>
      </c>
      <c r="X298" s="32">
        <v>126.3</v>
      </c>
      <c r="Y298" s="32">
        <v>114.5</v>
      </c>
      <c r="Z298" s="32">
        <v>106</v>
      </c>
      <c r="AA298" s="32">
        <v>94.6</v>
      </c>
      <c r="AB298" s="32">
        <v>89.1</v>
      </c>
      <c r="AC298" s="32">
        <v>96.6</v>
      </c>
      <c r="AD298" s="32">
        <v>96.8</v>
      </c>
      <c r="AE298" s="32">
        <v>84.8</v>
      </c>
      <c r="AF298" s="32">
        <v>84.8</v>
      </c>
      <c r="AG298" s="32">
        <v>89.8</v>
      </c>
      <c r="AH298" s="32">
        <v>89.8</v>
      </c>
      <c r="AI298" s="32">
        <v>160</v>
      </c>
      <c r="AJ298" s="32">
        <v>50.2</v>
      </c>
      <c r="AK298" s="32">
        <v>139.1</v>
      </c>
      <c r="AL298" s="32">
        <v>84.9</v>
      </c>
      <c r="AM298" s="32">
        <v>93.2</v>
      </c>
      <c r="AN298" s="32">
        <v>87.8</v>
      </c>
      <c r="AO298" s="32">
        <v>129.69999999999999</v>
      </c>
      <c r="AP298" s="32">
        <v>129.69999999999999</v>
      </c>
      <c r="AQ298" s="32">
        <v>103.1</v>
      </c>
      <c r="AR298" s="32">
        <v>108.5</v>
      </c>
      <c r="AS298" s="32">
        <v>96.2</v>
      </c>
      <c r="AT298" s="32">
        <v>103.5</v>
      </c>
      <c r="AU298" s="32">
        <v>90.6</v>
      </c>
      <c r="AV298" s="32">
        <v>95.4</v>
      </c>
      <c r="AW298" s="32">
        <v>94</v>
      </c>
      <c r="AX298" s="32">
        <v>56.4</v>
      </c>
      <c r="AY298" s="32">
        <v>135.5</v>
      </c>
      <c r="AZ298" s="32">
        <v>95.7</v>
      </c>
      <c r="BA298" s="32">
        <v>108.6</v>
      </c>
      <c r="BB298" s="32">
        <v>108.6</v>
      </c>
      <c r="BC298" s="32">
        <v>97.2</v>
      </c>
      <c r="BD298" s="32">
        <v>97.2</v>
      </c>
      <c r="BE298" s="32">
        <v>110.3</v>
      </c>
      <c r="BF298" s="32">
        <v>110.3</v>
      </c>
      <c r="BG298" s="32">
        <v>96.1</v>
      </c>
      <c r="BH298" s="32">
        <v>91.9</v>
      </c>
      <c r="BI298" s="32">
        <v>101.9</v>
      </c>
      <c r="BJ298" s="32">
        <v>104</v>
      </c>
      <c r="BK298" s="32">
        <v>101.5</v>
      </c>
      <c r="BL298" s="32">
        <v>101.3</v>
      </c>
      <c r="BM298" s="32">
        <v>103.8</v>
      </c>
      <c r="BN298" s="32">
        <v>102.6</v>
      </c>
      <c r="BO298" s="32">
        <v>102</v>
      </c>
      <c r="BP298" s="32">
        <v>103</v>
      </c>
      <c r="BQ298" s="32">
        <v>105.3</v>
      </c>
      <c r="BR298" s="32">
        <v>90.5</v>
      </c>
      <c r="BS298" s="32">
        <v>78.3</v>
      </c>
      <c r="BT298" s="32">
        <v>116.2</v>
      </c>
      <c r="BU298" s="32">
        <v>78.3</v>
      </c>
      <c r="BV298" s="32">
        <v>78.3</v>
      </c>
      <c r="BW298" s="32">
        <v>75.5</v>
      </c>
      <c r="BX298" s="32">
        <v>89.2</v>
      </c>
      <c r="BY298" s="32">
        <v>105.4</v>
      </c>
      <c r="BZ298" s="32">
        <v>102.1</v>
      </c>
      <c r="CA298" s="32">
        <v>107.1</v>
      </c>
      <c r="CB298" s="32">
        <v>103.6</v>
      </c>
      <c r="CC298" s="32">
        <v>110</v>
      </c>
      <c r="CD298" s="32">
        <v>122.4</v>
      </c>
      <c r="CE298" s="32">
        <v>97.6</v>
      </c>
      <c r="CF298" s="32">
        <v>98.3</v>
      </c>
      <c r="CG298" s="32">
        <v>94</v>
      </c>
      <c r="CH298" s="32">
        <v>104</v>
      </c>
      <c r="CI298" s="32">
        <v>94.4</v>
      </c>
      <c r="CJ298" s="32">
        <v>112.7</v>
      </c>
      <c r="CK298" s="32">
        <v>100</v>
      </c>
      <c r="CL298" s="32">
        <v>72.7</v>
      </c>
      <c r="CM298" s="32">
        <v>66</v>
      </c>
      <c r="CN298" s="32">
        <v>0.5</v>
      </c>
      <c r="CO298" s="32">
        <v>80.5</v>
      </c>
      <c r="CP298" s="32">
        <v>60.3</v>
      </c>
      <c r="CQ298" s="32">
        <v>-8.9</v>
      </c>
      <c r="CR298" s="32">
        <v>86.7</v>
      </c>
      <c r="CS298" s="32">
        <v>104.5</v>
      </c>
      <c r="CT298" s="32">
        <v>88.5</v>
      </c>
      <c r="CU298" s="32">
        <v>81.7</v>
      </c>
      <c r="CV298" s="32">
        <v>91.3</v>
      </c>
      <c r="CW298" s="32">
        <v>115.2</v>
      </c>
      <c r="CX298" s="32">
        <v>102.4</v>
      </c>
      <c r="CY298" s="32">
        <v>106.7</v>
      </c>
      <c r="CZ298" s="32">
        <v>100</v>
      </c>
      <c r="DA298" s="32">
        <v>107.1</v>
      </c>
      <c r="DB298" s="32">
        <v>87</v>
      </c>
      <c r="DC298" s="32">
        <v>143.9</v>
      </c>
      <c r="DD298" s="32">
        <v>143.9</v>
      </c>
      <c r="DE298" s="32">
        <v>105.6</v>
      </c>
      <c r="DF298" s="32">
        <v>105.6</v>
      </c>
      <c r="DG298" s="32">
        <v>105.9</v>
      </c>
      <c r="DH298" s="32">
        <v>103.3</v>
      </c>
      <c r="DI298" s="32">
        <v>85.2</v>
      </c>
      <c r="DJ298" s="32">
        <v>118.6</v>
      </c>
      <c r="DK298" s="32">
        <v>118.6</v>
      </c>
      <c r="DL298" s="32">
        <v>124.3</v>
      </c>
      <c r="DM298" s="32">
        <v>101.1</v>
      </c>
      <c r="DN298" s="32">
        <v>99.7</v>
      </c>
      <c r="DO298" s="32">
        <v>101.6</v>
      </c>
      <c r="DP298" s="32">
        <v>102.8</v>
      </c>
      <c r="DQ298" s="32">
        <v>99.3</v>
      </c>
      <c r="DR298" s="32">
        <v>104.9</v>
      </c>
      <c r="DS298" s="32">
        <v>103.4</v>
      </c>
      <c r="DT298" s="32">
        <v>105.1</v>
      </c>
      <c r="DU298" s="32">
        <v>105</v>
      </c>
      <c r="DV298" s="32">
        <v>99.6</v>
      </c>
      <c r="DW298" s="32">
        <v>111.6</v>
      </c>
      <c r="DX298" s="32">
        <v>105.3</v>
      </c>
      <c r="DY298" s="32">
        <v>97.8</v>
      </c>
      <c r="DZ298" s="32">
        <v>112.4</v>
      </c>
      <c r="EA298" s="32">
        <v>112.4</v>
      </c>
      <c r="EB298" s="32">
        <v>105.8</v>
      </c>
      <c r="EC298" s="32">
        <v>107</v>
      </c>
      <c r="ED298" s="32">
        <v>104.4</v>
      </c>
      <c r="EE298" s="32">
        <v>97</v>
      </c>
      <c r="EF298" s="32">
        <v>122.6</v>
      </c>
      <c r="EG298" s="32">
        <v>91.2</v>
      </c>
      <c r="EH298" s="32">
        <v>91.4</v>
      </c>
      <c r="EI298" s="32">
        <v>97.3</v>
      </c>
      <c r="EJ298" s="32">
        <v>38.9</v>
      </c>
      <c r="EK298" s="32">
        <v>100.8</v>
      </c>
      <c r="EL298" s="32">
        <v>100.4</v>
      </c>
      <c r="EM298" s="32">
        <v>100.6</v>
      </c>
      <c r="EN298" s="32">
        <v>100.9</v>
      </c>
      <c r="EO298" s="32">
        <v>94</v>
      </c>
      <c r="EP298" s="32">
        <v>97.5</v>
      </c>
      <c r="EQ298" s="32">
        <v>97.5</v>
      </c>
      <c r="ER298" s="32">
        <v>95.6</v>
      </c>
      <c r="ES298" s="32">
        <v>95.6</v>
      </c>
      <c r="ET298" s="32">
        <v>90.6</v>
      </c>
      <c r="EU298" s="32">
        <v>84.3</v>
      </c>
      <c r="EV298" s="32">
        <v>84.3</v>
      </c>
      <c r="EW298" s="32">
        <v>104.3</v>
      </c>
      <c r="EX298" s="32">
        <v>101.2</v>
      </c>
      <c r="EY298" s="32">
        <v>106.7</v>
      </c>
      <c r="EZ298" s="32">
        <v>84.9</v>
      </c>
      <c r="FA298" s="32">
        <v>82.2</v>
      </c>
      <c r="FB298" s="32">
        <v>82.2</v>
      </c>
      <c r="FC298" s="32">
        <v>80.8</v>
      </c>
      <c r="FD298" s="32">
        <v>102.4</v>
      </c>
      <c r="FE298" s="32">
        <v>76.3</v>
      </c>
      <c r="FF298" s="32">
        <v>82.1</v>
      </c>
      <c r="FG298" s="32">
        <v>87.7</v>
      </c>
      <c r="FH298" s="32">
        <v>95.9</v>
      </c>
      <c r="FI298" s="32">
        <v>99.8</v>
      </c>
      <c r="FJ298" s="32">
        <v>83</v>
      </c>
      <c r="FK298" s="32">
        <v>81.599999999999994</v>
      </c>
      <c r="FL298" s="32">
        <v>81.599999999999994</v>
      </c>
    </row>
    <row r="299" spans="1:168" x14ac:dyDescent="0.2">
      <c r="A299" s="34" t="s">
        <v>1279</v>
      </c>
      <c r="B299" s="32">
        <v>99.4</v>
      </c>
      <c r="C299" s="32">
        <v>85.2</v>
      </c>
      <c r="D299" s="32">
        <v>97.6</v>
      </c>
      <c r="E299" s="32">
        <v>97.9</v>
      </c>
      <c r="F299" s="32">
        <v>63.7</v>
      </c>
      <c r="G299" s="32">
        <v>27.6</v>
      </c>
      <c r="H299" s="32">
        <v>57.9</v>
      </c>
      <c r="I299" s="32">
        <v>94.8</v>
      </c>
      <c r="J299" s="32">
        <v>104.4</v>
      </c>
      <c r="K299" s="32">
        <v>116.8</v>
      </c>
      <c r="L299" s="32">
        <v>117.3</v>
      </c>
      <c r="M299" s="32">
        <v>129.69999999999999</v>
      </c>
      <c r="N299" s="32">
        <v>112.2</v>
      </c>
      <c r="O299" s="32">
        <v>58.2</v>
      </c>
      <c r="P299" s="32">
        <v>132.30000000000001</v>
      </c>
      <c r="Q299" s="32">
        <v>108.2</v>
      </c>
      <c r="R299" s="32">
        <v>109.9</v>
      </c>
      <c r="S299" s="32">
        <v>115.4</v>
      </c>
      <c r="T299" s="32">
        <v>101.9</v>
      </c>
      <c r="U299" s="32">
        <v>93.1</v>
      </c>
      <c r="V299" s="32">
        <v>123.9</v>
      </c>
      <c r="W299" s="32">
        <v>127.3</v>
      </c>
      <c r="X299" s="32">
        <v>132.6</v>
      </c>
      <c r="Y299" s="32">
        <v>121.9</v>
      </c>
      <c r="Z299" s="32">
        <v>105.3</v>
      </c>
      <c r="AA299" s="32">
        <v>91.4</v>
      </c>
      <c r="AB299" s="32">
        <v>89.6</v>
      </c>
      <c r="AC299" s="32">
        <v>98.9</v>
      </c>
      <c r="AD299" s="32">
        <v>85.8</v>
      </c>
      <c r="AE299" s="32">
        <v>94</v>
      </c>
      <c r="AF299" s="32">
        <v>94</v>
      </c>
      <c r="AG299" s="32">
        <v>91.4</v>
      </c>
      <c r="AH299" s="32">
        <v>91.4</v>
      </c>
      <c r="AI299" s="32">
        <v>192.8</v>
      </c>
      <c r="AJ299" s="32">
        <v>47.3</v>
      </c>
      <c r="AK299" s="32">
        <v>138.30000000000001</v>
      </c>
      <c r="AL299" s="32">
        <v>80.599999999999994</v>
      </c>
      <c r="AM299" s="32">
        <v>92.3</v>
      </c>
      <c r="AN299" s="32">
        <v>90.8</v>
      </c>
      <c r="AO299" s="32">
        <v>112.5</v>
      </c>
      <c r="AP299" s="32">
        <v>112.5</v>
      </c>
      <c r="AQ299" s="32">
        <v>103.4</v>
      </c>
      <c r="AR299" s="32">
        <v>109</v>
      </c>
      <c r="AS299" s="32">
        <v>96.2</v>
      </c>
      <c r="AT299" s="32">
        <v>105.5</v>
      </c>
      <c r="AU299" s="32">
        <v>89.1</v>
      </c>
      <c r="AV299" s="32">
        <v>96.2</v>
      </c>
      <c r="AW299" s="32">
        <v>85.4</v>
      </c>
      <c r="AX299" s="32">
        <v>46.2</v>
      </c>
      <c r="AY299" s="32">
        <v>128.69999999999999</v>
      </c>
      <c r="AZ299" s="32">
        <v>98.9</v>
      </c>
      <c r="BA299" s="32">
        <v>107.5</v>
      </c>
      <c r="BB299" s="32">
        <v>107.5</v>
      </c>
      <c r="BC299" s="32">
        <v>88.8</v>
      </c>
      <c r="BD299" s="32">
        <v>88.8</v>
      </c>
      <c r="BE299" s="32">
        <v>108.4</v>
      </c>
      <c r="BF299" s="32">
        <v>108.4</v>
      </c>
      <c r="BG299" s="32">
        <v>99.8</v>
      </c>
      <c r="BH299" s="32">
        <v>99.3</v>
      </c>
      <c r="BI299" s="32">
        <v>100.6</v>
      </c>
      <c r="BJ299" s="32">
        <v>103</v>
      </c>
      <c r="BK299" s="32">
        <v>99.8</v>
      </c>
      <c r="BL299" s="32">
        <v>103.3</v>
      </c>
      <c r="BM299" s="32">
        <v>104.5</v>
      </c>
      <c r="BN299" s="32">
        <v>106.1</v>
      </c>
      <c r="BO299" s="32">
        <v>110.2</v>
      </c>
      <c r="BP299" s="32">
        <v>102.9</v>
      </c>
      <c r="BQ299" s="32">
        <v>102.5</v>
      </c>
      <c r="BR299" s="32">
        <v>87.4</v>
      </c>
      <c r="BS299" s="32">
        <v>71.8</v>
      </c>
      <c r="BT299" s="32">
        <v>114.8</v>
      </c>
      <c r="BU299" s="32">
        <v>71.900000000000006</v>
      </c>
      <c r="BV299" s="32">
        <v>71.900000000000006</v>
      </c>
      <c r="BW299" s="32">
        <v>71.599999999999994</v>
      </c>
      <c r="BX299" s="32">
        <v>73</v>
      </c>
      <c r="BY299" s="32">
        <v>107.3</v>
      </c>
      <c r="BZ299" s="32">
        <v>105</v>
      </c>
      <c r="CA299" s="32">
        <v>108.6</v>
      </c>
      <c r="CB299" s="32">
        <v>107.4</v>
      </c>
      <c r="CC299" s="32">
        <v>109.1</v>
      </c>
      <c r="CD299" s="32">
        <v>121.4</v>
      </c>
      <c r="CE299" s="32">
        <v>96.8</v>
      </c>
      <c r="CF299" s="32">
        <v>100</v>
      </c>
      <c r="CG299" s="32">
        <v>96.7</v>
      </c>
      <c r="CH299" s="32">
        <v>105.3</v>
      </c>
      <c r="CI299" s="32">
        <v>91.1</v>
      </c>
      <c r="CJ299" s="32">
        <v>115</v>
      </c>
      <c r="CK299" s="32">
        <v>101.7</v>
      </c>
      <c r="CL299" s="32">
        <v>75.099999999999994</v>
      </c>
      <c r="CM299" s="32">
        <v>68.3</v>
      </c>
      <c r="CN299" s="32">
        <v>4.3</v>
      </c>
      <c r="CO299" s="32">
        <v>82.4</v>
      </c>
      <c r="CP299" s="32">
        <v>65.3</v>
      </c>
      <c r="CQ299" s="32">
        <v>-4</v>
      </c>
      <c r="CR299" s="32">
        <v>88.4</v>
      </c>
      <c r="CS299" s="32">
        <v>106.2</v>
      </c>
      <c r="CT299" s="32">
        <v>96.5</v>
      </c>
      <c r="CU299" s="32">
        <v>93.6</v>
      </c>
      <c r="CV299" s="32">
        <v>97.7</v>
      </c>
      <c r="CW299" s="32">
        <v>115.4</v>
      </c>
      <c r="CX299" s="32">
        <v>106</v>
      </c>
      <c r="CY299" s="32">
        <v>107.3</v>
      </c>
      <c r="CZ299" s="32">
        <v>105.4</v>
      </c>
      <c r="DA299" s="32">
        <v>112.3</v>
      </c>
      <c r="DB299" s="32">
        <v>92.7</v>
      </c>
      <c r="DC299" s="32">
        <v>142.6</v>
      </c>
      <c r="DD299" s="32">
        <v>142.6</v>
      </c>
      <c r="DE299" s="32">
        <v>104.7</v>
      </c>
      <c r="DF299" s="32">
        <v>104.4</v>
      </c>
      <c r="DG299" s="32">
        <v>106.8</v>
      </c>
      <c r="DH299" s="32">
        <v>103.1</v>
      </c>
      <c r="DI299" s="32">
        <v>85.7</v>
      </c>
      <c r="DJ299" s="32">
        <v>117.6</v>
      </c>
      <c r="DK299" s="32">
        <v>117.6</v>
      </c>
      <c r="DL299" s="32">
        <v>123.3</v>
      </c>
      <c r="DM299" s="32">
        <v>101.4</v>
      </c>
      <c r="DN299" s="32">
        <v>99.3</v>
      </c>
      <c r="DO299" s="32">
        <v>101.7</v>
      </c>
      <c r="DP299" s="32">
        <v>116.6</v>
      </c>
      <c r="DQ299" s="32">
        <v>102.3</v>
      </c>
      <c r="DR299" s="32">
        <v>109.1</v>
      </c>
      <c r="DS299" s="32">
        <v>107.5</v>
      </c>
      <c r="DT299" s="32">
        <v>108.2</v>
      </c>
      <c r="DU299" s="32">
        <v>109.9</v>
      </c>
      <c r="DV299" s="32">
        <v>105.2</v>
      </c>
      <c r="DW299" s="32">
        <v>115.7</v>
      </c>
      <c r="DX299" s="32">
        <v>104.5</v>
      </c>
      <c r="DY299" s="32">
        <v>105.1</v>
      </c>
      <c r="DZ299" s="32">
        <v>110.9</v>
      </c>
      <c r="EA299" s="32">
        <v>110.9</v>
      </c>
      <c r="EB299" s="32">
        <v>113.1</v>
      </c>
      <c r="EC299" s="32">
        <v>118.9</v>
      </c>
      <c r="ED299" s="32">
        <v>105.8</v>
      </c>
      <c r="EE299" s="32">
        <v>98.2</v>
      </c>
      <c r="EF299" s="32">
        <v>124.5</v>
      </c>
      <c r="EG299" s="32">
        <v>92.4</v>
      </c>
      <c r="EH299" s="32">
        <v>92.4</v>
      </c>
      <c r="EI299" s="32">
        <v>97.3</v>
      </c>
      <c r="EJ299" s="32">
        <v>40.5</v>
      </c>
      <c r="EK299" s="32">
        <v>102.9</v>
      </c>
      <c r="EL299" s="32">
        <v>99</v>
      </c>
      <c r="EM299" s="32">
        <v>101.5</v>
      </c>
      <c r="EN299" s="32">
        <v>104.3</v>
      </c>
      <c r="EO299" s="32">
        <v>97.1</v>
      </c>
      <c r="EP299" s="32">
        <v>97.8</v>
      </c>
      <c r="EQ299" s="32">
        <v>97.8</v>
      </c>
      <c r="ER299" s="32">
        <v>97.8</v>
      </c>
      <c r="ES299" s="32">
        <v>97.8</v>
      </c>
      <c r="ET299" s="32">
        <v>96.1</v>
      </c>
      <c r="EU299" s="32">
        <v>92.3</v>
      </c>
      <c r="EV299" s="32">
        <v>92.3</v>
      </c>
      <c r="EW299" s="32">
        <v>104.4</v>
      </c>
      <c r="EX299" s="32">
        <v>101.3</v>
      </c>
      <c r="EY299" s="32">
        <v>106.9</v>
      </c>
      <c r="EZ299" s="32">
        <v>83</v>
      </c>
      <c r="FA299" s="32">
        <v>81.599999999999994</v>
      </c>
      <c r="FB299" s="32">
        <v>82.7</v>
      </c>
      <c r="FC299" s="32">
        <v>79.7</v>
      </c>
      <c r="FD299" s="32">
        <v>108.2</v>
      </c>
      <c r="FE299" s="32">
        <v>76.900000000000006</v>
      </c>
      <c r="FF299" s="32">
        <v>80.2</v>
      </c>
      <c r="FG299" s="32">
        <v>83.7</v>
      </c>
      <c r="FH299" s="32">
        <v>97.8</v>
      </c>
      <c r="FI299" s="32">
        <v>93.6</v>
      </c>
      <c r="FJ299" s="32">
        <v>77</v>
      </c>
      <c r="FK299" s="32">
        <v>87</v>
      </c>
      <c r="FL299" s="32">
        <v>87</v>
      </c>
    </row>
    <row r="300" spans="1:168" x14ac:dyDescent="0.2">
      <c r="A300" s="34" t="s">
        <v>1280</v>
      </c>
      <c r="B300" s="32">
        <v>98.9</v>
      </c>
      <c r="C300" s="32">
        <v>84.9</v>
      </c>
      <c r="D300" s="32">
        <v>96.6</v>
      </c>
      <c r="E300" s="32">
        <v>96.9</v>
      </c>
      <c r="F300" s="32">
        <v>71.8</v>
      </c>
      <c r="G300" s="32">
        <v>33.9</v>
      </c>
      <c r="H300" s="32">
        <v>68.3</v>
      </c>
      <c r="I300" s="32">
        <v>91.2</v>
      </c>
      <c r="J300" s="32">
        <v>103.2</v>
      </c>
      <c r="K300" s="32">
        <v>116.3</v>
      </c>
      <c r="L300" s="32">
        <v>118.4</v>
      </c>
      <c r="M300" s="32">
        <v>129.1</v>
      </c>
      <c r="N300" s="32">
        <v>111.7</v>
      </c>
      <c r="O300" s="32">
        <v>58.9</v>
      </c>
      <c r="P300" s="32">
        <v>132.19999999999999</v>
      </c>
      <c r="Q300" s="32">
        <v>106.9</v>
      </c>
      <c r="R300" s="32">
        <v>115.4</v>
      </c>
      <c r="S300" s="32">
        <v>116.6</v>
      </c>
      <c r="T300" s="32">
        <v>104.2</v>
      </c>
      <c r="U300" s="32">
        <v>88.2</v>
      </c>
      <c r="V300" s="32">
        <v>117.7</v>
      </c>
      <c r="W300" s="32">
        <v>124.5</v>
      </c>
      <c r="X300" s="32">
        <v>128.9</v>
      </c>
      <c r="Y300" s="32">
        <v>121</v>
      </c>
      <c r="Z300" s="32">
        <v>99.7</v>
      </c>
      <c r="AA300" s="32">
        <v>92.5</v>
      </c>
      <c r="AB300" s="32">
        <v>84.7</v>
      </c>
      <c r="AC300" s="32">
        <v>99</v>
      </c>
      <c r="AD300" s="32">
        <v>92.2</v>
      </c>
      <c r="AE300" s="32">
        <v>86.8</v>
      </c>
      <c r="AF300" s="32">
        <v>86.8</v>
      </c>
      <c r="AG300" s="32">
        <v>89.3</v>
      </c>
      <c r="AH300" s="32">
        <v>89.3</v>
      </c>
      <c r="AI300" s="32">
        <v>162</v>
      </c>
      <c r="AJ300" s="32">
        <v>47.2</v>
      </c>
      <c r="AK300" s="32">
        <v>145.1</v>
      </c>
      <c r="AL300" s="32">
        <v>84.6</v>
      </c>
      <c r="AM300" s="32">
        <v>89.6</v>
      </c>
      <c r="AN300" s="32">
        <v>92.8</v>
      </c>
      <c r="AO300" s="32">
        <v>123.4</v>
      </c>
      <c r="AP300" s="32">
        <v>123.4</v>
      </c>
      <c r="AQ300" s="32">
        <v>101.1</v>
      </c>
      <c r="AR300" s="32">
        <v>107</v>
      </c>
      <c r="AS300" s="32">
        <v>93.5</v>
      </c>
      <c r="AT300" s="32">
        <v>100.8</v>
      </c>
      <c r="AU300" s="32">
        <v>88</v>
      </c>
      <c r="AV300" s="32">
        <v>89.1</v>
      </c>
      <c r="AW300" s="32">
        <v>80.2</v>
      </c>
      <c r="AX300" s="32">
        <v>41</v>
      </c>
      <c r="AY300" s="32">
        <v>123.4</v>
      </c>
      <c r="AZ300" s="32">
        <v>91.3</v>
      </c>
      <c r="BA300" s="32">
        <v>105.8</v>
      </c>
      <c r="BB300" s="32">
        <v>105.8</v>
      </c>
      <c r="BC300" s="32">
        <v>86</v>
      </c>
      <c r="BD300" s="32">
        <v>86</v>
      </c>
      <c r="BE300" s="32">
        <v>103</v>
      </c>
      <c r="BF300" s="32">
        <v>103</v>
      </c>
      <c r="BG300" s="32">
        <v>99.6</v>
      </c>
      <c r="BH300" s="32">
        <v>101.1</v>
      </c>
      <c r="BI300" s="32">
        <v>97.5</v>
      </c>
      <c r="BJ300" s="32">
        <v>98.5</v>
      </c>
      <c r="BK300" s="32">
        <v>97.1</v>
      </c>
      <c r="BL300" s="32">
        <v>100.6</v>
      </c>
      <c r="BM300" s="32">
        <v>104.8</v>
      </c>
      <c r="BN300" s="32">
        <v>107.2</v>
      </c>
      <c r="BO300" s="32">
        <v>115.7</v>
      </c>
      <c r="BP300" s="32">
        <v>100.3</v>
      </c>
      <c r="BQ300" s="32">
        <v>102</v>
      </c>
      <c r="BR300" s="32">
        <v>89.7</v>
      </c>
      <c r="BS300" s="32">
        <v>72.8</v>
      </c>
      <c r="BT300" s="32">
        <v>113.3</v>
      </c>
      <c r="BU300" s="32">
        <v>65</v>
      </c>
      <c r="BV300" s="32">
        <v>65</v>
      </c>
      <c r="BW300" s="32">
        <v>67.400000000000006</v>
      </c>
      <c r="BX300" s="32">
        <v>55.7</v>
      </c>
      <c r="BY300" s="32">
        <v>107</v>
      </c>
      <c r="BZ300" s="32">
        <v>102.8</v>
      </c>
      <c r="CA300" s="32">
        <v>109.1</v>
      </c>
      <c r="CB300" s="32">
        <v>108.6</v>
      </c>
      <c r="CC300" s="32">
        <v>109</v>
      </c>
      <c r="CD300" s="32">
        <v>121.9</v>
      </c>
      <c r="CE300" s="32">
        <v>96.1</v>
      </c>
      <c r="CF300" s="32">
        <v>99.6</v>
      </c>
      <c r="CG300" s="32">
        <v>96</v>
      </c>
      <c r="CH300" s="32">
        <v>104.2</v>
      </c>
      <c r="CI300" s="32">
        <v>87.8</v>
      </c>
      <c r="CJ300" s="32">
        <v>116.2</v>
      </c>
      <c r="CK300" s="32">
        <v>99.4</v>
      </c>
      <c r="CL300" s="32">
        <v>75.400000000000006</v>
      </c>
      <c r="CM300" s="32">
        <v>69.5</v>
      </c>
      <c r="CN300" s="32">
        <v>11</v>
      </c>
      <c r="CO300" s="32">
        <v>82.3</v>
      </c>
      <c r="CP300" s="32">
        <v>70.900000000000006</v>
      </c>
      <c r="CQ300" s="32">
        <v>1.5</v>
      </c>
      <c r="CR300" s="32">
        <v>87.5</v>
      </c>
      <c r="CS300" s="32">
        <v>101.3</v>
      </c>
      <c r="CT300" s="32">
        <v>95.8</v>
      </c>
      <c r="CU300" s="32">
        <v>94.8</v>
      </c>
      <c r="CV300" s="32">
        <v>96.3</v>
      </c>
      <c r="CW300" s="32">
        <v>116.3</v>
      </c>
      <c r="CX300" s="32">
        <v>103.1</v>
      </c>
      <c r="CY300" s="32">
        <v>105.4</v>
      </c>
      <c r="CZ300" s="32">
        <v>101.8</v>
      </c>
      <c r="DA300" s="32">
        <v>110.4</v>
      </c>
      <c r="DB300" s="32">
        <v>86</v>
      </c>
      <c r="DC300" s="32">
        <v>142.1</v>
      </c>
      <c r="DD300" s="32">
        <v>142.1</v>
      </c>
      <c r="DE300" s="32">
        <v>108.5</v>
      </c>
      <c r="DF300" s="32">
        <v>108.8</v>
      </c>
      <c r="DG300" s="32">
        <v>106.8</v>
      </c>
      <c r="DH300" s="32">
        <v>102.3</v>
      </c>
      <c r="DI300" s="32">
        <v>85.5</v>
      </c>
      <c r="DJ300" s="32">
        <v>116.2</v>
      </c>
      <c r="DK300" s="32">
        <v>116.2</v>
      </c>
      <c r="DL300" s="32">
        <v>121.8</v>
      </c>
      <c r="DM300" s="32">
        <v>100.7</v>
      </c>
      <c r="DN300" s="32">
        <v>98.9</v>
      </c>
      <c r="DO300" s="32">
        <v>101.7</v>
      </c>
      <c r="DP300" s="32">
        <v>91.6</v>
      </c>
      <c r="DQ300" s="32">
        <v>101</v>
      </c>
      <c r="DR300" s="32">
        <v>106.7</v>
      </c>
      <c r="DS300" s="32">
        <v>105</v>
      </c>
      <c r="DT300" s="32">
        <v>106.3</v>
      </c>
      <c r="DU300" s="32">
        <v>107.6</v>
      </c>
      <c r="DV300" s="32">
        <v>97.9</v>
      </c>
      <c r="DW300" s="32">
        <v>119.5</v>
      </c>
      <c r="DX300" s="32">
        <v>103.7</v>
      </c>
      <c r="DY300" s="32">
        <v>100.4</v>
      </c>
      <c r="DZ300" s="32">
        <v>120.9</v>
      </c>
      <c r="EA300" s="32">
        <v>120.9</v>
      </c>
      <c r="EB300" s="32">
        <v>105.1</v>
      </c>
      <c r="EC300" s="32">
        <v>104.4</v>
      </c>
      <c r="ED300" s="32">
        <v>106</v>
      </c>
      <c r="EE300" s="32">
        <v>100.2</v>
      </c>
      <c r="EF300" s="32">
        <v>120.2</v>
      </c>
      <c r="EG300" s="32">
        <v>92.8</v>
      </c>
      <c r="EH300" s="32">
        <v>92</v>
      </c>
      <c r="EI300" s="32">
        <v>98.4</v>
      </c>
      <c r="EJ300" s="32">
        <v>45.3</v>
      </c>
      <c r="EK300" s="32">
        <v>102.1</v>
      </c>
      <c r="EL300" s="32">
        <v>103.4</v>
      </c>
      <c r="EM300" s="32">
        <v>100.7</v>
      </c>
      <c r="EN300" s="32">
        <v>102.7</v>
      </c>
      <c r="EO300" s="32">
        <v>97.2</v>
      </c>
      <c r="EP300" s="32">
        <v>98</v>
      </c>
      <c r="EQ300" s="32">
        <v>98</v>
      </c>
      <c r="ER300" s="32">
        <v>95.9</v>
      </c>
      <c r="ES300" s="32">
        <v>95.9</v>
      </c>
      <c r="ET300" s="32">
        <v>97.6</v>
      </c>
      <c r="EU300" s="32">
        <v>94.7</v>
      </c>
      <c r="EV300" s="32">
        <v>94.7</v>
      </c>
      <c r="EW300" s="32">
        <v>104.1</v>
      </c>
      <c r="EX300" s="32">
        <v>100.9</v>
      </c>
      <c r="EY300" s="32">
        <v>106.6</v>
      </c>
      <c r="EZ300" s="32">
        <v>84.5</v>
      </c>
      <c r="FA300" s="32">
        <v>84.2</v>
      </c>
      <c r="FB300" s="32">
        <v>84.5</v>
      </c>
      <c r="FC300" s="32">
        <v>83.4</v>
      </c>
      <c r="FD300" s="32">
        <v>103.9</v>
      </c>
      <c r="FE300" s="32">
        <v>78.400000000000006</v>
      </c>
      <c r="FF300" s="32">
        <v>83.8</v>
      </c>
      <c r="FG300" s="32">
        <v>86.1</v>
      </c>
      <c r="FH300" s="32">
        <v>100.5</v>
      </c>
      <c r="FI300" s="32">
        <v>99.4</v>
      </c>
      <c r="FJ300" s="32">
        <v>78.8</v>
      </c>
      <c r="FK300" s="32">
        <v>72.400000000000006</v>
      </c>
      <c r="FL300" s="32">
        <v>72.400000000000006</v>
      </c>
    </row>
    <row r="301" spans="1:168" x14ac:dyDescent="0.2">
      <c r="A301" s="34" t="s">
        <v>1281</v>
      </c>
      <c r="B301" s="32">
        <v>99.8</v>
      </c>
      <c r="C301" s="32">
        <v>85.9</v>
      </c>
      <c r="D301" s="32">
        <v>96.4</v>
      </c>
      <c r="E301" s="32">
        <v>97</v>
      </c>
      <c r="F301" s="32">
        <v>85</v>
      </c>
      <c r="G301" s="32">
        <v>32.799999999999997</v>
      </c>
      <c r="H301" s="32">
        <v>84.2</v>
      </c>
      <c r="I301" s="32">
        <v>91.1</v>
      </c>
      <c r="J301" s="32">
        <v>102.5</v>
      </c>
      <c r="K301" s="32">
        <v>115.9</v>
      </c>
      <c r="L301" s="32">
        <v>119</v>
      </c>
      <c r="M301" s="32">
        <v>130</v>
      </c>
      <c r="N301" s="32">
        <v>111.9</v>
      </c>
      <c r="O301" s="32">
        <v>58.1</v>
      </c>
      <c r="P301" s="32">
        <v>133.6</v>
      </c>
      <c r="Q301" s="32">
        <v>107.7</v>
      </c>
      <c r="R301" s="32">
        <v>112.9</v>
      </c>
      <c r="S301" s="32">
        <v>118.9</v>
      </c>
      <c r="T301" s="32">
        <v>102.5</v>
      </c>
      <c r="U301" s="32">
        <v>88</v>
      </c>
      <c r="V301" s="32">
        <v>113.5</v>
      </c>
      <c r="W301" s="32">
        <v>127.7</v>
      </c>
      <c r="X301" s="32">
        <v>133.19999999999999</v>
      </c>
      <c r="Y301" s="32">
        <v>121.8</v>
      </c>
      <c r="Z301" s="32">
        <v>106</v>
      </c>
      <c r="AA301" s="32">
        <v>90.1</v>
      </c>
      <c r="AB301" s="32">
        <v>78</v>
      </c>
      <c r="AC301" s="32">
        <v>97.9</v>
      </c>
      <c r="AD301" s="32">
        <v>91.9</v>
      </c>
      <c r="AE301" s="32">
        <v>87.2</v>
      </c>
      <c r="AF301" s="32">
        <v>87.2</v>
      </c>
      <c r="AG301" s="32">
        <v>87.8</v>
      </c>
      <c r="AH301" s="32">
        <v>87.8</v>
      </c>
      <c r="AI301" s="32">
        <v>157.4</v>
      </c>
      <c r="AJ301" s="32">
        <v>46.1</v>
      </c>
      <c r="AK301" s="32">
        <v>149.5</v>
      </c>
      <c r="AL301" s="32">
        <v>85.1</v>
      </c>
      <c r="AM301" s="32">
        <v>89.7</v>
      </c>
      <c r="AN301" s="32">
        <v>85.7</v>
      </c>
      <c r="AO301" s="32">
        <v>121</v>
      </c>
      <c r="AP301" s="32">
        <v>121</v>
      </c>
      <c r="AQ301" s="32">
        <v>100.5</v>
      </c>
      <c r="AR301" s="32">
        <v>108.3</v>
      </c>
      <c r="AS301" s="32">
        <v>90.6</v>
      </c>
      <c r="AT301" s="32">
        <v>97.3</v>
      </c>
      <c r="AU301" s="32">
        <v>85.6</v>
      </c>
      <c r="AV301" s="32">
        <v>88.4</v>
      </c>
      <c r="AW301" s="32">
        <v>75.2</v>
      </c>
      <c r="AX301" s="32">
        <v>37.200000000000003</v>
      </c>
      <c r="AY301" s="32">
        <v>117.1</v>
      </c>
      <c r="AZ301" s="32">
        <v>91.7</v>
      </c>
      <c r="BA301" s="32">
        <v>105.1</v>
      </c>
      <c r="BB301" s="32">
        <v>105.1</v>
      </c>
      <c r="BC301" s="32">
        <v>82.1</v>
      </c>
      <c r="BD301" s="32">
        <v>82.1</v>
      </c>
      <c r="BE301" s="32">
        <v>103.9</v>
      </c>
      <c r="BF301" s="32">
        <v>103.9</v>
      </c>
      <c r="BG301" s="32">
        <v>100.9</v>
      </c>
      <c r="BH301" s="32">
        <v>103.8</v>
      </c>
      <c r="BI301" s="32">
        <v>96.9</v>
      </c>
      <c r="BJ301" s="32">
        <v>98.6</v>
      </c>
      <c r="BK301" s="32">
        <v>96.2</v>
      </c>
      <c r="BL301" s="32">
        <v>101.1</v>
      </c>
      <c r="BM301" s="32">
        <v>101.4</v>
      </c>
      <c r="BN301" s="32">
        <v>104.2</v>
      </c>
      <c r="BO301" s="32">
        <v>106.5</v>
      </c>
      <c r="BP301" s="32">
        <v>102.4</v>
      </c>
      <c r="BQ301" s="32">
        <v>98.3</v>
      </c>
      <c r="BR301" s="32">
        <v>85.2</v>
      </c>
      <c r="BS301" s="32">
        <v>68.099999999999994</v>
      </c>
      <c r="BT301" s="32">
        <v>110</v>
      </c>
      <c r="BU301" s="32">
        <v>62.2</v>
      </c>
      <c r="BV301" s="32">
        <v>62.2</v>
      </c>
      <c r="BW301" s="32">
        <v>65</v>
      </c>
      <c r="BX301" s="32">
        <v>51.9</v>
      </c>
      <c r="BY301" s="32">
        <v>106</v>
      </c>
      <c r="BZ301" s="32">
        <v>103.5</v>
      </c>
      <c r="CA301" s="32">
        <v>107.3</v>
      </c>
      <c r="CB301" s="32">
        <v>104.9</v>
      </c>
      <c r="CC301" s="32">
        <v>109.2</v>
      </c>
      <c r="CD301" s="32">
        <v>121.4</v>
      </c>
      <c r="CE301" s="32">
        <v>95.1</v>
      </c>
      <c r="CF301" s="32">
        <v>100.7</v>
      </c>
      <c r="CG301" s="32">
        <v>98.5</v>
      </c>
      <c r="CH301" s="32">
        <v>104.3</v>
      </c>
      <c r="CI301" s="32">
        <v>86.5</v>
      </c>
      <c r="CJ301" s="32">
        <v>115.8</v>
      </c>
      <c r="CK301" s="32">
        <v>100.4</v>
      </c>
      <c r="CL301" s="32">
        <v>77.099999999999994</v>
      </c>
      <c r="CM301" s="32">
        <v>71.8</v>
      </c>
      <c r="CN301" s="32">
        <v>17</v>
      </c>
      <c r="CO301" s="32">
        <v>83.9</v>
      </c>
      <c r="CP301" s="32">
        <v>73.099999999999994</v>
      </c>
      <c r="CQ301" s="32">
        <v>10.9</v>
      </c>
      <c r="CR301" s="32">
        <v>87.2</v>
      </c>
      <c r="CS301" s="32">
        <v>101.7</v>
      </c>
      <c r="CT301" s="32">
        <v>107.4</v>
      </c>
      <c r="CU301" s="32">
        <v>109.7</v>
      </c>
      <c r="CV301" s="32">
        <v>106.5</v>
      </c>
      <c r="CW301" s="32">
        <v>116.5</v>
      </c>
      <c r="CX301" s="32">
        <v>103.3</v>
      </c>
      <c r="CY301" s="32">
        <v>105</v>
      </c>
      <c r="CZ301" s="32">
        <v>102.3</v>
      </c>
      <c r="DA301" s="32">
        <v>111</v>
      </c>
      <c r="DB301" s="32">
        <v>86.6</v>
      </c>
      <c r="DC301" s="32">
        <v>140.5</v>
      </c>
      <c r="DD301" s="32">
        <v>140.5</v>
      </c>
      <c r="DE301" s="32">
        <v>109.9</v>
      </c>
      <c r="DF301" s="32">
        <v>110.5</v>
      </c>
      <c r="DG301" s="32">
        <v>106</v>
      </c>
      <c r="DH301" s="32">
        <v>102.6</v>
      </c>
      <c r="DI301" s="32">
        <v>85.6</v>
      </c>
      <c r="DJ301" s="32">
        <v>116.2</v>
      </c>
      <c r="DK301" s="32">
        <v>116.2</v>
      </c>
      <c r="DL301" s="32">
        <v>122.6</v>
      </c>
      <c r="DM301" s="32">
        <v>101</v>
      </c>
      <c r="DN301" s="32">
        <v>98.7</v>
      </c>
      <c r="DO301" s="32">
        <v>101.9</v>
      </c>
      <c r="DP301" s="32">
        <v>101.6</v>
      </c>
      <c r="DQ301" s="32">
        <v>100.9</v>
      </c>
      <c r="DR301" s="32">
        <v>106.6</v>
      </c>
      <c r="DS301" s="32">
        <v>104.4</v>
      </c>
      <c r="DT301" s="32">
        <v>106.4</v>
      </c>
      <c r="DU301" s="32">
        <v>107.3</v>
      </c>
      <c r="DV301" s="32">
        <v>97.3</v>
      </c>
      <c r="DW301" s="32">
        <v>119.7</v>
      </c>
      <c r="DX301" s="32">
        <v>104.4</v>
      </c>
      <c r="DY301" s="32">
        <v>97.6</v>
      </c>
      <c r="DZ301" s="32">
        <v>125.9</v>
      </c>
      <c r="EA301" s="32">
        <v>125.9</v>
      </c>
      <c r="EB301" s="32">
        <v>104.2</v>
      </c>
      <c r="EC301" s="32">
        <v>105.1</v>
      </c>
      <c r="ED301" s="32">
        <v>103.2</v>
      </c>
      <c r="EE301" s="32">
        <v>99.6</v>
      </c>
      <c r="EF301" s="32">
        <v>112</v>
      </c>
      <c r="EG301" s="32">
        <v>92.7</v>
      </c>
      <c r="EH301" s="32">
        <v>87.4</v>
      </c>
      <c r="EI301" s="32">
        <v>98.1</v>
      </c>
      <c r="EJ301" s="32">
        <v>52.1</v>
      </c>
      <c r="EK301" s="32">
        <v>102.9</v>
      </c>
      <c r="EL301" s="32">
        <v>101.2</v>
      </c>
      <c r="EM301" s="32">
        <v>100</v>
      </c>
      <c r="EN301" s="32">
        <v>104.8</v>
      </c>
      <c r="EO301" s="32">
        <v>98.6</v>
      </c>
      <c r="EP301" s="32">
        <v>98.1</v>
      </c>
      <c r="EQ301" s="32">
        <v>98.1</v>
      </c>
      <c r="ER301" s="32">
        <v>95</v>
      </c>
      <c r="ES301" s="32">
        <v>95</v>
      </c>
      <c r="ET301" s="32">
        <v>101.7</v>
      </c>
      <c r="EU301" s="32">
        <v>100.5</v>
      </c>
      <c r="EV301" s="32">
        <v>100.5</v>
      </c>
      <c r="EW301" s="32">
        <v>104.2</v>
      </c>
      <c r="EX301" s="32">
        <v>100.8</v>
      </c>
      <c r="EY301" s="32">
        <v>106.8</v>
      </c>
      <c r="EZ301" s="32">
        <v>88.6</v>
      </c>
      <c r="FA301" s="32">
        <v>89.8</v>
      </c>
      <c r="FB301" s="32">
        <v>90.2</v>
      </c>
      <c r="FC301" s="32">
        <v>92.5</v>
      </c>
      <c r="FD301" s="32">
        <v>108.3</v>
      </c>
      <c r="FE301" s="32">
        <v>79.400000000000006</v>
      </c>
      <c r="FF301" s="32">
        <v>89.4</v>
      </c>
      <c r="FG301" s="32">
        <v>90.5</v>
      </c>
      <c r="FH301" s="32">
        <v>101.7</v>
      </c>
      <c r="FI301" s="32">
        <v>97.7</v>
      </c>
      <c r="FJ301" s="32">
        <v>85.2</v>
      </c>
      <c r="FK301" s="32">
        <v>62.3</v>
      </c>
      <c r="FL301" s="32">
        <v>62.3</v>
      </c>
    </row>
    <row r="302" spans="1:168" x14ac:dyDescent="0.2">
      <c r="A302" s="34" t="s">
        <v>1282</v>
      </c>
      <c r="B302" s="32">
        <v>100.4</v>
      </c>
      <c r="C302" s="32">
        <v>85.7</v>
      </c>
      <c r="D302" s="32">
        <v>95.9</v>
      </c>
      <c r="E302" s="32">
        <v>95.9</v>
      </c>
      <c r="F302" s="32">
        <v>80.2</v>
      </c>
      <c r="G302" s="32">
        <v>33.5</v>
      </c>
      <c r="H302" s="32">
        <v>78.3</v>
      </c>
      <c r="I302" s="32">
        <v>92</v>
      </c>
      <c r="J302" s="32">
        <v>102.1</v>
      </c>
      <c r="K302" s="32">
        <v>116.1</v>
      </c>
      <c r="L302" s="32">
        <v>118.7</v>
      </c>
      <c r="M302" s="32">
        <v>130.4</v>
      </c>
      <c r="N302" s="32">
        <v>112.7</v>
      </c>
      <c r="O302" s="32">
        <v>60.8</v>
      </c>
      <c r="P302" s="32">
        <v>133.80000000000001</v>
      </c>
      <c r="Q302" s="32">
        <v>108.4</v>
      </c>
      <c r="R302" s="32">
        <v>110.6</v>
      </c>
      <c r="S302" s="32">
        <v>118.6</v>
      </c>
      <c r="T302" s="32">
        <v>101</v>
      </c>
      <c r="U302" s="32">
        <v>91.3</v>
      </c>
      <c r="V302" s="32">
        <v>114.5</v>
      </c>
      <c r="W302" s="32">
        <v>131.19999999999999</v>
      </c>
      <c r="X302" s="32">
        <v>135.69999999999999</v>
      </c>
      <c r="Y302" s="32">
        <v>128.30000000000001</v>
      </c>
      <c r="Z302" s="32">
        <v>103.7</v>
      </c>
      <c r="AA302" s="32">
        <v>91.6</v>
      </c>
      <c r="AB302" s="32">
        <v>81.599999999999994</v>
      </c>
      <c r="AC302" s="32">
        <v>98.4</v>
      </c>
      <c r="AD302" s="32">
        <v>92.8</v>
      </c>
      <c r="AE302" s="32">
        <v>80.5</v>
      </c>
      <c r="AF302" s="32">
        <v>80.5</v>
      </c>
      <c r="AG302" s="32">
        <v>87.2</v>
      </c>
      <c r="AH302" s="32">
        <v>87.2</v>
      </c>
      <c r="AI302" s="32">
        <v>159.4</v>
      </c>
      <c r="AJ302" s="32">
        <v>44.7</v>
      </c>
      <c r="AK302" s="32">
        <v>139.6</v>
      </c>
      <c r="AL302" s="32">
        <v>85.9</v>
      </c>
      <c r="AM302" s="32">
        <v>87.8</v>
      </c>
      <c r="AN302" s="32">
        <v>90.2</v>
      </c>
      <c r="AO302" s="32">
        <v>116.2</v>
      </c>
      <c r="AP302" s="32">
        <v>116.2</v>
      </c>
      <c r="AQ302" s="32">
        <v>102.3</v>
      </c>
      <c r="AR302" s="32">
        <v>109.1</v>
      </c>
      <c r="AS302" s="32">
        <v>93.6</v>
      </c>
      <c r="AT302" s="32">
        <v>97.1</v>
      </c>
      <c r="AU302" s="32">
        <v>90.8</v>
      </c>
      <c r="AV302" s="32">
        <v>87.6</v>
      </c>
      <c r="AW302" s="32">
        <v>71.900000000000006</v>
      </c>
      <c r="AX302" s="32">
        <v>33.9</v>
      </c>
      <c r="AY302" s="32">
        <v>114</v>
      </c>
      <c r="AZ302" s="32">
        <v>91.6</v>
      </c>
      <c r="BA302" s="32">
        <v>105</v>
      </c>
      <c r="BB302" s="32">
        <v>105</v>
      </c>
      <c r="BC302" s="32">
        <v>81.599999999999994</v>
      </c>
      <c r="BD302" s="32">
        <v>81.599999999999994</v>
      </c>
      <c r="BE302" s="32">
        <v>108.3</v>
      </c>
      <c r="BF302" s="32">
        <v>108.3</v>
      </c>
      <c r="BG302" s="32">
        <v>96.5</v>
      </c>
      <c r="BH302" s="32">
        <v>99.4</v>
      </c>
      <c r="BI302" s="32">
        <v>92.4</v>
      </c>
      <c r="BJ302" s="32">
        <v>98.9</v>
      </c>
      <c r="BK302" s="32">
        <v>90.2</v>
      </c>
      <c r="BL302" s="32">
        <v>102.5</v>
      </c>
      <c r="BM302" s="32">
        <v>102.2</v>
      </c>
      <c r="BN302" s="32">
        <v>104.8</v>
      </c>
      <c r="BO302" s="32">
        <v>111.8</v>
      </c>
      <c r="BP302" s="32">
        <v>99.2</v>
      </c>
      <c r="BQ302" s="32">
        <v>99.3</v>
      </c>
      <c r="BR302" s="32">
        <v>99.4</v>
      </c>
      <c r="BS302" s="32">
        <v>70</v>
      </c>
      <c r="BT302" s="32">
        <v>108.9</v>
      </c>
      <c r="BU302" s="32">
        <v>60</v>
      </c>
      <c r="BV302" s="32">
        <v>60</v>
      </c>
      <c r="BW302" s="32">
        <v>62.5</v>
      </c>
      <c r="BX302" s="32">
        <v>50.4</v>
      </c>
      <c r="BY302" s="32">
        <v>104.2</v>
      </c>
      <c r="BZ302" s="32">
        <v>104.8</v>
      </c>
      <c r="CA302" s="32">
        <v>103.9</v>
      </c>
      <c r="CB302" s="32">
        <v>102.6</v>
      </c>
      <c r="CC302" s="32">
        <v>104.7</v>
      </c>
      <c r="CD302" s="32">
        <v>113.3</v>
      </c>
      <c r="CE302" s="32">
        <v>95.7</v>
      </c>
      <c r="CF302" s="32">
        <v>101.6</v>
      </c>
      <c r="CG302" s="32">
        <v>98.9</v>
      </c>
      <c r="CH302" s="32">
        <v>104.6</v>
      </c>
      <c r="CI302" s="32">
        <v>80.7</v>
      </c>
      <c r="CJ302" s="32">
        <v>118.4</v>
      </c>
      <c r="CK302" s="32">
        <v>100.5</v>
      </c>
      <c r="CL302" s="32">
        <v>78.599999999999994</v>
      </c>
      <c r="CM302" s="32">
        <v>72.400000000000006</v>
      </c>
      <c r="CN302" s="32">
        <v>24.3</v>
      </c>
      <c r="CO302" s="32">
        <v>83</v>
      </c>
      <c r="CP302" s="32">
        <v>70.8</v>
      </c>
      <c r="CQ302" s="32">
        <v>17</v>
      </c>
      <c r="CR302" s="32">
        <v>88.5</v>
      </c>
      <c r="CS302" s="32">
        <v>105.7</v>
      </c>
      <c r="CT302" s="32">
        <v>107.2</v>
      </c>
      <c r="CU302" s="32">
        <v>105.7</v>
      </c>
      <c r="CV302" s="32">
        <v>107.8</v>
      </c>
      <c r="CW302" s="32">
        <v>114.9</v>
      </c>
      <c r="CX302" s="32">
        <v>97.5</v>
      </c>
      <c r="CY302" s="32">
        <v>109.1</v>
      </c>
      <c r="CZ302" s="32">
        <v>91.1</v>
      </c>
      <c r="DA302" s="32">
        <v>92.1</v>
      </c>
      <c r="DB302" s="32">
        <v>89.2</v>
      </c>
      <c r="DC302" s="32">
        <v>142.1</v>
      </c>
      <c r="DD302" s="32">
        <v>142.1</v>
      </c>
      <c r="DE302" s="32">
        <v>108.5</v>
      </c>
      <c r="DF302" s="32">
        <v>109.9</v>
      </c>
      <c r="DG302" s="32">
        <v>99.7</v>
      </c>
      <c r="DH302" s="32">
        <v>103.9</v>
      </c>
      <c r="DI302" s="32">
        <v>85.4</v>
      </c>
      <c r="DJ302" s="32">
        <v>118.1</v>
      </c>
      <c r="DK302" s="32">
        <v>118.1</v>
      </c>
      <c r="DL302" s="32">
        <v>126</v>
      </c>
      <c r="DM302" s="32">
        <v>101.1</v>
      </c>
      <c r="DN302" s="32">
        <v>98.7</v>
      </c>
      <c r="DO302" s="32">
        <v>102</v>
      </c>
      <c r="DP302" s="32">
        <v>103</v>
      </c>
      <c r="DQ302" s="32">
        <v>102</v>
      </c>
      <c r="DR302" s="32">
        <v>107.5</v>
      </c>
      <c r="DS302" s="32">
        <v>106.3</v>
      </c>
      <c r="DT302" s="32">
        <v>107.9</v>
      </c>
      <c r="DU302" s="32">
        <v>108.9</v>
      </c>
      <c r="DV302" s="32">
        <v>99.6</v>
      </c>
      <c r="DW302" s="32">
        <v>120.3</v>
      </c>
      <c r="DX302" s="32">
        <v>105.9</v>
      </c>
      <c r="DY302" s="32">
        <v>101</v>
      </c>
      <c r="DZ302" s="32">
        <v>118.6</v>
      </c>
      <c r="EA302" s="32">
        <v>118.6</v>
      </c>
      <c r="EB302" s="32">
        <v>105.9</v>
      </c>
      <c r="EC302" s="32">
        <v>108.5</v>
      </c>
      <c r="ED302" s="32">
        <v>102.6</v>
      </c>
      <c r="EE302" s="32">
        <v>96.6</v>
      </c>
      <c r="EF302" s="32">
        <v>117.6</v>
      </c>
      <c r="EG302" s="32">
        <v>94</v>
      </c>
      <c r="EH302" s="32">
        <v>88.5</v>
      </c>
      <c r="EI302" s="32">
        <v>97.1</v>
      </c>
      <c r="EJ302" s="32">
        <v>56.7</v>
      </c>
      <c r="EK302" s="32">
        <v>105</v>
      </c>
      <c r="EL302" s="32">
        <v>100.7</v>
      </c>
      <c r="EM302" s="32">
        <v>105.4</v>
      </c>
      <c r="EN302" s="32">
        <v>105.5</v>
      </c>
      <c r="EO302" s="32">
        <v>100.6</v>
      </c>
      <c r="EP302" s="32">
        <v>98.2</v>
      </c>
      <c r="EQ302" s="32">
        <v>98.2</v>
      </c>
      <c r="ER302" s="32">
        <v>95.8</v>
      </c>
      <c r="ES302" s="32">
        <v>95.8</v>
      </c>
      <c r="ET302" s="32">
        <v>105.6</v>
      </c>
      <c r="EU302" s="32">
        <v>106.1</v>
      </c>
      <c r="EV302" s="32">
        <v>106.1</v>
      </c>
      <c r="EW302" s="32">
        <v>104.7</v>
      </c>
      <c r="EX302" s="32">
        <v>100.7</v>
      </c>
      <c r="EY302" s="32">
        <v>107.8</v>
      </c>
      <c r="EZ302" s="32">
        <v>91.5</v>
      </c>
      <c r="FA302" s="32">
        <v>90.5</v>
      </c>
      <c r="FB302" s="32">
        <v>89.5</v>
      </c>
      <c r="FC302" s="32">
        <v>92.6</v>
      </c>
      <c r="FD302" s="32">
        <v>104.8</v>
      </c>
      <c r="FE302" s="32">
        <v>78.900000000000006</v>
      </c>
      <c r="FF302" s="32">
        <v>91.6</v>
      </c>
      <c r="FG302" s="32">
        <v>95.3</v>
      </c>
      <c r="FH302" s="32">
        <v>102.1</v>
      </c>
      <c r="FI302" s="32">
        <v>104.2</v>
      </c>
      <c r="FJ302" s="32">
        <v>91.5</v>
      </c>
      <c r="FK302" s="32">
        <v>66.2</v>
      </c>
      <c r="FL302" s="32">
        <v>66.2</v>
      </c>
    </row>
    <row r="303" spans="1:168" x14ac:dyDescent="0.2">
      <c r="A303" s="34" t="s">
        <v>1283</v>
      </c>
      <c r="B303" s="32">
        <v>100.7</v>
      </c>
      <c r="C303" s="32">
        <v>86.7</v>
      </c>
      <c r="D303" s="32">
        <v>95.3</v>
      </c>
      <c r="E303" s="32">
        <v>95.1</v>
      </c>
      <c r="F303" s="32">
        <v>77.3</v>
      </c>
      <c r="G303" s="32">
        <v>26.5</v>
      </c>
      <c r="H303" s="32">
        <v>74.400000000000006</v>
      </c>
      <c r="I303" s="32">
        <v>93.6</v>
      </c>
      <c r="J303" s="32">
        <v>101.2</v>
      </c>
      <c r="K303" s="32">
        <v>116.7</v>
      </c>
      <c r="L303" s="32">
        <v>119</v>
      </c>
      <c r="M303" s="32">
        <v>130.1</v>
      </c>
      <c r="N303" s="32">
        <v>108.5</v>
      </c>
      <c r="O303" s="32">
        <v>61</v>
      </c>
      <c r="P303" s="32">
        <v>135.9</v>
      </c>
      <c r="Q303" s="32">
        <v>108.4</v>
      </c>
      <c r="R303" s="32">
        <v>112.6</v>
      </c>
      <c r="S303" s="32">
        <v>120.2</v>
      </c>
      <c r="T303" s="32">
        <v>99.5</v>
      </c>
      <c r="U303" s="32">
        <v>94</v>
      </c>
      <c r="V303" s="32">
        <v>115.4</v>
      </c>
      <c r="W303" s="32">
        <v>132</v>
      </c>
      <c r="X303" s="32">
        <v>137.4</v>
      </c>
      <c r="Y303" s="32">
        <v>127.2</v>
      </c>
      <c r="Z303" s="32">
        <v>105.4</v>
      </c>
      <c r="AA303" s="32">
        <v>94.8</v>
      </c>
      <c r="AB303" s="32">
        <v>79.2</v>
      </c>
      <c r="AC303" s="32">
        <v>107.6</v>
      </c>
      <c r="AD303" s="32">
        <v>94.8</v>
      </c>
      <c r="AE303" s="32">
        <v>82.1</v>
      </c>
      <c r="AF303" s="32">
        <v>82.1</v>
      </c>
      <c r="AG303" s="32">
        <v>89.7</v>
      </c>
      <c r="AH303" s="32">
        <v>89.7</v>
      </c>
      <c r="AI303" s="32">
        <v>163.4</v>
      </c>
      <c r="AJ303" s="32">
        <v>47.3</v>
      </c>
      <c r="AK303" s="32">
        <v>150.80000000000001</v>
      </c>
      <c r="AL303" s="32">
        <v>90</v>
      </c>
      <c r="AM303" s="32">
        <v>87.3</v>
      </c>
      <c r="AN303" s="32">
        <v>92.8</v>
      </c>
      <c r="AO303" s="32">
        <v>127.3</v>
      </c>
      <c r="AP303" s="32">
        <v>127.3</v>
      </c>
      <c r="AQ303" s="32">
        <v>103.8</v>
      </c>
      <c r="AR303" s="32">
        <v>110</v>
      </c>
      <c r="AS303" s="32">
        <v>96</v>
      </c>
      <c r="AT303" s="32">
        <v>101.2</v>
      </c>
      <c r="AU303" s="32">
        <v>92</v>
      </c>
      <c r="AV303" s="32">
        <v>86.2</v>
      </c>
      <c r="AW303" s="32">
        <v>70.900000000000006</v>
      </c>
      <c r="AX303" s="32">
        <v>32.200000000000003</v>
      </c>
      <c r="AY303" s="32">
        <v>113.7</v>
      </c>
      <c r="AZ303" s="32">
        <v>90.1</v>
      </c>
      <c r="BA303" s="32">
        <v>100.3</v>
      </c>
      <c r="BB303" s="32">
        <v>100.3</v>
      </c>
      <c r="BC303" s="32">
        <v>81.5</v>
      </c>
      <c r="BD303" s="32">
        <v>81.5</v>
      </c>
      <c r="BE303" s="32">
        <v>92.6</v>
      </c>
      <c r="BF303" s="32">
        <v>92.6</v>
      </c>
      <c r="BG303" s="32">
        <v>92.1</v>
      </c>
      <c r="BH303" s="32">
        <v>92.7</v>
      </c>
      <c r="BI303" s="32">
        <v>91.4</v>
      </c>
      <c r="BJ303" s="32">
        <v>99.8</v>
      </c>
      <c r="BK303" s="32">
        <v>88.7</v>
      </c>
      <c r="BL303" s="32">
        <v>101.1</v>
      </c>
      <c r="BM303" s="32">
        <v>102.9</v>
      </c>
      <c r="BN303" s="32">
        <v>105.2</v>
      </c>
      <c r="BO303" s="32">
        <v>106.5</v>
      </c>
      <c r="BP303" s="32">
        <v>104.2</v>
      </c>
      <c r="BQ303" s="32">
        <v>100.4</v>
      </c>
      <c r="BR303" s="32">
        <v>90.1</v>
      </c>
      <c r="BS303" s="32">
        <v>74</v>
      </c>
      <c r="BT303" s="32">
        <v>110.4</v>
      </c>
      <c r="BU303" s="32">
        <v>58.5</v>
      </c>
      <c r="BV303" s="32">
        <v>58.5</v>
      </c>
      <c r="BW303" s="32">
        <v>61.4</v>
      </c>
      <c r="BX303" s="32">
        <v>47.8</v>
      </c>
      <c r="BY303" s="32">
        <v>106.9</v>
      </c>
      <c r="BZ303" s="32">
        <v>104.6</v>
      </c>
      <c r="CA303" s="32">
        <v>108.1</v>
      </c>
      <c r="CB303" s="32">
        <v>107.2</v>
      </c>
      <c r="CC303" s="32">
        <v>108.4</v>
      </c>
      <c r="CD303" s="32">
        <v>121</v>
      </c>
      <c r="CE303" s="32">
        <v>95.6</v>
      </c>
      <c r="CF303" s="32">
        <v>102.2</v>
      </c>
      <c r="CG303" s="32">
        <v>98.1</v>
      </c>
      <c r="CH303" s="32">
        <v>105.1</v>
      </c>
      <c r="CI303" s="32">
        <v>85.6</v>
      </c>
      <c r="CJ303" s="32">
        <v>117.4</v>
      </c>
      <c r="CK303" s="32">
        <v>101</v>
      </c>
      <c r="CL303" s="32">
        <v>80.2</v>
      </c>
      <c r="CM303" s="32">
        <v>77.8</v>
      </c>
      <c r="CN303" s="32">
        <v>34.5</v>
      </c>
      <c r="CO303" s="32">
        <v>87.3</v>
      </c>
      <c r="CP303" s="32">
        <v>66.599999999999994</v>
      </c>
      <c r="CQ303" s="32">
        <v>24.9</v>
      </c>
      <c r="CR303" s="32">
        <v>88.7</v>
      </c>
      <c r="CS303" s="32">
        <v>101</v>
      </c>
      <c r="CT303" s="32">
        <v>98.7</v>
      </c>
      <c r="CU303" s="32">
        <v>101.2</v>
      </c>
      <c r="CV303" s="32">
        <v>97.6</v>
      </c>
      <c r="CW303" s="32">
        <v>117.3</v>
      </c>
      <c r="CX303" s="32">
        <v>103.8</v>
      </c>
      <c r="CY303" s="32">
        <v>107.2</v>
      </c>
      <c r="CZ303" s="32">
        <v>102</v>
      </c>
      <c r="DA303" s="32">
        <v>107.5</v>
      </c>
      <c r="DB303" s="32">
        <v>91.9</v>
      </c>
      <c r="DC303" s="32">
        <v>140.69999999999999</v>
      </c>
      <c r="DD303" s="32">
        <v>140.69999999999999</v>
      </c>
      <c r="DE303" s="32">
        <v>111.1</v>
      </c>
      <c r="DF303" s="32">
        <v>112.7</v>
      </c>
      <c r="DG303" s="32">
        <v>101.2</v>
      </c>
      <c r="DH303" s="32">
        <v>105.4</v>
      </c>
      <c r="DI303" s="32">
        <v>85.2</v>
      </c>
      <c r="DJ303" s="32">
        <v>120.4</v>
      </c>
      <c r="DK303" s="32">
        <v>120.4</v>
      </c>
      <c r="DL303" s="32">
        <v>130</v>
      </c>
      <c r="DM303" s="32">
        <v>101.3</v>
      </c>
      <c r="DN303" s="32">
        <v>99.3</v>
      </c>
      <c r="DO303" s="32">
        <v>102.3</v>
      </c>
      <c r="DP303" s="32">
        <v>95.2</v>
      </c>
      <c r="DQ303" s="32">
        <v>100.3</v>
      </c>
      <c r="DR303" s="32">
        <v>103.6</v>
      </c>
      <c r="DS303" s="32">
        <v>104.6</v>
      </c>
      <c r="DT303" s="32">
        <v>107.3</v>
      </c>
      <c r="DU303" s="32">
        <v>107.3</v>
      </c>
      <c r="DV303" s="32">
        <v>98.5</v>
      </c>
      <c r="DW303" s="32">
        <v>118.1</v>
      </c>
      <c r="DX303" s="32">
        <v>107.5</v>
      </c>
      <c r="DY303" s="32">
        <v>95.2</v>
      </c>
      <c r="DZ303" s="32">
        <v>98</v>
      </c>
      <c r="EA303" s="32">
        <v>98</v>
      </c>
      <c r="EB303" s="32">
        <v>103.4</v>
      </c>
      <c r="EC303" s="32">
        <v>104.4</v>
      </c>
      <c r="ED303" s="32">
        <v>102.2</v>
      </c>
      <c r="EE303" s="32">
        <v>97.3</v>
      </c>
      <c r="EF303" s="32">
        <v>114.3</v>
      </c>
      <c r="EG303" s="32">
        <v>95.5</v>
      </c>
      <c r="EH303" s="32">
        <v>88.9</v>
      </c>
      <c r="EI303" s="32">
        <v>99.3</v>
      </c>
      <c r="EJ303" s="32">
        <v>64.599999999999994</v>
      </c>
      <c r="EK303" s="32">
        <v>104.9</v>
      </c>
      <c r="EL303" s="32">
        <v>102.7</v>
      </c>
      <c r="EM303" s="32">
        <v>99.6</v>
      </c>
      <c r="EN303" s="32">
        <v>108.3</v>
      </c>
      <c r="EO303" s="32">
        <v>102.8</v>
      </c>
      <c r="EP303" s="32">
        <v>97.4</v>
      </c>
      <c r="EQ303" s="32">
        <v>97.4</v>
      </c>
      <c r="ER303" s="32">
        <v>96.1</v>
      </c>
      <c r="ES303" s="32">
        <v>96.1</v>
      </c>
      <c r="ET303" s="32">
        <v>111.2</v>
      </c>
      <c r="EU303" s="32">
        <v>113.9</v>
      </c>
      <c r="EV303" s="32">
        <v>113.9</v>
      </c>
      <c r="EW303" s="32">
        <v>105.5</v>
      </c>
      <c r="EX303" s="32">
        <v>101</v>
      </c>
      <c r="EY303" s="32">
        <v>109</v>
      </c>
      <c r="EZ303" s="32">
        <v>94.6</v>
      </c>
      <c r="FA303" s="32">
        <v>91.1</v>
      </c>
      <c r="FB303" s="32">
        <v>90.8</v>
      </c>
      <c r="FC303" s="32">
        <v>96.5</v>
      </c>
      <c r="FD303" s="32">
        <v>101.3</v>
      </c>
      <c r="FE303" s="32">
        <v>78.099999999999994</v>
      </c>
      <c r="FF303" s="32">
        <v>91.5</v>
      </c>
      <c r="FG303" s="32">
        <v>100.1</v>
      </c>
      <c r="FH303" s="32">
        <v>102.2</v>
      </c>
      <c r="FI303" s="32">
        <v>107.8</v>
      </c>
      <c r="FJ303" s="32">
        <v>98.3</v>
      </c>
      <c r="FK303" s="32">
        <v>73.400000000000006</v>
      </c>
      <c r="FL303" s="32">
        <v>73.400000000000006</v>
      </c>
    </row>
    <row r="304" spans="1:168" x14ac:dyDescent="0.2">
      <c r="A304" s="34" t="s">
        <v>1284</v>
      </c>
      <c r="B304" s="32">
        <v>101.4</v>
      </c>
      <c r="C304" s="32">
        <v>85.8</v>
      </c>
      <c r="D304" s="32">
        <v>96.8</v>
      </c>
      <c r="E304" s="32">
        <v>96.6</v>
      </c>
      <c r="F304" s="32">
        <v>73.900000000000006</v>
      </c>
      <c r="G304" s="32">
        <v>33.799999999999997</v>
      </c>
      <c r="H304" s="32">
        <v>69.599999999999994</v>
      </c>
      <c r="I304" s="32">
        <v>97.4</v>
      </c>
      <c r="J304" s="32">
        <v>103.2</v>
      </c>
      <c r="K304" s="32">
        <v>117.4</v>
      </c>
      <c r="L304" s="32">
        <v>119.9</v>
      </c>
      <c r="M304" s="32">
        <v>129.6</v>
      </c>
      <c r="N304" s="32">
        <v>112.5</v>
      </c>
      <c r="O304" s="32">
        <v>63.6</v>
      </c>
      <c r="P304" s="32">
        <v>138</v>
      </c>
      <c r="Q304" s="32">
        <v>109.9</v>
      </c>
      <c r="R304" s="32">
        <v>111.9</v>
      </c>
      <c r="S304" s="32">
        <v>120.7</v>
      </c>
      <c r="T304" s="32">
        <v>102.4</v>
      </c>
      <c r="U304" s="32">
        <v>95.3</v>
      </c>
      <c r="V304" s="32">
        <v>114.9</v>
      </c>
      <c r="W304" s="32">
        <v>135.19999999999999</v>
      </c>
      <c r="X304" s="32">
        <v>144</v>
      </c>
      <c r="Y304" s="32">
        <v>127.6</v>
      </c>
      <c r="Z304" s="32">
        <v>90.4</v>
      </c>
      <c r="AA304" s="32">
        <v>92.5</v>
      </c>
      <c r="AB304" s="32">
        <v>79.5</v>
      </c>
      <c r="AC304" s="32">
        <v>100.9</v>
      </c>
      <c r="AD304" s="32">
        <v>94.6</v>
      </c>
      <c r="AE304" s="32">
        <v>88.3</v>
      </c>
      <c r="AF304" s="32">
        <v>88.3</v>
      </c>
      <c r="AG304" s="32">
        <v>90.6</v>
      </c>
      <c r="AH304" s="32">
        <v>90.6</v>
      </c>
      <c r="AI304" s="32">
        <v>162</v>
      </c>
      <c r="AJ304" s="32">
        <v>50.4</v>
      </c>
      <c r="AK304" s="32">
        <v>153.5</v>
      </c>
      <c r="AL304" s="32">
        <v>89.8</v>
      </c>
      <c r="AM304" s="32">
        <v>87.8</v>
      </c>
      <c r="AN304" s="32">
        <v>92.8</v>
      </c>
      <c r="AO304" s="32">
        <v>124.4</v>
      </c>
      <c r="AP304" s="32">
        <v>124.4</v>
      </c>
      <c r="AQ304" s="32">
        <v>106.3</v>
      </c>
      <c r="AR304" s="32">
        <v>109.8</v>
      </c>
      <c r="AS304" s="32">
        <v>101.9</v>
      </c>
      <c r="AT304" s="32">
        <v>101.7</v>
      </c>
      <c r="AU304" s="32">
        <v>102</v>
      </c>
      <c r="AV304" s="32">
        <v>88.8</v>
      </c>
      <c r="AW304" s="32">
        <v>76.8</v>
      </c>
      <c r="AX304" s="32">
        <v>33.4</v>
      </c>
      <c r="AY304" s="32">
        <v>124.6</v>
      </c>
      <c r="AZ304" s="32">
        <v>91.8</v>
      </c>
      <c r="BA304" s="32">
        <v>107.8</v>
      </c>
      <c r="BB304" s="32">
        <v>107.8</v>
      </c>
      <c r="BC304" s="32">
        <v>81.099999999999994</v>
      </c>
      <c r="BD304" s="32">
        <v>81.099999999999994</v>
      </c>
      <c r="BE304" s="32">
        <v>101</v>
      </c>
      <c r="BF304" s="32">
        <v>101</v>
      </c>
      <c r="BG304" s="32">
        <v>94.8</v>
      </c>
      <c r="BH304" s="32">
        <v>99.2</v>
      </c>
      <c r="BI304" s="32">
        <v>88.7</v>
      </c>
      <c r="BJ304" s="32">
        <v>100.7</v>
      </c>
      <c r="BK304" s="32">
        <v>84.9</v>
      </c>
      <c r="BL304" s="32">
        <v>102.7</v>
      </c>
      <c r="BM304" s="32">
        <v>102.2</v>
      </c>
      <c r="BN304" s="32">
        <v>108</v>
      </c>
      <c r="BO304" s="32">
        <v>105.9</v>
      </c>
      <c r="BP304" s="32">
        <v>109.7</v>
      </c>
      <c r="BQ304" s="32">
        <v>95.6</v>
      </c>
      <c r="BR304" s="32">
        <v>79.3</v>
      </c>
      <c r="BS304" s="32">
        <v>72.599999999999994</v>
      </c>
      <c r="BT304" s="32">
        <v>105.4</v>
      </c>
      <c r="BU304" s="32">
        <v>61.3</v>
      </c>
      <c r="BV304" s="32">
        <v>61.3</v>
      </c>
      <c r="BW304" s="32">
        <v>64.099999999999994</v>
      </c>
      <c r="BX304" s="32">
        <v>50.7</v>
      </c>
      <c r="BY304" s="32">
        <v>106.5</v>
      </c>
      <c r="BZ304" s="32">
        <v>104.2</v>
      </c>
      <c r="CA304" s="32">
        <v>107.7</v>
      </c>
      <c r="CB304" s="32">
        <v>105.1</v>
      </c>
      <c r="CC304" s="32">
        <v>109.5</v>
      </c>
      <c r="CD304" s="32">
        <v>126.5</v>
      </c>
      <c r="CE304" s="32">
        <v>97.3</v>
      </c>
      <c r="CF304" s="32">
        <v>102.7</v>
      </c>
      <c r="CG304" s="32">
        <v>97.4</v>
      </c>
      <c r="CH304" s="32">
        <v>104.3</v>
      </c>
      <c r="CI304" s="32">
        <v>85.1</v>
      </c>
      <c r="CJ304" s="32">
        <v>115.3</v>
      </c>
      <c r="CK304" s="32">
        <v>101.2</v>
      </c>
      <c r="CL304" s="32">
        <v>81.599999999999994</v>
      </c>
      <c r="CM304" s="32">
        <v>77.599999999999994</v>
      </c>
      <c r="CN304" s="32">
        <v>37.799999999999997</v>
      </c>
      <c r="CO304" s="32">
        <v>86.4</v>
      </c>
      <c r="CP304" s="32">
        <v>61.6</v>
      </c>
      <c r="CQ304" s="32">
        <v>30.6</v>
      </c>
      <c r="CR304" s="32">
        <v>91.7</v>
      </c>
      <c r="CS304" s="32">
        <v>105</v>
      </c>
      <c r="CT304" s="32">
        <v>95</v>
      </c>
      <c r="CU304" s="32">
        <v>96.1</v>
      </c>
      <c r="CV304" s="32">
        <v>94.5</v>
      </c>
      <c r="CW304" s="32">
        <v>117.7</v>
      </c>
      <c r="CX304" s="32">
        <v>106.6</v>
      </c>
      <c r="CY304" s="32">
        <v>105.9</v>
      </c>
      <c r="CZ304" s="32">
        <v>107</v>
      </c>
      <c r="DA304" s="32">
        <v>115.6</v>
      </c>
      <c r="DB304" s="32">
        <v>91.4</v>
      </c>
      <c r="DC304" s="32">
        <v>139.6</v>
      </c>
      <c r="DD304" s="32">
        <v>139.6</v>
      </c>
      <c r="DE304" s="32">
        <v>111</v>
      </c>
      <c r="DF304" s="32">
        <v>111</v>
      </c>
      <c r="DG304" s="32">
        <v>111</v>
      </c>
      <c r="DH304" s="32">
        <v>106.4</v>
      </c>
      <c r="DI304" s="32">
        <v>85.3</v>
      </c>
      <c r="DJ304" s="32">
        <v>121.6</v>
      </c>
      <c r="DK304" s="32">
        <v>121.6</v>
      </c>
      <c r="DL304" s="32">
        <v>132.4</v>
      </c>
      <c r="DM304" s="32">
        <v>101.2</v>
      </c>
      <c r="DN304" s="32">
        <v>98.7</v>
      </c>
      <c r="DO304" s="32">
        <v>102.4</v>
      </c>
      <c r="DP304" s="32">
        <v>96.9</v>
      </c>
      <c r="DQ304" s="32">
        <v>102.1</v>
      </c>
      <c r="DR304" s="32">
        <v>106.5</v>
      </c>
      <c r="DS304" s="32">
        <v>105.6</v>
      </c>
      <c r="DT304" s="32">
        <v>107.8</v>
      </c>
      <c r="DU304" s="32">
        <v>107.5</v>
      </c>
      <c r="DV304" s="32">
        <v>98.1</v>
      </c>
      <c r="DW304" s="32">
        <v>119.2</v>
      </c>
      <c r="DX304" s="32">
        <v>108.6</v>
      </c>
      <c r="DY304" s="32">
        <v>98.2</v>
      </c>
      <c r="DZ304" s="32">
        <v>116.3</v>
      </c>
      <c r="EA304" s="32">
        <v>116.3</v>
      </c>
      <c r="EB304" s="32">
        <v>104.4</v>
      </c>
      <c r="EC304" s="32">
        <v>103.4</v>
      </c>
      <c r="ED304" s="32">
        <v>105.5</v>
      </c>
      <c r="EE304" s="32">
        <v>99.7</v>
      </c>
      <c r="EF304" s="32">
        <v>119.8</v>
      </c>
      <c r="EG304" s="32">
        <v>95.7</v>
      </c>
      <c r="EH304" s="32">
        <v>89.2</v>
      </c>
      <c r="EI304" s="32">
        <v>99.3</v>
      </c>
      <c r="EJ304" s="32">
        <v>60.5</v>
      </c>
      <c r="EK304" s="32">
        <v>106.3</v>
      </c>
      <c r="EL304" s="32">
        <v>97.2</v>
      </c>
      <c r="EM304" s="32">
        <v>105.7</v>
      </c>
      <c r="EN304" s="32">
        <v>108.1</v>
      </c>
      <c r="EO304" s="32">
        <v>104.1</v>
      </c>
      <c r="EP304" s="32">
        <v>98.3</v>
      </c>
      <c r="EQ304" s="32">
        <v>98.3</v>
      </c>
      <c r="ER304" s="32">
        <v>95.7</v>
      </c>
      <c r="ES304" s="32">
        <v>95.7</v>
      </c>
      <c r="ET304" s="32">
        <v>114.1</v>
      </c>
      <c r="EU304" s="32">
        <v>118.1</v>
      </c>
      <c r="EV304" s="32">
        <v>118.1</v>
      </c>
      <c r="EW304" s="32">
        <v>105.2</v>
      </c>
      <c r="EX304" s="32">
        <v>101</v>
      </c>
      <c r="EY304" s="32">
        <v>108.5</v>
      </c>
      <c r="EZ304" s="32">
        <v>94.9</v>
      </c>
      <c r="FA304" s="32">
        <v>92.2</v>
      </c>
      <c r="FB304" s="32">
        <v>92.2</v>
      </c>
      <c r="FC304" s="32">
        <v>98.6</v>
      </c>
      <c r="FD304" s="32">
        <v>104.8</v>
      </c>
      <c r="FE304" s="32">
        <v>77.8</v>
      </c>
      <c r="FF304" s="32">
        <v>92.2</v>
      </c>
      <c r="FG304" s="32">
        <v>98.9</v>
      </c>
      <c r="FH304" s="32">
        <v>103.5</v>
      </c>
      <c r="FI304" s="32">
        <v>101.4</v>
      </c>
      <c r="FJ304" s="32">
        <v>96.7</v>
      </c>
      <c r="FK304" s="32">
        <v>81.099999999999994</v>
      </c>
      <c r="FL304" s="32">
        <v>81.099999999999994</v>
      </c>
    </row>
    <row r="305" spans="1:168" x14ac:dyDescent="0.2">
      <c r="A305" s="34" t="s">
        <v>1285</v>
      </c>
      <c r="B305" s="32">
        <v>100.9</v>
      </c>
      <c r="C305" s="32">
        <v>84.9</v>
      </c>
      <c r="D305" s="32">
        <v>97.3</v>
      </c>
      <c r="E305" s="32">
        <v>96.8</v>
      </c>
      <c r="F305" s="32">
        <v>73.3</v>
      </c>
      <c r="G305" s="32">
        <v>26.4</v>
      </c>
      <c r="H305" s="32">
        <v>68.8</v>
      </c>
      <c r="I305" s="32">
        <v>98.1</v>
      </c>
      <c r="J305" s="32">
        <v>103.2</v>
      </c>
      <c r="K305" s="32">
        <v>116.4</v>
      </c>
      <c r="L305" s="32">
        <v>119.8</v>
      </c>
      <c r="M305" s="32">
        <v>127.8</v>
      </c>
      <c r="N305" s="32">
        <v>114</v>
      </c>
      <c r="O305" s="32">
        <v>58.3</v>
      </c>
      <c r="P305" s="32">
        <v>134.19999999999999</v>
      </c>
      <c r="Q305" s="32">
        <v>111.2</v>
      </c>
      <c r="R305" s="32">
        <v>113.4</v>
      </c>
      <c r="S305" s="32">
        <v>120.8</v>
      </c>
      <c r="T305" s="32">
        <v>106</v>
      </c>
      <c r="U305" s="32">
        <v>89.7</v>
      </c>
      <c r="V305" s="32">
        <v>112</v>
      </c>
      <c r="W305" s="32">
        <v>129.5</v>
      </c>
      <c r="X305" s="32">
        <v>124.5</v>
      </c>
      <c r="Y305" s="32">
        <v>143.6</v>
      </c>
      <c r="Z305" s="32">
        <v>105.8</v>
      </c>
      <c r="AA305" s="32">
        <v>92.2</v>
      </c>
      <c r="AB305" s="32">
        <v>75</v>
      </c>
      <c r="AC305" s="32">
        <v>99.9</v>
      </c>
      <c r="AD305" s="32">
        <v>98.1</v>
      </c>
      <c r="AE305" s="32">
        <v>86.4</v>
      </c>
      <c r="AF305" s="32">
        <v>86.4</v>
      </c>
      <c r="AG305" s="32">
        <v>93.5</v>
      </c>
      <c r="AH305" s="32">
        <v>93.5</v>
      </c>
      <c r="AI305" s="32">
        <v>186.3</v>
      </c>
      <c r="AJ305" s="32">
        <v>50.2</v>
      </c>
      <c r="AK305" s="32">
        <v>156.5</v>
      </c>
      <c r="AL305" s="32">
        <v>83.9</v>
      </c>
      <c r="AM305" s="32">
        <v>85.5</v>
      </c>
      <c r="AN305" s="32">
        <v>105.4</v>
      </c>
      <c r="AO305" s="32">
        <v>141.1</v>
      </c>
      <c r="AP305" s="32">
        <v>141.1</v>
      </c>
      <c r="AQ305" s="32">
        <v>99.5</v>
      </c>
      <c r="AR305" s="32">
        <v>106</v>
      </c>
      <c r="AS305" s="32">
        <v>91.2</v>
      </c>
      <c r="AT305" s="32">
        <v>99.7</v>
      </c>
      <c r="AU305" s="32">
        <v>84.7</v>
      </c>
      <c r="AV305" s="32">
        <v>88</v>
      </c>
      <c r="AW305" s="32">
        <v>73.3</v>
      </c>
      <c r="AX305" s="32">
        <v>35.6</v>
      </c>
      <c r="AY305" s="32">
        <v>114.9</v>
      </c>
      <c r="AZ305" s="32">
        <v>91.7</v>
      </c>
      <c r="BA305" s="32">
        <v>108.8</v>
      </c>
      <c r="BB305" s="32">
        <v>108.8</v>
      </c>
      <c r="BC305" s="32">
        <v>84.9</v>
      </c>
      <c r="BD305" s="32">
        <v>84.9</v>
      </c>
      <c r="BE305" s="32">
        <v>96.8</v>
      </c>
      <c r="BF305" s="32">
        <v>96.8</v>
      </c>
      <c r="BG305" s="32">
        <v>95.1</v>
      </c>
      <c r="BH305" s="32">
        <v>99.1</v>
      </c>
      <c r="BI305" s="32">
        <v>89.4</v>
      </c>
      <c r="BJ305" s="32">
        <v>101.8</v>
      </c>
      <c r="BK305" s="32">
        <v>85.9</v>
      </c>
      <c r="BL305" s="32">
        <v>98.6</v>
      </c>
      <c r="BM305" s="32">
        <v>100.3</v>
      </c>
      <c r="BN305" s="32">
        <v>101.9</v>
      </c>
      <c r="BO305" s="32">
        <v>104</v>
      </c>
      <c r="BP305" s="32">
        <v>100.3</v>
      </c>
      <c r="BQ305" s="32">
        <v>98.4</v>
      </c>
      <c r="BR305" s="32">
        <v>82</v>
      </c>
      <c r="BS305" s="32">
        <v>67.900000000000006</v>
      </c>
      <c r="BT305" s="32">
        <v>110.7</v>
      </c>
      <c r="BU305" s="32">
        <v>63.3</v>
      </c>
      <c r="BV305" s="32">
        <v>63.3</v>
      </c>
      <c r="BW305" s="32">
        <v>64.3</v>
      </c>
      <c r="BX305" s="32">
        <v>59.7</v>
      </c>
      <c r="BY305" s="32">
        <v>106.3</v>
      </c>
      <c r="BZ305" s="32">
        <v>103.8</v>
      </c>
      <c r="CA305" s="32">
        <v>107.6</v>
      </c>
      <c r="CB305" s="32">
        <v>104.4</v>
      </c>
      <c r="CC305" s="32">
        <v>110.1</v>
      </c>
      <c r="CD305" s="32">
        <v>125.5</v>
      </c>
      <c r="CE305" s="32">
        <v>98.3</v>
      </c>
      <c r="CF305" s="32">
        <v>102</v>
      </c>
      <c r="CG305" s="32">
        <v>94.3</v>
      </c>
      <c r="CH305" s="32">
        <v>102.1</v>
      </c>
      <c r="CI305" s="32">
        <v>84.1</v>
      </c>
      <c r="CJ305" s="32">
        <v>110.6</v>
      </c>
      <c r="CK305" s="32">
        <v>100.5</v>
      </c>
      <c r="CL305" s="32">
        <v>82</v>
      </c>
      <c r="CM305" s="32">
        <v>77.099999999999994</v>
      </c>
      <c r="CN305" s="32">
        <v>40.9</v>
      </c>
      <c r="CO305" s="32">
        <v>85</v>
      </c>
      <c r="CP305" s="32">
        <v>57.6</v>
      </c>
      <c r="CQ305" s="32">
        <v>35.799999999999997</v>
      </c>
      <c r="CR305" s="32">
        <v>92.4</v>
      </c>
      <c r="CS305" s="32">
        <v>107.2</v>
      </c>
      <c r="CT305" s="32">
        <v>84.2</v>
      </c>
      <c r="CU305" s="32">
        <v>83.5</v>
      </c>
      <c r="CV305" s="32">
        <v>84.5</v>
      </c>
      <c r="CW305" s="32">
        <v>116.9</v>
      </c>
      <c r="CX305" s="32">
        <v>101.1</v>
      </c>
      <c r="CY305" s="32">
        <v>102.9</v>
      </c>
      <c r="CZ305" s="32">
        <v>100</v>
      </c>
      <c r="DA305" s="32">
        <v>106.2</v>
      </c>
      <c r="DB305" s="32">
        <v>88.8</v>
      </c>
      <c r="DC305" s="32">
        <v>143</v>
      </c>
      <c r="DD305" s="32">
        <v>143</v>
      </c>
      <c r="DE305" s="32">
        <v>110.5</v>
      </c>
      <c r="DF305" s="32">
        <v>111.3</v>
      </c>
      <c r="DG305" s="32">
        <v>105.5</v>
      </c>
      <c r="DH305" s="32">
        <v>106.4</v>
      </c>
      <c r="DI305" s="32">
        <v>86</v>
      </c>
      <c r="DJ305" s="32">
        <v>120.4</v>
      </c>
      <c r="DK305" s="32">
        <v>120.4</v>
      </c>
      <c r="DL305" s="32">
        <v>132</v>
      </c>
      <c r="DM305" s="32">
        <v>101.2</v>
      </c>
      <c r="DN305" s="32">
        <v>98.9</v>
      </c>
      <c r="DO305" s="32">
        <v>102.2</v>
      </c>
      <c r="DP305" s="32">
        <v>98.9</v>
      </c>
      <c r="DQ305" s="32">
        <v>101.9</v>
      </c>
      <c r="DR305" s="32">
        <v>107</v>
      </c>
      <c r="DS305" s="32">
        <v>104.9</v>
      </c>
      <c r="DT305" s="32">
        <v>106.7</v>
      </c>
      <c r="DU305" s="32">
        <v>106.4</v>
      </c>
      <c r="DV305" s="32">
        <v>98.9</v>
      </c>
      <c r="DW305" s="32">
        <v>115.6</v>
      </c>
      <c r="DX305" s="32">
        <v>107.4</v>
      </c>
      <c r="DY305" s="32">
        <v>98.9</v>
      </c>
      <c r="DZ305" s="32">
        <v>122.3</v>
      </c>
      <c r="EA305" s="32">
        <v>122.3</v>
      </c>
      <c r="EB305" s="32">
        <v>106.3</v>
      </c>
      <c r="EC305" s="32">
        <v>108.2</v>
      </c>
      <c r="ED305" s="32">
        <v>103.9</v>
      </c>
      <c r="EE305" s="32">
        <v>98.2</v>
      </c>
      <c r="EF305" s="32">
        <v>118</v>
      </c>
      <c r="EG305" s="32">
        <v>94.5</v>
      </c>
      <c r="EH305" s="32">
        <v>85.8</v>
      </c>
      <c r="EI305" s="32">
        <v>99.7</v>
      </c>
      <c r="EJ305" s="32">
        <v>56.7</v>
      </c>
      <c r="EK305" s="32">
        <v>106</v>
      </c>
      <c r="EL305" s="32">
        <v>100.2</v>
      </c>
      <c r="EM305" s="32">
        <v>97.2</v>
      </c>
      <c r="EN305" s="32">
        <v>112</v>
      </c>
      <c r="EO305" s="32">
        <v>104.4</v>
      </c>
      <c r="EP305" s="32">
        <v>98.6</v>
      </c>
      <c r="EQ305" s="32">
        <v>98.6</v>
      </c>
      <c r="ER305" s="32">
        <v>95.9</v>
      </c>
      <c r="ES305" s="32">
        <v>95.9</v>
      </c>
      <c r="ET305" s="32">
        <v>114.5</v>
      </c>
      <c r="EU305" s="32">
        <v>119.2</v>
      </c>
      <c r="EV305" s="32">
        <v>119.2</v>
      </c>
      <c r="EW305" s="32">
        <v>104.1</v>
      </c>
      <c r="EX305" s="32">
        <v>101.4</v>
      </c>
      <c r="EY305" s="32">
        <v>106.3</v>
      </c>
      <c r="EZ305" s="32">
        <v>93</v>
      </c>
      <c r="FA305" s="32">
        <v>92.2</v>
      </c>
      <c r="FB305" s="32">
        <v>91.8</v>
      </c>
      <c r="FC305" s="32">
        <v>96.3</v>
      </c>
      <c r="FD305" s="32">
        <v>105.8</v>
      </c>
      <c r="FE305" s="32">
        <v>79.400000000000006</v>
      </c>
      <c r="FF305" s="32">
        <v>92.8</v>
      </c>
      <c r="FG305" s="32">
        <v>94.5</v>
      </c>
      <c r="FH305" s="32">
        <v>105.8</v>
      </c>
      <c r="FI305" s="32">
        <v>98.9</v>
      </c>
      <c r="FJ305" s="32">
        <v>89.6</v>
      </c>
      <c r="FK305" s="32">
        <v>85.5</v>
      </c>
      <c r="FL305" s="32">
        <v>85.5</v>
      </c>
    </row>
    <row r="306" spans="1:168" x14ac:dyDescent="0.2">
      <c r="A306" s="34" t="s">
        <v>1286</v>
      </c>
      <c r="B306" s="32">
        <v>101.4</v>
      </c>
      <c r="C306" s="32">
        <v>85</v>
      </c>
      <c r="D306" s="32">
        <v>97.4</v>
      </c>
      <c r="E306" s="32">
        <v>96.4</v>
      </c>
      <c r="F306" s="32">
        <v>76.7</v>
      </c>
      <c r="G306" s="32">
        <v>30.5</v>
      </c>
      <c r="H306" s="32">
        <v>71.599999999999994</v>
      </c>
      <c r="I306" s="32">
        <v>104.7</v>
      </c>
      <c r="J306" s="32">
        <v>102.2</v>
      </c>
      <c r="K306" s="32">
        <v>117.7</v>
      </c>
      <c r="L306" s="32">
        <v>121.1</v>
      </c>
      <c r="M306" s="32">
        <v>130.5</v>
      </c>
      <c r="N306" s="32">
        <v>113.9</v>
      </c>
      <c r="O306" s="32">
        <v>62.1</v>
      </c>
      <c r="P306" s="32">
        <v>135</v>
      </c>
      <c r="Q306" s="32">
        <v>109.4</v>
      </c>
      <c r="R306" s="32">
        <v>113.4</v>
      </c>
      <c r="S306" s="32">
        <v>121.4</v>
      </c>
      <c r="T306" s="32">
        <v>115.5</v>
      </c>
      <c r="U306" s="32">
        <v>94.4</v>
      </c>
      <c r="V306" s="32">
        <v>112</v>
      </c>
      <c r="W306" s="32">
        <v>130.30000000000001</v>
      </c>
      <c r="X306" s="32">
        <v>133.9</v>
      </c>
      <c r="Y306" s="32">
        <v>128.5</v>
      </c>
      <c r="Z306" s="32">
        <v>105</v>
      </c>
      <c r="AA306" s="32">
        <v>92.4</v>
      </c>
      <c r="AB306" s="32">
        <v>83.6</v>
      </c>
      <c r="AC306" s="32">
        <v>97.3</v>
      </c>
      <c r="AD306" s="32">
        <v>94.4</v>
      </c>
      <c r="AE306" s="32">
        <v>89.1</v>
      </c>
      <c r="AF306" s="32">
        <v>89.1</v>
      </c>
      <c r="AG306" s="32">
        <v>96.5</v>
      </c>
      <c r="AH306" s="32">
        <v>96.5</v>
      </c>
      <c r="AI306" s="32">
        <v>185.4</v>
      </c>
      <c r="AJ306" s="32">
        <v>48.1</v>
      </c>
      <c r="AK306" s="32">
        <v>162.9</v>
      </c>
      <c r="AL306" s="32">
        <v>102.2</v>
      </c>
      <c r="AM306" s="32">
        <v>87.7</v>
      </c>
      <c r="AN306" s="32">
        <v>108.2</v>
      </c>
      <c r="AO306" s="32">
        <v>108.5</v>
      </c>
      <c r="AP306" s="32">
        <v>108.5</v>
      </c>
      <c r="AQ306" s="32">
        <v>101.3</v>
      </c>
      <c r="AR306" s="32">
        <v>106.7</v>
      </c>
      <c r="AS306" s="32">
        <v>94.6</v>
      </c>
      <c r="AT306" s="32">
        <v>99.7</v>
      </c>
      <c r="AU306" s="32">
        <v>90.7</v>
      </c>
      <c r="AV306" s="32">
        <v>90.6</v>
      </c>
      <c r="AW306" s="32">
        <v>77.7</v>
      </c>
      <c r="AX306" s="32">
        <v>37.799999999999997</v>
      </c>
      <c r="AY306" s="32">
        <v>121.7</v>
      </c>
      <c r="AZ306" s="32">
        <v>93.9</v>
      </c>
      <c r="BA306" s="32">
        <v>109.4</v>
      </c>
      <c r="BB306" s="32">
        <v>109.4</v>
      </c>
      <c r="BC306" s="32">
        <v>84.4</v>
      </c>
      <c r="BD306" s="32">
        <v>84.4</v>
      </c>
      <c r="BE306" s="32">
        <v>101.6</v>
      </c>
      <c r="BF306" s="32">
        <v>101.6</v>
      </c>
      <c r="BG306" s="32">
        <v>93.9</v>
      </c>
      <c r="BH306" s="32">
        <v>97.6</v>
      </c>
      <c r="BI306" s="32">
        <v>88.8</v>
      </c>
      <c r="BJ306" s="32">
        <v>101.9</v>
      </c>
      <c r="BK306" s="32">
        <v>85.6</v>
      </c>
      <c r="BL306" s="32">
        <v>92.9</v>
      </c>
      <c r="BM306" s="32">
        <v>100.7</v>
      </c>
      <c r="BN306" s="32">
        <v>101.3</v>
      </c>
      <c r="BO306" s="32">
        <v>108.2</v>
      </c>
      <c r="BP306" s="32">
        <v>95.9</v>
      </c>
      <c r="BQ306" s="32">
        <v>100.1</v>
      </c>
      <c r="BR306" s="32">
        <v>85.7</v>
      </c>
      <c r="BS306" s="32">
        <v>68.7</v>
      </c>
      <c r="BT306" s="32">
        <v>112.4</v>
      </c>
      <c r="BU306" s="32">
        <v>64.400000000000006</v>
      </c>
      <c r="BV306" s="32">
        <v>64.400000000000006</v>
      </c>
      <c r="BW306" s="32">
        <v>65.2</v>
      </c>
      <c r="BX306" s="32">
        <v>61.5</v>
      </c>
      <c r="BY306" s="32">
        <v>106.7</v>
      </c>
      <c r="BZ306" s="32">
        <v>107.8</v>
      </c>
      <c r="CA306" s="32">
        <v>106.2</v>
      </c>
      <c r="CB306" s="32">
        <v>101</v>
      </c>
      <c r="CC306" s="32">
        <v>110.4</v>
      </c>
      <c r="CD306" s="32">
        <v>131.1</v>
      </c>
      <c r="CE306" s="32">
        <v>99.5</v>
      </c>
      <c r="CF306" s="32">
        <v>102.5</v>
      </c>
      <c r="CG306" s="32">
        <v>96.6</v>
      </c>
      <c r="CH306" s="32">
        <v>103.6</v>
      </c>
      <c r="CI306" s="32">
        <v>83.6</v>
      </c>
      <c r="CJ306" s="32">
        <v>115.3</v>
      </c>
      <c r="CK306" s="32">
        <v>100.1</v>
      </c>
      <c r="CL306" s="32">
        <v>83.7</v>
      </c>
      <c r="CM306" s="32">
        <v>77.900000000000006</v>
      </c>
      <c r="CN306" s="32">
        <v>39.4</v>
      </c>
      <c r="CO306" s="32">
        <v>86.4</v>
      </c>
      <c r="CP306" s="32">
        <v>69</v>
      </c>
      <c r="CQ306" s="32">
        <v>34.200000000000003</v>
      </c>
      <c r="CR306" s="32">
        <v>95.6</v>
      </c>
      <c r="CS306" s="32">
        <v>104.1</v>
      </c>
      <c r="CT306" s="32">
        <v>90.2</v>
      </c>
      <c r="CU306" s="32">
        <v>80.900000000000006</v>
      </c>
      <c r="CV306" s="32">
        <v>94</v>
      </c>
      <c r="CW306" s="32">
        <v>120.8</v>
      </c>
      <c r="CX306" s="32">
        <v>105.6</v>
      </c>
      <c r="CY306" s="32">
        <v>108.7</v>
      </c>
      <c r="CZ306" s="32">
        <v>103.8</v>
      </c>
      <c r="DA306" s="32">
        <v>112.1</v>
      </c>
      <c r="DB306" s="32">
        <v>88.7</v>
      </c>
      <c r="DC306" s="32">
        <v>137.69999999999999</v>
      </c>
      <c r="DD306" s="32">
        <v>137.69999999999999</v>
      </c>
      <c r="DE306" s="32">
        <v>119.2</v>
      </c>
      <c r="DF306" s="32">
        <v>121</v>
      </c>
      <c r="DG306" s="32">
        <v>108.6</v>
      </c>
      <c r="DH306" s="32">
        <v>105.3</v>
      </c>
      <c r="DI306" s="32">
        <v>86.7</v>
      </c>
      <c r="DJ306" s="32">
        <v>118.7</v>
      </c>
      <c r="DK306" s="32">
        <v>118.7</v>
      </c>
      <c r="DL306" s="32">
        <v>128.4</v>
      </c>
      <c r="DM306" s="32">
        <v>101.2</v>
      </c>
      <c r="DN306" s="32">
        <v>98.8</v>
      </c>
      <c r="DO306" s="32">
        <v>102.3</v>
      </c>
      <c r="DP306" s="32">
        <v>96.6</v>
      </c>
      <c r="DQ306" s="32">
        <v>101.9</v>
      </c>
      <c r="DR306" s="32">
        <v>107.1</v>
      </c>
      <c r="DS306" s="32">
        <v>106.3</v>
      </c>
      <c r="DT306" s="32">
        <v>107.3</v>
      </c>
      <c r="DU306" s="32">
        <v>107</v>
      </c>
      <c r="DV306" s="32">
        <v>96.1</v>
      </c>
      <c r="DW306" s="32">
        <v>120.4</v>
      </c>
      <c r="DX306" s="32">
        <v>108</v>
      </c>
      <c r="DY306" s="32">
        <v>103.1</v>
      </c>
      <c r="DZ306" s="32">
        <v>118.2</v>
      </c>
      <c r="EA306" s="32">
        <v>118.2</v>
      </c>
      <c r="EB306" s="32">
        <v>104.3</v>
      </c>
      <c r="EC306" s="32">
        <v>107.2</v>
      </c>
      <c r="ED306" s="32">
        <v>100.8</v>
      </c>
      <c r="EE306" s="32">
        <v>91</v>
      </c>
      <c r="EF306" s="32">
        <v>125</v>
      </c>
      <c r="EG306" s="32">
        <v>94.3</v>
      </c>
      <c r="EH306" s="32">
        <v>89.8</v>
      </c>
      <c r="EI306" s="32">
        <v>101.4</v>
      </c>
      <c r="EJ306" s="32">
        <v>57</v>
      </c>
      <c r="EK306" s="32">
        <v>101.8</v>
      </c>
      <c r="EL306" s="32">
        <v>103.2</v>
      </c>
      <c r="EM306" s="32">
        <v>101</v>
      </c>
      <c r="EN306" s="32">
        <v>102.1</v>
      </c>
      <c r="EO306" s="32">
        <v>103.7</v>
      </c>
      <c r="EP306" s="32">
        <v>99.2</v>
      </c>
      <c r="EQ306" s="32">
        <v>99.2</v>
      </c>
      <c r="ER306" s="32">
        <v>99.6</v>
      </c>
      <c r="ES306" s="32">
        <v>99.6</v>
      </c>
      <c r="ET306" s="32">
        <v>109.6</v>
      </c>
      <c r="EU306" s="32">
        <v>111.8</v>
      </c>
      <c r="EV306" s="32">
        <v>111.8</v>
      </c>
      <c r="EW306" s="32">
        <v>104.8</v>
      </c>
      <c r="EX306" s="32">
        <v>101.6</v>
      </c>
      <c r="EY306" s="32">
        <v>107.3</v>
      </c>
      <c r="EZ306" s="32">
        <v>93.6</v>
      </c>
      <c r="FA306" s="32">
        <v>91.9</v>
      </c>
      <c r="FB306" s="32">
        <v>88.4</v>
      </c>
      <c r="FC306" s="32">
        <v>92.2</v>
      </c>
      <c r="FD306" s="32">
        <v>99.4</v>
      </c>
      <c r="FE306" s="32">
        <v>78.5</v>
      </c>
      <c r="FF306" s="32">
        <v>96.3</v>
      </c>
      <c r="FG306" s="32">
        <v>96.2</v>
      </c>
      <c r="FH306" s="32">
        <v>103.2</v>
      </c>
      <c r="FI306" s="32">
        <v>106.9</v>
      </c>
      <c r="FJ306" s="32">
        <v>92.2</v>
      </c>
      <c r="FK306" s="32">
        <v>82.4</v>
      </c>
      <c r="FL306" s="32">
        <v>82.4</v>
      </c>
    </row>
    <row r="307" spans="1:168" x14ac:dyDescent="0.2">
      <c r="A307" s="34" t="s">
        <v>1287</v>
      </c>
      <c r="B307" s="32">
        <v>101.9</v>
      </c>
      <c r="C307" s="32">
        <v>85.6</v>
      </c>
      <c r="D307" s="32">
        <v>97.3</v>
      </c>
      <c r="E307" s="32">
        <v>96.1</v>
      </c>
      <c r="F307" s="32">
        <v>77</v>
      </c>
      <c r="G307" s="32">
        <v>24.9</v>
      </c>
      <c r="H307" s="32">
        <v>72.7</v>
      </c>
      <c r="I307" s="32">
        <v>101.1</v>
      </c>
      <c r="J307" s="32">
        <v>101.8</v>
      </c>
      <c r="K307" s="32">
        <v>117.7</v>
      </c>
      <c r="L307" s="32">
        <v>121.3</v>
      </c>
      <c r="M307" s="32">
        <v>132.19999999999999</v>
      </c>
      <c r="N307" s="32">
        <v>115.5</v>
      </c>
      <c r="O307" s="32">
        <v>60.4</v>
      </c>
      <c r="P307" s="32">
        <v>136.4</v>
      </c>
      <c r="Q307" s="32">
        <v>107.8</v>
      </c>
      <c r="R307" s="32">
        <v>112.4</v>
      </c>
      <c r="S307" s="32">
        <v>120.6</v>
      </c>
      <c r="T307" s="32">
        <v>115.2</v>
      </c>
      <c r="U307" s="32">
        <v>94.2</v>
      </c>
      <c r="V307" s="32">
        <v>111.7</v>
      </c>
      <c r="W307" s="32">
        <v>125.4</v>
      </c>
      <c r="X307" s="32">
        <v>133.6</v>
      </c>
      <c r="Y307" s="32">
        <v>111.7</v>
      </c>
      <c r="Z307" s="32">
        <v>115.9</v>
      </c>
      <c r="AA307" s="32">
        <v>92.8</v>
      </c>
      <c r="AB307" s="32">
        <v>82.5</v>
      </c>
      <c r="AC307" s="32">
        <v>96.3</v>
      </c>
      <c r="AD307" s="32">
        <v>97.3</v>
      </c>
      <c r="AE307" s="32">
        <v>92.4</v>
      </c>
      <c r="AF307" s="32">
        <v>92.4</v>
      </c>
      <c r="AG307" s="32">
        <v>92.2</v>
      </c>
      <c r="AH307" s="32">
        <v>92.2</v>
      </c>
      <c r="AI307" s="32">
        <v>180.6</v>
      </c>
      <c r="AJ307" s="32">
        <v>47.9</v>
      </c>
      <c r="AK307" s="32">
        <v>154.1</v>
      </c>
      <c r="AL307" s="32">
        <v>99.9</v>
      </c>
      <c r="AM307" s="32">
        <v>89.9</v>
      </c>
      <c r="AN307" s="32">
        <v>85.3</v>
      </c>
      <c r="AO307" s="32">
        <v>116.8</v>
      </c>
      <c r="AP307" s="32">
        <v>116.8</v>
      </c>
      <c r="AQ307" s="32">
        <v>99.1</v>
      </c>
      <c r="AR307" s="32">
        <v>106.7</v>
      </c>
      <c r="AS307" s="32">
        <v>89.5</v>
      </c>
      <c r="AT307" s="32">
        <v>95.1</v>
      </c>
      <c r="AU307" s="32">
        <v>85.2</v>
      </c>
      <c r="AV307" s="32">
        <v>91.1</v>
      </c>
      <c r="AW307" s="32">
        <v>78.900000000000006</v>
      </c>
      <c r="AX307" s="32">
        <v>32.4</v>
      </c>
      <c r="AY307" s="32">
        <v>130.19999999999999</v>
      </c>
      <c r="AZ307" s="32">
        <v>94.2</v>
      </c>
      <c r="BA307" s="32">
        <v>105.2</v>
      </c>
      <c r="BB307" s="32">
        <v>105.2</v>
      </c>
      <c r="BC307" s="32">
        <v>81.7</v>
      </c>
      <c r="BD307" s="32">
        <v>81.7</v>
      </c>
      <c r="BE307" s="32">
        <v>97</v>
      </c>
      <c r="BF307" s="32">
        <v>97</v>
      </c>
      <c r="BG307" s="32">
        <v>93.5</v>
      </c>
      <c r="BH307" s="32">
        <v>96.1</v>
      </c>
      <c r="BI307" s="32">
        <v>89.9</v>
      </c>
      <c r="BJ307" s="32">
        <v>102.7</v>
      </c>
      <c r="BK307" s="32">
        <v>86.7</v>
      </c>
      <c r="BL307" s="32">
        <v>95.8</v>
      </c>
      <c r="BM307" s="32">
        <v>103.2</v>
      </c>
      <c r="BN307" s="32">
        <v>104</v>
      </c>
      <c r="BO307" s="32">
        <v>113.8</v>
      </c>
      <c r="BP307" s="32">
        <v>96.1</v>
      </c>
      <c r="BQ307" s="32">
        <v>102.2</v>
      </c>
      <c r="BR307" s="32">
        <v>95.7</v>
      </c>
      <c r="BS307" s="32">
        <v>66.400000000000006</v>
      </c>
      <c r="BT307" s="32">
        <v>114.8</v>
      </c>
      <c r="BU307" s="32">
        <v>64.5</v>
      </c>
      <c r="BV307" s="32">
        <v>64.5</v>
      </c>
      <c r="BW307" s="32">
        <v>64.7</v>
      </c>
      <c r="BX307" s="32">
        <v>63.9</v>
      </c>
      <c r="BY307" s="32">
        <v>106.4</v>
      </c>
      <c r="BZ307" s="32">
        <v>105.5</v>
      </c>
      <c r="CA307" s="32">
        <v>106.9</v>
      </c>
      <c r="CB307" s="32">
        <v>105.1</v>
      </c>
      <c r="CC307" s="32">
        <v>108.1</v>
      </c>
      <c r="CD307" s="32">
        <v>121.8</v>
      </c>
      <c r="CE307" s="32">
        <v>99.7</v>
      </c>
      <c r="CF307" s="32">
        <v>103.2</v>
      </c>
      <c r="CG307" s="32">
        <v>98</v>
      </c>
      <c r="CH307" s="32">
        <v>102.3</v>
      </c>
      <c r="CI307" s="32">
        <v>82</v>
      </c>
      <c r="CJ307" s="32">
        <v>113.3</v>
      </c>
      <c r="CK307" s="32">
        <v>99.4</v>
      </c>
      <c r="CL307" s="32">
        <v>84.3</v>
      </c>
      <c r="CM307" s="32">
        <v>79.3</v>
      </c>
      <c r="CN307" s="32">
        <v>44.9</v>
      </c>
      <c r="CO307" s="32">
        <v>86.9</v>
      </c>
      <c r="CP307" s="32">
        <v>72.7</v>
      </c>
      <c r="CQ307" s="32">
        <v>35.9</v>
      </c>
      <c r="CR307" s="32">
        <v>95.8</v>
      </c>
      <c r="CS307" s="32">
        <v>101.4</v>
      </c>
      <c r="CT307" s="32">
        <v>101.9</v>
      </c>
      <c r="CU307" s="32">
        <v>104.7</v>
      </c>
      <c r="CV307" s="32">
        <v>100.8</v>
      </c>
      <c r="CW307" s="32">
        <v>122.2</v>
      </c>
      <c r="CX307" s="32">
        <v>105.5</v>
      </c>
      <c r="CY307" s="32">
        <v>109.2</v>
      </c>
      <c r="CZ307" s="32">
        <v>103.4</v>
      </c>
      <c r="DA307" s="32">
        <v>112.7</v>
      </c>
      <c r="DB307" s="32">
        <v>86.5</v>
      </c>
      <c r="DC307" s="32">
        <v>137.5</v>
      </c>
      <c r="DD307" s="32">
        <v>137.5</v>
      </c>
      <c r="DE307" s="32">
        <v>122.2</v>
      </c>
      <c r="DF307" s="32">
        <v>123.9</v>
      </c>
      <c r="DG307" s="32">
        <v>112.4</v>
      </c>
      <c r="DH307" s="32">
        <v>105</v>
      </c>
      <c r="DI307" s="32">
        <v>87.1</v>
      </c>
      <c r="DJ307" s="32">
        <v>117.9</v>
      </c>
      <c r="DK307" s="32">
        <v>117.9</v>
      </c>
      <c r="DL307" s="32">
        <v>127.2</v>
      </c>
      <c r="DM307" s="32">
        <v>101.4</v>
      </c>
      <c r="DN307" s="32">
        <v>99.4</v>
      </c>
      <c r="DO307" s="32">
        <v>102.4</v>
      </c>
      <c r="DP307" s="32">
        <v>95.9</v>
      </c>
      <c r="DQ307" s="32">
        <v>102.9</v>
      </c>
      <c r="DR307" s="32">
        <v>107.8</v>
      </c>
      <c r="DS307" s="32">
        <v>107.6</v>
      </c>
      <c r="DT307" s="32">
        <v>109.6</v>
      </c>
      <c r="DU307" s="32">
        <v>110.1</v>
      </c>
      <c r="DV307" s="32">
        <v>99.6</v>
      </c>
      <c r="DW307" s="32">
        <v>123</v>
      </c>
      <c r="DX307" s="32">
        <v>108.5</v>
      </c>
      <c r="DY307" s="32">
        <v>100.7</v>
      </c>
      <c r="DZ307" s="32">
        <v>118.6</v>
      </c>
      <c r="EA307" s="32">
        <v>118.6</v>
      </c>
      <c r="EB307" s="32">
        <v>103.2</v>
      </c>
      <c r="EC307" s="32">
        <v>105.2</v>
      </c>
      <c r="ED307" s="32">
        <v>100.8</v>
      </c>
      <c r="EE307" s="32">
        <v>91.1</v>
      </c>
      <c r="EF307" s="32">
        <v>124.8</v>
      </c>
      <c r="EG307" s="32">
        <v>95.9</v>
      </c>
      <c r="EH307" s="32">
        <v>90.4</v>
      </c>
      <c r="EI307" s="32">
        <v>103.1</v>
      </c>
      <c r="EJ307" s="32">
        <v>71.3</v>
      </c>
      <c r="EK307" s="32">
        <v>100.4</v>
      </c>
      <c r="EL307" s="32">
        <v>93</v>
      </c>
      <c r="EM307" s="32">
        <v>107.8</v>
      </c>
      <c r="EN307" s="32">
        <v>97.4</v>
      </c>
      <c r="EO307" s="32">
        <v>104.2</v>
      </c>
      <c r="EP307" s="32">
        <v>99.9</v>
      </c>
      <c r="EQ307" s="32">
        <v>99.9</v>
      </c>
      <c r="ER307" s="32">
        <v>99.9</v>
      </c>
      <c r="ES307" s="32">
        <v>99.9</v>
      </c>
      <c r="ET307" s="32">
        <v>110.2</v>
      </c>
      <c r="EU307" s="32">
        <v>112.7</v>
      </c>
      <c r="EV307" s="32">
        <v>112.7</v>
      </c>
      <c r="EW307" s="32">
        <v>104.7</v>
      </c>
      <c r="EX307" s="32">
        <v>101.8</v>
      </c>
      <c r="EY307" s="32">
        <v>106.9</v>
      </c>
      <c r="EZ307" s="32">
        <v>93.8</v>
      </c>
      <c r="FA307" s="32">
        <v>93.6</v>
      </c>
      <c r="FB307" s="32">
        <v>91.5</v>
      </c>
      <c r="FC307" s="32">
        <v>97.7</v>
      </c>
      <c r="FD307" s="32">
        <v>98.7</v>
      </c>
      <c r="FE307" s="32">
        <v>79.3</v>
      </c>
      <c r="FF307" s="32">
        <v>96.2</v>
      </c>
      <c r="FG307" s="32">
        <v>95.2</v>
      </c>
      <c r="FH307" s="32">
        <v>102.1</v>
      </c>
      <c r="FI307" s="32">
        <v>101.1</v>
      </c>
      <c r="FJ307" s="32">
        <v>91.9</v>
      </c>
      <c r="FK307" s="32">
        <v>82.7</v>
      </c>
      <c r="FL307" s="32">
        <v>82.7</v>
      </c>
    </row>
    <row r="308" spans="1:168" x14ac:dyDescent="0.2">
      <c r="A308" s="34" t="s">
        <v>1288</v>
      </c>
      <c r="B308" s="32">
        <v>102.1</v>
      </c>
      <c r="C308" s="32">
        <v>85.9</v>
      </c>
      <c r="D308" s="32">
        <v>97.5</v>
      </c>
      <c r="E308" s="32">
        <v>95.8</v>
      </c>
      <c r="F308" s="32">
        <v>77.5</v>
      </c>
      <c r="G308" s="32">
        <v>32.299999999999997</v>
      </c>
      <c r="H308" s="32">
        <v>72.8</v>
      </c>
      <c r="I308" s="32">
        <v>103.6</v>
      </c>
      <c r="J308" s="32">
        <v>101.4</v>
      </c>
      <c r="K308" s="32">
        <v>118.1</v>
      </c>
      <c r="L308" s="32">
        <v>122</v>
      </c>
      <c r="M308" s="32">
        <v>131.6</v>
      </c>
      <c r="N308" s="32">
        <v>114.9</v>
      </c>
      <c r="O308" s="32">
        <v>64.900000000000006</v>
      </c>
      <c r="P308" s="32">
        <v>135.6</v>
      </c>
      <c r="Q308" s="32">
        <v>113.4</v>
      </c>
      <c r="R308" s="32">
        <v>114.5</v>
      </c>
      <c r="S308" s="32">
        <v>120.4</v>
      </c>
      <c r="T308" s="32">
        <v>121.1</v>
      </c>
      <c r="U308" s="32">
        <v>93.2</v>
      </c>
      <c r="V308" s="32">
        <v>111.1</v>
      </c>
      <c r="W308" s="32">
        <v>129.9</v>
      </c>
      <c r="X308" s="32">
        <v>131.30000000000001</v>
      </c>
      <c r="Y308" s="32">
        <v>129.1</v>
      </c>
      <c r="Z308" s="32">
        <v>120.9</v>
      </c>
      <c r="AA308" s="32">
        <v>92.3</v>
      </c>
      <c r="AB308" s="32">
        <v>85.4</v>
      </c>
      <c r="AC308" s="32">
        <v>95.9</v>
      </c>
      <c r="AD308" s="32">
        <v>94</v>
      </c>
      <c r="AE308" s="32">
        <v>96.3</v>
      </c>
      <c r="AF308" s="32">
        <v>96.3</v>
      </c>
      <c r="AG308" s="32">
        <v>90.7</v>
      </c>
      <c r="AH308" s="32">
        <v>90.7</v>
      </c>
      <c r="AI308" s="32">
        <v>182.9</v>
      </c>
      <c r="AJ308" s="32">
        <v>48.1</v>
      </c>
      <c r="AK308" s="32">
        <v>157.69999999999999</v>
      </c>
      <c r="AL308" s="32">
        <v>87.4</v>
      </c>
      <c r="AM308" s="32">
        <v>90.6</v>
      </c>
      <c r="AN308" s="32">
        <v>80.400000000000006</v>
      </c>
      <c r="AO308" s="32">
        <v>107.8</v>
      </c>
      <c r="AP308" s="32">
        <v>107.8</v>
      </c>
      <c r="AQ308" s="32">
        <v>100.4</v>
      </c>
      <c r="AR308" s="32">
        <v>106</v>
      </c>
      <c r="AS308" s="32">
        <v>93.3</v>
      </c>
      <c r="AT308" s="32">
        <v>96.3</v>
      </c>
      <c r="AU308" s="32">
        <v>91</v>
      </c>
      <c r="AV308" s="32">
        <v>91.4</v>
      </c>
      <c r="AW308" s="32">
        <v>80.5</v>
      </c>
      <c r="AX308" s="32">
        <v>33.200000000000003</v>
      </c>
      <c r="AY308" s="32">
        <v>132.69999999999999</v>
      </c>
      <c r="AZ308" s="32">
        <v>94.2</v>
      </c>
      <c r="BA308" s="32">
        <v>106</v>
      </c>
      <c r="BB308" s="32">
        <v>106</v>
      </c>
      <c r="BC308" s="32">
        <v>83</v>
      </c>
      <c r="BD308" s="32">
        <v>83</v>
      </c>
      <c r="BE308" s="32">
        <v>94.9</v>
      </c>
      <c r="BF308" s="32">
        <v>94.9</v>
      </c>
      <c r="BG308" s="32">
        <v>94.5</v>
      </c>
      <c r="BH308" s="32">
        <v>97</v>
      </c>
      <c r="BI308" s="32">
        <v>91</v>
      </c>
      <c r="BJ308" s="32">
        <v>103.9</v>
      </c>
      <c r="BK308" s="32">
        <v>87.6</v>
      </c>
      <c r="BL308" s="32">
        <v>99.3</v>
      </c>
      <c r="BM308" s="32">
        <v>102.6</v>
      </c>
      <c r="BN308" s="32">
        <v>102.7</v>
      </c>
      <c r="BO308" s="32">
        <v>112.2</v>
      </c>
      <c r="BP308" s="32">
        <v>95</v>
      </c>
      <c r="BQ308" s="32">
        <v>102.4</v>
      </c>
      <c r="BR308" s="32">
        <v>96.3</v>
      </c>
      <c r="BS308" s="32">
        <v>74.8</v>
      </c>
      <c r="BT308" s="32">
        <v>112.3</v>
      </c>
      <c r="BU308" s="32">
        <v>63.4</v>
      </c>
      <c r="BV308" s="32">
        <v>63.4</v>
      </c>
      <c r="BW308" s="32">
        <v>64.099999999999994</v>
      </c>
      <c r="BX308" s="32">
        <v>60.7</v>
      </c>
      <c r="BY308" s="32">
        <v>106.5</v>
      </c>
      <c r="BZ308" s="32">
        <v>105.3</v>
      </c>
      <c r="CA308" s="32">
        <v>107.2</v>
      </c>
      <c r="CB308" s="32">
        <v>102.2</v>
      </c>
      <c r="CC308" s="32">
        <v>111.4</v>
      </c>
      <c r="CD308" s="32">
        <v>128.5</v>
      </c>
      <c r="CE308" s="32">
        <v>101.2</v>
      </c>
      <c r="CF308" s="32">
        <v>103.3</v>
      </c>
      <c r="CG308" s="32">
        <v>97.7</v>
      </c>
      <c r="CH308" s="32">
        <v>101.3</v>
      </c>
      <c r="CI308" s="32">
        <v>72.5</v>
      </c>
      <c r="CJ308" s="32">
        <v>114.9</v>
      </c>
      <c r="CK308" s="32">
        <v>98.9</v>
      </c>
      <c r="CL308" s="32">
        <v>84.7</v>
      </c>
      <c r="CM308" s="32">
        <v>79.599999999999994</v>
      </c>
      <c r="CN308" s="32">
        <v>51.7</v>
      </c>
      <c r="CO308" s="32">
        <v>85.7</v>
      </c>
      <c r="CP308" s="32">
        <v>68.7</v>
      </c>
      <c r="CQ308" s="32">
        <v>42.6</v>
      </c>
      <c r="CR308" s="32">
        <v>96.7</v>
      </c>
      <c r="CS308" s="32">
        <v>101.1</v>
      </c>
      <c r="CT308" s="32">
        <v>103</v>
      </c>
      <c r="CU308" s="32">
        <v>106.6</v>
      </c>
      <c r="CV308" s="32">
        <v>101.5</v>
      </c>
      <c r="CW308" s="32">
        <v>120.4</v>
      </c>
      <c r="CX308" s="32">
        <v>103.9</v>
      </c>
      <c r="CY308" s="32">
        <v>104.1</v>
      </c>
      <c r="CZ308" s="32">
        <v>103.8</v>
      </c>
      <c r="DA308" s="32">
        <v>111.8</v>
      </c>
      <c r="DB308" s="32">
        <v>89.2</v>
      </c>
      <c r="DC308" s="32">
        <v>138.19999999999999</v>
      </c>
      <c r="DD308" s="32">
        <v>138.19999999999999</v>
      </c>
      <c r="DE308" s="32">
        <v>118.8</v>
      </c>
      <c r="DF308" s="32">
        <v>119.6</v>
      </c>
      <c r="DG308" s="32">
        <v>114.3</v>
      </c>
      <c r="DH308" s="32">
        <v>105</v>
      </c>
      <c r="DI308" s="32">
        <v>86.9</v>
      </c>
      <c r="DJ308" s="32">
        <v>118.3</v>
      </c>
      <c r="DK308" s="32">
        <v>118.3</v>
      </c>
      <c r="DL308" s="32">
        <v>127.1</v>
      </c>
      <c r="DM308" s="32">
        <v>101.5</v>
      </c>
      <c r="DN308" s="32">
        <v>98.9</v>
      </c>
      <c r="DO308" s="32">
        <v>102.4</v>
      </c>
      <c r="DP308" s="32">
        <v>102.5</v>
      </c>
      <c r="DQ308" s="32">
        <v>103.9</v>
      </c>
      <c r="DR308" s="32">
        <v>108.9</v>
      </c>
      <c r="DS308" s="32">
        <v>108.6</v>
      </c>
      <c r="DT308" s="32">
        <v>109.7</v>
      </c>
      <c r="DU308" s="32">
        <v>109.7</v>
      </c>
      <c r="DV308" s="32">
        <v>96.8</v>
      </c>
      <c r="DW308" s="32">
        <v>125.7</v>
      </c>
      <c r="DX308" s="32">
        <v>109.7</v>
      </c>
      <c r="DY308" s="32">
        <v>104.9</v>
      </c>
      <c r="DZ308" s="32">
        <v>118.7</v>
      </c>
      <c r="EA308" s="32">
        <v>118.7</v>
      </c>
      <c r="EB308" s="32">
        <v>105.1</v>
      </c>
      <c r="EC308" s="32">
        <v>105.1</v>
      </c>
      <c r="ED308" s="32">
        <v>105.2</v>
      </c>
      <c r="EE308" s="32">
        <v>96.7</v>
      </c>
      <c r="EF308" s="32">
        <v>126.2</v>
      </c>
      <c r="EG308" s="32">
        <v>96.7</v>
      </c>
      <c r="EH308" s="32">
        <v>93.9</v>
      </c>
      <c r="EI308" s="32">
        <v>99.6</v>
      </c>
      <c r="EJ308" s="32">
        <v>77.8</v>
      </c>
      <c r="EK308" s="32">
        <v>101.3</v>
      </c>
      <c r="EL308" s="32">
        <v>95.1</v>
      </c>
      <c r="EM308" s="32">
        <v>107.3</v>
      </c>
      <c r="EN308" s="32">
        <v>98.8</v>
      </c>
      <c r="EO308" s="32">
        <v>104.3</v>
      </c>
      <c r="EP308" s="32">
        <v>100</v>
      </c>
      <c r="EQ308" s="32">
        <v>100</v>
      </c>
      <c r="ER308" s="32">
        <v>99.3</v>
      </c>
      <c r="ES308" s="32">
        <v>99.3</v>
      </c>
      <c r="ET308" s="32">
        <v>110.9</v>
      </c>
      <c r="EU308" s="32">
        <v>113.3</v>
      </c>
      <c r="EV308" s="32">
        <v>113.3</v>
      </c>
      <c r="EW308" s="32">
        <v>105.5</v>
      </c>
      <c r="EX308" s="32">
        <v>102.2</v>
      </c>
      <c r="EY308" s="32">
        <v>108.1</v>
      </c>
      <c r="EZ308" s="32">
        <v>96.1</v>
      </c>
      <c r="FA308" s="32">
        <v>97.8</v>
      </c>
      <c r="FB308" s="32">
        <v>98.3</v>
      </c>
      <c r="FC308" s="32">
        <v>108.5</v>
      </c>
      <c r="FD308" s="32">
        <v>107.7</v>
      </c>
      <c r="FE308" s="32">
        <v>79.3</v>
      </c>
      <c r="FF308" s="32">
        <v>97.3</v>
      </c>
      <c r="FG308" s="32">
        <v>96.7</v>
      </c>
      <c r="FH308" s="32">
        <v>101.3</v>
      </c>
      <c r="FI308" s="32">
        <v>102.9</v>
      </c>
      <c r="FJ308" s="32">
        <v>94.1</v>
      </c>
      <c r="FK308" s="32">
        <v>78.3</v>
      </c>
      <c r="FL308" s="32">
        <v>78.3</v>
      </c>
    </row>
    <row r="309" spans="1:168" x14ac:dyDescent="0.2">
      <c r="A309" s="34" t="s">
        <v>1289</v>
      </c>
      <c r="B309" s="32">
        <v>101.8</v>
      </c>
      <c r="C309" s="32">
        <v>85.9</v>
      </c>
      <c r="D309" s="32">
        <v>97.4</v>
      </c>
      <c r="E309" s="32">
        <v>95.7</v>
      </c>
      <c r="F309" s="32">
        <v>78.900000000000006</v>
      </c>
      <c r="G309" s="32">
        <v>30.8</v>
      </c>
      <c r="H309" s="32">
        <v>75.3</v>
      </c>
      <c r="I309" s="32">
        <v>99.3</v>
      </c>
      <c r="J309" s="32">
        <v>100.7</v>
      </c>
      <c r="K309" s="32">
        <v>118.3</v>
      </c>
      <c r="L309" s="32">
        <v>122.1</v>
      </c>
      <c r="M309" s="32">
        <v>132.4</v>
      </c>
      <c r="N309" s="32">
        <v>113.6</v>
      </c>
      <c r="O309" s="32">
        <v>64</v>
      </c>
      <c r="P309" s="32">
        <v>137.1</v>
      </c>
      <c r="Q309" s="32">
        <v>111.6</v>
      </c>
      <c r="R309" s="32">
        <v>116</v>
      </c>
      <c r="S309" s="32">
        <v>119.7</v>
      </c>
      <c r="T309" s="32">
        <v>120.5</v>
      </c>
      <c r="U309" s="32">
        <v>93.5</v>
      </c>
      <c r="V309" s="32">
        <v>111.6</v>
      </c>
      <c r="W309" s="32">
        <v>131.5</v>
      </c>
      <c r="X309" s="32">
        <v>130.19999999999999</v>
      </c>
      <c r="Y309" s="32">
        <v>136.69999999999999</v>
      </c>
      <c r="Z309" s="32">
        <v>117.8</v>
      </c>
      <c r="AA309" s="32">
        <v>90.3</v>
      </c>
      <c r="AB309" s="32">
        <v>81.900000000000006</v>
      </c>
      <c r="AC309" s="32">
        <v>93.3</v>
      </c>
      <c r="AD309" s="32">
        <v>93.7</v>
      </c>
      <c r="AE309" s="32">
        <v>97.5</v>
      </c>
      <c r="AF309" s="32">
        <v>97.5</v>
      </c>
      <c r="AG309" s="32">
        <v>89.6</v>
      </c>
      <c r="AH309" s="32">
        <v>89.6</v>
      </c>
      <c r="AI309" s="32">
        <v>171.3</v>
      </c>
      <c r="AJ309" s="32">
        <v>48</v>
      </c>
      <c r="AK309" s="32">
        <v>150.1</v>
      </c>
      <c r="AL309" s="32">
        <v>87.1</v>
      </c>
      <c r="AM309" s="32">
        <v>92.7</v>
      </c>
      <c r="AN309" s="32">
        <v>79.099999999999994</v>
      </c>
      <c r="AO309" s="32">
        <v>111.8</v>
      </c>
      <c r="AP309" s="32">
        <v>111.8</v>
      </c>
      <c r="AQ309" s="32">
        <v>101.3</v>
      </c>
      <c r="AR309" s="32">
        <v>105.2</v>
      </c>
      <c r="AS309" s="32">
        <v>96.3</v>
      </c>
      <c r="AT309" s="32">
        <v>97.2</v>
      </c>
      <c r="AU309" s="32">
        <v>95.5</v>
      </c>
      <c r="AV309" s="32">
        <v>90</v>
      </c>
      <c r="AW309" s="32">
        <v>82.9</v>
      </c>
      <c r="AX309" s="32">
        <v>36</v>
      </c>
      <c r="AY309" s="32">
        <v>134.80000000000001</v>
      </c>
      <c r="AZ309" s="32">
        <v>91.8</v>
      </c>
      <c r="BA309" s="32">
        <v>102.5</v>
      </c>
      <c r="BB309" s="32">
        <v>102.5</v>
      </c>
      <c r="BC309" s="32">
        <v>80.3</v>
      </c>
      <c r="BD309" s="32">
        <v>80.3</v>
      </c>
      <c r="BE309" s="32">
        <v>93.3</v>
      </c>
      <c r="BF309" s="32">
        <v>93.3</v>
      </c>
      <c r="BG309" s="32">
        <v>94.3</v>
      </c>
      <c r="BH309" s="32">
        <v>97.6</v>
      </c>
      <c r="BI309" s="32">
        <v>89.7</v>
      </c>
      <c r="BJ309" s="32">
        <v>102.6</v>
      </c>
      <c r="BK309" s="32">
        <v>86.7</v>
      </c>
      <c r="BL309" s="32">
        <v>92.9</v>
      </c>
      <c r="BM309" s="32">
        <v>99.5</v>
      </c>
      <c r="BN309" s="32">
        <v>101</v>
      </c>
      <c r="BO309" s="32">
        <v>108.5</v>
      </c>
      <c r="BP309" s="32">
        <v>94.9</v>
      </c>
      <c r="BQ309" s="32">
        <v>97.8</v>
      </c>
      <c r="BR309" s="32">
        <v>91.1</v>
      </c>
      <c r="BS309" s="32">
        <v>72.599999999999994</v>
      </c>
      <c r="BT309" s="32">
        <v>106.9</v>
      </c>
      <c r="BU309" s="32">
        <v>64.2</v>
      </c>
      <c r="BV309" s="32">
        <v>64.2</v>
      </c>
      <c r="BW309" s="32">
        <v>65</v>
      </c>
      <c r="BX309" s="32">
        <v>61</v>
      </c>
      <c r="BY309" s="32">
        <v>108.2</v>
      </c>
      <c r="BZ309" s="32">
        <v>107.3</v>
      </c>
      <c r="CA309" s="32">
        <v>108.7</v>
      </c>
      <c r="CB309" s="32">
        <v>103.7</v>
      </c>
      <c r="CC309" s="32">
        <v>112.8</v>
      </c>
      <c r="CD309" s="32">
        <v>131.4</v>
      </c>
      <c r="CE309" s="32">
        <v>101.4</v>
      </c>
      <c r="CF309" s="32">
        <v>103</v>
      </c>
      <c r="CG309" s="32">
        <v>98.1</v>
      </c>
      <c r="CH309" s="32">
        <v>102.3</v>
      </c>
      <c r="CI309" s="32">
        <v>82.5</v>
      </c>
      <c r="CJ309" s="32">
        <v>114.6</v>
      </c>
      <c r="CK309" s="32">
        <v>98.3</v>
      </c>
      <c r="CL309" s="32">
        <v>83.4</v>
      </c>
      <c r="CM309" s="32">
        <v>79.900000000000006</v>
      </c>
      <c r="CN309" s="32">
        <v>54.7</v>
      </c>
      <c r="CO309" s="32">
        <v>85.4</v>
      </c>
      <c r="CP309" s="32">
        <v>69.3</v>
      </c>
      <c r="CQ309" s="32">
        <v>46.5</v>
      </c>
      <c r="CR309" s="32">
        <v>93</v>
      </c>
      <c r="CS309" s="32">
        <v>97.1</v>
      </c>
      <c r="CT309" s="32">
        <v>103.5</v>
      </c>
      <c r="CU309" s="32">
        <v>108</v>
      </c>
      <c r="CV309" s="32">
        <v>101.6</v>
      </c>
      <c r="CW309" s="32">
        <v>120.7</v>
      </c>
      <c r="CX309" s="32">
        <v>105.1</v>
      </c>
      <c r="CY309" s="32">
        <v>110.2</v>
      </c>
      <c r="CZ309" s="32">
        <v>102.3</v>
      </c>
      <c r="DA309" s="32">
        <v>110.3</v>
      </c>
      <c r="DB309" s="32">
        <v>87.6</v>
      </c>
      <c r="DC309" s="32">
        <v>134.30000000000001</v>
      </c>
      <c r="DD309" s="32">
        <v>134.30000000000001</v>
      </c>
      <c r="DE309" s="32">
        <v>121.3</v>
      </c>
      <c r="DF309" s="32">
        <v>122.1</v>
      </c>
      <c r="DG309" s="32">
        <v>116</v>
      </c>
      <c r="DH309" s="32">
        <v>104.8</v>
      </c>
      <c r="DI309" s="32">
        <v>86.5</v>
      </c>
      <c r="DJ309" s="32">
        <v>118.9</v>
      </c>
      <c r="DK309" s="32">
        <v>118.9</v>
      </c>
      <c r="DL309" s="32">
        <v>126.6</v>
      </c>
      <c r="DM309" s="32">
        <v>101.7</v>
      </c>
      <c r="DN309" s="32">
        <v>99.1</v>
      </c>
      <c r="DO309" s="32">
        <v>102.5</v>
      </c>
      <c r="DP309" s="32">
        <v>108.3</v>
      </c>
      <c r="DQ309" s="32">
        <v>104.4</v>
      </c>
      <c r="DR309" s="32">
        <v>109.5</v>
      </c>
      <c r="DS309" s="32">
        <v>109.2</v>
      </c>
      <c r="DT309" s="32">
        <v>110.7</v>
      </c>
      <c r="DU309" s="32">
        <v>109.7</v>
      </c>
      <c r="DV309" s="32">
        <v>97.4</v>
      </c>
      <c r="DW309" s="32">
        <v>124.9</v>
      </c>
      <c r="DX309" s="32">
        <v>112.9</v>
      </c>
      <c r="DY309" s="32">
        <v>104.1</v>
      </c>
      <c r="DZ309" s="32">
        <v>118.7</v>
      </c>
      <c r="EA309" s="32">
        <v>118.7</v>
      </c>
      <c r="EB309" s="32">
        <v>105.9</v>
      </c>
      <c r="EC309" s="32">
        <v>107.3</v>
      </c>
      <c r="ED309" s="32">
        <v>104.1</v>
      </c>
      <c r="EE309" s="32">
        <v>95.3</v>
      </c>
      <c r="EF309" s="32">
        <v>125.7</v>
      </c>
      <c r="EG309" s="32">
        <v>97</v>
      </c>
      <c r="EH309" s="32">
        <v>91.8</v>
      </c>
      <c r="EI309" s="32">
        <v>104</v>
      </c>
      <c r="EJ309" s="32">
        <v>81.8</v>
      </c>
      <c r="EK309" s="32">
        <v>98.9</v>
      </c>
      <c r="EL309" s="32">
        <v>94.8</v>
      </c>
      <c r="EM309" s="32">
        <v>107.8</v>
      </c>
      <c r="EN309" s="32">
        <v>94.5</v>
      </c>
      <c r="EO309" s="32">
        <v>102</v>
      </c>
      <c r="EP309" s="32">
        <v>99.8</v>
      </c>
      <c r="EQ309" s="32">
        <v>99.8</v>
      </c>
      <c r="ER309" s="32">
        <v>100.1</v>
      </c>
      <c r="ES309" s="32">
        <v>100.1</v>
      </c>
      <c r="ET309" s="32">
        <v>104.9</v>
      </c>
      <c r="EU309" s="32">
        <v>104.3</v>
      </c>
      <c r="EV309" s="32">
        <v>104.3</v>
      </c>
      <c r="EW309" s="32">
        <v>106.2</v>
      </c>
      <c r="EX309" s="32">
        <v>102.6</v>
      </c>
      <c r="EY309" s="32">
        <v>109</v>
      </c>
      <c r="EZ309" s="32">
        <v>96.2</v>
      </c>
      <c r="FA309" s="32">
        <v>99.2</v>
      </c>
      <c r="FB309" s="32">
        <v>98.8</v>
      </c>
      <c r="FC309" s="32">
        <v>108.9</v>
      </c>
      <c r="FD309" s="32">
        <v>108.3</v>
      </c>
      <c r="FE309" s="32">
        <v>80</v>
      </c>
      <c r="FF309" s="32">
        <v>99.7</v>
      </c>
      <c r="FG309" s="32">
        <v>95.3</v>
      </c>
      <c r="FH309" s="32">
        <v>99.5</v>
      </c>
      <c r="FI309" s="32">
        <v>107.8</v>
      </c>
      <c r="FJ309" s="32">
        <v>92.1</v>
      </c>
      <c r="FK309" s="32">
        <v>80.900000000000006</v>
      </c>
      <c r="FL309" s="32">
        <v>80.900000000000006</v>
      </c>
    </row>
    <row r="310" spans="1:168" x14ac:dyDescent="0.2">
      <c r="A310" s="34" t="s">
        <v>1290</v>
      </c>
      <c r="B310" s="32">
        <v>102.5</v>
      </c>
      <c r="C310" s="32">
        <v>86.1</v>
      </c>
      <c r="D310" s="32">
        <v>98.2</v>
      </c>
      <c r="E310" s="32">
        <v>95.9</v>
      </c>
      <c r="F310" s="32">
        <v>79.2</v>
      </c>
      <c r="G310" s="32">
        <v>27</v>
      </c>
      <c r="H310" s="32">
        <v>75.599999999999994</v>
      </c>
      <c r="I310" s="32">
        <v>100.1</v>
      </c>
      <c r="J310" s="32">
        <v>101.3</v>
      </c>
      <c r="K310" s="32">
        <v>119</v>
      </c>
      <c r="L310" s="32">
        <v>123</v>
      </c>
      <c r="M310" s="32">
        <v>132.5</v>
      </c>
      <c r="N310" s="32">
        <v>113.6</v>
      </c>
      <c r="O310" s="32">
        <v>65.7</v>
      </c>
      <c r="P310" s="32">
        <v>143.5</v>
      </c>
      <c r="Q310" s="32">
        <v>114.8</v>
      </c>
      <c r="R310" s="32">
        <v>117</v>
      </c>
      <c r="S310" s="32">
        <v>120</v>
      </c>
      <c r="T310" s="32">
        <v>119.3</v>
      </c>
      <c r="U310" s="32">
        <v>91.5</v>
      </c>
      <c r="V310" s="32">
        <v>112</v>
      </c>
      <c r="W310" s="32">
        <v>128.69999999999999</v>
      </c>
      <c r="X310" s="32">
        <v>131.4</v>
      </c>
      <c r="Y310" s="32">
        <v>126.6</v>
      </c>
      <c r="Z310" s="32">
        <v>113.7</v>
      </c>
      <c r="AA310" s="32">
        <v>90.2</v>
      </c>
      <c r="AB310" s="32">
        <v>83.1</v>
      </c>
      <c r="AC310" s="32">
        <v>93.7</v>
      </c>
      <c r="AD310" s="32">
        <v>92.2</v>
      </c>
      <c r="AE310" s="32">
        <v>97.3</v>
      </c>
      <c r="AF310" s="32">
        <v>97.3</v>
      </c>
      <c r="AG310" s="32">
        <v>89.8</v>
      </c>
      <c r="AH310" s="32">
        <v>89.8</v>
      </c>
      <c r="AI310" s="32">
        <v>164.2</v>
      </c>
      <c r="AJ310" s="32">
        <v>48.5</v>
      </c>
      <c r="AK310" s="32">
        <v>154.19999999999999</v>
      </c>
      <c r="AL310" s="32">
        <v>90.5</v>
      </c>
      <c r="AM310" s="32">
        <v>92.1</v>
      </c>
      <c r="AN310" s="32">
        <v>80.400000000000006</v>
      </c>
      <c r="AO310" s="32">
        <v>114.9</v>
      </c>
      <c r="AP310" s="32">
        <v>114.9</v>
      </c>
      <c r="AQ310" s="32">
        <v>104</v>
      </c>
      <c r="AR310" s="32">
        <v>106.6</v>
      </c>
      <c r="AS310" s="32">
        <v>100.7</v>
      </c>
      <c r="AT310" s="32">
        <v>98.8</v>
      </c>
      <c r="AU310" s="32">
        <v>102.2</v>
      </c>
      <c r="AV310" s="32">
        <v>89</v>
      </c>
      <c r="AW310" s="32">
        <v>82.5</v>
      </c>
      <c r="AX310" s="32">
        <v>36</v>
      </c>
      <c r="AY310" s="32">
        <v>133.80000000000001</v>
      </c>
      <c r="AZ310" s="32">
        <v>90.6</v>
      </c>
      <c r="BA310" s="32">
        <v>103</v>
      </c>
      <c r="BB310" s="32">
        <v>103</v>
      </c>
      <c r="BC310" s="32">
        <v>78.8</v>
      </c>
      <c r="BD310" s="32">
        <v>78.8</v>
      </c>
      <c r="BE310" s="32">
        <v>95.9</v>
      </c>
      <c r="BF310" s="32">
        <v>95.9</v>
      </c>
      <c r="BG310" s="32">
        <v>94.2</v>
      </c>
      <c r="BH310" s="32">
        <v>97.7</v>
      </c>
      <c r="BI310" s="32">
        <v>89.3</v>
      </c>
      <c r="BJ310" s="32">
        <v>101.8</v>
      </c>
      <c r="BK310" s="32">
        <v>86.8</v>
      </c>
      <c r="BL310" s="32">
        <v>88.6</v>
      </c>
      <c r="BM310" s="32">
        <v>100.7</v>
      </c>
      <c r="BN310" s="32">
        <v>100.1</v>
      </c>
      <c r="BO310" s="32">
        <v>109.6</v>
      </c>
      <c r="BP310" s="32">
        <v>92.4</v>
      </c>
      <c r="BQ310" s="32">
        <v>101.4</v>
      </c>
      <c r="BR310" s="32">
        <v>94.5</v>
      </c>
      <c r="BS310" s="32">
        <v>75</v>
      </c>
      <c r="BT310" s="32">
        <v>111</v>
      </c>
      <c r="BU310" s="32">
        <v>63.2</v>
      </c>
      <c r="BV310" s="32">
        <v>63.2</v>
      </c>
      <c r="BW310" s="32">
        <v>63.2</v>
      </c>
      <c r="BX310" s="32">
        <v>63.2</v>
      </c>
      <c r="BY310" s="32">
        <v>106.3</v>
      </c>
      <c r="BZ310" s="32">
        <v>101.4</v>
      </c>
      <c r="CA310" s="32">
        <v>108.9</v>
      </c>
      <c r="CB310" s="32">
        <v>102.9</v>
      </c>
      <c r="CC310" s="32">
        <v>113.9</v>
      </c>
      <c r="CD310" s="32">
        <v>136.5</v>
      </c>
      <c r="CE310" s="32">
        <v>103.5</v>
      </c>
      <c r="CF310" s="32">
        <v>103.6</v>
      </c>
      <c r="CG310" s="32">
        <v>97.6</v>
      </c>
      <c r="CH310" s="32">
        <v>101</v>
      </c>
      <c r="CI310" s="32">
        <v>82.4</v>
      </c>
      <c r="CJ310" s="32">
        <v>112.5</v>
      </c>
      <c r="CK310" s="32">
        <v>97.2</v>
      </c>
      <c r="CL310" s="32">
        <v>84.3</v>
      </c>
      <c r="CM310" s="32">
        <v>81.2</v>
      </c>
      <c r="CN310" s="32">
        <v>59.5</v>
      </c>
      <c r="CO310" s="32">
        <v>86</v>
      </c>
      <c r="CP310" s="32">
        <v>71.7</v>
      </c>
      <c r="CQ310" s="32">
        <v>43.6</v>
      </c>
      <c r="CR310" s="32">
        <v>93.8</v>
      </c>
      <c r="CS310" s="32">
        <v>97.6</v>
      </c>
      <c r="CT310" s="32">
        <v>104.2</v>
      </c>
      <c r="CU310" s="32">
        <v>109</v>
      </c>
      <c r="CV310" s="32">
        <v>102.1</v>
      </c>
      <c r="CW310" s="32">
        <v>121.9</v>
      </c>
      <c r="CX310" s="32">
        <v>108.3</v>
      </c>
      <c r="CY310" s="32">
        <v>112.5</v>
      </c>
      <c r="CZ310" s="32">
        <v>105.9</v>
      </c>
      <c r="DA310" s="32">
        <v>117.9</v>
      </c>
      <c r="DB310" s="32">
        <v>84.1</v>
      </c>
      <c r="DC310" s="32">
        <v>136.4</v>
      </c>
      <c r="DD310" s="32">
        <v>136.4</v>
      </c>
      <c r="DE310" s="32">
        <v>120.8</v>
      </c>
      <c r="DF310" s="32">
        <v>120.9</v>
      </c>
      <c r="DG310" s="32">
        <v>120.5</v>
      </c>
      <c r="DH310" s="32">
        <v>105.2</v>
      </c>
      <c r="DI310" s="32">
        <v>86.2</v>
      </c>
      <c r="DJ310" s="32">
        <v>120.1</v>
      </c>
      <c r="DK310" s="32">
        <v>120.1</v>
      </c>
      <c r="DL310" s="32">
        <v>127.7</v>
      </c>
      <c r="DM310" s="32">
        <v>101.9</v>
      </c>
      <c r="DN310" s="32">
        <v>99.3</v>
      </c>
      <c r="DO310" s="32">
        <v>102.6</v>
      </c>
      <c r="DP310" s="32">
        <v>110.7</v>
      </c>
      <c r="DQ310" s="32">
        <v>107</v>
      </c>
      <c r="DR310" s="32">
        <v>112.7</v>
      </c>
      <c r="DS310" s="32">
        <v>111.8</v>
      </c>
      <c r="DT310" s="32">
        <v>113.6</v>
      </c>
      <c r="DU310" s="32">
        <v>112.6</v>
      </c>
      <c r="DV310" s="32">
        <v>101.1</v>
      </c>
      <c r="DW310" s="32">
        <v>126.7</v>
      </c>
      <c r="DX310" s="32">
        <v>115.8</v>
      </c>
      <c r="DY310" s="32">
        <v>105.6</v>
      </c>
      <c r="DZ310" s="32">
        <v>127.4</v>
      </c>
      <c r="EA310" s="32">
        <v>127.4</v>
      </c>
      <c r="EB310" s="32">
        <v>108.6</v>
      </c>
      <c r="EC310" s="32">
        <v>109.3</v>
      </c>
      <c r="ED310" s="32">
        <v>107.7</v>
      </c>
      <c r="EE310" s="32">
        <v>99.6</v>
      </c>
      <c r="EF310" s="32">
        <v>127.7</v>
      </c>
      <c r="EG310" s="32">
        <v>98.8</v>
      </c>
      <c r="EH310" s="32">
        <v>92.7</v>
      </c>
      <c r="EI310" s="32">
        <v>104.7</v>
      </c>
      <c r="EJ310" s="32">
        <v>88.6</v>
      </c>
      <c r="EK310" s="32">
        <v>100.7</v>
      </c>
      <c r="EL310" s="32">
        <v>94.6</v>
      </c>
      <c r="EM310" s="32">
        <v>110.9</v>
      </c>
      <c r="EN310" s="32">
        <v>95.8</v>
      </c>
      <c r="EO310" s="32">
        <v>102.5</v>
      </c>
      <c r="EP310" s="32">
        <v>99.6</v>
      </c>
      <c r="EQ310" s="32">
        <v>99.6</v>
      </c>
      <c r="ER310" s="32">
        <v>100.6</v>
      </c>
      <c r="ES310" s="32">
        <v>100.6</v>
      </c>
      <c r="ET310" s="32">
        <v>105.7</v>
      </c>
      <c r="EU310" s="32">
        <v>105.3</v>
      </c>
      <c r="EV310" s="32">
        <v>105.3</v>
      </c>
      <c r="EW310" s="32">
        <v>106.8</v>
      </c>
      <c r="EX310" s="32">
        <v>103</v>
      </c>
      <c r="EY310" s="32">
        <v>109.8</v>
      </c>
      <c r="EZ310" s="32">
        <v>97.3</v>
      </c>
      <c r="FA310" s="32">
        <v>98.2</v>
      </c>
      <c r="FB310" s="32">
        <v>99.3</v>
      </c>
      <c r="FC310" s="32">
        <v>110.5</v>
      </c>
      <c r="FD310" s="32">
        <v>105</v>
      </c>
      <c r="FE310" s="32">
        <v>80.400000000000006</v>
      </c>
      <c r="FF310" s="32">
        <v>96.9</v>
      </c>
      <c r="FG310" s="32">
        <v>98.2</v>
      </c>
      <c r="FH310" s="32">
        <v>99</v>
      </c>
      <c r="FI310" s="32">
        <v>110.8</v>
      </c>
      <c r="FJ310" s="32">
        <v>96.4</v>
      </c>
      <c r="FK310" s="32">
        <v>83.2</v>
      </c>
      <c r="FL310" s="32">
        <v>83.2</v>
      </c>
    </row>
    <row r="311" spans="1:168" x14ac:dyDescent="0.2">
      <c r="A311" s="34" t="s">
        <v>1291</v>
      </c>
      <c r="B311" s="32">
        <v>101.4</v>
      </c>
      <c r="C311" s="32">
        <v>86.2</v>
      </c>
      <c r="D311" s="32">
        <v>96.9</v>
      </c>
      <c r="E311" s="32">
        <v>95</v>
      </c>
      <c r="F311" s="32">
        <v>77.3</v>
      </c>
      <c r="G311" s="32">
        <v>25.7</v>
      </c>
      <c r="H311" s="32">
        <v>74.400000000000006</v>
      </c>
      <c r="I311" s="32">
        <v>94.2</v>
      </c>
      <c r="J311" s="32">
        <v>100.1</v>
      </c>
      <c r="K311" s="32">
        <v>117.6</v>
      </c>
      <c r="L311" s="32">
        <v>121.3</v>
      </c>
      <c r="M311" s="32">
        <v>132.69999999999999</v>
      </c>
      <c r="N311" s="32">
        <v>112.1</v>
      </c>
      <c r="O311" s="32">
        <v>65.2</v>
      </c>
      <c r="P311" s="32">
        <v>138.69999999999999</v>
      </c>
      <c r="Q311" s="32">
        <v>109.7</v>
      </c>
      <c r="R311" s="32">
        <v>114.7</v>
      </c>
      <c r="S311" s="32">
        <v>119</v>
      </c>
      <c r="T311" s="32">
        <v>115</v>
      </c>
      <c r="U311" s="32">
        <v>91.5</v>
      </c>
      <c r="V311" s="32">
        <v>111.9</v>
      </c>
      <c r="W311" s="32">
        <v>123.5</v>
      </c>
      <c r="X311" s="32">
        <v>127.2</v>
      </c>
      <c r="Y311" s="32">
        <v>118.7</v>
      </c>
      <c r="Z311" s="32">
        <v>112.8</v>
      </c>
      <c r="AA311" s="32">
        <v>87.3</v>
      </c>
      <c r="AB311" s="32">
        <v>77.400000000000006</v>
      </c>
      <c r="AC311" s="32">
        <v>89.2</v>
      </c>
      <c r="AD311" s="32">
        <v>93</v>
      </c>
      <c r="AE311" s="32">
        <v>90</v>
      </c>
      <c r="AF311" s="32">
        <v>90</v>
      </c>
      <c r="AG311" s="32">
        <v>84.9</v>
      </c>
      <c r="AH311" s="32">
        <v>84.9</v>
      </c>
      <c r="AI311" s="32">
        <v>165.9</v>
      </c>
      <c r="AJ311" s="32">
        <v>46.8</v>
      </c>
      <c r="AK311" s="32">
        <v>144.69999999999999</v>
      </c>
      <c r="AL311" s="32">
        <v>85.4</v>
      </c>
      <c r="AM311" s="32">
        <v>86.4</v>
      </c>
      <c r="AN311" s="32">
        <v>71.400000000000006</v>
      </c>
      <c r="AO311" s="32">
        <v>115.4</v>
      </c>
      <c r="AP311" s="32">
        <v>115.4</v>
      </c>
      <c r="AQ311" s="32">
        <v>101.1</v>
      </c>
      <c r="AR311" s="32">
        <v>107</v>
      </c>
      <c r="AS311" s="32">
        <v>93.7</v>
      </c>
      <c r="AT311" s="32">
        <v>92.5</v>
      </c>
      <c r="AU311" s="32">
        <v>94.5</v>
      </c>
      <c r="AV311" s="32">
        <v>87.7</v>
      </c>
      <c r="AW311" s="32">
        <v>82.6</v>
      </c>
      <c r="AX311" s="32">
        <v>35.1</v>
      </c>
      <c r="AY311" s="32">
        <v>135.1</v>
      </c>
      <c r="AZ311" s="32">
        <v>89</v>
      </c>
      <c r="BA311" s="32">
        <v>105.7</v>
      </c>
      <c r="BB311" s="32">
        <v>105.7</v>
      </c>
      <c r="BC311" s="32">
        <v>79.099999999999994</v>
      </c>
      <c r="BD311" s="32">
        <v>79.099999999999994</v>
      </c>
      <c r="BE311" s="32">
        <v>94.8</v>
      </c>
      <c r="BF311" s="32">
        <v>94.8</v>
      </c>
      <c r="BG311" s="32">
        <v>92.7</v>
      </c>
      <c r="BH311" s="32">
        <v>94.8</v>
      </c>
      <c r="BI311" s="32">
        <v>89.7</v>
      </c>
      <c r="BJ311" s="32">
        <v>101.6</v>
      </c>
      <c r="BK311" s="32">
        <v>87.2</v>
      </c>
      <c r="BL311" s="32">
        <v>90</v>
      </c>
      <c r="BM311" s="32">
        <v>102.4</v>
      </c>
      <c r="BN311" s="32">
        <v>101.8</v>
      </c>
      <c r="BO311" s="32">
        <v>110.8</v>
      </c>
      <c r="BP311" s="32">
        <v>94.5</v>
      </c>
      <c r="BQ311" s="32">
        <v>103.2</v>
      </c>
      <c r="BR311" s="32">
        <v>92.9</v>
      </c>
      <c r="BS311" s="32">
        <v>79.8</v>
      </c>
      <c r="BT311" s="32">
        <v>112.3</v>
      </c>
      <c r="BU311" s="32">
        <v>63.7</v>
      </c>
      <c r="BV311" s="32">
        <v>63.7</v>
      </c>
      <c r="BW311" s="32">
        <v>63.3</v>
      </c>
      <c r="BX311" s="32">
        <v>65.5</v>
      </c>
      <c r="BY311" s="32">
        <v>108.1</v>
      </c>
      <c r="BZ311" s="32">
        <v>102</v>
      </c>
      <c r="CA311" s="32">
        <v>111.3</v>
      </c>
      <c r="CB311" s="32">
        <v>106.4</v>
      </c>
      <c r="CC311" s="32">
        <v>115.2</v>
      </c>
      <c r="CD311" s="32">
        <v>135.6</v>
      </c>
      <c r="CE311" s="32">
        <v>100.9</v>
      </c>
      <c r="CF311" s="32">
        <v>102.7</v>
      </c>
      <c r="CG311" s="32">
        <v>97</v>
      </c>
      <c r="CH311" s="32">
        <v>100</v>
      </c>
      <c r="CI311" s="32">
        <v>78.3</v>
      </c>
      <c r="CJ311" s="32">
        <v>111.9</v>
      </c>
      <c r="CK311" s="32">
        <v>96.9</v>
      </c>
      <c r="CL311" s="32">
        <v>83.7</v>
      </c>
      <c r="CM311" s="32">
        <v>81</v>
      </c>
      <c r="CN311" s="32">
        <v>59.8</v>
      </c>
      <c r="CO311" s="32">
        <v>85.7</v>
      </c>
      <c r="CP311" s="32">
        <v>74.900000000000006</v>
      </c>
      <c r="CQ311" s="32">
        <v>46.7</v>
      </c>
      <c r="CR311" s="32">
        <v>90.8</v>
      </c>
      <c r="CS311" s="32">
        <v>97.3</v>
      </c>
      <c r="CT311" s="32">
        <v>104.4</v>
      </c>
      <c r="CU311" s="32">
        <v>104.5</v>
      </c>
      <c r="CV311" s="32">
        <v>104.4</v>
      </c>
      <c r="CW311" s="32">
        <v>120.5</v>
      </c>
      <c r="CX311" s="32">
        <v>106.8</v>
      </c>
      <c r="CY311" s="32">
        <v>108.7</v>
      </c>
      <c r="CZ311" s="32">
        <v>105.8</v>
      </c>
      <c r="DA311" s="32">
        <v>111.8</v>
      </c>
      <c r="DB311" s="32">
        <v>94.8</v>
      </c>
      <c r="DC311" s="32">
        <v>136.9</v>
      </c>
      <c r="DD311" s="32">
        <v>136.9</v>
      </c>
      <c r="DE311" s="32">
        <v>118.3</v>
      </c>
      <c r="DF311" s="32">
        <v>119.3</v>
      </c>
      <c r="DG311" s="32">
        <v>112.3</v>
      </c>
      <c r="DH311" s="32">
        <v>105.3</v>
      </c>
      <c r="DI311" s="32">
        <v>86.3</v>
      </c>
      <c r="DJ311" s="32">
        <v>120.5</v>
      </c>
      <c r="DK311" s="32">
        <v>120.5</v>
      </c>
      <c r="DL311" s="32">
        <v>127.9</v>
      </c>
      <c r="DM311" s="32">
        <v>101.8</v>
      </c>
      <c r="DN311" s="32">
        <v>98.9</v>
      </c>
      <c r="DO311" s="32">
        <v>102.7</v>
      </c>
      <c r="DP311" s="32">
        <v>107.3</v>
      </c>
      <c r="DQ311" s="32">
        <v>105.4</v>
      </c>
      <c r="DR311" s="32">
        <v>111.5</v>
      </c>
      <c r="DS311" s="32">
        <v>109.8</v>
      </c>
      <c r="DT311" s="32">
        <v>111</v>
      </c>
      <c r="DU311" s="32">
        <v>107.8</v>
      </c>
      <c r="DV311" s="32">
        <v>96.6</v>
      </c>
      <c r="DW311" s="32">
        <v>121.6</v>
      </c>
      <c r="DX311" s="32">
        <v>117.9</v>
      </c>
      <c r="DY311" s="32">
        <v>105.9</v>
      </c>
      <c r="DZ311" s="32">
        <v>120.9</v>
      </c>
      <c r="EA311" s="32">
        <v>120.9</v>
      </c>
      <c r="EB311" s="32">
        <v>112.3</v>
      </c>
      <c r="EC311" s="32">
        <v>112.7</v>
      </c>
      <c r="ED311" s="32">
        <v>111.8</v>
      </c>
      <c r="EE311" s="32">
        <v>104.8</v>
      </c>
      <c r="EF311" s="32">
        <v>129.1</v>
      </c>
      <c r="EG311" s="32">
        <v>96.5</v>
      </c>
      <c r="EH311" s="32">
        <v>89.9</v>
      </c>
      <c r="EI311" s="32">
        <v>103.2</v>
      </c>
      <c r="EJ311" s="32">
        <v>80.3</v>
      </c>
      <c r="EK311" s="32">
        <v>99.7</v>
      </c>
      <c r="EL311" s="32">
        <v>97.1</v>
      </c>
      <c r="EM311" s="32">
        <v>108.6</v>
      </c>
      <c r="EN311" s="32">
        <v>95</v>
      </c>
      <c r="EO311" s="32">
        <v>100.6</v>
      </c>
      <c r="EP311" s="32">
        <v>99.8</v>
      </c>
      <c r="EQ311" s="32">
        <v>99.8</v>
      </c>
      <c r="ER311" s="32">
        <v>100.5</v>
      </c>
      <c r="ES311" s="32">
        <v>100.5</v>
      </c>
      <c r="ET311" s="32">
        <v>101.1</v>
      </c>
      <c r="EU311" s="32">
        <v>98.3</v>
      </c>
      <c r="EV311" s="32">
        <v>98.3</v>
      </c>
      <c r="EW311" s="32">
        <v>107.1</v>
      </c>
      <c r="EX311" s="32">
        <v>102.8</v>
      </c>
      <c r="EY311" s="32">
        <v>110.5</v>
      </c>
      <c r="EZ311" s="32">
        <v>98.2</v>
      </c>
      <c r="FA311" s="32">
        <v>100.3</v>
      </c>
      <c r="FB311" s="32">
        <v>101.3</v>
      </c>
      <c r="FC311" s="32">
        <v>113.4</v>
      </c>
      <c r="FD311" s="32">
        <v>110.8</v>
      </c>
      <c r="FE311" s="32">
        <v>79.599999999999994</v>
      </c>
      <c r="FF311" s="32">
        <v>99.1</v>
      </c>
      <c r="FG311" s="32">
        <v>97.8</v>
      </c>
      <c r="FH311" s="32">
        <v>99.7</v>
      </c>
      <c r="FI311" s="32">
        <v>99</v>
      </c>
      <c r="FJ311" s="32">
        <v>96.9</v>
      </c>
      <c r="FK311" s="32">
        <v>86</v>
      </c>
      <c r="FL311" s="32">
        <v>86</v>
      </c>
    </row>
    <row r="312" spans="1:168" x14ac:dyDescent="0.2">
      <c r="A312" s="34" t="s">
        <v>1292</v>
      </c>
      <c r="B312" s="32">
        <v>101.9</v>
      </c>
      <c r="C312" s="32">
        <v>86.3</v>
      </c>
      <c r="D312" s="32">
        <v>97.2</v>
      </c>
      <c r="E312" s="32">
        <v>94.5</v>
      </c>
      <c r="F312" s="32">
        <v>81.099999999999994</v>
      </c>
      <c r="G312" s="32">
        <v>25.8</v>
      </c>
      <c r="H312" s="32">
        <v>78.2</v>
      </c>
      <c r="I312" s="32">
        <v>97.7</v>
      </c>
      <c r="J312" s="32">
        <v>99.3</v>
      </c>
      <c r="K312" s="32">
        <v>117.7</v>
      </c>
      <c r="L312" s="32">
        <v>120.5</v>
      </c>
      <c r="M312" s="32">
        <v>133.5</v>
      </c>
      <c r="N312" s="32">
        <v>113.7</v>
      </c>
      <c r="O312" s="32">
        <v>60.4</v>
      </c>
      <c r="P312" s="32">
        <v>135.30000000000001</v>
      </c>
      <c r="Q312" s="32">
        <v>109</v>
      </c>
      <c r="R312" s="32">
        <v>113.2</v>
      </c>
      <c r="S312" s="32">
        <v>118</v>
      </c>
      <c r="T312" s="32">
        <v>111.7</v>
      </c>
      <c r="U312" s="32">
        <v>95.7</v>
      </c>
      <c r="V312" s="32">
        <v>114.3</v>
      </c>
      <c r="W312" s="32">
        <v>128.5</v>
      </c>
      <c r="X312" s="32">
        <v>130.69999999999999</v>
      </c>
      <c r="Y312" s="32">
        <v>126.7</v>
      </c>
      <c r="Z312" s="32">
        <v>117.5</v>
      </c>
      <c r="AA312" s="32">
        <v>88.5</v>
      </c>
      <c r="AB312" s="32">
        <v>79.599999999999994</v>
      </c>
      <c r="AC312" s="32">
        <v>90.5</v>
      </c>
      <c r="AD312" s="32">
        <v>93.3</v>
      </c>
      <c r="AE312" s="32">
        <v>80.7</v>
      </c>
      <c r="AF312" s="32">
        <v>80.7</v>
      </c>
      <c r="AG312" s="32">
        <v>84.5</v>
      </c>
      <c r="AH312" s="32">
        <v>84.5</v>
      </c>
      <c r="AI312" s="32">
        <v>160.1</v>
      </c>
      <c r="AJ312" s="32">
        <v>42</v>
      </c>
      <c r="AK312" s="32">
        <v>154.6</v>
      </c>
      <c r="AL312" s="32">
        <v>86.1</v>
      </c>
      <c r="AM312" s="32">
        <v>86.6</v>
      </c>
      <c r="AN312" s="32">
        <v>73.2</v>
      </c>
      <c r="AO312" s="32">
        <v>110.9</v>
      </c>
      <c r="AP312" s="32">
        <v>110.9</v>
      </c>
      <c r="AQ312" s="32">
        <v>100.1</v>
      </c>
      <c r="AR312" s="32">
        <v>106</v>
      </c>
      <c r="AS312" s="32">
        <v>92.7</v>
      </c>
      <c r="AT312" s="32">
        <v>89.8</v>
      </c>
      <c r="AU312" s="32">
        <v>94.8</v>
      </c>
      <c r="AV312" s="32">
        <v>86.5</v>
      </c>
      <c r="AW312" s="32">
        <v>84.3</v>
      </c>
      <c r="AX312" s="32">
        <v>36.700000000000003</v>
      </c>
      <c r="AY312" s="32">
        <v>136.80000000000001</v>
      </c>
      <c r="AZ312" s="32">
        <v>87</v>
      </c>
      <c r="BA312" s="32">
        <v>107.3</v>
      </c>
      <c r="BB312" s="32">
        <v>107.3</v>
      </c>
      <c r="BC312" s="32">
        <v>78</v>
      </c>
      <c r="BD312" s="32">
        <v>78</v>
      </c>
      <c r="BE312" s="32">
        <v>92</v>
      </c>
      <c r="BF312" s="32">
        <v>92</v>
      </c>
      <c r="BG312" s="32">
        <v>91.3</v>
      </c>
      <c r="BH312" s="32">
        <v>92.3</v>
      </c>
      <c r="BI312" s="32">
        <v>89.9</v>
      </c>
      <c r="BJ312" s="32">
        <v>101.8</v>
      </c>
      <c r="BK312" s="32">
        <v>87.7</v>
      </c>
      <c r="BL312" s="32">
        <v>86.6</v>
      </c>
      <c r="BM312" s="32">
        <v>102.1</v>
      </c>
      <c r="BN312" s="32">
        <v>103.9</v>
      </c>
      <c r="BO312" s="32">
        <v>112.4</v>
      </c>
      <c r="BP312" s="32">
        <v>97</v>
      </c>
      <c r="BQ312" s="32">
        <v>100.1</v>
      </c>
      <c r="BR312" s="32">
        <v>101.5</v>
      </c>
      <c r="BS312" s="32">
        <v>73.7</v>
      </c>
      <c r="BT312" s="32">
        <v>108.5</v>
      </c>
      <c r="BU312" s="32">
        <v>63.3</v>
      </c>
      <c r="BV312" s="32">
        <v>63.3</v>
      </c>
      <c r="BW312" s="32">
        <v>63.5</v>
      </c>
      <c r="BX312" s="32">
        <v>62.6</v>
      </c>
      <c r="BY312" s="32">
        <v>106.1</v>
      </c>
      <c r="BZ312" s="32">
        <v>102</v>
      </c>
      <c r="CA312" s="32">
        <v>108.3</v>
      </c>
      <c r="CB312" s="32">
        <v>103.1</v>
      </c>
      <c r="CC312" s="32">
        <v>112.7</v>
      </c>
      <c r="CD312" s="32">
        <v>131.4</v>
      </c>
      <c r="CE312" s="32">
        <v>103</v>
      </c>
      <c r="CF312" s="32">
        <v>103.2</v>
      </c>
      <c r="CG312" s="32">
        <v>97.9</v>
      </c>
      <c r="CH312" s="32">
        <v>100.3</v>
      </c>
      <c r="CI312" s="32">
        <v>82.9</v>
      </c>
      <c r="CJ312" s="32">
        <v>110.5</v>
      </c>
      <c r="CK312" s="32">
        <v>97.2</v>
      </c>
      <c r="CL312" s="32">
        <v>87.6</v>
      </c>
      <c r="CM312" s="32">
        <v>81.400000000000006</v>
      </c>
      <c r="CN312" s="32">
        <v>64</v>
      </c>
      <c r="CO312" s="32">
        <v>85.2</v>
      </c>
      <c r="CP312" s="32">
        <v>82.6</v>
      </c>
      <c r="CQ312" s="32">
        <v>48.8</v>
      </c>
      <c r="CR312" s="32">
        <v>93.3</v>
      </c>
      <c r="CS312" s="32">
        <v>112.1</v>
      </c>
      <c r="CT312" s="32">
        <v>103.5</v>
      </c>
      <c r="CU312" s="32">
        <v>106.3</v>
      </c>
      <c r="CV312" s="32">
        <v>102.2</v>
      </c>
      <c r="CW312" s="32">
        <v>121.7</v>
      </c>
      <c r="CX312" s="32">
        <v>109.7</v>
      </c>
      <c r="CY312" s="32">
        <v>110.3</v>
      </c>
      <c r="CZ312" s="32">
        <v>109.3</v>
      </c>
      <c r="DA312" s="32">
        <v>120.4</v>
      </c>
      <c r="DB312" s="32">
        <v>89</v>
      </c>
      <c r="DC312" s="32">
        <v>135.9</v>
      </c>
      <c r="DD312" s="32">
        <v>135.9</v>
      </c>
      <c r="DE312" s="32">
        <v>120</v>
      </c>
      <c r="DF312" s="32">
        <v>120.4</v>
      </c>
      <c r="DG312" s="32">
        <v>117.7</v>
      </c>
      <c r="DH312" s="32">
        <v>105.6</v>
      </c>
      <c r="DI312" s="32">
        <v>86.4</v>
      </c>
      <c r="DJ312" s="32">
        <v>120.9</v>
      </c>
      <c r="DK312" s="32">
        <v>120.9</v>
      </c>
      <c r="DL312" s="32">
        <v>128.4</v>
      </c>
      <c r="DM312" s="32">
        <v>101.8</v>
      </c>
      <c r="DN312" s="32">
        <v>98.3</v>
      </c>
      <c r="DO312" s="32">
        <v>102.9</v>
      </c>
      <c r="DP312" s="32">
        <v>110.7</v>
      </c>
      <c r="DQ312" s="32">
        <v>105.7</v>
      </c>
      <c r="DR312" s="32">
        <v>111.3</v>
      </c>
      <c r="DS312" s="32">
        <v>111.9</v>
      </c>
      <c r="DT312" s="32">
        <v>114</v>
      </c>
      <c r="DU312" s="32">
        <v>112.9</v>
      </c>
      <c r="DV312" s="32">
        <v>100.7</v>
      </c>
      <c r="DW312" s="32">
        <v>128</v>
      </c>
      <c r="DX312" s="32">
        <v>116.3</v>
      </c>
      <c r="DY312" s="32">
        <v>104.9</v>
      </c>
      <c r="DZ312" s="32">
        <v>110</v>
      </c>
      <c r="EA312" s="32">
        <v>110</v>
      </c>
      <c r="EB312" s="32">
        <v>109.9</v>
      </c>
      <c r="EC312" s="32">
        <v>109.9</v>
      </c>
      <c r="ED312" s="32">
        <v>109.9</v>
      </c>
      <c r="EE312" s="32">
        <v>102.4</v>
      </c>
      <c r="EF312" s="32">
        <v>128.5</v>
      </c>
      <c r="EG312" s="32">
        <v>97.6</v>
      </c>
      <c r="EH312" s="32">
        <v>89.4</v>
      </c>
      <c r="EI312" s="32">
        <v>104</v>
      </c>
      <c r="EJ312" s="32">
        <v>84.2</v>
      </c>
      <c r="EK312" s="32">
        <v>101.2</v>
      </c>
      <c r="EL312" s="32">
        <v>96.3</v>
      </c>
      <c r="EM312" s="32">
        <v>111.4</v>
      </c>
      <c r="EN312" s="32">
        <v>96</v>
      </c>
      <c r="EO312" s="32">
        <v>101.1</v>
      </c>
      <c r="EP312" s="32">
        <v>100.5</v>
      </c>
      <c r="EQ312" s="32">
        <v>100.5</v>
      </c>
      <c r="ER312" s="32">
        <v>100.8</v>
      </c>
      <c r="ES312" s="32">
        <v>100.8</v>
      </c>
      <c r="ET312" s="32">
        <v>101.7</v>
      </c>
      <c r="EU312" s="32">
        <v>99.3</v>
      </c>
      <c r="EV312" s="32">
        <v>99.3</v>
      </c>
      <c r="EW312" s="32">
        <v>106.9</v>
      </c>
      <c r="EX312" s="32">
        <v>102.1</v>
      </c>
      <c r="EY312" s="32">
        <v>110.7</v>
      </c>
      <c r="EZ312" s="32">
        <v>97.9</v>
      </c>
      <c r="FA312" s="32">
        <v>97.8</v>
      </c>
      <c r="FB312" s="32">
        <v>96.3</v>
      </c>
      <c r="FC312" s="32">
        <v>105.6</v>
      </c>
      <c r="FD312" s="32">
        <v>106.2</v>
      </c>
      <c r="FE312" s="32">
        <v>78.400000000000006</v>
      </c>
      <c r="FF312" s="32">
        <v>99.7</v>
      </c>
      <c r="FG312" s="32">
        <v>100.1</v>
      </c>
      <c r="FH312" s="32">
        <v>99.3</v>
      </c>
      <c r="FI312" s="32">
        <v>107.3</v>
      </c>
      <c r="FJ312" s="32">
        <v>99.5</v>
      </c>
      <c r="FK312" s="32">
        <v>80.400000000000006</v>
      </c>
      <c r="FL312" s="32">
        <v>80.400000000000006</v>
      </c>
    </row>
    <row r="313" spans="1:168" x14ac:dyDescent="0.2">
      <c r="A313" s="34" t="s">
        <v>1293</v>
      </c>
      <c r="B313" s="32">
        <v>102</v>
      </c>
      <c r="C313" s="32">
        <v>86.1</v>
      </c>
      <c r="D313" s="32">
        <v>96.9</v>
      </c>
      <c r="E313" s="32">
        <v>94</v>
      </c>
      <c r="F313" s="32">
        <v>73</v>
      </c>
      <c r="G313" s="32">
        <v>25.4</v>
      </c>
      <c r="H313" s="32">
        <v>68.3</v>
      </c>
      <c r="I313" s="32">
        <v>98.7</v>
      </c>
      <c r="J313" s="32">
        <v>99.5</v>
      </c>
      <c r="K313" s="32">
        <v>117.3</v>
      </c>
      <c r="L313" s="32">
        <v>119.6</v>
      </c>
      <c r="M313" s="32">
        <v>133.30000000000001</v>
      </c>
      <c r="N313" s="32">
        <v>111.7</v>
      </c>
      <c r="O313" s="32">
        <v>62.7</v>
      </c>
      <c r="P313" s="32">
        <v>139.9</v>
      </c>
      <c r="Q313" s="32">
        <v>108.6</v>
      </c>
      <c r="R313" s="32">
        <v>113.2</v>
      </c>
      <c r="S313" s="32">
        <v>114.7</v>
      </c>
      <c r="T313" s="32">
        <v>110.6</v>
      </c>
      <c r="U313" s="32">
        <v>95.7</v>
      </c>
      <c r="V313" s="32">
        <v>115.5</v>
      </c>
      <c r="W313" s="32">
        <v>127.9</v>
      </c>
      <c r="X313" s="32">
        <v>131.69999999999999</v>
      </c>
      <c r="Y313" s="32">
        <v>121.6</v>
      </c>
      <c r="Z313" s="32">
        <v>123.2</v>
      </c>
      <c r="AA313" s="32">
        <v>85.6</v>
      </c>
      <c r="AB313" s="32">
        <v>77.8</v>
      </c>
      <c r="AC313" s="32">
        <v>89.9</v>
      </c>
      <c r="AD313" s="32">
        <v>87.5</v>
      </c>
      <c r="AE313" s="32">
        <v>81.900000000000006</v>
      </c>
      <c r="AF313" s="32">
        <v>81.900000000000006</v>
      </c>
      <c r="AG313" s="32">
        <v>86.4</v>
      </c>
      <c r="AH313" s="32">
        <v>86.4</v>
      </c>
      <c r="AI313" s="32">
        <v>166</v>
      </c>
      <c r="AJ313" s="32">
        <v>44.1</v>
      </c>
      <c r="AK313" s="32">
        <v>156</v>
      </c>
      <c r="AL313" s="32">
        <v>84</v>
      </c>
      <c r="AM313" s="32">
        <v>88</v>
      </c>
      <c r="AN313" s="32">
        <v>76.900000000000006</v>
      </c>
      <c r="AO313" s="32">
        <v>104.6</v>
      </c>
      <c r="AP313" s="32">
        <v>104.6</v>
      </c>
      <c r="AQ313" s="32">
        <v>99.5</v>
      </c>
      <c r="AR313" s="32">
        <v>103.7</v>
      </c>
      <c r="AS313" s="32">
        <v>94.1</v>
      </c>
      <c r="AT313" s="32">
        <v>95</v>
      </c>
      <c r="AU313" s="32">
        <v>93.4</v>
      </c>
      <c r="AV313" s="32">
        <v>87.1</v>
      </c>
      <c r="AW313" s="32">
        <v>83</v>
      </c>
      <c r="AX313" s="32">
        <v>30.9</v>
      </c>
      <c r="AY313" s="32">
        <v>140.69999999999999</v>
      </c>
      <c r="AZ313" s="32">
        <v>88.1</v>
      </c>
      <c r="BA313" s="32">
        <v>112.3</v>
      </c>
      <c r="BB313" s="32">
        <v>112.3</v>
      </c>
      <c r="BC313" s="32">
        <v>79.599999999999994</v>
      </c>
      <c r="BD313" s="32">
        <v>79.599999999999994</v>
      </c>
      <c r="BE313" s="32">
        <v>91.4</v>
      </c>
      <c r="BF313" s="32">
        <v>91.4</v>
      </c>
      <c r="BG313" s="32">
        <v>93.2</v>
      </c>
      <c r="BH313" s="32">
        <v>94.9</v>
      </c>
      <c r="BI313" s="32">
        <v>90.7</v>
      </c>
      <c r="BJ313" s="32">
        <v>102.1</v>
      </c>
      <c r="BK313" s="32">
        <v>88.6</v>
      </c>
      <c r="BL313" s="32">
        <v>87.8</v>
      </c>
      <c r="BM313" s="32">
        <v>103.7</v>
      </c>
      <c r="BN313" s="32">
        <v>104.5</v>
      </c>
      <c r="BO313" s="32">
        <v>112.3</v>
      </c>
      <c r="BP313" s="32">
        <v>98.2</v>
      </c>
      <c r="BQ313" s="32">
        <v>102.9</v>
      </c>
      <c r="BR313" s="32">
        <v>96.5</v>
      </c>
      <c r="BS313" s="32">
        <v>83.6</v>
      </c>
      <c r="BT313" s="32">
        <v>110.1</v>
      </c>
      <c r="BU313" s="32">
        <v>62.7</v>
      </c>
      <c r="BV313" s="32">
        <v>62.7</v>
      </c>
      <c r="BW313" s="32">
        <v>62.7</v>
      </c>
      <c r="BX313" s="32">
        <v>62.6</v>
      </c>
      <c r="BY313" s="32">
        <v>106.3</v>
      </c>
      <c r="BZ313" s="32">
        <v>101.8</v>
      </c>
      <c r="CA313" s="32">
        <v>108.7</v>
      </c>
      <c r="CB313" s="32">
        <v>102.7</v>
      </c>
      <c r="CC313" s="32">
        <v>113.8</v>
      </c>
      <c r="CD313" s="32">
        <v>133.19999999999999</v>
      </c>
      <c r="CE313" s="32">
        <v>103.3</v>
      </c>
      <c r="CF313" s="32">
        <v>103.4</v>
      </c>
      <c r="CG313" s="32">
        <v>97.3</v>
      </c>
      <c r="CH313" s="32">
        <v>100.7</v>
      </c>
      <c r="CI313" s="32">
        <v>82.7</v>
      </c>
      <c r="CJ313" s="32">
        <v>113.7</v>
      </c>
      <c r="CK313" s="32">
        <v>95.7</v>
      </c>
      <c r="CL313" s="32">
        <v>86.2</v>
      </c>
      <c r="CM313" s="32">
        <v>79.3</v>
      </c>
      <c r="CN313" s="32">
        <v>58</v>
      </c>
      <c r="CO313" s="32">
        <v>83.9</v>
      </c>
      <c r="CP313" s="32">
        <v>86.9</v>
      </c>
      <c r="CQ313" s="32">
        <v>49.4</v>
      </c>
      <c r="CR313" s="32">
        <v>94.3</v>
      </c>
      <c r="CS313" s="32">
        <v>103.1</v>
      </c>
      <c r="CT313" s="32">
        <v>100.9</v>
      </c>
      <c r="CU313" s="32">
        <v>99.5</v>
      </c>
      <c r="CV313" s="32">
        <v>101.5</v>
      </c>
      <c r="CW313" s="32">
        <v>123</v>
      </c>
      <c r="CX313" s="32">
        <v>107.6</v>
      </c>
      <c r="CY313" s="32">
        <v>108.7</v>
      </c>
      <c r="CZ313" s="32">
        <v>106.9</v>
      </c>
      <c r="DA313" s="32">
        <v>117.4</v>
      </c>
      <c r="DB313" s="32">
        <v>87.9</v>
      </c>
      <c r="DC313" s="32">
        <v>140.80000000000001</v>
      </c>
      <c r="DD313" s="32">
        <v>140.80000000000001</v>
      </c>
      <c r="DE313" s="32">
        <v>121</v>
      </c>
      <c r="DF313" s="32">
        <v>121.6</v>
      </c>
      <c r="DG313" s="32">
        <v>117.6</v>
      </c>
      <c r="DH313" s="32">
        <v>105.1</v>
      </c>
      <c r="DI313" s="32">
        <v>86.1</v>
      </c>
      <c r="DJ313" s="32">
        <v>120.4</v>
      </c>
      <c r="DK313" s="32">
        <v>120.4</v>
      </c>
      <c r="DL313" s="32">
        <v>127.5</v>
      </c>
      <c r="DM313" s="32">
        <v>101.9</v>
      </c>
      <c r="DN313" s="32">
        <v>98.3</v>
      </c>
      <c r="DO313" s="32">
        <v>103</v>
      </c>
      <c r="DP313" s="32">
        <v>108.4</v>
      </c>
      <c r="DQ313" s="32">
        <v>107.2</v>
      </c>
      <c r="DR313" s="32">
        <v>113</v>
      </c>
      <c r="DS313" s="32">
        <v>112.6</v>
      </c>
      <c r="DT313" s="32">
        <v>114.4</v>
      </c>
      <c r="DU313" s="32">
        <v>113.8</v>
      </c>
      <c r="DV313" s="32">
        <v>105.3</v>
      </c>
      <c r="DW313" s="32">
        <v>124.3</v>
      </c>
      <c r="DX313" s="32">
        <v>115.8</v>
      </c>
      <c r="DY313" s="32">
        <v>106.4</v>
      </c>
      <c r="DZ313" s="32">
        <v>119.9</v>
      </c>
      <c r="EA313" s="32">
        <v>119.9</v>
      </c>
      <c r="EB313" s="32">
        <v>111.1</v>
      </c>
      <c r="EC313" s="32">
        <v>109.3</v>
      </c>
      <c r="ED313" s="32">
        <v>113.3</v>
      </c>
      <c r="EE313" s="32">
        <v>105.4</v>
      </c>
      <c r="EF313" s="32">
        <v>132.69999999999999</v>
      </c>
      <c r="EG313" s="32">
        <v>98.6</v>
      </c>
      <c r="EH313" s="32">
        <v>91.5</v>
      </c>
      <c r="EI313" s="32">
        <v>103.1</v>
      </c>
      <c r="EJ313" s="32">
        <v>87.4</v>
      </c>
      <c r="EK313" s="32">
        <v>102.4</v>
      </c>
      <c r="EL313" s="32">
        <v>97.9</v>
      </c>
      <c r="EM313" s="32">
        <v>112</v>
      </c>
      <c r="EN313" s="32">
        <v>97.6</v>
      </c>
      <c r="EO313" s="32">
        <v>101.3</v>
      </c>
      <c r="EP313" s="32">
        <v>101.2</v>
      </c>
      <c r="EQ313" s="32">
        <v>101.2</v>
      </c>
      <c r="ER313" s="32">
        <v>100.4</v>
      </c>
      <c r="ES313" s="32">
        <v>100.4</v>
      </c>
      <c r="ET313" s="32">
        <v>102.1</v>
      </c>
      <c r="EU313" s="32">
        <v>99.8</v>
      </c>
      <c r="EV313" s="32">
        <v>99.8</v>
      </c>
      <c r="EW313" s="32">
        <v>107</v>
      </c>
      <c r="EX313" s="32">
        <v>101.9</v>
      </c>
      <c r="EY313" s="32">
        <v>111</v>
      </c>
      <c r="EZ313" s="32">
        <v>97.8</v>
      </c>
      <c r="FA313" s="32">
        <v>97.4</v>
      </c>
      <c r="FB313" s="32">
        <v>97.5</v>
      </c>
      <c r="FC313" s="32">
        <v>109.1</v>
      </c>
      <c r="FD313" s="32">
        <v>107.6</v>
      </c>
      <c r="FE313" s="32">
        <v>76.099999999999994</v>
      </c>
      <c r="FF313" s="32">
        <v>97.3</v>
      </c>
      <c r="FG313" s="32">
        <v>100.6</v>
      </c>
      <c r="FH313" s="32">
        <v>100.3</v>
      </c>
      <c r="FI313" s="32">
        <v>113</v>
      </c>
      <c r="FJ313" s="32">
        <v>99.3</v>
      </c>
      <c r="FK313" s="32">
        <v>76.7</v>
      </c>
      <c r="FL313" s="32">
        <v>76.7</v>
      </c>
    </row>
    <row r="314" spans="1:168" x14ac:dyDescent="0.2">
      <c r="A314" s="34" t="s">
        <v>1294</v>
      </c>
      <c r="B314" s="32">
        <v>101.5</v>
      </c>
      <c r="C314" s="32">
        <v>85.7</v>
      </c>
      <c r="D314" s="32">
        <v>96.6</v>
      </c>
      <c r="E314" s="32">
        <v>93.8</v>
      </c>
      <c r="F314" s="32">
        <v>74.7</v>
      </c>
      <c r="G314" s="32">
        <v>20</v>
      </c>
      <c r="H314" s="32">
        <v>70.599999999999994</v>
      </c>
      <c r="I314" s="32">
        <v>97.7</v>
      </c>
      <c r="J314" s="32">
        <v>99.1</v>
      </c>
      <c r="K314" s="32">
        <v>114.5</v>
      </c>
      <c r="L314" s="32">
        <v>118.1</v>
      </c>
      <c r="M314" s="32">
        <v>130</v>
      </c>
      <c r="N314" s="32">
        <v>105.6</v>
      </c>
      <c r="O314" s="32">
        <v>62.7</v>
      </c>
      <c r="P314" s="32">
        <v>136.30000000000001</v>
      </c>
      <c r="Q314" s="32">
        <v>109.8</v>
      </c>
      <c r="R314" s="32">
        <v>115.4</v>
      </c>
      <c r="S314" s="32">
        <v>114.3</v>
      </c>
      <c r="T314" s="32">
        <v>107.8</v>
      </c>
      <c r="U314" s="32">
        <v>92</v>
      </c>
      <c r="V314" s="32">
        <v>108</v>
      </c>
      <c r="W314" s="32">
        <v>128.6</v>
      </c>
      <c r="X314" s="32">
        <v>129</v>
      </c>
      <c r="Y314" s="32">
        <v>127.7</v>
      </c>
      <c r="Z314" s="32">
        <v>130</v>
      </c>
      <c r="AA314" s="32">
        <v>85.1</v>
      </c>
      <c r="AB314" s="32">
        <v>78</v>
      </c>
      <c r="AC314" s="32">
        <v>89.9</v>
      </c>
      <c r="AD314" s="32">
        <v>86</v>
      </c>
      <c r="AE314" s="32">
        <v>81.900000000000006</v>
      </c>
      <c r="AF314" s="32">
        <v>81.900000000000006</v>
      </c>
      <c r="AG314" s="32">
        <v>83.6</v>
      </c>
      <c r="AH314" s="32">
        <v>83.6</v>
      </c>
      <c r="AI314" s="32">
        <v>164.1</v>
      </c>
      <c r="AJ314" s="32">
        <v>40</v>
      </c>
      <c r="AK314" s="32">
        <v>154.19999999999999</v>
      </c>
      <c r="AL314" s="32">
        <v>85.8</v>
      </c>
      <c r="AM314" s="32">
        <v>85.6</v>
      </c>
      <c r="AN314" s="32">
        <v>71.099999999999994</v>
      </c>
      <c r="AO314" s="32">
        <v>122.4</v>
      </c>
      <c r="AP314" s="32">
        <v>122.4</v>
      </c>
      <c r="AQ314" s="32">
        <v>97.4</v>
      </c>
      <c r="AR314" s="32">
        <v>102.6</v>
      </c>
      <c r="AS314" s="32">
        <v>90.9</v>
      </c>
      <c r="AT314" s="32">
        <v>95.2</v>
      </c>
      <c r="AU314" s="32">
        <v>87.6</v>
      </c>
      <c r="AV314" s="32">
        <v>86.1</v>
      </c>
      <c r="AW314" s="32">
        <v>84.1</v>
      </c>
      <c r="AX314" s="32">
        <v>33.5</v>
      </c>
      <c r="AY314" s="32">
        <v>139.9</v>
      </c>
      <c r="AZ314" s="32">
        <v>86.7</v>
      </c>
      <c r="BA314" s="32">
        <v>107.5</v>
      </c>
      <c r="BB314" s="32">
        <v>107.5</v>
      </c>
      <c r="BC314" s="32">
        <v>79</v>
      </c>
      <c r="BD314" s="32">
        <v>79</v>
      </c>
      <c r="BE314" s="32">
        <v>90.8</v>
      </c>
      <c r="BF314" s="32">
        <v>90.8</v>
      </c>
      <c r="BG314" s="32">
        <v>91.8</v>
      </c>
      <c r="BH314" s="32">
        <v>92.3</v>
      </c>
      <c r="BI314" s="32">
        <v>91.2</v>
      </c>
      <c r="BJ314" s="32">
        <v>102.3</v>
      </c>
      <c r="BK314" s="32">
        <v>89.3</v>
      </c>
      <c r="BL314" s="32">
        <v>86.2</v>
      </c>
      <c r="BM314" s="32">
        <v>102</v>
      </c>
      <c r="BN314" s="32">
        <v>100.3</v>
      </c>
      <c r="BO314" s="32">
        <v>105.1</v>
      </c>
      <c r="BP314" s="32">
        <v>96.5</v>
      </c>
      <c r="BQ314" s="32">
        <v>103.9</v>
      </c>
      <c r="BR314" s="32">
        <v>95.2</v>
      </c>
      <c r="BS314" s="32">
        <v>79.7</v>
      </c>
      <c r="BT314" s="32">
        <v>113.1</v>
      </c>
      <c r="BU314" s="32">
        <v>63.5</v>
      </c>
      <c r="BV314" s="32">
        <v>63.5</v>
      </c>
      <c r="BW314" s="32">
        <v>64</v>
      </c>
      <c r="BX314" s="32">
        <v>61.7</v>
      </c>
      <c r="BY314" s="32">
        <v>105.8</v>
      </c>
      <c r="BZ314" s="32">
        <v>99.3</v>
      </c>
      <c r="CA314" s="32">
        <v>109.2</v>
      </c>
      <c r="CB314" s="32">
        <v>104.3</v>
      </c>
      <c r="CC314" s="32">
        <v>113.2</v>
      </c>
      <c r="CD314" s="32">
        <v>131.9</v>
      </c>
      <c r="CE314" s="32">
        <v>102.6</v>
      </c>
      <c r="CF314" s="32">
        <v>102.8</v>
      </c>
      <c r="CG314" s="32">
        <v>96.3</v>
      </c>
      <c r="CH314" s="32">
        <v>99.1</v>
      </c>
      <c r="CI314" s="32">
        <v>80.400000000000006</v>
      </c>
      <c r="CJ314" s="32">
        <v>111.5</v>
      </c>
      <c r="CK314" s="32">
        <v>94.6</v>
      </c>
      <c r="CL314" s="32">
        <v>86.8</v>
      </c>
      <c r="CM314" s="32">
        <v>80</v>
      </c>
      <c r="CN314" s="32">
        <v>63.6</v>
      </c>
      <c r="CO314" s="32">
        <v>83.7</v>
      </c>
      <c r="CP314" s="32">
        <v>89.8</v>
      </c>
      <c r="CQ314" s="32">
        <v>49.3</v>
      </c>
      <c r="CR314" s="32">
        <v>93.8</v>
      </c>
      <c r="CS314" s="32">
        <v>104.9</v>
      </c>
      <c r="CT314" s="32">
        <v>99.8</v>
      </c>
      <c r="CU314" s="32">
        <v>98</v>
      </c>
      <c r="CV314" s="32">
        <v>100.6</v>
      </c>
      <c r="CW314" s="32">
        <v>120.8</v>
      </c>
      <c r="CX314" s="32">
        <v>101</v>
      </c>
      <c r="CY314" s="32">
        <v>104.4</v>
      </c>
      <c r="CZ314" s="32">
        <v>99.2</v>
      </c>
      <c r="DA314" s="32">
        <v>103.4</v>
      </c>
      <c r="DB314" s="32">
        <v>91.4</v>
      </c>
      <c r="DC314" s="32">
        <v>142.1</v>
      </c>
      <c r="DD314" s="32">
        <v>142.1</v>
      </c>
      <c r="DE314" s="32">
        <v>119.2</v>
      </c>
      <c r="DF314" s="32">
        <v>118.6</v>
      </c>
      <c r="DG314" s="32">
        <v>123</v>
      </c>
      <c r="DH314" s="32">
        <v>104</v>
      </c>
      <c r="DI314" s="32">
        <v>85.1</v>
      </c>
      <c r="DJ314" s="32">
        <v>120.8</v>
      </c>
      <c r="DK314" s="32">
        <v>120.8</v>
      </c>
      <c r="DL314" s="32">
        <v>125.2</v>
      </c>
      <c r="DM314" s="32">
        <v>101.8</v>
      </c>
      <c r="DN314" s="32">
        <v>97.5</v>
      </c>
      <c r="DO314" s="32">
        <v>103.1</v>
      </c>
      <c r="DP314" s="32">
        <v>111.7</v>
      </c>
      <c r="DQ314" s="32">
        <v>106.2</v>
      </c>
      <c r="DR314" s="32">
        <v>112.1</v>
      </c>
      <c r="DS314" s="32">
        <v>112.3</v>
      </c>
      <c r="DT314" s="32">
        <v>113</v>
      </c>
      <c r="DU314" s="32">
        <v>111</v>
      </c>
      <c r="DV314" s="32">
        <v>100.7</v>
      </c>
      <c r="DW314" s="32">
        <v>123.7</v>
      </c>
      <c r="DX314" s="32">
        <v>117.3</v>
      </c>
      <c r="DY314" s="32">
        <v>110</v>
      </c>
      <c r="DZ314" s="32">
        <v>116.6</v>
      </c>
      <c r="EA314" s="32">
        <v>116.6</v>
      </c>
      <c r="EB314" s="32">
        <v>109.2</v>
      </c>
      <c r="EC314" s="32">
        <v>108.4</v>
      </c>
      <c r="ED314" s="32">
        <v>110.2</v>
      </c>
      <c r="EE314" s="32">
        <v>101.3</v>
      </c>
      <c r="EF314" s="32">
        <v>132.4</v>
      </c>
      <c r="EG314" s="32">
        <v>97.5</v>
      </c>
      <c r="EH314" s="32">
        <v>91.7</v>
      </c>
      <c r="EI314" s="32">
        <v>103</v>
      </c>
      <c r="EJ314" s="32">
        <v>76.5</v>
      </c>
      <c r="EK314" s="32">
        <v>102.7</v>
      </c>
      <c r="EL314" s="32">
        <v>97.4</v>
      </c>
      <c r="EM314" s="32">
        <v>107.7</v>
      </c>
      <c r="EN314" s="32">
        <v>100.6</v>
      </c>
      <c r="EO314" s="32">
        <v>101.7</v>
      </c>
      <c r="EP314" s="32">
        <v>101.5</v>
      </c>
      <c r="EQ314" s="32">
        <v>101.5</v>
      </c>
      <c r="ER314" s="32">
        <v>100.2</v>
      </c>
      <c r="ES314" s="32">
        <v>100.2</v>
      </c>
      <c r="ET314" s="32">
        <v>102.9</v>
      </c>
      <c r="EU314" s="32">
        <v>101.1</v>
      </c>
      <c r="EV314" s="32">
        <v>101.1</v>
      </c>
      <c r="EW314" s="32">
        <v>106.9</v>
      </c>
      <c r="EX314" s="32">
        <v>102.3</v>
      </c>
      <c r="EY314" s="32">
        <v>110.4</v>
      </c>
      <c r="EZ314" s="32">
        <v>98.1</v>
      </c>
      <c r="FA314" s="32">
        <v>96.2</v>
      </c>
      <c r="FB314" s="32">
        <v>99.1</v>
      </c>
      <c r="FC314" s="32">
        <v>111.2</v>
      </c>
      <c r="FD314" s="32">
        <v>108.4</v>
      </c>
      <c r="FE314" s="32">
        <v>77.2</v>
      </c>
      <c r="FF314" s="32">
        <v>92.6</v>
      </c>
      <c r="FG314" s="32">
        <v>102.1</v>
      </c>
      <c r="FH314" s="32">
        <v>101.4</v>
      </c>
      <c r="FI314" s="32">
        <v>102.9</v>
      </c>
      <c r="FJ314" s="32">
        <v>102.3</v>
      </c>
      <c r="FK314" s="32">
        <v>76.5</v>
      </c>
      <c r="FL314" s="32">
        <v>76.5</v>
      </c>
    </row>
    <row r="315" spans="1:168" x14ac:dyDescent="0.2">
      <c r="A315" s="34" t="s">
        <v>1295</v>
      </c>
      <c r="B315" s="32">
        <v>102.3</v>
      </c>
      <c r="C315" s="32">
        <v>85.7</v>
      </c>
      <c r="D315" s="32">
        <v>97.3</v>
      </c>
      <c r="E315" s="32">
        <v>94.2</v>
      </c>
      <c r="F315" s="32">
        <v>72.5</v>
      </c>
      <c r="G315" s="32">
        <v>22.4</v>
      </c>
      <c r="H315" s="32">
        <v>68.8</v>
      </c>
      <c r="I315" s="32">
        <v>93.5</v>
      </c>
      <c r="J315" s="32">
        <v>100.2</v>
      </c>
      <c r="K315" s="32">
        <v>114.7</v>
      </c>
      <c r="L315" s="32">
        <v>118.2</v>
      </c>
      <c r="M315" s="32">
        <v>133.4</v>
      </c>
      <c r="N315" s="32">
        <v>107.1</v>
      </c>
      <c r="O315" s="32">
        <v>58.8</v>
      </c>
      <c r="P315" s="32">
        <v>132.69999999999999</v>
      </c>
      <c r="Q315" s="32">
        <v>110.3</v>
      </c>
      <c r="R315" s="32">
        <v>113.3</v>
      </c>
      <c r="S315" s="32">
        <v>114.1</v>
      </c>
      <c r="T315" s="32">
        <v>108</v>
      </c>
      <c r="U315" s="32">
        <v>92</v>
      </c>
      <c r="V315" s="32">
        <v>108.5</v>
      </c>
      <c r="W315" s="32">
        <v>126</v>
      </c>
      <c r="X315" s="32">
        <v>128.19999999999999</v>
      </c>
      <c r="Y315" s="32">
        <v>120.1</v>
      </c>
      <c r="Z315" s="32">
        <v>134.9</v>
      </c>
      <c r="AA315" s="32">
        <v>85.6</v>
      </c>
      <c r="AB315" s="32">
        <v>78.900000000000006</v>
      </c>
      <c r="AC315" s="32">
        <v>90</v>
      </c>
      <c r="AD315" s="32">
        <v>86.6</v>
      </c>
      <c r="AE315" s="32">
        <v>82.9</v>
      </c>
      <c r="AF315" s="32">
        <v>82.9</v>
      </c>
      <c r="AG315" s="32">
        <v>83.2</v>
      </c>
      <c r="AH315" s="32">
        <v>83.2</v>
      </c>
      <c r="AI315" s="32">
        <v>156.4</v>
      </c>
      <c r="AJ315" s="32">
        <v>39.5</v>
      </c>
      <c r="AK315" s="32">
        <v>144.6</v>
      </c>
      <c r="AL315" s="32">
        <v>82.7</v>
      </c>
      <c r="AM315" s="32">
        <v>89.7</v>
      </c>
      <c r="AN315" s="32">
        <v>71.3</v>
      </c>
      <c r="AO315" s="32">
        <v>138.9</v>
      </c>
      <c r="AP315" s="32">
        <v>138.9</v>
      </c>
      <c r="AQ315" s="32">
        <v>98.2</v>
      </c>
      <c r="AR315" s="32">
        <v>102.3</v>
      </c>
      <c r="AS315" s="32">
        <v>92.9</v>
      </c>
      <c r="AT315" s="32">
        <v>97.6</v>
      </c>
      <c r="AU315" s="32">
        <v>89.4</v>
      </c>
      <c r="AV315" s="32">
        <v>85.4</v>
      </c>
      <c r="AW315" s="32">
        <v>84.1</v>
      </c>
      <c r="AX315" s="32">
        <v>33.299999999999997</v>
      </c>
      <c r="AY315" s="32">
        <v>140.1</v>
      </c>
      <c r="AZ315" s="32">
        <v>85.8</v>
      </c>
      <c r="BA315" s="32">
        <v>107.3</v>
      </c>
      <c r="BB315" s="32">
        <v>107.3</v>
      </c>
      <c r="BC315" s="32">
        <v>79.099999999999994</v>
      </c>
      <c r="BD315" s="32">
        <v>79.099999999999994</v>
      </c>
      <c r="BE315" s="32">
        <v>89</v>
      </c>
      <c r="BF315" s="32">
        <v>89</v>
      </c>
      <c r="BG315" s="32">
        <v>93.4</v>
      </c>
      <c r="BH315" s="32">
        <v>95.5</v>
      </c>
      <c r="BI315" s="32">
        <v>90.4</v>
      </c>
      <c r="BJ315" s="32">
        <v>101.1</v>
      </c>
      <c r="BK315" s="32">
        <v>88.7</v>
      </c>
      <c r="BL315" s="32">
        <v>85.1</v>
      </c>
      <c r="BM315" s="32">
        <v>101.5</v>
      </c>
      <c r="BN315" s="32">
        <v>100</v>
      </c>
      <c r="BO315" s="32">
        <v>102.4</v>
      </c>
      <c r="BP315" s="32">
        <v>98.1</v>
      </c>
      <c r="BQ315" s="32">
        <v>103.3</v>
      </c>
      <c r="BR315" s="32">
        <v>102</v>
      </c>
      <c r="BS315" s="32">
        <v>86.9</v>
      </c>
      <c r="BT315" s="32">
        <v>108.8</v>
      </c>
      <c r="BU315" s="32">
        <v>61.9</v>
      </c>
      <c r="BV315" s="32">
        <v>61.9</v>
      </c>
      <c r="BW315" s="32">
        <v>63.6</v>
      </c>
      <c r="BX315" s="32">
        <v>55.4</v>
      </c>
      <c r="BY315" s="32">
        <v>104.1</v>
      </c>
      <c r="BZ315" s="32">
        <v>97.2</v>
      </c>
      <c r="CA315" s="32">
        <v>107.8</v>
      </c>
      <c r="CB315" s="32">
        <v>101.1</v>
      </c>
      <c r="CC315" s="32">
        <v>113.7</v>
      </c>
      <c r="CD315" s="32">
        <v>130.6</v>
      </c>
      <c r="CE315" s="32">
        <v>104.1</v>
      </c>
      <c r="CF315" s="32">
        <v>103.7</v>
      </c>
      <c r="CG315" s="32">
        <v>97.6</v>
      </c>
      <c r="CH315" s="32">
        <v>100.9</v>
      </c>
      <c r="CI315" s="32">
        <v>84.1</v>
      </c>
      <c r="CJ315" s="32">
        <v>113.5</v>
      </c>
      <c r="CK315" s="32">
        <v>95.7</v>
      </c>
      <c r="CL315" s="32">
        <v>87.1</v>
      </c>
      <c r="CM315" s="32">
        <v>79.599999999999994</v>
      </c>
      <c r="CN315" s="32">
        <v>60.7</v>
      </c>
      <c r="CO315" s="32">
        <v>83.8</v>
      </c>
      <c r="CP315" s="32">
        <v>87.9</v>
      </c>
      <c r="CQ315" s="32">
        <v>58.6</v>
      </c>
      <c r="CR315" s="32">
        <v>93.5</v>
      </c>
      <c r="CS315" s="32">
        <v>104.9</v>
      </c>
      <c r="CT315" s="32">
        <v>100.6</v>
      </c>
      <c r="CU315" s="32">
        <v>99.3</v>
      </c>
      <c r="CV315" s="32">
        <v>101.1</v>
      </c>
      <c r="CW315" s="32">
        <v>122</v>
      </c>
      <c r="CX315" s="32">
        <v>104.5</v>
      </c>
      <c r="CY315" s="32">
        <v>107.9</v>
      </c>
      <c r="CZ315" s="32">
        <v>102.5</v>
      </c>
      <c r="DA315" s="32">
        <v>112.7</v>
      </c>
      <c r="DB315" s="32">
        <v>84</v>
      </c>
      <c r="DC315" s="32">
        <v>142.69999999999999</v>
      </c>
      <c r="DD315" s="32">
        <v>142.69999999999999</v>
      </c>
      <c r="DE315" s="32">
        <v>119.5</v>
      </c>
      <c r="DF315" s="32">
        <v>118.8</v>
      </c>
      <c r="DG315" s="32">
        <v>123.3</v>
      </c>
      <c r="DH315" s="32">
        <v>103.8</v>
      </c>
      <c r="DI315" s="32">
        <v>84.1</v>
      </c>
      <c r="DJ315" s="32">
        <v>121.3</v>
      </c>
      <c r="DK315" s="32">
        <v>121.3</v>
      </c>
      <c r="DL315" s="32">
        <v>126.1</v>
      </c>
      <c r="DM315" s="32">
        <v>102</v>
      </c>
      <c r="DN315" s="32">
        <v>97.8</v>
      </c>
      <c r="DO315" s="32">
        <v>103.2</v>
      </c>
      <c r="DP315" s="32">
        <v>114.6</v>
      </c>
      <c r="DQ315" s="32">
        <v>108.2</v>
      </c>
      <c r="DR315" s="32">
        <v>114.3</v>
      </c>
      <c r="DS315" s="32">
        <v>114.6</v>
      </c>
      <c r="DT315" s="32">
        <v>115.5</v>
      </c>
      <c r="DU315" s="32">
        <v>113.5</v>
      </c>
      <c r="DV315" s="32">
        <v>102.6</v>
      </c>
      <c r="DW315" s="32">
        <v>127</v>
      </c>
      <c r="DX315" s="32">
        <v>119.8</v>
      </c>
      <c r="DY315" s="32">
        <v>111.5</v>
      </c>
      <c r="DZ315" s="32">
        <v>116.9</v>
      </c>
      <c r="EA315" s="32">
        <v>116.9</v>
      </c>
      <c r="EB315" s="32">
        <v>111.9</v>
      </c>
      <c r="EC315" s="32">
        <v>111.5</v>
      </c>
      <c r="ED315" s="32">
        <v>112.4</v>
      </c>
      <c r="EE315" s="32">
        <v>104.4</v>
      </c>
      <c r="EF315" s="32">
        <v>132</v>
      </c>
      <c r="EG315" s="32">
        <v>99.4</v>
      </c>
      <c r="EH315" s="32">
        <v>94</v>
      </c>
      <c r="EI315" s="32">
        <v>102.3</v>
      </c>
      <c r="EJ315" s="32">
        <v>86.7</v>
      </c>
      <c r="EK315" s="32">
        <v>103.8</v>
      </c>
      <c r="EL315" s="32">
        <v>97.1</v>
      </c>
      <c r="EM315" s="32">
        <v>113.7</v>
      </c>
      <c r="EN315" s="32">
        <v>99.1</v>
      </c>
      <c r="EO315" s="32">
        <v>102</v>
      </c>
      <c r="EP315" s="32">
        <v>101.5</v>
      </c>
      <c r="EQ315" s="32">
        <v>101.5</v>
      </c>
      <c r="ER315" s="32">
        <v>100.7</v>
      </c>
      <c r="ES315" s="32">
        <v>100.7</v>
      </c>
      <c r="ET315" s="32">
        <v>103.2</v>
      </c>
      <c r="EU315" s="32">
        <v>101.3</v>
      </c>
      <c r="EV315" s="32">
        <v>101.3</v>
      </c>
      <c r="EW315" s="32">
        <v>107.3</v>
      </c>
      <c r="EX315" s="32">
        <v>103.5</v>
      </c>
      <c r="EY315" s="32">
        <v>110.4</v>
      </c>
      <c r="EZ315" s="32">
        <v>100.4</v>
      </c>
      <c r="FA315" s="32">
        <v>102.1</v>
      </c>
      <c r="FB315" s="32">
        <v>102.3</v>
      </c>
      <c r="FC315" s="32">
        <v>116</v>
      </c>
      <c r="FD315" s="32">
        <v>111.5</v>
      </c>
      <c r="FE315" s="32">
        <v>78.099999999999994</v>
      </c>
      <c r="FF315" s="32">
        <v>101.8</v>
      </c>
      <c r="FG315" s="32">
        <v>101.6</v>
      </c>
      <c r="FH315" s="32">
        <v>100.6</v>
      </c>
      <c r="FI315" s="32">
        <v>109.7</v>
      </c>
      <c r="FJ315" s="32">
        <v>101</v>
      </c>
      <c r="FK315" s="32">
        <v>78.3</v>
      </c>
      <c r="FL315" s="32">
        <v>78.3</v>
      </c>
    </row>
    <row r="316" spans="1:168" x14ac:dyDescent="0.2">
      <c r="A316" s="34" t="s">
        <v>1296</v>
      </c>
      <c r="B316" s="32">
        <v>102.3</v>
      </c>
      <c r="C316" s="32">
        <v>85.5</v>
      </c>
      <c r="D316" s="32">
        <v>97.3</v>
      </c>
      <c r="E316" s="32">
        <v>94</v>
      </c>
      <c r="F316" s="32">
        <v>74.5</v>
      </c>
      <c r="G316" s="32">
        <v>22.1</v>
      </c>
      <c r="H316" s="32">
        <v>71.599999999999994</v>
      </c>
      <c r="I316" s="32">
        <v>91.1</v>
      </c>
      <c r="J316" s="32">
        <v>99.6</v>
      </c>
      <c r="K316" s="32">
        <v>115.6</v>
      </c>
      <c r="L316" s="32">
        <v>119.3</v>
      </c>
      <c r="M316" s="32">
        <v>135.30000000000001</v>
      </c>
      <c r="N316" s="32">
        <v>107</v>
      </c>
      <c r="O316" s="32">
        <v>61.3</v>
      </c>
      <c r="P316" s="32">
        <v>134</v>
      </c>
      <c r="Q316" s="32">
        <v>110.7</v>
      </c>
      <c r="R316" s="32">
        <v>114.5</v>
      </c>
      <c r="S316" s="32">
        <v>115.1</v>
      </c>
      <c r="T316" s="32">
        <v>109.8</v>
      </c>
      <c r="U316" s="32">
        <v>92.7</v>
      </c>
      <c r="V316" s="32">
        <v>108.5</v>
      </c>
      <c r="W316" s="32">
        <v>128</v>
      </c>
      <c r="X316" s="32">
        <v>126.1</v>
      </c>
      <c r="Y316" s="32">
        <v>130.9</v>
      </c>
      <c r="Z316" s="32">
        <v>131.5</v>
      </c>
      <c r="AA316" s="32">
        <v>84.3</v>
      </c>
      <c r="AB316" s="32">
        <v>78.599999999999994</v>
      </c>
      <c r="AC316" s="32">
        <v>89.7</v>
      </c>
      <c r="AD316" s="32">
        <v>83.6</v>
      </c>
      <c r="AE316" s="32">
        <v>82.6</v>
      </c>
      <c r="AF316" s="32">
        <v>82.6</v>
      </c>
      <c r="AG316" s="32">
        <v>80.5</v>
      </c>
      <c r="AH316" s="32">
        <v>80.5</v>
      </c>
      <c r="AI316" s="32">
        <v>146.5</v>
      </c>
      <c r="AJ316" s="32">
        <v>37</v>
      </c>
      <c r="AK316" s="32">
        <v>141.69999999999999</v>
      </c>
      <c r="AL316" s="32">
        <v>81.5</v>
      </c>
      <c r="AM316" s="32">
        <v>85.4</v>
      </c>
      <c r="AN316" s="32">
        <v>74.5</v>
      </c>
      <c r="AO316" s="32">
        <v>124.8</v>
      </c>
      <c r="AP316" s="32">
        <v>124.8</v>
      </c>
      <c r="AQ316" s="32">
        <v>96.6</v>
      </c>
      <c r="AR316" s="32">
        <v>101.9</v>
      </c>
      <c r="AS316" s="32">
        <v>89.8</v>
      </c>
      <c r="AT316" s="32">
        <v>97.4</v>
      </c>
      <c r="AU316" s="32">
        <v>84.1</v>
      </c>
      <c r="AV316" s="32">
        <v>85.3</v>
      </c>
      <c r="AW316" s="32">
        <v>84.9</v>
      </c>
      <c r="AX316" s="32">
        <v>32.700000000000003</v>
      </c>
      <c r="AY316" s="32">
        <v>142.4</v>
      </c>
      <c r="AZ316" s="32">
        <v>85.4</v>
      </c>
      <c r="BA316" s="32">
        <v>109.1</v>
      </c>
      <c r="BB316" s="32">
        <v>109.1</v>
      </c>
      <c r="BC316" s="32">
        <v>78.2</v>
      </c>
      <c r="BD316" s="32">
        <v>78.2</v>
      </c>
      <c r="BE316" s="32">
        <v>90.3</v>
      </c>
      <c r="BF316" s="32">
        <v>90.3</v>
      </c>
      <c r="BG316" s="32">
        <v>95.1</v>
      </c>
      <c r="BH316" s="32">
        <v>97.5</v>
      </c>
      <c r="BI316" s="32">
        <v>91.9</v>
      </c>
      <c r="BJ316" s="32">
        <v>102.3</v>
      </c>
      <c r="BK316" s="32">
        <v>90.1</v>
      </c>
      <c r="BL316" s="32">
        <v>86.9</v>
      </c>
      <c r="BM316" s="32">
        <v>102.8</v>
      </c>
      <c r="BN316" s="32">
        <v>100.1</v>
      </c>
      <c r="BO316" s="32">
        <v>102.6</v>
      </c>
      <c r="BP316" s="32">
        <v>98.1</v>
      </c>
      <c r="BQ316" s="32">
        <v>105.9</v>
      </c>
      <c r="BR316" s="32">
        <v>101.3</v>
      </c>
      <c r="BS316" s="32">
        <v>90.2</v>
      </c>
      <c r="BT316" s="32">
        <v>111.7</v>
      </c>
      <c r="BU316" s="32">
        <v>61.9</v>
      </c>
      <c r="BV316" s="32">
        <v>61.9</v>
      </c>
      <c r="BW316" s="32">
        <v>63.4</v>
      </c>
      <c r="BX316" s="32">
        <v>56.1</v>
      </c>
      <c r="BY316" s="32">
        <v>105.8</v>
      </c>
      <c r="BZ316" s="32">
        <v>95</v>
      </c>
      <c r="CA316" s="32">
        <v>111.5</v>
      </c>
      <c r="CB316" s="32">
        <v>106.1</v>
      </c>
      <c r="CC316" s="32">
        <v>116.2</v>
      </c>
      <c r="CD316" s="32">
        <v>132.1</v>
      </c>
      <c r="CE316" s="32">
        <v>104.3</v>
      </c>
      <c r="CF316" s="32">
        <v>103.7</v>
      </c>
      <c r="CG316" s="32">
        <v>97.1</v>
      </c>
      <c r="CH316" s="32">
        <v>100.5</v>
      </c>
      <c r="CI316" s="32">
        <v>86.6</v>
      </c>
      <c r="CJ316" s="32">
        <v>112.8</v>
      </c>
      <c r="CK316" s="32">
        <v>94.8</v>
      </c>
      <c r="CL316" s="32">
        <v>85.1</v>
      </c>
      <c r="CM316" s="32">
        <v>79.5</v>
      </c>
      <c r="CN316" s="32">
        <v>58</v>
      </c>
      <c r="CO316" s="32">
        <v>84.2</v>
      </c>
      <c r="CP316" s="32">
        <v>79.099999999999994</v>
      </c>
      <c r="CQ316" s="32">
        <v>53.9</v>
      </c>
      <c r="CR316" s="32">
        <v>92.1</v>
      </c>
      <c r="CS316" s="32">
        <v>101.9</v>
      </c>
      <c r="CT316" s="32">
        <v>101.5</v>
      </c>
      <c r="CU316" s="32">
        <v>97.4</v>
      </c>
      <c r="CV316" s="32">
        <v>103.2</v>
      </c>
      <c r="CW316" s="32">
        <v>123.7</v>
      </c>
      <c r="CX316" s="32">
        <v>106.2</v>
      </c>
      <c r="CY316" s="32">
        <v>114.6</v>
      </c>
      <c r="CZ316" s="32">
        <v>101.5</v>
      </c>
      <c r="DA316" s="32">
        <v>112.1</v>
      </c>
      <c r="DB316" s="32">
        <v>82</v>
      </c>
      <c r="DC316" s="32">
        <v>146</v>
      </c>
      <c r="DD316" s="32">
        <v>146</v>
      </c>
      <c r="DE316" s="32">
        <v>120.3</v>
      </c>
      <c r="DF316" s="32">
        <v>120.7</v>
      </c>
      <c r="DG316" s="32">
        <v>118</v>
      </c>
      <c r="DH316" s="32">
        <v>104.2</v>
      </c>
      <c r="DI316" s="32">
        <v>84</v>
      </c>
      <c r="DJ316" s="32">
        <v>121.6</v>
      </c>
      <c r="DK316" s="32">
        <v>121.6</v>
      </c>
      <c r="DL316" s="32">
        <v>127.2</v>
      </c>
      <c r="DM316" s="32">
        <v>101.6</v>
      </c>
      <c r="DN316" s="32">
        <v>96.5</v>
      </c>
      <c r="DO316" s="32">
        <v>103.3</v>
      </c>
      <c r="DP316" s="32">
        <v>108.1</v>
      </c>
      <c r="DQ316" s="32">
        <v>108.2</v>
      </c>
      <c r="DR316" s="32">
        <v>113.5</v>
      </c>
      <c r="DS316" s="32">
        <v>113.5</v>
      </c>
      <c r="DT316" s="32">
        <v>113.5</v>
      </c>
      <c r="DU316" s="32">
        <v>111</v>
      </c>
      <c r="DV316" s="32">
        <v>101</v>
      </c>
      <c r="DW316" s="32">
        <v>123.3</v>
      </c>
      <c r="DX316" s="32">
        <v>118.9</v>
      </c>
      <c r="DY316" s="32">
        <v>113.6</v>
      </c>
      <c r="DZ316" s="32">
        <v>117.7</v>
      </c>
      <c r="EA316" s="32">
        <v>117.7</v>
      </c>
      <c r="EB316" s="32">
        <v>111.5</v>
      </c>
      <c r="EC316" s="32">
        <v>110.4</v>
      </c>
      <c r="ED316" s="32">
        <v>113</v>
      </c>
      <c r="EE316" s="32">
        <v>105.3</v>
      </c>
      <c r="EF316" s="32">
        <v>131.9</v>
      </c>
      <c r="EG316" s="32">
        <v>100.6</v>
      </c>
      <c r="EH316" s="32">
        <v>95.3</v>
      </c>
      <c r="EI316" s="32">
        <v>102.5</v>
      </c>
      <c r="EJ316" s="32">
        <v>90.3</v>
      </c>
      <c r="EK316" s="32">
        <v>105</v>
      </c>
      <c r="EL316" s="32">
        <v>99.5</v>
      </c>
      <c r="EM316" s="32">
        <v>115.6</v>
      </c>
      <c r="EN316" s="32">
        <v>99.7</v>
      </c>
      <c r="EO316" s="32">
        <v>102.3</v>
      </c>
      <c r="EP316" s="32">
        <v>101.4</v>
      </c>
      <c r="EQ316" s="32">
        <v>101.4</v>
      </c>
      <c r="ER316" s="32">
        <v>101</v>
      </c>
      <c r="ES316" s="32">
        <v>101</v>
      </c>
      <c r="ET316" s="32">
        <v>103.9</v>
      </c>
      <c r="EU316" s="32">
        <v>102</v>
      </c>
      <c r="EV316" s="32">
        <v>102</v>
      </c>
      <c r="EW316" s="32">
        <v>108</v>
      </c>
      <c r="EX316" s="32">
        <v>104.7</v>
      </c>
      <c r="EY316" s="32">
        <v>110.7</v>
      </c>
      <c r="EZ316" s="32">
        <v>99.3</v>
      </c>
      <c r="FA316" s="32">
        <v>99.1</v>
      </c>
      <c r="FB316" s="32">
        <v>101.2</v>
      </c>
      <c r="FC316" s="32">
        <v>113.2</v>
      </c>
      <c r="FD316" s="32">
        <v>113.3</v>
      </c>
      <c r="FE316" s="32">
        <v>78.7</v>
      </c>
      <c r="FF316" s="32">
        <v>96.5</v>
      </c>
      <c r="FG316" s="32">
        <v>101.7</v>
      </c>
      <c r="FH316" s="32">
        <v>101.8</v>
      </c>
      <c r="FI316" s="32">
        <v>110.5</v>
      </c>
      <c r="FJ316" s="32">
        <v>100.7</v>
      </c>
      <c r="FK316" s="32">
        <v>78.8</v>
      </c>
      <c r="FL316" s="32">
        <v>78.8</v>
      </c>
    </row>
    <row r="317" spans="1:168" x14ac:dyDescent="0.2">
      <c r="A317" s="34" t="s">
        <v>1297</v>
      </c>
      <c r="B317" s="32">
        <v>102</v>
      </c>
      <c r="C317" s="32">
        <v>85.5</v>
      </c>
      <c r="D317" s="32">
        <v>98</v>
      </c>
      <c r="E317" s="32">
        <v>94.1</v>
      </c>
      <c r="F317" s="32">
        <v>68.8</v>
      </c>
      <c r="G317" s="32">
        <v>26.2</v>
      </c>
      <c r="H317" s="32">
        <v>65.2</v>
      </c>
      <c r="I317" s="32">
        <v>88.9</v>
      </c>
      <c r="J317" s="32">
        <v>100</v>
      </c>
      <c r="K317" s="32">
        <v>114.7</v>
      </c>
      <c r="L317" s="32">
        <v>119</v>
      </c>
      <c r="M317" s="32">
        <v>133.1</v>
      </c>
      <c r="N317" s="32">
        <v>104.3</v>
      </c>
      <c r="O317" s="32">
        <v>65.099999999999994</v>
      </c>
      <c r="P317" s="32">
        <v>132.9</v>
      </c>
      <c r="Q317" s="32">
        <v>108.5</v>
      </c>
      <c r="R317" s="32">
        <v>114.1</v>
      </c>
      <c r="S317" s="32">
        <v>117.6</v>
      </c>
      <c r="T317" s="32">
        <v>109.6</v>
      </c>
      <c r="U317" s="32">
        <v>88.1</v>
      </c>
      <c r="V317" s="32">
        <v>106.4</v>
      </c>
      <c r="W317" s="32">
        <v>127.7</v>
      </c>
      <c r="X317" s="32">
        <v>125.6</v>
      </c>
      <c r="Y317" s="32">
        <v>130.30000000000001</v>
      </c>
      <c r="Z317" s="32">
        <v>135.1</v>
      </c>
      <c r="AA317" s="32">
        <v>83.3</v>
      </c>
      <c r="AB317" s="32">
        <v>75.400000000000006</v>
      </c>
      <c r="AC317" s="32">
        <v>89</v>
      </c>
      <c r="AD317" s="32">
        <v>83.9</v>
      </c>
      <c r="AE317" s="32">
        <v>80.5</v>
      </c>
      <c r="AF317" s="32">
        <v>80.5</v>
      </c>
      <c r="AG317" s="32">
        <v>78.599999999999994</v>
      </c>
      <c r="AH317" s="32">
        <v>78.599999999999994</v>
      </c>
      <c r="AI317" s="32">
        <v>139.6</v>
      </c>
      <c r="AJ317" s="32">
        <v>37.9</v>
      </c>
      <c r="AK317" s="32">
        <v>132.1</v>
      </c>
      <c r="AL317" s="32">
        <v>77.7</v>
      </c>
      <c r="AM317" s="32">
        <v>83.6</v>
      </c>
      <c r="AN317" s="32">
        <v>75.2</v>
      </c>
      <c r="AO317" s="32">
        <v>129.5</v>
      </c>
      <c r="AP317" s="32">
        <v>129.5</v>
      </c>
      <c r="AQ317" s="32">
        <v>97.5</v>
      </c>
      <c r="AR317" s="32">
        <v>102.5</v>
      </c>
      <c r="AS317" s="32">
        <v>91.2</v>
      </c>
      <c r="AT317" s="32">
        <v>95.9</v>
      </c>
      <c r="AU317" s="32">
        <v>87.6</v>
      </c>
      <c r="AV317" s="32">
        <v>84.3</v>
      </c>
      <c r="AW317" s="32">
        <v>85</v>
      </c>
      <c r="AX317" s="32">
        <v>31.9</v>
      </c>
      <c r="AY317" s="32">
        <v>143.69999999999999</v>
      </c>
      <c r="AZ317" s="32">
        <v>84.2</v>
      </c>
      <c r="BA317" s="32">
        <v>109.7</v>
      </c>
      <c r="BB317" s="32">
        <v>109.7</v>
      </c>
      <c r="BC317" s="32">
        <v>77.5</v>
      </c>
      <c r="BD317" s="32">
        <v>77.5</v>
      </c>
      <c r="BE317" s="32">
        <v>93.3</v>
      </c>
      <c r="BF317" s="32">
        <v>93.3</v>
      </c>
      <c r="BG317" s="32">
        <v>95.9</v>
      </c>
      <c r="BH317" s="32">
        <v>98</v>
      </c>
      <c r="BI317" s="32">
        <v>92.9</v>
      </c>
      <c r="BJ317" s="32">
        <v>103.4</v>
      </c>
      <c r="BK317" s="32">
        <v>91.1</v>
      </c>
      <c r="BL317" s="32">
        <v>87.9</v>
      </c>
      <c r="BM317" s="32">
        <v>104.3</v>
      </c>
      <c r="BN317" s="32">
        <v>99.3</v>
      </c>
      <c r="BO317" s="32">
        <v>99.9</v>
      </c>
      <c r="BP317" s="32">
        <v>98.8</v>
      </c>
      <c r="BQ317" s="32">
        <v>109.9</v>
      </c>
      <c r="BR317" s="32">
        <v>101.6</v>
      </c>
      <c r="BS317" s="32">
        <v>88.9</v>
      </c>
      <c r="BT317" s="32">
        <v>118</v>
      </c>
      <c r="BU317" s="32">
        <v>63.8</v>
      </c>
      <c r="BV317" s="32">
        <v>63.8</v>
      </c>
      <c r="BW317" s="32">
        <v>65.3</v>
      </c>
      <c r="BX317" s="32">
        <v>58.2</v>
      </c>
      <c r="BY317" s="32">
        <v>105.6</v>
      </c>
      <c r="BZ317" s="32">
        <v>96</v>
      </c>
      <c r="CA317" s="32">
        <v>110.7</v>
      </c>
      <c r="CB317" s="32">
        <v>105.2</v>
      </c>
      <c r="CC317" s="32">
        <v>115.5</v>
      </c>
      <c r="CD317" s="32">
        <v>130.5</v>
      </c>
      <c r="CE317" s="32">
        <v>106.5</v>
      </c>
      <c r="CF317" s="32">
        <v>103.1</v>
      </c>
      <c r="CG317" s="32">
        <v>95.8</v>
      </c>
      <c r="CH317" s="32">
        <v>99.7</v>
      </c>
      <c r="CI317" s="32">
        <v>89.9</v>
      </c>
      <c r="CJ317" s="32">
        <v>111.6</v>
      </c>
      <c r="CK317" s="32">
        <v>93.2</v>
      </c>
      <c r="CL317" s="32">
        <v>82.4</v>
      </c>
      <c r="CM317" s="32">
        <v>77.7</v>
      </c>
      <c r="CN317" s="32">
        <v>54.5</v>
      </c>
      <c r="CO317" s="32">
        <v>82.8</v>
      </c>
      <c r="CP317" s="32">
        <v>72.099999999999994</v>
      </c>
      <c r="CQ317" s="32">
        <v>55.7</v>
      </c>
      <c r="CR317" s="32">
        <v>92.1</v>
      </c>
      <c r="CS317" s="32">
        <v>92.3</v>
      </c>
      <c r="CT317" s="32">
        <v>100.4</v>
      </c>
      <c r="CU317" s="32">
        <v>98.5</v>
      </c>
      <c r="CV317" s="32">
        <v>101.3</v>
      </c>
      <c r="CW317" s="32">
        <v>124.1</v>
      </c>
      <c r="CX317" s="32">
        <v>106.2</v>
      </c>
      <c r="CY317" s="32">
        <v>112.2</v>
      </c>
      <c r="CZ317" s="32">
        <v>102.8</v>
      </c>
      <c r="DA317" s="32">
        <v>111.7</v>
      </c>
      <c r="DB317" s="32">
        <v>86.4</v>
      </c>
      <c r="DC317" s="32">
        <v>148.30000000000001</v>
      </c>
      <c r="DD317" s="32">
        <v>148.30000000000001</v>
      </c>
      <c r="DE317" s="32">
        <v>119.7</v>
      </c>
      <c r="DF317" s="32">
        <v>120.3</v>
      </c>
      <c r="DG317" s="32">
        <v>116.4</v>
      </c>
      <c r="DH317" s="32">
        <v>104.7</v>
      </c>
      <c r="DI317" s="32">
        <v>85.1</v>
      </c>
      <c r="DJ317" s="32">
        <v>121.7</v>
      </c>
      <c r="DK317" s="32">
        <v>121.7</v>
      </c>
      <c r="DL317" s="32">
        <v>127</v>
      </c>
      <c r="DM317" s="32">
        <v>101.5</v>
      </c>
      <c r="DN317" s="32">
        <v>95.8</v>
      </c>
      <c r="DO317" s="32">
        <v>103.4</v>
      </c>
      <c r="DP317" s="32">
        <v>109.7</v>
      </c>
      <c r="DQ317" s="32">
        <v>108.5</v>
      </c>
      <c r="DR317" s="32">
        <v>113.7</v>
      </c>
      <c r="DS317" s="32">
        <v>114.1</v>
      </c>
      <c r="DT317" s="32">
        <v>114</v>
      </c>
      <c r="DU317" s="32">
        <v>111.9</v>
      </c>
      <c r="DV317" s="32">
        <v>102.2</v>
      </c>
      <c r="DW317" s="32">
        <v>124</v>
      </c>
      <c r="DX317" s="32">
        <v>118.5</v>
      </c>
      <c r="DY317" s="32">
        <v>114.6</v>
      </c>
      <c r="DZ317" s="32">
        <v>117.3</v>
      </c>
      <c r="EA317" s="32">
        <v>117.3</v>
      </c>
      <c r="EB317" s="32">
        <v>110.8</v>
      </c>
      <c r="EC317" s="32">
        <v>109.3</v>
      </c>
      <c r="ED317" s="32">
        <v>112.7</v>
      </c>
      <c r="EE317" s="32">
        <v>104</v>
      </c>
      <c r="EF317" s="32">
        <v>134.1</v>
      </c>
      <c r="EG317" s="32">
        <v>100.8</v>
      </c>
      <c r="EH317" s="32">
        <v>96.4</v>
      </c>
      <c r="EI317" s="32">
        <v>101.6</v>
      </c>
      <c r="EJ317" s="32">
        <v>93</v>
      </c>
      <c r="EK317" s="32">
        <v>105</v>
      </c>
      <c r="EL317" s="32">
        <v>100.5</v>
      </c>
      <c r="EM317" s="32">
        <v>114.2</v>
      </c>
      <c r="EN317" s="32">
        <v>100.3</v>
      </c>
      <c r="EO317" s="32">
        <v>100.6</v>
      </c>
      <c r="EP317" s="32">
        <v>101.3</v>
      </c>
      <c r="EQ317" s="32">
        <v>101.3</v>
      </c>
      <c r="ER317" s="32">
        <v>99.1</v>
      </c>
      <c r="ES317" s="32">
        <v>99.1</v>
      </c>
      <c r="ET317" s="32">
        <v>101.3</v>
      </c>
      <c r="EU317" s="32">
        <v>98</v>
      </c>
      <c r="EV317" s="32">
        <v>98</v>
      </c>
      <c r="EW317" s="32">
        <v>108.4</v>
      </c>
      <c r="EX317" s="32">
        <v>105.6</v>
      </c>
      <c r="EY317" s="32">
        <v>110.7</v>
      </c>
      <c r="EZ317" s="32">
        <v>98.1</v>
      </c>
      <c r="FA317" s="32">
        <v>96.8</v>
      </c>
      <c r="FB317" s="32">
        <v>100.4</v>
      </c>
      <c r="FC317" s="32">
        <v>111.2</v>
      </c>
      <c r="FD317" s="32">
        <v>114.6</v>
      </c>
      <c r="FE317" s="32">
        <v>78.599999999999994</v>
      </c>
      <c r="FF317" s="32">
        <v>92.3</v>
      </c>
      <c r="FG317" s="32">
        <v>101.9</v>
      </c>
      <c r="FH317" s="32">
        <v>103.8</v>
      </c>
      <c r="FI317" s="32">
        <v>108.6</v>
      </c>
      <c r="FJ317" s="32">
        <v>100.3</v>
      </c>
      <c r="FK317" s="32">
        <v>74.7</v>
      </c>
      <c r="FL317" s="32">
        <v>74.7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9041-C698-472F-BEAA-E84B860D863E}">
  <dimension ref="A1:FL349"/>
  <sheetViews>
    <sheetView workbookViewId="0">
      <pane xSplit="1" ySplit="5" topLeftCell="CE302" activePane="bottomRight" state="frozen"/>
      <selection pane="topRight" activeCell="B1" sqref="B1"/>
      <selection pane="bottomLeft" activeCell="A6" sqref="A6"/>
      <selection pane="bottomRight" activeCell="CK317" sqref="CK317"/>
    </sheetView>
  </sheetViews>
  <sheetFormatPr defaultColWidth="9.140625" defaultRowHeight="15" x14ac:dyDescent="0.2"/>
  <cols>
    <col min="1" max="1" width="39.28515625" style="35" customWidth="1"/>
    <col min="2" max="168" width="15.7109375" style="35" customWidth="1"/>
    <col min="169" max="16384" width="9.140625" style="35"/>
  </cols>
  <sheetData>
    <row r="1" spans="1:168" ht="19.5" x14ac:dyDescent="0.2">
      <c r="A1" s="22" t="s">
        <v>1298</v>
      </c>
    </row>
    <row r="2" spans="1:168" x14ac:dyDescent="0.2">
      <c r="A2" s="36" t="s">
        <v>816</v>
      </c>
    </row>
    <row r="3" spans="1:168" x14ac:dyDescent="0.2">
      <c r="A3" s="36" t="s">
        <v>817</v>
      </c>
    </row>
    <row r="4" spans="1:168" s="38" customFormat="1" x14ac:dyDescent="0.2">
      <c r="A4" s="37" t="s">
        <v>1299</v>
      </c>
    </row>
    <row r="5" spans="1:168" s="39" customFormat="1" ht="157.5" customHeight="1" x14ac:dyDescent="0.25">
      <c r="A5" s="27" t="s">
        <v>390</v>
      </c>
      <c r="B5" s="28" t="s">
        <v>819</v>
      </c>
      <c r="C5" s="28" t="s">
        <v>820</v>
      </c>
      <c r="D5" s="28" t="s">
        <v>821</v>
      </c>
      <c r="E5" s="28" t="s">
        <v>822</v>
      </c>
      <c r="F5" s="28" t="s">
        <v>823</v>
      </c>
      <c r="G5" s="28" t="s">
        <v>824</v>
      </c>
      <c r="H5" s="28" t="s">
        <v>825</v>
      </c>
      <c r="I5" s="28" t="s">
        <v>826</v>
      </c>
      <c r="J5" s="28" t="s">
        <v>827</v>
      </c>
      <c r="K5" s="28" t="s">
        <v>828</v>
      </c>
      <c r="L5" s="28" t="s">
        <v>829</v>
      </c>
      <c r="M5" s="28" t="s">
        <v>830</v>
      </c>
      <c r="N5" s="28" t="s">
        <v>831</v>
      </c>
      <c r="O5" s="28" t="s">
        <v>832</v>
      </c>
      <c r="P5" s="28" t="s">
        <v>833</v>
      </c>
      <c r="Q5" s="28" t="s">
        <v>834</v>
      </c>
      <c r="R5" s="28" t="s">
        <v>835</v>
      </c>
      <c r="S5" s="28" t="s">
        <v>836</v>
      </c>
      <c r="T5" s="28" t="s">
        <v>837</v>
      </c>
      <c r="U5" s="28" t="s">
        <v>838</v>
      </c>
      <c r="V5" s="28" t="s">
        <v>839</v>
      </c>
      <c r="W5" s="28" t="s">
        <v>840</v>
      </c>
      <c r="X5" s="28" t="s">
        <v>841</v>
      </c>
      <c r="Y5" s="28" t="s">
        <v>842</v>
      </c>
      <c r="Z5" s="28" t="s">
        <v>843</v>
      </c>
      <c r="AA5" s="28" t="s">
        <v>844</v>
      </c>
      <c r="AB5" s="28" t="s">
        <v>845</v>
      </c>
      <c r="AC5" s="28" t="s">
        <v>846</v>
      </c>
      <c r="AD5" s="28" t="s">
        <v>847</v>
      </c>
      <c r="AE5" s="28" t="s">
        <v>848</v>
      </c>
      <c r="AF5" s="28" t="s">
        <v>849</v>
      </c>
      <c r="AG5" s="28" t="s">
        <v>850</v>
      </c>
      <c r="AH5" s="28" t="s">
        <v>851</v>
      </c>
      <c r="AI5" s="28" t="s">
        <v>852</v>
      </c>
      <c r="AJ5" s="28" t="s">
        <v>853</v>
      </c>
      <c r="AK5" s="28" t="s">
        <v>854</v>
      </c>
      <c r="AL5" s="28" t="s">
        <v>855</v>
      </c>
      <c r="AM5" s="28" t="s">
        <v>856</v>
      </c>
      <c r="AN5" s="28" t="s">
        <v>857</v>
      </c>
      <c r="AO5" s="28" t="s">
        <v>858</v>
      </c>
      <c r="AP5" s="28" t="s">
        <v>859</v>
      </c>
      <c r="AQ5" s="28" t="s">
        <v>860</v>
      </c>
      <c r="AR5" s="28" t="s">
        <v>861</v>
      </c>
      <c r="AS5" s="28" t="s">
        <v>862</v>
      </c>
      <c r="AT5" s="28" t="s">
        <v>863</v>
      </c>
      <c r="AU5" s="28" t="s">
        <v>864</v>
      </c>
      <c r="AV5" s="28" t="s">
        <v>865</v>
      </c>
      <c r="AW5" s="28" t="s">
        <v>866</v>
      </c>
      <c r="AX5" s="28" t="s">
        <v>867</v>
      </c>
      <c r="AY5" s="28" t="s">
        <v>868</v>
      </c>
      <c r="AZ5" s="28" t="s">
        <v>869</v>
      </c>
      <c r="BA5" s="28" t="s">
        <v>870</v>
      </c>
      <c r="BB5" s="28" t="s">
        <v>871</v>
      </c>
      <c r="BC5" s="28" t="s">
        <v>872</v>
      </c>
      <c r="BD5" s="28" t="s">
        <v>873</v>
      </c>
      <c r="BE5" s="28" t="s">
        <v>874</v>
      </c>
      <c r="BF5" s="28" t="s">
        <v>875</v>
      </c>
      <c r="BG5" s="28" t="s">
        <v>876</v>
      </c>
      <c r="BH5" s="28" t="s">
        <v>877</v>
      </c>
      <c r="BI5" s="28" t="s">
        <v>878</v>
      </c>
      <c r="BJ5" s="28" t="s">
        <v>879</v>
      </c>
      <c r="BK5" s="28" t="s">
        <v>880</v>
      </c>
      <c r="BL5" s="28" t="s">
        <v>881</v>
      </c>
      <c r="BM5" s="28" t="s">
        <v>882</v>
      </c>
      <c r="BN5" s="28" t="s">
        <v>883</v>
      </c>
      <c r="BO5" s="28" t="s">
        <v>884</v>
      </c>
      <c r="BP5" s="28" t="s">
        <v>885</v>
      </c>
      <c r="BQ5" s="28" t="s">
        <v>886</v>
      </c>
      <c r="BR5" s="28" t="s">
        <v>887</v>
      </c>
      <c r="BS5" s="28" t="s">
        <v>888</v>
      </c>
      <c r="BT5" s="28" t="s">
        <v>889</v>
      </c>
      <c r="BU5" s="28" t="s">
        <v>890</v>
      </c>
      <c r="BV5" s="28" t="s">
        <v>891</v>
      </c>
      <c r="BW5" s="28" t="s">
        <v>892</v>
      </c>
      <c r="BX5" s="28" t="s">
        <v>893</v>
      </c>
      <c r="BY5" s="28" t="s">
        <v>894</v>
      </c>
      <c r="BZ5" s="28" t="s">
        <v>895</v>
      </c>
      <c r="CA5" s="28" t="s">
        <v>896</v>
      </c>
      <c r="CB5" s="28" t="s">
        <v>897</v>
      </c>
      <c r="CC5" s="28" t="s">
        <v>898</v>
      </c>
      <c r="CD5" s="28" t="s">
        <v>899</v>
      </c>
      <c r="CE5" s="28" t="s">
        <v>900</v>
      </c>
      <c r="CF5" s="28" t="s">
        <v>901</v>
      </c>
      <c r="CG5" s="28" t="s">
        <v>902</v>
      </c>
      <c r="CH5" s="28" t="s">
        <v>903</v>
      </c>
      <c r="CI5" s="28" t="s">
        <v>904</v>
      </c>
      <c r="CJ5" s="28" t="s">
        <v>905</v>
      </c>
      <c r="CK5" s="28" t="s">
        <v>906</v>
      </c>
      <c r="CL5" s="28" t="s">
        <v>907</v>
      </c>
      <c r="CM5" s="28" t="s">
        <v>908</v>
      </c>
      <c r="CN5" s="28" t="s">
        <v>909</v>
      </c>
      <c r="CO5" s="28" t="s">
        <v>910</v>
      </c>
      <c r="CP5" s="28" t="s">
        <v>911</v>
      </c>
      <c r="CQ5" s="28" t="s">
        <v>912</v>
      </c>
      <c r="CR5" s="28" t="s">
        <v>913</v>
      </c>
      <c r="CS5" s="28" t="s">
        <v>914</v>
      </c>
      <c r="CT5" s="28" t="s">
        <v>915</v>
      </c>
      <c r="CU5" s="28" t="s">
        <v>916</v>
      </c>
      <c r="CV5" s="28" t="s">
        <v>917</v>
      </c>
      <c r="CW5" s="28" t="s">
        <v>918</v>
      </c>
      <c r="CX5" s="28" t="s">
        <v>919</v>
      </c>
      <c r="CY5" s="28" t="s">
        <v>920</v>
      </c>
      <c r="CZ5" s="28" t="s">
        <v>921</v>
      </c>
      <c r="DA5" s="28" t="s">
        <v>922</v>
      </c>
      <c r="DB5" s="28" t="s">
        <v>923</v>
      </c>
      <c r="DC5" s="28" t="s">
        <v>924</v>
      </c>
      <c r="DD5" s="28" t="s">
        <v>925</v>
      </c>
      <c r="DE5" s="28" t="s">
        <v>926</v>
      </c>
      <c r="DF5" s="28" t="s">
        <v>927</v>
      </c>
      <c r="DG5" s="28" t="s">
        <v>928</v>
      </c>
      <c r="DH5" s="28" t="s">
        <v>929</v>
      </c>
      <c r="DI5" s="28" t="s">
        <v>930</v>
      </c>
      <c r="DJ5" s="28" t="s">
        <v>931</v>
      </c>
      <c r="DK5" s="28" t="s">
        <v>932</v>
      </c>
      <c r="DL5" s="28" t="s">
        <v>933</v>
      </c>
      <c r="DM5" s="28" t="s">
        <v>934</v>
      </c>
      <c r="DN5" s="28" t="s">
        <v>935</v>
      </c>
      <c r="DO5" s="28" t="s">
        <v>936</v>
      </c>
      <c r="DP5" s="28" t="s">
        <v>937</v>
      </c>
      <c r="DQ5" s="28" t="s">
        <v>938</v>
      </c>
      <c r="DR5" s="28" t="s">
        <v>939</v>
      </c>
      <c r="DS5" s="28" t="s">
        <v>940</v>
      </c>
      <c r="DT5" s="28" t="s">
        <v>941</v>
      </c>
      <c r="DU5" s="28" t="s">
        <v>942</v>
      </c>
      <c r="DV5" s="28" t="s">
        <v>943</v>
      </c>
      <c r="DW5" s="28" t="s">
        <v>944</v>
      </c>
      <c r="DX5" s="28" t="s">
        <v>945</v>
      </c>
      <c r="DY5" s="28" t="s">
        <v>946</v>
      </c>
      <c r="DZ5" s="28" t="s">
        <v>947</v>
      </c>
      <c r="EA5" s="28" t="s">
        <v>948</v>
      </c>
      <c r="EB5" s="28" t="s">
        <v>949</v>
      </c>
      <c r="EC5" s="28" t="s">
        <v>950</v>
      </c>
      <c r="ED5" s="28" t="s">
        <v>951</v>
      </c>
      <c r="EE5" s="28" t="s">
        <v>952</v>
      </c>
      <c r="EF5" s="28" t="s">
        <v>953</v>
      </c>
      <c r="EG5" s="28" t="s">
        <v>954</v>
      </c>
      <c r="EH5" s="28" t="s">
        <v>955</v>
      </c>
      <c r="EI5" s="28" t="s">
        <v>956</v>
      </c>
      <c r="EJ5" s="28" t="s">
        <v>957</v>
      </c>
      <c r="EK5" s="28" t="s">
        <v>958</v>
      </c>
      <c r="EL5" s="28" t="s">
        <v>959</v>
      </c>
      <c r="EM5" s="28" t="s">
        <v>960</v>
      </c>
      <c r="EN5" s="28" t="s">
        <v>961</v>
      </c>
      <c r="EO5" s="28" t="s">
        <v>962</v>
      </c>
      <c r="EP5" s="28" t="s">
        <v>963</v>
      </c>
      <c r="EQ5" s="28" t="s">
        <v>964</v>
      </c>
      <c r="ER5" s="28" t="s">
        <v>965</v>
      </c>
      <c r="ES5" s="28" t="s">
        <v>966</v>
      </c>
      <c r="ET5" s="28" t="s">
        <v>967</v>
      </c>
      <c r="EU5" s="28" t="s">
        <v>968</v>
      </c>
      <c r="EV5" s="28" t="s">
        <v>969</v>
      </c>
      <c r="EW5" s="28" t="s">
        <v>970</v>
      </c>
      <c r="EX5" s="28" t="s">
        <v>971</v>
      </c>
      <c r="EY5" s="28" t="s">
        <v>972</v>
      </c>
      <c r="EZ5" s="28" t="s">
        <v>973</v>
      </c>
      <c r="FA5" s="28" t="s">
        <v>974</v>
      </c>
      <c r="FB5" s="28" t="s">
        <v>975</v>
      </c>
      <c r="FC5" s="28" t="s">
        <v>976</v>
      </c>
      <c r="FD5" s="28" t="s">
        <v>977</v>
      </c>
      <c r="FE5" s="28" t="s">
        <v>978</v>
      </c>
      <c r="FF5" s="28" t="s">
        <v>979</v>
      </c>
      <c r="FG5" s="28" t="s">
        <v>980</v>
      </c>
      <c r="FH5" s="28" t="s">
        <v>981</v>
      </c>
      <c r="FI5" s="28" t="s">
        <v>982</v>
      </c>
      <c r="FJ5" s="28" t="s">
        <v>983</v>
      </c>
      <c r="FK5" s="28" t="s">
        <v>984</v>
      </c>
      <c r="FL5" s="28" t="s">
        <v>985</v>
      </c>
    </row>
    <row r="6" spans="1:168" x14ac:dyDescent="0.2">
      <c r="A6" s="31" t="s">
        <v>986</v>
      </c>
      <c r="B6" s="32">
        <v>62</v>
      </c>
      <c r="C6" s="32">
        <v>51.2</v>
      </c>
      <c r="D6" s="32">
        <v>84.8</v>
      </c>
      <c r="E6" s="32">
        <v>85.6</v>
      </c>
      <c r="F6" s="32">
        <v>504.2</v>
      </c>
      <c r="G6" s="32">
        <v>14691.2</v>
      </c>
      <c r="H6" s="32">
        <v>623.6</v>
      </c>
      <c r="I6" s="32">
        <v>105.6</v>
      </c>
      <c r="J6" s="32">
        <v>65.599999999999994</v>
      </c>
      <c r="K6" s="32">
        <v>86.7</v>
      </c>
      <c r="L6" s="32">
        <v>85</v>
      </c>
      <c r="M6" s="32">
        <v>82.7</v>
      </c>
      <c r="N6" s="32">
        <v>72.400000000000006</v>
      </c>
      <c r="O6" s="32">
        <v>362.9</v>
      </c>
      <c r="P6" s="32">
        <v>654.70000000000005</v>
      </c>
      <c r="Q6" s="32">
        <v>183.1</v>
      </c>
      <c r="R6" s="32">
        <v>57.5</v>
      </c>
      <c r="S6" s="32">
        <v>91.2</v>
      </c>
      <c r="T6" s="32">
        <v>121.1</v>
      </c>
      <c r="U6" s="32">
        <v>23.9</v>
      </c>
      <c r="V6" s="32">
        <v>140.19999999999999</v>
      </c>
      <c r="W6" s="32">
        <v>47.9</v>
      </c>
      <c r="X6" s="32">
        <v>28</v>
      </c>
      <c r="Y6" s="32">
        <v>69</v>
      </c>
      <c r="Z6" s="32">
        <v>185.3</v>
      </c>
      <c r="AA6" s="32">
        <v>62.9</v>
      </c>
      <c r="AB6" s="32">
        <v>69.2</v>
      </c>
      <c r="AC6" s="32">
        <v>55</v>
      </c>
      <c r="AD6" s="32">
        <v>71.400000000000006</v>
      </c>
      <c r="AE6" s="32">
        <v>142.4</v>
      </c>
      <c r="AF6" s="32">
        <v>142.4</v>
      </c>
      <c r="AG6" s="32">
        <v>57.5</v>
      </c>
      <c r="AH6" s="32">
        <v>57.5</v>
      </c>
      <c r="AI6" s="32">
        <v>173.5</v>
      </c>
      <c r="AJ6" s="32">
        <v>70.099999999999994</v>
      </c>
      <c r="AK6" s="32">
        <v>814.7</v>
      </c>
      <c r="AL6" s="32">
        <v>122.6</v>
      </c>
      <c r="AM6" s="32">
        <v>18.5</v>
      </c>
      <c r="AN6" s="32">
        <v>113.5</v>
      </c>
      <c r="AO6" s="32">
        <v>68.3</v>
      </c>
      <c r="AP6" s="32">
        <v>68.3</v>
      </c>
      <c r="AQ6" s="32">
        <v>96.5</v>
      </c>
      <c r="AR6" s="32">
        <v>91.8</v>
      </c>
      <c r="AS6" s="32">
        <v>105.7</v>
      </c>
      <c r="AT6" s="32">
        <v>113.6</v>
      </c>
      <c r="AU6" s="32">
        <v>89.7</v>
      </c>
      <c r="AV6" s="32">
        <v>106</v>
      </c>
      <c r="AW6" s="32">
        <v>173.9</v>
      </c>
      <c r="AX6" s="32">
        <v>259.10000000000002</v>
      </c>
      <c r="AY6" s="32">
        <v>235</v>
      </c>
      <c r="AZ6" s="32">
        <v>96.2</v>
      </c>
      <c r="BA6" s="32">
        <v>13</v>
      </c>
      <c r="BB6" s="32">
        <v>13</v>
      </c>
      <c r="BC6" s="32">
        <v>98.9</v>
      </c>
      <c r="BD6" s="32">
        <v>98.9</v>
      </c>
      <c r="BE6" s="32">
        <v>75.400000000000006</v>
      </c>
      <c r="BF6" s="32">
        <v>75.400000000000006</v>
      </c>
      <c r="BG6" s="32">
        <v>62.2</v>
      </c>
      <c r="BH6" s="32">
        <v>58.6</v>
      </c>
      <c r="BI6" s="32">
        <v>61.3</v>
      </c>
      <c r="BJ6" s="32">
        <v>25.3</v>
      </c>
      <c r="BK6" s="32">
        <v>89.1</v>
      </c>
      <c r="BL6" s="32">
        <v>11.4</v>
      </c>
      <c r="BM6" s="32">
        <v>75.8</v>
      </c>
      <c r="BN6" s="32">
        <v>77.3</v>
      </c>
      <c r="BO6" s="32">
        <v>87.6</v>
      </c>
      <c r="BP6" s="32">
        <v>68</v>
      </c>
      <c r="BQ6" s="32">
        <v>76.3</v>
      </c>
      <c r="BR6" s="32">
        <v>58.2</v>
      </c>
      <c r="BS6" s="32">
        <v>221.1</v>
      </c>
      <c r="BT6" s="32">
        <v>52</v>
      </c>
      <c r="BU6" s="32">
        <v>109.3</v>
      </c>
      <c r="BV6" s="32">
        <v>109.3</v>
      </c>
      <c r="BW6" s="32">
        <v>162.30000000000001</v>
      </c>
      <c r="BX6" s="32">
        <v>59.7</v>
      </c>
      <c r="BY6" s="32">
        <v>109.1</v>
      </c>
      <c r="BZ6" s="32">
        <v>114.8</v>
      </c>
      <c r="CA6" s="32">
        <v>106.9</v>
      </c>
      <c r="CB6" s="32">
        <v>78.8</v>
      </c>
      <c r="CC6" s="32">
        <v>162</v>
      </c>
      <c r="CD6" s="32">
        <v>39.4</v>
      </c>
      <c r="CE6" s="32">
        <v>84.5</v>
      </c>
      <c r="CF6" s="32">
        <v>57.4</v>
      </c>
      <c r="CG6" s="32">
        <v>78.8</v>
      </c>
      <c r="CH6" s="32">
        <v>80.2</v>
      </c>
      <c r="CI6" s="32">
        <v>109.7</v>
      </c>
      <c r="CJ6" s="32">
        <v>63.1</v>
      </c>
      <c r="CK6" s="32">
        <v>88.4</v>
      </c>
      <c r="CL6" s="32">
        <v>73.3</v>
      </c>
      <c r="CM6" s="32">
        <v>84.8</v>
      </c>
      <c r="CN6" s="32">
        <v>32.700000000000003</v>
      </c>
      <c r="CO6" s="32">
        <v>94.4</v>
      </c>
      <c r="CP6" s="32">
        <v>113.2</v>
      </c>
      <c r="CQ6" s="32">
        <v>39.299999999999997</v>
      </c>
      <c r="CR6" s="32">
        <v>80.099999999999994</v>
      </c>
      <c r="CS6" s="32">
        <v>105.2</v>
      </c>
      <c r="CT6" s="32">
        <v>82.9</v>
      </c>
      <c r="CU6" s="32">
        <v>62.7</v>
      </c>
      <c r="CV6" s="32">
        <v>92</v>
      </c>
      <c r="CW6" s="32">
        <v>7.1</v>
      </c>
      <c r="CX6" s="32">
        <v>48.5</v>
      </c>
      <c r="CY6" s="32">
        <v>48.6</v>
      </c>
      <c r="CZ6" s="32">
        <v>52.7</v>
      </c>
      <c r="DA6" s="32">
        <v>44.2</v>
      </c>
      <c r="DB6" s="32">
        <v>69.5</v>
      </c>
      <c r="DC6" s="32">
        <v>0.4</v>
      </c>
      <c r="DD6" s="32">
        <v>0.4</v>
      </c>
      <c r="DE6" s="32">
        <v>23.6</v>
      </c>
      <c r="DF6" s="32">
        <v>19.2</v>
      </c>
      <c r="DG6" s="32">
        <v>54.5</v>
      </c>
      <c r="DH6" s="32">
        <v>68.3</v>
      </c>
      <c r="DI6" s="32">
        <v>91.8</v>
      </c>
      <c r="DJ6" s="32">
        <v>101.2</v>
      </c>
      <c r="DK6" s="32">
        <v>101.2</v>
      </c>
      <c r="DL6" s="32">
        <v>28.2</v>
      </c>
      <c r="DM6" s="32">
        <v>64.599999999999994</v>
      </c>
      <c r="DN6" s="32">
        <v>49</v>
      </c>
      <c r="DO6" s="32">
        <v>72.5</v>
      </c>
      <c r="DP6" s="32">
        <v>42.7</v>
      </c>
      <c r="DQ6" s="32">
        <v>49</v>
      </c>
      <c r="DR6" s="32">
        <v>47</v>
      </c>
      <c r="DS6" s="32">
        <v>43.5</v>
      </c>
      <c r="DT6" s="32">
        <v>40.6</v>
      </c>
      <c r="DU6" s="32">
        <v>44.6</v>
      </c>
      <c r="DV6" s="32">
        <v>51</v>
      </c>
      <c r="DW6" s="32">
        <v>37.799999999999997</v>
      </c>
      <c r="DX6" s="32">
        <v>32.200000000000003</v>
      </c>
      <c r="DY6" s="32">
        <v>53.6</v>
      </c>
      <c r="DZ6" s="32">
        <v>110.6</v>
      </c>
      <c r="EA6" s="32">
        <v>110.6</v>
      </c>
      <c r="EB6" s="32">
        <v>40.4</v>
      </c>
      <c r="EC6" s="32">
        <v>41.8</v>
      </c>
      <c r="ED6" s="32">
        <v>38.700000000000003</v>
      </c>
      <c r="EE6" s="32">
        <v>43.1</v>
      </c>
      <c r="EF6" s="32">
        <v>29.1</v>
      </c>
      <c r="EG6" s="32">
        <v>51.8</v>
      </c>
      <c r="EH6" s="32">
        <v>69.099999999999994</v>
      </c>
      <c r="EI6" s="32">
        <v>39.6</v>
      </c>
      <c r="EJ6" s="32">
        <v>193.2</v>
      </c>
      <c r="EK6" s="32">
        <v>41</v>
      </c>
      <c r="EL6" s="32">
        <v>59.8</v>
      </c>
      <c r="EM6" s="32">
        <v>40.799999999999997</v>
      </c>
      <c r="EN6" s="32">
        <v>38.5</v>
      </c>
      <c r="EO6" s="32">
        <v>78.900000000000006</v>
      </c>
      <c r="EP6" s="32">
        <v>82.8</v>
      </c>
      <c r="EQ6" s="32">
        <v>82.8</v>
      </c>
      <c r="ER6" s="32">
        <v>86.9</v>
      </c>
      <c r="ES6" s="32">
        <v>86.9</v>
      </c>
      <c r="ET6" s="32">
        <v>71.099999999999994</v>
      </c>
      <c r="EU6" s="32">
        <v>76</v>
      </c>
      <c r="EV6" s="32">
        <v>76</v>
      </c>
      <c r="EW6" s="32">
        <v>69.3</v>
      </c>
      <c r="EX6" s="32">
        <v>79.7</v>
      </c>
      <c r="EY6" s="32">
        <v>61</v>
      </c>
      <c r="EZ6" s="32">
        <v>94.5</v>
      </c>
      <c r="FA6" s="32">
        <v>90.6</v>
      </c>
      <c r="FB6" s="32">
        <v>111.6</v>
      </c>
      <c r="FC6" s="32">
        <v>77.099999999999994</v>
      </c>
      <c r="FD6" s="32">
        <v>72.599999999999994</v>
      </c>
      <c r="FE6" s="32">
        <v>217.1</v>
      </c>
      <c r="FF6" s="32">
        <v>67</v>
      </c>
      <c r="FG6" s="32">
        <v>94.5</v>
      </c>
      <c r="FH6" s="32">
        <v>88.1</v>
      </c>
      <c r="FI6" s="32">
        <v>99.9</v>
      </c>
      <c r="FJ6" s="32">
        <v>96.5</v>
      </c>
      <c r="FK6" s="32">
        <v>150.9</v>
      </c>
      <c r="FL6" s="32">
        <v>150.9</v>
      </c>
    </row>
    <row r="7" spans="1:168" x14ac:dyDescent="0.2">
      <c r="A7" s="31" t="s">
        <v>987</v>
      </c>
      <c r="B7" s="32">
        <v>62.5</v>
      </c>
      <c r="C7" s="32">
        <v>52</v>
      </c>
      <c r="D7" s="32">
        <v>85.1</v>
      </c>
      <c r="E7" s="32">
        <v>85.8</v>
      </c>
      <c r="F7" s="32">
        <v>485.8</v>
      </c>
      <c r="G7" s="32">
        <v>14495.2</v>
      </c>
      <c r="H7" s="32">
        <v>598.5</v>
      </c>
      <c r="I7" s="32">
        <v>103.1</v>
      </c>
      <c r="J7" s="32">
        <v>66.2</v>
      </c>
      <c r="K7" s="32">
        <v>89.4</v>
      </c>
      <c r="L7" s="32">
        <v>87.6</v>
      </c>
      <c r="M7" s="32">
        <v>83.4</v>
      </c>
      <c r="N7" s="32">
        <v>68.2</v>
      </c>
      <c r="O7" s="32">
        <v>406.1</v>
      </c>
      <c r="P7" s="32">
        <v>669.7</v>
      </c>
      <c r="Q7" s="32">
        <v>195.1</v>
      </c>
      <c r="R7" s="32">
        <v>61.7</v>
      </c>
      <c r="S7" s="32">
        <v>95.4</v>
      </c>
      <c r="T7" s="32">
        <v>122.7</v>
      </c>
      <c r="U7" s="32">
        <v>24</v>
      </c>
      <c r="V7" s="32">
        <v>147.30000000000001</v>
      </c>
      <c r="W7" s="32">
        <v>49.2</v>
      </c>
      <c r="X7" s="32">
        <v>28.4</v>
      </c>
      <c r="Y7" s="32">
        <v>71.599999999999994</v>
      </c>
      <c r="Z7" s="32">
        <v>193</v>
      </c>
      <c r="AA7" s="32">
        <v>62.8</v>
      </c>
      <c r="AB7" s="32">
        <v>68.900000000000006</v>
      </c>
      <c r="AC7" s="32">
        <v>55.1</v>
      </c>
      <c r="AD7" s="32">
        <v>71.099999999999994</v>
      </c>
      <c r="AE7" s="32">
        <v>145</v>
      </c>
      <c r="AF7" s="32">
        <v>145</v>
      </c>
      <c r="AG7" s="32">
        <v>57.3</v>
      </c>
      <c r="AH7" s="32">
        <v>57.3</v>
      </c>
      <c r="AI7" s="32">
        <v>171.3</v>
      </c>
      <c r="AJ7" s="32">
        <v>68.900000000000006</v>
      </c>
      <c r="AK7" s="32">
        <v>733.6</v>
      </c>
      <c r="AL7" s="32">
        <v>123.1</v>
      </c>
      <c r="AM7" s="32">
        <v>19.600000000000001</v>
      </c>
      <c r="AN7" s="32">
        <v>117.7</v>
      </c>
      <c r="AO7" s="32">
        <v>68.400000000000006</v>
      </c>
      <c r="AP7" s="32">
        <v>68.400000000000006</v>
      </c>
      <c r="AQ7" s="32">
        <v>96.5</v>
      </c>
      <c r="AR7" s="32">
        <v>91.9</v>
      </c>
      <c r="AS7" s="32">
        <v>105.5</v>
      </c>
      <c r="AT7" s="32">
        <v>112.7</v>
      </c>
      <c r="AU7" s="32">
        <v>90.4</v>
      </c>
      <c r="AV7" s="32">
        <v>106.4</v>
      </c>
      <c r="AW7" s="32">
        <v>174.7</v>
      </c>
      <c r="AX7" s="32">
        <v>256.8</v>
      </c>
      <c r="AY7" s="32">
        <v>239</v>
      </c>
      <c r="AZ7" s="32">
        <v>96.5</v>
      </c>
      <c r="BA7" s="32">
        <v>13.3</v>
      </c>
      <c r="BB7" s="32">
        <v>13.3</v>
      </c>
      <c r="BC7" s="32">
        <v>99.9</v>
      </c>
      <c r="BD7" s="32">
        <v>99.9</v>
      </c>
      <c r="BE7" s="32">
        <v>76.2</v>
      </c>
      <c r="BF7" s="32">
        <v>76.2</v>
      </c>
      <c r="BG7" s="32">
        <v>62.1</v>
      </c>
      <c r="BH7" s="32">
        <v>57.9</v>
      </c>
      <c r="BI7" s="32">
        <v>61.9</v>
      </c>
      <c r="BJ7" s="32">
        <v>26.1</v>
      </c>
      <c r="BK7" s="32">
        <v>89.1</v>
      </c>
      <c r="BL7" s="32">
        <v>12.4</v>
      </c>
      <c r="BM7" s="32">
        <v>75.099999999999994</v>
      </c>
      <c r="BN7" s="32">
        <v>77</v>
      </c>
      <c r="BO7" s="32">
        <v>84.4</v>
      </c>
      <c r="BP7" s="32">
        <v>70.2</v>
      </c>
      <c r="BQ7" s="32">
        <v>75.099999999999994</v>
      </c>
      <c r="BR7" s="32">
        <v>59.1</v>
      </c>
      <c r="BS7" s="32">
        <v>211.8</v>
      </c>
      <c r="BT7" s="32">
        <v>51.5</v>
      </c>
      <c r="BU7" s="32">
        <v>106.8</v>
      </c>
      <c r="BV7" s="32">
        <v>106.8</v>
      </c>
      <c r="BW7" s="32">
        <v>158.80000000000001</v>
      </c>
      <c r="BX7" s="32">
        <v>57.8</v>
      </c>
      <c r="BY7" s="32">
        <v>109.8</v>
      </c>
      <c r="BZ7" s="32">
        <v>115</v>
      </c>
      <c r="CA7" s="32">
        <v>107.9</v>
      </c>
      <c r="CB7" s="32">
        <v>79.3</v>
      </c>
      <c r="CC7" s="32">
        <v>164.1</v>
      </c>
      <c r="CD7" s="32">
        <v>39.799999999999997</v>
      </c>
      <c r="CE7" s="32">
        <v>85.1</v>
      </c>
      <c r="CF7" s="32">
        <v>58.1</v>
      </c>
      <c r="CG7" s="32">
        <v>79.7</v>
      </c>
      <c r="CH7" s="32">
        <v>81.3</v>
      </c>
      <c r="CI7" s="32">
        <v>111.1</v>
      </c>
      <c r="CJ7" s="32">
        <v>64.7</v>
      </c>
      <c r="CK7" s="32">
        <v>89.1</v>
      </c>
      <c r="CL7" s="32">
        <v>74</v>
      </c>
      <c r="CM7" s="32">
        <v>85.6</v>
      </c>
      <c r="CN7" s="32">
        <v>34.4</v>
      </c>
      <c r="CO7" s="32">
        <v>94.8</v>
      </c>
      <c r="CP7" s="32">
        <v>112.9</v>
      </c>
      <c r="CQ7" s="32">
        <v>39.4</v>
      </c>
      <c r="CR7" s="32">
        <v>82.2</v>
      </c>
      <c r="CS7" s="32">
        <v>104.6</v>
      </c>
      <c r="CT7" s="32">
        <v>82.7</v>
      </c>
      <c r="CU7" s="32">
        <v>61</v>
      </c>
      <c r="CV7" s="32">
        <v>92.3</v>
      </c>
      <c r="CW7" s="32">
        <v>7.3</v>
      </c>
      <c r="CX7" s="32">
        <v>50</v>
      </c>
      <c r="CY7" s="32">
        <v>49.9</v>
      </c>
      <c r="CZ7" s="32">
        <v>54.7</v>
      </c>
      <c r="DA7" s="32">
        <v>46.6</v>
      </c>
      <c r="DB7" s="32">
        <v>70.099999999999994</v>
      </c>
      <c r="DC7" s="32">
        <v>0.4</v>
      </c>
      <c r="DD7" s="32">
        <v>0.4</v>
      </c>
      <c r="DE7" s="32">
        <v>25.6</v>
      </c>
      <c r="DF7" s="32">
        <v>20.8</v>
      </c>
      <c r="DG7" s="32">
        <v>59.1</v>
      </c>
      <c r="DH7" s="32">
        <v>68.8</v>
      </c>
      <c r="DI7" s="32">
        <v>94.2</v>
      </c>
      <c r="DJ7" s="32">
        <v>100</v>
      </c>
      <c r="DK7" s="32">
        <v>100</v>
      </c>
      <c r="DL7" s="32">
        <v>27</v>
      </c>
      <c r="DM7" s="32">
        <v>66.2</v>
      </c>
      <c r="DN7" s="32">
        <v>49.7</v>
      </c>
      <c r="DO7" s="32">
        <v>74.5</v>
      </c>
      <c r="DP7" s="32">
        <v>42.8</v>
      </c>
      <c r="DQ7" s="32">
        <v>48.5</v>
      </c>
      <c r="DR7" s="32">
        <v>46.2</v>
      </c>
      <c r="DS7" s="32">
        <v>41.4</v>
      </c>
      <c r="DT7" s="32">
        <v>38.1</v>
      </c>
      <c r="DU7" s="32">
        <v>41.7</v>
      </c>
      <c r="DV7" s="32">
        <v>49.6</v>
      </c>
      <c r="DW7" s="32">
        <v>33.700000000000003</v>
      </c>
      <c r="DX7" s="32">
        <v>30.9</v>
      </c>
      <c r="DY7" s="32">
        <v>52.9</v>
      </c>
      <c r="DZ7" s="32">
        <v>114.6</v>
      </c>
      <c r="EA7" s="32">
        <v>114.6</v>
      </c>
      <c r="EB7" s="32">
        <v>42.4</v>
      </c>
      <c r="EC7" s="32">
        <v>45.3</v>
      </c>
      <c r="ED7" s="32">
        <v>38.700000000000003</v>
      </c>
      <c r="EE7" s="32">
        <v>43</v>
      </c>
      <c r="EF7" s="32">
        <v>29.4</v>
      </c>
      <c r="EG7" s="32">
        <v>51.7</v>
      </c>
      <c r="EH7" s="32">
        <v>68.7</v>
      </c>
      <c r="EI7" s="32">
        <v>41</v>
      </c>
      <c r="EJ7" s="32">
        <v>186.1</v>
      </c>
      <c r="EK7" s="32">
        <v>40.200000000000003</v>
      </c>
      <c r="EL7" s="32">
        <v>61.4</v>
      </c>
      <c r="EM7" s="32">
        <v>39.5</v>
      </c>
      <c r="EN7" s="32">
        <v>37.6</v>
      </c>
      <c r="EO7" s="32">
        <v>79.2</v>
      </c>
      <c r="EP7" s="32">
        <v>82.9</v>
      </c>
      <c r="EQ7" s="32">
        <v>82.9</v>
      </c>
      <c r="ER7" s="32">
        <v>87.2</v>
      </c>
      <c r="ES7" s="32">
        <v>87.2</v>
      </c>
      <c r="ET7" s="32">
        <v>71.5</v>
      </c>
      <c r="EU7" s="32">
        <v>76.599999999999994</v>
      </c>
      <c r="EV7" s="32">
        <v>76.599999999999994</v>
      </c>
      <c r="EW7" s="32">
        <v>69.599999999999994</v>
      </c>
      <c r="EX7" s="32">
        <v>80.2</v>
      </c>
      <c r="EY7" s="32">
        <v>61.3</v>
      </c>
      <c r="EZ7" s="32">
        <v>95.2</v>
      </c>
      <c r="FA7" s="32">
        <v>90.2</v>
      </c>
      <c r="FB7" s="32">
        <v>110.6</v>
      </c>
      <c r="FC7" s="32">
        <v>75.099999999999994</v>
      </c>
      <c r="FD7" s="32">
        <v>74.2</v>
      </c>
      <c r="FE7" s="32">
        <v>216.5</v>
      </c>
      <c r="FF7" s="32">
        <v>67.3</v>
      </c>
      <c r="FG7" s="32">
        <v>97.1</v>
      </c>
      <c r="FH7" s="32">
        <v>90</v>
      </c>
      <c r="FI7" s="32">
        <v>103.9</v>
      </c>
      <c r="FJ7" s="32">
        <v>99.3</v>
      </c>
      <c r="FK7" s="32">
        <v>136.30000000000001</v>
      </c>
      <c r="FL7" s="32">
        <v>136.30000000000001</v>
      </c>
    </row>
    <row r="8" spans="1:168" x14ac:dyDescent="0.2">
      <c r="A8" s="31" t="s">
        <v>988</v>
      </c>
      <c r="B8" s="32">
        <v>62.6</v>
      </c>
      <c r="C8" s="32">
        <v>52.8</v>
      </c>
      <c r="D8" s="32">
        <v>84.4</v>
      </c>
      <c r="E8" s="32">
        <v>84.8</v>
      </c>
      <c r="F8" s="32">
        <v>469.2</v>
      </c>
      <c r="G8" s="32">
        <v>13369</v>
      </c>
      <c r="H8" s="32">
        <v>575.79999999999995</v>
      </c>
      <c r="I8" s="32">
        <v>102.4</v>
      </c>
      <c r="J8" s="32">
        <v>65.7</v>
      </c>
      <c r="K8" s="32">
        <v>86.5</v>
      </c>
      <c r="L8" s="32">
        <v>85.6</v>
      </c>
      <c r="M8" s="32">
        <v>84.7</v>
      </c>
      <c r="N8" s="32">
        <v>68.5</v>
      </c>
      <c r="O8" s="32">
        <v>384.3</v>
      </c>
      <c r="P8" s="32">
        <v>681</v>
      </c>
      <c r="Q8" s="32">
        <v>200.1</v>
      </c>
      <c r="R8" s="32">
        <v>62</v>
      </c>
      <c r="S8" s="32">
        <v>87</v>
      </c>
      <c r="T8" s="32">
        <v>134.80000000000001</v>
      </c>
      <c r="U8" s="32">
        <v>25.6</v>
      </c>
      <c r="V8" s="32">
        <v>132</v>
      </c>
      <c r="W8" s="32">
        <v>48.7</v>
      </c>
      <c r="X8" s="32">
        <v>28.3</v>
      </c>
      <c r="Y8" s="32">
        <v>71.5</v>
      </c>
      <c r="Z8" s="32">
        <v>178</v>
      </c>
      <c r="AA8" s="32">
        <v>63.7</v>
      </c>
      <c r="AB8" s="32">
        <v>75.2</v>
      </c>
      <c r="AC8" s="32">
        <v>55.4</v>
      </c>
      <c r="AD8" s="32">
        <v>70.2</v>
      </c>
      <c r="AE8" s="32">
        <v>141.80000000000001</v>
      </c>
      <c r="AF8" s="32">
        <v>141.80000000000001</v>
      </c>
      <c r="AG8" s="32">
        <v>55.4</v>
      </c>
      <c r="AH8" s="32">
        <v>55.4</v>
      </c>
      <c r="AI8" s="32">
        <v>165.8</v>
      </c>
      <c r="AJ8" s="32">
        <v>66.599999999999994</v>
      </c>
      <c r="AK8" s="32">
        <v>719.3</v>
      </c>
      <c r="AL8" s="32">
        <v>118.4</v>
      </c>
      <c r="AM8" s="32">
        <v>18.8</v>
      </c>
      <c r="AN8" s="32">
        <v>115</v>
      </c>
      <c r="AO8" s="32">
        <v>64.900000000000006</v>
      </c>
      <c r="AP8" s="32">
        <v>64.900000000000006</v>
      </c>
      <c r="AQ8" s="32">
        <v>96.3</v>
      </c>
      <c r="AR8" s="32">
        <v>91</v>
      </c>
      <c r="AS8" s="32">
        <v>106.4</v>
      </c>
      <c r="AT8" s="32">
        <v>111.3</v>
      </c>
      <c r="AU8" s="32">
        <v>94.8</v>
      </c>
      <c r="AV8" s="32">
        <v>104.7</v>
      </c>
      <c r="AW8" s="32">
        <v>170.3</v>
      </c>
      <c r="AX8" s="32">
        <v>240</v>
      </c>
      <c r="AY8" s="32">
        <v>241.2</v>
      </c>
      <c r="AZ8" s="32">
        <v>95.3</v>
      </c>
      <c r="BA8" s="32">
        <v>13.8</v>
      </c>
      <c r="BB8" s="32">
        <v>13.8</v>
      </c>
      <c r="BC8" s="32">
        <v>101.9</v>
      </c>
      <c r="BD8" s="32">
        <v>101.9</v>
      </c>
      <c r="BE8" s="32">
        <v>75.599999999999994</v>
      </c>
      <c r="BF8" s="32">
        <v>75.599999999999994</v>
      </c>
      <c r="BG8" s="32">
        <v>63</v>
      </c>
      <c r="BH8" s="32">
        <v>59.3</v>
      </c>
      <c r="BI8" s="32">
        <v>62.2</v>
      </c>
      <c r="BJ8" s="32">
        <v>26.2</v>
      </c>
      <c r="BK8" s="32">
        <v>90</v>
      </c>
      <c r="BL8" s="32">
        <v>11.4</v>
      </c>
      <c r="BM8" s="32">
        <v>74.900000000000006</v>
      </c>
      <c r="BN8" s="32">
        <v>77</v>
      </c>
      <c r="BO8" s="32">
        <v>80.8</v>
      </c>
      <c r="BP8" s="32">
        <v>73.2</v>
      </c>
      <c r="BQ8" s="32">
        <v>74.7</v>
      </c>
      <c r="BR8" s="32">
        <v>49.5</v>
      </c>
      <c r="BS8" s="32">
        <v>227.7</v>
      </c>
      <c r="BT8" s="32">
        <v>50.7</v>
      </c>
      <c r="BU8" s="32">
        <v>102.4</v>
      </c>
      <c r="BV8" s="32">
        <v>102.4</v>
      </c>
      <c r="BW8" s="32">
        <v>155.4</v>
      </c>
      <c r="BX8" s="32">
        <v>51.7</v>
      </c>
      <c r="BY8" s="32">
        <v>110.5</v>
      </c>
      <c r="BZ8" s="32">
        <v>115.2</v>
      </c>
      <c r="CA8" s="32">
        <v>108.8</v>
      </c>
      <c r="CB8" s="32">
        <v>78.099999999999994</v>
      </c>
      <c r="CC8" s="32">
        <v>169.4</v>
      </c>
      <c r="CD8" s="32">
        <v>40.200000000000003</v>
      </c>
      <c r="CE8" s="32">
        <v>86.1</v>
      </c>
      <c r="CF8" s="32">
        <v>58.3</v>
      </c>
      <c r="CG8" s="32">
        <v>81</v>
      </c>
      <c r="CH8" s="32">
        <v>83.8</v>
      </c>
      <c r="CI8" s="32">
        <v>112</v>
      </c>
      <c r="CJ8" s="32">
        <v>69.3</v>
      </c>
      <c r="CK8" s="32">
        <v>89.8</v>
      </c>
      <c r="CL8" s="32">
        <v>73.3</v>
      </c>
      <c r="CM8" s="32">
        <v>84.1</v>
      </c>
      <c r="CN8" s="32">
        <v>36.1</v>
      </c>
      <c r="CO8" s="32">
        <v>92.3</v>
      </c>
      <c r="CP8" s="32">
        <v>111.7</v>
      </c>
      <c r="CQ8" s="32">
        <v>36.9</v>
      </c>
      <c r="CR8" s="32">
        <v>83.6</v>
      </c>
      <c r="CS8" s="32">
        <v>105.5</v>
      </c>
      <c r="CT8" s="32">
        <v>82.5</v>
      </c>
      <c r="CU8" s="32">
        <v>59</v>
      </c>
      <c r="CV8" s="32">
        <v>92.8</v>
      </c>
      <c r="CW8" s="32">
        <v>7.3</v>
      </c>
      <c r="CX8" s="32">
        <v>51</v>
      </c>
      <c r="CY8" s="32">
        <v>50.2</v>
      </c>
      <c r="CZ8" s="32">
        <v>56.8</v>
      </c>
      <c r="DA8" s="32">
        <v>48.4</v>
      </c>
      <c r="DB8" s="32">
        <v>72.599999999999994</v>
      </c>
      <c r="DC8" s="32">
        <v>0.4</v>
      </c>
      <c r="DD8" s="32">
        <v>0.4</v>
      </c>
      <c r="DE8" s="32">
        <v>24</v>
      </c>
      <c r="DF8" s="32">
        <v>19.399999999999999</v>
      </c>
      <c r="DG8" s="32">
        <v>56.1</v>
      </c>
      <c r="DH8" s="32">
        <v>68.3</v>
      </c>
      <c r="DI8" s="32">
        <v>94.1</v>
      </c>
      <c r="DJ8" s="32">
        <v>99.4</v>
      </c>
      <c r="DK8" s="32">
        <v>99.4</v>
      </c>
      <c r="DL8" s="32">
        <v>25.9</v>
      </c>
      <c r="DM8" s="32">
        <v>66.2</v>
      </c>
      <c r="DN8" s="32">
        <v>49.8</v>
      </c>
      <c r="DO8" s="32">
        <v>74.400000000000006</v>
      </c>
      <c r="DP8" s="32">
        <v>42.8</v>
      </c>
      <c r="DQ8" s="32">
        <v>48.7</v>
      </c>
      <c r="DR8" s="32">
        <v>46.9</v>
      </c>
      <c r="DS8" s="32">
        <v>42.8</v>
      </c>
      <c r="DT8" s="32">
        <v>39</v>
      </c>
      <c r="DU8" s="32">
        <v>43.2</v>
      </c>
      <c r="DV8" s="32">
        <v>49.7</v>
      </c>
      <c r="DW8" s="32">
        <v>36.4</v>
      </c>
      <c r="DX8" s="32">
        <v>30.4</v>
      </c>
      <c r="DY8" s="32">
        <v>56</v>
      </c>
      <c r="DZ8" s="32">
        <v>119.3</v>
      </c>
      <c r="EA8" s="32">
        <v>119.3</v>
      </c>
      <c r="EB8" s="32">
        <v>40.4</v>
      </c>
      <c r="EC8" s="32">
        <v>41.4</v>
      </c>
      <c r="ED8" s="32">
        <v>39.200000000000003</v>
      </c>
      <c r="EE8" s="32">
        <v>43.6</v>
      </c>
      <c r="EF8" s="32">
        <v>29.7</v>
      </c>
      <c r="EG8" s="32">
        <v>51.1</v>
      </c>
      <c r="EH8" s="32">
        <v>67.5</v>
      </c>
      <c r="EI8" s="32">
        <v>41.6</v>
      </c>
      <c r="EJ8" s="32">
        <v>178.3</v>
      </c>
      <c r="EK8" s="32">
        <v>39.5</v>
      </c>
      <c r="EL8" s="32">
        <v>62.7</v>
      </c>
      <c r="EM8" s="32">
        <v>38</v>
      </c>
      <c r="EN8" s="32">
        <v>37.1</v>
      </c>
      <c r="EO8" s="32">
        <v>79.2</v>
      </c>
      <c r="EP8" s="32">
        <v>82.9</v>
      </c>
      <c r="EQ8" s="32">
        <v>82.9</v>
      </c>
      <c r="ER8" s="32">
        <v>86.8</v>
      </c>
      <c r="ES8" s="32">
        <v>86.8</v>
      </c>
      <c r="ET8" s="32">
        <v>71.8</v>
      </c>
      <c r="EU8" s="32">
        <v>76.900000000000006</v>
      </c>
      <c r="EV8" s="32">
        <v>76.900000000000006</v>
      </c>
      <c r="EW8" s="32">
        <v>69.7</v>
      </c>
      <c r="EX8" s="32">
        <v>80.400000000000006</v>
      </c>
      <c r="EY8" s="32">
        <v>61.1</v>
      </c>
      <c r="EZ8" s="32">
        <v>95.6</v>
      </c>
      <c r="FA8" s="32">
        <v>91.9</v>
      </c>
      <c r="FB8" s="32">
        <v>114.4</v>
      </c>
      <c r="FC8" s="32">
        <v>81.8</v>
      </c>
      <c r="FD8" s="32">
        <v>73.7</v>
      </c>
      <c r="FE8" s="32">
        <v>215.4</v>
      </c>
      <c r="FF8" s="32">
        <v>66.599999999999994</v>
      </c>
      <c r="FG8" s="32">
        <v>96.9</v>
      </c>
      <c r="FH8" s="32">
        <v>93.3</v>
      </c>
      <c r="FI8" s="32">
        <v>100.8</v>
      </c>
      <c r="FJ8" s="32">
        <v>97.7</v>
      </c>
      <c r="FK8" s="32">
        <v>133.19999999999999</v>
      </c>
      <c r="FL8" s="32">
        <v>133.19999999999999</v>
      </c>
    </row>
    <row r="9" spans="1:168" x14ac:dyDescent="0.2">
      <c r="A9" s="31" t="s">
        <v>989</v>
      </c>
      <c r="B9" s="32">
        <v>63.3</v>
      </c>
      <c r="C9" s="32">
        <v>53.9</v>
      </c>
      <c r="D9" s="32">
        <v>86.4</v>
      </c>
      <c r="E9" s="32">
        <v>86.8</v>
      </c>
      <c r="F9" s="32">
        <v>468.2</v>
      </c>
      <c r="G9" s="32">
        <v>13840.6</v>
      </c>
      <c r="H9" s="32">
        <v>574.70000000000005</v>
      </c>
      <c r="I9" s="32">
        <v>101.5</v>
      </c>
      <c r="J9" s="32">
        <v>67.3</v>
      </c>
      <c r="K9" s="32">
        <v>86.6</v>
      </c>
      <c r="L9" s="32">
        <v>85.1</v>
      </c>
      <c r="M9" s="32">
        <v>83.2</v>
      </c>
      <c r="N9" s="32">
        <v>65.8</v>
      </c>
      <c r="O9" s="32">
        <v>428.6</v>
      </c>
      <c r="P9" s="32">
        <v>685.3</v>
      </c>
      <c r="Q9" s="32">
        <v>206.9</v>
      </c>
      <c r="R9" s="32">
        <v>62.1</v>
      </c>
      <c r="S9" s="32">
        <v>87.7</v>
      </c>
      <c r="T9" s="32">
        <v>123.9</v>
      </c>
      <c r="U9" s="32">
        <v>26.2</v>
      </c>
      <c r="V9" s="32">
        <v>137.30000000000001</v>
      </c>
      <c r="W9" s="32">
        <v>49.3</v>
      </c>
      <c r="X9" s="32">
        <v>28.4</v>
      </c>
      <c r="Y9" s="32">
        <v>72.099999999999994</v>
      </c>
      <c r="Z9" s="32">
        <v>193.1</v>
      </c>
      <c r="AA9" s="32">
        <v>64.8</v>
      </c>
      <c r="AB9" s="32">
        <v>71.5</v>
      </c>
      <c r="AC9" s="32">
        <v>57</v>
      </c>
      <c r="AD9" s="32">
        <v>73.099999999999994</v>
      </c>
      <c r="AE9" s="32">
        <v>155.19999999999999</v>
      </c>
      <c r="AF9" s="32">
        <v>155.19999999999999</v>
      </c>
      <c r="AG9" s="32">
        <v>60.6</v>
      </c>
      <c r="AH9" s="32">
        <v>60.6</v>
      </c>
      <c r="AI9" s="32">
        <v>177.8</v>
      </c>
      <c r="AJ9" s="32">
        <v>78.599999999999994</v>
      </c>
      <c r="AK9" s="32">
        <v>826.3</v>
      </c>
      <c r="AL9" s="32">
        <v>129.5</v>
      </c>
      <c r="AM9" s="32">
        <v>17.7</v>
      </c>
      <c r="AN9" s="32">
        <v>115.7</v>
      </c>
      <c r="AO9" s="32">
        <v>65.400000000000006</v>
      </c>
      <c r="AP9" s="32">
        <v>65.400000000000006</v>
      </c>
      <c r="AQ9" s="32">
        <v>98.2</v>
      </c>
      <c r="AR9" s="32">
        <v>92.7</v>
      </c>
      <c r="AS9" s="32">
        <v>109</v>
      </c>
      <c r="AT9" s="32">
        <v>111</v>
      </c>
      <c r="AU9" s="32">
        <v>101.3</v>
      </c>
      <c r="AV9" s="32">
        <v>106.8</v>
      </c>
      <c r="AW9" s="32">
        <v>183.1</v>
      </c>
      <c r="AX9" s="32">
        <v>270.2</v>
      </c>
      <c r="AY9" s="32">
        <v>249.4</v>
      </c>
      <c r="AZ9" s="32">
        <v>95</v>
      </c>
      <c r="BA9" s="32">
        <v>13.9</v>
      </c>
      <c r="BB9" s="32">
        <v>13.9</v>
      </c>
      <c r="BC9" s="32">
        <v>102.3</v>
      </c>
      <c r="BD9" s="32">
        <v>102.3</v>
      </c>
      <c r="BE9" s="32">
        <v>76.900000000000006</v>
      </c>
      <c r="BF9" s="32">
        <v>76.900000000000006</v>
      </c>
      <c r="BG9" s="32">
        <v>64.400000000000006</v>
      </c>
      <c r="BH9" s="32">
        <v>60.4</v>
      </c>
      <c r="BI9" s="32">
        <v>63.9</v>
      </c>
      <c r="BJ9" s="32">
        <v>26.8</v>
      </c>
      <c r="BK9" s="32">
        <v>92</v>
      </c>
      <c r="BL9" s="32">
        <v>13</v>
      </c>
      <c r="BM9" s="32">
        <v>79.400000000000006</v>
      </c>
      <c r="BN9" s="32">
        <v>79.3</v>
      </c>
      <c r="BO9" s="32">
        <v>86.2</v>
      </c>
      <c r="BP9" s="32">
        <v>73</v>
      </c>
      <c r="BQ9" s="32">
        <v>81.900000000000006</v>
      </c>
      <c r="BR9" s="32">
        <v>75.900000000000006</v>
      </c>
      <c r="BS9" s="32">
        <v>225.3</v>
      </c>
      <c r="BT9" s="32">
        <v>55.7</v>
      </c>
      <c r="BU9" s="32">
        <v>107.4</v>
      </c>
      <c r="BV9" s="32">
        <v>107.4</v>
      </c>
      <c r="BW9" s="32">
        <v>158.9</v>
      </c>
      <c r="BX9" s="32">
        <v>59.1</v>
      </c>
      <c r="BY9" s="32">
        <v>112.4</v>
      </c>
      <c r="BZ9" s="32">
        <v>120.9</v>
      </c>
      <c r="CA9" s="32">
        <v>108.8</v>
      </c>
      <c r="CB9" s="32">
        <v>77.900000000000006</v>
      </c>
      <c r="CC9" s="32">
        <v>170</v>
      </c>
      <c r="CD9" s="32">
        <v>37.799999999999997</v>
      </c>
      <c r="CE9" s="32">
        <v>88.2</v>
      </c>
      <c r="CF9" s="32">
        <v>58.6</v>
      </c>
      <c r="CG9" s="32">
        <v>82.9</v>
      </c>
      <c r="CH9" s="32">
        <v>86.1</v>
      </c>
      <c r="CI9" s="32">
        <v>108.5</v>
      </c>
      <c r="CJ9" s="32">
        <v>74</v>
      </c>
      <c r="CK9" s="32">
        <v>90.8</v>
      </c>
      <c r="CL9" s="32">
        <v>74.599999999999994</v>
      </c>
      <c r="CM9" s="32">
        <v>85.9</v>
      </c>
      <c r="CN9" s="32">
        <v>36.5</v>
      </c>
      <c r="CO9" s="32">
        <v>94.4</v>
      </c>
      <c r="CP9" s="32">
        <v>111.3</v>
      </c>
      <c r="CQ9" s="32">
        <v>39.6</v>
      </c>
      <c r="CR9" s="32">
        <v>86.1</v>
      </c>
      <c r="CS9" s="32">
        <v>102.1</v>
      </c>
      <c r="CT9" s="32">
        <v>83.6</v>
      </c>
      <c r="CU9" s="32">
        <v>59.4</v>
      </c>
      <c r="CV9" s="32">
        <v>94.2</v>
      </c>
      <c r="CW9" s="32">
        <v>7.5</v>
      </c>
      <c r="CX9" s="32">
        <v>51.3</v>
      </c>
      <c r="CY9" s="32">
        <v>50.2</v>
      </c>
      <c r="CZ9" s="32">
        <v>57.5</v>
      </c>
      <c r="DA9" s="32">
        <v>47.6</v>
      </c>
      <c r="DB9" s="32">
        <v>77.5</v>
      </c>
      <c r="DC9" s="32">
        <v>0.4</v>
      </c>
      <c r="DD9" s="32">
        <v>0.4</v>
      </c>
      <c r="DE9" s="32">
        <v>24.5</v>
      </c>
      <c r="DF9" s="32">
        <v>20.100000000000001</v>
      </c>
      <c r="DG9" s="32">
        <v>55.5</v>
      </c>
      <c r="DH9" s="32">
        <v>68.8</v>
      </c>
      <c r="DI9" s="32">
        <v>93.5</v>
      </c>
      <c r="DJ9" s="32">
        <v>100.1</v>
      </c>
      <c r="DK9" s="32">
        <v>100.1</v>
      </c>
      <c r="DL9" s="32">
        <v>28.1</v>
      </c>
      <c r="DM9" s="32">
        <v>65.3</v>
      </c>
      <c r="DN9" s="32">
        <v>49.1</v>
      </c>
      <c r="DO9" s="32">
        <v>73.400000000000006</v>
      </c>
      <c r="DP9" s="32">
        <v>43.9</v>
      </c>
      <c r="DQ9" s="32">
        <v>48.2</v>
      </c>
      <c r="DR9" s="32">
        <v>46.4</v>
      </c>
      <c r="DS9" s="32">
        <v>42.5</v>
      </c>
      <c r="DT9" s="32">
        <v>39</v>
      </c>
      <c r="DU9" s="32">
        <v>42.5</v>
      </c>
      <c r="DV9" s="32">
        <v>51.3</v>
      </c>
      <c r="DW9" s="32">
        <v>33.700000000000003</v>
      </c>
      <c r="DX9" s="32">
        <v>31.8</v>
      </c>
      <c r="DY9" s="32">
        <v>54.8</v>
      </c>
      <c r="DZ9" s="32">
        <v>110.7</v>
      </c>
      <c r="EA9" s="32">
        <v>110.7</v>
      </c>
      <c r="EB9" s="32">
        <v>40.9</v>
      </c>
      <c r="EC9" s="32">
        <v>41.5</v>
      </c>
      <c r="ED9" s="32">
        <v>40.299999999999997</v>
      </c>
      <c r="EE9" s="32">
        <v>45</v>
      </c>
      <c r="EF9" s="32">
        <v>30.1</v>
      </c>
      <c r="EG9" s="32">
        <v>50.8</v>
      </c>
      <c r="EH9" s="32">
        <v>66.599999999999994</v>
      </c>
      <c r="EI9" s="32">
        <v>39.6</v>
      </c>
      <c r="EJ9" s="32">
        <v>193.1</v>
      </c>
      <c r="EK9" s="32">
        <v>39.799999999999997</v>
      </c>
      <c r="EL9" s="32">
        <v>63.8</v>
      </c>
      <c r="EM9" s="32">
        <v>37.299999999999997</v>
      </c>
      <c r="EN9" s="32">
        <v>37.9</v>
      </c>
      <c r="EO9" s="32">
        <v>79.599999999999994</v>
      </c>
      <c r="EP9" s="32">
        <v>83.6</v>
      </c>
      <c r="EQ9" s="32">
        <v>83.6</v>
      </c>
      <c r="ER9" s="32">
        <v>86.4</v>
      </c>
      <c r="ES9" s="32">
        <v>86.4</v>
      </c>
      <c r="ET9" s="32">
        <v>72.5</v>
      </c>
      <c r="EU9" s="32">
        <v>77.8</v>
      </c>
      <c r="EV9" s="32">
        <v>77.8</v>
      </c>
      <c r="EW9" s="32">
        <v>69.900000000000006</v>
      </c>
      <c r="EX9" s="32">
        <v>81</v>
      </c>
      <c r="EY9" s="32">
        <v>61.2</v>
      </c>
      <c r="EZ9" s="32">
        <v>97.7</v>
      </c>
      <c r="FA9" s="32">
        <v>94.6</v>
      </c>
      <c r="FB9" s="32">
        <v>119</v>
      </c>
      <c r="FC9" s="32">
        <v>89.5</v>
      </c>
      <c r="FD9" s="32">
        <v>73</v>
      </c>
      <c r="FE9" s="32">
        <v>215.5</v>
      </c>
      <c r="FF9" s="32">
        <v>67.099999999999994</v>
      </c>
      <c r="FG9" s="32">
        <v>98</v>
      </c>
      <c r="FH9" s="32">
        <v>103.8</v>
      </c>
      <c r="FI9" s="32">
        <v>104.9</v>
      </c>
      <c r="FJ9" s="32">
        <v>94</v>
      </c>
      <c r="FK9" s="32">
        <v>142.6</v>
      </c>
      <c r="FL9" s="32">
        <v>142.6</v>
      </c>
    </row>
    <row r="10" spans="1:168" x14ac:dyDescent="0.2">
      <c r="A10" s="31" t="s">
        <v>990</v>
      </c>
      <c r="B10" s="32">
        <v>62.7</v>
      </c>
      <c r="C10" s="32">
        <v>54.6</v>
      </c>
      <c r="D10" s="32">
        <v>86.1</v>
      </c>
      <c r="E10" s="32">
        <v>86.3</v>
      </c>
      <c r="F10" s="32">
        <v>462.2</v>
      </c>
      <c r="G10" s="32">
        <v>12844.6</v>
      </c>
      <c r="H10" s="32">
        <v>573.9</v>
      </c>
      <c r="I10" s="32">
        <v>96.5</v>
      </c>
      <c r="J10" s="32">
        <v>66.7</v>
      </c>
      <c r="K10" s="32">
        <v>87.6</v>
      </c>
      <c r="L10" s="32">
        <v>86.9</v>
      </c>
      <c r="M10" s="32">
        <v>88.3</v>
      </c>
      <c r="N10" s="32">
        <v>64.5</v>
      </c>
      <c r="O10" s="32">
        <v>412.8</v>
      </c>
      <c r="P10" s="32">
        <v>663.9</v>
      </c>
      <c r="Q10" s="32">
        <v>207.4</v>
      </c>
      <c r="R10" s="32">
        <v>62.7</v>
      </c>
      <c r="S10" s="32">
        <v>90.5</v>
      </c>
      <c r="T10" s="32">
        <v>130.80000000000001</v>
      </c>
      <c r="U10" s="32">
        <v>26</v>
      </c>
      <c r="V10" s="32">
        <v>131.80000000000001</v>
      </c>
      <c r="W10" s="32">
        <v>48.9</v>
      </c>
      <c r="X10" s="32">
        <v>27.6</v>
      </c>
      <c r="Y10" s="32">
        <v>73.099999999999994</v>
      </c>
      <c r="Z10" s="32">
        <v>185.6</v>
      </c>
      <c r="AA10" s="32">
        <v>65.3</v>
      </c>
      <c r="AB10" s="32">
        <v>70.599999999999994</v>
      </c>
      <c r="AC10" s="32">
        <v>57.6</v>
      </c>
      <c r="AD10" s="32">
        <v>74</v>
      </c>
      <c r="AE10" s="32">
        <v>153.19999999999999</v>
      </c>
      <c r="AF10" s="32">
        <v>153.19999999999999</v>
      </c>
      <c r="AG10" s="32">
        <v>57.9</v>
      </c>
      <c r="AH10" s="32">
        <v>57.9</v>
      </c>
      <c r="AI10" s="32">
        <v>172.4</v>
      </c>
      <c r="AJ10" s="32">
        <v>74.900000000000006</v>
      </c>
      <c r="AK10" s="32">
        <v>755.8</v>
      </c>
      <c r="AL10" s="32">
        <v>120.3</v>
      </c>
      <c r="AM10" s="32">
        <v>16.600000000000001</v>
      </c>
      <c r="AN10" s="32">
        <v>117.4</v>
      </c>
      <c r="AO10" s="32">
        <v>67.400000000000006</v>
      </c>
      <c r="AP10" s="32">
        <v>67.400000000000006</v>
      </c>
      <c r="AQ10" s="32">
        <v>96.9</v>
      </c>
      <c r="AR10" s="32">
        <v>91.8</v>
      </c>
      <c r="AS10" s="32">
        <v>106.9</v>
      </c>
      <c r="AT10" s="32">
        <v>109.1</v>
      </c>
      <c r="AU10" s="32">
        <v>99.1</v>
      </c>
      <c r="AV10" s="32">
        <v>105.9</v>
      </c>
      <c r="AW10" s="32">
        <v>170.2</v>
      </c>
      <c r="AX10" s="32">
        <v>240.5</v>
      </c>
      <c r="AY10" s="32">
        <v>240.6</v>
      </c>
      <c r="AZ10" s="32">
        <v>96.9</v>
      </c>
      <c r="BA10" s="32">
        <v>13.7</v>
      </c>
      <c r="BB10" s="32">
        <v>13.7</v>
      </c>
      <c r="BC10" s="32">
        <v>102.8</v>
      </c>
      <c r="BD10" s="32">
        <v>102.8</v>
      </c>
      <c r="BE10" s="32">
        <v>77.599999999999994</v>
      </c>
      <c r="BF10" s="32">
        <v>77.599999999999994</v>
      </c>
      <c r="BG10" s="32">
        <v>64</v>
      </c>
      <c r="BH10" s="32">
        <v>59.8</v>
      </c>
      <c r="BI10" s="32">
        <v>63.7</v>
      </c>
      <c r="BJ10" s="32">
        <v>26.8</v>
      </c>
      <c r="BK10" s="32">
        <v>92.1</v>
      </c>
      <c r="BL10" s="32">
        <v>12.1</v>
      </c>
      <c r="BM10" s="32">
        <v>75.7</v>
      </c>
      <c r="BN10" s="32">
        <v>77.2</v>
      </c>
      <c r="BO10" s="32">
        <v>82.5</v>
      </c>
      <c r="BP10" s="32">
        <v>72.099999999999994</v>
      </c>
      <c r="BQ10" s="32">
        <v>76.3</v>
      </c>
      <c r="BR10" s="32">
        <v>69.7</v>
      </c>
      <c r="BS10" s="32">
        <v>219.5</v>
      </c>
      <c r="BT10" s="32">
        <v>51</v>
      </c>
      <c r="BU10" s="32">
        <v>111.1</v>
      </c>
      <c r="BV10" s="32">
        <v>111.1</v>
      </c>
      <c r="BW10" s="32">
        <v>164</v>
      </c>
      <c r="BX10" s="32">
        <v>61.3</v>
      </c>
      <c r="BY10" s="32">
        <v>111.3</v>
      </c>
      <c r="BZ10" s="32">
        <v>118.9</v>
      </c>
      <c r="CA10" s="32">
        <v>108.2</v>
      </c>
      <c r="CB10" s="32">
        <v>78.599999999999994</v>
      </c>
      <c r="CC10" s="32">
        <v>167.1</v>
      </c>
      <c r="CD10" s="32">
        <v>38.5</v>
      </c>
      <c r="CE10" s="32">
        <v>88.6</v>
      </c>
      <c r="CF10" s="32">
        <v>57.9</v>
      </c>
      <c r="CG10" s="32">
        <v>80.3</v>
      </c>
      <c r="CH10" s="32">
        <v>81.599999999999994</v>
      </c>
      <c r="CI10" s="32">
        <v>111.3</v>
      </c>
      <c r="CJ10" s="32">
        <v>63.6</v>
      </c>
      <c r="CK10" s="32">
        <v>90.6</v>
      </c>
      <c r="CL10" s="32">
        <v>75.5</v>
      </c>
      <c r="CM10" s="32">
        <v>85.6</v>
      </c>
      <c r="CN10" s="32">
        <v>38.299999999999997</v>
      </c>
      <c r="CO10" s="32">
        <v>93.5</v>
      </c>
      <c r="CP10" s="32">
        <v>109.4</v>
      </c>
      <c r="CQ10" s="32">
        <v>39.1</v>
      </c>
      <c r="CR10" s="32">
        <v>86.5</v>
      </c>
      <c r="CS10" s="32">
        <v>111.3</v>
      </c>
      <c r="CT10" s="32">
        <v>83.5</v>
      </c>
      <c r="CU10" s="32">
        <v>60</v>
      </c>
      <c r="CV10" s="32">
        <v>93.8</v>
      </c>
      <c r="CW10" s="32">
        <v>7.6</v>
      </c>
      <c r="CX10" s="32">
        <v>52.5</v>
      </c>
      <c r="CY10" s="32">
        <v>52.1</v>
      </c>
      <c r="CZ10" s="32">
        <v>58</v>
      </c>
      <c r="DA10" s="32">
        <v>47.5</v>
      </c>
      <c r="DB10" s="32">
        <v>79.400000000000006</v>
      </c>
      <c r="DC10" s="32">
        <v>0.4</v>
      </c>
      <c r="DD10" s="32">
        <v>0.4</v>
      </c>
      <c r="DE10" s="32">
        <v>24.9</v>
      </c>
      <c r="DF10" s="32">
        <v>20.399999999999999</v>
      </c>
      <c r="DG10" s="32">
        <v>55.7</v>
      </c>
      <c r="DH10" s="32">
        <v>67.900000000000006</v>
      </c>
      <c r="DI10" s="32">
        <v>92.4</v>
      </c>
      <c r="DJ10" s="32">
        <v>100.3</v>
      </c>
      <c r="DK10" s="32">
        <v>100.3</v>
      </c>
      <c r="DL10" s="32">
        <v>26.4</v>
      </c>
      <c r="DM10" s="32">
        <v>64.3</v>
      </c>
      <c r="DN10" s="32">
        <v>47.9</v>
      </c>
      <c r="DO10" s="32">
        <v>72.5</v>
      </c>
      <c r="DP10" s="32">
        <v>42.5</v>
      </c>
      <c r="DQ10" s="32">
        <v>48.3</v>
      </c>
      <c r="DR10" s="32">
        <v>46.3</v>
      </c>
      <c r="DS10" s="32">
        <v>42.4</v>
      </c>
      <c r="DT10" s="32">
        <v>38.4</v>
      </c>
      <c r="DU10" s="32">
        <v>41</v>
      </c>
      <c r="DV10" s="32">
        <v>49.6</v>
      </c>
      <c r="DW10" s="32">
        <v>32.5</v>
      </c>
      <c r="DX10" s="32">
        <v>33</v>
      </c>
      <c r="DY10" s="32">
        <v>56.7</v>
      </c>
      <c r="DZ10" s="32">
        <v>104.7</v>
      </c>
      <c r="EA10" s="32">
        <v>104.7</v>
      </c>
      <c r="EB10" s="32">
        <v>42.2</v>
      </c>
      <c r="EC10" s="32">
        <v>42.5</v>
      </c>
      <c r="ED10" s="32">
        <v>41.9</v>
      </c>
      <c r="EE10" s="32">
        <v>47.2</v>
      </c>
      <c r="EF10" s="32">
        <v>30.4</v>
      </c>
      <c r="EG10" s="32">
        <v>51</v>
      </c>
      <c r="EH10" s="32">
        <v>65.900000000000006</v>
      </c>
      <c r="EI10" s="32">
        <v>39.6</v>
      </c>
      <c r="EJ10" s="32">
        <v>186.2</v>
      </c>
      <c r="EK10" s="32">
        <v>40.9</v>
      </c>
      <c r="EL10" s="32">
        <v>64.599999999999994</v>
      </c>
      <c r="EM10" s="32">
        <v>37.799999999999997</v>
      </c>
      <c r="EN10" s="32">
        <v>39.4</v>
      </c>
      <c r="EO10" s="32">
        <v>79.3</v>
      </c>
      <c r="EP10" s="32">
        <v>83.6</v>
      </c>
      <c r="EQ10" s="32">
        <v>83.6</v>
      </c>
      <c r="ER10" s="32">
        <v>85.2</v>
      </c>
      <c r="ES10" s="32">
        <v>85.2</v>
      </c>
      <c r="ET10" s="32">
        <v>72.599999999999994</v>
      </c>
      <c r="EU10" s="32">
        <v>78.099999999999994</v>
      </c>
      <c r="EV10" s="32">
        <v>78.099999999999994</v>
      </c>
      <c r="EW10" s="32">
        <v>69.599999999999994</v>
      </c>
      <c r="EX10" s="32">
        <v>80.900000000000006</v>
      </c>
      <c r="EY10" s="32">
        <v>60.8</v>
      </c>
      <c r="EZ10" s="32">
        <v>96.5</v>
      </c>
      <c r="FA10" s="32">
        <v>95.4</v>
      </c>
      <c r="FB10" s="32">
        <v>121.6</v>
      </c>
      <c r="FC10" s="32">
        <v>95.3</v>
      </c>
      <c r="FD10" s="32">
        <v>71.900000000000006</v>
      </c>
      <c r="FE10" s="32">
        <v>212.4</v>
      </c>
      <c r="FF10" s="32">
        <v>65.900000000000006</v>
      </c>
      <c r="FG10" s="32">
        <v>94.3</v>
      </c>
      <c r="FH10" s="32">
        <v>99.7</v>
      </c>
      <c r="FI10" s="32">
        <v>96.7</v>
      </c>
      <c r="FJ10" s="32">
        <v>91.1</v>
      </c>
      <c r="FK10" s="32">
        <v>153.69999999999999</v>
      </c>
      <c r="FL10" s="32">
        <v>153.69999999999999</v>
      </c>
    </row>
    <row r="11" spans="1:168" x14ac:dyDescent="0.2">
      <c r="A11" s="31" t="s">
        <v>991</v>
      </c>
      <c r="B11" s="32">
        <v>63</v>
      </c>
      <c r="C11" s="32">
        <v>55.1</v>
      </c>
      <c r="D11" s="32">
        <v>86.3</v>
      </c>
      <c r="E11" s="32">
        <v>86.6</v>
      </c>
      <c r="F11" s="32">
        <v>461.5</v>
      </c>
      <c r="G11" s="32">
        <v>12231.3</v>
      </c>
      <c r="H11" s="32">
        <v>574</v>
      </c>
      <c r="I11" s="32">
        <v>96.7</v>
      </c>
      <c r="J11" s="32">
        <v>67</v>
      </c>
      <c r="K11" s="32">
        <v>88.1</v>
      </c>
      <c r="L11" s="32">
        <v>87.1</v>
      </c>
      <c r="M11" s="32">
        <v>90.2</v>
      </c>
      <c r="N11" s="32">
        <v>60.6</v>
      </c>
      <c r="O11" s="32">
        <v>435.9</v>
      </c>
      <c r="P11" s="32">
        <v>681.1</v>
      </c>
      <c r="Q11" s="32">
        <v>205.3</v>
      </c>
      <c r="R11" s="32">
        <v>62.4</v>
      </c>
      <c r="S11" s="32">
        <v>91</v>
      </c>
      <c r="T11" s="32">
        <v>128.30000000000001</v>
      </c>
      <c r="U11" s="32">
        <v>27.3</v>
      </c>
      <c r="V11" s="32">
        <v>134.19999999999999</v>
      </c>
      <c r="W11" s="32">
        <v>48.5</v>
      </c>
      <c r="X11" s="32">
        <v>28.8</v>
      </c>
      <c r="Y11" s="32">
        <v>69.3</v>
      </c>
      <c r="Z11" s="32">
        <v>181.6</v>
      </c>
      <c r="AA11" s="32">
        <v>66.8</v>
      </c>
      <c r="AB11" s="32">
        <v>71.099999999999994</v>
      </c>
      <c r="AC11" s="32">
        <v>57.5</v>
      </c>
      <c r="AD11" s="32">
        <v>77.599999999999994</v>
      </c>
      <c r="AE11" s="32">
        <v>155.1</v>
      </c>
      <c r="AF11" s="32">
        <v>155.1</v>
      </c>
      <c r="AG11" s="32">
        <v>57.8</v>
      </c>
      <c r="AH11" s="32">
        <v>57.8</v>
      </c>
      <c r="AI11" s="32">
        <v>167.9</v>
      </c>
      <c r="AJ11" s="32">
        <v>73.3</v>
      </c>
      <c r="AK11" s="32">
        <v>778.9</v>
      </c>
      <c r="AL11" s="32">
        <v>123.2</v>
      </c>
      <c r="AM11" s="32">
        <v>16.899999999999999</v>
      </c>
      <c r="AN11" s="32">
        <v>117.4</v>
      </c>
      <c r="AO11" s="32">
        <v>63.2</v>
      </c>
      <c r="AP11" s="32">
        <v>63.2</v>
      </c>
      <c r="AQ11" s="32">
        <v>96.3</v>
      </c>
      <c r="AR11" s="32">
        <v>91.9</v>
      </c>
      <c r="AS11" s="32">
        <v>105.3</v>
      </c>
      <c r="AT11" s="32">
        <v>109.3</v>
      </c>
      <c r="AU11" s="32">
        <v>94.8</v>
      </c>
      <c r="AV11" s="32">
        <v>106.4</v>
      </c>
      <c r="AW11" s="32">
        <v>171.9</v>
      </c>
      <c r="AX11" s="32">
        <v>248.2</v>
      </c>
      <c r="AY11" s="32">
        <v>238.7</v>
      </c>
      <c r="AZ11" s="32">
        <v>97.2</v>
      </c>
      <c r="BA11" s="32">
        <v>15</v>
      </c>
      <c r="BB11" s="32">
        <v>15</v>
      </c>
      <c r="BC11" s="32">
        <v>103.3</v>
      </c>
      <c r="BD11" s="32">
        <v>103.3</v>
      </c>
      <c r="BE11" s="32">
        <v>76.5</v>
      </c>
      <c r="BF11" s="32">
        <v>76.5</v>
      </c>
      <c r="BG11" s="32">
        <v>62.7</v>
      </c>
      <c r="BH11" s="32">
        <v>57.9</v>
      </c>
      <c r="BI11" s="32">
        <v>63.5</v>
      </c>
      <c r="BJ11" s="32">
        <v>26.7</v>
      </c>
      <c r="BK11" s="32">
        <v>91.9</v>
      </c>
      <c r="BL11" s="32">
        <v>11.8</v>
      </c>
      <c r="BM11" s="32">
        <v>75.8</v>
      </c>
      <c r="BN11" s="32">
        <v>76.3</v>
      </c>
      <c r="BO11" s="32">
        <v>83</v>
      </c>
      <c r="BP11" s="32">
        <v>70.099999999999994</v>
      </c>
      <c r="BQ11" s="32">
        <v>77.400000000000006</v>
      </c>
      <c r="BR11" s="32">
        <v>86.8</v>
      </c>
      <c r="BS11" s="32">
        <v>224.7</v>
      </c>
      <c r="BT11" s="32">
        <v>49.9</v>
      </c>
      <c r="BU11" s="32">
        <v>111.1</v>
      </c>
      <c r="BV11" s="32">
        <v>111.1</v>
      </c>
      <c r="BW11" s="32">
        <v>162.9</v>
      </c>
      <c r="BX11" s="32">
        <v>62.7</v>
      </c>
      <c r="BY11" s="32">
        <v>111.4</v>
      </c>
      <c r="BZ11" s="32">
        <v>116</v>
      </c>
      <c r="CA11" s="32">
        <v>109.9</v>
      </c>
      <c r="CB11" s="32">
        <v>80.7</v>
      </c>
      <c r="CC11" s="32">
        <v>167.8</v>
      </c>
      <c r="CD11" s="32">
        <v>39.299999999999997</v>
      </c>
      <c r="CE11" s="32">
        <v>88.3</v>
      </c>
      <c r="CF11" s="32">
        <v>58.3</v>
      </c>
      <c r="CG11" s="32">
        <v>81.8</v>
      </c>
      <c r="CH11" s="32">
        <v>84.1</v>
      </c>
      <c r="CI11" s="32">
        <v>112.9</v>
      </c>
      <c r="CJ11" s="32">
        <v>68.2</v>
      </c>
      <c r="CK11" s="32">
        <v>91.3</v>
      </c>
      <c r="CL11" s="32">
        <v>75.7</v>
      </c>
      <c r="CM11" s="32">
        <v>85.9</v>
      </c>
      <c r="CN11" s="32">
        <v>40</v>
      </c>
      <c r="CO11" s="32">
        <v>93.2</v>
      </c>
      <c r="CP11" s="32">
        <v>107.6</v>
      </c>
      <c r="CQ11" s="32">
        <v>39.4</v>
      </c>
      <c r="CR11" s="32">
        <v>87.9</v>
      </c>
      <c r="CS11" s="32">
        <v>109.7</v>
      </c>
      <c r="CT11" s="32">
        <v>82.9</v>
      </c>
      <c r="CU11" s="32">
        <v>61.4</v>
      </c>
      <c r="CV11" s="32">
        <v>92.5</v>
      </c>
      <c r="CW11" s="32">
        <v>7.7</v>
      </c>
      <c r="CX11" s="32">
        <v>51.1</v>
      </c>
      <c r="CY11" s="32">
        <v>50.8</v>
      </c>
      <c r="CZ11" s="32">
        <v>56.5</v>
      </c>
      <c r="DA11" s="32">
        <v>46.2</v>
      </c>
      <c r="DB11" s="32">
        <v>77.8</v>
      </c>
      <c r="DC11" s="32">
        <v>0.4</v>
      </c>
      <c r="DD11" s="32">
        <v>0.4</v>
      </c>
      <c r="DE11" s="32">
        <v>25.8</v>
      </c>
      <c r="DF11" s="32">
        <v>21.5</v>
      </c>
      <c r="DG11" s="32">
        <v>54.1</v>
      </c>
      <c r="DH11" s="32">
        <v>68.7</v>
      </c>
      <c r="DI11" s="32">
        <v>94.4</v>
      </c>
      <c r="DJ11" s="32">
        <v>99.7</v>
      </c>
      <c r="DK11" s="32">
        <v>99.7</v>
      </c>
      <c r="DL11" s="32">
        <v>26.6</v>
      </c>
      <c r="DM11" s="32">
        <v>63.8</v>
      </c>
      <c r="DN11" s="32">
        <v>47.1</v>
      </c>
      <c r="DO11" s="32">
        <v>72</v>
      </c>
      <c r="DP11" s="32">
        <v>41.1</v>
      </c>
      <c r="DQ11" s="32">
        <v>48.6</v>
      </c>
      <c r="DR11" s="32">
        <v>46.7</v>
      </c>
      <c r="DS11" s="32">
        <v>42.5</v>
      </c>
      <c r="DT11" s="32">
        <v>39.200000000000003</v>
      </c>
      <c r="DU11" s="32">
        <v>41.3</v>
      </c>
      <c r="DV11" s="32">
        <v>49.2</v>
      </c>
      <c r="DW11" s="32">
        <v>33.4</v>
      </c>
      <c r="DX11" s="32">
        <v>34.700000000000003</v>
      </c>
      <c r="DY11" s="32">
        <v>54.4</v>
      </c>
      <c r="DZ11" s="32">
        <v>101</v>
      </c>
      <c r="EA11" s="32">
        <v>101</v>
      </c>
      <c r="EB11" s="32">
        <v>44</v>
      </c>
      <c r="EC11" s="32">
        <v>45.2</v>
      </c>
      <c r="ED11" s="32">
        <v>42.5</v>
      </c>
      <c r="EE11" s="32">
        <v>47.9</v>
      </c>
      <c r="EF11" s="32">
        <v>30.7</v>
      </c>
      <c r="EG11" s="32">
        <v>51.3</v>
      </c>
      <c r="EH11" s="32">
        <v>67.400000000000006</v>
      </c>
      <c r="EI11" s="32">
        <v>38.4</v>
      </c>
      <c r="EJ11" s="32">
        <v>190</v>
      </c>
      <c r="EK11" s="32">
        <v>41.7</v>
      </c>
      <c r="EL11" s="32">
        <v>65.599999999999994</v>
      </c>
      <c r="EM11" s="32">
        <v>38.299999999999997</v>
      </c>
      <c r="EN11" s="32">
        <v>40.299999999999997</v>
      </c>
      <c r="EO11" s="32">
        <v>79.3</v>
      </c>
      <c r="EP11" s="32">
        <v>83.6</v>
      </c>
      <c r="EQ11" s="32">
        <v>83.6</v>
      </c>
      <c r="ER11" s="32">
        <v>85.2</v>
      </c>
      <c r="ES11" s="32">
        <v>85.2</v>
      </c>
      <c r="ET11" s="32">
        <v>72.599999999999994</v>
      </c>
      <c r="EU11" s="32">
        <v>78.2</v>
      </c>
      <c r="EV11" s="32">
        <v>78.2</v>
      </c>
      <c r="EW11" s="32">
        <v>69.400000000000006</v>
      </c>
      <c r="EX11" s="32">
        <v>80.8</v>
      </c>
      <c r="EY11" s="32">
        <v>60.5</v>
      </c>
      <c r="EZ11" s="32">
        <v>94.9</v>
      </c>
      <c r="FA11" s="32">
        <v>92.6</v>
      </c>
      <c r="FB11" s="32">
        <v>117</v>
      </c>
      <c r="FC11" s="32">
        <v>89.5</v>
      </c>
      <c r="FD11" s="32">
        <v>71.8</v>
      </c>
      <c r="FE11" s="32">
        <v>207.9</v>
      </c>
      <c r="FF11" s="32">
        <v>65.2</v>
      </c>
      <c r="FG11" s="32">
        <v>92.8</v>
      </c>
      <c r="FH11" s="32">
        <v>91.4</v>
      </c>
      <c r="FI11" s="32">
        <v>94.5</v>
      </c>
      <c r="FJ11" s="32">
        <v>93</v>
      </c>
      <c r="FK11" s="32">
        <v>163</v>
      </c>
      <c r="FL11" s="32">
        <v>163</v>
      </c>
    </row>
    <row r="12" spans="1:168" x14ac:dyDescent="0.2">
      <c r="A12" s="31" t="s">
        <v>992</v>
      </c>
      <c r="B12" s="32">
        <v>63.4</v>
      </c>
      <c r="C12" s="32">
        <v>55.7</v>
      </c>
      <c r="D12" s="32">
        <v>87.7</v>
      </c>
      <c r="E12" s="32">
        <v>88.4</v>
      </c>
      <c r="F12" s="32">
        <v>479.5</v>
      </c>
      <c r="G12" s="32">
        <v>13000.3</v>
      </c>
      <c r="H12" s="32">
        <v>604.4</v>
      </c>
      <c r="I12" s="32">
        <v>94.1</v>
      </c>
      <c r="J12" s="32">
        <v>68.400000000000006</v>
      </c>
      <c r="K12" s="32">
        <v>88.4</v>
      </c>
      <c r="L12" s="32">
        <v>87.8</v>
      </c>
      <c r="M12" s="32">
        <v>87.2</v>
      </c>
      <c r="N12" s="32">
        <v>65.099999999999994</v>
      </c>
      <c r="O12" s="32">
        <v>389.8</v>
      </c>
      <c r="P12" s="32">
        <v>670.4</v>
      </c>
      <c r="Q12" s="32">
        <v>212.1</v>
      </c>
      <c r="R12" s="32">
        <v>63.7</v>
      </c>
      <c r="S12" s="32">
        <v>92.3</v>
      </c>
      <c r="T12" s="32">
        <v>132.9</v>
      </c>
      <c r="U12" s="32">
        <v>27.5</v>
      </c>
      <c r="V12" s="32">
        <v>130.6</v>
      </c>
      <c r="W12" s="32">
        <v>49.7</v>
      </c>
      <c r="X12" s="32">
        <v>28.6</v>
      </c>
      <c r="Y12" s="32">
        <v>73.900000000000006</v>
      </c>
      <c r="Z12" s="32">
        <v>176.5</v>
      </c>
      <c r="AA12" s="32">
        <v>68.400000000000006</v>
      </c>
      <c r="AB12" s="32">
        <v>73.599999999999994</v>
      </c>
      <c r="AC12" s="32">
        <v>57.5</v>
      </c>
      <c r="AD12" s="32">
        <v>80.3</v>
      </c>
      <c r="AE12" s="32">
        <v>170.2</v>
      </c>
      <c r="AF12" s="32">
        <v>170.2</v>
      </c>
      <c r="AG12" s="32">
        <v>59</v>
      </c>
      <c r="AH12" s="32">
        <v>59</v>
      </c>
      <c r="AI12" s="32">
        <v>163.6</v>
      </c>
      <c r="AJ12" s="32">
        <v>75.599999999999994</v>
      </c>
      <c r="AK12" s="32">
        <v>800.8</v>
      </c>
      <c r="AL12" s="32">
        <v>122.5</v>
      </c>
      <c r="AM12" s="32">
        <v>16.8</v>
      </c>
      <c r="AN12" s="32">
        <v>123.2</v>
      </c>
      <c r="AO12" s="32">
        <v>64.8</v>
      </c>
      <c r="AP12" s="32">
        <v>64.8</v>
      </c>
      <c r="AQ12" s="32">
        <v>97.2</v>
      </c>
      <c r="AR12" s="32">
        <v>93.9</v>
      </c>
      <c r="AS12" s="32">
        <v>104.1</v>
      </c>
      <c r="AT12" s="32">
        <v>107.5</v>
      </c>
      <c r="AU12" s="32">
        <v>94.6</v>
      </c>
      <c r="AV12" s="32">
        <v>110.1</v>
      </c>
      <c r="AW12" s="32">
        <v>181.3</v>
      </c>
      <c r="AX12" s="32">
        <v>272.10000000000002</v>
      </c>
      <c r="AY12" s="32">
        <v>243.2</v>
      </c>
      <c r="AZ12" s="32">
        <v>99.7</v>
      </c>
      <c r="BA12" s="32">
        <v>14.9</v>
      </c>
      <c r="BB12" s="32">
        <v>14.9</v>
      </c>
      <c r="BC12" s="32">
        <v>107.6</v>
      </c>
      <c r="BD12" s="32">
        <v>107.6</v>
      </c>
      <c r="BE12" s="32">
        <v>78.900000000000006</v>
      </c>
      <c r="BF12" s="32">
        <v>78.900000000000006</v>
      </c>
      <c r="BG12" s="32">
        <v>64.400000000000006</v>
      </c>
      <c r="BH12" s="32">
        <v>60.8</v>
      </c>
      <c r="BI12" s="32">
        <v>63.4</v>
      </c>
      <c r="BJ12" s="32">
        <v>26.4</v>
      </c>
      <c r="BK12" s="32">
        <v>91.9</v>
      </c>
      <c r="BL12" s="32">
        <v>11.9</v>
      </c>
      <c r="BM12" s="32">
        <v>77</v>
      </c>
      <c r="BN12" s="32">
        <v>76.400000000000006</v>
      </c>
      <c r="BO12" s="32">
        <v>83.7</v>
      </c>
      <c r="BP12" s="32">
        <v>69.8</v>
      </c>
      <c r="BQ12" s="32">
        <v>80.2</v>
      </c>
      <c r="BR12" s="32">
        <v>59.9</v>
      </c>
      <c r="BS12" s="32">
        <v>215.8</v>
      </c>
      <c r="BT12" s="32">
        <v>56.5</v>
      </c>
      <c r="BU12" s="32">
        <v>113.8</v>
      </c>
      <c r="BV12" s="32">
        <v>113.8</v>
      </c>
      <c r="BW12" s="32">
        <v>169.6</v>
      </c>
      <c r="BX12" s="32">
        <v>61.2</v>
      </c>
      <c r="BY12" s="32">
        <v>112</v>
      </c>
      <c r="BZ12" s="32">
        <v>115.9</v>
      </c>
      <c r="CA12" s="32">
        <v>110.9</v>
      </c>
      <c r="CB12" s="32">
        <v>82.9</v>
      </c>
      <c r="CC12" s="32">
        <v>166.4</v>
      </c>
      <c r="CD12" s="32">
        <v>39.6</v>
      </c>
      <c r="CE12" s="32">
        <v>88.2</v>
      </c>
      <c r="CF12" s="32">
        <v>58.4</v>
      </c>
      <c r="CG12" s="32">
        <v>82</v>
      </c>
      <c r="CH12" s="32">
        <v>83.9</v>
      </c>
      <c r="CI12" s="32">
        <v>112.9</v>
      </c>
      <c r="CJ12" s="32">
        <v>67.5</v>
      </c>
      <c r="CK12" s="32">
        <v>91.5</v>
      </c>
      <c r="CL12" s="32">
        <v>77</v>
      </c>
      <c r="CM12" s="32">
        <v>88</v>
      </c>
      <c r="CN12" s="32">
        <v>41.6</v>
      </c>
      <c r="CO12" s="32">
        <v>95.3</v>
      </c>
      <c r="CP12" s="32">
        <v>106.7</v>
      </c>
      <c r="CQ12" s="32">
        <v>40.299999999999997</v>
      </c>
      <c r="CR12" s="32">
        <v>87</v>
      </c>
      <c r="CS12" s="32">
        <v>114</v>
      </c>
      <c r="CT12" s="32">
        <v>82.7</v>
      </c>
      <c r="CU12" s="32">
        <v>63.3</v>
      </c>
      <c r="CV12" s="32">
        <v>91.4</v>
      </c>
      <c r="CW12" s="32">
        <v>7.7</v>
      </c>
      <c r="CX12" s="32">
        <v>51.1</v>
      </c>
      <c r="CY12" s="32">
        <v>53.6</v>
      </c>
      <c r="CZ12" s="32">
        <v>52.9</v>
      </c>
      <c r="DA12" s="32">
        <v>42.8</v>
      </c>
      <c r="DB12" s="32">
        <v>73.8</v>
      </c>
      <c r="DC12" s="32">
        <v>0.4</v>
      </c>
      <c r="DD12" s="32">
        <v>0.4</v>
      </c>
      <c r="DE12" s="32">
        <v>23.9</v>
      </c>
      <c r="DF12" s="32">
        <v>19.8</v>
      </c>
      <c r="DG12" s="32">
        <v>51.5</v>
      </c>
      <c r="DH12" s="32">
        <v>69.5</v>
      </c>
      <c r="DI12" s="32">
        <v>97.6</v>
      </c>
      <c r="DJ12" s="32">
        <v>98.4</v>
      </c>
      <c r="DK12" s="32">
        <v>98.4</v>
      </c>
      <c r="DL12" s="32">
        <v>25.5</v>
      </c>
      <c r="DM12" s="32">
        <v>63.5</v>
      </c>
      <c r="DN12" s="32">
        <v>46.6</v>
      </c>
      <c r="DO12" s="32">
        <v>71.8</v>
      </c>
      <c r="DP12" s="32">
        <v>38.799999999999997</v>
      </c>
      <c r="DQ12" s="32">
        <v>49.5</v>
      </c>
      <c r="DR12" s="32">
        <v>47.8</v>
      </c>
      <c r="DS12" s="32">
        <v>44.8</v>
      </c>
      <c r="DT12" s="32">
        <v>40</v>
      </c>
      <c r="DU12" s="32">
        <v>41.8</v>
      </c>
      <c r="DV12" s="32">
        <v>50.8</v>
      </c>
      <c r="DW12" s="32">
        <v>33</v>
      </c>
      <c r="DX12" s="32">
        <v>36.200000000000003</v>
      </c>
      <c r="DY12" s="32">
        <v>61.8</v>
      </c>
      <c r="DZ12" s="32">
        <v>95.6</v>
      </c>
      <c r="EA12" s="32">
        <v>95.6</v>
      </c>
      <c r="EB12" s="32">
        <v>42.8</v>
      </c>
      <c r="EC12" s="32">
        <v>42</v>
      </c>
      <c r="ED12" s="32">
        <v>44</v>
      </c>
      <c r="EE12" s="32">
        <v>49.9</v>
      </c>
      <c r="EF12" s="32">
        <v>31.2</v>
      </c>
      <c r="EG12" s="32">
        <v>51.8</v>
      </c>
      <c r="EH12" s="32">
        <v>69.3</v>
      </c>
      <c r="EI12" s="32">
        <v>37.9</v>
      </c>
      <c r="EJ12" s="32">
        <v>193.9</v>
      </c>
      <c r="EK12" s="32">
        <v>42.1</v>
      </c>
      <c r="EL12" s="32">
        <v>66.400000000000006</v>
      </c>
      <c r="EM12" s="32">
        <v>38.799999999999997</v>
      </c>
      <c r="EN12" s="32">
        <v>40.700000000000003</v>
      </c>
      <c r="EO12" s="32">
        <v>79.900000000000006</v>
      </c>
      <c r="EP12" s="32">
        <v>83.9</v>
      </c>
      <c r="EQ12" s="32">
        <v>83.9</v>
      </c>
      <c r="ER12" s="32">
        <v>86.9</v>
      </c>
      <c r="ES12" s="32">
        <v>86.9</v>
      </c>
      <c r="ET12" s="32">
        <v>72.7</v>
      </c>
      <c r="EU12" s="32">
        <v>78.3</v>
      </c>
      <c r="EV12" s="32">
        <v>78.3</v>
      </c>
      <c r="EW12" s="32">
        <v>69.599999999999994</v>
      </c>
      <c r="EX12" s="32">
        <v>81</v>
      </c>
      <c r="EY12" s="32">
        <v>60.5</v>
      </c>
      <c r="EZ12" s="32">
        <v>91.1</v>
      </c>
      <c r="FA12" s="32">
        <v>88</v>
      </c>
      <c r="FB12" s="32">
        <v>107.4</v>
      </c>
      <c r="FC12" s="32">
        <v>75.099999999999994</v>
      </c>
      <c r="FD12" s="32">
        <v>73.7</v>
      </c>
      <c r="FE12" s="32">
        <v>203.1</v>
      </c>
      <c r="FF12" s="32">
        <v>66.099999999999994</v>
      </c>
      <c r="FG12" s="32">
        <v>90</v>
      </c>
      <c r="FH12" s="32">
        <v>82.7</v>
      </c>
      <c r="FI12" s="32">
        <v>100.2</v>
      </c>
      <c r="FJ12" s="32">
        <v>91.9</v>
      </c>
      <c r="FK12" s="32">
        <v>154.69999999999999</v>
      </c>
      <c r="FL12" s="32">
        <v>154.69999999999999</v>
      </c>
    </row>
    <row r="13" spans="1:168" x14ac:dyDescent="0.2">
      <c r="A13" s="33" t="s">
        <v>993</v>
      </c>
      <c r="B13" s="32">
        <v>63.4</v>
      </c>
      <c r="C13" s="32">
        <v>56.1</v>
      </c>
      <c r="D13" s="32">
        <v>86.8</v>
      </c>
      <c r="E13" s="32">
        <v>87.4</v>
      </c>
      <c r="F13" s="32">
        <v>472</v>
      </c>
      <c r="G13" s="32">
        <v>12104.9</v>
      </c>
      <c r="H13" s="32">
        <v>599.70000000000005</v>
      </c>
      <c r="I13" s="32">
        <v>90.1</v>
      </c>
      <c r="J13" s="32">
        <v>67.400000000000006</v>
      </c>
      <c r="K13" s="32">
        <v>88.5</v>
      </c>
      <c r="L13" s="32">
        <v>87.4</v>
      </c>
      <c r="M13" s="32">
        <v>91.8</v>
      </c>
      <c r="N13" s="32">
        <v>65</v>
      </c>
      <c r="O13" s="32">
        <v>382</v>
      </c>
      <c r="P13" s="32">
        <v>693.3</v>
      </c>
      <c r="Q13" s="32">
        <v>211.8</v>
      </c>
      <c r="R13" s="32">
        <v>63.9</v>
      </c>
      <c r="S13" s="32">
        <v>88</v>
      </c>
      <c r="T13" s="32">
        <v>129.19999999999999</v>
      </c>
      <c r="U13" s="32">
        <v>31</v>
      </c>
      <c r="V13" s="32">
        <v>130.6</v>
      </c>
      <c r="W13" s="32">
        <v>48.1</v>
      </c>
      <c r="X13" s="32">
        <v>28.2</v>
      </c>
      <c r="Y13" s="32">
        <v>70</v>
      </c>
      <c r="Z13" s="32">
        <v>176.8</v>
      </c>
      <c r="AA13" s="32">
        <v>66.7</v>
      </c>
      <c r="AB13" s="32">
        <v>71.2</v>
      </c>
      <c r="AC13" s="32">
        <v>56</v>
      </c>
      <c r="AD13" s="32">
        <v>78.8</v>
      </c>
      <c r="AE13" s="32">
        <v>172.1</v>
      </c>
      <c r="AF13" s="32">
        <v>172.1</v>
      </c>
      <c r="AG13" s="32">
        <v>60.3</v>
      </c>
      <c r="AH13" s="32">
        <v>60.3</v>
      </c>
      <c r="AI13" s="32">
        <v>169.3</v>
      </c>
      <c r="AJ13" s="32">
        <v>79.599999999999994</v>
      </c>
      <c r="AK13" s="32">
        <v>839.3</v>
      </c>
      <c r="AL13" s="32">
        <v>121.8</v>
      </c>
      <c r="AM13" s="32">
        <v>16.3</v>
      </c>
      <c r="AN13" s="32">
        <v>118.9</v>
      </c>
      <c r="AO13" s="32">
        <v>65.7</v>
      </c>
      <c r="AP13" s="32">
        <v>65.7</v>
      </c>
      <c r="AQ13" s="32">
        <v>94.7</v>
      </c>
      <c r="AR13" s="32">
        <v>90.1</v>
      </c>
      <c r="AS13" s="32">
        <v>103.7</v>
      </c>
      <c r="AT13" s="32">
        <v>105.1</v>
      </c>
      <c r="AU13" s="32">
        <v>97.4</v>
      </c>
      <c r="AV13" s="32">
        <v>106.1</v>
      </c>
      <c r="AW13" s="32">
        <v>170.9</v>
      </c>
      <c r="AX13" s="32">
        <v>246.9</v>
      </c>
      <c r="AY13" s="32">
        <v>237.1</v>
      </c>
      <c r="AZ13" s="32">
        <v>97</v>
      </c>
      <c r="BA13" s="32">
        <v>15</v>
      </c>
      <c r="BB13" s="32">
        <v>15</v>
      </c>
      <c r="BC13" s="32">
        <v>99.2</v>
      </c>
      <c r="BD13" s="32">
        <v>99.2</v>
      </c>
      <c r="BE13" s="32">
        <v>78.099999999999994</v>
      </c>
      <c r="BF13" s="32">
        <v>78.099999999999994</v>
      </c>
      <c r="BG13" s="32">
        <v>63.3</v>
      </c>
      <c r="BH13" s="32">
        <v>59.4</v>
      </c>
      <c r="BI13" s="32">
        <v>62.7</v>
      </c>
      <c r="BJ13" s="32">
        <v>27.1</v>
      </c>
      <c r="BK13" s="32">
        <v>90.3</v>
      </c>
      <c r="BL13" s="32">
        <v>11.3</v>
      </c>
      <c r="BM13" s="32">
        <v>75.400000000000006</v>
      </c>
      <c r="BN13" s="32">
        <v>75.3</v>
      </c>
      <c r="BO13" s="32">
        <v>78.5</v>
      </c>
      <c r="BP13" s="32">
        <v>72.099999999999994</v>
      </c>
      <c r="BQ13" s="32">
        <v>77.900000000000006</v>
      </c>
      <c r="BR13" s="32">
        <v>68.900000000000006</v>
      </c>
      <c r="BS13" s="32">
        <v>209.1</v>
      </c>
      <c r="BT13" s="32">
        <v>53.9</v>
      </c>
      <c r="BU13" s="32">
        <v>112.7</v>
      </c>
      <c r="BV13" s="32">
        <v>112.7</v>
      </c>
      <c r="BW13" s="32">
        <v>168.8</v>
      </c>
      <c r="BX13" s="32">
        <v>59.8</v>
      </c>
      <c r="BY13" s="32">
        <v>113.8</v>
      </c>
      <c r="BZ13" s="32">
        <v>117.2</v>
      </c>
      <c r="CA13" s="32">
        <v>113</v>
      </c>
      <c r="CB13" s="32">
        <v>86.3</v>
      </c>
      <c r="CC13" s="32">
        <v>165.8</v>
      </c>
      <c r="CD13" s="32">
        <v>41</v>
      </c>
      <c r="CE13" s="32">
        <v>87.9</v>
      </c>
      <c r="CF13" s="32">
        <v>58.6</v>
      </c>
      <c r="CG13" s="32">
        <v>82.5</v>
      </c>
      <c r="CH13" s="32">
        <v>84.3</v>
      </c>
      <c r="CI13" s="32">
        <v>114.6</v>
      </c>
      <c r="CJ13" s="32">
        <v>68.900000000000006</v>
      </c>
      <c r="CK13" s="32">
        <v>90.8</v>
      </c>
      <c r="CL13" s="32">
        <v>78</v>
      </c>
      <c r="CM13" s="32">
        <v>89.3</v>
      </c>
      <c r="CN13" s="32">
        <v>43.3</v>
      </c>
      <c r="CO13" s="32">
        <v>96.3</v>
      </c>
      <c r="CP13" s="32">
        <v>105.3</v>
      </c>
      <c r="CQ13" s="32">
        <v>41.4</v>
      </c>
      <c r="CR13" s="32">
        <v>89.2</v>
      </c>
      <c r="CS13" s="32">
        <v>112.9</v>
      </c>
      <c r="CT13" s="32">
        <v>82.8</v>
      </c>
      <c r="CU13" s="32">
        <v>64.7</v>
      </c>
      <c r="CV13" s="32">
        <v>91</v>
      </c>
      <c r="CW13" s="32">
        <v>7.9</v>
      </c>
      <c r="CX13" s="32">
        <v>49.2</v>
      </c>
      <c r="CY13" s="32">
        <v>53.2</v>
      </c>
      <c r="CZ13" s="32">
        <v>48.7</v>
      </c>
      <c r="DA13" s="32">
        <v>38.6</v>
      </c>
      <c r="DB13" s="32">
        <v>70.2</v>
      </c>
      <c r="DC13" s="32">
        <v>0.4</v>
      </c>
      <c r="DD13" s="32">
        <v>0.4</v>
      </c>
      <c r="DE13" s="32">
        <v>25.4</v>
      </c>
      <c r="DF13" s="32">
        <v>20.9</v>
      </c>
      <c r="DG13" s="32">
        <v>56.7</v>
      </c>
      <c r="DH13" s="32">
        <v>69.099999999999994</v>
      </c>
      <c r="DI13" s="32">
        <v>96.8</v>
      </c>
      <c r="DJ13" s="32">
        <v>97.4</v>
      </c>
      <c r="DK13" s="32">
        <v>97.4</v>
      </c>
      <c r="DL13" s="32">
        <v>26.2</v>
      </c>
      <c r="DM13" s="32">
        <v>63.3</v>
      </c>
      <c r="DN13" s="32">
        <v>46.6</v>
      </c>
      <c r="DO13" s="32">
        <v>71.5</v>
      </c>
      <c r="DP13" s="32">
        <v>37.4</v>
      </c>
      <c r="DQ13" s="32">
        <v>50.1</v>
      </c>
      <c r="DR13" s="32">
        <v>47.8</v>
      </c>
      <c r="DS13" s="32">
        <v>45.2</v>
      </c>
      <c r="DT13" s="32">
        <v>40.4</v>
      </c>
      <c r="DU13" s="32">
        <v>41.8</v>
      </c>
      <c r="DV13" s="32">
        <v>50.2</v>
      </c>
      <c r="DW13" s="32">
        <v>33.4</v>
      </c>
      <c r="DX13" s="32">
        <v>37.5</v>
      </c>
      <c r="DY13" s="32">
        <v>62.5</v>
      </c>
      <c r="DZ13" s="32">
        <v>95.7</v>
      </c>
      <c r="EA13" s="32">
        <v>95.7</v>
      </c>
      <c r="EB13" s="32">
        <v>41.6</v>
      </c>
      <c r="EC13" s="32">
        <v>38.299999999999997</v>
      </c>
      <c r="ED13" s="32">
        <v>46.2</v>
      </c>
      <c r="EE13" s="32">
        <v>52.9</v>
      </c>
      <c r="EF13" s="32">
        <v>31.5</v>
      </c>
      <c r="EG13" s="32">
        <v>53.3</v>
      </c>
      <c r="EH13" s="32">
        <v>71.3</v>
      </c>
      <c r="EI13" s="32">
        <v>38.700000000000003</v>
      </c>
      <c r="EJ13" s="32">
        <v>192.6</v>
      </c>
      <c r="EK13" s="32">
        <v>43.8</v>
      </c>
      <c r="EL13" s="32">
        <v>66.099999999999994</v>
      </c>
      <c r="EM13" s="32">
        <v>39</v>
      </c>
      <c r="EN13" s="32">
        <v>43.4</v>
      </c>
      <c r="EO13" s="32">
        <v>80.099999999999994</v>
      </c>
      <c r="EP13" s="32">
        <v>83.6</v>
      </c>
      <c r="EQ13" s="32">
        <v>83.6</v>
      </c>
      <c r="ER13" s="32">
        <v>88.1</v>
      </c>
      <c r="ES13" s="32">
        <v>88.1</v>
      </c>
      <c r="ET13" s="32">
        <v>72.599999999999994</v>
      </c>
      <c r="EU13" s="32">
        <v>78</v>
      </c>
      <c r="EV13" s="32">
        <v>78</v>
      </c>
      <c r="EW13" s="32">
        <v>69.599999999999994</v>
      </c>
      <c r="EX13" s="32">
        <v>81.099999999999994</v>
      </c>
      <c r="EY13" s="32">
        <v>60.4</v>
      </c>
      <c r="EZ13" s="32">
        <v>90.1</v>
      </c>
      <c r="FA13" s="32">
        <v>84.1</v>
      </c>
      <c r="FB13" s="32">
        <v>100.1</v>
      </c>
      <c r="FC13" s="32">
        <v>65.5</v>
      </c>
      <c r="FD13" s="32">
        <v>74.7</v>
      </c>
      <c r="FE13" s="32">
        <v>196.3</v>
      </c>
      <c r="FF13" s="32">
        <v>66.099999999999994</v>
      </c>
      <c r="FG13" s="32">
        <v>91.1</v>
      </c>
      <c r="FH13" s="32">
        <v>84</v>
      </c>
      <c r="FI13" s="32">
        <v>94.6</v>
      </c>
      <c r="FJ13" s="32">
        <v>93.8</v>
      </c>
      <c r="FK13" s="32">
        <v>157.69999999999999</v>
      </c>
      <c r="FL13" s="32">
        <v>157.69999999999999</v>
      </c>
    </row>
    <row r="14" spans="1:168" x14ac:dyDescent="0.2">
      <c r="A14" s="33" t="s">
        <v>994</v>
      </c>
      <c r="B14" s="32">
        <v>63.6</v>
      </c>
      <c r="C14" s="32">
        <v>56.5</v>
      </c>
      <c r="D14" s="32">
        <v>87.3</v>
      </c>
      <c r="E14" s="32">
        <v>87.8</v>
      </c>
      <c r="F14" s="32">
        <v>468.6</v>
      </c>
      <c r="G14" s="32">
        <v>11649.3</v>
      </c>
      <c r="H14" s="32">
        <v>599.4</v>
      </c>
      <c r="I14" s="32">
        <v>87.1</v>
      </c>
      <c r="J14" s="32">
        <v>68</v>
      </c>
      <c r="K14" s="32">
        <v>89</v>
      </c>
      <c r="L14" s="32">
        <v>88.5</v>
      </c>
      <c r="M14" s="32">
        <v>91.2</v>
      </c>
      <c r="N14" s="32">
        <v>63.3</v>
      </c>
      <c r="O14" s="32">
        <v>377.2</v>
      </c>
      <c r="P14" s="32">
        <v>661.5</v>
      </c>
      <c r="Q14" s="32">
        <v>217.1</v>
      </c>
      <c r="R14" s="32">
        <v>64.2</v>
      </c>
      <c r="S14" s="32">
        <v>92.6</v>
      </c>
      <c r="T14" s="32">
        <v>131.4</v>
      </c>
      <c r="U14" s="32">
        <v>31.1</v>
      </c>
      <c r="V14" s="32">
        <v>126.3</v>
      </c>
      <c r="W14" s="32">
        <v>48.7</v>
      </c>
      <c r="X14" s="32">
        <v>29.3</v>
      </c>
      <c r="Y14" s="32">
        <v>70</v>
      </c>
      <c r="Z14" s="32">
        <v>169.8</v>
      </c>
      <c r="AA14" s="32">
        <v>66.400000000000006</v>
      </c>
      <c r="AB14" s="32">
        <v>75</v>
      </c>
      <c r="AC14" s="32">
        <v>56.2</v>
      </c>
      <c r="AD14" s="32">
        <v>76.2</v>
      </c>
      <c r="AE14" s="32">
        <v>179.1</v>
      </c>
      <c r="AF14" s="32">
        <v>179.1</v>
      </c>
      <c r="AG14" s="32">
        <v>60.1</v>
      </c>
      <c r="AH14" s="32">
        <v>60.1</v>
      </c>
      <c r="AI14" s="32">
        <v>164.9</v>
      </c>
      <c r="AJ14" s="32">
        <v>77.900000000000006</v>
      </c>
      <c r="AK14" s="32">
        <v>790.5</v>
      </c>
      <c r="AL14" s="32">
        <v>124.7</v>
      </c>
      <c r="AM14" s="32">
        <v>16.899999999999999</v>
      </c>
      <c r="AN14" s="32">
        <v>123.6</v>
      </c>
      <c r="AO14" s="32">
        <v>65.5</v>
      </c>
      <c r="AP14" s="32">
        <v>65.5</v>
      </c>
      <c r="AQ14" s="32">
        <v>96.5</v>
      </c>
      <c r="AR14" s="32">
        <v>93.3</v>
      </c>
      <c r="AS14" s="32">
        <v>103.3</v>
      </c>
      <c r="AT14" s="32">
        <v>104.8</v>
      </c>
      <c r="AU14" s="32">
        <v>96.8</v>
      </c>
      <c r="AV14" s="32">
        <v>105.3</v>
      </c>
      <c r="AW14" s="32">
        <v>172.5</v>
      </c>
      <c r="AX14" s="32">
        <v>246.6</v>
      </c>
      <c r="AY14" s="32">
        <v>241.1</v>
      </c>
      <c r="AZ14" s="32">
        <v>95.6</v>
      </c>
      <c r="BA14" s="32">
        <v>15.5</v>
      </c>
      <c r="BB14" s="32">
        <v>15.5</v>
      </c>
      <c r="BC14" s="32">
        <v>105.4</v>
      </c>
      <c r="BD14" s="32">
        <v>105.4</v>
      </c>
      <c r="BE14" s="32">
        <v>80</v>
      </c>
      <c r="BF14" s="32">
        <v>80</v>
      </c>
      <c r="BG14" s="32">
        <v>63</v>
      </c>
      <c r="BH14" s="32">
        <v>59.1</v>
      </c>
      <c r="BI14" s="32">
        <v>62.3</v>
      </c>
      <c r="BJ14" s="32">
        <v>27.6</v>
      </c>
      <c r="BK14" s="32">
        <v>89.6</v>
      </c>
      <c r="BL14" s="32">
        <v>10.8</v>
      </c>
      <c r="BM14" s="32">
        <v>76.599999999999994</v>
      </c>
      <c r="BN14" s="32">
        <v>76.8</v>
      </c>
      <c r="BO14" s="32">
        <v>82.5</v>
      </c>
      <c r="BP14" s="32">
        <v>71.5</v>
      </c>
      <c r="BQ14" s="32">
        <v>78.8</v>
      </c>
      <c r="BR14" s="32">
        <v>77.599999999999994</v>
      </c>
      <c r="BS14" s="32">
        <v>210.6</v>
      </c>
      <c r="BT14" s="32">
        <v>53.7</v>
      </c>
      <c r="BU14" s="32">
        <v>111.5</v>
      </c>
      <c r="BV14" s="32">
        <v>111.5</v>
      </c>
      <c r="BW14" s="32">
        <v>166.6</v>
      </c>
      <c r="BX14" s="32">
        <v>59.7</v>
      </c>
      <c r="BY14" s="32">
        <v>112.9</v>
      </c>
      <c r="BZ14" s="32">
        <v>123.4</v>
      </c>
      <c r="CA14" s="32">
        <v>108.1</v>
      </c>
      <c r="CB14" s="32">
        <v>83.3</v>
      </c>
      <c r="CC14" s="32">
        <v>157.30000000000001</v>
      </c>
      <c r="CD14" s="32">
        <v>39.1</v>
      </c>
      <c r="CE14" s="32">
        <v>88.4</v>
      </c>
      <c r="CF14" s="32">
        <v>58.7</v>
      </c>
      <c r="CG14" s="32">
        <v>83.1</v>
      </c>
      <c r="CH14" s="32">
        <v>85.1</v>
      </c>
      <c r="CI14" s="32">
        <v>112.7</v>
      </c>
      <c r="CJ14" s="32">
        <v>71.099999999999994</v>
      </c>
      <c r="CK14" s="32">
        <v>90.6</v>
      </c>
      <c r="CL14" s="32">
        <v>78</v>
      </c>
      <c r="CM14" s="32">
        <v>91.1</v>
      </c>
      <c r="CN14" s="32">
        <v>45.1</v>
      </c>
      <c r="CO14" s="32">
        <v>98</v>
      </c>
      <c r="CP14" s="32">
        <v>104</v>
      </c>
      <c r="CQ14" s="32">
        <v>41.5</v>
      </c>
      <c r="CR14" s="32">
        <v>88.7</v>
      </c>
      <c r="CS14" s="32">
        <v>108.3</v>
      </c>
      <c r="CT14" s="32">
        <v>83.6</v>
      </c>
      <c r="CU14" s="32">
        <v>65.099999999999994</v>
      </c>
      <c r="CV14" s="32">
        <v>91.9</v>
      </c>
      <c r="CW14" s="32">
        <v>8.1999999999999993</v>
      </c>
      <c r="CX14" s="32">
        <v>50.2</v>
      </c>
      <c r="CY14" s="32">
        <v>54.5</v>
      </c>
      <c r="CZ14" s="32">
        <v>49.6</v>
      </c>
      <c r="DA14" s="32">
        <v>40</v>
      </c>
      <c r="DB14" s="32">
        <v>69.900000000000006</v>
      </c>
      <c r="DC14" s="32">
        <v>0.5</v>
      </c>
      <c r="DD14" s="32">
        <v>0.5</v>
      </c>
      <c r="DE14" s="32">
        <v>26.7</v>
      </c>
      <c r="DF14" s="32">
        <v>21.8</v>
      </c>
      <c r="DG14" s="32">
        <v>61</v>
      </c>
      <c r="DH14" s="32">
        <v>66.099999999999994</v>
      </c>
      <c r="DI14" s="32">
        <v>91.6</v>
      </c>
      <c r="DJ14" s="32">
        <v>96.6</v>
      </c>
      <c r="DK14" s="32">
        <v>96.6</v>
      </c>
      <c r="DL14" s="32">
        <v>23.9</v>
      </c>
      <c r="DM14" s="32">
        <v>62.8</v>
      </c>
      <c r="DN14" s="32">
        <v>46.2</v>
      </c>
      <c r="DO14" s="32">
        <v>71.099999999999994</v>
      </c>
      <c r="DP14" s="32">
        <v>36.799999999999997</v>
      </c>
      <c r="DQ14" s="32">
        <v>50.4</v>
      </c>
      <c r="DR14" s="32">
        <v>48.6</v>
      </c>
      <c r="DS14" s="32">
        <v>45.7</v>
      </c>
      <c r="DT14" s="32">
        <v>41.5</v>
      </c>
      <c r="DU14" s="32">
        <v>43.3</v>
      </c>
      <c r="DV14" s="32">
        <v>52.8</v>
      </c>
      <c r="DW14" s="32">
        <v>34</v>
      </c>
      <c r="DX14" s="32">
        <v>37.799999999999997</v>
      </c>
      <c r="DY14" s="32">
        <v>60.3</v>
      </c>
      <c r="DZ14" s="32">
        <v>94.4</v>
      </c>
      <c r="EA14" s="32">
        <v>94.4</v>
      </c>
      <c r="EB14" s="32">
        <v>44.1</v>
      </c>
      <c r="EC14" s="32">
        <v>42</v>
      </c>
      <c r="ED14" s="32">
        <v>46.9</v>
      </c>
      <c r="EE14" s="32">
        <v>53.9</v>
      </c>
      <c r="EF14" s="32">
        <v>31.7</v>
      </c>
      <c r="EG14" s="32">
        <v>52.8</v>
      </c>
      <c r="EH14" s="32">
        <v>71.7</v>
      </c>
      <c r="EI14" s="32">
        <v>38.299999999999997</v>
      </c>
      <c r="EJ14" s="32">
        <v>186.5</v>
      </c>
      <c r="EK14" s="32">
        <v>43.3</v>
      </c>
      <c r="EL14" s="32">
        <v>62.8</v>
      </c>
      <c r="EM14" s="32">
        <v>37.799999999999997</v>
      </c>
      <c r="EN14" s="32">
        <v>43.8</v>
      </c>
      <c r="EO14" s="32">
        <v>80.2</v>
      </c>
      <c r="EP14" s="32">
        <v>83</v>
      </c>
      <c r="EQ14" s="32">
        <v>83</v>
      </c>
      <c r="ER14" s="32">
        <v>88.9</v>
      </c>
      <c r="ES14" s="32">
        <v>88.9</v>
      </c>
      <c r="ET14" s="32">
        <v>72.7</v>
      </c>
      <c r="EU14" s="32">
        <v>78.2</v>
      </c>
      <c r="EV14" s="32">
        <v>78.2</v>
      </c>
      <c r="EW14" s="32">
        <v>69.7</v>
      </c>
      <c r="EX14" s="32">
        <v>81.3</v>
      </c>
      <c r="EY14" s="32">
        <v>60.5</v>
      </c>
      <c r="EZ14" s="32">
        <v>92.3</v>
      </c>
      <c r="FA14" s="32">
        <v>83.7</v>
      </c>
      <c r="FB14" s="32">
        <v>99.6</v>
      </c>
      <c r="FC14" s="32">
        <v>67</v>
      </c>
      <c r="FD14" s="32">
        <v>75.3</v>
      </c>
      <c r="FE14" s="32">
        <v>188.8</v>
      </c>
      <c r="FF14" s="32">
        <v>65.900000000000006</v>
      </c>
      <c r="FG14" s="32">
        <v>95.4</v>
      </c>
      <c r="FH14" s="32">
        <v>97.7</v>
      </c>
      <c r="FI14" s="32">
        <v>97.9</v>
      </c>
      <c r="FJ14" s="32">
        <v>93.8</v>
      </c>
      <c r="FK14" s="32">
        <v>159</v>
      </c>
      <c r="FL14" s="32">
        <v>159</v>
      </c>
    </row>
    <row r="15" spans="1:168" x14ac:dyDescent="0.2">
      <c r="A15" s="33" t="s">
        <v>995</v>
      </c>
      <c r="B15" s="32">
        <v>64</v>
      </c>
      <c r="C15" s="32">
        <v>57.2</v>
      </c>
      <c r="D15" s="32">
        <v>88.5</v>
      </c>
      <c r="E15" s="32">
        <v>89</v>
      </c>
      <c r="F15" s="32">
        <v>482.3</v>
      </c>
      <c r="G15" s="32">
        <v>11104.4</v>
      </c>
      <c r="H15" s="32">
        <v>625.1</v>
      </c>
      <c r="I15" s="32">
        <v>84.4</v>
      </c>
      <c r="J15" s="32">
        <v>69</v>
      </c>
      <c r="K15" s="32">
        <v>89.4</v>
      </c>
      <c r="L15" s="32">
        <v>88.8</v>
      </c>
      <c r="M15" s="32">
        <v>90.3</v>
      </c>
      <c r="N15" s="32">
        <v>61.3</v>
      </c>
      <c r="O15" s="32">
        <v>390.8</v>
      </c>
      <c r="P15" s="32">
        <v>688.4</v>
      </c>
      <c r="Q15" s="32">
        <v>219.6</v>
      </c>
      <c r="R15" s="32">
        <v>63.5</v>
      </c>
      <c r="S15" s="32">
        <v>93.8</v>
      </c>
      <c r="T15" s="32">
        <v>132</v>
      </c>
      <c r="U15" s="32">
        <v>32.1</v>
      </c>
      <c r="V15" s="32">
        <v>126</v>
      </c>
      <c r="W15" s="32">
        <v>48.8</v>
      </c>
      <c r="X15" s="32">
        <v>29.2</v>
      </c>
      <c r="Y15" s="32">
        <v>69.7</v>
      </c>
      <c r="Z15" s="32">
        <v>174.7</v>
      </c>
      <c r="AA15" s="32">
        <v>67.5</v>
      </c>
      <c r="AB15" s="32">
        <v>74.599999999999994</v>
      </c>
      <c r="AC15" s="32">
        <v>57.7</v>
      </c>
      <c r="AD15" s="32">
        <v>77.400000000000006</v>
      </c>
      <c r="AE15" s="32">
        <v>176.5</v>
      </c>
      <c r="AF15" s="32">
        <v>176.5</v>
      </c>
      <c r="AG15" s="32">
        <v>60.9</v>
      </c>
      <c r="AH15" s="32">
        <v>60.9</v>
      </c>
      <c r="AI15" s="32">
        <v>159.9</v>
      </c>
      <c r="AJ15" s="32">
        <v>79.2</v>
      </c>
      <c r="AK15" s="32">
        <v>862.6</v>
      </c>
      <c r="AL15" s="32">
        <v>122.5</v>
      </c>
      <c r="AM15" s="32">
        <v>16.7</v>
      </c>
      <c r="AN15" s="32">
        <v>124.7</v>
      </c>
      <c r="AO15" s="32">
        <v>64.2</v>
      </c>
      <c r="AP15" s="32">
        <v>64.2</v>
      </c>
      <c r="AQ15" s="32">
        <v>96.9</v>
      </c>
      <c r="AR15" s="32">
        <v>93.3</v>
      </c>
      <c r="AS15" s="32">
        <v>104.2</v>
      </c>
      <c r="AT15" s="32">
        <v>104.6</v>
      </c>
      <c r="AU15" s="32">
        <v>99.4</v>
      </c>
      <c r="AV15" s="32">
        <v>107.7</v>
      </c>
      <c r="AW15" s="32">
        <v>175</v>
      </c>
      <c r="AX15" s="32">
        <v>256.8</v>
      </c>
      <c r="AY15" s="32">
        <v>239.3</v>
      </c>
      <c r="AZ15" s="32">
        <v>98.1</v>
      </c>
      <c r="BA15" s="32">
        <v>16.3</v>
      </c>
      <c r="BB15" s="32">
        <v>16.3</v>
      </c>
      <c r="BC15" s="32">
        <v>106.6</v>
      </c>
      <c r="BD15" s="32">
        <v>106.6</v>
      </c>
      <c r="BE15" s="32">
        <v>80.7</v>
      </c>
      <c r="BF15" s="32">
        <v>80.7</v>
      </c>
      <c r="BG15" s="32">
        <v>63.9</v>
      </c>
      <c r="BH15" s="32">
        <v>60.9</v>
      </c>
      <c r="BI15" s="32">
        <v>62.2</v>
      </c>
      <c r="BJ15" s="32">
        <v>28</v>
      </c>
      <c r="BK15" s="32">
        <v>89.2</v>
      </c>
      <c r="BL15" s="32">
        <v>10.3</v>
      </c>
      <c r="BM15" s="32">
        <v>78.400000000000006</v>
      </c>
      <c r="BN15" s="32">
        <v>79</v>
      </c>
      <c r="BO15" s="32">
        <v>83</v>
      </c>
      <c r="BP15" s="32">
        <v>75.099999999999994</v>
      </c>
      <c r="BQ15" s="32">
        <v>80.099999999999994</v>
      </c>
      <c r="BR15" s="32">
        <v>66.599999999999994</v>
      </c>
      <c r="BS15" s="32">
        <v>203.2</v>
      </c>
      <c r="BT15" s="32">
        <v>57.1</v>
      </c>
      <c r="BU15" s="32">
        <v>112.9</v>
      </c>
      <c r="BV15" s="32">
        <v>112.9</v>
      </c>
      <c r="BW15" s="32">
        <v>168.5</v>
      </c>
      <c r="BX15" s="32">
        <v>61</v>
      </c>
      <c r="BY15" s="32">
        <v>109.9</v>
      </c>
      <c r="BZ15" s="32">
        <v>120.4</v>
      </c>
      <c r="CA15" s="32">
        <v>105.3</v>
      </c>
      <c r="CB15" s="32">
        <v>80.3</v>
      </c>
      <c r="CC15" s="32">
        <v>153.9</v>
      </c>
      <c r="CD15" s="32">
        <v>37</v>
      </c>
      <c r="CE15" s="32">
        <v>89.8</v>
      </c>
      <c r="CF15" s="32">
        <v>59</v>
      </c>
      <c r="CG15" s="32">
        <v>83.8</v>
      </c>
      <c r="CH15" s="32">
        <v>84.5</v>
      </c>
      <c r="CI15" s="32">
        <v>111.9</v>
      </c>
      <c r="CJ15" s="32">
        <v>68.099999999999994</v>
      </c>
      <c r="CK15" s="32">
        <v>92.4</v>
      </c>
      <c r="CL15" s="32">
        <v>80.900000000000006</v>
      </c>
      <c r="CM15" s="32">
        <v>94.3</v>
      </c>
      <c r="CN15" s="32">
        <v>48.8</v>
      </c>
      <c r="CO15" s="32">
        <v>100.5</v>
      </c>
      <c r="CP15" s="32">
        <v>102.9</v>
      </c>
      <c r="CQ15" s="32">
        <v>40.9</v>
      </c>
      <c r="CR15" s="32">
        <v>91.5</v>
      </c>
      <c r="CS15" s="32">
        <v>119.2</v>
      </c>
      <c r="CT15" s="32">
        <v>85.5</v>
      </c>
      <c r="CU15" s="32">
        <v>64.599999999999994</v>
      </c>
      <c r="CV15" s="32">
        <v>94.7</v>
      </c>
      <c r="CW15" s="32">
        <v>8.5</v>
      </c>
      <c r="CX15" s="32">
        <v>52.2</v>
      </c>
      <c r="CY15" s="32">
        <v>56.6</v>
      </c>
      <c r="CZ15" s="32">
        <v>51.9</v>
      </c>
      <c r="DA15" s="32">
        <v>41.7</v>
      </c>
      <c r="DB15" s="32">
        <v>73.400000000000006</v>
      </c>
      <c r="DC15" s="32">
        <v>0.5</v>
      </c>
      <c r="DD15" s="32">
        <v>0.5</v>
      </c>
      <c r="DE15" s="32">
        <v>27.1</v>
      </c>
      <c r="DF15" s="32">
        <v>22.2</v>
      </c>
      <c r="DG15" s="32">
        <v>60.7</v>
      </c>
      <c r="DH15" s="32">
        <v>63.8</v>
      </c>
      <c r="DI15" s="32">
        <v>86.6</v>
      </c>
      <c r="DJ15" s="32">
        <v>94.6</v>
      </c>
      <c r="DK15" s="32">
        <v>94.6</v>
      </c>
      <c r="DL15" s="32">
        <v>24.7</v>
      </c>
      <c r="DM15" s="32">
        <v>62.7</v>
      </c>
      <c r="DN15" s="32">
        <v>45.5</v>
      </c>
      <c r="DO15" s="32">
        <v>71.099999999999994</v>
      </c>
      <c r="DP15" s="32">
        <v>36.1</v>
      </c>
      <c r="DQ15" s="32">
        <v>51</v>
      </c>
      <c r="DR15" s="32">
        <v>49.7</v>
      </c>
      <c r="DS15" s="32">
        <v>47</v>
      </c>
      <c r="DT15" s="32">
        <v>41.4</v>
      </c>
      <c r="DU15" s="32">
        <v>43.6</v>
      </c>
      <c r="DV15" s="32">
        <v>52.1</v>
      </c>
      <c r="DW15" s="32">
        <v>35.1</v>
      </c>
      <c r="DX15" s="32">
        <v>37</v>
      </c>
      <c r="DY15" s="32">
        <v>66.900000000000006</v>
      </c>
      <c r="DZ15" s="32">
        <v>93.4</v>
      </c>
      <c r="EA15" s="32">
        <v>93.4</v>
      </c>
      <c r="EB15" s="32">
        <v>44.7</v>
      </c>
      <c r="EC15" s="32">
        <v>41.8</v>
      </c>
      <c r="ED15" s="32">
        <v>48.5</v>
      </c>
      <c r="EE15" s="32">
        <v>56.1</v>
      </c>
      <c r="EF15" s="32">
        <v>31.9</v>
      </c>
      <c r="EG15" s="32">
        <v>52.7</v>
      </c>
      <c r="EH15" s="32">
        <v>70.2</v>
      </c>
      <c r="EI15" s="32">
        <v>38.9</v>
      </c>
      <c r="EJ15" s="32">
        <v>178.7</v>
      </c>
      <c r="EK15" s="32">
        <v>43.6</v>
      </c>
      <c r="EL15" s="32">
        <v>58.5</v>
      </c>
      <c r="EM15" s="32">
        <v>36.4</v>
      </c>
      <c r="EN15" s="32">
        <v>45.8</v>
      </c>
      <c r="EO15" s="32">
        <v>80.5</v>
      </c>
      <c r="EP15" s="32">
        <v>82.6</v>
      </c>
      <c r="EQ15" s="32">
        <v>82.6</v>
      </c>
      <c r="ER15" s="32">
        <v>89.6</v>
      </c>
      <c r="ES15" s="32">
        <v>89.6</v>
      </c>
      <c r="ET15" s="32">
        <v>73.099999999999994</v>
      </c>
      <c r="EU15" s="32">
        <v>78.7</v>
      </c>
      <c r="EV15" s="32">
        <v>78.7</v>
      </c>
      <c r="EW15" s="32">
        <v>69.900000000000006</v>
      </c>
      <c r="EX15" s="32">
        <v>81.599999999999994</v>
      </c>
      <c r="EY15" s="32">
        <v>60.7</v>
      </c>
      <c r="EZ15" s="32">
        <v>92.6</v>
      </c>
      <c r="FA15" s="32">
        <v>87.1</v>
      </c>
      <c r="FB15" s="32">
        <v>104.6</v>
      </c>
      <c r="FC15" s="32">
        <v>77.599999999999994</v>
      </c>
      <c r="FD15" s="32">
        <v>75.7</v>
      </c>
      <c r="FE15" s="32">
        <v>179.3</v>
      </c>
      <c r="FF15" s="32">
        <v>67.599999999999994</v>
      </c>
      <c r="FG15" s="32">
        <v>93.3</v>
      </c>
      <c r="FH15" s="32">
        <v>86.6</v>
      </c>
      <c r="FI15" s="32">
        <v>119.7</v>
      </c>
      <c r="FJ15" s="32">
        <v>92.7</v>
      </c>
      <c r="FK15" s="32">
        <v>157.1</v>
      </c>
      <c r="FL15" s="32">
        <v>157.1</v>
      </c>
    </row>
    <row r="16" spans="1:168" x14ac:dyDescent="0.2">
      <c r="A16" s="33" t="s">
        <v>996</v>
      </c>
      <c r="B16" s="32">
        <v>64.2</v>
      </c>
      <c r="C16" s="32">
        <v>58.1</v>
      </c>
      <c r="D16" s="32">
        <v>88.9</v>
      </c>
      <c r="E16" s="32">
        <v>89.2</v>
      </c>
      <c r="F16" s="32">
        <v>468.5</v>
      </c>
      <c r="G16" s="32">
        <v>11109.2</v>
      </c>
      <c r="H16" s="32">
        <v>607</v>
      </c>
      <c r="I16" s="32">
        <v>82.2</v>
      </c>
      <c r="J16" s="32">
        <v>69.599999999999994</v>
      </c>
      <c r="K16" s="32">
        <v>90.6</v>
      </c>
      <c r="L16" s="32">
        <v>91.3</v>
      </c>
      <c r="M16" s="32">
        <v>99.7</v>
      </c>
      <c r="N16" s="32">
        <v>62.2</v>
      </c>
      <c r="O16" s="32">
        <v>397.8</v>
      </c>
      <c r="P16" s="32">
        <v>701.2</v>
      </c>
      <c r="Q16" s="32">
        <v>225.2</v>
      </c>
      <c r="R16" s="32">
        <v>66.7</v>
      </c>
      <c r="S16" s="32">
        <v>92.6</v>
      </c>
      <c r="T16" s="32">
        <v>136.1</v>
      </c>
      <c r="U16" s="32">
        <v>29.9</v>
      </c>
      <c r="V16" s="32">
        <v>121.7</v>
      </c>
      <c r="W16" s="32">
        <v>48</v>
      </c>
      <c r="X16" s="32">
        <v>29.7</v>
      </c>
      <c r="Y16" s="32">
        <v>66.3</v>
      </c>
      <c r="Z16" s="32">
        <v>175</v>
      </c>
      <c r="AA16" s="32">
        <v>69.099999999999994</v>
      </c>
      <c r="AB16" s="32">
        <v>76.3</v>
      </c>
      <c r="AC16" s="32">
        <v>57.1</v>
      </c>
      <c r="AD16" s="32">
        <v>81.3</v>
      </c>
      <c r="AE16" s="32">
        <v>185.1</v>
      </c>
      <c r="AF16" s="32">
        <v>185.1</v>
      </c>
      <c r="AG16" s="32">
        <v>61.8</v>
      </c>
      <c r="AH16" s="32">
        <v>61.8</v>
      </c>
      <c r="AI16" s="32">
        <v>163.30000000000001</v>
      </c>
      <c r="AJ16" s="32">
        <v>81.7</v>
      </c>
      <c r="AK16" s="32">
        <v>855.5</v>
      </c>
      <c r="AL16" s="32">
        <v>123.5</v>
      </c>
      <c r="AM16" s="32">
        <v>16.7</v>
      </c>
      <c r="AN16" s="32">
        <v>124.9</v>
      </c>
      <c r="AO16" s="32">
        <v>63.8</v>
      </c>
      <c r="AP16" s="32">
        <v>63.8</v>
      </c>
      <c r="AQ16" s="32">
        <v>97.4</v>
      </c>
      <c r="AR16" s="32">
        <v>94.9</v>
      </c>
      <c r="AS16" s="32">
        <v>103</v>
      </c>
      <c r="AT16" s="32">
        <v>104.6</v>
      </c>
      <c r="AU16" s="32">
        <v>96.3</v>
      </c>
      <c r="AV16" s="32">
        <v>108.7</v>
      </c>
      <c r="AW16" s="32">
        <v>175.3</v>
      </c>
      <c r="AX16" s="32">
        <v>254.9</v>
      </c>
      <c r="AY16" s="32">
        <v>241.5</v>
      </c>
      <c r="AZ16" s="32">
        <v>99.3</v>
      </c>
      <c r="BA16" s="32">
        <v>16.5</v>
      </c>
      <c r="BB16" s="32">
        <v>16.5</v>
      </c>
      <c r="BC16" s="32">
        <v>104.3</v>
      </c>
      <c r="BD16" s="32">
        <v>104.3</v>
      </c>
      <c r="BE16" s="32">
        <v>82.1</v>
      </c>
      <c r="BF16" s="32">
        <v>82.1</v>
      </c>
      <c r="BG16" s="32">
        <v>64.599999999999994</v>
      </c>
      <c r="BH16" s="32">
        <v>62</v>
      </c>
      <c r="BI16" s="32">
        <v>62.1</v>
      </c>
      <c r="BJ16" s="32">
        <v>28.5</v>
      </c>
      <c r="BK16" s="32">
        <v>89.1</v>
      </c>
      <c r="BL16" s="32">
        <v>9.6999999999999993</v>
      </c>
      <c r="BM16" s="32">
        <v>78.099999999999994</v>
      </c>
      <c r="BN16" s="32">
        <v>79.400000000000006</v>
      </c>
      <c r="BO16" s="32">
        <v>84.5</v>
      </c>
      <c r="BP16" s="32">
        <v>74.5</v>
      </c>
      <c r="BQ16" s="32">
        <v>78.8</v>
      </c>
      <c r="BR16" s="32">
        <v>63.5</v>
      </c>
      <c r="BS16" s="32">
        <v>207.6</v>
      </c>
      <c r="BT16" s="32">
        <v>55.6</v>
      </c>
      <c r="BU16" s="32">
        <v>112.1</v>
      </c>
      <c r="BV16" s="32">
        <v>112.1</v>
      </c>
      <c r="BW16" s="32">
        <v>171.7</v>
      </c>
      <c r="BX16" s="32">
        <v>55.7</v>
      </c>
      <c r="BY16" s="32">
        <v>108.9</v>
      </c>
      <c r="BZ16" s="32">
        <v>119.4</v>
      </c>
      <c r="CA16" s="32">
        <v>104.3</v>
      </c>
      <c r="CB16" s="32">
        <v>82.3</v>
      </c>
      <c r="CC16" s="32">
        <v>147.9</v>
      </c>
      <c r="CD16" s="32">
        <v>38.299999999999997</v>
      </c>
      <c r="CE16" s="32">
        <v>91.2</v>
      </c>
      <c r="CF16" s="32">
        <v>59.1</v>
      </c>
      <c r="CG16" s="32">
        <v>83.4</v>
      </c>
      <c r="CH16" s="32">
        <v>82.9</v>
      </c>
      <c r="CI16" s="32">
        <v>114.6</v>
      </c>
      <c r="CJ16" s="32">
        <v>64.2</v>
      </c>
      <c r="CK16" s="32">
        <v>92.3</v>
      </c>
      <c r="CL16" s="32">
        <v>83</v>
      </c>
      <c r="CM16" s="32">
        <v>96.7</v>
      </c>
      <c r="CN16" s="32">
        <v>52.2</v>
      </c>
      <c r="CO16" s="32">
        <v>102.5</v>
      </c>
      <c r="CP16" s="32">
        <v>100.8</v>
      </c>
      <c r="CQ16" s="32">
        <v>41.1</v>
      </c>
      <c r="CR16" s="32">
        <v>97.6</v>
      </c>
      <c r="CS16" s="32">
        <v>119.6</v>
      </c>
      <c r="CT16" s="32">
        <v>86.8</v>
      </c>
      <c r="CU16" s="32">
        <v>63.9</v>
      </c>
      <c r="CV16" s="32">
        <v>96.9</v>
      </c>
      <c r="CW16" s="32">
        <v>8.9</v>
      </c>
      <c r="CX16" s="32">
        <v>53.6</v>
      </c>
      <c r="CY16" s="32">
        <v>57.4</v>
      </c>
      <c r="CZ16" s="32">
        <v>54</v>
      </c>
      <c r="DA16" s="32">
        <v>43.5</v>
      </c>
      <c r="DB16" s="32">
        <v>76.400000000000006</v>
      </c>
      <c r="DC16" s="32">
        <v>0.5</v>
      </c>
      <c r="DD16" s="32">
        <v>0.5</v>
      </c>
      <c r="DE16" s="32">
        <v>28.3</v>
      </c>
      <c r="DF16" s="32">
        <v>23.2</v>
      </c>
      <c r="DG16" s="32">
        <v>63.2</v>
      </c>
      <c r="DH16" s="32">
        <v>63.9</v>
      </c>
      <c r="DI16" s="32">
        <v>88.4</v>
      </c>
      <c r="DJ16" s="32">
        <v>94.2</v>
      </c>
      <c r="DK16" s="32">
        <v>94.2</v>
      </c>
      <c r="DL16" s="32">
        <v>22.7</v>
      </c>
      <c r="DM16" s="32">
        <v>62.5</v>
      </c>
      <c r="DN16" s="32">
        <v>45.4</v>
      </c>
      <c r="DO16" s="32">
        <v>71</v>
      </c>
      <c r="DP16" s="32">
        <v>36.1</v>
      </c>
      <c r="DQ16" s="32">
        <v>50.4</v>
      </c>
      <c r="DR16" s="32">
        <v>48.6</v>
      </c>
      <c r="DS16" s="32">
        <v>45.3</v>
      </c>
      <c r="DT16" s="32">
        <v>39.9</v>
      </c>
      <c r="DU16" s="32">
        <v>41.7</v>
      </c>
      <c r="DV16" s="32">
        <v>51.4</v>
      </c>
      <c r="DW16" s="32">
        <v>32.299999999999997</v>
      </c>
      <c r="DX16" s="32">
        <v>36.1</v>
      </c>
      <c r="DY16" s="32">
        <v>64.599999999999994</v>
      </c>
      <c r="DZ16" s="32">
        <v>96.8</v>
      </c>
      <c r="EA16" s="32">
        <v>96.8</v>
      </c>
      <c r="EB16" s="32">
        <v>44.4</v>
      </c>
      <c r="EC16" s="32">
        <v>40.700000000000003</v>
      </c>
      <c r="ED16" s="32">
        <v>49.8</v>
      </c>
      <c r="EE16" s="32">
        <v>57.7</v>
      </c>
      <c r="EF16" s="32">
        <v>32.299999999999997</v>
      </c>
      <c r="EG16" s="32">
        <v>52.9</v>
      </c>
      <c r="EH16" s="32">
        <v>68.8</v>
      </c>
      <c r="EI16" s="32">
        <v>40.799999999999997</v>
      </c>
      <c r="EJ16" s="32">
        <v>173.4</v>
      </c>
      <c r="EK16" s="32">
        <v>43.8</v>
      </c>
      <c r="EL16" s="32">
        <v>55.3</v>
      </c>
      <c r="EM16" s="32">
        <v>35.799999999999997</v>
      </c>
      <c r="EN16" s="32">
        <v>47</v>
      </c>
      <c r="EO16" s="32">
        <v>80.7</v>
      </c>
      <c r="EP16" s="32">
        <v>83.2</v>
      </c>
      <c r="EQ16" s="32">
        <v>83.2</v>
      </c>
      <c r="ER16" s="32">
        <v>89.4</v>
      </c>
      <c r="ES16" s="32">
        <v>89.4</v>
      </c>
      <c r="ET16" s="32">
        <v>73.400000000000006</v>
      </c>
      <c r="EU16" s="32">
        <v>79</v>
      </c>
      <c r="EV16" s="32">
        <v>79</v>
      </c>
      <c r="EW16" s="32">
        <v>70.099999999999994</v>
      </c>
      <c r="EX16" s="32">
        <v>82</v>
      </c>
      <c r="EY16" s="32">
        <v>60.7</v>
      </c>
      <c r="EZ16" s="32">
        <v>96.2</v>
      </c>
      <c r="FA16" s="32">
        <v>90</v>
      </c>
      <c r="FB16" s="32">
        <v>109.9</v>
      </c>
      <c r="FC16" s="32">
        <v>87.8</v>
      </c>
      <c r="FD16" s="32">
        <v>76.400000000000006</v>
      </c>
      <c r="FE16" s="32">
        <v>175</v>
      </c>
      <c r="FF16" s="32">
        <v>67.599999999999994</v>
      </c>
      <c r="FG16" s="32">
        <v>97.9</v>
      </c>
      <c r="FH16" s="32">
        <v>100.1</v>
      </c>
      <c r="FI16" s="32">
        <v>114.6</v>
      </c>
      <c r="FJ16" s="32">
        <v>94.4</v>
      </c>
      <c r="FK16" s="32">
        <v>156.19999999999999</v>
      </c>
      <c r="FL16" s="32">
        <v>156.19999999999999</v>
      </c>
    </row>
    <row r="17" spans="1:168" x14ac:dyDescent="0.2">
      <c r="A17" s="33" t="s">
        <v>997</v>
      </c>
      <c r="B17" s="32">
        <v>64.7</v>
      </c>
      <c r="C17" s="32">
        <v>59.2</v>
      </c>
      <c r="D17" s="32">
        <v>89.2</v>
      </c>
      <c r="E17" s="32">
        <v>89.3</v>
      </c>
      <c r="F17" s="32">
        <v>467.3</v>
      </c>
      <c r="G17" s="32">
        <v>10497.6</v>
      </c>
      <c r="H17" s="32">
        <v>610.9</v>
      </c>
      <c r="I17" s="32">
        <v>80</v>
      </c>
      <c r="J17" s="32">
        <v>69.599999999999994</v>
      </c>
      <c r="K17" s="32">
        <v>91</v>
      </c>
      <c r="L17" s="32">
        <v>91.3</v>
      </c>
      <c r="M17" s="32">
        <v>97.6</v>
      </c>
      <c r="N17" s="32">
        <v>59.9</v>
      </c>
      <c r="O17" s="32">
        <v>398</v>
      </c>
      <c r="P17" s="32">
        <v>698.9</v>
      </c>
      <c r="Q17" s="32">
        <v>230.2</v>
      </c>
      <c r="R17" s="32">
        <v>66.7</v>
      </c>
      <c r="S17" s="32">
        <v>95.1</v>
      </c>
      <c r="T17" s="32">
        <v>130.4</v>
      </c>
      <c r="U17" s="32">
        <v>34.1</v>
      </c>
      <c r="V17" s="32">
        <v>121.5</v>
      </c>
      <c r="W17" s="32">
        <v>48.3</v>
      </c>
      <c r="X17" s="32">
        <v>29.8</v>
      </c>
      <c r="Y17" s="32">
        <v>67.8</v>
      </c>
      <c r="Z17" s="32">
        <v>166</v>
      </c>
      <c r="AA17" s="32">
        <v>70.599999999999994</v>
      </c>
      <c r="AB17" s="32">
        <v>76.3</v>
      </c>
      <c r="AC17" s="32">
        <v>54.3</v>
      </c>
      <c r="AD17" s="32">
        <v>88.1</v>
      </c>
      <c r="AE17" s="32">
        <v>189.2</v>
      </c>
      <c r="AF17" s="32">
        <v>189.2</v>
      </c>
      <c r="AG17" s="32">
        <v>60.5</v>
      </c>
      <c r="AH17" s="32">
        <v>60.5</v>
      </c>
      <c r="AI17" s="32">
        <v>160.5</v>
      </c>
      <c r="AJ17" s="32">
        <v>82.9</v>
      </c>
      <c r="AK17" s="32">
        <v>894.1</v>
      </c>
      <c r="AL17" s="32">
        <v>116.9</v>
      </c>
      <c r="AM17" s="32">
        <v>16</v>
      </c>
      <c r="AN17" s="32">
        <v>109.8</v>
      </c>
      <c r="AO17" s="32">
        <v>68</v>
      </c>
      <c r="AP17" s="32">
        <v>68</v>
      </c>
      <c r="AQ17" s="32">
        <v>96.6</v>
      </c>
      <c r="AR17" s="32">
        <v>93.2</v>
      </c>
      <c r="AS17" s="32">
        <v>103.8</v>
      </c>
      <c r="AT17" s="32">
        <v>105.2</v>
      </c>
      <c r="AU17" s="32">
        <v>97.7</v>
      </c>
      <c r="AV17" s="32">
        <v>107.3</v>
      </c>
      <c r="AW17" s="32">
        <v>180.2</v>
      </c>
      <c r="AX17" s="32">
        <v>274.10000000000002</v>
      </c>
      <c r="AY17" s="32">
        <v>238.1</v>
      </c>
      <c r="AZ17" s="32">
        <v>96.4</v>
      </c>
      <c r="BA17" s="32">
        <v>16.7</v>
      </c>
      <c r="BB17" s="32">
        <v>16.7</v>
      </c>
      <c r="BC17" s="32">
        <v>105.1</v>
      </c>
      <c r="BD17" s="32">
        <v>105.1</v>
      </c>
      <c r="BE17" s="32">
        <v>83.1</v>
      </c>
      <c r="BF17" s="32">
        <v>83.1</v>
      </c>
      <c r="BG17" s="32">
        <v>63.5</v>
      </c>
      <c r="BH17" s="32">
        <v>60.2</v>
      </c>
      <c r="BI17" s="32">
        <v>62.3</v>
      </c>
      <c r="BJ17" s="32">
        <v>29.1</v>
      </c>
      <c r="BK17" s="32">
        <v>89.3</v>
      </c>
      <c r="BL17" s="32">
        <v>9.1999999999999993</v>
      </c>
      <c r="BM17" s="32">
        <v>76.5</v>
      </c>
      <c r="BN17" s="32">
        <v>77.8</v>
      </c>
      <c r="BO17" s="32">
        <v>81.8</v>
      </c>
      <c r="BP17" s="32">
        <v>73.8</v>
      </c>
      <c r="BQ17" s="32">
        <v>77.2</v>
      </c>
      <c r="BR17" s="32">
        <v>72.400000000000006</v>
      </c>
      <c r="BS17" s="32">
        <v>210.9</v>
      </c>
      <c r="BT17" s="32">
        <v>52.6</v>
      </c>
      <c r="BU17" s="32">
        <v>111.4</v>
      </c>
      <c r="BV17" s="32">
        <v>111.4</v>
      </c>
      <c r="BW17" s="32">
        <v>171.5</v>
      </c>
      <c r="BX17" s="32">
        <v>54.5</v>
      </c>
      <c r="BY17" s="32">
        <v>110.6</v>
      </c>
      <c r="BZ17" s="32">
        <v>120.1</v>
      </c>
      <c r="CA17" s="32">
        <v>106.4</v>
      </c>
      <c r="CB17" s="32">
        <v>85.8</v>
      </c>
      <c r="CC17" s="32">
        <v>148.19999999999999</v>
      </c>
      <c r="CD17" s="32">
        <v>39.9</v>
      </c>
      <c r="CE17" s="32">
        <v>92.5</v>
      </c>
      <c r="CF17" s="32">
        <v>59.7</v>
      </c>
      <c r="CG17" s="32">
        <v>83.8</v>
      </c>
      <c r="CH17" s="32">
        <v>83.5</v>
      </c>
      <c r="CI17" s="32">
        <v>110.6</v>
      </c>
      <c r="CJ17" s="32">
        <v>65.7</v>
      </c>
      <c r="CK17" s="32">
        <v>93</v>
      </c>
      <c r="CL17" s="32">
        <v>83.1</v>
      </c>
      <c r="CM17" s="32">
        <v>99.9</v>
      </c>
      <c r="CN17" s="32">
        <v>55.9</v>
      </c>
      <c r="CO17" s="32">
        <v>105.5</v>
      </c>
      <c r="CP17" s="32">
        <v>97.8</v>
      </c>
      <c r="CQ17" s="32">
        <v>41.2</v>
      </c>
      <c r="CR17" s="32">
        <v>95.7</v>
      </c>
      <c r="CS17" s="32">
        <v>116</v>
      </c>
      <c r="CT17" s="32">
        <v>86.9</v>
      </c>
      <c r="CU17" s="32">
        <v>62.8</v>
      </c>
      <c r="CV17" s="32">
        <v>97.5</v>
      </c>
      <c r="CW17" s="32">
        <v>9.1</v>
      </c>
      <c r="CX17" s="32">
        <v>54.4</v>
      </c>
      <c r="CY17" s="32">
        <v>57.5</v>
      </c>
      <c r="CZ17" s="32">
        <v>55.7</v>
      </c>
      <c r="DA17" s="32">
        <v>44.9</v>
      </c>
      <c r="DB17" s="32">
        <v>78.599999999999994</v>
      </c>
      <c r="DC17" s="32">
        <v>0.5</v>
      </c>
      <c r="DD17" s="32">
        <v>0.5</v>
      </c>
      <c r="DE17" s="32">
        <v>30.2</v>
      </c>
      <c r="DF17" s="32">
        <v>25.2</v>
      </c>
      <c r="DG17" s="32">
        <v>63.9</v>
      </c>
      <c r="DH17" s="32">
        <v>68.599999999999994</v>
      </c>
      <c r="DI17" s="32">
        <v>99.3</v>
      </c>
      <c r="DJ17" s="32">
        <v>94.8</v>
      </c>
      <c r="DK17" s="32">
        <v>94.8</v>
      </c>
      <c r="DL17" s="32">
        <v>23.1</v>
      </c>
      <c r="DM17" s="32">
        <v>62.4</v>
      </c>
      <c r="DN17" s="32">
        <v>44.2</v>
      </c>
      <c r="DO17" s="32">
        <v>71.3</v>
      </c>
      <c r="DP17" s="32">
        <v>35.9</v>
      </c>
      <c r="DQ17" s="32">
        <v>50.2</v>
      </c>
      <c r="DR17" s="32">
        <v>49.1</v>
      </c>
      <c r="DS17" s="32">
        <v>46.5</v>
      </c>
      <c r="DT17" s="32">
        <v>41</v>
      </c>
      <c r="DU17" s="32">
        <v>43.7</v>
      </c>
      <c r="DV17" s="32">
        <v>52.5</v>
      </c>
      <c r="DW17" s="32">
        <v>35</v>
      </c>
      <c r="DX17" s="32">
        <v>35.299999999999997</v>
      </c>
      <c r="DY17" s="32">
        <v>66.2</v>
      </c>
      <c r="DZ17" s="32">
        <v>95.2</v>
      </c>
      <c r="EA17" s="32">
        <v>95.2</v>
      </c>
      <c r="EB17" s="32">
        <v>43.5</v>
      </c>
      <c r="EC17" s="32">
        <v>40</v>
      </c>
      <c r="ED17" s="32">
        <v>48.5</v>
      </c>
      <c r="EE17" s="32">
        <v>55.6</v>
      </c>
      <c r="EF17" s="32">
        <v>32.799999999999997</v>
      </c>
      <c r="EG17" s="32">
        <v>51.5</v>
      </c>
      <c r="EH17" s="32">
        <v>68</v>
      </c>
      <c r="EI17" s="32">
        <v>40.799999999999997</v>
      </c>
      <c r="EJ17" s="32">
        <v>160.19999999999999</v>
      </c>
      <c r="EK17" s="32">
        <v>41.9</v>
      </c>
      <c r="EL17" s="32">
        <v>56.4</v>
      </c>
      <c r="EM17" s="32">
        <v>35</v>
      </c>
      <c r="EN17" s="32">
        <v>44</v>
      </c>
      <c r="EO17" s="32">
        <v>81.2</v>
      </c>
      <c r="EP17" s="32">
        <v>84.9</v>
      </c>
      <c r="EQ17" s="32">
        <v>84.9</v>
      </c>
      <c r="ER17" s="32">
        <v>88.8</v>
      </c>
      <c r="ES17" s="32">
        <v>88.8</v>
      </c>
      <c r="ET17" s="32">
        <v>73.7</v>
      </c>
      <c r="EU17" s="32">
        <v>79.400000000000006</v>
      </c>
      <c r="EV17" s="32">
        <v>79.400000000000006</v>
      </c>
      <c r="EW17" s="32">
        <v>70.3</v>
      </c>
      <c r="EX17" s="32">
        <v>82.4</v>
      </c>
      <c r="EY17" s="32">
        <v>60.6</v>
      </c>
      <c r="EZ17" s="32">
        <v>95.7</v>
      </c>
      <c r="FA17" s="32">
        <v>91.3</v>
      </c>
      <c r="FB17" s="32">
        <v>112.4</v>
      </c>
      <c r="FC17" s="32">
        <v>92.7</v>
      </c>
      <c r="FD17" s="32">
        <v>78.2</v>
      </c>
      <c r="FE17" s="32">
        <v>171.8</v>
      </c>
      <c r="FF17" s="32">
        <v>67.599999999999994</v>
      </c>
      <c r="FG17" s="32">
        <v>95.8</v>
      </c>
      <c r="FH17" s="32">
        <v>100.9</v>
      </c>
      <c r="FI17" s="32">
        <v>117.3</v>
      </c>
      <c r="FJ17" s="32">
        <v>90.5</v>
      </c>
      <c r="FK17" s="32">
        <v>154.9</v>
      </c>
      <c r="FL17" s="32">
        <v>154.9</v>
      </c>
    </row>
    <row r="18" spans="1:168" x14ac:dyDescent="0.2">
      <c r="A18" s="33" t="s">
        <v>998</v>
      </c>
      <c r="B18" s="32">
        <v>64.599999999999994</v>
      </c>
      <c r="C18" s="32">
        <v>60.2</v>
      </c>
      <c r="D18" s="32">
        <v>89.3</v>
      </c>
      <c r="E18" s="32">
        <v>89.2</v>
      </c>
      <c r="F18" s="32">
        <v>476.8</v>
      </c>
      <c r="G18" s="32">
        <v>10359.1</v>
      </c>
      <c r="H18" s="32">
        <v>623.1</v>
      </c>
      <c r="I18" s="32">
        <v>82.6</v>
      </c>
      <c r="J18" s="32">
        <v>69.400000000000006</v>
      </c>
      <c r="K18" s="32">
        <v>90.6</v>
      </c>
      <c r="L18" s="32">
        <v>91.2</v>
      </c>
      <c r="M18" s="32">
        <v>97.7</v>
      </c>
      <c r="N18" s="32">
        <v>57.6</v>
      </c>
      <c r="O18" s="32">
        <v>382.6</v>
      </c>
      <c r="P18" s="32">
        <v>698.2</v>
      </c>
      <c r="Q18" s="32">
        <v>229.4</v>
      </c>
      <c r="R18" s="32">
        <v>66.099999999999994</v>
      </c>
      <c r="S18" s="32">
        <v>95.5</v>
      </c>
      <c r="T18" s="32">
        <v>141.69999999999999</v>
      </c>
      <c r="U18" s="32">
        <v>35.4</v>
      </c>
      <c r="V18" s="32">
        <v>117.5</v>
      </c>
      <c r="W18" s="32">
        <v>47.3</v>
      </c>
      <c r="X18" s="32">
        <v>28.9</v>
      </c>
      <c r="Y18" s="32">
        <v>66.599999999999994</v>
      </c>
      <c r="Z18" s="32">
        <v>170.8</v>
      </c>
      <c r="AA18" s="32">
        <v>71.5</v>
      </c>
      <c r="AB18" s="32">
        <v>82.1</v>
      </c>
      <c r="AC18" s="32">
        <v>57.7</v>
      </c>
      <c r="AD18" s="32">
        <v>84.2</v>
      </c>
      <c r="AE18" s="32">
        <v>184.9</v>
      </c>
      <c r="AF18" s="32">
        <v>184.9</v>
      </c>
      <c r="AG18" s="32">
        <v>62.5</v>
      </c>
      <c r="AH18" s="32">
        <v>62.5</v>
      </c>
      <c r="AI18" s="32">
        <v>159.5</v>
      </c>
      <c r="AJ18" s="32">
        <v>85.5</v>
      </c>
      <c r="AK18" s="32">
        <v>872.9</v>
      </c>
      <c r="AL18" s="32">
        <v>127.6</v>
      </c>
      <c r="AM18" s="32">
        <v>17.399999999999999</v>
      </c>
      <c r="AN18" s="32">
        <v>111.8</v>
      </c>
      <c r="AO18" s="32">
        <v>62.1</v>
      </c>
      <c r="AP18" s="32">
        <v>62.1</v>
      </c>
      <c r="AQ18" s="32">
        <v>94</v>
      </c>
      <c r="AR18" s="32">
        <v>90.3</v>
      </c>
      <c r="AS18" s="32">
        <v>101.6</v>
      </c>
      <c r="AT18" s="32">
        <v>102</v>
      </c>
      <c r="AU18" s="32">
        <v>97.2</v>
      </c>
      <c r="AV18" s="32">
        <v>112.7</v>
      </c>
      <c r="AW18" s="32">
        <v>185.2</v>
      </c>
      <c r="AX18" s="32">
        <v>283.2</v>
      </c>
      <c r="AY18" s="32">
        <v>243.7</v>
      </c>
      <c r="AZ18" s="32">
        <v>102.1</v>
      </c>
      <c r="BA18" s="32">
        <v>16.5</v>
      </c>
      <c r="BB18" s="32">
        <v>16.5</v>
      </c>
      <c r="BC18" s="32">
        <v>104.5</v>
      </c>
      <c r="BD18" s="32">
        <v>104.5</v>
      </c>
      <c r="BE18" s="32">
        <v>83.6</v>
      </c>
      <c r="BF18" s="32">
        <v>83.6</v>
      </c>
      <c r="BG18" s="32">
        <v>62.8</v>
      </c>
      <c r="BH18" s="32">
        <v>60.6</v>
      </c>
      <c r="BI18" s="32">
        <v>60</v>
      </c>
      <c r="BJ18" s="32">
        <v>29.5</v>
      </c>
      <c r="BK18" s="32">
        <v>85.3</v>
      </c>
      <c r="BL18" s="32">
        <v>8.6</v>
      </c>
      <c r="BM18" s="32">
        <v>75.7</v>
      </c>
      <c r="BN18" s="32">
        <v>74.7</v>
      </c>
      <c r="BO18" s="32">
        <v>79</v>
      </c>
      <c r="BP18" s="32">
        <v>70.599999999999994</v>
      </c>
      <c r="BQ18" s="32">
        <v>79.3</v>
      </c>
      <c r="BR18" s="32">
        <v>66.599999999999994</v>
      </c>
      <c r="BS18" s="32">
        <v>192</v>
      </c>
      <c r="BT18" s="32">
        <v>57.7</v>
      </c>
      <c r="BU18" s="32">
        <v>107.8</v>
      </c>
      <c r="BV18" s="32">
        <v>107.8</v>
      </c>
      <c r="BW18" s="32">
        <v>165.3</v>
      </c>
      <c r="BX18" s="32">
        <v>53.7</v>
      </c>
      <c r="BY18" s="32">
        <v>113.8</v>
      </c>
      <c r="BZ18" s="32">
        <v>119.6</v>
      </c>
      <c r="CA18" s="32">
        <v>111.6</v>
      </c>
      <c r="CB18" s="32">
        <v>84.8</v>
      </c>
      <c r="CC18" s="32">
        <v>164.5</v>
      </c>
      <c r="CD18" s="32">
        <v>39.200000000000003</v>
      </c>
      <c r="CE18" s="32">
        <v>93.1</v>
      </c>
      <c r="CF18" s="32">
        <v>59.5</v>
      </c>
      <c r="CG18" s="32">
        <v>81.7</v>
      </c>
      <c r="CH18" s="32">
        <v>81.3</v>
      </c>
      <c r="CI18" s="32">
        <v>106</v>
      </c>
      <c r="CJ18" s="32">
        <v>61.9</v>
      </c>
      <c r="CK18" s="32">
        <v>93</v>
      </c>
      <c r="CL18" s="32">
        <v>81.099999999999994</v>
      </c>
      <c r="CM18" s="32">
        <v>95.1</v>
      </c>
      <c r="CN18" s="32">
        <v>56.5</v>
      </c>
      <c r="CO18" s="32">
        <v>99.6</v>
      </c>
      <c r="CP18" s="32">
        <v>93</v>
      </c>
      <c r="CQ18" s="32">
        <v>40.200000000000003</v>
      </c>
      <c r="CR18" s="32">
        <v>97</v>
      </c>
      <c r="CS18" s="32">
        <v>114.4</v>
      </c>
      <c r="CT18" s="32">
        <v>84.9</v>
      </c>
      <c r="CU18" s="32">
        <v>62.7</v>
      </c>
      <c r="CV18" s="32">
        <v>94.7</v>
      </c>
      <c r="CW18" s="32">
        <v>9</v>
      </c>
      <c r="CX18" s="32">
        <v>53.2</v>
      </c>
      <c r="CY18" s="32">
        <v>57.2</v>
      </c>
      <c r="CZ18" s="32">
        <v>53.7</v>
      </c>
      <c r="DA18" s="32">
        <v>42.8</v>
      </c>
      <c r="DB18" s="32">
        <v>77.099999999999994</v>
      </c>
      <c r="DC18" s="32">
        <v>0.5</v>
      </c>
      <c r="DD18" s="32">
        <v>0.5</v>
      </c>
      <c r="DE18" s="32">
        <v>29.3</v>
      </c>
      <c r="DF18" s="32">
        <v>24.1</v>
      </c>
      <c r="DG18" s="32">
        <v>64.400000000000006</v>
      </c>
      <c r="DH18" s="32">
        <v>75.8</v>
      </c>
      <c r="DI18" s="32">
        <v>114</v>
      </c>
      <c r="DJ18" s="32">
        <v>96.3</v>
      </c>
      <c r="DK18" s="32">
        <v>96.3</v>
      </c>
      <c r="DL18" s="32">
        <v>26.1</v>
      </c>
      <c r="DM18" s="32">
        <v>62.6</v>
      </c>
      <c r="DN18" s="32">
        <v>44.8</v>
      </c>
      <c r="DO18" s="32">
        <v>71.2</v>
      </c>
      <c r="DP18" s="32">
        <v>36.299999999999997</v>
      </c>
      <c r="DQ18" s="32">
        <v>49</v>
      </c>
      <c r="DR18" s="32">
        <v>47.9</v>
      </c>
      <c r="DS18" s="32">
        <v>45.1</v>
      </c>
      <c r="DT18" s="32">
        <v>40.200000000000003</v>
      </c>
      <c r="DU18" s="32">
        <v>42.6</v>
      </c>
      <c r="DV18" s="32">
        <v>51.6</v>
      </c>
      <c r="DW18" s="32">
        <v>33.799999999999997</v>
      </c>
      <c r="DX18" s="32">
        <v>35.299999999999997</v>
      </c>
      <c r="DY18" s="32">
        <v>62.3</v>
      </c>
      <c r="DZ18" s="32">
        <v>94.7</v>
      </c>
      <c r="EA18" s="32">
        <v>94.7</v>
      </c>
      <c r="EB18" s="32">
        <v>42.7</v>
      </c>
      <c r="EC18" s="32">
        <v>39.799999999999997</v>
      </c>
      <c r="ED18" s="32">
        <v>46.9</v>
      </c>
      <c r="EE18" s="32">
        <v>53.4</v>
      </c>
      <c r="EF18" s="32">
        <v>32.700000000000003</v>
      </c>
      <c r="EG18" s="32">
        <v>50.4</v>
      </c>
      <c r="EH18" s="32">
        <v>68.400000000000006</v>
      </c>
      <c r="EI18" s="32">
        <v>38.5</v>
      </c>
      <c r="EJ18" s="32">
        <v>162.19999999999999</v>
      </c>
      <c r="EK18" s="32">
        <v>40.799999999999997</v>
      </c>
      <c r="EL18" s="32">
        <v>59.7</v>
      </c>
      <c r="EM18" s="32">
        <v>34.5</v>
      </c>
      <c r="EN18" s="32">
        <v>42</v>
      </c>
      <c r="EO18" s="32">
        <v>80.2</v>
      </c>
      <c r="EP18" s="32">
        <v>82.4</v>
      </c>
      <c r="EQ18" s="32">
        <v>82.4</v>
      </c>
      <c r="ER18" s="32">
        <v>87.8</v>
      </c>
      <c r="ES18" s="32">
        <v>87.8</v>
      </c>
      <c r="ET18" s="32">
        <v>74</v>
      </c>
      <c r="EU18" s="32">
        <v>79.900000000000006</v>
      </c>
      <c r="EV18" s="32">
        <v>79.900000000000006</v>
      </c>
      <c r="EW18" s="32">
        <v>70.3</v>
      </c>
      <c r="EX18" s="32">
        <v>82.8</v>
      </c>
      <c r="EY18" s="32">
        <v>60.4</v>
      </c>
      <c r="EZ18" s="32">
        <v>92.1</v>
      </c>
      <c r="FA18" s="32">
        <v>85.1</v>
      </c>
      <c r="FB18" s="32">
        <v>108.1</v>
      </c>
      <c r="FC18" s="32">
        <v>86.2</v>
      </c>
      <c r="FD18" s="32">
        <v>80.099999999999994</v>
      </c>
      <c r="FE18" s="32">
        <v>169.1</v>
      </c>
      <c r="FF18" s="32">
        <v>59</v>
      </c>
      <c r="FG18" s="32">
        <v>94.4</v>
      </c>
      <c r="FH18" s="32">
        <v>99.7</v>
      </c>
      <c r="FI18" s="32">
        <v>109.1</v>
      </c>
      <c r="FJ18" s="32">
        <v>89.8</v>
      </c>
      <c r="FK18" s="32">
        <v>152.1</v>
      </c>
      <c r="FL18" s="32">
        <v>152.1</v>
      </c>
    </row>
    <row r="19" spans="1:168" x14ac:dyDescent="0.2">
      <c r="A19" s="33" t="s">
        <v>999</v>
      </c>
      <c r="B19" s="32">
        <v>65</v>
      </c>
      <c r="C19" s="32">
        <v>61.3</v>
      </c>
      <c r="D19" s="32">
        <v>90</v>
      </c>
      <c r="E19" s="32">
        <v>90</v>
      </c>
      <c r="F19" s="32">
        <v>463.7</v>
      </c>
      <c r="G19" s="32">
        <v>9989</v>
      </c>
      <c r="H19" s="32">
        <v>605.20000000000005</v>
      </c>
      <c r="I19" s="32">
        <v>81.400000000000006</v>
      </c>
      <c r="J19" s="32">
        <v>70.099999999999994</v>
      </c>
      <c r="K19" s="32">
        <v>90.4</v>
      </c>
      <c r="L19" s="32">
        <v>91.6</v>
      </c>
      <c r="M19" s="32">
        <v>97.9</v>
      </c>
      <c r="N19" s="32">
        <v>56.1</v>
      </c>
      <c r="O19" s="32">
        <v>383.7</v>
      </c>
      <c r="P19" s="32">
        <v>696.3</v>
      </c>
      <c r="Q19" s="32">
        <v>226.1</v>
      </c>
      <c r="R19" s="32">
        <v>65.400000000000006</v>
      </c>
      <c r="S19" s="32">
        <v>98</v>
      </c>
      <c r="T19" s="32">
        <v>142.19999999999999</v>
      </c>
      <c r="U19" s="32">
        <v>35.299999999999997</v>
      </c>
      <c r="V19" s="32">
        <v>114</v>
      </c>
      <c r="W19" s="32">
        <v>47.8</v>
      </c>
      <c r="X19" s="32">
        <v>30.3</v>
      </c>
      <c r="Y19" s="32">
        <v>65.5</v>
      </c>
      <c r="Z19" s="32">
        <v>167.5</v>
      </c>
      <c r="AA19" s="32">
        <v>72</v>
      </c>
      <c r="AB19" s="32">
        <v>83.2</v>
      </c>
      <c r="AC19" s="32">
        <v>58.4</v>
      </c>
      <c r="AD19" s="32">
        <v>84.2</v>
      </c>
      <c r="AE19" s="32">
        <v>183</v>
      </c>
      <c r="AF19" s="32">
        <v>183</v>
      </c>
      <c r="AG19" s="32">
        <v>63.6</v>
      </c>
      <c r="AH19" s="32">
        <v>63.6</v>
      </c>
      <c r="AI19" s="32">
        <v>169.7</v>
      </c>
      <c r="AJ19" s="32">
        <v>86.5</v>
      </c>
      <c r="AK19" s="32">
        <v>956.5</v>
      </c>
      <c r="AL19" s="32">
        <v>135.4</v>
      </c>
      <c r="AM19" s="32">
        <v>16.8</v>
      </c>
      <c r="AN19" s="32">
        <v>110.8</v>
      </c>
      <c r="AO19" s="32">
        <v>62.4</v>
      </c>
      <c r="AP19" s="32">
        <v>62.4</v>
      </c>
      <c r="AQ19" s="32">
        <v>98.3</v>
      </c>
      <c r="AR19" s="32">
        <v>94.5</v>
      </c>
      <c r="AS19" s="32">
        <v>106</v>
      </c>
      <c r="AT19" s="32">
        <v>103.7</v>
      </c>
      <c r="AU19" s="32">
        <v>106</v>
      </c>
      <c r="AV19" s="32">
        <v>105.8</v>
      </c>
      <c r="AW19" s="32">
        <v>170.7</v>
      </c>
      <c r="AX19" s="32">
        <v>240.9</v>
      </c>
      <c r="AY19" s="32">
        <v>241.7</v>
      </c>
      <c r="AZ19" s="32">
        <v>96.6</v>
      </c>
      <c r="BA19" s="32">
        <v>18.100000000000001</v>
      </c>
      <c r="BB19" s="32">
        <v>18.100000000000001</v>
      </c>
      <c r="BC19" s="32">
        <v>107.7</v>
      </c>
      <c r="BD19" s="32">
        <v>107.7</v>
      </c>
      <c r="BE19" s="32">
        <v>84.5</v>
      </c>
      <c r="BF19" s="32">
        <v>84.5</v>
      </c>
      <c r="BG19" s="32">
        <v>62.4</v>
      </c>
      <c r="BH19" s="32">
        <v>59</v>
      </c>
      <c r="BI19" s="32">
        <v>61.4</v>
      </c>
      <c r="BJ19" s="32">
        <v>30.2</v>
      </c>
      <c r="BK19" s="32">
        <v>87.8</v>
      </c>
      <c r="BL19" s="32">
        <v>7.9</v>
      </c>
      <c r="BM19" s="32">
        <v>77.099999999999994</v>
      </c>
      <c r="BN19" s="32">
        <v>75.5</v>
      </c>
      <c r="BO19" s="32">
        <v>80.7</v>
      </c>
      <c r="BP19" s="32">
        <v>70.599999999999994</v>
      </c>
      <c r="BQ19" s="32">
        <v>81.8</v>
      </c>
      <c r="BR19" s="32">
        <v>81.900000000000006</v>
      </c>
      <c r="BS19" s="32">
        <v>201.1</v>
      </c>
      <c r="BT19" s="32">
        <v>57.9</v>
      </c>
      <c r="BU19" s="32">
        <v>111</v>
      </c>
      <c r="BV19" s="32">
        <v>111</v>
      </c>
      <c r="BW19" s="32">
        <v>173.9</v>
      </c>
      <c r="BX19" s="32">
        <v>51</v>
      </c>
      <c r="BY19" s="32">
        <v>117</v>
      </c>
      <c r="BZ19" s="32">
        <v>122</v>
      </c>
      <c r="CA19" s="32">
        <v>115.1</v>
      </c>
      <c r="CB19" s="32">
        <v>90.7</v>
      </c>
      <c r="CC19" s="32">
        <v>164.3</v>
      </c>
      <c r="CD19" s="32">
        <v>41.4</v>
      </c>
      <c r="CE19" s="32">
        <v>93.5</v>
      </c>
      <c r="CF19" s="32">
        <v>59.9</v>
      </c>
      <c r="CG19" s="32">
        <v>82.8</v>
      </c>
      <c r="CH19" s="32">
        <v>82.7</v>
      </c>
      <c r="CI19" s="32">
        <v>105.2</v>
      </c>
      <c r="CJ19" s="32">
        <v>65.099999999999994</v>
      </c>
      <c r="CK19" s="32">
        <v>93</v>
      </c>
      <c r="CL19" s="32">
        <v>82.8</v>
      </c>
      <c r="CM19" s="32">
        <v>97.2</v>
      </c>
      <c r="CN19" s="32">
        <v>59.7</v>
      </c>
      <c r="CO19" s="32">
        <v>101.4</v>
      </c>
      <c r="CP19" s="32">
        <v>90.8</v>
      </c>
      <c r="CQ19" s="32">
        <v>41.6</v>
      </c>
      <c r="CR19" s="32">
        <v>97.7</v>
      </c>
      <c r="CS19" s="32">
        <v>120.2</v>
      </c>
      <c r="CT19" s="32">
        <v>83.7</v>
      </c>
      <c r="CU19" s="32">
        <v>61.6</v>
      </c>
      <c r="CV19" s="32">
        <v>93.6</v>
      </c>
      <c r="CW19" s="32">
        <v>8.8000000000000007</v>
      </c>
      <c r="CX19" s="32">
        <v>53.1</v>
      </c>
      <c r="CY19" s="32">
        <v>58.6</v>
      </c>
      <c r="CZ19" s="32">
        <v>52</v>
      </c>
      <c r="DA19" s="32">
        <v>41</v>
      </c>
      <c r="DB19" s="32">
        <v>76.099999999999994</v>
      </c>
      <c r="DC19" s="32">
        <v>0.5</v>
      </c>
      <c r="DD19" s="32">
        <v>0.5</v>
      </c>
      <c r="DE19" s="32">
        <v>27.2</v>
      </c>
      <c r="DF19" s="32">
        <v>22.9</v>
      </c>
      <c r="DG19" s="32">
        <v>55.9</v>
      </c>
      <c r="DH19" s="32">
        <v>77.3</v>
      </c>
      <c r="DI19" s="32">
        <v>118.5</v>
      </c>
      <c r="DJ19" s="32">
        <v>96.6</v>
      </c>
      <c r="DK19" s="32">
        <v>96.6</v>
      </c>
      <c r="DL19" s="32">
        <v>25</v>
      </c>
      <c r="DM19" s="32">
        <v>63.1</v>
      </c>
      <c r="DN19" s="32">
        <v>44.5</v>
      </c>
      <c r="DO19" s="32">
        <v>72.2</v>
      </c>
      <c r="DP19" s="32">
        <v>35.799999999999997</v>
      </c>
      <c r="DQ19" s="32">
        <v>49.5</v>
      </c>
      <c r="DR19" s="32">
        <v>49</v>
      </c>
      <c r="DS19" s="32">
        <v>46.7</v>
      </c>
      <c r="DT19" s="32">
        <v>42.3</v>
      </c>
      <c r="DU19" s="32">
        <v>45.2</v>
      </c>
      <c r="DV19" s="32">
        <v>51.2</v>
      </c>
      <c r="DW19" s="32">
        <v>39.1</v>
      </c>
      <c r="DX19" s="32">
        <v>36.1</v>
      </c>
      <c r="DY19" s="32">
        <v>62.3</v>
      </c>
      <c r="DZ19" s="32">
        <v>94.1</v>
      </c>
      <c r="EA19" s="32">
        <v>94.1</v>
      </c>
      <c r="EB19" s="32">
        <v>42.6</v>
      </c>
      <c r="EC19" s="32">
        <v>40.5</v>
      </c>
      <c r="ED19" s="32">
        <v>45.6</v>
      </c>
      <c r="EE19" s="32">
        <v>51.5</v>
      </c>
      <c r="EF19" s="32">
        <v>33</v>
      </c>
      <c r="EG19" s="32">
        <v>50.1</v>
      </c>
      <c r="EH19" s="32">
        <v>68.900000000000006</v>
      </c>
      <c r="EI19" s="32">
        <v>39</v>
      </c>
      <c r="EJ19" s="32">
        <v>165.3</v>
      </c>
      <c r="EK19" s="32">
        <v>39.299999999999997</v>
      </c>
      <c r="EL19" s="32">
        <v>63</v>
      </c>
      <c r="EM19" s="32">
        <v>34.700000000000003</v>
      </c>
      <c r="EN19" s="32">
        <v>38.6</v>
      </c>
      <c r="EO19" s="32">
        <v>80.599999999999994</v>
      </c>
      <c r="EP19" s="32">
        <v>84.1</v>
      </c>
      <c r="EQ19" s="32">
        <v>84.1</v>
      </c>
      <c r="ER19" s="32">
        <v>87.5</v>
      </c>
      <c r="ES19" s="32">
        <v>87.5</v>
      </c>
      <c r="ET19" s="32">
        <v>74</v>
      </c>
      <c r="EU19" s="32">
        <v>79.7</v>
      </c>
      <c r="EV19" s="32">
        <v>79.7</v>
      </c>
      <c r="EW19" s="32">
        <v>70.599999999999994</v>
      </c>
      <c r="EX19" s="32">
        <v>83.3</v>
      </c>
      <c r="EY19" s="32">
        <v>60.5</v>
      </c>
      <c r="EZ19" s="32">
        <v>89.7</v>
      </c>
      <c r="FA19" s="32">
        <v>81.8</v>
      </c>
      <c r="FB19" s="32">
        <v>101.5</v>
      </c>
      <c r="FC19" s="32">
        <v>75.900000000000006</v>
      </c>
      <c r="FD19" s="32">
        <v>82.2</v>
      </c>
      <c r="FE19" s="32">
        <v>166.8</v>
      </c>
      <c r="FF19" s="32">
        <v>59.7</v>
      </c>
      <c r="FG19" s="32">
        <v>92.7</v>
      </c>
      <c r="FH19" s="32">
        <v>93.3</v>
      </c>
      <c r="FI19" s="32">
        <v>115.3</v>
      </c>
      <c r="FJ19" s="32">
        <v>89.3</v>
      </c>
      <c r="FK19" s="32">
        <v>150.1</v>
      </c>
      <c r="FL19" s="32">
        <v>150.1</v>
      </c>
    </row>
    <row r="20" spans="1:168" x14ac:dyDescent="0.2">
      <c r="A20" s="33" t="s">
        <v>1000</v>
      </c>
      <c r="B20" s="32">
        <v>64.900000000000006</v>
      </c>
      <c r="C20" s="32">
        <v>62.2</v>
      </c>
      <c r="D20" s="32">
        <v>90.4</v>
      </c>
      <c r="E20" s="32">
        <v>90.7</v>
      </c>
      <c r="F20" s="32">
        <v>463.8</v>
      </c>
      <c r="G20" s="32">
        <v>10035</v>
      </c>
      <c r="H20" s="32">
        <v>610.70000000000005</v>
      </c>
      <c r="I20" s="32">
        <v>78.5</v>
      </c>
      <c r="J20" s="32">
        <v>70.7</v>
      </c>
      <c r="K20" s="32">
        <v>89.2</v>
      </c>
      <c r="L20" s="32">
        <v>90.6</v>
      </c>
      <c r="M20" s="32">
        <v>101.6</v>
      </c>
      <c r="N20" s="32">
        <v>56.6</v>
      </c>
      <c r="O20" s="32">
        <v>384.7</v>
      </c>
      <c r="P20" s="32">
        <v>690.9</v>
      </c>
      <c r="Q20" s="32">
        <v>225.7</v>
      </c>
      <c r="R20" s="32">
        <v>63.7</v>
      </c>
      <c r="S20" s="32">
        <v>94.6</v>
      </c>
      <c r="T20" s="32">
        <v>140.19999999999999</v>
      </c>
      <c r="U20" s="32">
        <v>35.299999999999997</v>
      </c>
      <c r="V20" s="32">
        <v>111.2</v>
      </c>
      <c r="W20" s="32">
        <v>48.1</v>
      </c>
      <c r="X20" s="32">
        <v>31.5</v>
      </c>
      <c r="Y20" s="32">
        <v>64.2</v>
      </c>
      <c r="Z20" s="32">
        <v>164.6</v>
      </c>
      <c r="AA20" s="32">
        <v>72</v>
      </c>
      <c r="AB20" s="32">
        <v>79</v>
      </c>
      <c r="AC20" s="32">
        <v>56.9</v>
      </c>
      <c r="AD20" s="32">
        <v>88</v>
      </c>
      <c r="AE20" s="32">
        <v>200</v>
      </c>
      <c r="AF20" s="32">
        <v>200</v>
      </c>
      <c r="AG20" s="32">
        <v>62.9</v>
      </c>
      <c r="AH20" s="32">
        <v>62.9</v>
      </c>
      <c r="AI20" s="32">
        <v>166.7</v>
      </c>
      <c r="AJ20" s="32">
        <v>87.2</v>
      </c>
      <c r="AK20" s="32">
        <v>886.9</v>
      </c>
      <c r="AL20" s="32">
        <v>128.9</v>
      </c>
      <c r="AM20" s="32">
        <v>17</v>
      </c>
      <c r="AN20" s="32">
        <v>111.2</v>
      </c>
      <c r="AO20" s="32">
        <v>64.7</v>
      </c>
      <c r="AP20" s="32">
        <v>64.7</v>
      </c>
      <c r="AQ20" s="32">
        <v>97.1</v>
      </c>
      <c r="AR20" s="32">
        <v>94.8</v>
      </c>
      <c r="AS20" s="32">
        <v>102.5</v>
      </c>
      <c r="AT20" s="32">
        <v>102.1</v>
      </c>
      <c r="AU20" s="32">
        <v>99.3</v>
      </c>
      <c r="AV20" s="32">
        <v>108.5</v>
      </c>
      <c r="AW20" s="32">
        <v>173.4</v>
      </c>
      <c r="AX20" s="32">
        <v>238.8</v>
      </c>
      <c r="AY20" s="32">
        <v>250.7</v>
      </c>
      <c r="AZ20" s="32">
        <v>99.4</v>
      </c>
      <c r="BA20" s="32">
        <v>18.7</v>
      </c>
      <c r="BB20" s="32">
        <v>18.7</v>
      </c>
      <c r="BC20" s="32">
        <v>107.5</v>
      </c>
      <c r="BD20" s="32">
        <v>107.5</v>
      </c>
      <c r="BE20" s="32">
        <v>85.9</v>
      </c>
      <c r="BF20" s="32">
        <v>85.9</v>
      </c>
      <c r="BG20" s="32">
        <v>64.099999999999994</v>
      </c>
      <c r="BH20" s="32">
        <v>61.2</v>
      </c>
      <c r="BI20" s="32">
        <v>62.2</v>
      </c>
      <c r="BJ20" s="32">
        <v>30.8</v>
      </c>
      <c r="BK20" s="32">
        <v>89</v>
      </c>
      <c r="BL20" s="32">
        <v>7.7</v>
      </c>
      <c r="BM20" s="32">
        <v>77.2</v>
      </c>
      <c r="BN20" s="32">
        <v>74.900000000000006</v>
      </c>
      <c r="BO20" s="32">
        <v>80.7</v>
      </c>
      <c r="BP20" s="32">
        <v>69.400000000000006</v>
      </c>
      <c r="BQ20" s="32">
        <v>82.9</v>
      </c>
      <c r="BR20" s="32">
        <v>50.5</v>
      </c>
      <c r="BS20" s="32">
        <v>225.1</v>
      </c>
      <c r="BT20" s="32">
        <v>59.2</v>
      </c>
      <c r="BU20" s="32">
        <v>112.8</v>
      </c>
      <c r="BV20" s="32">
        <v>112.8</v>
      </c>
      <c r="BW20" s="32">
        <v>177.3</v>
      </c>
      <c r="BX20" s="32">
        <v>51.2</v>
      </c>
      <c r="BY20" s="32">
        <v>116.4</v>
      </c>
      <c r="BZ20" s="32">
        <v>125</v>
      </c>
      <c r="CA20" s="32">
        <v>112.8</v>
      </c>
      <c r="CB20" s="32">
        <v>91.2</v>
      </c>
      <c r="CC20" s="32">
        <v>157.30000000000001</v>
      </c>
      <c r="CD20" s="32">
        <v>41.6</v>
      </c>
      <c r="CE20" s="32">
        <v>92.9</v>
      </c>
      <c r="CF20" s="32">
        <v>59.6</v>
      </c>
      <c r="CG20" s="32">
        <v>81.3</v>
      </c>
      <c r="CH20" s="32">
        <v>80.599999999999994</v>
      </c>
      <c r="CI20" s="32">
        <v>100</v>
      </c>
      <c r="CJ20" s="32">
        <v>62</v>
      </c>
      <c r="CK20" s="32">
        <v>92.7</v>
      </c>
      <c r="CL20" s="32">
        <v>82.6</v>
      </c>
      <c r="CM20" s="32">
        <v>98.7</v>
      </c>
      <c r="CN20" s="32">
        <v>62.1</v>
      </c>
      <c r="CO20" s="32">
        <v>102.7</v>
      </c>
      <c r="CP20" s="32">
        <v>90</v>
      </c>
      <c r="CQ20" s="32">
        <v>40.200000000000003</v>
      </c>
      <c r="CR20" s="32">
        <v>96.5</v>
      </c>
      <c r="CS20" s="32">
        <v>119.4</v>
      </c>
      <c r="CT20" s="32">
        <v>82.9</v>
      </c>
      <c r="CU20" s="32">
        <v>59.6</v>
      </c>
      <c r="CV20" s="32">
        <v>93.2</v>
      </c>
      <c r="CW20" s="32">
        <v>9</v>
      </c>
      <c r="CX20" s="32">
        <v>53.7</v>
      </c>
      <c r="CY20" s="32">
        <v>60</v>
      </c>
      <c r="CZ20" s="32">
        <v>51.8</v>
      </c>
      <c r="DA20" s="32">
        <v>41.1</v>
      </c>
      <c r="DB20" s="32">
        <v>75.3</v>
      </c>
      <c r="DC20" s="32">
        <v>0.6</v>
      </c>
      <c r="DD20" s="32">
        <v>0.6</v>
      </c>
      <c r="DE20" s="32">
        <v>26.8</v>
      </c>
      <c r="DF20" s="32">
        <v>22.1</v>
      </c>
      <c r="DG20" s="32">
        <v>58.2</v>
      </c>
      <c r="DH20" s="32">
        <v>75.7</v>
      </c>
      <c r="DI20" s="32">
        <v>114.5</v>
      </c>
      <c r="DJ20" s="32">
        <v>96.2</v>
      </c>
      <c r="DK20" s="32">
        <v>96.2</v>
      </c>
      <c r="DL20" s="32">
        <v>25.4</v>
      </c>
      <c r="DM20" s="32">
        <v>63.5</v>
      </c>
      <c r="DN20" s="32">
        <v>44.7</v>
      </c>
      <c r="DO20" s="32">
        <v>72.599999999999994</v>
      </c>
      <c r="DP20" s="32">
        <v>35.200000000000003</v>
      </c>
      <c r="DQ20" s="32">
        <v>49.5</v>
      </c>
      <c r="DR20" s="32">
        <v>49.1</v>
      </c>
      <c r="DS20" s="32">
        <v>46</v>
      </c>
      <c r="DT20" s="32">
        <v>40.9</v>
      </c>
      <c r="DU20" s="32">
        <v>42.2</v>
      </c>
      <c r="DV20" s="32">
        <v>51.7</v>
      </c>
      <c r="DW20" s="32">
        <v>32.799999999999997</v>
      </c>
      <c r="DX20" s="32">
        <v>38.4</v>
      </c>
      <c r="DY20" s="32">
        <v>64.099999999999994</v>
      </c>
      <c r="DZ20" s="32">
        <v>94.8</v>
      </c>
      <c r="EA20" s="32">
        <v>94.8</v>
      </c>
      <c r="EB20" s="32">
        <v>45</v>
      </c>
      <c r="EC20" s="32">
        <v>43.8</v>
      </c>
      <c r="ED20" s="32">
        <v>46.7</v>
      </c>
      <c r="EE20" s="32">
        <v>52.9</v>
      </c>
      <c r="EF20" s="32">
        <v>33.4</v>
      </c>
      <c r="EG20" s="32">
        <v>50</v>
      </c>
      <c r="EH20" s="32">
        <v>69.099999999999994</v>
      </c>
      <c r="EI20" s="32">
        <v>38.5</v>
      </c>
      <c r="EJ20" s="32">
        <v>165.3</v>
      </c>
      <c r="EK20" s="32">
        <v>39.4</v>
      </c>
      <c r="EL20" s="32">
        <v>65.2</v>
      </c>
      <c r="EM20" s="32">
        <v>34.4</v>
      </c>
      <c r="EN20" s="32">
        <v>38.799999999999997</v>
      </c>
      <c r="EO20" s="32">
        <v>80.900000000000006</v>
      </c>
      <c r="EP20" s="32">
        <v>84.5</v>
      </c>
      <c r="EQ20" s="32">
        <v>84.5</v>
      </c>
      <c r="ER20" s="32">
        <v>88</v>
      </c>
      <c r="ES20" s="32">
        <v>88</v>
      </c>
      <c r="ET20" s="32">
        <v>73.8</v>
      </c>
      <c r="EU20" s="32">
        <v>79.2</v>
      </c>
      <c r="EV20" s="32">
        <v>79.2</v>
      </c>
      <c r="EW20" s="32">
        <v>71.099999999999994</v>
      </c>
      <c r="EX20" s="32">
        <v>84</v>
      </c>
      <c r="EY20" s="32">
        <v>60.9</v>
      </c>
      <c r="EZ20" s="32">
        <v>87.7</v>
      </c>
      <c r="FA20" s="32">
        <v>78.900000000000006</v>
      </c>
      <c r="FB20" s="32">
        <v>95.4</v>
      </c>
      <c r="FC20" s="32">
        <v>66.5</v>
      </c>
      <c r="FD20" s="32">
        <v>83.7</v>
      </c>
      <c r="FE20" s="32">
        <v>164.1</v>
      </c>
      <c r="FF20" s="32">
        <v>60.4</v>
      </c>
      <c r="FG20" s="32">
        <v>91.7</v>
      </c>
      <c r="FH20" s="32">
        <v>93.6</v>
      </c>
      <c r="FI20" s="32">
        <v>111</v>
      </c>
      <c r="FJ20" s="32">
        <v>88.2</v>
      </c>
      <c r="FK20" s="32">
        <v>147.1</v>
      </c>
      <c r="FL20" s="32">
        <v>147.1</v>
      </c>
    </row>
    <row r="21" spans="1:168" x14ac:dyDescent="0.2">
      <c r="A21" s="33" t="s">
        <v>1001</v>
      </c>
      <c r="B21" s="32">
        <v>65.5</v>
      </c>
      <c r="C21" s="32">
        <v>62.8</v>
      </c>
      <c r="D21" s="32">
        <v>90.6</v>
      </c>
      <c r="E21" s="32">
        <v>91.1</v>
      </c>
      <c r="F21" s="32">
        <v>466.4</v>
      </c>
      <c r="G21" s="32">
        <v>9751.5</v>
      </c>
      <c r="H21" s="32">
        <v>619.70000000000005</v>
      </c>
      <c r="I21" s="32">
        <v>76.400000000000006</v>
      </c>
      <c r="J21" s="32">
        <v>71</v>
      </c>
      <c r="K21" s="32">
        <v>90.6</v>
      </c>
      <c r="L21" s="32">
        <v>92.5</v>
      </c>
      <c r="M21" s="32">
        <v>100.9</v>
      </c>
      <c r="N21" s="32">
        <v>57.9</v>
      </c>
      <c r="O21" s="32">
        <v>368.4</v>
      </c>
      <c r="P21" s="32">
        <v>666.2</v>
      </c>
      <c r="Q21" s="32">
        <v>224.8</v>
      </c>
      <c r="R21" s="32">
        <v>64.099999999999994</v>
      </c>
      <c r="S21" s="32">
        <v>100.5</v>
      </c>
      <c r="T21" s="32">
        <v>143.6</v>
      </c>
      <c r="U21" s="32">
        <v>36.4</v>
      </c>
      <c r="V21" s="32">
        <v>109.7</v>
      </c>
      <c r="W21" s="32">
        <v>48.3</v>
      </c>
      <c r="X21" s="32">
        <v>31.8</v>
      </c>
      <c r="Y21" s="32">
        <v>64.599999999999994</v>
      </c>
      <c r="Z21" s="32">
        <v>159.9</v>
      </c>
      <c r="AA21" s="32">
        <v>72.900000000000006</v>
      </c>
      <c r="AB21" s="32">
        <v>78.599999999999994</v>
      </c>
      <c r="AC21" s="32">
        <v>57.1</v>
      </c>
      <c r="AD21" s="32">
        <v>90.3</v>
      </c>
      <c r="AE21" s="32">
        <v>203.7</v>
      </c>
      <c r="AF21" s="32">
        <v>203.7</v>
      </c>
      <c r="AG21" s="32">
        <v>63.8</v>
      </c>
      <c r="AH21" s="32">
        <v>63.8</v>
      </c>
      <c r="AI21" s="32">
        <v>158.5</v>
      </c>
      <c r="AJ21" s="32">
        <v>89.1</v>
      </c>
      <c r="AK21" s="32">
        <v>946</v>
      </c>
      <c r="AL21" s="32">
        <v>122.1</v>
      </c>
      <c r="AM21" s="32">
        <v>17.600000000000001</v>
      </c>
      <c r="AN21" s="32">
        <v>115.2</v>
      </c>
      <c r="AO21" s="32">
        <v>63.2</v>
      </c>
      <c r="AP21" s="32">
        <v>63.2</v>
      </c>
      <c r="AQ21" s="32">
        <v>98.1</v>
      </c>
      <c r="AR21" s="32">
        <v>97.6</v>
      </c>
      <c r="AS21" s="32">
        <v>100.5</v>
      </c>
      <c r="AT21" s="32">
        <v>101.6</v>
      </c>
      <c r="AU21" s="32">
        <v>95.2</v>
      </c>
      <c r="AV21" s="32">
        <v>109</v>
      </c>
      <c r="AW21" s="32">
        <v>177.6</v>
      </c>
      <c r="AX21" s="32">
        <v>256.3</v>
      </c>
      <c r="AY21" s="32">
        <v>247.1</v>
      </c>
      <c r="AZ21" s="32">
        <v>99.1</v>
      </c>
      <c r="BA21" s="32">
        <v>18.8</v>
      </c>
      <c r="BB21" s="32">
        <v>18.8</v>
      </c>
      <c r="BC21" s="32">
        <v>108.5</v>
      </c>
      <c r="BD21" s="32">
        <v>108.5</v>
      </c>
      <c r="BE21" s="32">
        <v>84.4</v>
      </c>
      <c r="BF21" s="32">
        <v>84.4</v>
      </c>
      <c r="BG21" s="32">
        <v>63.1</v>
      </c>
      <c r="BH21" s="32">
        <v>59.2</v>
      </c>
      <c r="BI21" s="32">
        <v>62.5</v>
      </c>
      <c r="BJ21" s="32">
        <v>31.1</v>
      </c>
      <c r="BK21" s="32">
        <v>89.7</v>
      </c>
      <c r="BL21" s="32">
        <v>7.3</v>
      </c>
      <c r="BM21" s="32">
        <v>78.2</v>
      </c>
      <c r="BN21" s="32">
        <v>74.400000000000006</v>
      </c>
      <c r="BO21" s="32">
        <v>81.5</v>
      </c>
      <c r="BP21" s="32">
        <v>68</v>
      </c>
      <c r="BQ21" s="32">
        <v>85.7</v>
      </c>
      <c r="BR21" s="32">
        <v>105.5</v>
      </c>
      <c r="BS21" s="32">
        <v>207.1</v>
      </c>
      <c r="BT21" s="32">
        <v>59.3</v>
      </c>
      <c r="BU21" s="32">
        <v>117.3</v>
      </c>
      <c r="BV21" s="32">
        <v>117.3</v>
      </c>
      <c r="BW21" s="32">
        <v>180.4</v>
      </c>
      <c r="BX21" s="32">
        <v>57.8</v>
      </c>
      <c r="BY21" s="32">
        <v>115.1</v>
      </c>
      <c r="BZ21" s="32">
        <v>119.8</v>
      </c>
      <c r="CA21" s="32">
        <v>113.5</v>
      </c>
      <c r="CB21" s="32">
        <v>91.7</v>
      </c>
      <c r="CC21" s="32">
        <v>158.30000000000001</v>
      </c>
      <c r="CD21" s="32">
        <v>41.8</v>
      </c>
      <c r="CE21" s="32">
        <v>91.7</v>
      </c>
      <c r="CF21" s="32">
        <v>60.3</v>
      </c>
      <c r="CG21" s="32">
        <v>83.1</v>
      </c>
      <c r="CH21" s="32">
        <v>83.2</v>
      </c>
      <c r="CI21" s="32">
        <v>103.4</v>
      </c>
      <c r="CJ21" s="32">
        <v>67.099999999999994</v>
      </c>
      <c r="CK21" s="32">
        <v>92.5</v>
      </c>
      <c r="CL21" s="32">
        <v>83.2</v>
      </c>
      <c r="CM21" s="32">
        <v>100.7</v>
      </c>
      <c r="CN21" s="32">
        <v>64.900000000000006</v>
      </c>
      <c r="CO21" s="32">
        <v>104.5</v>
      </c>
      <c r="CP21" s="32">
        <v>90.5</v>
      </c>
      <c r="CQ21" s="32">
        <v>41.1</v>
      </c>
      <c r="CR21" s="32">
        <v>98.8</v>
      </c>
      <c r="CS21" s="32">
        <v>113.5</v>
      </c>
      <c r="CT21" s="32">
        <v>83</v>
      </c>
      <c r="CU21" s="32">
        <v>59.3</v>
      </c>
      <c r="CV21" s="32">
        <v>93.5</v>
      </c>
      <c r="CW21" s="32">
        <v>9.5</v>
      </c>
      <c r="CX21" s="32">
        <v>55.6</v>
      </c>
      <c r="CY21" s="32">
        <v>63.3</v>
      </c>
      <c r="CZ21" s="32">
        <v>52.5</v>
      </c>
      <c r="DA21" s="32">
        <v>41.8</v>
      </c>
      <c r="DB21" s="32">
        <v>75.7</v>
      </c>
      <c r="DC21" s="32">
        <v>0.6</v>
      </c>
      <c r="DD21" s="32">
        <v>0.6</v>
      </c>
      <c r="DE21" s="32">
        <v>29.3</v>
      </c>
      <c r="DF21" s="32">
        <v>24.4</v>
      </c>
      <c r="DG21" s="32">
        <v>63.1</v>
      </c>
      <c r="DH21" s="32">
        <v>73.8</v>
      </c>
      <c r="DI21" s="32">
        <v>110.2</v>
      </c>
      <c r="DJ21" s="32">
        <v>95.3</v>
      </c>
      <c r="DK21" s="32">
        <v>95.3</v>
      </c>
      <c r="DL21" s="32">
        <v>25.4</v>
      </c>
      <c r="DM21" s="32">
        <v>63.7</v>
      </c>
      <c r="DN21" s="32">
        <v>44.6</v>
      </c>
      <c r="DO21" s="32">
        <v>73</v>
      </c>
      <c r="DP21" s="32">
        <v>34.6</v>
      </c>
      <c r="DQ21" s="32">
        <v>50.7</v>
      </c>
      <c r="DR21" s="32">
        <v>49.6</v>
      </c>
      <c r="DS21" s="32">
        <v>47</v>
      </c>
      <c r="DT21" s="32">
        <v>42.5</v>
      </c>
      <c r="DU21" s="32">
        <v>43.4</v>
      </c>
      <c r="DV21" s="32">
        <v>48.1</v>
      </c>
      <c r="DW21" s="32">
        <v>38.4</v>
      </c>
      <c r="DX21" s="32">
        <v>40.700000000000003</v>
      </c>
      <c r="DY21" s="32">
        <v>62.8</v>
      </c>
      <c r="DZ21" s="32">
        <v>91.5</v>
      </c>
      <c r="EA21" s="32">
        <v>91.5</v>
      </c>
      <c r="EB21" s="32">
        <v>45.2</v>
      </c>
      <c r="EC21" s="32">
        <v>41.5</v>
      </c>
      <c r="ED21" s="32">
        <v>50.7</v>
      </c>
      <c r="EE21" s="32">
        <v>58.4</v>
      </c>
      <c r="EF21" s="32">
        <v>33.799999999999997</v>
      </c>
      <c r="EG21" s="32">
        <v>51.9</v>
      </c>
      <c r="EH21" s="32">
        <v>69.7</v>
      </c>
      <c r="EI21" s="32">
        <v>41.2</v>
      </c>
      <c r="EJ21" s="32">
        <v>160.69999999999999</v>
      </c>
      <c r="EK21" s="32">
        <v>41.8</v>
      </c>
      <c r="EL21" s="32">
        <v>64.8</v>
      </c>
      <c r="EM21" s="32">
        <v>34.1</v>
      </c>
      <c r="EN21" s="32">
        <v>43.5</v>
      </c>
      <c r="EO21" s="32">
        <v>80.8</v>
      </c>
      <c r="EP21" s="32">
        <v>84.1</v>
      </c>
      <c r="EQ21" s="32">
        <v>84.1</v>
      </c>
      <c r="ER21" s="32">
        <v>88.9</v>
      </c>
      <c r="ES21" s="32">
        <v>88.9</v>
      </c>
      <c r="ET21" s="32">
        <v>73.400000000000006</v>
      </c>
      <c r="EU21" s="32">
        <v>78.5</v>
      </c>
      <c r="EV21" s="32">
        <v>78.5</v>
      </c>
      <c r="EW21" s="32">
        <v>71.5</v>
      </c>
      <c r="EX21" s="32">
        <v>84.4</v>
      </c>
      <c r="EY21" s="32">
        <v>61.3</v>
      </c>
      <c r="EZ21" s="32">
        <v>87.5</v>
      </c>
      <c r="FA21" s="32">
        <v>76.400000000000006</v>
      </c>
      <c r="FB21" s="32">
        <v>89.3</v>
      </c>
      <c r="FC21" s="32">
        <v>57.5</v>
      </c>
      <c r="FD21" s="32">
        <v>84.6</v>
      </c>
      <c r="FE21" s="32">
        <v>161.1</v>
      </c>
      <c r="FF21" s="32">
        <v>62.3</v>
      </c>
      <c r="FG21" s="32">
        <v>93</v>
      </c>
      <c r="FH21" s="32">
        <v>101.4</v>
      </c>
      <c r="FI21" s="32">
        <v>109.5</v>
      </c>
      <c r="FJ21" s="32">
        <v>86.9</v>
      </c>
      <c r="FK21" s="32">
        <v>151</v>
      </c>
      <c r="FL21" s="32">
        <v>151</v>
      </c>
    </row>
    <row r="22" spans="1:168" x14ac:dyDescent="0.2">
      <c r="A22" s="33" t="s">
        <v>1002</v>
      </c>
      <c r="B22" s="32">
        <v>65.2</v>
      </c>
      <c r="C22" s="32">
        <v>63.5</v>
      </c>
      <c r="D22" s="32">
        <v>89.9</v>
      </c>
      <c r="E22" s="32">
        <v>90.4</v>
      </c>
      <c r="F22" s="32">
        <v>464.8</v>
      </c>
      <c r="G22" s="32">
        <v>9412.7000000000007</v>
      </c>
      <c r="H22" s="32">
        <v>617.5</v>
      </c>
      <c r="I22" s="32">
        <v>76.8</v>
      </c>
      <c r="J22" s="32">
        <v>70.599999999999994</v>
      </c>
      <c r="K22" s="32">
        <v>91.3</v>
      </c>
      <c r="L22" s="32">
        <v>92.4</v>
      </c>
      <c r="M22" s="32">
        <v>105.8</v>
      </c>
      <c r="N22" s="32">
        <v>58.4</v>
      </c>
      <c r="O22" s="32">
        <v>357.2</v>
      </c>
      <c r="P22" s="32">
        <v>722.9</v>
      </c>
      <c r="Q22" s="32">
        <v>220.8</v>
      </c>
      <c r="R22" s="32">
        <v>63</v>
      </c>
      <c r="S22" s="32">
        <v>97.1</v>
      </c>
      <c r="T22" s="32">
        <v>137.5</v>
      </c>
      <c r="U22" s="32">
        <v>41.6</v>
      </c>
      <c r="V22" s="32">
        <v>110.7</v>
      </c>
      <c r="W22" s="32">
        <v>47.4</v>
      </c>
      <c r="X22" s="32">
        <v>31.6</v>
      </c>
      <c r="Y22" s="32">
        <v>63.6</v>
      </c>
      <c r="Z22" s="32">
        <v>142.5</v>
      </c>
      <c r="AA22" s="32">
        <v>71.400000000000006</v>
      </c>
      <c r="AB22" s="32">
        <v>74.3</v>
      </c>
      <c r="AC22" s="32">
        <v>53.8</v>
      </c>
      <c r="AD22" s="32">
        <v>92</v>
      </c>
      <c r="AE22" s="32">
        <v>203.5</v>
      </c>
      <c r="AF22" s="32">
        <v>203.5</v>
      </c>
      <c r="AG22" s="32">
        <v>62.9</v>
      </c>
      <c r="AH22" s="32">
        <v>62.9</v>
      </c>
      <c r="AI22" s="32">
        <v>160.80000000000001</v>
      </c>
      <c r="AJ22" s="32">
        <v>85.3</v>
      </c>
      <c r="AK22" s="32">
        <v>959.6</v>
      </c>
      <c r="AL22" s="32">
        <v>120.4</v>
      </c>
      <c r="AM22" s="32">
        <v>17.600000000000001</v>
      </c>
      <c r="AN22" s="32">
        <v>119.2</v>
      </c>
      <c r="AO22" s="32">
        <v>62.6</v>
      </c>
      <c r="AP22" s="32">
        <v>62.6</v>
      </c>
      <c r="AQ22" s="32">
        <v>95.5</v>
      </c>
      <c r="AR22" s="32">
        <v>94.8</v>
      </c>
      <c r="AS22" s="32">
        <v>98.4</v>
      </c>
      <c r="AT22" s="32">
        <v>97.8</v>
      </c>
      <c r="AU22" s="32">
        <v>95.8</v>
      </c>
      <c r="AV22" s="32">
        <v>109.9</v>
      </c>
      <c r="AW22" s="32">
        <v>176.7</v>
      </c>
      <c r="AX22" s="32">
        <v>247.7</v>
      </c>
      <c r="AY22" s="32">
        <v>251.7</v>
      </c>
      <c r="AZ22" s="32">
        <v>100.5</v>
      </c>
      <c r="BA22" s="32">
        <v>19.3</v>
      </c>
      <c r="BB22" s="32">
        <v>19.3</v>
      </c>
      <c r="BC22" s="32">
        <v>106.1</v>
      </c>
      <c r="BD22" s="32">
        <v>106.1</v>
      </c>
      <c r="BE22" s="32">
        <v>83.8</v>
      </c>
      <c r="BF22" s="32">
        <v>83.8</v>
      </c>
      <c r="BG22" s="32">
        <v>63.3</v>
      </c>
      <c r="BH22" s="32">
        <v>59.3</v>
      </c>
      <c r="BI22" s="32">
        <v>62.9</v>
      </c>
      <c r="BJ22" s="32">
        <v>31.5</v>
      </c>
      <c r="BK22" s="32">
        <v>90.1</v>
      </c>
      <c r="BL22" s="32">
        <v>7.4</v>
      </c>
      <c r="BM22" s="32">
        <v>75.8</v>
      </c>
      <c r="BN22" s="32">
        <v>73.099999999999994</v>
      </c>
      <c r="BO22" s="32">
        <v>79.400000000000006</v>
      </c>
      <c r="BP22" s="32">
        <v>67.2</v>
      </c>
      <c r="BQ22" s="32">
        <v>81.900000000000006</v>
      </c>
      <c r="BR22" s="32">
        <v>90.8</v>
      </c>
      <c r="BS22" s="32">
        <v>179.5</v>
      </c>
      <c r="BT22" s="32">
        <v>59.7</v>
      </c>
      <c r="BU22" s="32">
        <v>111.8</v>
      </c>
      <c r="BV22" s="32">
        <v>111.8</v>
      </c>
      <c r="BW22" s="32">
        <v>174.1</v>
      </c>
      <c r="BX22" s="32">
        <v>52.4</v>
      </c>
      <c r="BY22" s="32">
        <v>114.4</v>
      </c>
      <c r="BZ22" s="32">
        <v>126.8</v>
      </c>
      <c r="CA22" s="32">
        <v>108.8</v>
      </c>
      <c r="CB22" s="32">
        <v>90</v>
      </c>
      <c r="CC22" s="32">
        <v>148.5</v>
      </c>
      <c r="CD22" s="32">
        <v>41.1</v>
      </c>
      <c r="CE22" s="32">
        <v>91</v>
      </c>
      <c r="CF22" s="32">
        <v>60.1</v>
      </c>
      <c r="CG22" s="32">
        <v>81.3</v>
      </c>
      <c r="CH22" s="32">
        <v>79.5</v>
      </c>
      <c r="CI22" s="32">
        <v>102.3</v>
      </c>
      <c r="CJ22" s="32">
        <v>58.7</v>
      </c>
      <c r="CK22" s="32">
        <v>93.4</v>
      </c>
      <c r="CL22" s="32">
        <v>85</v>
      </c>
      <c r="CM22" s="32">
        <v>102.5</v>
      </c>
      <c r="CN22" s="32">
        <v>67.099999999999994</v>
      </c>
      <c r="CO22" s="32">
        <v>106.2</v>
      </c>
      <c r="CP22" s="32">
        <v>91.1</v>
      </c>
      <c r="CQ22" s="32">
        <v>43.2</v>
      </c>
      <c r="CR22" s="32">
        <v>100.2</v>
      </c>
      <c r="CS22" s="32">
        <v>116.2</v>
      </c>
      <c r="CT22" s="32">
        <v>83.2</v>
      </c>
      <c r="CU22" s="32">
        <v>58.3</v>
      </c>
      <c r="CV22" s="32">
        <v>94.2</v>
      </c>
      <c r="CW22" s="32">
        <v>9.8000000000000007</v>
      </c>
      <c r="CX22" s="32">
        <v>55.9</v>
      </c>
      <c r="CY22" s="32">
        <v>64</v>
      </c>
      <c r="CZ22" s="32">
        <v>52.5</v>
      </c>
      <c r="DA22" s="32">
        <v>41.5</v>
      </c>
      <c r="DB22" s="32">
        <v>76.599999999999994</v>
      </c>
      <c r="DC22" s="32">
        <v>0.6</v>
      </c>
      <c r="DD22" s="32">
        <v>0.6</v>
      </c>
      <c r="DE22" s="32">
        <v>30.4</v>
      </c>
      <c r="DF22" s="32">
        <v>25.5</v>
      </c>
      <c r="DG22" s="32">
        <v>63</v>
      </c>
      <c r="DH22" s="32">
        <v>71.400000000000006</v>
      </c>
      <c r="DI22" s="32">
        <v>104.2</v>
      </c>
      <c r="DJ22" s="32">
        <v>94.2</v>
      </c>
      <c r="DK22" s="32">
        <v>94.2</v>
      </c>
      <c r="DL22" s="32">
        <v>26.4</v>
      </c>
      <c r="DM22" s="32">
        <v>63.6</v>
      </c>
      <c r="DN22" s="32">
        <v>44.4</v>
      </c>
      <c r="DO22" s="32">
        <v>72.900000000000006</v>
      </c>
      <c r="DP22" s="32">
        <v>34.200000000000003</v>
      </c>
      <c r="DQ22" s="32">
        <v>52.3</v>
      </c>
      <c r="DR22" s="32">
        <v>51.5</v>
      </c>
      <c r="DS22" s="32">
        <v>48.5</v>
      </c>
      <c r="DT22" s="32">
        <v>44.1</v>
      </c>
      <c r="DU22" s="32">
        <v>45.1</v>
      </c>
      <c r="DV22" s="32">
        <v>51.9</v>
      </c>
      <c r="DW22" s="32">
        <v>38.200000000000003</v>
      </c>
      <c r="DX22" s="32">
        <v>42.2</v>
      </c>
      <c r="DY22" s="32">
        <v>63.8</v>
      </c>
      <c r="DZ22" s="32">
        <v>92.9</v>
      </c>
      <c r="EA22" s="32">
        <v>92.9</v>
      </c>
      <c r="EB22" s="32">
        <v>48.3</v>
      </c>
      <c r="EC22" s="32">
        <v>44.2</v>
      </c>
      <c r="ED22" s="32">
        <v>54.4</v>
      </c>
      <c r="EE22" s="32">
        <v>63.7</v>
      </c>
      <c r="EF22" s="32">
        <v>34.1</v>
      </c>
      <c r="EG22" s="32">
        <v>53.1</v>
      </c>
      <c r="EH22" s="32">
        <v>69.3</v>
      </c>
      <c r="EI22" s="32">
        <v>42.1</v>
      </c>
      <c r="EJ22" s="32">
        <v>152.30000000000001</v>
      </c>
      <c r="EK22" s="32">
        <v>44.5</v>
      </c>
      <c r="EL22" s="32">
        <v>64.7</v>
      </c>
      <c r="EM22" s="32">
        <v>34.200000000000003</v>
      </c>
      <c r="EN22" s="32">
        <v>48.3</v>
      </c>
      <c r="EO22" s="32">
        <v>80.8</v>
      </c>
      <c r="EP22" s="32">
        <v>83.5</v>
      </c>
      <c r="EQ22" s="32">
        <v>83.5</v>
      </c>
      <c r="ER22" s="32">
        <v>89.7</v>
      </c>
      <c r="ES22" s="32">
        <v>89.7</v>
      </c>
      <c r="ET22" s="32">
        <v>73.2</v>
      </c>
      <c r="EU22" s="32">
        <v>78.2</v>
      </c>
      <c r="EV22" s="32">
        <v>78.2</v>
      </c>
      <c r="EW22" s="32">
        <v>71.7</v>
      </c>
      <c r="EX22" s="32">
        <v>84.6</v>
      </c>
      <c r="EY22" s="32">
        <v>61.5</v>
      </c>
      <c r="EZ22" s="32">
        <v>88.2</v>
      </c>
      <c r="FA22" s="32">
        <v>77.7</v>
      </c>
      <c r="FB22" s="32">
        <v>90.9</v>
      </c>
      <c r="FC22" s="32">
        <v>60.8</v>
      </c>
      <c r="FD22" s="32">
        <v>84.9</v>
      </c>
      <c r="FE22" s="32">
        <v>159.30000000000001</v>
      </c>
      <c r="FF22" s="32">
        <v>63.1</v>
      </c>
      <c r="FG22" s="32">
        <v>93.6</v>
      </c>
      <c r="FH22" s="32">
        <v>98.8</v>
      </c>
      <c r="FI22" s="32">
        <v>101.6</v>
      </c>
      <c r="FJ22" s="32">
        <v>89.9</v>
      </c>
      <c r="FK22" s="32">
        <v>147.69999999999999</v>
      </c>
      <c r="FL22" s="32">
        <v>147.69999999999999</v>
      </c>
    </row>
    <row r="23" spans="1:168" x14ac:dyDescent="0.2">
      <c r="A23" s="33" t="s">
        <v>1003</v>
      </c>
      <c r="B23" s="32">
        <v>65.3</v>
      </c>
      <c r="C23" s="32">
        <v>64.3</v>
      </c>
      <c r="D23" s="32">
        <v>90</v>
      </c>
      <c r="E23" s="32">
        <v>90.6</v>
      </c>
      <c r="F23" s="32">
        <v>461.5</v>
      </c>
      <c r="G23" s="32">
        <v>9198.4</v>
      </c>
      <c r="H23" s="32">
        <v>619.70000000000005</v>
      </c>
      <c r="I23" s="32">
        <v>72.7</v>
      </c>
      <c r="J23" s="32">
        <v>70.900000000000006</v>
      </c>
      <c r="K23" s="32">
        <v>89.6</v>
      </c>
      <c r="L23" s="32">
        <v>91</v>
      </c>
      <c r="M23" s="32">
        <v>103.4</v>
      </c>
      <c r="N23" s="32">
        <v>58.8</v>
      </c>
      <c r="O23" s="32">
        <v>356.3</v>
      </c>
      <c r="P23" s="32">
        <v>652.70000000000005</v>
      </c>
      <c r="Q23" s="32">
        <v>224.2</v>
      </c>
      <c r="R23" s="32">
        <v>64</v>
      </c>
      <c r="S23" s="32">
        <v>96.5</v>
      </c>
      <c r="T23" s="32">
        <v>132.9</v>
      </c>
      <c r="U23" s="32">
        <v>38</v>
      </c>
      <c r="V23" s="32">
        <v>109.4</v>
      </c>
      <c r="W23" s="32">
        <v>47.4</v>
      </c>
      <c r="X23" s="32">
        <v>31.7</v>
      </c>
      <c r="Y23" s="32">
        <v>62.5</v>
      </c>
      <c r="Z23" s="32">
        <v>153.9</v>
      </c>
      <c r="AA23" s="32">
        <v>71</v>
      </c>
      <c r="AB23" s="32">
        <v>78.3</v>
      </c>
      <c r="AC23" s="32">
        <v>55</v>
      </c>
      <c r="AD23" s="32">
        <v>87.7</v>
      </c>
      <c r="AE23" s="32">
        <v>206.2</v>
      </c>
      <c r="AF23" s="32">
        <v>206.2</v>
      </c>
      <c r="AG23" s="32">
        <v>62.9</v>
      </c>
      <c r="AH23" s="32">
        <v>62.9</v>
      </c>
      <c r="AI23" s="32">
        <v>162.9</v>
      </c>
      <c r="AJ23" s="32">
        <v>85</v>
      </c>
      <c r="AK23" s="32">
        <v>953.2</v>
      </c>
      <c r="AL23" s="32">
        <v>117.4</v>
      </c>
      <c r="AM23" s="32">
        <v>17.7</v>
      </c>
      <c r="AN23" s="32">
        <v>121.7</v>
      </c>
      <c r="AO23" s="32">
        <v>66.8</v>
      </c>
      <c r="AP23" s="32">
        <v>66.8</v>
      </c>
      <c r="AQ23" s="32">
        <v>97.3</v>
      </c>
      <c r="AR23" s="32">
        <v>96.8</v>
      </c>
      <c r="AS23" s="32">
        <v>99.9</v>
      </c>
      <c r="AT23" s="32">
        <v>100.2</v>
      </c>
      <c r="AU23" s="32">
        <v>95.7</v>
      </c>
      <c r="AV23" s="32">
        <v>109.7</v>
      </c>
      <c r="AW23" s="32">
        <v>180.1</v>
      </c>
      <c r="AX23" s="32">
        <v>251</v>
      </c>
      <c r="AY23" s="32">
        <v>257.39999999999998</v>
      </c>
      <c r="AZ23" s="32">
        <v>99.5</v>
      </c>
      <c r="BA23" s="32">
        <v>18.3</v>
      </c>
      <c r="BB23" s="32">
        <v>18.3</v>
      </c>
      <c r="BC23" s="32">
        <v>107.4</v>
      </c>
      <c r="BD23" s="32">
        <v>107.4</v>
      </c>
      <c r="BE23" s="32">
        <v>85.3</v>
      </c>
      <c r="BF23" s="32">
        <v>85.3</v>
      </c>
      <c r="BG23" s="32">
        <v>64.599999999999994</v>
      </c>
      <c r="BH23" s="32">
        <v>60.7</v>
      </c>
      <c r="BI23" s="32">
        <v>63.9</v>
      </c>
      <c r="BJ23" s="32">
        <v>32.1</v>
      </c>
      <c r="BK23" s="32">
        <v>91.5</v>
      </c>
      <c r="BL23" s="32">
        <v>7.7</v>
      </c>
      <c r="BM23" s="32">
        <v>79.5</v>
      </c>
      <c r="BN23" s="32">
        <v>77.2</v>
      </c>
      <c r="BO23" s="32">
        <v>87.8</v>
      </c>
      <c r="BP23" s="32">
        <v>67.900000000000006</v>
      </c>
      <c r="BQ23" s="32">
        <v>85.2</v>
      </c>
      <c r="BR23" s="32">
        <v>82.1</v>
      </c>
      <c r="BS23" s="32">
        <v>200.5</v>
      </c>
      <c r="BT23" s="32">
        <v>61.7</v>
      </c>
      <c r="BU23" s="32">
        <v>116.6</v>
      </c>
      <c r="BV23" s="32">
        <v>116.6</v>
      </c>
      <c r="BW23" s="32">
        <v>179.4</v>
      </c>
      <c r="BX23" s="32">
        <v>56.8</v>
      </c>
      <c r="BY23" s="32">
        <v>108.5</v>
      </c>
      <c r="BZ23" s="32">
        <v>120.6</v>
      </c>
      <c r="CA23" s="32">
        <v>103.1</v>
      </c>
      <c r="CB23" s="32">
        <v>87.1</v>
      </c>
      <c r="CC23" s="32">
        <v>137.69999999999999</v>
      </c>
      <c r="CD23" s="32">
        <v>39.6</v>
      </c>
      <c r="CE23" s="32">
        <v>91</v>
      </c>
      <c r="CF23" s="32">
        <v>60.1</v>
      </c>
      <c r="CG23" s="32">
        <v>82.1</v>
      </c>
      <c r="CH23" s="32">
        <v>81.599999999999994</v>
      </c>
      <c r="CI23" s="32">
        <v>101.2</v>
      </c>
      <c r="CJ23" s="32">
        <v>64.7</v>
      </c>
      <c r="CK23" s="32">
        <v>91.9</v>
      </c>
      <c r="CL23" s="32">
        <v>83.3</v>
      </c>
      <c r="CM23" s="32">
        <v>103.8</v>
      </c>
      <c r="CN23" s="32">
        <v>69.5</v>
      </c>
      <c r="CO23" s="32">
        <v>107.1</v>
      </c>
      <c r="CP23" s="32">
        <v>91.6</v>
      </c>
      <c r="CQ23" s="32">
        <v>43.3</v>
      </c>
      <c r="CR23" s="32">
        <v>98.1</v>
      </c>
      <c r="CS23" s="32">
        <v>103.1</v>
      </c>
      <c r="CT23" s="32">
        <v>83.1</v>
      </c>
      <c r="CU23" s="32">
        <v>57.5</v>
      </c>
      <c r="CV23" s="32">
        <v>94.4</v>
      </c>
      <c r="CW23" s="32">
        <v>10</v>
      </c>
      <c r="CX23" s="32">
        <v>56</v>
      </c>
      <c r="CY23" s="32">
        <v>65.3</v>
      </c>
      <c r="CZ23" s="32">
        <v>51.3</v>
      </c>
      <c r="DA23" s="32">
        <v>40</v>
      </c>
      <c r="DB23" s="32">
        <v>76.7</v>
      </c>
      <c r="DC23" s="32">
        <v>0.7</v>
      </c>
      <c r="DD23" s="32">
        <v>0.7</v>
      </c>
      <c r="DE23" s="32">
        <v>30</v>
      </c>
      <c r="DF23" s="32">
        <v>25</v>
      </c>
      <c r="DG23" s="32">
        <v>63.7</v>
      </c>
      <c r="DH23" s="32">
        <v>69.8</v>
      </c>
      <c r="DI23" s="32">
        <v>101.8</v>
      </c>
      <c r="DJ23" s="32">
        <v>92.3</v>
      </c>
      <c r="DK23" s="32">
        <v>92.3</v>
      </c>
      <c r="DL23" s="32">
        <v>25.8</v>
      </c>
      <c r="DM23" s="32">
        <v>63.7</v>
      </c>
      <c r="DN23" s="32">
        <v>44.4</v>
      </c>
      <c r="DO23" s="32">
        <v>73</v>
      </c>
      <c r="DP23" s="32">
        <v>34.1</v>
      </c>
      <c r="DQ23" s="32">
        <v>51.7</v>
      </c>
      <c r="DR23" s="32">
        <v>50.9</v>
      </c>
      <c r="DS23" s="32">
        <v>48.4</v>
      </c>
      <c r="DT23" s="32">
        <v>44.8</v>
      </c>
      <c r="DU23" s="32">
        <v>46.3</v>
      </c>
      <c r="DV23" s="32">
        <v>52.5</v>
      </c>
      <c r="DW23" s="32">
        <v>40</v>
      </c>
      <c r="DX23" s="32">
        <v>41.8</v>
      </c>
      <c r="DY23" s="32">
        <v>60.9</v>
      </c>
      <c r="DZ23" s="32">
        <v>92.8</v>
      </c>
      <c r="EA23" s="32">
        <v>92.8</v>
      </c>
      <c r="EB23" s="32">
        <v>46</v>
      </c>
      <c r="EC23" s="32">
        <v>41.1</v>
      </c>
      <c r="ED23" s="32">
        <v>53.3</v>
      </c>
      <c r="EE23" s="32">
        <v>62</v>
      </c>
      <c r="EF23" s="32">
        <v>34.299999999999997</v>
      </c>
      <c r="EG23" s="32">
        <v>52.6</v>
      </c>
      <c r="EH23" s="32">
        <v>69.8</v>
      </c>
      <c r="EI23" s="32">
        <v>41.7</v>
      </c>
      <c r="EJ23" s="32">
        <v>151.4</v>
      </c>
      <c r="EK23" s="32">
        <v>43.5</v>
      </c>
      <c r="EL23" s="32">
        <v>64.900000000000006</v>
      </c>
      <c r="EM23" s="32">
        <v>33.299999999999997</v>
      </c>
      <c r="EN23" s="32">
        <v>47.2</v>
      </c>
      <c r="EO23" s="32">
        <v>80.900000000000006</v>
      </c>
      <c r="EP23" s="32">
        <v>83.3</v>
      </c>
      <c r="EQ23" s="32">
        <v>83.3</v>
      </c>
      <c r="ER23" s="32">
        <v>90.1</v>
      </c>
      <c r="ES23" s="32">
        <v>90.1</v>
      </c>
      <c r="ET23" s="32">
        <v>73.2</v>
      </c>
      <c r="EU23" s="32">
        <v>78.2</v>
      </c>
      <c r="EV23" s="32">
        <v>78.2</v>
      </c>
      <c r="EW23" s="32">
        <v>71.5</v>
      </c>
      <c r="EX23" s="32">
        <v>84.3</v>
      </c>
      <c r="EY23" s="32">
        <v>61.4</v>
      </c>
      <c r="EZ23" s="32">
        <v>88.6</v>
      </c>
      <c r="FA23" s="32">
        <v>80.599999999999994</v>
      </c>
      <c r="FB23" s="32">
        <v>96.4</v>
      </c>
      <c r="FC23" s="32">
        <v>69.8</v>
      </c>
      <c r="FD23" s="32">
        <v>85.5</v>
      </c>
      <c r="FE23" s="32">
        <v>158.69999999999999</v>
      </c>
      <c r="FF23" s="32">
        <v>62.9</v>
      </c>
      <c r="FG23" s="32">
        <v>92.2</v>
      </c>
      <c r="FH23" s="32">
        <v>88</v>
      </c>
      <c r="FI23" s="32">
        <v>113.9</v>
      </c>
      <c r="FJ23" s="32">
        <v>91.1</v>
      </c>
      <c r="FK23" s="32">
        <v>144.5</v>
      </c>
      <c r="FL23" s="32">
        <v>144.5</v>
      </c>
    </row>
    <row r="24" spans="1:168" x14ac:dyDescent="0.2">
      <c r="A24" s="33" t="s">
        <v>1004</v>
      </c>
      <c r="B24" s="32">
        <v>65.5</v>
      </c>
      <c r="C24" s="32">
        <v>64.8</v>
      </c>
      <c r="D24" s="32">
        <v>89.8</v>
      </c>
      <c r="E24" s="32">
        <v>90.3</v>
      </c>
      <c r="F24" s="32">
        <v>444.4</v>
      </c>
      <c r="G24" s="32">
        <v>9636.9</v>
      </c>
      <c r="H24" s="32">
        <v>594.1</v>
      </c>
      <c r="I24" s="32">
        <v>70.599999999999994</v>
      </c>
      <c r="J24" s="32">
        <v>71</v>
      </c>
      <c r="K24" s="32">
        <v>88.9</v>
      </c>
      <c r="L24" s="32">
        <v>91.8</v>
      </c>
      <c r="M24" s="32">
        <v>102.2</v>
      </c>
      <c r="N24" s="32">
        <v>58.2</v>
      </c>
      <c r="O24" s="32">
        <v>348</v>
      </c>
      <c r="P24" s="32">
        <v>654.70000000000005</v>
      </c>
      <c r="Q24" s="32">
        <v>220.5</v>
      </c>
      <c r="R24" s="32">
        <v>63.6</v>
      </c>
      <c r="S24" s="32">
        <v>99.4</v>
      </c>
      <c r="T24" s="32">
        <v>139.4</v>
      </c>
      <c r="U24" s="32">
        <v>36.299999999999997</v>
      </c>
      <c r="V24" s="32">
        <v>100.1</v>
      </c>
      <c r="W24" s="32">
        <v>46.7</v>
      </c>
      <c r="X24" s="32">
        <v>31.5</v>
      </c>
      <c r="Y24" s="32">
        <v>61.3</v>
      </c>
      <c r="Z24" s="32">
        <v>151.69999999999999</v>
      </c>
      <c r="AA24" s="32">
        <v>71.5</v>
      </c>
      <c r="AB24" s="32">
        <v>76.7</v>
      </c>
      <c r="AC24" s="32">
        <v>56.3</v>
      </c>
      <c r="AD24" s="32">
        <v>88.3</v>
      </c>
      <c r="AE24" s="32">
        <v>191.7</v>
      </c>
      <c r="AF24" s="32">
        <v>191.7</v>
      </c>
      <c r="AG24" s="32">
        <v>64.2</v>
      </c>
      <c r="AH24" s="32">
        <v>64.2</v>
      </c>
      <c r="AI24" s="32">
        <v>166.8</v>
      </c>
      <c r="AJ24" s="32">
        <v>88</v>
      </c>
      <c r="AK24" s="32">
        <v>1014.4</v>
      </c>
      <c r="AL24" s="32">
        <v>116.3</v>
      </c>
      <c r="AM24" s="32">
        <v>17.8</v>
      </c>
      <c r="AN24" s="32">
        <v>121.2</v>
      </c>
      <c r="AO24" s="32">
        <v>65.5</v>
      </c>
      <c r="AP24" s="32">
        <v>65.5</v>
      </c>
      <c r="AQ24" s="32">
        <v>97</v>
      </c>
      <c r="AR24" s="32">
        <v>95.4</v>
      </c>
      <c r="AS24" s="32">
        <v>101.2</v>
      </c>
      <c r="AT24" s="32">
        <v>99.8</v>
      </c>
      <c r="AU24" s="32">
        <v>100.1</v>
      </c>
      <c r="AV24" s="32">
        <v>107.1</v>
      </c>
      <c r="AW24" s="32">
        <v>185.5</v>
      </c>
      <c r="AX24" s="32">
        <v>264.39999999999998</v>
      </c>
      <c r="AY24" s="32">
        <v>259.60000000000002</v>
      </c>
      <c r="AZ24" s="32">
        <v>95</v>
      </c>
      <c r="BA24" s="32">
        <v>19.600000000000001</v>
      </c>
      <c r="BB24" s="32">
        <v>19.600000000000001</v>
      </c>
      <c r="BC24" s="32">
        <v>103.7</v>
      </c>
      <c r="BD24" s="32">
        <v>103.7</v>
      </c>
      <c r="BE24" s="32">
        <v>84.1</v>
      </c>
      <c r="BF24" s="32">
        <v>84.1</v>
      </c>
      <c r="BG24" s="32">
        <v>64.400000000000006</v>
      </c>
      <c r="BH24" s="32">
        <v>59.8</v>
      </c>
      <c r="BI24" s="32">
        <v>64.8</v>
      </c>
      <c r="BJ24" s="32">
        <v>32.5</v>
      </c>
      <c r="BK24" s="32">
        <v>92.6</v>
      </c>
      <c r="BL24" s="32">
        <v>8</v>
      </c>
      <c r="BM24" s="32">
        <v>81.5</v>
      </c>
      <c r="BN24" s="32">
        <v>78.400000000000006</v>
      </c>
      <c r="BO24" s="32">
        <v>89.3</v>
      </c>
      <c r="BP24" s="32">
        <v>68.8</v>
      </c>
      <c r="BQ24" s="32">
        <v>88.1</v>
      </c>
      <c r="BR24" s="32">
        <v>104.8</v>
      </c>
      <c r="BS24" s="32">
        <v>212.7</v>
      </c>
      <c r="BT24" s="32">
        <v>61.4</v>
      </c>
      <c r="BU24" s="32">
        <v>117.2</v>
      </c>
      <c r="BV24" s="32">
        <v>117.2</v>
      </c>
      <c r="BW24" s="32">
        <v>176.4</v>
      </c>
      <c r="BX24" s="32">
        <v>61.4</v>
      </c>
      <c r="BY24" s="32">
        <v>106.7</v>
      </c>
      <c r="BZ24" s="32">
        <v>118.8</v>
      </c>
      <c r="CA24" s="32">
        <v>101.2</v>
      </c>
      <c r="CB24" s="32">
        <v>86.4</v>
      </c>
      <c r="CC24" s="32">
        <v>133.69999999999999</v>
      </c>
      <c r="CD24" s="32">
        <v>39.4</v>
      </c>
      <c r="CE24" s="32">
        <v>91.1</v>
      </c>
      <c r="CF24" s="32">
        <v>60.4</v>
      </c>
      <c r="CG24" s="32">
        <v>83.2</v>
      </c>
      <c r="CH24" s="32">
        <v>82.8</v>
      </c>
      <c r="CI24" s="32">
        <v>104.9</v>
      </c>
      <c r="CJ24" s="32">
        <v>66.099999999999994</v>
      </c>
      <c r="CK24" s="32">
        <v>92.4</v>
      </c>
      <c r="CL24" s="32">
        <v>84.4</v>
      </c>
      <c r="CM24" s="32">
        <v>105.4</v>
      </c>
      <c r="CN24" s="32">
        <v>74.7</v>
      </c>
      <c r="CO24" s="32">
        <v>107.8</v>
      </c>
      <c r="CP24" s="32">
        <v>92</v>
      </c>
      <c r="CQ24" s="32">
        <v>43.7</v>
      </c>
      <c r="CR24" s="32">
        <v>98</v>
      </c>
      <c r="CS24" s="32">
        <v>106.9</v>
      </c>
      <c r="CT24" s="32">
        <v>83</v>
      </c>
      <c r="CU24" s="32">
        <v>56.3</v>
      </c>
      <c r="CV24" s="32">
        <v>94.7</v>
      </c>
      <c r="CW24" s="32">
        <v>10.199999999999999</v>
      </c>
      <c r="CX24" s="32">
        <v>55.3</v>
      </c>
      <c r="CY24" s="32">
        <v>65.7</v>
      </c>
      <c r="CZ24" s="32">
        <v>49.4</v>
      </c>
      <c r="DA24" s="32">
        <v>37.799999999999997</v>
      </c>
      <c r="DB24" s="32">
        <v>75.8</v>
      </c>
      <c r="DC24" s="32">
        <v>0.7</v>
      </c>
      <c r="DD24" s="32">
        <v>0.7</v>
      </c>
      <c r="DE24" s="32">
        <v>31.2</v>
      </c>
      <c r="DF24" s="32">
        <v>26.4</v>
      </c>
      <c r="DG24" s="32">
        <v>62.8</v>
      </c>
      <c r="DH24" s="32">
        <v>69.5</v>
      </c>
      <c r="DI24" s="32">
        <v>100.9</v>
      </c>
      <c r="DJ24" s="32">
        <v>91.6</v>
      </c>
      <c r="DK24" s="32">
        <v>91.6</v>
      </c>
      <c r="DL24" s="32">
        <v>26.7</v>
      </c>
      <c r="DM24" s="32">
        <v>63.9</v>
      </c>
      <c r="DN24" s="32">
        <v>44.4</v>
      </c>
      <c r="DO24" s="32">
        <v>73.3</v>
      </c>
      <c r="DP24" s="32">
        <v>33.6</v>
      </c>
      <c r="DQ24" s="32">
        <v>51.2</v>
      </c>
      <c r="DR24" s="32">
        <v>50.5</v>
      </c>
      <c r="DS24" s="32">
        <v>47.8</v>
      </c>
      <c r="DT24" s="32">
        <v>44.1</v>
      </c>
      <c r="DU24" s="32">
        <v>45.9</v>
      </c>
      <c r="DV24" s="32">
        <v>52.8</v>
      </c>
      <c r="DW24" s="32">
        <v>38.799999999999997</v>
      </c>
      <c r="DX24" s="32">
        <v>40.5</v>
      </c>
      <c r="DY24" s="32">
        <v>61</v>
      </c>
      <c r="DZ24" s="32">
        <v>95.4</v>
      </c>
      <c r="EA24" s="32">
        <v>95.4</v>
      </c>
      <c r="EB24" s="32">
        <v>45.2</v>
      </c>
      <c r="EC24" s="32">
        <v>41.3</v>
      </c>
      <c r="ED24" s="32">
        <v>51.2</v>
      </c>
      <c r="EE24" s="32">
        <v>58.9</v>
      </c>
      <c r="EF24" s="32">
        <v>34.4</v>
      </c>
      <c r="EG24" s="32">
        <v>52</v>
      </c>
      <c r="EH24" s="32">
        <v>68.900000000000006</v>
      </c>
      <c r="EI24" s="32">
        <v>43.6</v>
      </c>
      <c r="EJ24" s="32">
        <v>152.1</v>
      </c>
      <c r="EK24" s="32">
        <v>41.3</v>
      </c>
      <c r="EL24" s="32">
        <v>66.599999999999994</v>
      </c>
      <c r="EM24" s="32">
        <v>32.5</v>
      </c>
      <c r="EN24" s="32">
        <v>43.4</v>
      </c>
      <c r="EO24" s="32">
        <v>80.900000000000006</v>
      </c>
      <c r="EP24" s="32">
        <v>83.9</v>
      </c>
      <c r="EQ24" s="32">
        <v>83.9</v>
      </c>
      <c r="ER24" s="32">
        <v>89.6</v>
      </c>
      <c r="ES24" s="32">
        <v>89.6</v>
      </c>
      <c r="ET24" s="32">
        <v>73.3</v>
      </c>
      <c r="EU24" s="32">
        <v>78.599999999999994</v>
      </c>
      <c r="EV24" s="32">
        <v>78.599999999999994</v>
      </c>
      <c r="EW24" s="32">
        <v>70.900000000000006</v>
      </c>
      <c r="EX24" s="32">
        <v>83.7</v>
      </c>
      <c r="EY24" s="32">
        <v>60.8</v>
      </c>
      <c r="EZ24" s="32">
        <v>90</v>
      </c>
      <c r="FA24" s="32">
        <v>84.3</v>
      </c>
      <c r="FB24" s="32">
        <v>102.9</v>
      </c>
      <c r="FC24" s="32">
        <v>80.3</v>
      </c>
      <c r="FD24" s="32">
        <v>86.1</v>
      </c>
      <c r="FE24" s="32">
        <v>158.69999999999999</v>
      </c>
      <c r="FF24" s="32">
        <v>63.3</v>
      </c>
      <c r="FG24" s="32">
        <v>91.6</v>
      </c>
      <c r="FH24" s="32">
        <v>84.9</v>
      </c>
      <c r="FI24" s="32">
        <v>117.8</v>
      </c>
      <c r="FJ24" s="32">
        <v>91.2</v>
      </c>
      <c r="FK24" s="32">
        <v>146.5</v>
      </c>
      <c r="FL24" s="32">
        <v>146.5</v>
      </c>
    </row>
    <row r="25" spans="1:168" x14ac:dyDescent="0.2">
      <c r="A25" s="33" t="s">
        <v>1005</v>
      </c>
      <c r="B25" s="32">
        <v>65.599999999999994</v>
      </c>
      <c r="C25" s="32">
        <v>65.2</v>
      </c>
      <c r="D25" s="32">
        <v>90.4</v>
      </c>
      <c r="E25" s="32">
        <v>90.9</v>
      </c>
      <c r="F25" s="32">
        <v>451.9</v>
      </c>
      <c r="G25" s="32">
        <v>8896.2000000000007</v>
      </c>
      <c r="H25" s="32">
        <v>611.9</v>
      </c>
      <c r="I25" s="32">
        <v>68.599999999999994</v>
      </c>
      <c r="J25" s="32">
        <v>71.099999999999994</v>
      </c>
      <c r="K25" s="32">
        <v>90.6</v>
      </c>
      <c r="L25" s="32">
        <v>93.1</v>
      </c>
      <c r="M25" s="32">
        <v>107.9</v>
      </c>
      <c r="N25" s="32">
        <v>58.6</v>
      </c>
      <c r="O25" s="32">
        <v>366.1</v>
      </c>
      <c r="P25" s="32">
        <v>664.1</v>
      </c>
      <c r="Q25" s="32">
        <v>217.3</v>
      </c>
      <c r="R25" s="32">
        <v>62.8</v>
      </c>
      <c r="S25" s="32">
        <v>100.3</v>
      </c>
      <c r="T25" s="32">
        <v>142.1</v>
      </c>
      <c r="U25" s="32">
        <v>39.4</v>
      </c>
      <c r="V25" s="32">
        <v>102</v>
      </c>
      <c r="W25" s="32">
        <v>47.9</v>
      </c>
      <c r="X25" s="32">
        <v>31.9</v>
      </c>
      <c r="Y25" s="32">
        <v>64.2</v>
      </c>
      <c r="Z25" s="32">
        <v>146.6</v>
      </c>
      <c r="AA25" s="32">
        <v>70.3</v>
      </c>
      <c r="AB25" s="32">
        <v>77.400000000000006</v>
      </c>
      <c r="AC25" s="32">
        <v>56.2</v>
      </c>
      <c r="AD25" s="32">
        <v>84.9</v>
      </c>
      <c r="AE25" s="32">
        <v>171.3</v>
      </c>
      <c r="AF25" s="32">
        <v>171.3</v>
      </c>
      <c r="AG25" s="32">
        <v>62.1</v>
      </c>
      <c r="AH25" s="32">
        <v>62.1</v>
      </c>
      <c r="AI25" s="32">
        <v>158.80000000000001</v>
      </c>
      <c r="AJ25" s="32">
        <v>82.4</v>
      </c>
      <c r="AK25" s="32">
        <v>909.6</v>
      </c>
      <c r="AL25" s="32">
        <v>119.2</v>
      </c>
      <c r="AM25" s="32">
        <v>17.600000000000001</v>
      </c>
      <c r="AN25" s="32">
        <v>129.30000000000001</v>
      </c>
      <c r="AO25" s="32">
        <v>65.8</v>
      </c>
      <c r="AP25" s="32">
        <v>65.8</v>
      </c>
      <c r="AQ25" s="32">
        <v>98.8</v>
      </c>
      <c r="AR25" s="32">
        <v>97.2</v>
      </c>
      <c r="AS25" s="32">
        <v>103</v>
      </c>
      <c r="AT25" s="32">
        <v>99.1</v>
      </c>
      <c r="AU25" s="32">
        <v>105.9</v>
      </c>
      <c r="AV25" s="32">
        <v>108.6</v>
      </c>
      <c r="AW25" s="32">
        <v>191.3</v>
      </c>
      <c r="AX25" s="32">
        <v>278.8</v>
      </c>
      <c r="AY25" s="32">
        <v>262.3</v>
      </c>
      <c r="AZ25" s="32">
        <v>95.6</v>
      </c>
      <c r="BA25" s="32">
        <v>19.8</v>
      </c>
      <c r="BB25" s="32">
        <v>19.8</v>
      </c>
      <c r="BC25" s="32">
        <v>103.8</v>
      </c>
      <c r="BD25" s="32">
        <v>103.8</v>
      </c>
      <c r="BE25" s="32">
        <v>84.5</v>
      </c>
      <c r="BF25" s="32">
        <v>84.5</v>
      </c>
      <c r="BG25" s="32">
        <v>63.7</v>
      </c>
      <c r="BH25" s="32">
        <v>56.9</v>
      </c>
      <c r="BI25" s="32">
        <v>67.3</v>
      </c>
      <c r="BJ25" s="32">
        <v>33.6</v>
      </c>
      <c r="BK25" s="32">
        <v>95.6</v>
      </c>
      <c r="BL25" s="32">
        <v>9.3000000000000007</v>
      </c>
      <c r="BM25" s="32">
        <v>81.099999999999994</v>
      </c>
      <c r="BN25" s="32">
        <v>79.5</v>
      </c>
      <c r="BO25" s="32">
        <v>88.6</v>
      </c>
      <c r="BP25" s="32">
        <v>71.3</v>
      </c>
      <c r="BQ25" s="32">
        <v>85.9</v>
      </c>
      <c r="BR25" s="32">
        <v>121.4</v>
      </c>
      <c r="BS25" s="32">
        <v>196.1</v>
      </c>
      <c r="BT25" s="32">
        <v>59.4</v>
      </c>
      <c r="BU25" s="32">
        <v>120.6</v>
      </c>
      <c r="BV25" s="32">
        <v>120.6</v>
      </c>
      <c r="BW25" s="32">
        <v>179</v>
      </c>
      <c r="BX25" s="32">
        <v>65.400000000000006</v>
      </c>
      <c r="BY25" s="32">
        <v>108.1</v>
      </c>
      <c r="BZ25" s="32">
        <v>122.8</v>
      </c>
      <c r="CA25" s="32">
        <v>101.4</v>
      </c>
      <c r="CB25" s="32">
        <v>89</v>
      </c>
      <c r="CC25" s="32">
        <v>129.80000000000001</v>
      </c>
      <c r="CD25" s="32">
        <v>40.700000000000003</v>
      </c>
      <c r="CE25" s="32">
        <v>91.8</v>
      </c>
      <c r="CF25" s="32">
        <v>60.5</v>
      </c>
      <c r="CG25" s="32">
        <v>82.2</v>
      </c>
      <c r="CH25" s="32">
        <v>81.2</v>
      </c>
      <c r="CI25" s="32">
        <v>106.7</v>
      </c>
      <c r="CJ25" s="32">
        <v>61.9</v>
      </c>
      <c r="CK25" s="32">
        <v>92.8</v>
      </c>
      <c r="CL25" s="32">
        <v>84.7</v>
      </c>
      <c r="CM25" s="32">
        <v>105.6</v>
      </c>
      <c r="CN25" s="32">
        <v>77</v>
      </c>
      <c r="CO25" s="32">
        <v>107.5</v>
      </c>
      <c r="CP25" s="32">
        <v>93.2</v>
      </c>
      <c r="CQ25" s="32">
        <v>44.1</v>
      </c>
      <c r="CR25" s="32">
        <v>99.2</v>
      </c>
      <c r="CS25" s="32">
        <v>105.3</v>
      </c>
      <c r="CT25" s="32">
        <v>82.9</v>
      </c>
      <c r="CU25" s="32">
        <v>56.4</v>
      </c>
      <c r="CV25" s="32">
        <v>94.6</v>
      </c>
      <c r="CW25" s="32">
        <v>10.5</v>
      </c>
      <c r="CX25" s="32">
        <v>55.5</v>
      </c>
      <c r="CY25" s="32">
        <v>67.5</v>
      </c>
      <c r="CZ25" s="32">
        <v>47.8</v>
      </c>
      <c r="DA25" s="32">
        <v>36.200000000000003</v>
      </c>
      <c r="DB25" s="32">
        <v>74.7</v>
      </c>
      <c r="DC25" s="32">
        <v>0.7</v>
      </c>
      <c r="DD25" s="32">
        <v>0.7</v>
      </c>
      <c r="DE25" s="32">
        <v>33</v>
      </c>
      <c r="DF25" s="32">
        <v>28.4</v>
      </c>
      <c r="DG25" s="32">
        <v>62.6</v>
      </c>
      <c r="DH25" s="32">
        <v>68.400000000000006</v>
      </c>
      <c r="DI25" s="32">
        <v>98.3</v>
      </c>
      <c r="DJ25" s="32">
        <v>91.4</v>
      </c>
      <c r="DK25" s="32">
        <v>91.4</v>
      </c>
      <c r="DL25" s="32">
        <v>26.8</v>
      </c>
      <c r="DM25" s="32">
        <v>63.9</v>
      </c>
      <c r="DN25" s="32">
        <v>44.2</v>
      </c>
      <c r="DO25" s="32">
        <v>73.5</v>
      </c>
      <c r="DP25" s="32">
        <v>33.299999999999997</v>
      </c>
      <c r="DQ25" s="32">
        <v>52</v>
      </c>
      <c r="DR25" s="32">
        <v>51.3</v>
      </c>
      <c r="DS25" s="32">
        <v>48.6</v>
      </c>
      <c r="DT25" s="32">
        <v>44.7</v>
      </c>
      <c r="DU25" s="32">
        <v>47.4</v>
      </c>
      <c r="DV25" s="32">
        <v>54</v>
      </c>
      <c r="DW25" s="32">
        <v>40.5</v>
      </c>
      <c r="DX25" s="32">
        <v>39.200000000000003</v>
      </c>
      <c r="DY25" s="32">
        <v>62.2</v>
      </c>
      <c r="DZ25" s="32">
        <v>99.2</v>
      </c>
      <c r="EA25" s="32">
        <v>99.2</v>
      </c>
      <c r="EB25" s="32">
        <v>45.5</v>
      </c>
      <c r="EC25" s="32">
        <v>42.1</v>
      </c>
      <c r="ED25" s="32">
        <v>50.8</v>
      </c>
      <c r="EE25" s="32">
        <v>58.2</v>
      </c>
      <c r="EF25" s="32">
        <v>34.6</v>
      </c>
      <c r="EG25" s="32">
        <v>52.8</v>
      </c>
      <c r="EH25" s="32">
        <v>68.8</v>
      </c>
      <c r="EI25" s="32">
        <v>46.5</v>
      </c>
      <c r="EJ25" s="32">
        <v>155.6</v>
      </c>
      <c r="EK25" s="32">
        <v>40.799999999999997</v>
      </c>
      <c r="EL25" s="32">
        <v>69</v>
      </c>
      <c r="EM25" s="32">
        <v>32.299999999999997</v>
      </c>
      <c r="EN25" s="32">
        <v>42.4</v>
      </c>
      <c r="EO25" s="32">
        <v>80.900000000000006</v>
      </c>
      <c r="EP25" s="32">
        <v>84.2</v>
      </c>
      <c r="EQ25" s="32">
        <v>84.2</v>
      </c>
      <c r="ER25" s="32">
        <v>88.7</v>
      </c>
      <c r="ES25" s="32">
        <v>88.7</v>
      </c>
      <c r="ET25" s="32">
        <v>73.7</v>
      </c>
      <c r="EU25" s="32">
        <v>79.3</v>
      </c>
      <c r="EV25" s="32">
        <v>79.3</v>
      </c>
      <c r="EW25" s="32">
        <v>70.599999999999994</v>
      </c>
      <c r="EX25" s="32">
        <v>83.2</v>
      </c>
      <c r="EY25" s="32">
        <v>60.5</v>
      </c>
      <c r="EZ25" s="32">
        <v>91.8</v>
      </c>
      <c r="FA25" s="32">
        <v>87.5</v>
      </c>
      <c r="FB25" s="32">
        <v>108.2</v>
      </c>
      <c r="FC25" s="32">
        <v>88.5</v>
      </c>
      <c r="FD25" s="32">
        <v>86.2</v>
      </c>
      <c r="FE25" s="32">
        <v>159.5</v>
      </c>
      <c r="FF25" s="32">
        <v>64.3</v>
      </c>
      <c r="FG25" s="32">
        <v>92.2</v>
      </c>
      <c r="FH25" s="32">
        <v>82.1</v>
      </c>
      <c r="FI25" s="32">
        <v>119</v>
      </c>
      <c r="FJ25" s="32">
        <v>93.3</v>
      </c>
      <c r="FK25" s="32">
        <v>145.9</v>
      </c>
      <c r="FL25" s="32">
        <v>145.9</v>
      </c>
    </row>
    <row r="26" spans="1:168" x14ac:dyDescent="0.2">
      <c r="A26" s="33" t="s">
        <v>1006</v>
      </c>
      <c r="B26" s="32">
        <v>65.599999999999994</v>
      </c>
      <c r="C26" s="32">
        <v>65.099999999999994</v>
      </c>
      <c r="D26" s="32">
        <v>90.7</v>
      </c>
      <c r="E26" s="32">
        <v>91.1</v>
      </c>
      <c r="F26" s="32">
        <v>455.2</v>
      </c>
      <c r="G26" s="32">
        <v>9396</v>
      </c>
      <c r="H26" s="32">
        <v>617.20000000000005</v>
      </c>
      <c r="I26" s="32">
        <v>68.099999999999994</v>
      </c>
      <c r="J26" s="32">
        <v>71.3</v>
      </c>
      <c r="K26" s="32">
        <v>90.1</v>
      </c>
      <c r="L26" s="32">
        <v>92.8</v>
      </c>
      <c r="M26" s="32">
        <v>103.9</v>
      </c>
      <c r="N26" s="32">
        <v>59.6</v>
      </c>
      <c r="O26" s="32">
        <v>357</v>
      </c>
      <c r="P26" s="32">
        <v>664.7</v>
      </c>
      <c r="Q26" s="32">
        <v>208.2</v>
      </c>
      <c r="R26" s="32">
        <v>63.6</v>
      </c>
      <c r="S26" s="32">
        <v>100.2</v>
      </c>
      <c r="T26" s="32">
        <v>147.6</v>
      </c>
      <c r="U26" s="32">
        <v>36.9</v>
      </c>
      <c r="V26" s="32">
        <v>103</v>
      </c>
      <c r="W26" s="32">
        <v>46</v>
      </c>
      <c r="X26" s="32">
        <v>31</v>
      </c>
      <c r="Y26" s="32">
        <v>61.6</v>
      </c>
      <c r="Z26" s="32">
        <v>133.9</v>
      </c>
      <c r="AA26" s="32">
        <v>72.7</v>
      </c>
      <c r="AB26" s="32">
        <v>78.400000000000006</v>
      </c>
      <c r="AC26" s="32">
        <v>57.2</v>
      </c>
      <c r="AD26" s="32">
        <v>89.8</v>
      </c>
      <c r="AE26" s="32">
        <v>169.6</v>
      </c>
      <c r="AF26" s="32">
        <v>169.6</v>
      </c>
      <c r="AG26" s="32">
        <v>63.9</v>
      </c>
      <c r="AH26" s="32">
        <v>63.9</v>
      </c>
      <c r="AI26" s="32">
        <v>170.6</v>
      </c>
      <c r="AJ26" s="32">
        <v>87.1</v>
      </c>
      <c r="AK26" s="32">
        <v>939.8</v>
      </c>
      <c r="AL26" s="32">
        <v>115.3</v>
      </c>
      <c r="AM26" s="32">
        <v>17.600000000000001</v>
      </c>
      <c r="AN26" s="32">
        <v>129.5</v>
      </c>
      <c r="AO26" s="32">
        <v>67.900000000000006</v>
      </c>
      <c r="AP26" s="32">
        <v>67.900000000000006</v>
      </c>
      <c r="AQ26" s="32">
        <v>98.8</v>
      </c>
      <c r="AR26" s="32">
        <v>98.5</v>
      </c>
      <c r="AS26" s="32">
        <v>101.1</v>
      </c>
      <c r="AT26" s="32">
        <v>96.6</v>
      </c>
      <c r="AU26" s="32">
        <v>104.9</v>
      </c>
      <c r="AV26" s="32">
        <v>109.8</v>
      </c>
      <c r="AW26" s="32">
        <v>191.5</v>
      </c>
      <c r="AX26" s="32">
        <v>279.8</v>
      </c>
      <c r="AY26" s="32">
        <v>262</v>
      </c>
      <c r="AZ26" s="32">
        <v>97.1</v>
      </c>
      <c r="BA26" s="32">
        <v>19.8</v>
      </c>
      <c r="BB26" s="32">
        <v>19.8</v>
      </c>
      <c r="BC26" s="32">
        <v>101.3</v>
      </c>
      <c r="BD26" s="32">
        <v>101.3</v>
      </c>
      <c r="BE26" s="32">
        <v>84.9</v>
      </c>
      <c r="BF26" s="32">
        <v>84.9</v>
      </c>
      <c r="BG26" s="32">
        <v>63.4</v>
      </c>
      <c r="BH26" s="32">
        <v>56.2</v>
      </c>
      <c r="BI26" s="32">
        <v>67.400000000000006</v>
      </c>
      <c r="BJ26" s="32">
        <v>34.200000000000003</v>
      </c>
      <c r="BK26" s="32">
        <v>94.9</v>
      </c>
      <c r="BL26" s="32">
        <v>10</v>
      </c>
      <c r="BM26" s="32">
        <v>81.2</v>
      </c>
      <c r="BN26" s="32">
        <v>78.7</v>
      </c>
      <c r="BO26" s="32">
        <v>87</v>
      </c>
      <c r="BP26" s="32">
        <v>71.099999999999994</v>
      </c>
      <c r="BQ26" s="32">
        <v>87.1</v>
      </c>
      <c r="BR26" s="32">
        <v>115.5</v>
      </c>
      <c r="BS26" s="32">
        <v>215.2</v>
      </c>
      <c r="BT26" s="32">
        <v>59</v>
      </c>
      <c r="BU26" s="32">
        <v>122.1</v>
      </c>
      <c r="BV26" s="32">
        <v>122.1</v>
      </c>
      <c r="BW26" s="32">
        <v>180.9</v>
      </c>
      <c r="BX26" s="32">
        <v>66.400000000000006</v>
      </c>
      <c r="BY26" s="32">
        <v>105.5</v>
      </c>
      <c r="BZ26" s="32">
        <v>119.5</v>
      </c>
      <c r="CA26" s="32">
        <v>99.2</v>
      </c>
      <c r="CB26" s="32">
        <v>88.2</v>
      </c>
      <c r="CC26" s="32">
        <v>125</v>
      </c>
      <c r="CD26" s="32">
        <v>40.6</v>
      </c>
      <c r="CE26" s="32">
        <v>92.6</v>
      </c>
      <c r="CF26" s="32">
        <v>60.4</v>
      </c>
      <c r="CG26" s="32">
        <v>82.4</v>
      </c>
      <c r="CH26" s="32">
        <v>81.5</v>
      </c>
      <c r="CI26" s="32">
        <v>105.5</v>
      </c>
      <c r="CJ26" s="32">
        <v>63.2</v>
      </c>
      <c r="CK26" s="32">
        <v>92.4</v>
      </c>
      <c r="CL26" s="32">
        <v>84.7</v>
      </c>
      <c r="CM26" s="32">
        <v>104.8</v>
      </c>
      <c r="CN26" s="32">
        <v>78.599999999999994</v>
      </c>
      <c r="CO26" s="32">
        <v>106.2</v>
      </c>
      <c r="CP26" s="32">
        <v>95</v>
      </c>
      <c r="CQ26" s="32">
        <v>44.4</v>
      </c>
      <c r="CR26" s="32">
        <v>98.1</v>
      </c>
      <c r="CS26" s="32">
        <v>108</v>
      </c>
      <c r="CT26" s="32">
        <v>83.1</v>
      </c>
      <c r="CU26" s="32">
        <v>57.3</v>
      </c>
      <c r="CV26" s="32">
        <v>94.4</v>
      </c>
      <c r="CW26" s="32">
        <v>10.5</v>
      </c>
      <c r="CX26" s="32">
        <v>56.5</v>
      </c>
      <c r="CY26" s="32">
        <v>68.5</v>
      </c>
      <c r="CZ26" s="32">
        <v>48.9</v>
      </c>
      <c r="DA26" s="32">
        <v>37.700000000000003</v>
      </c>
      <c r="DB26" s="32">
        <v>74.099999999999994</v>
      </c>
      <c r="DC26" s="32">
        <v>0.7</v>
      </c>
      <c r="DD26" s="32">
        <v>0.7</v>
      </c>
      <c r="DE26" s="32">
        <v>30.9</v>
      </c>
      <c r="DF26" s="32">
        <v>26.7</v>
      </c>
      <c r="DG26" s="32">
        <v>57.8</v>
      </c>
      <c r="DH26" s="32">
        <v>66.8</v>
      </c>
      <c r="DI26" s="32">
        <v>94.8</v>
      </c>
      <c r="DJ26" s="32">
        <v>91</v>
      </c>
      <c r="DK26" s="32">
        <v>91</v>
      </c>
      <c r="DL26" s="32">
        <v>26.4</v>
      </c>
      <c r="DM26" s="32">
        <v>64.3</v>
      </c>
      <c r="DN26" s="32">
        <v>44</v>
      </c>
      <c r="DO26" s="32">
        <v>74</v>
      </c>
      <c r="DP26" s="32">
        <v>32.700000000000003</v>
      </c>
      <c r="DQ26" s="32">
        <v>51.8</v>
      </c>
      <c r="DR26" s="32">
        <v>51.5</v>
      </c>
      <c r="DS26" s="32">
        <v>48.6</v>
      </c>
      <c r="DT26" s="32">
        <v>45.2</v>
      </c>
      <c r="DU26" s="32">
        <v>48.4</v>
      </c>
      <c r="DV26" s="32">
        <v>54.6</v>
      </c>
      <c r="DW26" s="32">
        <v>41.9</v>
      </c>
      <c r="DX26" s="32">
        <v>38.700000000000003</v>
      </c>
      <c r="DY26" s="32">
        <v>60.7</v>
      </c>
      <c r="DZ26" s="32">
        <v>99.6</v>
      </c>
      <c r="EA26" s="32">
        <v>99.6</v>
      </c>
      <c r="EB26" s="32">
        <v>45.9</v>
      </c>
      <c r="EC26" s="32">
        <v>43.7</v>
      </c>
      <c r="ED26" s="32">
        <v>49.4</v>
      </c>
      <c r="EE26" s="32">
        <v>56.1</v>
      </c>
      <c r="EF26" s="32">
        <v>35</v>
      </c>
      <c r="EG26" s="32">
        <v>52</v>
      </c>
      <c r="EH26" s="32">
        <v>68.2</v>
      </c>
      <c r="EI26" s="32">
        <v>46.1</v>
      </c>
      <c r="EJ26" s="32">
        <v>155.30000000000001</v>
      </c>
      <c r="EK26" s="32">
        <v>39.6</v>
      </c>
      <c r="EL26" s="32">
        <v>70.599999999999994</v>
      </c>
      <c r="EM26" s="32">
        <v>32</v>
      </c>
      <c r="EN26" s="32">
        <v>40.1</v>
      </c>
      <c r="EO26" s="32">
        <v>81</v>
      </c>
      <c r="EP26" s="32">
        <v>84.6</v>
      </c>
      <c r="EQ26" s="32">
        <v>84.6</v>
      </c>
      <c r="ER26" s="32">
        <v>88</v>
      </c>
      <c r="ES26" s="32">
        <v>88</v>
      </c>
      <c r="ET26" s="32">
        <v>74</v>
      </c>
      <c r="EU26" s="32">
        <v>79.8</v>
      </c>
      <c r="EV26" s="32">
        <v>79.8</v>
      </c>
      <c r="EW26" s="32">
        <v>70.400000000000006</v>
      </c>
      <c r="EX26" s="32">
        <v>83</v>
      </c>
      <c r="EY26" s="32">
        <v>60.4</v>
      </c>
      <c r="EZ26" s="32">
        <v>92.7</v>
      </c>
      <c r="FA26" s="32">
        <v>87.3</v>
      </c>
      <c r="FB26" s="32">
        <v>107.3</v>
      </c>
      <c r="FC26" s="32">
        <v>86.7</v>
      </c>
      <c r="FD26" s="32">
        <v>86.2</v>
      </c>
      <c r="FE26" s="32">
        <v>160.4</v>
      </c>
      <c r="FF26" s="32">
        <v>64.900000000000006</v>
      </c>
      <c r="FG26" s="32">
        <v>94.2</v>
      </c>
      <c r="FH26" s="32">
        <v>93.2</v>
      </c>
      <c r="FI26" s="32">
        <v>124.5</v>
      </c>
      <c r="FJ26" s="32">
        <v>90.6</v>
      </c>
      <c r="FK26" s="32">
        <v>146.80000000000001</v>
      </c>
      <c r="FL26" s="32">
        <v>146.80000000000001</v>
      </c>
    </row>
    <row r="27" spans="1:168" x14ac:dyDescent="0.2">
      <c r="A27" s="33" t="s">
        <v>1007</v>
      </c>
      <c r="B27" s="32">
        <v>65.900000000000006</v>
      </c>
      <c r="C27" s="32">
        <v>64.900000000000006</v>
      </c>
      <c r="D27" s="32">
        <v>91.1</v>
      </c>
      <c r="E27" s="32">
        <v>91.4</v>
      </c>
      <c r="F27" s="32">
        <v>450.4</v>
      </c>
      <c r="G27" s="32">
        <v>9453.7000000000007</v>
      </c>
      <c r="H27" s="32">
        <v>614.79999999999995</v>
      </c>
      <c r="I27" s="32">
        <v>65.2</v>
      </c>
      <c r="J27" s="32">
        <v>71.5</v>
      </c>
      <c r="K27" s="32">
        <v>91.2</v>
      </c>
      <c r="L27" s="32">
        <v>93.8</v>
      </c>
      <c r="M27" s="32">
        <v>106.4</v>
      </c>
      <c r="N27" s="32">
        <v>58.7</v>
      </c>
      <c r="O27" s="32">
        <v>354.2</v>
      </c>
      <c r="P27" s="32">
        <v>642.6</v>
      </c>
      <c r="Q27" s="32">
        <v>210.5</v>
      </c>
      <c r="R27" s="32">
        <v>65.099999999999994</v>
      </c>
      <c r="S27" s="32">
        <v>102.1</v>
      </c>
      <c r="T27" s="32">
        <v>149</v>
      </c>
      <c r="U27" s="32">
        <v>38.700000000000003</v>
      </c>
      <c r="V27" s="32">
        <v>104.2</v>
      </c>
      <c r="W27" s="32">
        <v>47</v>
      </c>
      <c r="X27" s="32">
        <v>32.200000000000003</v>
      </c>
      <c r="Y27" s="32">
        <v>61.5</v>
      </c>
      <c r="Z27" s="32">
        <v>142.19999999999999</v>
      </c>
      <c r="AA27" s="32">
        <v>72.900000000000006</v>
      </c>
      <c r="AB27" s="32">
        <v>76.599999999999994</v>
      </c>
      <c r="AC27" s="32">
        <v>57.5</v>
      </c>
      <c r="AD27" s="32">
        <v>90.8</v>
      </c>
      <c r="AE27" s="32">
        <v>176.9</v>
      </c>
      <c r="AF27" s="32">
        <v>176.9</v>
      </c>
      <c r="AG27" s="32">
        <v>61.7</v>
      </c>
      <c r="AH27" s="32">
        <v>61.7</v>
      </c>
      <c r="AI27" s="32">
        <v>167.9</v>
      </c>
      <c r="AJ27" s="32">
        <v>83.3</v>
      </c>
      <c r="AK27" s="32">
        <v>919.4</v>
      </c>
      <c r="AL27" s="32">
        <v>107.4</v>
      </c>
      <c r="AM27" s="32">
        <v>17.399999999999999</v>
      </c>
      <c r="AN27" s="32">
        <v>125.8</v>
      </c>
      <c r="AO27" s="32">
        <v>64.5</v>
      </c>
      <c r="AP27" s="32">
        <v>64.5</v>
      </c>
      <c r="AQ27" s="32">
        <v>99.1</v>
      </c>
      <c r="AR27" s="32">
        <v>99.2</v>
      </c>
      <c r="AS27" s="32">
        <v>100.6</v>
      </c>
      <c r="AT27" s="32">
        <v>96.4</v>
      </c>
      <c r="AU27" s="32">
        <v>104.1</v>
      </c>
      <c r="AV27" s="32">
        <v>108.5</v>
      </c>
      <c r="AW27" s="32">
        <v>187.8</v>
      </c>
      <c r="AX27" s="32">
        <v>268.7</v>
      </c>
      <c r="AY27" s="32">
        <v>262.39999999999998</v>
      </c>
      <c r="AZ27" s="32">
        <v>96.2</v>
      </c>
      <c r="BA27" s="32">
        <v>19.899999999999999</v>
      </c>
      <c r="BB27" s="32">
        <v>19.899999999999999</v>
      </c>
      <c r="BC27" s="32">
        <v>101.1</v>
      </c>
      <c r="BD27" s="32">
        <v>101.1</v>
      </c>
      <c r="BE27" s="32">
        <v>86.8</v>
      </c>
      <c r="BF27" s="32">
        <v>86.8</v>
      </c>
      <c r="BG27" s="32">
        <v>64.900000000000006</v>
      </c>
      <c r="BH27" s="32">
        <v>57.8</v>
      </c>
      <c r="BI27" s="32">
        <v>68.599999999999994</v>
      </c>
      <c r="BJ27" s="32">
        <v>35</v>
      </c>
      <c r="BK27" s="32">
        <v>95.8</v>
      </c>
      <c r="BL27" s="32">
        <v>10.9</v>
      </c>
      <c r="BM27" s="32">
        <v>80.5</v>
      </c>
      <c r="BN27" s="32">
        <v>77.900000000000006</v>
      </c>
      <c r="BO27" s="32">
        <v>89.1</v>
      </c>
      <c r="BP27" s="32">
        <v>68.2</v>
      </c>
      <c r="BQ27" s="32">
        <v>86.5</v>
      </c>
      <c r="BR27" s="32">
        <v>99.4</v>
      </c>
      <c r="BS27" s="32">
        <v>210.4</v>
      </c>
      <c r="BT27" s="32">
        <v>60.3</v>
      </c>
      <c r="BU27" s="32">
        <v>126.4</v>
      </c>
      <c r="BV27" s="32">
        <v>126.4</v>
      </c>
      <c r="BW27" s="32">
        <v>185</v>
      </c>
      <c r="BX27" s="32">
        <v>71.2</v>
      </c>
      <c r="BY27" s="32">
        <v>106</v>
      </c>
      <c r="BZ27" s="32">
        <v>119.1</v>
      </c>
      <c r="CA27" s="32">
        <v>100</v>
      </c>
      <c r="CB27" s="32">
        <v>90.2</v>
      </c>
      <c r="CC27" s="32">
        <v>123.7</v>
      </c>
      <c r="CD27" s="32">
        <v>42.1</v>
      </c>
      <c r="CE27" s="32">
        <v>93.4</v>
      </c>
      <c r="CF27" s="32">
        <v>60.6</v>
      </c>
      <c r="CG27" s="32">
        <v>82</v>
      </c>
      <c r="CH27" s="32">
        <v>80.7</v>
      </c>
      <c r="CI27" s="32">
        <v>104</v>
      </c>
      <c r="CJ27" s="32">
        <v>62.8</v>
      </c>
      <c r="CK27" s="32">
        <v>91.5</v>
      </c>
      <c r="CL27" s="32">
        <v>84.7</v>
      </c>
      <c r="CM27" s="32">
        <v>106.4</v>
      </c>
      <c r="CN27" s="32">
        <v>80.3</v>
      </c>
      <c r="CO27" s="32">
        <v>107.8</v>
      </c>
      <c r="CP27" s="32">
        <v>97</v>
      </c>
      <c r="CQ27" s="32">
        <v>43.3</v>
      </c>
      <c r="CR27" s="32">
        <v>98.7</v>
      </c>
      <c r="CS27" s="32">
        <v>103.6</v>
      </c>
      <c r="CT27" s="32">
        <v>83.6</v>
      </c>
      <c r="CU27" s="32">
        <v>59.1</v>
      </c>
      <c r="CV27" s="32">
        <v>94.5</v>
      </c>
      <c r="CW27" s="32">
        <v>10.9</v>
      </c>
      <c r="CX27" s="32">
        <v>57.9</v>
      </c>
      <c r="CY27" s="32">
        <v>68.900000000000006</v>
      </c>
      <c r="CZ27" s="32">
        <v>51.8</v>
      </c>
      <c r="DA27" s="32">
        <v>41.4</v>
      </c>
      <c r="DB27" s="32">
        <v>74.599999999999994</v>
      </c>
      <c r="DC27" s="32">
        <v>0.7</v>
      </c>
      <c r="DD27" s="32">
        <v>0.7</v>
      </c>
      <c r="DE27" s="32">
        <v>33.299999999999997</v>
      </c>
      <c r="DF27" s="32">
        <v>28.6</v>
      </c>
      <c r="DG27" s="32">
        <v>63.3</v>
      </c>
      <c r="DH27" s="32">
        <v>64.900000000000006</v>
      </c>
      <c r="DI27" s="32">
        <v>93.2</v>
      </c>
      <c r="DJ27" s="32">
        <v>89</v>
      </c>
      <c r="DK27" s="32">
        <v>89</v>
      </c>
      <c r="DL27" s="32">
        <v>23.9</v>
      </c>
      <c r="DM27" s="32">
        <v>64.599999999999994</v>
      </c>
      <c r="DN27" s="32">
        <v>44.1</v>
      </c>
      <c r="DO27" s="32">
        <v>74.5</v>
      </c>
      <c r="DP27" s="32">
        <v>31.1</v>
      </c>
      <c r="DQ27" s="32">
        <v>53.2</v>
      </c>
      <c r="DR27" s="32">
        <v>52.9</v>
      </c>
      <c r="DS27" s="32">
        <v>50.3</v>
      </c>
      <c r="DT27" s="32">
        <v>44.3</v>
      </c>
      <c r="DU27" s="32">
        <v>47.2</v>
      </c>
      <c r="DV27" s="32">
        <v>54.8</v>
      </c>
      <c r="DW27" s="32">
        <v>39.5</v>
      </c>
      <c r="DX27" s="32">
        <v>38.4</v>
      </c>
      <c r="DY27" s="32">
        <v>71.400000000000006</v>
      </c>
      <c r="DZ27" s="32">
        <v>100.4</v>
      </c>
      <c r="EA27" s="32">
        <v>100.4</v>
      </c>
      <c r="EB27" s="32">
        <v>46.5</v>
      </c>
      <c r="EC27" s="32">
        <v>43.1</v>
      </c>
      <c r="ED27" s="32">
        <v>51.9</v>
      </c>
      <c r="EE27" s="32">
        <v>59.2</v>
      </c>
      <c r="EF27" s="32">
        <v>35.799999999999997</v>
      </c>
      <c r="EG27" s="32">
        <v>53.4</v>
      </c>
      <c r="EH27" s="32">
        <v>67.3</v>
      </c>
      <c r="EI27" s="32">
        <v>48.3</v>
      </c>
      <c r="EJ27" s="32">
        <v>159.9</v>
      </c>
      <c r="EK27" s="32">
        <v>41.4</v>
      </c>
      <c r="EL27" s="32">
        <v>71.900000000000006</v>
      </c>
      <c r="EM27" s="32">
        <v>32.200000000000003</v>
      </c>
      <c r="EN27" s="32">
        <v>43</v>
      </c>
      <c r="EO27" s="32">
        <v>80.900000000000006</v>
      </c>
      <c r="EP27" s="32">
        <v>84.5</v>
      </c>
      <c r="EQ27" s="32">
        <v>84.5</v>
      </c>
      <c r="ER27" s="32">
        <v>87.7</v>
      </c>
      <c r="ES27" s="32">
        <v>87.7</v>
      </c>
      <c r="ET27" s="32">
        <v>74.099999999999994</v>
      </c>
      <c r="EU27" s="32">
        <v>80</v>
      </c>
      <c r="EV27" s="32">
        <v>80</v>
      </c>
      <c r="EW27" s="32">
        <v>70.5</v>
      </c>
      <c r="EX27" s="32">
        <v>83</v>
      </c>
      <c r="EY27" s="32">
        <v>60.6</v>
      </c>
      <c r="EZ27" s="32">
        <v>90.3</v>
      </c>
      <c r="FA27" s="32">
        <v>85.6</v>
      </c>
      <c r="FB27" s="32">
        <v>103.9</v>
      </c>
      <c r="FC27" s="32">
        <v>81</v>
      </c>
      <c r="FD27" s="32">
        <v>86.1</v>
      </c>
      <c r="FE27" s="32">
        <v>161.19999999999999</v>
      </c>
      <c r="FF27" s="32">
        <v>65.2</v>
      </c>
      <c r="FG27" s="32">
        <v>91.1</v>
      </c>
      <c r="FH27" s="32">
        <v>81.5</v>
      </c>
      <c r="FI27" s="32">
        <v>121</v>
      </c>
      <c r="FJ27" s="32">
        <v>91.5</v>
      </c>
      <c r="FK27" s="32">
        <v>146.69999999999999</v>
      </c>
      <c r="FL27" s="32">
        <v>146.69999999999999</v>
      </c>
    </row>
    <row r="28" spans="1:168" x14ac:dyDescent="0.2">
      <c r="A28" s="33" t="s">
        <v>1008</v>
      </c>
      <c r="B28" s="32">
        <v>66.099999999999994</v>
      </c>
      <c r="C28" s="32">
        <v>65.599999999999994</v>
      </c>
      <c r="D28" s="32">
        <v>91.3</v>
      </c>
      <c r="E28" s="32">
        <v>91.5</v>
      </c>
      <c r="F28" s="32">
        <v>448.3</v>
      </c>
      <c r="G28" s="32">
        <v>10358.299999999999</v>
      </c>
      <c r="H28" s="32">
        <v>607.1</v>
      </c>
      <c r="I28" s="32">
        <v>65.900000000000006</v>
      </c>
      <c r="J28" s="32">
        <v>71.400000000000006</v>
      </c>
      <c r="K28" s="32">
        <v>88.9</v>
      </c>
      <c r="L28" s="32">
        <v>91</v>
      </c>
      <c r="M28" s="32">
        <v>105.2</v>
      </c>
      <c r="N28" s="32">
        <v>60.1</v>
      </c>
      <c r="O28" s="32">
        <v>347.4</v>
      </c>
      <c r="P28" s="32">
        <v>614.9</v>
      </c>
      <c r="Q28" s="32">
        <v>202.5</v>
      </c>
      <c r="R28" s="32">
        <v>62.6</v>
      </c>
      <c r="S28" s="32">
        <v>98.7</v>
      </c>
      <c r="T28" s="32">
        <v>132.19999999999999</v>
      </c>
      <c r="U28" s="32">
        <v>40.299999999999997</v>
      </c>
      <c r="V28" s="32">
        <v>101.2</v>
      </c>
      <c r="W28" s="32">
        <v>48.3</v>
      </c>
      <c r="X28" s="32">
        <v>32.200000000000003</v>
      </c>
      <c r="Y28" s="32">
        <v>65.3</v>
      </c>
      <c r="Z28" s="32">
        <v>142.6</v>
      </c>
      <c r="AA28" s="32">
        <v>73.900000000000006</v>
      </c>
      <c r="AB28" s="32">
        <v>79.5</v>
      </c>
      <c r="AC28" s="32">
        <v>59</v>
      </c>
      <c r="AD28" s="32">
        <v>90.4</v>
      </c>
      <c r="AE28" s="32">
        <v>168.1</v>
      </c>
      <c r="AF28" s="32">
        <v>168.1</v>
      </c>
      <c r="AG28" s="32">
        <v>61.9</v>
      </c>
      <c r="AH28" s="32">
        <v>61.9</v>
      </c>
      <c r="AI28" s="32">
        <v>152.80000000000001</v>
      </c>
      <c r="AJ28" s="32">
        <v>84.1</v>
      </c>
      <c r="AK28" s="32">
        <v>930.8</v>
      </c>
      <c r="AL28" s="32">
        <v>110.4</v>
      </c>
      <c r="AM28" s="32">
        <v>17.899999999999999</v>
      </c>
      <c r="AN28" s="32">
        <v>126.6</v>
      </c>
      <c r="AO28" s="32">
        <v>68.400000000000006</v>
      </c>
      <c r="AP28" s="32">
        <v>68.400000000000006</v>
      </c>
      <c r="AQ28" s="32">
        <v>99.2</v>
      </c>
      <c r="AR28" s="32">
        <v>99.1</v>
      </c>
      <c r="AS28" s="32">
        <v>101.3</v>
      </c>
      <c r="AT28" s="32">
        <v>96.7</v>
      </c>
      <c r="AU28" s="32">
        <v>105.2</v>
      </c>
      <c r="AV28" s="32">
        <v>108.5</v>
      </c>
      <c r="AW28" s="32">
        <v>189.6</v>
      </c>
      <c r="AX28" s="32">
        <v>270.7</v>
      </c>
      <c r="AY28" s="32">
        <v>265.8</v>
      </c>
      <c r="AZ28" s="32">
        <v>95.8</v>
      </c>
      <c r="BA28" s="32">
        <v>19.899999999999999</v>
      </c>
      <c r="BB28" s="32">
        <v>19.899999999999999</v>
      </c>
      <c r="BC28" s="32">
        <v>103.8</v>
      </c>
      <c r="BD28" s="32">
        <v>103.8</v>
      </c>
      <c r="BE28" s="32">
        <v>86.6</v>
      </c>
      <c r="BF28" s="32">
        <v>86.6</v>
      </c>
      <c r="BG28" s="32">
        <v>63.4</v>
      </c>
      <c r="BH28" s="32">
        <v>54.4</v>
      </c>
      <c r="BI28" s="32">
        <v>70</v>
      </c>
      <c r="BJ28" s="32">
        <v>35.9</v>
      </c>
      <c r="BK28" s="32">
        <v>97</v>
      </c>
      <c r="BL28" s="32">
        <v>12.4</v>
      </c>
      <c r="BM28" s="32">
        <v>80.099999999999994</v>
      </c>
      <c r="BN28" s="32">
        <v>79.5</v>
      </c>
      <c r="BO28" s="32">
        <v>88.4</v>
      </c>
      <c r="BP28" s="32">
        <v>71.5</v>
      </c>
      <c r="BQ28" s="32">
        <v>83.5</v>
      </c>
      <c r="BR28" s="32">
        <v>81.2</v>
      </c>
      <c r="BS28" s="32">
        <v>191.6</v>
      </c>
      <c r="BT28" s="32">
        <v>61</v>
      </c>
      <c r="BU28" s="32">
        <v>130.5</v>
      </c>
      <c r="BV28" s="32">
        <v>130.5</v>
      </c>
      <c r="BW28" s="32">
        <v>185.7</v>
      </c>
      <c r="BX28" s="32">
        <v>78.8</v>
      </c>
      <c r="BY28" s="32">
        <v>106.8</v>
      </c>
      <c r="BZ28" s="32">
        <v>121.2</v>
      </c>
      <c r="CA28" s="32">
        <v>100.2</v>
      </c>
      <c r="CB28" s="32">
        <v>91</v>
      </c>
      <c r="CC28" s="32">
        <v>123.1</v>
      </c>
      <c r="CD28" s="32">
        <v>42.3</v>
      </c>
      <c r="CE28" s="32">
        <v>94.2</v>
      </c>
      <c r="CF28" s="32">
        <v>60.9</v>
      </c>
      <c r="CG28" s="32">
        <v>83.1</v>
      </c>
      <c r="CH28" s="32">
        <v>81.599999999999994</v>
      </c>
      <c r="CI28" s="32">
        <v>101.2</v>
      </c>
      <c r="CJ28" s="32">
        <v>65.3</v>
      </c>
      <c r="CK28" s="32">
        <v>91.4</v>
      </c>
      <c r="CL28" s="32">
        <v>86.4</v>
      </c>
      <c r="CM28" s="32">
        <v>108.4</v>
      </c>
      <c r="CN28" s="32">
        <v>81</v>
      </c>
      <c r="CO28" s="32">
        <v>109.9</v>
      </c>
      <c r="CP28" s="32">
        <v>98.4</v>
      </c>
      <c r="CQ28" s="32">
        <v>45.1</v>
      </c>
      <c r="CR28" s="32">
        <v>101.3</v>
      </c>
      <c r="CS28" s="32">
        <v>103.7</v>
      </c>
      <c r="CT28" s="32">
        <v>84.4</v>
      </c>
      <c r="CU28" s="32">
        <v>60.9</v>
      </c>
      <c r="CV28" s="32">
        <v>94.7</v>
      </c>
      <c r="CW28" s="32">
        <v>11.2</v>
      </c>
      <c r="CX28" s="32">
        <v>57.7</v>
      </c>
      <c r="CY28" s="32">
        <v>66.5</v>
      </c>
      <c r="CZ28" s="32">
        <v>53.7</v>
      </c>
      <c r="DA28" s="32">
        <v>43.6</v>
      </c>
      <c r="DB28" s="32">
        <v>74.8</v>
      </c>
      <c r="DC28" s="32">
        <v>0.8</v>
      </c>
      <c r="DD28" s="32">
        <v>0.8</v>
      </c>
      <c r="DE28" s="32">
        <v>34.200000000000003</v>
      </c>
      <c r="DF28" s="32">
        <v>29.6</v>
      </c>
      <c r="DG28" s="32">
        <v>63.5</v>
      </c>
      <c r="DH28" s="32">
        <v>63.7</v>
      </c>
      <c r="DI28" s="32">
        <v>90.6</v>
      </c>
      <c r="DJ28" s="32">
        <v>88.2</v>
      </c>
      <c r="DK28" s="32">
        <v>88.2</v>
      </c>
      <c r="DL28" s="32">
        <v>23.8</v>
      </c>
      <c r="DM28" s="32">
        <v>64.8</v>
      </c>
      <c r="DN28" s="32">
        <v>44.1</v>
      </c>
      <c r="DO28" s="32">
        <v>74.900000000000006</v>
      </c>
      <c r="DP28" s="32">
        <v>30</v>
      </c>
      <c r="DQ28" s="32">
        <v>52.9</v>
      </c>
      <c r="DR28" s="32">
        <v>52.2</v>
      </c>
      <c r="DS28" s="32">
        <v>49.4</v>
      </c>
      <c r="DT28" s="32">
        <v>45.9</v>
      </c>
      <c r="DU28" s="32">
        <v>49.5</v>
      </c>
      <c r="DV28" s="32">
        <v>54.4</v>
      </c>
      <c r="DW28" s="32">
        <v>44.3</v>
      </c>
      <c r="DX28" s="32">
        <v>38.299999999999997</v>
      </c>
      <c r="DY28" s="32">
        <v>61.9</v>
      </c>
      <c r="DZ28" s="32">
        <v>100.6</v>
      </c>
      <c r="EA28" s="32">
        <v>100.6</v>
      </c>
      <c r="EB28" s="32">
        <v>46.6</v>
      </c>
      <c r="EC28" s="32">
        <v>42.4</v>
      </c>
      <c r="ED28" s="32">
        <v>53</v>
      </c>
      <c r="EE28" s="32">
        <v>60.6</v>
      </c>
      <c r="EF28" s="32">
        <v>36.299999999999997</v>
      </c>
      <c r="EG28" s="32">
        <v>53.8</v>
      </c>
      <c r="EH28" s="32">
        <v>66.599999999999994</v>
      </c>
      <c r="EI28" s="32">
        <v>47</v>
      </c>
      <c r="EJ28" s="32">
        <v>166.5</v>
      </c>
      <c r="EK28" s="32">
        <v>42.9</v>
      </c>
      <c r="EL28" s="32">
        <v>71.099999999999994</v>
      </c>
      <c r="EM28" s="32">
        <v>32.799999999999997</v>
      </c>
      <c r="EN28" s="32">
        <v>45.6</v>
      </c>
      <c r="EO28" s="32">
        <v>80.8</v>
      </c>
      <c r="EP28" s="32">
        <v>84.3</v>
      </c>
      <c r="EQ28" s="32">
        <v>84.3</v>
      </c>
      <c r="ER28" s="32">
        <v>87.7</v>
      </c>
      <c r="ES28" s="32">
        <v>87.7</v>
      </c>
      <c r="ET28" s="32">
        <v>74.2</v>
      </c>
      <c r="EU28" s="32">
        <v>80</v>
      </c>
      <c r="EV28" s="32">
        <v>80</v>
      </c>
      <c r="EW28" s="32">
        <v>70.7</v>
      </c>
      <c r="EX28" s="32">
        <v>83.1</v>
      </c>
      <c r="EY28" s="32">
        <v>60.9</v>
      </c>
      <c r="EZ28" s="32">
        <v>91.6</v>
      </c>
      <c r="FA28" s="32">
        <v>83.7</v>
      </c>
      <c r="FB28" s="32">
        <v>100.2</v>
      </c>
      <c r="FC28" s="32">
        <v>74.7</v>
      </c>
      <c r="FD28" s="32">
        <v>86.4</v>
      </c>
      <c r="FE28" s="32">
        <v>161.4</v>
      </c>
      <c r="FF28" s="32">
        <v>65.3</v>
      </c>
      <c r="FG28" s="32">
        <v>95.2</v>
      </c>
      <c r="FH28" s="32">
        <v>94.8</v>
      </c>
      <c r="FI28" s="32">
        <v>122.4</v>
      </c>
      <c r="FJ28" s="32">
        <v>91.7</v>
      </c>
      <c r="FK28" s="32">
        <v>145.69999999999999</v>
      </c>
      <c r="FL28" s="32">
        <v>145.69999999999999</v>
      </c>
    </row>
    <row r="29" spans="1:168" x14ac:dyDescent="0.2">
      <c r="A29" s="33" t="s">
        <v>1009</v>
      </c>
      <c r="B29" s="32">
        <v>66.3</v>
      </c>
      <c r="C29" s="32">
        <v>67.2</v>
      </c>
      <c r="D29" s="32">
        <v>91.7</v>
      </c>
      <c r="E29" s="32">
        <v>91.8</v>
      </c>
      <c r="F29" s="32">
        <v>452.9</v>
      </c>
      <c r="G29" s="32">
        <v>10382.4</v>
      </c>
      <c r="H29" s="32">
        <v>612.5</v>
      </c>
      <c r="I29" s="32">
        <v>67.2</v>
      </c>
      <c r="J29" s="32">
        <v>71.8</v>
      </c>
      <c r="K29" s="32">
        <v>89.8</v>
      </c>
      <c r="L29" s="32">
        <v>92.1</v>
      </c>
      <c r="M29" s="32">
        <v>104.7</v>
      </c>
      <c r="N29" s="32">
        <v>60.3</v>
      </c>
      <c r="O29" s="32">
        <v>332.8</v>
      </c>
      <c r="P29" s="32">
        <v>620.79999999999995</v>
      </c>
      <c r="Q29" s="32">
        <v>191</v>
      </c>
      <c r="R29" s="32">
        <v>61.5</v>
      </c>
      <c r="S29" s="32">
        <v>101.9</v>
      </c>
      <c r="T29" s="32">
        <v>146.6</v>
      </c>
      <c r="U29" s="32">
        <v>39.299999999999997</v>
      </c>
      <c r="V29" s="32">
        <v>102.8</v>
      </c>
      <c r="W29" s="32">
        <v>47.9</v>
      </c>
      <c r="X29" s="32">
        <v>31.5</v>
      </c>
      <c r="Y29" s="32">
        <v>65.5</v>
      </c>
      <c r="Z29" s="32">
        <v>142.19999999999999</v>
      </c>
      <c r="AA29" s="32">
        <v>73.8</v>
      </c>
      <c r="AB29" s="32">
        <v>76.599999999999994</v>
      </c>
      <c r="AC29" s="32">
        <v>59.1</v>
      </c>
      <c r="AD29" s="32">
        <v>91.4</v>
      </c>
      <c r="AE29" s="32">
        <v>166.6</v>
      </c>
      <c r="AF29" s="32">
        <v>166.6</v>
      </c>
      <c r="AG29" s="32">
        <v>62.6</v>
      </c>
      <c r="AH29" s="32">
        <v>62.6</v>
      </c>
      <c r="AI29" s="32">
        <v>174.3</v>
      </c>
      <c r="AJ29" s="32">
        <v>80.900000000000006</v>
      </c>
      <c r="AK29" s="32">
        <v>906.1</v>
      </c>
      <c r="AL29" s="32">
        <v>109.6</v>
      </c>
      <c r="AM29" s="32">
        <v>18.399999999999999</v>
      </c>
      <c r="AN29" s="32">
        <v>137.5</v>
      </c>
      <c r="AO29" s="32">
        <v>69.599999999999994</v>
      </c>
      <c r="AP29" s="32">
        <v>69.599999999999994</v>
      </c>
      <c r="AQ29" s="32">
        <v>100.6</v>
      </c>
      <c r="AR29" s="32">
        <v>101.1</v>
      </c>
      <c r="AS29" s="32">
        <v>101.6</v>
      </c>
      <c r="AT29" s="32">
        <v>97.2</v>
      </c>
      <c r="AU29" s="32">
        <v>105.4</v>
      </c>
      <c r="AV29" s="32">
        <v>108.5</v>
      </c>
      <c r="AW29" s="32">
        <v>192.1</v>
      </c>
      <c r="AX29" s="32">
        <v>274.8</v>
      </c>
      <c r="AY29" s="32">
        <v>269.8</v>
      </c>
      <c r="AZ29" s="32">
        <v>95.3</v>
      </c>
      <c r="BA29" s="32">
        <v>20.5</v>
      </c>
      <c r="BB29" s="32">
        <v>20.5</v>
      </c>
      <c r="BC29" s="32">
        <v>103.6</v>
      </c>
      <c r="BD29" s="32">
        <v>103.6</v>
      </c>
      <c r="BE29" s="32">
        <v>85.3</v>
      </c>
      <c r="BF29" s="32">
        <v>85.3</v>
      </c>
      <c r="BG29" s="32">
        <v>63.5</v>
      </c>
      <c r="BH29" s="32">
        <v>53.3</v>
      </c>
      <c r="BI29" s="32">
        <v>72</v>
      </c>
      <c r="BJ29" s="32">
        <v>37.1</v>
      </c>
      <c r="BK29" s="32">
        <v>98.8</v>
      </c>
      <c r="BL29" s="32">
        <v>14.7</v>
      </c>
      <c r="BM29" s="32">
        <v>80.5</v>
      </c>
      <c r="BN29" s="32">
        <v>80.599999999999994</v>
      </c>
      <c r="BO29" s="32">
        <v>88.8</v>
      </c>
      <c r="BP29" s="32">
        <v>73.099999999999994</v>
      </c>
      <c r="BQ29" s="32">
        <v>83</v>
      </c>
      <c r="BR29" s="32">
        <v>72.7</v>
      </c>
      <c r="BS29" s="32">
        <v>184.1</v>
      </c>
      <c r="BT29" s="32">
        <v>62.2</v>
      </c>
      <c r="BU29" s="32">
        <v>130.19999999999999</v>
      </c>
      <c r="BV29" s="32">
        <v>130.19999999999999</v>
      </c>
      <c r="BW29" s="32">
        <v>183</v>
      </c>
      <c r="BX29" s="32">
        <v>81.2</v>
      </c>
      <c r="BY29" s="32">
        <v>104.1</v>
      </c>
      <c r="BZ29" s="32">
        <v>117.3</v>
      </c>
      <c r="CA29" s="32">
        <v>98.1</v>
      </c>
      <c r="CB29" s="32">
        <v>89.3</v>
      </c>
      <c r="CC29" s="32">
        <v>120.4</v>
      </c>
      <c r="CD29" s="32">
        <v>41.1</v>
      </c>
      <c r="CE29" s="32">
        <v>94.9</v>
      </c>
      <c r="CF29" s="32">
        <v>61</v>
      </c>
      <c r="CG29" s="32">
        <v>84.1</v>
      </c>
      <c r="CH29" s="32">
        <v>83.5</v>
      </c>
      <c r="CI29" s="32">
        <v>101.2</v>
      </c>
      <c r="CJ29" s="32">
        <v>69.900000000000006</v>
      </c>
      <c r="CK29" s="32">
        <v>90.6</v>
      </c>
      <c r="CL29" s="32">
        <v>86</v>
      </c>
      <c r="CM29" s="32">
        <v>108.1</v>
      </c>
      <c r="CN29" s="32">
        <v>81.5</v>
      </c>
      <c r="CO29" s="32">
        <v>109.6</v>
      </c>
      <c r="CP29" s="32">
        <v>99</v>
      </c>
      <c r="CQ29" s="32">
        <v>44.4</v>
      </c>
      <c r="CR29" s="32">
        <v>99.5</v>
      </c>
      <c r="CS29" s="32">
        <v>105.6</v>
      </c>
      <c r="CT29" s="32">
        <v>83.9</v>
      </c>
      <c r="CU29" s="32">
        <v>61.1</v>
      </c>
      <c r="CV29" s="32">
        <v>94</v>
      </c>
      <c r="CW29" s="32">
        <v>11.2</v>
      </c>
      <c r="CX29" s="32">
        <v>58.1</v>
      </c>
      <c r="CY29" s="32">
        <v>64.3</v>
      </c>
      <c r="CZ29" s="32">
        <v>56.6</v>
      </c>
      <c r="DA29" s="32">
        <v>46.7</v>
      </c>
      <c r="DB29" s="32">
        <v>76.3</v>
      </c>
      <c r="DC29" s="32">
        <v>0.8</v>
      </c>
      <c r="DD29" s="32">
        <v>0.8</v>
      </c>
      <c r="DE29" s="32">
        <v>33.5</v>
      </c>
      <c r="DF29" s="32">
        <v>28.7</v>
      </c>
      <c r="DG29" s="32">
        <v>64.2</v>
      </c>
      <c r="DH29" s="32">
        <v>62.6</v>
      </c>
      <c r="DI29" s="32">
        <v>87.5</v>
      </c>
      <c r="DJ29" s="32">
        <v>88</v>
      </c>
      <c r="DK29" s="32">
        <v>88</v>
      </c>
      <c r="DL29" s="32">
        <v>24.1</v>
      </c>
      <c r="DM29" s="32">
        <v>64.900000000000006</v>
      </c>
      <c r="DN29" s="32">
        <v>44.1</v>
      </c>
      <c r="DO29" s="32">
        <v>75.099999999999994</v>
      </c>
      <c r="DP29" s="32">
        <v>28.5</v>
      </c>
      <c r="DQ29" s="32">
        <v>52.9</v>
      </c>
      <c r="DR29" s="32">
        <v>52.5</v>
      </c>
      <c r="DS29" s="32">
        <v>49.7</v>
      </c>
      <c r="DT29" s="32">
        <v>46</v>
      </c>
      <c r="DU29" s="32">
        <v>50</v>
      </c>
      <c r="DV29" s="32">
        <v>54.9</v>
      </c>
      <c r="DW29" s="32">
        <v>44.8</v>
      </c>
      <c r="DX29" s="32">
        <v>37.799999999999997</v>
      </c>
      <c r="DY29" s="32">
        <v>62.7</v>
      </c>
      <c r="DZ29" s="32">
        <v>99.3</v>
      </c>
      <c r="EA29" s="32">
        <v>99.3</v>
      </c>
      <c r="EB29" s="32">
        <v>47</v>
      </c>
      <c r="EC29" s="32">
        <v>43.3</v>
      </c>
      <c r="ED29" s="32">
        <v>52.8</v>
      </c>
      <c r="EE29" s="32">
        <v>60.1</v>
      </c>
      <c r="EF29" s="32">
        <v>36.799999999999997</v>
      </c>
      <c r="EG29" s="32">
        <v>53.4</v>
      </c>
      <c r="EH29" s="32">
        <v>66.5</v>
      </c>
      <c r="EI29" s="32">
        <v>46.9</v>
      </c>
      <c r="EJ29" s="32">
        <v>152.6</v>
      </c>
      <c r="EK29" s="32">
        <v>43</v>
      </c>
      <c r="EL29" s="32">
        <v>69.599999999999994</v>
      </c>
      <c r="EM29" s="32">
        <v>33.5</v>
      </c>
      <c r="EN29" s="32">
        <v>45.4</v>
      </c>
      <c r="EO29" s="32">
        <v>80.900000000000006</v>
      </c>
      <c r="EP29" s="32">
        <v>84.1</v>
      </c>
      <c r="EQ29" s="32">
        <v>84.1</v>
      </c>
      <c r="ER29" s="32">
        <v>87.9</v>
      </c>
      <c r="ES29" s="32">
        <v>87.9</v>
      </c>
      <c r="ET29" s="32">
        <v>74.2</v>
      </c>
      <c r="EU29" s="32">
        <v>80</v>
      </c>
      <c r="EV29" s="32">
        <v>80</v>
      </c>
      <c r="EW29" s="32">
        <v>70.8</v>
      </c>
      <c r="EX29" s="32">
        <v>83</v>
      </c>
      <c r="EY29" s="32">
        <v>61.2</v>
      </c>
      <c r="EZ29" s="32">
        <v>90.4</v>
      </c>
      <c r="FA29" s="32">
        <v>83.5</v>
      </c>
      <c r="FB29" s="32">
        <v>98.7</v>
      </c>
      <c r="FC29" s="32">
        <v>72.099999999999994</v>
      </c>
      <c r="FD29" s="32">
        <v>87</v>
      </c>
      <c r="FE29" s="32">
        <v>161.4</v>
      </c>
      <c r="FF29" s="32">
        <v>66.599999999999994</v>
      </c>
      <c r="FG29" s="32">
        <v>93.3</v>
      </c>
      <c r="FH29" s="32">
        <v>97.1</v>
      </c>
      <c r="FI29" s="32">
        <v>128</v>
      </c>
      <c r="FJ29" s="32">
        <v>87.2</v>
      </c>
      <c r="FK29" s="32">
        <v>141.69999999999999</v>
      </c>
      <c r="FL29" s="32">
        <v>141.69999999999999</v>
      </c>
    </row>
    <row r="30" spans="1:168" x14ac:dyDescent="0.2">
      <c r="A30" s="33" t="s">
        <v>1010</v>
      </c>
      <c r="B30" s="32">
        <v>66.3</v>
      </c>
      <c r="C30" s="32">
        <v>69.400000000000006</v>
      </c>
      <c r="D30" s="32">
        <v>92.8</v>
      </c>
      <c r="E30" s="32">
        <v>93</v>
      </c>
      <c r="F30" s="32">
        <v>453.8</v>
      </c>
      <c r="G30" s="32">
        <v>9477.2999999999993</v>
      </c>
      <c r="H30" s="32">
        <v>615.4</v>
      </c>
      <c r="I30" s="32">
        <v>68.099999999999994</v>
      </c>
      <c r="J30" s="32">
        <v>72.8</v>
      </c>
      <c r="K30" s="32">
        <v>91.7</v>
      </c>
      <c r="L30" s="32">
        <v>93.5</v>
      </c>
      <c r="M30" s="32">
        <v>109.1</v>
      </c>
      <c r="N30" s="32">
        <v>59</v>
      </c>
      <c r="O30" s="32">
        <v>326.60000000000002</v>
      </c>
      <c r="P30" s="32">
        <v>618.4</v>
      </c>
      <c r="Q30" s="32">
        <v>194.3</v>
      </c>
      <c r="R30" s="32">
        <v>64.099999999999994</v>
      </c>
      <c r="S30" s="32">
        <v>102.7</v>
      </c>
      <c r="T30" s="32">
        <v>146.69999999999999</v>
      </c>
      <c r="U30" s="32">
        <v>43.4</v>
      </c>
      <c r="V30" s="32">
        <v>105.3</v>
      </c>
      <c r="W30" s="32">
        <v>48.2</v>
      </c>
      <c r="X30" s="32">
        <v>32.299999999999997</v>
      </c>
      <c r="Y30" s="32">
        <v>64.5</v>
      </c>
      <c r="Z30" s="32">
        <v>147.5</v>
      </c>
      <c r="AA30" s="32">
        <v>75</v>
      </c>
      <c r="AB30" s="32">
        <v>80.5</v>
      </c>
      <c r="AC30" s="32">
        <v>62.7</v>
      </c>
      <c r="AD30" s="32">
        <v>89</v>
      </c>
      <c r="AE30" s="32">
        <v>166.7</v>
      </c>
      <c r="AF30" s="32">
        <v>166.7</v>
      </c>
      <c r="AG30" s="32">
        <v>63.4</v>
      </c>
      <c r="AH30" s="32">
        <v>63.4</v>
      </c>
      <c r="AI30" s="32">
        <v>150.4</v>
      </c>
      <c r="AJ30" s="32">
        <v>89</v>
      </c>
      <c r="AK30" s="32">
        <v>1078.0999999999999</v>
      </c>
      <c r="AL30" s="32">
        <v>107.8</v>
      </c>
      <c r="AM30" s="32">
        <v>14.6</v>
      </c>
      <c r="AN30" s="32">
        <v>142.9</v>
      </c>
      <c r="AO30" s="32">
        <v>61.8</v>
      </c>
      <c r="AP30" s="32">
        <v>61.8</v>
      </c>
      <c r="AQ30" s="32">
        <v>102.5</v>
      </c>
      <c r="AR30" s="32">
        <v>105</v>
      </c>
      <c r="AS30" s="32">
        <v>100.2</v>
      </c>
      <c r="AT30" s="32">
        <v>97.5</v>
      </c>
      <c r="AU30" s="32">
        <v>101.1</v>
      </c>
      <c r="AV30" s="32">
        <v>108.9</v>
      </c>
      <c r="AW30" s="32">
        <v>200.8</v>
      </c>
      <c r="AX30" s="32">
        <v>286.5</v>
      </c>
      <c r="AY30" s="32">
        <v>283.39999999999998</v>
      </c>
      <c r="AZ30" s="32">
        <v>93.9</v>
      </c>
      <c r="BA30" s="32">
        <v>20.6</v>
      </c>
      <c r="BB30" s="32">
        <v>20.6</v>
      </c>
      <c r="BC30" s="32">
        <v>106.8</v>
      </c>
      <c r="BD30" s="32">
        <v>106.8</v>
      </c>
      <c r="BE30" s="32">
        <v>88</v>
      </c>
      <c r="BF30" s="32">
        <v>88</v>
      </c>
      <c r="BG30" s="32">
        <v>64.400000000000006</v>
      </c>
      <c r="BH30" s="32">
        <v>53.6</v>
      </c>
      <c r="BI30" s="32">
        <v>73.7</v>
      </c>
      <c r="BJ30" s="32">
        <v>38</v>
      </c>
      <c r="BK30" s="32">
        <v>100.2</v>
      </c>
      <c r="BL30" s="32">
        <v>17.100000000000001</v>
      </c>
      <c r="BM30" s="32">
        <v>86.7</v>
      </c>
      <c r="BN30" s="32">
        <v>83.1</v>
      </c>
      <c r="BO30" s="32">
        <v>90.4</v>
      </c>
      <c r="BP30" s="32">
        <v>76.3</v>
      </c>
      <c r="BQ30" s="32">
        <v>94.3</v>
      </c>
      <c r="BR30" s="32">
        <v>125.6</v>
      </c>
      <c r="BS30" s="32">
        <v>210.9</v>
      </c>
      <c r="BT30" s="32">
        <v>66.400000000000006</v>
      </c>
      <c r="BU30" s="32">
        <v>133.80000000000001</v>
      </c>
      <c r="BV30" s="32">
        <v>133.80000000000001</v>
      </c>
      <c r="BW30" s="32">
        <v>185.5</v>
      </c>
      <c r="BX30" s="32">
        <v>86.6</v>
      </c>
      <c r="BY30" s="32">
        <v>102.6</v>
      </c>
      <c r="BZ30" s="32">
        <v>116.6</v>
      </c>
      <c r="CA30" s="32">
        <v>96.2</v>
      </c>
      <c r="CB30" s="32">
        <v>86.4</v>
      </c>
      <c r="CC30" s="32">
        <v>119.7</v>
      </c>
      <c r="CD30" s="32">
        <v>42.7</v>
      </c>
      <c r="CE30" s="32">
        <v>95.8</v>
      </c>
      <c r="CF30" s="32">
        <v>60.8</v>
      </c>
      <c r="CG30" s="32">
        <v>82.1</v>
      </c>
      <c r="CH30" s="32">
        <v>80.400000000000006</v>
      </c>
      <c r="CI30" s="32">
        <v>104.6</v>
      </c>
      <c r="CJ30" s="32">
        <v>62.2</v>
      </c>
      <c r="CK30" s="32">
        <v>91.1</v>
      </c>
      <c r="CL30" s="32">
        <v>85.8</v>
      </c>
      <c r="CM30" s="32">
        <v>108.4</v>
      </c>
      <c r="CN30" s="32">
        <v>80.7</v>
      </c>
      <c r="CO30" s="32">
        <v>110.1</v>
      </c>
      <c r="CP30" s="32">
        <v>99.5</v>
      </c>
      <c r="CQ30" s="32">
        <v>45</v>
      </c>
      <c r="CR30" s="32">
        <v>101</v>
      </c>
      <c r="CS30" s="32">
        <v>100.2</v>
      </c>
      <c r="CT30" s="32">
        <v>84.1</v>
      </c>
      <c r="CU30" s="32">
        <v>63.1</v>
      </c>
      <c r="CV30" s="32">
        <v>93.3</v>
      </c>
      <c r="CW30" s="32">
        <v>11.1</v>
      </c>
      <c r="CX30" s="32">
        <v>58.5</v>
      </c>
      <c r="CY30" s="32">
        <v>66.400000000000006</v>
      </c>
      <c r="CZ30" s="32">
        <v>55.4</v>
      </c>
      <c r="DA30" s="32">
        <v>45.4</v>
      </c>
      <c r="DB30" s="32">
        <v>75.7</v>
      </c>
      <c r="DC30" s="32">
        <v>0.8</v>
      </c>
      <c r="DD30" s="32">
        <v>0.8</v>
      </c>
      <c r="DE30" s="32">
        <v>32.299999999999997</v>
      </c>
      <c r="DF30" s="32">
        <v>27.8</v>
      </c>
      <c r="DG30" s="32">
        <v>61.2</v>
      </c>
      <c r="DH30" s="32">
        <v>63.8</v>
      </c>
      <c r="DI30" s="32">
        <v>89.3</v>
      </c>
      <c r="DJ30" s="32">
        <v>90</v>
      </c>
      <c r="DK30" s="32">
        <v>90</v>
      </c>
      <c r="DL30" s="32">
        <v>24.2</v>
      </c>
      <c r="DM30" s="32">
        <v>65.3</v>
      </c>
      <c r="DN30" s="32">
        <v>45.6</v>
      </c>
      <c r="DO30" s="32">
        <v>75.2</v>
      </c>
      <c r="DP30" s="32">
        <v>27.2</v>
      </c>
      <c r="DQ30" s="32">
        <v>53.3</v>
      </c>
      <c r="DR30" s="32">
        <v>52.3</v>
      </c>
      <c r="DS30" s="32">
        <v>49.2</v>
      </c>
      <c r="DT30" s="32">
        <v>44.9</v>
      </c>
      <c r="DU30" s="32">
        <v>48.5</v>
      </c>
      <c r="DV30" s="32">
        <v>54.9</v>
      </c>
      <c r="DW30" s="32">
        <v>41.9</v>
      </c>
      <c r="DX30" s="32">
        <v>37.6</v>
      </c>
      <c r="DY30" s="32">
        <v>64.400000000000006</v>
      </c>
      <c r="DZ30" s="32">
        <v>97.9</v>
      </c>
      <c r="EA30" s="32">
        <v>97.9</v>
      </c>
      <c r="EB30" s="32">
        <v>48.2</v>
      </c>
      <c r="EC30" s="32">
        <v>44.3</v>
      </c>
      <c r="ED30" s="32">
        <v>54.2</v>
      </c>
      <c r="EE30" s="32">
        <v>62.2</v>
      </c>
      <c r="EF30" s="32">
        <v>36.9</v>
      </c>
      <c r="EG30" s="32">
        <v>54.6</v>
      </c>
      <c r="EH30" s="32">
        <v>66.400000000000006</v>
      </c>
      <c r="EI30" s="32">
        <v>49.7</v>
      </c>
      <c r="EJ30" s="32">
        <v>147.9</v>
      </c>
      <c r="EK30" s="32">
        <v>44</v>
      </c>
      <c r="EL30" s="32">
        <v>65.2</v>
      </c>
      <c r="EM30" s="32">
        <v>34.5</v>
      </c>
      <c r="EN30" s="32">
        <v>47.3</v>
      </c>
      <c r="EO30" s="32">
        <v>81</v>
      </c>
      <c r="EP30" s="32">
        <v>84.3</v>
      </c>
      <c r="EQ30" s="32">
        <v>84.3</v>
      </c>
      <c r="ER30" s="32">
        <v>88.4</v>
      </c>
      <c r="ES30" s="32">
        <v>88.4</v>
      </c>
      <c r="ET30" s="32">
        <v>74.099999999999994</v>
      </c>
      <c r="EU30" s="32">
        <v>79.8</v>
      </c>
      <c r="EV30" s="32">
        <v>79.8</v>
      </c>
      <c r="EW30" s="32">
        <v>71</v>
      </c>
      <c r="EX30" s="32">
        <v>82.9</v>
      </c>
      <c r="EY30" s="32">
        <v>61.5</v>
      </c>
      <c r="EZ30" s="32">
        <v>88.2</v>
      </c>
      <c r="FA30" s="32">
        <v>82.9</v>
      </c>
      <c r="FB30" s="32">
        <v>99.3</v>
      </c>
      <c r="FC30" s="32">
        <v>72.7</v>
      </c>
      <c r="FD30" s="32">
        <v>87.7</v>
      </c>
      <c r="FE30" s="32">
        <v>161.6</v>
      </c>
      <c r="FF30" s="32">
        <v>64.599999999999994</v>
      </c>
      <c r="FG30" s="32">
        <v>90</v>
      </c>
      <c r="FH30" s="32">
        <v>91.5</v>
      </c>
      <c r="FI30" s="32">
        <v>97</v>
      </c>
      <c r="FJ30" s="32">
        <v>88.2</v>
      </c>
      <c r="FK30" s="32">
        <v>135.6</v>
      </c>
      <c r="FL30" s="32">
        <v>135.6</v>
      </c>
    </row>
    <row r="31" spans="1:168" x14ac:dyDescent="0.2">
      <c r="A31" s="33" t="s">
        <v>1011</v>
      </c>
      <c r="B31" s="32">
        <v>66.599999999999994</v>
      </c>
      <c r="C31" s="32">
        <v>71.099999999999994</v>
      </c>
      <c r="D31" s="32">
        <v>93.1</v>
      </c>
      <c r="E31" s="32">
        <v>93.2</v>
      </c>
      <c r="F31" s="32">
        <v>458.5</v>
      </c>
      <c r="G31" s="32">
        <v>10712.2</v>
      </c>
      <c r="H31" s="32">
        <v>619</v>
      </c>
      <c r="I31" s="32">
        <v>68.599999999999994</v>
      </c>
      <c r="J31" s="32">
        <v>72.7</v>
      </c>
      <c r="K31" s="32">
        <v>90.1</v>
      </c>
      <c r="L31" s="32">
        <v>91.9</v>
      </c>
      <c r="M31" s="32">
        <v>98.5</v>
      </c>
      <c r="N31" s="32">
        <v>59.5</v>
      </c>
      <c r="O31" s="32">
        <v>313.7</v>
      </c>
      <c r="P31" s="32">
        <v>616.6</v>
      </c>
      <c r="Q31" s="32">
        <v>187.7</v>
      </c>
      <c r="R31" s="32">
        <v>67.900000000000006</v>
      </c>
      <c r="S31" s="32">
        <v>100.3</v>
      </c>
      <c r="T31" s="32">
        <v>143.6</v>
      </c>
      <c r="U31" s="32">
        <v>41.7</v>
      </c>
      <c r="V31" s="32">
        <v>104.4</v>
      </c>
      <c r="W31" s="32">
        <v>48.1</v>
      </c>
      <c r="X31" s="32">
        <v>32</v>
      </c>
      <c r="Y31" s="32">
        <v>65.2</v>
      </c>
      <c r="Z31" s="32">
        <v>141.6</v>
      </c>
      <c r="AA31" s="32">
        <v>75.3</v>
      </c>
      <c r="AB31" s="32">
        <v>80.900000000000006</v>
      </c>
      <c r="AC31" s="32">
        <v>62.7</v>
      </c>
      <c r="AD31" s="32">
        <v>89.6</v>
      </c>
      <c r="AE31" s="32">
        <v>157.9</v>
      </c>
      <c r="AF31" s="32">
        <v>157.9</v>
      </c>
      <c r="AG31" s="32">
        <v>63.9</v>
      </c>
      <c r="AH31" s="32">
        <v>63.9</v>
      </c>
      <c r="AI31" s="32">
        <v>157.9</v>
      </c>
      <c r="AJ31" s="32">
        <v>86.4</v>
      </c>
      <c r="AK31" s="32">
        <v>934.5</v>
      </c>
      <c r="AL31" s="32">
        <v>105.8</v>
      </c>
      <c r="AM31" s="32">
        <v>17.100000000000001</v>
      </c>
      <c r="AN31" s="32">
        <v>150.69999999999999</v>
      </c>
      <c r="AO31" s="32">
        <v>69.2</v>
      </c>
      <c r="AP31" s="32">
        <v>69.2</v>
      </c>
      <c r="AQ31" s="32">
        <v>102.4</v>
      </c>
      <c r="AR31" s="32">
        <v>104.6</v>
      </c>
      <c r="AS31" s="32">
        <v>100.7</v>
      </c>
      <c r="AT31" s="32">
        <v>97.1</v>
      </c>
      <c r="AU31" s="32">
        <v>102.9</v>
      </c>
      <c r="AV31" s="32">
        <v>109.2</v>
      </c>
      <c r="AW31" s="32">
        <v>203.4</v>
      </c>
      <c r="AX31" s="32">
        <v>312.8</v>
      </c>
      <c r="AY31" s="32">
        <v>271.89999999999998</v>
      </c>
      <c r="AZ31" s="32">
        <v>93.8</v>
      </c>
      <c r="BA31" s="32">
        <v>20.399999999999999</v>
      </c>
      <c r="BB31" s="32">
        <v>20.399999999999999</v>
      </c>
      <c r="BC31" s="32">
        <v>107.1</v>
      </c>
      <c r="BD31" s="32">
        <v>107.1</v>
      </c>
      <c r="BE31" s="32">
        <v>86</v>
      </c>
      <c r="BF31" s="32">
        <v>86</v>
      </c>
      <c r="BG31" s="32">
        <v>63.9</v>
      </c>
      <c r="BH31" s="32">
        <v>51.6</v>
      </c>
      <c r="BI31" s="32">
        <v>75.400000000000006</v>
      </c>
      <c r="BJ31" s="32">
        <v>39.1</v>
      </c>
      <c r="BK31" s="32">
        <v>101.1</v>
      </c>
      <c r="BL31" s="32">
        <v>20.399999999999999</v>
      </c>
      <c r="BM31" s="32">
        <v>85.9</v>
      </c>
      <c r="BN31" s="32">
        <v>81.2</v>
      </c>
      <c r="BO31" s="32">
        <v>86.1</v>
      </c>
      <c r="BP31" s="32">
        <v>76.400000000000006</v>
      </c>
      <c r="BQ31" s="32">
        <v>95.1</v>
      </c>
      <c r="BR31" s="32">
        <v>104.5</v>
      </c>
      <c r="BS31" s="32">
        <v>216.3</v>
      </c>
      <c r="BT31" s="32">
        <v>68.599999999999994</v>
      </c>
      <c r="BU31" s="32">
        <v>140.4</v>
      </c>
      <c r="BV31" s="32">
        <v>140.4</v>
      </c>
      <c r="BW31" s="32">
        <v>186.8</v>
      </c>
      <c r="BX31" s="32">
        <v>99.4</v>
      </c>
      <c r="BY31" s="32">
        <v>100.6</v>
      </c>
      <c r="BZ31" s="32">
        <v>117.5</v>
      </c>
      <c r="CA31" s="32">
        <v>92.8</v>
      </c>
      <c r="CB31" s="32">
        <v>84.1</v>
      </c>
      <c r="CC31" s="32">
        <v>114.5</v>
      </c>
      <c r="CD31" s="32">
        <v>41.3</v>
      </c>
      <c r="CE31" s="32">
        <v>96.2</v>
      </c>
      <c r="CF31" s="32">
        <v>61</v>
      </c>
      <c r="CG31" s="32">
        <v>82.6</v>
      </c>
      <c r="CH31" s="32">
        <v>80.900000000000006</v>
      </c>
      <c r="CI31" s="32">
        <v>104</v>
      </c>
      <c r="CJ31" s="32">
        <v>63.8</v>
      </c>
      <c r="CK31" s="32">
        <v>90.6</v>
      </c>
      <c r="CL31" s="32">
        <v>86.9</v>
      </c>
      <c r="CM31" s="32">
        <v>110.4</v>
      </c>
      <c r="CN31" s="32">
        <v>80.7</v>
      </c>
      <c r="CO31" s="32">
        <v>112.4</v>
      </c>
      <c r="CP31" s="32">
        <v>101.1</v>
      </c>
      <c r="CQ31" s="32">
        <v>41.1</v>
      </c>
      <c r="CR31" s="32">
        <v>98.2</v>
      </c>
      <c r="CS31" s="32">
        <v>112.8</v>
      </c>
      <c r="CT31" s="32">
        <v>83.5</v>
      </c>
      <c r="CU31" s="32">
        <v>61.7</v>
      </c>
      <c r="CV31" s="32">
        <v>93.1</v>
      </c>
      <c r="CW31" s="32">
        <v>11.3</v>
      </c>
      <c r="CX31" s="32">
        <v>57.7</v>
      </c>
      <c r="CY31" s="32">
        <v>66.5</v>
      </c>
      <c r="CZ31" s="32">
        <v>53.6</v>
      </c>
      <c r="DA31" s="32">
        <v>43.3</v>
      </c>
      <c r="DB31" s="32">
        <v>75.5</v>
      </c>
      <c r="DC31" s="32">
        <v>0.8</v>
      </c>
      <c r="DD31" s="32">
        <v>0.8</v>
      </c>
      <c r="DE31" s="32">
        <v>33.700000000000003</v>
      </c>
      <c r="DF31" s="32">
        <v>29.1</v>
      </c>
      <c r="DG31" s="32">
        <v>63.3</v>
      </c>
      <c r="DH31" s="32">
        <v>66.7</v>
      </c>
      <c r="DI31" s="32">
        <v>94.4</v>
      </c>
      <c r="DJ31" s="32">
        <v>91</v>
      </c>
      <c r="DK31" s="32">
        <v>91</v>
      </c>
      <c r="DL31" s="32">
        <v>26.3</v>
      </c>
      <c r="DM31" s="32">
        <v>65.3</v>
      </c>
      <c r="DN31" s="32">
        <v>45.2</v>
      </c>
      <c r="DO31" s="32">
        <v>75.2</v>
      </c>
      <c r="DP31" s="32">
        <v>26</v>
      </c>
      <c r="DQ31" s="32">
        <v>52.6</v>
      </c>
      <c r="DR31" s="32">
        <v>52.4</v>
      </c>
      <c r="DS31" s="32">
        <v>49.8</v>
      </c>
      <c r="DT31" s="32">
        <v>45.2</v>
      </c>
      <c r="DU31" s="32">
        <v>49</v>
      </c>
      <c r="DV31" s="32">
        <v>56.3</v>
      </c>
      <c r="DW31" s="32">
        <v>41.6</v>
      </c>
      <c r="DX31" s="32">
        <v>37.200000000000003</v>
      </c>
      <c r="DY31" s="32">
        <v>66.099999999999994</v>
      </c>
      <c r="DZ31" s="32">
        <v>96.8</v>
      </c>
      <c r="EA31" s="32">
        <v>96.8</v>
      </c>
      <c r="EB31" s="32">
        <v>47.2</v>
      </c>
      <c r="EC31" s="32">
        <v>43.8</v>
      </c>
      <c r="ED31" s="32">
        <v>52.3</v>
      </c>
      <c r="EE31" s="32">
        <v>59.3</v>
      </c>
      <c r="EF31" s="32">
        <v>37</v>
      </c>
      <c r="EG31" s="32">
        <v>52.7</v>
      </c>
      <c r="EH31" s="32">
        <v>66.3</v>
      </c>
      <c r="EI31" s="32">
        <v>47.2</v>
      </c>
      <c r="EJ31" s="32">
        <v>149.69999999999999</v>
      </c>
      <c r="EK31" s="32">
        <v>41.6</v>
      </c>
      <c r="EL31" s="32">
        <v>61.2</v>
      </c>
      <c r="EM31" s="32">
        <v>34.5</v>
      </c>
      <c r="EN31" s="32">
        <v>43.4</v>
      </c>
      <c r="EO31" s="32">
        <v>81</v>
      </c>
      <c r="EP31" s="32">
        <v>84.3</v>
      </c>
      <c r="EQ31" s="32">
        <v>84.3</v>
      </c>
      <c r="ER31" s="32">
        <v>88.8</v>
      </c>
      <c r="ES31" s="32">
        <v>88.8</v>
      </c>
      <c r="ET31" s="32">
        <v>73.8</v>
      </c>
      <c r="EU31" s="32">
        <v>79.3</v>
      </c>
      <c r="EV31" s="32">
        <v>79.3</v>
      </c>
      <c r="EW31" s="32">
        <v>71</v>
      </c>
      <c r="EX31" s="32">
        <v>82.7</v>
      </c>
      <c r="EY31" s="32">
        <v>61.7</v>
      </c>
      <c r="EZ31" s="32">
        <v>87.9</v>
      </c>
      <c r="FA31" s="32">
        <v>83.6</v>
      </c>
      <c r="FB31" s="32">
        <v>101.2</v>
      </c>
      <c r="FC31" s="32">
        <v>75.7</v>
      </c>
      <c r="FD31" s="32">
        <v>88.2</v>
      </c>
      <c r="FE31" s="32">
        <v>161.30000000000001</v>
      </c>
      <c r="FF31" s="32">
        <v>64</v>
      </c>
      <c r="FG31" s="32">
        <v>88.9</v>
      </c>
      <c r="FH31" s="32">
        <v>86</v>
      </c>
      <c r="FI31" s="32">
        <v>96.3</v>
      </c>
      <c r="FJ31" s="32">
        <v>89.1</v>
      </c>
      <c r="FK31" s="32">
        <v>134.6</v>
      </c>
      <c r="FL31" s="32">
        <v>134.6</v>
      </c>
    </row>
    <row r="32" spans="1:168" x14ac:dyDescent="0.2">
      <c r="A32" s="33" t="s">
        <v>1012</v>
      </c>
      <c r="B32" s="32">
        <v>66.599999999999994</v>
      </c>
      <c r="C32" s="32">
        <v>71.900000000000006</v>
      </c>
      <c r="D32" s="32">
        <v>93.7</v>
      </c>
      <c r="E32" s="32">
        <v>93.9</v>
      </c>
      <c r="F32" s="32">
        <v>455.7</v>
      </c>
      <c r="G32" s="32">
        <v>10348.1</v>
      </c>
      <c r="H32" s="32">
        <v>622.79999999999995</v>
      </c>
      <c r="I32" s="32">
        <v>65.099999999999994</v>
      </c>
      <c r="J32" s="32">
        <v>73.5</v>
      </c>
      <c r="K32" s="32">
        <v>89.2</v>
      </c>
      <c r="L32" s="32">
        <v>90.3</v>
      </c>
      <c r="M32" s="32">
        <v>92</v>
      </c>
      <c r="N32" s="32">
        <v>61.2</v>
      </c>
      <c r="O32" s="32">
        <v>291.5</v>
      </c>
      <c r="P32" s="32">
        <v>603.79999999999995</v>
      </c>
      <c r="Q32" s="32">
        <v>176</v>
      </c>
      <c r="R32" s="32">
        <v>66.900000000000006</v>
      </c>
      <c r="S32" s="32">
        <v>99.7</v>
      </c>
      <c r="T32" s="32">
        <v>143.80000000000001</v>
      </c>
      <c r="U32" s="32">
        <v>44</v>
      </c>
      <c r="V32" s="32">
        <v>105.6</v>
      </c>
      <c r="W32" s="32">
        <v>48.5</v>
      </c>
      <c r="X32" s="32">
        <v>32.1</v>
      </c>
      <c r="Y32" s="32">
        <v>65.400000000000006</v>
      </c>
      <c r="Z32" s="32">
        <v>150.6</v>
      </c>
      <c r="AA32" s="32">
        <v>77.2</v>
      </c>
      <c r="AB32" s="32">
        <v>82.2</v>
      </c>
      <c r="AC32" s="32">
        <v>65</v>
      </c>
      <c r="AD32" s="32">
        <v>91.4</v>
      </c>
      <c r="AE32" s="32">
        <v>156.5</v>
      </c>
      <c r="AF32" s="32">
        <v>156.5</v>
      </c>
      <c r="AG32" s="32">
        <v>68.900000000000006</v>
      </c>
      <c r="AH32" s="32">
        <v>68.900000000000006</v>
      </c>
      <c r="AI32" s="32">
        <v>173.6</v>
      </c>
      <c r="AJ32" s="32">
        <v>97.7</v>
      </c>
      <c r="AK32" s="32">
        <v>991.9</v>
      </c>
      <c r="AL32" s="32">
        <v>108.3</v>
      </c>
      <c r="AM32" s="32">
        <v>17.899999999999999</v>
      </c>
      <c r="AN32" s="32">
        <v>151.69999999999999</v>
      </c>
      <c r="AO32" s="32">
        <v>70.900000000000006</v>
      </c>
      <c r="AP32" s="32">
        <v>70.900000000000006</v>
      </c>
      <c r="AQ32" s="32">
        <v>104.3</v>
      </c>
      <c r="AR32" s="32">
        <v>106.2</v>
      </c>
      <c r="AS32" s="32">
        <v>103.1</v>
      </c>
      <c r="AT32" s="32">
        <v>102</v>
      </c>
      <c r="AU32" s="32">
        <v>101.3</v>
      </c>
      <c r="AV32" s="32">
        <v>110.6</v>
      </c>
      <c r="AW32" s="32">
        <v>215.3</v>
      </c>
      <c r="AX32" s="32">
        <v>352.7</v>
      </c>
      <c r="AY32" s="32">
        <v>272.7</v>
      </c>
      <c r="AZ32" s="32">
        <v>92.9</v>
      </c>
      <c r="BA32" s="32">
        <v>20.100000000000001</v>
      </c>
      <c r="BB32" s="32">
        <v>20.100000000000001</v>
      </c>
      <c r="BC32" s="32">
        <v>106.6</v>
      </c>
      <c r="BD32" s="32">
        <v>106.6</v>
      </c>
      <c r="BE32" s="32">
        <v>86.4</v>
      </c>
      <c r="BF32" s="32">
        <v>86.4</v>
      </c>
      <c r="BG32" s="32">
        <v>63.9</v>
      </c>
      <c r="BH32" s="32">
        <v>50.7</v>
      </c>
      <c r="BI32" s="32">
        <v>76.7</v>
      </c>
      <c r="BJ32" s="32">
        <v>40.299999999999997</v>
      </c>
      <c r="BK32" s="32">
        <v>102.7</v>
      </c>
      <c r="BL32" s="32">
        <v>20.7</v>
      </c>
      <c r="BM32" s="32">
        <v>86.8</v>
      </c>
      <c r="BN32" s="32">
        <v>82.8</v>
      </c>
      <c r="BO32" s="32">
        <v>87.4</v>
      </c>
      <c r="BP32" s="32">
        <v>78.3</v>
      </c>
      <c r="BQ32" s="32">
        <v>94.9</v>
      </c>
      <c r="BR32" s="32">
        <v>133.6</v>
      </c>
      <c r="BS32" s="32">
        <v>199.2</v>
      </c>
      <c r="BT32" s="32">
        <v>67.8</v>
      </c>
      <c r="BU32" s="32">
        <v>141.6</v>
      </c>
      <c r="BV32" s="32">
        <v>141.6</v>
      </c>
      <c r="BW32" s="32">
        <v>186.6</v>
      </c>
      <c r="BX32" s="32">
        <v>102.2</v>
      </c>
      <c r="BY32" s="32">
        <v>99.5</v>
      </c>
      <c r="BZ32" s="32">
        <v>116.4</v>
      </c>
      <c r="CA32" s="32">
        <v>91.6</v>
      </c>
      <c r="CB32" s="32">
        <v>81</v>
      </c>
      <c r="CC32" s="32">
        <v>116.2</v>
      </c>
      <c r="CD32" s="32">
        <v>40.799999999999997</v>
      </c>
      <c r="CE32" s="32">
        <v>96.4</v>
      </c>
      <c r="CF32" s="32">
        <v>60.9</v>
      </c>
      <c r="CG32" s="32">
        <v>83.2</v>
      </c>
      <c r="CH32" s="32">
        <v>81.099999999999994</v>
      </c>
      <c r="CI32" s="32">
        <v>100.4</v>
      </c>
      <c r="CJ32" s="32">
        <v>65.3</v>
      </c>
      <c r="CK32" s="32">
        <v>90.3</v>
      </c>
      <c r="CL32" s="32">
        <v>88.9</v>
      </c>
      <c r="CM32" s="32">
        <v>109.1</v>
      </c>
      <c r="CN32" s="32">
        <v>80.7</v>
      </c>
      <c r="CO32" s="32">
        <v>111</v>
      </c>
      <c r="CP32" s="32">
        <v>104.7</v>
      </c>
      <c r="CQ32" s="32">
        <v>48</v>
      </c>
      <c r="CR32" s="32">
        <v>94.2</v>
      </c>
      <c r="CS32" s="32">
        <v>126.9</v>
      </c>
      <c r="CT32" s="32">
        <v>83.6</v>
      </c>
      <c r="CU32" s="32">
        <v>60.3</v>
      </c>
      <c r="CV32" s="32">
        <v>93.8</v>
      </c>
      <c r="CW32" s="32">
        <v>11.2</v>
      </c>
      <c r="CX32" s="32">
        <v>56.5</v>
      </c>
      <c r="CY32" s="32">
        <v>65.599999999999994</v>
      </c>
      <c r="CZ32" s="32">
        <v>52.1</v>
      </c>
      <c r="DA32" s="32">
        <v>41.7</v>
      </c>
      <c r="DB32" s="32">
        <v>74.5</v>
      </c>
      <c r="DC32" s="32">
        <v>0.8</v>
      </c>
      <c r="DD32" s="32">
        <v>0.8</v>
      </c>
      <c r="DE32" s="32">
        <v>31.5</v>
      </c>
      <c r="DF32" s="32">
        <v>27.2</v>
      </c>
      <c r="DG32" s="32">
        <v>59.3</v>
      </c>
      <c r="DH32" s="32">
        <v>68.400000000000006</v>
      </c>
      <c r="DI32" s="32">
        <v>98.1</v>
      </c>
      <c r="DJ32" s="32">
        <v>92.2</v>
      </c>
      <c r="DK32" s="32">
        <v>92.2</v>
      </c>
      <c r="DL32" s="32">
        <v>26.2</v>
      </c>
      <c r="DM32" s="32">
        <v>64.8</v>
      </c>
      <c r="DN32" s="32">
        <v>44.6</v>
      </c>
      <c r="DO32" s="32">
        <v>74.900000000000006</v>
      </c>
      <c r="DP32" s="32">
        <v>24.8</v>
      </c>
      <c r="DQ32" s="32">
        <v>50.8</v>
      </c>
      <c r="DR32" s="32">
        <v>51.1</v>
      </c>
      <c r="DS32" s="32">
        <v>48.6</v>
      </c>
      <c r="DT32" s="32">
        <v>45.4</v>
      </c>
      <c r="DU32" s="32">
        <v>49.3</v>
      </c>
      <c r="DV32" s="32">
        <v>54.9</v>
      </c>
      <c r="DW32" s="32">
        <v>43.4</v>
      </c>
      <c r="DX32" s="32">
        <v>37.299999999999997</v>
      </c>
      <c r="DY32" s="32">
        <v>60.2</v>
      </c>
      <c r="DZ32" s="32">
        <v>95.5</v>
      </c>
      <c r="EA32" s="32">
        <v>95.5</v>
      </c>
      <c r="EB32" s="32">
        <v>45.6</v>
      </c>
      <c r="EC32" s="32">
        <v>43.2</v>
      </c>
      <c r="ED32" s="32">
        <v>49.2</v>
      </c>
      <c r="EE32" s="32">
        <v>54.7</v>
      </c>
      <c r="EF32" s="32">
        <v>37.1</v>
      </c>
      <c r="EG32" s="32">
        <v>50</v>
      </c>
      <c r="EH32" s="32">
        <v>65.599999999999994</v>
      </c>
      <c r="EI32" s="32">
        <v>42.6</v>
      </c>
      <c r="EJ32" s="32">
        <v>151.5</v>
      </c>
      <c r="EK32" s="32">
        <v>39.1</v>
      </c>
      <c r="EL32" s="32">
        <v>59.9</v>
      </c>
      <c r="EM32" s="32">
        <v>33.299999999999997</v>
      </c>
      <c r="EN32" s="32">
        <v>39.799999999999997</v>
      </c>
      <c r="EO32" s="32">
        <v>81</v>
      </c>
      <c r="EP32" s="32">
        <v>84.3</v>
      </c>
      <c r="EQ32" s="32">
        <v>84.3</v>
      </c>
      <c r="ER32" s="32">
        <v>89.2</v>
      </c>
      <c r="ES32" s="32">
        <v>89.2</v>
      </c>
      <c r="ET32" s="32">
        <v>73.400000000000006</v>
      </c>
      <c r="EU32" s="32">
        <v>78.8</v>
      </c>
      <c r="EV32" s="32">
        <v>78.8</v>
      </c>
      <c r="EW32" s="32">
        <v>70.900000000000006</v>
      </c>
      <c r="EX32" s="32">
        <v>82.3</v>
      </c>
      <c r="EY32" s="32">
        <v>61.8</v>
      </c>
      <c r="EZ32" s="32">
        <v>88.1</v>
      </c>
      <c r="FA32" s="32">
        <v>85</v>
      </c>
      <c r="FB32" s="32">
        <v>103.8</v>
      </c>
      <c r="FC32" s="32">
        <v>80</v>
      </c>
      <c r="FD32" s="32">
        <v>88</v>
      </c>
      <c r="FE32" s="32">
        <v>161.30000000000001</v>
      </c>
      <c r="FF32" s="32">
        <v>64</v>
      </c>
      <c r="FG32" s="32">
        <v>87.9</v>
      </c>
      <c r="FH32" s="32">
        <v>85.5</v>
      </c>
      <c r="FI32" s="32">
        <v>103.4</v>
      </c>
      <c r="FJ32" s="32">
        <v>86.9</v>
      </c>
      <c r="FK32" s="32">
        <v>138.6</v>
      </c>
      <c r="FL32" s="32">
        <v>138.6</v>
      </c>
    </row>
    <row r="33" spans="1:168" x14ac:dyDescent="0.2">
      <c r="A33" s="33" t="s">
        <v>1013</v>
      </c>
      <c r="B33" s="32">
        <v>66.400000000000006</v>
      </c>
      <c r="C33" s="32">
        <v>72.099999999999994</v>
      </c>
      <c r="D33" s="32">
        <v>93.8</v>
      </c>
      <c r="E33" s="32">
        <v>94</v>
      </c>
      <c r="F33" s="32">
        <v>457.9</v>
      </c>
      <c r="G33" s="32">
        <v>10486.7</v>
      </c>
      <c r="H33" s="32">
        <v>628.29999999999995</v>
      </c>
      <c r="I33" s="32">
        <v>64.099999999999994</v>
      </c>
      <c r="J33" s="32">
        <v>73.3</v>
      </c>
      <c r="K33" s="32">
        <v>90.5</v>
      </c>
      <c r="L33" s="32">
        <v>91.5</v>
      </c>
      <c r="M33" s="32">
        <v>93.7</v>
      </c>
      <c r="N33" s="32">
        <v>62.3</v>
      </c>
      <c r="O33" s="32">
        <v>300.3</v>
      </c>
      <c r="P33" s="32">
        <v>615.4</v>
      </c>
      <c r="Q33" s="32">
        <v>177.4</v>
      </c>
      <c r="R33" s="32">
        <v>66.900000000000006</v>
      </c>
      <c r="S33" s="32">
        <v>100.9</v>
      </c>
      <c r="T33" s="32">
        <v>147.9</v>
      </c>
      <c r="U33" s="32">
        <v>44.9</v>
      </c>
      <c r="V33" s="32">
        <v>107.6</v>
      </c>
      <c r="W33" s="32">
        <v>48.1</v>
      </c>
      <c r="X33" s="32">
        <v>32.9</v>
      </c>
      <c r="Y33" s="32">
        <v>62.9</v>
      </c>
      <c r="Z33" s="32">
        <v>146.4</v>
      </c>
      <c r="AA33" s="32">
        <v>76.8</v>
      </c>
      <c r="AB33" s="32">
        <v>84.9</v>
      </c>
      <c r="AC33" s="32">
        <v>65.599999999999994</v>
      </c>
      <c r="AD33" s="32">
        <v>88.8</v>
      </c>
      <c r="AE33" s="32">
        <v>148.19999999999999</v>
      </c>
      <c r="AF33" s="32">
        <v>148.19999999999999</v>
      </c>
      <c r="AG33" s="32">
        <v>64.599999999999994</v>
      </c>
      <c r="AH33" s="32">
        <v>64.599999999999994</v>
      </c>
      <c r="AI33" s="32">
        <v>161</v>
      </c>
      <c r="AJ33" s="32">
        <v>85.8</v>
      </c>
      <c r="AK33" s="32">
        <v>958.2</v>
      </c>
      <c r="AL33" s="32">
        <v>105</v>
      </c>
      <c r="AM33" s="32">
        <v>18.100000000000001</v>
      </c>
      <c r="AN33" s="32">
        <v>151.5</v>
      </c>
      <c r="AO33" s="32">
        <v>74.400000000000006</v>
      </c>
      <c r="AP33" s="32">
        <v>74.400000000000006</v>
      </c>
      <c r="AQ33" s="32">
        <v>102.2</v>
      </c>
      <c r="AR33" s="32">
        <v>104.8</v>
      </c>
      <c r="AS33" s="32">
        <v>99.8</v>
      </c>
      <c r="AT33" s="32">
        <v>97</v>
      </c>
      <c r="AU33" s="32">
        <v>100.6</v>
      </c>
      <c r="AV33" s="32">
        <v>112.9</v>
      </c>
      <c r="AW33" s="32">
        <v>214.5</v>
      </c>
      <c r="AX33" s="32">
        <v>347.3</v>
      </c>
      <c r="AY33" s="32">
        <v>273.89999999999998</v>
      </c>
      <c r="AZ33" s="32">
        <v>96</v>
      </c>
      <c r="BA33" s="32">
        <v>19.5</v>
      </c>
      <c r="BB33" s="32">
        <v>19.5</v>
      </c>
      <c r="BC33" s="32">
        <v>107.9</v>
      </c>
      <c r="BD33" s="32">
        <v>107.9</v>
      </c>
      <c r="BE33" s="32">
        <v>88.4</v>
      </c>
      <c r="BF33" s="32">
        <v>88.4</v>
      </c>
      <c r="BG33" s="32">
        <v>64.400000000000006</v>
      </c>
      <c r="BH33" s="32">
        <v>50.8</v>
      </c>
      <c r="BI33" s="32">
        <v>77.7</v>
      </c>
      <c r="BJ33" s="32">
        <v>41.7</v>
      </c>
      <c r="BK33" s="32">
        <v>103.1</v>
      </c>
      <c r="BL33" s="32">
        <v>22.1</v>
      </c>
      <c r="BM33" s="32">
        <v>85.1</v>
      </c>
      <c r="BN33" s="32">
        <v>83.1</v>
      </c>
      <c r="BO33" s="32">
        <v>86.4</v>
      </c>
      <c r="BP33" s="32">
        <v>79.599999999999994</v>
      </c>
      <c r="BQ33" s="32">
        <v>90.5</v>
      </c>
      <c r="BR33" s="32">
        <v>89.7</v>
      </c>
      <c r="BS33" s="32">
        <v>204.5</v>
      </c>
      <c r="BT33" s="32">
        <v>66.400000000000006</v>
      </c>
      <c r="BU33" s="32">
        <v>142</v>
      </c>
      <c r="BV33" s="32">
        <v>142</v>
      </c>
      <c r="BW33" s="32">
        <v>185.7</v>
      </c>
      <c r="BX33" s="32">
        <v>104</v>
      </c>
      <c r="BY33" s="32">
        <v>102.2</v>
      </c>
      <c r="BZ33" s="32">
        <v>119</v>
      </c>
      <c r="CA33" s="32">
        <v>94.4</v>
      </c>
      <c r="CB33" s="32">
        <v>85.7</v>
      </c>
      <c r="CC33" s="32">
        <v>116.2</v>
      </c>
      <c r="CD33" s="32">
        <v>41.3</v>
      </c>
      <c r="CE33" s="32">
        <v>96.7</v>
      </c>
      <c r="CF33" s="32">
        <v>60.5</v>
      </c>
      <c r="CG33" s="32">
        <v>81.3</v>
      </c>
      <c r="CH33" s="32">
        <v>79</v>
      </c>
      <c r="CI33" s="32">
        <v>103</v>
      </c>
      <c r="CJ33" s="32">
        <v>60.4</v>
      </c>
      <c r="CK33" s="32">
        <v>90.4</v>
      </c>
      <c r="CL33" s="32">
        <v>86.3</v>
      </c>
      <c r="CM33" s="32">
        <v>108.9</v>
      </c>
      <c r="CN33" s="32">
        <v>77.099999999999994</v>
      </c>
      <c r="CO33" s="32">
        <v>111.4</v>
      </c>
      <c r="CP33" s="32">
        <v>109.1</v>
      </c>
      <c r="CQ33" s="32">
        <v>43.2</v>
      </c>
      <c r="CR33" s="32">
        <v>95.7</v>
      </c>
      <c r="CS33" s="32">
        <v>110.9</v>
      </c>
      <c r="CT33" s="32">
        <v>83.8</v>
      </c>
      <c r="CU33" s="32">
        <v>62.3</v>
      </c>
      <c r="CV33" s="32">
        <v>93.3</v>
      </c>
      <c r="CW33" s="32">
        <v>11.3</v>
      </c>
      <c r="CX33" s="32">
        <v>56.4</v>
      </c>
      <c r="CY33" s="32">
        <v>65.8</v>
      </c>
      <c r="CZ33" s="32">
        <v>51.6</v>
      </c>
      <c r="DA33" s="32">
        <v>41.2</v>
      </c>
      <c r="DB33" s="32">
        <v>74.099999999999994</v>
      </c>
      <c r="DC33" s="32">
        <v>0.9</v>
      </c>
      <c r="DD33" s="32">
        <v>0.9</v>
      </c>
      <c r="DE33" s="32">
        <v>31.6</v>
      </c>
      <c r="DF33" s="32">
        <v>27.4</v>
      </c>
      <c r="DG33" s="32">
        <v>58.1</v>
      </c>
      <c r="DH33" s="32">
        <v>68.5</v>
      </c>
      <c r="DI33" s="32">
        <v>97.9</v>
      </c>
      <c r="DJ33" s="32">
        <v>93.2</v>
      </c>
      <c r="DK33" s="32">
        <v>93.2</v>
      </c>
      <c r="DL33" s="32">
        <v>25.8</v>
      </c>
      <c r="DM33" s="32">
        <v>64.400000000000006</v>
      </c>
      <c r="DN33" s="32">
        <v>44.2</v>
      </c>
      <c r="DO33" s="32">
        <v>74.5</v>
      </c>
      <c r="DP33" s="32">
        <v>23.8</v>
      </c>
      <c r="DQ33" s="32">
        <v>51.1</v>
      </c>
      <c r="DR33" s="32">
        <v>50.3</v>
      </c>
      <c r="DS33" s="32">
        <v>47.3</v>
      </c>
      <c r="DT33" s="32">
        <v>43.5</v>
      </c>
      <c r="DU33" s="32">
        <v>46.4</v>
      </c>
      <c r="DV33" s="32">
        <v>51.6</v>
      </c>
      <c r="DW33" s="32">
        <v>40.9</v>
      </c>
      <c r="DX33" s="32">
        <v>37.4</v>
      </c>
      <c r="DY33" s="32">
        <v>60.7</v>
      </c>
      <c r="DZ33" s="32">
        <v>96.3</v>
      </c>
      <c r="EA33" s="32">
        <v>96.3</v>
      </c>
      <c r="EB33" s="32">
        <v>46.1</v>
      </c>
      <c r="EC33" s="32">
        <v>44</v>
      </c>
      <c r="ED33" s="32">
        <v>49.2</v>
      </c>
      <c r="EE33" s="32">
        <v>54.9</v>
      </c>
      <c r="EF33" s="32">
        <v>37</v>
      </c>
      <c r="EG33" s="32">
        <v>52</v>
      </c>
      <c r="EH33" s="32">
        <v>66.7</v>
      </c>
      <c r="EI33" s="32">
        <v>47.2</v>
      </c>
      <c r="EJ33" s="32">
        <v>167.9</v>
      </c>
      <c r="EK33" s="32">
        <v>38.6</v>
      </c>
      <c r="EL33" s="32">
        <v>60.2</v>
      </c>
      <c r="EM33" s="32">
        <v>32.799999999999997</v>
      </c>
      <c r="EN33" s="32">
        <v>39.200000000000003</v>
      </c>
      <c r="EO33" s="32">
        <v>80.900000000000006</v>
      </c>
      <c r="EP33" s="32">
        <v>84.1</v>
      </c>
      <c r="EQ33" s="32">
        <v>84.1</v>
      </c>
      <c r="ER33" s="32">
        <v>89.6</v>
      </c>
      <c r="ES33" s="32">
        <v>89.6</v>
      </c>
      <c r="ET33" s="32">
        <v>73.099999999999994</v>
      </c>
      <c r="EU33" s="32">
        <v>78.400000000000006</v>
      </c>
      <c r="EV33" s="32">
        <v>78.400000000000006</v>
      </c>
      <c r="EW33" s="32">
        <v>70.8</v>
      </c>
      <c r="EX33" s="32">
        <v>81.900000000000006</v>
      </c>
      <c r="EY33" s="32">
        <v>61.9</v>
      </c>
      <c r="EZ33" s="32">
        <v>88.7</v>
      </c>
      <c r="FA33" s="32">
        <v>84.2</v>
      </c>
      <c r="FB33" s="32">
        <v>102.9</v>
      </c>
      <c r="FC33" s="32">
        <v>78.8</v>
      </c>
      <c r="FD33" s="32">
        <v>87.1</v>
      </c>
      <c r="FE33" s="32">
        <v>161.5</v>
      </c>
      <c r="FF33" s="32">
        <v>63.2</v>
      </c>
      <c r="FG33" s="32">
        <v>89</v>
      </c>
      <c r="FH33" s="32">
        <v>87.4</v>
      </c>
      <c r="FI33" s="32">
        <v>97.1</v>
      </c>
      <c r="FJ33" s="32">
        <v>88.5</v>
      </c>
      <c r="FK33" s="32">
        <v>149.30000000000001</v>
      </c>
      <c r="FL33" s="32">
        <v>149.30000000000001</v>
      </c>
    </row>
    <row r="34" spans="1:168" x14ac:dyDescent="0.2">
      <c r="A34" s="33" t="s">
        <v>1014</v>
      </c>
      <c r="B34" s="32">
        <v>67</v>
      </c>
      <c r="C34" s="32">
        <v>72.2</v>
      </c>
      <c r="D34" s="32">
        <v>94.6</v>
      </c>
      <c r="E34" s="32">
        <v>94.9</v>
      </c>
      <c r="F34" s="32">
        <v>453.4</v>
      </c>
      <c r="G34" s="32">
        <v>10987.8</v>
      </c>
      <c r="H34" s="32">
        <v>619</v>
      </c>
      <c r="I34" s="32">
        <v>64.099999999999994</v>
      </c>
      <c r="J34" s="32">
        <v>74.2</v>
      </c>
      <c r="K34" s="32">
        <v>89.9</v>
      </c>
      <c r="L34" s="32">
        <v>91.1</v>
      </c>
      <c r="M34" s="32">
        <v>95.3</v>
      </c>
      <c r="N34" s="32">
        <v>64.5</v>
      </c>
      <c r="O34" s="32">
        <v>321.3</v>
      </c>
      <c r="P34" s="32">
        <v>616.4</v>
      </c>
      <c r="Q34" s="32">
        <v>174.1</v>
      </c>
      <c r="R34" s="32">
        <v>66.900000000000006</v>
      </c>
      <c r="S34" s="32">
        <v>98.9</v>
      </c>
      <c r="T34" s="32">
        <v>140.5</v>
      </c>
      <c r="U34" s="32">
        <v>41.9</v>
      </c>
      <c r="V34" s="32">
        <v>107</v>
      </c>
      <c r="W34" s="32">
        <v>50.8</v>
      </c>
      <c r="X34" s="32">
        <v>36.1</v>
      </c>
      <c r="Y34" s="32">
        <v>65</v>
      </c>
      <c r="Z34" s="32">
        <v>143.9</v>
      </c>
      <c r="AA34" s="32">
        <v>78.7</v>
      </c>
      <c r="AB34" s="32">
        <v>91.4</v>
      </c>
      <c r="AC34" s="32">
        <v>65.8</v>
      </c>
      <c r="AD34" s="32">
        <v>90.3</v>
      </c>
      <c r="AE34" s="32">
        <v>145.5</v>
      </c>
      <c r="AF34" s="32">
        <v>145.5</v>
      </c>
      <c r="AG34" s="32">
        <v>64.8</v>
      </c>
      <c r="AH34" s="32">
        <v>64.8</v>
      </c>
      <c r="AI34" s="32">
        <v>164</v>
      </c>
      <c r="AJ34" s="32">
        <v>82.8</v>
      </c>
      <c r="AK34" s="32">
        <v>954.9</v>
      </c>
      <c r="AL34" s="32">
        <v>107.4</v>
      </c>
      <c r="AM34" s="32">
        <v>18.5</v>
      </c>
      <c r="AN34" s="32">
        <v>159.80000000000001</v>
      </c>
      <c r="AO34" s="32">
        <v>72.8</v>
      </c>
      <c r="AP34" s="32">
        <v>72.8</v>
      </c>
      <c r="AQ34" s="32">
        <v>105.8</v>
      </c>
      <c r="AR34" s="32">
        <v>110.1</v>
      </c>
      <c r="AS34" s="32">
        <v>100.9</v>
      </c>
      <c r="AT34" s="32">
        <v>99.8</v>
      </c>
      <c r="AU34" s="32">
        <v>99.1</v>
      </c>
      <c r="AV34" s="32">
        <v>112.7</v>
      </c>
      <c r="AW34" s="32">
        <v>220</v>
      </c>
      <c r="AX34" s="32">
        <v>355.4</v>
      </c>
      <c r="AY34" s="32">
        <v>280.60000000000002</v>
      </c>
      <c r="AZ34" s="32">
        <v>94.5</v>
      </c>
      <c r="BA34" s="32">
        <v>20</v>
      </c>
      <c r="BB34" s="32">
        <v>20</v>
      </c>
      <c r="BC34" s="32">
        <v>106.8</v>
      </c>
      <c r="BD34" s="32">
        <v>106.8</v>
      </c>
      <c r="BE34" s="32">
        <v>88.3</v>
      </c>
      <c r="BF34" s="32">
        <v>88.3</v>
      </c>
      <c r="BG34" s="32">
        <v>66.900000000000006</v>
      </c>
      <c r="BH34" s="32">
        <v>54.2</v>
      </c>
      <c r="BI34" s="32">
        <v>78.8</v>
      </c>
      <c r="BJ34" s="32">
        <v>43</v>
      </c>
      <c r="BK34" s="32">
        <v>103.8</v>
      </c>
      <c r="BL34" s="32">
        <v>22.9</v>
      </c>
      <c r="BM34" s="32">
        <v>86.1</v>
      </c>
      <c r="BN34" s="32">
        <v>86.1</v>
      </c>
      <c r="BO34" s="32">
        <v>90</v>
      </c>
      <c r="BP34" s="32">
        <v>82.1</v>
      </c>
      <c r="BQ34" s="32">
        <v>88.7</v>
      </c>
      <c r="BR34" s="32">
        <v>80.599999999999994</v>
      </c>
      <c r="BS34" s="32">
        <v>201</v>
      </c>
      <c r="BT34" s="32">
        <v>65.599999999999994</v>
      </c>
      <c r="BU34" s="32">
        <v>143.80000000000001</v>
      </c>
      <c r="BV34" s="32">
        <v>143.80000000000001</v>
      </c>
      <c r="BW34" s="32">
        <v>187.1</v>
      </c>
      <c r="BX34" s="32">
        <v>106.2</v>
      </c>
      <c r="BY34" s="32">
        <v>102.5</v>
      </c>
      <c r="BZ34" s="32">
        <v>114.5</v>
      </c>
      <c r="CA34" s="32">
        <v>97</v>
      </c>
      <c r="CB34" s="32">
        <v>87.4</v>
      </c>
      <c r="CC34" s="32">
        <v>120.6</v>
      </c>
      <c r="CD34" s="32">
        <v>43.2</v>
      </c>
      <c r="CE34" s="32">
        <v>97.1</v>
      </c>
      <c r="CF34" s="32">
        <v>61.1</v>
      </c>
      <c r="CG34" s="32">
        <v>82.2</v>
      </c>
      <c r="CH34" s="32">
        <v>78.7</v>
      </c>
      <c r="CI34" s="32">
        <v>102.6</v>
      </c>
      <c r="CJ34" s="32">
        <v>58.9</v>
      </c>
      <c r="CK34" s="32">
        <v>91.4</v>
      </c>
      <c r="CL34" s="32">
        <v>90.8</v>
      </c>
      <c r="CM34" s="32">
        <v>109.9</v>
      </c>
      <c r="CN34" s="32">
        <v>77.099999999999994</v>
      </c>
      <c r="CO34" s="32">
        <v>112.7</v>
      </c>
      <c r="CP34" s="32">
        <v>113.5</v>
      </c>
      <c r="CQ34" s="32">
        <v>42.5</v>
      </c>
      <c r="CR34" s="32">
        <v>97.1</v>
      </c>
      <c r="CS34" s="32">
        <v>139.19999999999999</v>
      </c>
      <c r="CT34" s="32">
        <v>84.6</v>
      </c>
      <c r="CU34" s="32">
        <v>63.7</v>
      </c>
      <c r="CV34" s="32">
        <v>93.8</v>
      </c>
      <c r="CW34" s="32">
        <v>11.4</v>
      </c>
      <c r="CX34" s="32">
        <v>57.2</v>
      </c>
      <c r="CY34" s="32">
        <v>65.8</v>
      </c>
      <c r="CZ34" s="32">
        <v>53.3</v>
      </c>
      <c r="DA34" s="32">
        <v>43.1</v>
      </c>
      <c r="DB34" s="32">
        <v>75</v>
      </c>
      <c r="DC34" s="32">
        <v>0.9</v>
      </c>
      <c r="DD34" s="32">
        <v>0.9</v>
      </c>
      <c r="DE34" s="32">
        <v>30.5</v>
      </c>
      <c r="DF34" s="32">
        <v>26.1</v>
      </c>
      <c r="DG34" s="32">
        <v>59.3</v>
      </c>
      <c r="DH34" s="32">
        <v>69</v>
      </c>
      <c r="DI34" s="32">
        <v>98.2</v>
      </c>
      <c r="DJ34" s="32">
        <v>93.5</v>
      </c>
      <c r="DK34" s="32">
        <v>93.5</v>
      </c>
      <c r="DL34" s="32">
        <v>26.9</v>
      </c>
      <c r="DM34" s="32">
        <v>64.400000000000006</v>
      </c>
      <c r="DN34" s="32">
        <v>44.1</v>
      </c>
      <c r="DO34" s="32">
        <v>74.599999999999994</v>
      </c>
      <c r="DP34" s="32">
        <v>23.1</v>
      </c>
      <c r="DQ34" s="32">
        <v>52.8</v>
      </c>
      <c r="DR34" s="32">
        <v>53.1</v>
      </c>
      <c r="DS34" s="32">
        <v>50.7</v>
      </c>
      <c r="DT34" s="32">
        <v>45.8</v>
      </c>
      <c r="DU34" s="32">
        <v>49.9</v>
      </c>
      <c r="DV34" s="32">
        <v>56.1</v>
      </c>
      <c r="DW34" s="32">
        <v>43.3</v>
      </c>
      <c r="DX34" s="32">
        <v>37.299999999999997</v>
      </c>
      <c r="DY34" s="32">
        <v>67.900000000000006</v>
      </c>
      <c r="DZ34" s="32">
        <v>99.4</v>
      </c>
      <c r="EA34" s="32">
        <v>99.4</v>
      </c>
      <c r="EB34" s="32">
        <v>46.6</v>
      </c>
      <c r="EC34" s="32">
        <v>44</v>
      </c>
      <c r="ED34" s="32">
        <v>50.6</v>
      </c>
      <c r="EE34" s="32">
        <v>56.8</v>
      </c>
      <c r="EF34" s="32">
        <v>37.200000000000003</v>
      </c>
      <c r="EG34" s="32">
        <v>52.1</v>
      </c>
      <c r="EH34" s="32">
        <v>67.3</v>
      </c>
      <c r="EI34" s="32">
        <v>47.2</v>
      </c>
      <c r="EJ34" s="32">
        <v>152.5</v>
      </c>
      <c r="EK34" s="32">
        <v>39.6</v>
      </c>
      <c r="EL34" s="32">
        <v>61.5</v>
      </c>
      <c r="EM34" s="32">
        <v>32.799999999999997</v>
      </c>
      <c r="EN34" s="32">
        <v>40.9</v>
      </c>
      <c r="EO34" s="32">
        <v>80.900000000000006</v>
      </c>
      <c r="EP34" s="32">
        <v>84.1</v>
      </c>
      <c r="EQ34" s="32">
        <v>84.1</v>
      </c>
      <c r="ER34" s="32">
        <v>89.7</v>
      </c>
      <c r="ES34" s="32">
        <v>89.7</v>
      </c>
      <c r="ET34" s="32">
        <v>72.900000000000006</v>
      </c>
      <c r="EU34" s="32">
        <v>78.099999999999994</v>
      </c>
      <c r="EV34" s="32">
        <v>78.099999999999994</v>
      </c>
      <c r="EW34" s="32">
        <v>70.7</v>
      </c>
      <c r="EX34" s="32">
        <v>81.8</v>
      </c>
      <c r="EY34" s="32">
        <v>61.9</v>
      </c>
      <c r="EZ34" s="32">
        <v>90.2</v>
      </c>
      <c r="FA34" s="32">
        <v>85</v>
      </c>
      <c r="FB34" s="32">
        <v>104.3</v>
      </c>
      <c r="FC34" s="32">
        <v>81</v>
      </c>
      <c r="FD34" s="32">
        <v>87.3</v>
      </c>
      <c r="FE34" s="32">
        <v>161.19999999999999</v>
      </c>
      <c r="FF34" s="32">
        <v>63.3</v>
      </c>
      <c r="FG34" s="32">
        <v>90.8</v>
      </c>
      <c r="FH34" s="32">
        <v>90.4</v>
      </c>
      <c r="FI34" s="32">
        <v>99.7</v>
      </c>
      <c r="FJ34" s="32">
        <v>89.6</v>
      </c>
      <c r="FK34" s="32">
        <v>153.80000000000001</v>
      </c>
      <c r="FL34" s="32">
        <v>153.80000000000001</v>
      </c>
    </row>
    <row r="35" spans="1:168" x14ac:dyDescent="0.2">
      <c r="A35" s="33" t="s">
        <v>1015</v>
      </c>
      <c r="B35" s="32">
        <v>67.099999999999994</v>
      </c>
      <c r="C35" s="32">
        <v>72.599999999999994</v>
      </c>
      <c r="D35" s="32">
        <v>94.6</v>
      </c>
      <c r="E35" s="32">
        <v>94.7</v>
      </c>
      <c r="F35" s="32">
        <v>444</v>
      </c>
      <c r="G35" s="32">
        <v>11017.8</v>
      </c>
      <c r="H35" s="32">
        <v>604.6</v>
      </c>
      <c r="I35" s="32">
        <v>63.2</v>
      </c>
      <c r="J35" s="32">
        <v>73.8</v>
      </c>
      <c r="K35" s="32">
        <v>89</v>
      </c>
      <c r="L35" s="32">
        <v>90.1</v>
      </c>
      <c r="M35" s="32">
        <v>90.5</v>
      </c>
      <c r="N35" s="32">
        <v>64.599999999999994</v>
      </c>
      <c r="O35" s="32">
        <v>298.89999999999998</v>
      </c>
      <c r="P35" s="32">
        <v>611.20000000000005</v>
      </c>
      <c r="Q35" s="32">
        <v>165.4</v>
      </c>
      <c r="R35" s="32">
        <v>66.900000000000006</v>
      </c>
      <c r="S35" s="32">
        <v>98.6</v>
      </c>
      <c r="T35" s="32">
        <v>140.69999999999999</v>
      </c>
      <c r="U35" s="32">
        <v>43.6</v>
      </c>
      <c r="V35" s="32">
        <v>105.7</v>
      </c>
      <c r="W35" s="32">
        <v>48.1</v>
      </c>
      <c r="X35" s="32">
        <v>32.799999999999997</v>
      </c>
      <c r="Y35" s="32">
        <v>63.3</v>
      </c>
      <c r="Z35" s="32">
        <v>143.6</v>
      </c>
      <c r="AA35" s="32">
        <v>78.8</v>
      </c>
      <c r="AB35" s="32">
        <v>91.5</v>
      </c>
      <c r="AC35" s="32">
        <v>67.2</v>
      </c>
      <c r="AD35" s="32">
        <v>89.1</v>
      </c>
      <c r="AE35" s="32">
        <v>145.19999999999999</v>
      </c>
      <c r="AF35" s="32">
        <v>145.19999999999999</v>
      </c>
      <c r="AG35" s="32">
        <v>68</v>
      </c>
      <c r="AH35" s="32">
        <v>68</v>
      </c>
      <c r="AI35" s="32">
        <v>175.2</v>
      </c>
      <c r="AJ35" s="32">
        <v>91.2</v>
      </c>
      <c r="AK35" s="32">
        <v>942</v>
      </c>
      <c r="AL35" s="32">
        <v>108.8</v>
      </c>
      <c r="AM35" s="32">
        <v>19.100000000000001</v>
      </c>
      <c r="AN35" s="32">
        <v>158.5</v>
      </c>
      <c r="AO35" s="32">
        <v>74.099999999999994</v>
      </c>
      <c r="AP35" s="32">
        <v>74.099999999999994</v>
      </c>
      <c r="AQ35" s="32">
        <v>105.7</v>
      </c>
      <c r="AR35" s="32">
        <v>108.7</v>
      </c>
      <c r="AS35" s="32">
        <v>102.7</v>
      </c>
      <c r="AT35" s="32">
        <v>98.2</v>
      </c>
      <c r="AU35" s="32">
        <v>106.2</v>
      </c>
      <c r="AV35" s="32">
        <v>114.5</v>
      </c>
      <c r="AW35" s="32">
        <v>231.9</v>
      </c>
      <c r="AX35" s="32">
        <v>400.4</v>
      </c>
      <c r="AY35" s="32">
        <v>276.89999999999998</v>
      </c>
      <c r="AZ35" s="32">
        <v>94.2</v>
      </c>
      <c r="BA35" s="32">
        <v>20</v>
      </c>
      <c r="BB35" s="32">
        <v>20</v>
      </c>
      <c r="BC35" s="32">
        <v>103.1</v>
      </c>
      <c r="BD35" s="32">
        <v>103.1</v>
      </c>
      <c r="BE35" s="32">
        <v>85.3</v>
      </c>
      <c r="BF35" s="32">
        <v>85.3</v>
      </c>
      <c r="BG35" s="32">
        <v>64.5</v>
      </c>
      <c r="BH35" s="32">
        <v>49.9</v>
      </c>
      <c r="BI35" s="32">
        <v>79.400000000000006</v>
      </c>
      <c r="BJ35" s="32">
        <v>43.6</v>
      </c>
      <c r="BK35" s="32">
        <v>104.3</v>
      </c>
      <c r="BL35" s="32">
        <v>23.4</v>
      </c>
      <c r="BM35" s="32">
        <v>87.2</v>
      </c>
      <c r="BN35" s="32">
        <v>87</v>
      </c>
      <c r="BO35" s="32">
        <v>88.1</v>
      </c>
      <c r="BP35" s="32">
        <v>85.2</v>
      </c>
      <c r="BQ35" s="32">
        <v>90.3</v>
      </c>
      <c r="BR35" s="32">
        <v>93.1</v>
      </c>
      <c r="BS35" s="32">
        <v>201.5</v>
      </c>
      <c r="BT35" s="32">
        <v>66.2</v>
      </c>
      <c r="BU35" s="32">
        <v>148.1</v>
      </c>
      <c r="BV35" s="32">
        <v>148.1</v>
      </c>
      <c r="BW35" s="32">
        <v>189.5</v>
      </c>
      <c r="BX35" s="32">
        <v>112.6</v>
      </c>
      <c r="BY35" s="32">
        <v>102</v>
      </c>
      <c r="BZ35" s="32">
        <v>114.8</v>
      </c>
      <c r="CA35" s="32">
        <v>96.2</v>
      </c>
      <c r="CB35" s="32">
        <v>87.3</v>
      </c>
      <c r="CC35" s="32">
        <v>118.7</v>
      </c>
      <c r="CD35" s="32">
        <v>41.7</v>
      </c>
      <c r="CE35" s="32">
        <v>97.9</v>
      </c>
      <c r="CF35" s="32">
        <v>61.2</v>
      </c>
      <c r="CG35" s="32">
        <v>82.7</v>
      </c>
      <c r="CH35" s="32">
        <v>80</v>
      </c>
      <c r="CI35" s="32">
        <v>99.3</v>
      </c>
      <c r="CJ35" s="32">
        <v>61.8</v>
      </c>
      <c r="CK35" s="32">
        <v>91.9</v>
      </c>
      <c r="CL35" s="32">
        <v>89.3</v>
      </c>
      <c r="CM35" s="32">
        <v>106.9</v>
      </c>
      <c r="CN35" s="32">
        <v>77.3</v>
      </c>
      <c r="CO35" s="32">
        <v>109.1</v>
      </c>
      <c r="CP35" s="32">
        <v>116.3</v>
      </c>
      <c r="CQ35" s="32">
        <v>41.4</v>
      </c>
      <c r="CR35" s="32">
        <v>97.9</v>
      </c>
      <c r="CS35" s="32">
        <v>134.5</v>
      </c>
      <c r="CT35" s="32">
        <v>84.4</v>
      </c>
      <c r="CU35" s="32">
        <v>65.099999999999994</v>
      </c>
      <c r="CV35" s="32">
        <v>93</v>
      </c>
      <c r="CW35" s="32">
        <v>11.7</v>
      </c>
      <c r="CX35" s="32">
        <v>59.3</v>
      </c>
      <c r="CY35" s="32">
        <v>67</v>
      </c>
      <c r="CZ35" s="32">
        <v>56.3</v>
      </c>
      <c r="DA35" s="32">
        <v>46.1</v>
      </c>
      <c r="DB35" s="32">
        <v>77.099999999999994</v>
      </c>
      <c r="DC35" s="32">
        <v>0.9</v>
      </c>
      <c r="DD35" s="32">
        <v>0.9</v>
      </c>
      <c r="DE35" s="32">
        <v>30.9</v>
      </c>
      <c r="DF35" s="32">
        <v>26.8</v>
      </c>
      <c r="DG35" s="32">
        <v>57.1</v>
      </c>
      <c r="DH35" s="32">
        <v>68.5</v>
      </c>
      <c r="DI35" s="32">
        <v>98</v>
      </c>
      <c r="DJ35" s="32">
        <v>92.7</v>
      </c>
      <c r="DK35" s="32">
        <v>92.7</v>
      </c>
      <c r="DL35" s="32">
        <v>26.1</v>
      </c>
      <c r="DM35" s="32">
        <v>65</v>
      </c>
      <c r="DN35" s="32">
        <v>44</v>
      </c>
      <c r="DO35" s="32">
        <v>75.400000000000006</v>
      </c>
      <c r="DP35" s="32">
        <v>22.7</v>
      </c>
      <c r="DQ35" s="32">
        <v>51.8</v>
      </c>
      <c r="DR35" s="32">
        <v>51.9</v>
      </c>
      <c r="DS35" s="32">
        <v>49.1</v>
      </c>
      <c r="DT35" s="32">
        <v>45.6</v>
      </c>
      <c r="DU35" s="32">
        <v>49.9</v>
      </c>
      <c r="DV35" s="32">
        <v>57</v>
      </c>
      <c r="DW35" s="32">
        <v>42.5</v>
      </c>
      <c r="DX35" s="32">
        <v>36.700000000000003</v>
      </c>
      <c r="DY35" s="32">
        <v>61.7</v>
      </c>
      <c r="DZ35" s="32">
        <v>97.4</v>
      </c>
      <c r="EA35" s="32">
        <v>97.4</v>
      </c>
      <c r="EB35" s="32">
        <v>47</v>
      </c>
      <c r="EC35" s="32">
        <v>45.7</v>
      </c>
      <c r="ED35" s="32">
        <v>48.9</v>
      </c>
      <c r="EE35" s="32">
        <v>54.2</v>
      </c>
      <c r="EF35" s="32">
        <v>37.5</v>
      </c>
      <c r="EG35" s="32">
        <v>51.4</v>
      </c>
      <c r="EH35" s="32">
        <v>70.3</v>
      </c>
      <c r="EI35" s="32">
        <v>44.8</v>
      </c>
      <c r="EJ35" s="32">
        <v>145.19999999999999</v>
      </c>
      <c r="EK35" s="32">
        <v>39</v>
      </c>
      <c r="EL35" s="32">
        <v>62</v>
      </c>
      <c r="EM35" s="32">
        <v>32.799999999999997</v>
      </c>
      <c r="EN35" s="32">
        <v>39.6</v>
      </c>
      <c r="EO35" s="32">
        <v>81</v>
      </c>
      <c r="EP35" s="32">
        <v>84.1</v>
      </c>
      <c r="EQ35" s="32">
        <v>84.1</v>
      </c>
      <c r="ER35" s="32">
        <v>90.2</v>
      </c>
      <c r="ES35" s="32">
        <v>90.2</v>
      </c>
      <c r="ET35" s="32">
        <v>73</v>
      </c>
      <c r="EU35" s="32">
        <v>78.2</v>
      </c>
      <c r="EV35" s="32">
        <v>78.2</v>
      </c>
      <c r="EW35" s="32">
        <v>70.8</v>
      </c>
      <c r="EX35" s="32">
        <v>81.900000000000006</v>
      </c>
      <c r="EY35" s="32">
        <v>62</v>
      </c>
      <c r="EZ35" s="32">
        <v>90.3</v>
      </c>
      <c r="FA35" s="32">
        <v>84.9</v>
      </c>
      <c r="FB35" s="32">
        <v>104</v>
      </c>
      <c r="FC35" s="32">
        <v>80.8</v>
      </c>
      <c r="FD35" s="32">
        <v>87.5</v>
      </c>
      <c r="FE35" s="32">
        <v>160.4</v>
      </c>
      <c r="FF35" s="32">
        <v>63.4</v>
      </c>
      <c r="FG35" s="32">
        <v>91.1</v>
      </c>
      <c r="FH35" s="32">
        <v>91.5</v>
      </c>
      <c r="FI35" s="32">
        <v>120.1</v>
      </c>
      <c r="FJ35" s="32">
        <v>87.1</v>
      </c>
      <c r="FK35" s="32">
        <v>153.9</v>
      </c>
      <c r="FL35" s="32">
        <v>153.9</v>
      </c>
    </row>
    <row r="36" spans="1:168" x14ac:dyDescent="0.2">
      <c r="A36" s="34" t="s">
        <v>1016</v>
      </c>
      <c r="B36" s="32">
        <v>67.599999999999994</v>
      </c>
      <c r="C36" s="32">
        <v>73.2</v>
      </c>
      <c r="D36" s="32">
        <v>95.4</v>
      </c>
      <c r="E36" s="32">
        <v>95.6</v>
      </c>
      <c r="F36" s="32">
        <v>460.4</v>
      </c>
      <c r="G36" s="32">
        <v>10939.7</v>
      </c>
      <c r="H36" s="32">
        <v>631.9</v>
      </c>
      <c r="I36" s="32">
        <v>64</v>
      </c>
      <c r="J36" s="32">
        <v>74.5</v>
      </c>
      <c r="K36" s="32">
        <v>90.6</v>
      </c>
      <c r="L36" s="32">
        <v>90.6</v>
      </c>
      <c r="M36" s="32">
        <v>90</v>
      </c>
      <c r="N36" s="32">
        <v>68.400000000000006</v>
      </c>
      <c r="O36" s="32">
        <v>321.39999999999998</v>
      </c>
      <c r="P36" s="32">
        <v>626.6</v>
      </c>
      <c r="Q36" s="32">
        <v>166.3</v>
      </c>
      <c r="R36" s="32">
        <v>66.8</v>
      </c>
      <c r="S36" s="32">
        <v>98.6</v>
      </c>
      <c r="T36" s="32">
        <v>133</v>
      </c>
      <c r="U36" s="32">
        <v>46.2</v>
      </c>
      <c r="V36" s="32">
        <v>111.7</v>
      </c>
      <c r="W36" s="32">
        <v>49.2</v>
      </c>
      <c r="X36" s="32">
        <v>33.6</v>
      </c>
      <c r="Y36" s="32">
        <v>64.900000000000006</v>
      </c>
      <c r="Z36" s="32">
        <v>146.19999999999999</v>
      </c>
      <c r="AA36" s="32">
        <v>78.099999999999994</v>
      </c>
      <c r="AB36" s="32">
        <v>87.6</v>
      </c>
      <c r="AC36" s="32">
        <v>66.599999999999994</v>
      </c>
      <c r="AD36" s="32">
        <v>89.5</v>
      </c>
      <c r="AE36" s="32">
        <v>135.5</v>
      </c>
      <c r="AF36" s="32">
        <v>135.5</v>
      </c>
      <c r="AG36" s="32">
        <v>66.400000000000006</v>
      </c>
      <c r="AH36" s="32">
        <v>66.400000000000006</v>
      </c>
      <c r="AI36" s="32">
        <v>179</v>
      </c>
      <c r="AJ36" s="32">
        <v>87</v>
      </c>
      <c r="AK36" s="32">
        <v>882.2</v>
      </c>
      <c r="AL36" s="32">
        <v>108.4</v>
      </c>
      <c r="AM36" s="32">
        <v>19.2</v>
      </c>
      <c r="AN36" s="32">
        <v>156.6</v>
      </c>
      <c r="AO36" s="32">
        <v>75.7</v>
      </c>
      <c r="AP36" s="32">
        <v>75.7</v>
      </c>
      <c r="AQ36" s="32">
        <v>106.9</v>
      </c>
      <c r="AR36" s="32">
        <v>110.2</v>
      </c>
      <c r="AS36" s="32">
        <v>103.5</v>
      </c>
      <c r="AT36" s="32">
        <v>98.3</v>
      </c>
      <c r="AU36" s="32">
        <v>108.1</v>
      </c>
      <c r="AV36" s="32">
        <v>116</v>
      </c>
      <c r="AW36" s="32">
        <v>224</v>
      </c>
      <c r="AX36" s="32">
        <v>370.1</v>
      </c>
      <c r="AY36" s="32">
        <v>278.39999999999998</v>
      </c>
      <c r="AZ36" s="32">
        <v>97.9</v>
      </c>
      <c r="BA36" s="32">
        <v>19.8</v>
      </c>
      <c r="BB36" s="32">
        <v>19.8</v>
      </c>
      <c r="BC36" s="32">
        <v>107.8</v>
      </c>
      <c r="BD36" s="32">
        <v>107.8</v>
      </c>
      <c r="BE36" s="32">
        <v>88.5</v>
      </c>
      <c r="BF36" s="32">
        <v>88.5</v>
      </c>
      <c r="BG36" s="32">
        <v>64.5</v>
      </c>
      <c r="BH36" s="32">
        <v>50.1</v>
      </c>
      <c r="BI36" s="32">
        <v>79</v>
      </c>
      <c r="BJ36" s="32">
        <v>43.3</v>
      </c>
      <c r="BK36" s="32">
        <v>103.6</v>
      </c>
      <c r="BL36" s="32">
        <v>23.9</v>
      </c>
      <c r="BM36" s="32">
        <v>88.5</v>
      </c>
      <c r="BN36" s="32">
        <v>87.9</v>
      </c>
      <c r="BO36" s="32">
        <v>89.3</v>
      </c>
      <c r="BP36" s="32">
        <v>86</v>
      </c>
      <c r="BQ36" s="32">
        <v>92</v>
      </c>
      <c r="BR36" s="32">
        <v>106.6</v>
      </c>
      <c r="BS36" s="32">
        <v>205.5</v>
      </c>
      <c r="BT36" s="32">
        <v>66.3</v>
      </c>
      <c r="BU36" s="32">
        <v>146.80000000000001</v>
      </c>
      <c r="BV36" s="32">
        <v>146.80000000000001</v>
      </c>
      <c r="BW36" s="32">
        <v>186.9</v>
      </c>
      <c r="BX36" s="32">
        <v>112.4</v>
      </c>
      <c r="BY36" s="32">
        <v>102.8</v>
      </c>
      <c r="BZ36" s="32">
        <v>116.5</v>
      </c>
      <c r="CA36" s="32">
        <v>96.5</v>
      </c>
      <c r="CB36" s="32">
        <v>87.8</v>
      </c>
      <c r="CC36" s="32">
        <v>118.7</v>
      </c>
      <c r="CD36" s="32">
        <v>41.4</v>
      </c>
      <c r="CE36" s="32">
        <v>98.5</v>
      </c>
      <c r="CF36" s="32">
        <v>61.7</v>
      </c>
      <c r="CG36" s="32">
        <v>82.8</v>
      </c>
      <c r="CH36" s="32">
        <v>79.7</v>
      </c>
      <c r="CI36" s="32">
        <v>101</v>
      </c>
      <c r="CJ36" s="32">
        <v>61.1</v>
      </c>
      <c r="CK36" s="32">
        <v>91.6</v>
      </c>
      <c r="CL36" s="32">
        <v>90.1</v>
      </c>
      <c r="CM36" s="32">
        <v>110.1</v>
      </c>
      <c r="CN36" s="32">
        <v>81.2</v>
      </c>
      <c r="CO36" s="32">
        <v>112.1</v>
      </c>
      <c r="CP36" s="32">
        <v>118.3</v>
      </c>
      <c r="CQ36" s="32">
        <v>42.3</v>
      </c>
      <c r="CR36" s="32">
        <v>99.8</v>
      </c>
      <c r="CS36" s="32">
        <v>127.2</v>
      </c>
      <c r="CT36" s="32">
        <v>85.3</v>
      </c>
      <c r="CU36" s="32">
        <v>65.400000000000006</v>
      </c>
      <c r="CV36" s="32">
        <v>94.1</v>
      </c>
      <c r="CW36" s="32">
        <v>12.1</v>
      </c>
      <c r="CX36" s="32">
        <v>61.9</v>
      </c>
      <c r="CY36" s="32">
        <v>68</v>
      </c>
      <c r="CZ36" s="32">
        <v>60.6</v>
      </c>
      <c r="DA36" s="32">
        <v>50.3</v>
      </c>
      <c r="DB36" s="32">
        <v>80.8</v>
      </c>
      <c r="DC36" s="32">
        <v>1</v>
      </c>
      <c r="DD36" s="32">
        <v>1</v>
      </c>
      <c r="DE36" s="32">
        <v>32.299999999999997</v>
      </c>
      <c r="DF36" s="32">
        <v>27.7</v>
      </c>
      <c r="DG36" s="32">
        <v>61.8</v>
      </c>
      <c r="DH36" s="32">
        <v>68.7</v>
      </c>
      <c r="DI36" s="32">
        <v>97.4</v>
      </c>
      <c r="DJ36" s="32">
        <v>93.2</v>
      </c>
      <c r="DK36" s="32">
        <v>93.2</v>
      </c>
      <c r="DL36" s="32">
        <v>26.9</v>
      </c>
      <c r="DM36" s="32">
        <v>65.7</v>
      </c>
      <c r="DN36" s="32">
        <v>44</v>
      </c>
      <c r="DO36" s="32">
        <v>76.5</v>
      </c>
      <c r="DP36" s="32">
        <v>22.8</v>
      </c>
      <c r="DQ36" s="32">
        <v>52.6</v>
      </c>
      <c r="DR36" s="32">
        <v>52.8</v>
      </c>
      <c r="DS36" s="32">
        <v>50.1</v>
      </c>
      <c r="DT36" s="32">
        <v>45.5</v>
      </c>
      <c r="DU36" s="32">
        <v>49.8</v>
      </c>
      <c r="DV36" s="32">
        <v>56.8</v>
      </c>
      <c r="DW36" s="32">
        <v>42.6</v>
      </c>
      <c r="DX36" s="32">
        <v>36.4</v>
      </c>
      <c r="DY36" s="32">
        <v>66.7</v>
      </c>
      <c r="DZ36" s="32">
        <v>97.5</v>
      </c>
      <c r="EA36" s="32">
        <v>97.5</v>
      </c>
      <c r="EB36" s="32">
        <v>47.7</v>
      </c>
      <c r="EC36" s="32">
        <v>46.8</v>
      </c>
      <c r="ED36" s="32">
        <v>49.2</v>
      </c>
      <c r="EE36" s="32">
        <v>54.3</v>
      </c>
      <c r="EF36" s="32">
        <v>38</v>
      </c>
      <c r="EG36" s="32">
        <v>52</v>
      </c>
      <c r="EH36" s="32">
        <v>71.599999999999994</v>
      </c>
      <c r="EI36" s="32">
        <v>47</v>
      </c>
      <c r="EJ36" s="32">
        <v>135.30000000000001</v>
      </c>
      <c r="EK36" s="32">
        <v>38.799999999999997</v>
      </c>
      <c r="EL36" s="32">
        <v>62</v>
      </c>
      <c r="EM36" s="32">
        <v>33.5</v>
      </c>
      <c r="EN36" s="32">
        <v>38.9</v>
      </c>
      <c r="EO36" s="32">
        <v>81.099999999999994</v>
      </c>
      <c r="EP36" s="32">
        <v>83.9</v>
      </c>
      <c r="EQ36" s="32">
        <v>83.9</v>
      </c>
      <c r="ER36" s="32">
        <v>90.6</v>
      </c>
      <c r="ES36" s="32">
        <v>90.6</v>
      </c>
      <c r="ET36" s="32">
        <v>73</v>
      </c>
      <c r="EU36" s="32">
        <v>78.2</v>
      </c>
      <c r="EV36" s="32">
        <v>78.2</v>
      </c>
      <c r="EW36" s="32">
        <v>70.900000000000006</v>
      </c>
      <c r="EX36" s="32">
        <v>82.1</v>
      </c>
      <c r="EY36" s="32">
        <v>61.9</v>
      </c>
      <c r="EZ36" s="32">
        <v>89.1</v>
      </c>
      <c r="FA36" s="32">
        <v>84.3</v>
      </c>
      <c r="FB36" s="32">
        <v>102</v>
      </c>
      <c r="FC36" s="32">
        <v>78</v>
      </c>
      <c r="FD36" s="32">
        <v>88.1</v>
      </c>
      <c r="FE36" s="32">
        <v>158.69999999999999</v>
      </c>
      <c r="FF36" s="32">
        <v>64.5</v>
      </c>
      <c r="FG36" s="32">
        <v>89.8</v>
      </c>
      <c r="FH36" s="32">
        <v>89.6</v>
      </c>
      <c r="FI36" s="32">
        <v>108.5</v>
      </c>
      <c r="FJ36" s="32">
        <v>87.4</v>
      </c>
      <c r="FK36" s="32">
        <v>147.4</v>
      </c>
      <c r="FL36" s="32">
        <v>147.4</v>
      </c>
    </row>
    <row r="37" spans="1:168" x14ac:dyDescent="0.2">
      <c r="A37" s="34" t="s">
        <v>1017</v>
      </c>
      <c r="B37" s="32">
        <v>67.900000000000006</v>
      </c>
      <c r="C37" s="32">
        <v>73.900000000000006</v>
      </c>
      <c r="D37" s="32">
        <v>96</v>
      </c>
      <c r="E37" s="32">
        <v>96.2</v>
      </c>
      <c r="F37" s="32">
        <v>460.9</v>
      </c>
      <c r="G37" s="32">
        <v>11011.6</v>
      </c>
      <c r="H37" s="32">
        <v>633.5</v>
      </c>
      <c r="I37" s="32">
        <v>63.6</v>
      </c>
      <c r="J37" s="32">
        <v>75</v>
      </c>
      <c r="K37" s="32">
        <v>90.1</v>
      </c>
      <c r="L37" s="32">
        <v>90.3</v>
      </c>
      <c r="M37" s="32">
        <v>88.4</v>
      </c>
      <c r="N37" s="32">
        <v>68</v>
      </c>
      <c r="O37" s="32">
        <v>309.5</v>
      </c>
      <c r="P37" s="32">
        <v>586.29999999999995</v>
      </c>
      <c r="Q37" s="32">
        <v>163.80000000000001</v>
      </c>
      <c r="R37" s="32">
        <v>67.7</v>
      </c>
      <c r="S37" s="32">
        <v>99.3</v>
      </c>
      <c r="T37" s="32">
        <v>141</v>
      </c>
      <c r="U37" s="32">
        <v>43.7</v>
      </c>
      <c r="V37" s="32">
        <v>111.8</v>
      </c>
      <c r="W37" s="32">
        <v>48.3</v>
      </c>
      <c r="X37" s="32">
        <v>33.200000000000003</v>
      </c>
      <c r="Y37" s="32">
        <v>62.7</v>
      </c>
      <c r="Z37" s="32">
        <v>152</v>
      </c>
      <c r="AA37" s="32">
        <v>79.2</v>
      </c>
      <c r="AB37" s="32">
        <v>91.2</v>
      </c>
      <c r="AC37" s="32">
        <v>67.3</v>
      </c>
      <c r="AD37" s="32">
        <v>90</v>
      </c>
      <c r="AE37" s="32">
        <v>134.4</v>
      </c>
      <c r="AF37" s="32">
        <v>134.4</v>
      </c>
      <c r="AG37" s="32">
        <v>69.099999999999994</v>
      </c>
      <c r="AH37" s="32">
        <v>69.099999999999994</v>
      </c>
      <c r="AI37" s="32">
        <v>184.2</v>
      </c>
      <c r="AJ37" s="32">
        <v>91.7</v>
      </c>
      <c r="AK37" s="32">
        <v>898.1</v>
      </c>
      <c r="AL37" s="32">
        <v>112.2</v>
      </c>
      <c r="AM37" s="32">
        <v>20.3</v>
      </c>
      <c r="AN37" s="32">
        <v>157.19999999999999</v>
      </c>
      <c r="AO37" s="32">
        <v>76.900000000000006</v>
      </c>
      <c r="AP37" s="32">
        <v>76.900000000000006</v>
      </c>
      <c r="AQ37" s="32">
        <v>107</v>
      </c>
      <c r="AR37" s="32">
        <v>110.7</v>
      </c>
      <c r="AS37" s="32">
        <v>102.9</v>
      </c>
      <c r="AT37" s="32">
        <v>100.1</v>
      </c>
      <c r="AU37" s="32">
        <v>103.8</v>
      </c>
      <c r="AV37" s="32">
        <v>116</v>
      </c>
      <c r="AW37" s="32">
        <v>224.9</v>
      </c>
      <c r="AX37" s="32">
        <v>381.5</v>
      </c>
      <c r="AY37" s="32">
        <v>272</v>
      </c>
      <c r="AZ37" s="32">
        <v>97.7</v>
      </c>
      <c r="BA37" s="32">
        <v>19.7</v>
      </c>
      <c r="BB37" s="32">
        <v>19.7</v>
      </c>
      <c r="BC37" s="32">
        <v>106.3</v>
      </c>
      <c r="BD37" s="32">
        <v>106.3</v>
      </c>
      <c r="BE37" s="32">
        <v>89.4</v>
      </c>
      <c r="BF37" s="32">
        <v>89.4</v>
      </c>
      <c r="BG37" s="32">
        <v>66.3</v>
      </c>
      <c r="BH37" s="32">
        <v>52.3</v>
      </c>
      <c r="BI37" s="32">
        <v>80</v>
      </c>
      <c r="BJ37" s="32">
        <v>42.9</v>
      </c>
      <c r="BK37" s="32">
        <v>105.4</v>
      </c>
      <c r="BL37" s="32">
        <v>24.5</v>
      </c>
      <c r="BM37" s="32">
        <v>89</v>
      </c>
      <c r="BN37" s="32">
        <v>87.9</v>
      </c>
      <c r="BO37" s="32">
        <v>92.1</v>
      </c>
      <c r="BP37" s="32">
        <v>83.8</v>
      </c>
      <c r="BQ37" s="32">
        <v>93.2</v>
      </c>
      <c r="BR37" s="32">
        <v>100.5</v>
      </c>
      <c r="BS37" s="32">
        <v>207.2</v>
      </c>
      <c r="BT37" s="32">
        <v>68</v>
      </c>
      <c r="BU37" s="32">
        <v>149.9</v>
      </c>
      <c r="BV37" s="32">
        <v>149.9</v>
      </c>
      <c r="BW37" s="32">
        <v>186.7</v>
      </c>
      <c r="BX37" s="32">
        <v>119.3</v>
      </c>
      <c r="BY37" s="32">
        <v>101.9</v>
      </c>
      <c r="BZ37" s="32">
        <v>114.3</v>
      </c>
      <c r="CA37" s="32">
        <v>96.3</v>
      </c>
      <c r="CB37" s="32">
        <v>88.5</v>
      </c>
      <c r="CC37" s="32">
        <v>117</v>
      </c>
      <c r="CD37" s="32">
        <v>40.5</v>
      </c>
      <c r="CE37" s="32">
        <v>99.1</v>
      </c>
      <c r="CF37" s="32">
        <v>62</v>
      </c>
      <c r="CG37" s="32">
        <v>82.7</v>
      </c>
      <c r="CH37" s="32">
        <v>79.8</v>
      </c>
      <c r="CI37" s="32">
        <v>95.9</v>
      </c>
      <c r="CJ37" s="32">
        <v>61.8</v>
      </c>
      <c r="CK37" s="32">
        <v>92.2</v>
      </c>
      <c r="CL37" s="32">
        <v>89.6</v>
      </c>
      <c r="CM37" s="32">
        <v>111.9</v>
      </c>
      <c r="CN37" s="32">
        <v>81.7</v>
      </c>
      <c r="CO37" s="32">
        <v>114.1</v>
      </c>
      <c r="CP37" s="32">
        <v>119.2</v>
      </c>
      <c r="CQ37" s="32">
        <v>42.2</v>
      </c>
      <c r="CR37" s="32">
        <v>100.8</v>
      </c>
      <c r="CS37" s="32">
        <v>116.9</v>
      </c>
      <c r="CT37" s="32">
        <v>85.5</v>
      </c>
      <c r="CU37" s="32">
        <v>65.8</v>
      </c>
      <c r="CV37" s="32">
        <v>94.2</v>
      </c>
      <c r="CW37" s="32">
        <v>12.3</v>
      </c>
      <c r="CX37" s="32">
        <v>63.7</v>
      </c>
      <c r="CY37" s="32">
        <v>69</v>
      </c>
      <c r="CZ37" s="32">
        <v>63.2</v>
      </c>
      <c r="DA37" s="32">
        <v>52.5</v>
      </c>
      <c r="DB37" s="32">
        <v>84.3</v>
      </c>
      <c r="DC37" s="32">
        <v>1</v>
      </c>
      <c r="DD37" s="32">
        <v>1</v>
      </c>
      <c r="DE37" s="32">
        <v>32.1</v>
      </c>
      <c r="DF37" s="32">
        <v>27.4</v>
      </c>
      <c r="DG37" s="32">
        <v>63.3</v>
      </c>
      <c r="DH37" s="32">
        <v>69.3</v>
      </c>
      <c r="DI37" s="32">
        <v>98.4</v>
      </c>
      <c r="DJ37" s="32">
        <v>93.7</v>
      </c>
      <c r="DK37" s="32">
        <v>93.7</v>
      </c>
      <c r="DL37" s="32">
        <v>27.3</v>
      </c>
      <c r="DM37" s="32">
        <v>66.099999999999994</v>
      </c>
      <c r="DN37" s="32">
        <v>43.9</v>
      </c>
      <c r="DO37" s="32">
        <v>77.099999999999994</v>
      </c>
      <c r="DP37" s="32">
        <v>23</v>
      </c>
      <c r="DQ37" s="32">
        <v>52.9</v>
      </c>
      <c r="DR37" s="32">
        <v>53.1</v>
      </c>
      <c r="DS37" s="32">
        <v>50.1</v>
      </c>
      <c r="DT37" s="32">
        <v>46</v>
      </c>
      <c r="DU37" s="32">
        <v>50.2</v>
      </c>
      <c r="DV37" s="32">
        <v>56.9</v>
      </c>
      <c r="DW37" s="32">
        <v>43.3</v>
      </c>
      <c r="DX37" s="32">
        <v>37.200000000000003</v>
      </c>
      <c r="DY37" s="32">
        <v>64.900000000000006</v>
      </c>
      <c r="DZ37" s="32">
        <v>93.7</v>
      </c>
      <c r="EA37" s="32">
        <v>93.7</v>
      </c>
      <c r="EB37" s="32">
        <v>49.7</v>
      </c>
      <c r="EC37" s="32">
        <v>48.7</v>
      </c>
      <c r="ED37" s="32">
        <v>51.3</v>
      </c>
      <c r="EE37" s="32">
        <v>57.2</v>
      </c>
      <c r="EF37" s="32">
        <v>38.5</v>
      </c>
      <c r="EG37" s="32">
        <v>52.3</v>
      </c>
      <c r="EH37" s="32">
        <v>73.5</v>
      </c>
      <c r="EI37" s="32">
        <v>45.3</v>
      </c>
      <c r="EJ37" s="32">
        <v>130.1</v>
      </c>
      <c r="EK37" s="32">
        <v>40.200000000000003</v>
      </c>
      <c r="EL37" s="32">
        <v>63.1</v>
      </c>
      <c r="EM37" s="32">
        <v>33.799999999999997</v>
      </c>
      <c r="EN37" s="32">
        <v>40.9</v>
      </c>
      <c r="EO37" s="32">
        <v>81.2</v>
      </c>
      <c r="EP37" s="32">
        <v>83.7</v>
      </c>
      <c r="EQ37" s="32">
        <v>83.7</v>
      </c>
      <c r="ER37" s="32">
        <v>90.9</v>
      </c>
      <c r="ES37" s="32">
        <v>90.9</v>
      </c>
      <c r="ET37" s="32">
        <v>73.2</v>
      </c>
      <c r="EU37" s="32">
        <v>78.400000000000006</v>
      </c>
      <c r="EV37" s="32">
        <v>78.400000000000006</v>
      </c>
      <c r="EW37" s="32">
        <v>71.099999999999994</v>
      </c>
      <c r="EX37" s="32">
        <v>82.6</v>
      </c>
      <c r="EY37" s="32">
        <v>61.9</v>
      </c>
      <c r="EZ37" s="32">
        <v>88.3</v>
      </c>
      <c r="FA37" s="32">
        <v>83.7</v>
      </c>
      <c r="FB37" s="32">
        <v>100.7</v>
      </c>
      <c r="FC37" s="32">
        <v>76.3</v>
      </c>
      <c r="FD37" s="32">
        <v>89.2</v>
      </c>
      <c r="FE37" s="32">
        <v>156.9</v>
      </c>
      <c r="FF37" s="32">
        <v>64.599999999999994</v>
      </c>
      <c r="FG37" s="32">
        <v>88.6</v>
      </c>
      <c r="FH37" s="32">
        <v>85.3</v>
      </c>
      <c r="FI37" s="32">
        <v>113.2</v>
      </c>
      <c r="FJ37" s="32">
        <v>86.9</v>
      </c>
      <c r="FK37" s="32">
        <v>149.9</v>
      </c>
      <c r="FL37" s="32">
        <v>149.9</v>
      </c>
    </row>
    <row r="38" spans="1:168" x14ac:dyDescent="0.2">
      <c r="A38" s="34" t="s">
        <v>1018</v>
      </c>
      <c r="B38" s="32">
        <v>68.3</v>
      </c>
      <c r="C38" s="32">
        <v>74.5</v>
      </c>
      <c r="D38" s="32">
        <v>96.5</v>
      </c>
      <c r="E38" s="32">
        <v>96.8</v>
      </c>
      <c r="F38" s="32">
        <v>454.5</v>
      </c>
      <c r="G38" s="32">
        <v>10410.5</v>
      </c>
      <c r="H38" s="32">
        <v>622.20000000000005</v>
      </c>
      <c r="I38" s="32">
        <v>64.599999999999994</v>
      </c>
      <c r="J38" s="32">
        <v>76</v>
      </c>
      <c r="K38" s="32">
        <v>90.5</v>
      </c>
      <c r="L38" s="32">
        <v>90.3</v>
      </c>
      <c r="M38" s="32">
        <v>87.7</v>
      </c>
      <c r="N38" s="32">
        <v>69.3</v>
      </c>
      <c r="O38" s="32">
        <v>324.39999999999998</v>
      </c>
      <c r="P38" s="32">
        <v>601.70000000000005</v>
      </c>
      <c r="Q38" s="32">
        <v>158.1</v>
      </c>
      <c r="R38" s="32">
        <v>66.8</v>
      </c>
      <c r="S38" s="32">
        <v>99.7</v>
      </c>
      <c r="T38" s="32">
        <v>132.6</v>
      </c>
      <c r="U38" s="32">
        <v>45.7</v>
      </c>
      <c r="V38" s="32">
        <v>113.5</v>
      </c>
      <c r="W38" s="32">
        <v>49.4</v>
      </c>
      <c r="X38" s="32">
        <v>33.4</v>
      </c>
      <c r="Y38" s="32">
        <v>64.599999999999994</v>
      </c>
      <c r="Z38" s="32">
        <v>159.4</v>
      </c>
      <c r="AA38" s="32">
        <v>80.400000000000006</v>
      </c>
      <c r="AB38" s="32">
        <v>91</v>
      </c>
      <c r="AC38" s="32">
        <v>67</v>
      </c>
      <c r="AD38" s="32">
        <v>93.4</v>
      </c>
      <c r="AE38" s="32">
        <v>130.9</v>
      </c>
      <c r="AF38" s="32">
        <v>130.9</v>
      </c>
      <c r="AG38" s="32">
        <v>69.2</v>
      </c>
      <c r="AH38" s="32">
        <v>69.2</v>
      </c>
      <c r="AI38" s="32">
        <v>185.2</v>
      </c>
      <c r="AJ38" s="32">
        <v>89.7</v>
      </c>
      <c r="AK38" s="32">
        <v>961.7</v>
      </c>
      <c r="AL38" s="32">
        <v>110.3</v>
      </c>
      <c r="AM38" s="32">
        <v>21.7</v>
      </c>
      <c r="AN38" s="32">
        <v>150.1</v>
      </c>
      <c r="AO38" s="32">
        <v>76.599999999999994</v>
      </c>
      <c r="AP38" s="32">
        <v>76.599999999999994</v>
      </c>
      <c r="AQ38" s="32">
        <v>107.2</v>
      </c>
      <c r="AR38" s="32">
        <v>110.4</v>
      </c>
      <c r="AS38" s="32">
        <v>104</v>
      </c>
      <c r="AT38" s="32">
        <v>103.7</v>
      </c>
      <c r="AU38" s="32">
        <v>100.8</v>
      </c>
      <c r="AV38" s="32">
        <v>121.4</v>
      </c>
      <c r="AW38" s="32">
        <v>232.8</v>
      </c>
      <c r="AX38" s="32">
        <v>408</v>
      </c>
      <c r="AY38" s="32">
        <v>271.89999999999998</v>
      </c>
      <c r="AZ38" s="32">
        <v>102.9</v>
      </c>
      <c r="BA38" s="32">
        <v>20.100000000000001</v>
      </c>
      <c r="BB38" s="32">
        <v>20.100000000000001</v>
      </c>
      <c r="BC38" s="32">
        <v>107.7</v>
      </c>
      <c r="BD38" s="32">
        <v>107.7</v>
      </c>
      <c r="BE38" s="32">
        <v>88.3</v>
      </c>
      <c r="BF38" s="32">
        <v>88.3</v>
      </c>
      <c r="BG38" s="32">
        <v>68.2</v>
      </c>
      <c r="BH38" s="32">
        <v>55.1</v>
      </c>
      <c r="BI38" s="32">
        <v>80.599999999999994</v>
      </c>
      <c r="BJ38" s="32">
        <v>42.1</v>
      </c>
      <c r="BK38" s="32">
        <v>106.9</v>
      </c>
      <c r="BL38" s="32">
        <v>24.6</v>
      </c>
      <c r="BM38" s="32">
        <v>89.7</v>
      </c>
      <c r="BN38" s="32">
        <v>87.9</v>
      </c>
      <c r="BO38" s="32">
        <v>90.6</v>
      </c>
      <c r="BP38" s="32">
        <v>84.8</v>
      </c>
      <c r="BQ38" s="32">
        <v>95</v>
      </c>
      <c r="BR38" s="32">
        <v>111.2</v>
      </c>
      <c r="BS38" s="32">
        <v>198.7</v>
      </c>
      <c r="BT38" s="32">
        <v>70</v>
      </c>
      <c r="BU38" s="32">
        <v>142.4</v>
      </c>
      <c r="BV38" s="32">
        <v>142.4</v>
      </c>
      <c r="BW38" s="32">
        <v>177</v>
      </c>
      <c r="BX38" s="32">
        <v>113.9</v>
      </c>
      <c r="BY38" s="32">
        <v>103</v>
      </c>
      <c r="BZ38" s="32">
        <v>117.8</v>
      </c>
      <c r="CA38" s="32">
        <v>96.2</v>
      </c>
      <c r="CB38" s="32">
        <v>89.7</v>
      </c>
      <c r="CC38" s="32">
        <v>115.1</v>
      </c>
      <c r="CD38" s="32">
        <v>39.6</v>
      </c>
      <c r="CE38" s="32">
        <v>99</v>
      </c>
      <c r="CF38" s="32">
        <v>62.3</v>
      </c>
      <c r="CG38" s="32">
        <v>83.2</v>
      </c>
      <c r="CH38" s="32">
        <v>80.8</v>
      </c>
      <c r="CI38" s="32">
        <v>97.9</v>
      </c>
      <c r="CJ38" s="32">
        <v>63.4</v>
      </c>
      <c r="CK38" s="32">
        <v>92.3</v>
      </c>
      <c r="CL38" s="32">
        <v>88.8</v>
      </c>
      <c r="CM38" s="32">
        <v>110.1</v>
      </c>
      <c r="CN38" s="32">
        <v>82.2</v>
      </c>
      <c r="CO38" s="32">
        <v>111.9</v>
      </c>
      <c r="CP38" s="32">
        <v>120.1</v>
      </c>
      <c r="CQ38" s="32">
        <v>43.4</v>
      </c>
      <c r="CR38" s="32">
        <v>100.8</v>
      </c>
      <c r="CS38" s="32">
        <v>113.5</v>
      </c>
      <c r="CT38" s="32">
        <v>85.2</v>
      </c>
      <c r="CU38" s="32">
        <v>65.599999999999994</v>
      </c>
      <c r="CV38" s="32">
        <v>93.8</v>
      </c>
      <c r="CW38" s="32">
        <v>12.6</v>
      </c>
      <c r="CX38" s="32">
        <v>63.9</v>
      </c>
      <c r="CY38" s="32">
        <v>68.900000000000006</v>
      </c>
      <c r="CZ38" s="32">
        <v>63.7</v>
      </c>
      <c r="DA38" s="32">
        <v>52.4</v>
      </c>
      <c r="DB38" s="32">
        <v>86.7</v>
      </c>
      <c r="DC38" s="32">
        <v>1</v>
      </c>
      <c r="DD38" s="32">
        <v>1</v>
      </c>
      <c r="DE38" s="32">
        <v>33.700000000000003</v>
      </c>
      <c r="DF38" s="32">
        <v>29</v>
      </c>
      <c r="DG38" s="32">
        <v>63.8</v>
      </c>
      <c r="DH38" s="32">
        <v>71.2</v>
      </c>
      <c r="DI38" s="32">
        <v>101.4</v>
      </c>
      <c r="DJ38" s="32">
        <v>95</v>
      </c>
      <c r="DK38" s="32">
        <v>95</v>
      </c>
      <c r="DL38" s="32">
        <v>28.8</v>
      </c>
      <c r="DM38" s="32">
        <v>66.3</v>
      </c>
      <c r="DN38" s="32">
        <v>43.6</v>
      </c>
      <c r="DO38" s="32">
        <v>77.400000000000006</v>
      </c>
      <c r="DP38" s="32">
        <v>23.6</v>
      </c>
      <c r="DQ38" s="32">
        <v>52.9</v>
      </c>
      <c r="DR38" s="32">
        <v>53.5</v>
      </c>
      <c r="DS38" s="32">
        <v>50.9</v>
      </c>
      <c r="DT38" s="32">
        <v>46.4</v>
      </c>
      <c r="DU38" s="32">
        <v>49.6</v>
      </c>
      <c r="DV38" s="32">
        <v>57.4</v>
      </c>
      <c r="DW38" s="32">
        <v>41.6</v>
      </c>
      <c r="DX38" s="32">
        <v>39.799999999999997</v>
      </c>
      <c r="DY38" s="32">
        <v>66.599999999999994</v>
      </c>
      <c r="DZ38" s="32">
        <v>92.7</v>
      </c>
      <c r="EA38" s="32">
        <v>92.7</v>
      </c>
      <c r="EB38" s="32">
        <v>49.6</v>
      </c>
      <c r="EC38" s="32">
        <v>48.4</v>
      </c>
      <c r="ED38" s="32">
        <v>51.5</v>
      </c>
      <c r="EE38" s="32">
        <v>57.4</v>
      </c>
      <c r="EF38" s="32">
        <v>38.799999999999997</v>
      </c>
      <c r="EG38" s="32">
        <v>51.6</v>
      </c>
      <c r="EH38" s="32">
        <v>73.599999999999994</v>
      </c>
      <c r="EI38" s="32">
        <v>43.9</v>
      </c>
      <c r="EJ38" s="32">
        <v>127.3</v>
      </c>
      <c r="EK38" s="32">
        <v>39.799999999999997</v>
      </c>
      <c r="EL38" s="32">
        <v>66</v>
      </c>
      <c r="EM38" s="32">
        <v>33.9</v>
      </c>
      <c r="EN38" s="32">
        <v>39.799999999999997</v>
      </c>
      <c r="EO38" s="32">
        <v>81.2</v>
      </c>
      <c r="EP38" s="32">
        <v>83.4</v>
      </c>
      <c r="EQ38" s="32">
        <v>83.4</v>
      </c>
      <c r="ER38" s="32">
        <v>91.2</v>
      </c>
      <c r="ES38" s="32">
        <v>91.2</v>
      </c>
      <c r="ET38" s="32">
        <v>73.3</v>
      </c>
      <c r="EU38" s="32">
        <v>78.400000000000006</v>
      </c>
      <c r="EV38" s="32">
        <v>78.400000000000006</v>
      </c>
      <c r="EW38" s="32">
        <v>71.2</v>
      </c>
      <c r="EX38" s="32">
        <v>83.1</v>
      </c>
      <c r="EY38" s="32">
        <v>61.8</v>
      </c>
      <c r="EZ38" s="32">
        <v>85.5</v>
      </c>
      <c r="FA38" s="32">
        <v>83.1</v>
      </c>
      <c r="FB38" s="32">
        <v>99.4</v>
      </c>
      <c r="FC38" s="32">
        <v>74.7</v>
      </c>
      <c r="FD38" s="32">
        <v>89.9</v>
      </c>
      <c r="FE38" s="32">
        <v>154.6</v>
      </c>
      <c r="FF38" s="32">
        <v>64.900000000000006</v>
      </c>
      <c r="FG38" s="32">
        <v>83.2</v>
      </c>
      <c r="FH38" s="32">
        <v>76.400000000000006</v>
      </c>
      <c r="FI38" s="32">
        <v>103.6</v>
      </c>
      <c r="FJ38" s="32">
        <v>83.4</v>
      </c>
      <c r="FK38" s="32">
        <v>158.5</v>
      </c>
      <c r="FL38" s="32">
        <v>158.5</v>
      </c>
    </row>
    <row r="39" spans="1:168" x14ac:dyDescent="0.2">
      <c r="A39" s="34" t="s">
        <v>1019</v>
      </c>
      <c r="B39" s="32">
        <v>68.8</v>
      </c>
      <c r="C39" s="32">
        <v>74.8</v>
      </c>
      <c r="D39" s="32">
        <v>96.1</v>
      </c>
      <c r="E39" s="32">
        <v>96.5</v>
      </c>
      <c r="F39" s="32">
        <v>453.9</v>
      </c>
      <c r="G39" s="32">
        <v>9918.7999999999993</v>
      </c>
      <c r="H39" s="32">
        <v>622.79999999999995</v>
      </c>
      <c r="I39" s="32">
        <v>64.8</v>
      </c>
      <c r="J39" s="32">
        <v>75.400000000000006</v>
      </c>
      <c r="K39" s="32">
        <v>90.8</v>
      </c>
      <c r="L39" s="32">
        <v>91.2</v>
      </c>
      <c r="M39" s="32">
        <v>91.4</v>
      </c>
      <c r="N39" s="32">
        <v>69.599999999999994</v>
      </c>
      <c r="O39" s="32">
        <v>329.4</v>
      </c>
      <c r="P39" s="32">
        <v>585.79999999999995</v>
      </c>
      <c r="Q39" s="32">
        <v>167.2</v>
      </c>
      <c r="R39" s="32">
        <v>67</v>
      </c>
      <c r="S39" s="32">
        <v>100.5</v>
      </c>
      <c r="T39" s="32">
        <v>129.30000000000001</v>
      </c>
      <c r="U39" s="32">
        <v>43.5</v>
      </c>
      <c r="V39" s="32">
        <v>112.5</v>
      </c>
      <c r="W39" s="32">
        <v>50.1</v>
      </c>
      <c r="X39" s="32">
        <v>34</v>
      </c>
      <c r="Y39" s="32">
        <v>64.900000000000006</v>
      </c>
      <c r="Z39" s="32">
        <v>166.4</v>
      </c>
      <c r="AA39" s="32">
        <v>77.2</v>
      </c>
      <c r="AB39" s="32">
        <v>82.4</v>
      </c>
      <c r="AC39" s="32">
        <v>65.7</v>
      </c>
      <c r="AD39" s="32">
        <v>90.7</v>
      </c>
      <c r="AE39" s="32">
        <v>131.30000000000001</v>
      </c>
      <c r="AF39" s="32">
        <v>131.30000000000001</v>
      </c>
      <c r="AG39" s="32">
        <v>70.5</v>
      </c>
      <c r="AH39" s="32">
        <v>70.5</v>
      </c>
      <c r="AI39" s="32">
        <v>193.4</v>
      </c>
      <c r="AJ39" s="32">
        <v>94.7</v>
      </c>
      <c r="AK39" s="32">
        <v>962.5</v>
      </c>
      <c r="AL39" s="32">
        <v>113.3</v>
      </c>
      <c r="AM39" s="32">
        <v>20.7</v>
      </c>
      <c r="AN39" s="32">
        <v>147.69999999999999</v>
      </c>
      <c r="AO39" s="32">
        <v>83</v>
      </c>
      <c r="AP39" s="32">
        <v>83</v>
      </c>
      <c r="AQ39" s="32">
        <v>105.6</v>
      </c>
      <c r="AR39" s="32">
        <v>107.6</v>
      </c>
      <c r="AS39" s="32">
        <v>104.2</v>
      </c>
      <c r="AT39" s="32">
        <v>104.6</v>
      </c>
      <c r="AU39" s="32">
        <v>100</v>
      </c>
      <c r="AV39" s="32">
        <v>117.1</v>
      </c>
      <c r="AW39" s="32">
        <v>223.7</v>
      </c>
      <c r="AX39" s="32">
        <v>378.7</v>
      </c>
      <c r="AY39" s="32">
        <v>268.89999999999998</v>
      </c>
      <c r="AZ39" s="32">
        <v>99.2</v>
      </c>
      <c r="BA39" s="32">
        <v>19.8</v>
      </c>
      <c r="BB39" s="32">
        <v>19.8</v>
      </c>
      <c r="BC39" s="32">
        <v>104.4</v>
      </c>
      <c r="BD39" s="32">
        <v>104.4</v>
      </c>
      <c r="BE39" s="32">
        <v>87.6</v>
      </c>
      <c r="BF39" s="32">
        <v>87.6</v>
      </c>
      <c r="BG39" s="32">
        <v>67.8</v>
      </c>
      <c r="BH39" s="32">
        <v>53.6</v>
      </c>
      <c r="BI39" s="32">
        <v>81.8</v>
      </c>
      <c r="BJ39" s="32">
        <v>41.4</v>
      </c>
      <c r="BK39" s="32">
        <v>109</v>
      </c>
      <c r="BL39" s="32">
        <v>25.7</v>
      </c>
      <c r="BM39" s="32">
        <v>86.8</v>
      </c>
      <c r="BN39" s="32">
        <v>85.8</v>
      </c>
      <c r="BO39" s="32">
        <v>89</v>
      </c>
      <c r="BP39" s="32">
        <v>82.4</v>
      </c>
      <c r="BQ39" s="32">
        <v>90.8</v>
      </c>
      <c r="BR39" s="32">
        <v>90.8</v>
      </c>
      <c r="BS39" s="32">
        <v>205.8</v>
      </c>
      <c r="BT39" s="32">
        <v>66.400000000000006</v>
      </c>
      <c r="BU39" s="32">
        <v>148</v>
      </c>
      <c r="BV39" s="32">
        <v>148</v>
      </c>
      <c r="BW39" s="32">
        <v>185.6</v>
      </c>
      <c r="BX39" s="32">
        <v>117.9</v>
      </c>
      <c r="BY39" s="32">
        <v>104.5</v>
      </c>
      <c r="BZ39" s="32">
        <v>111.9</v>
      </c>
      <c r="CA39" s="32">
        <v>101.3</v>
      </c>
      <c r="CB39" s="32">
        <v>95.3</v>
      </c>
      <c r="CC39" s="32">
        <v>119.9</v>
      </c>
      <c r="CD39" s="32">
        <v>41.6</v>
      </c>
      <c r="CE39" s="32">
        <v>98.5</v>
      </c>
      <c r="CF39" s="32">
        <v>62.9</v>
      </c>
      <c r="CG39" s="32">
        <v>84</v>
      </c>
      <c r="CH39" s="32">
        <v>82.1</v>
      </c>
      <c r="CI39" s="32">
        <v>104.6</v>
      </c>
      <c r="CJ39" s="32">
        <v>63.7</v>
      </c>
      <c r="CK39" s="32">
        <v>93.2</v>
      </c>
      <c r="CL39" s="32">
        <v>88.2</v>
      </c>
      <c r="CM39" s="32">
        <v>109.6</v>
      </c>
      <c r="CN39" s="32">
        <v>83</v>
      </c>
      <c r="CO39" s="32">
        <v>111.2</v>
      </c>
      <c r="CP39" s="32">
        <v>121.7</v>
      </c>
      <c r="CQ39" s="32">
        <v>45.3</v>
      </c>
      <c r="CR39" s="32">
        <v>101</v>
      </c>
      <c r="CS39" s="32">
        <v>106.3</v>
      </c>
      <c r="CT39" s="32">
        <v>86.1</v>
      </c>
      <c r="CU39" s="32">
        <v>65.8</v>
      </c>
      <c r="CV39" s="32">
        <v>95.1</v>
      </c>
      <c r="CW39" s="32">
        <v>12.7</v>
      </c>
      <c r="CX39" s="32">
        <v>64.099999999999994</v>
      </c>
      <c r="CY39" s="32">
        <v>69.2</v>
      </c>
      <c r="CZ39" s="32">
        <v>63.9</v>
      </c>
      <c r="DA39" s="32">
        <v>52.2</v>
      </c>
      <c r="DB39" s="32">
        <v>88.1</v>
      </c>
      <c r="DC39" s="32">
        <v>1</v>
      </c>
      <c r="DD39" s="32">
        <v>1</v>
      </c>
      <c r="DE39" s="32">
        <v>32.9</v>
      </c>
      <c r="DF39" s="32">
        <v>28.3</v>
      </c>
      <c r="DG39" s="32">
        <v>62.3</v>
      </c>
      <c r="DH39" s="32">
        <v>73.599999999999994</v>
      </c>
      <c r="DI39" s="32">
        <v>105.7</v>
      </c>
      <c r="DJ39" s="32">
        <v>95.4</v>
      </c>
      <c r="DK39" s="32">
        <v>95.4</v>
      </c>
      <c r="DL39" s="32">
        <v>30.8</v>
      </c>
      <c r="DM39" s="32">
        <v>66</v>
      </c>
      <c r="DN39" s="32">
        <v>43.4</v>
      </c>
      <c r="DO39" s="32">
        <v>77.099999999999994</v>
      </c>
      <c r="DP39" s="32">
        <v>24.1</v>
      </c>
      <c r="DQ39" s="32">
        <v>54.8</v>
      </c>
      <c r="DR39" s="32">
        <v>55.9</v>
      </c>
      <c r="DS39" s="32">
        <v>53.3</v>
      </c>
      <c r="DT39" s="32">
        <v>49.5</v>
      </c>
      <c r="DU39" s="32">
        <v>52.6</v>
      </c>
      <c r="DV39" s="32">
        <v>58.3</v>
      </c>
      <c r="DW39" s="32">
        <v>46.6</v>
      </c>
      <c r="DX39" s="32">
        <v>42.9</v>
      </c>
      <c r="DY39" s="32">
        <v>66.8</v>
      </c>
      <c r="DZ39" s="32">
        <v>93</v>
      </c>
      <c r="EA39" s="32">
        <v>93</v>
      </c>
      <c r="EB39" s="32">
        <v>52.1</v>
      </c>
      <c r="EC39" s="32">
        <v>50.8</v>
      </c>
      <c r="ED39" s="32">
        <v>54.2</v>
      </c>
      <c r="EE39" s="32">
        <v>61.1</v>
      </c>
      <c r="EF39" s="32">
        <v>39.200000000000003</v>
      </c>
      <c r="EG39" s="32">
        <v>53</v>
      </c>
      <c r="EH39" s="32">
        <v>73.900000000000006</v>
      </c>
      <c r="EI39" s="32">
        <v>43.9</v>
      </c>
      <c r="EJ39" s="32">
        <v>136.19999999999999</v>
      </c>
      <c r="EK39" s="32">
        <v>42.1</v>
      </c>
      <c r="EL39" s="32">
        <v>71.400000000000006</v>
      </c>
      <c r="EM39" s="32">
        <v>33.799999999999997</v>
      </c>
      <c r="EN39" s="32">
        <v>43.2</v>
      </c>
      <c r="EO39" s="32">
        <v>81.099999999999994</v>
      </c>
      <c r="EP39" s="32">
        <v>83</v>
      </c>
      <c r="EQ39" s="32">
        <v>83</v>
      </c>
      <c r="ER39" s="32">
        <v>91.4</v>
      </c>
      <c r="ES39" s="32">
        <v>91.4</v>
      </c>
      <c r="ET39" s="32">
        <v>73.2</v>
      </c>
      <c r="EU39" s="32">
        <v>78.400000000000006</v>
      </c>
      <c r="EV39" s="32">
        <v>78.400000000000006</v>
      </c>
      <c r="EW39" s="32">
        <v>71.2</v>
      </c>
      <c r="EX39" s="32">
        <v>83.4</v>
      </c>
      <c r="EY39" s="32">
        <v>61.5</v>
      </c>
      <c r="EZ39" s="32">
        <v>86.5</v>
      </c>
      <c r="FA39" s="32">
        <v>84.3</v>
      </c>
      <c r="FB39" s="32">
        <v>100.6</v>
      </c>
      <c r="FC39" s="32">
        <v>77.7</v>
      </c>
      <c r="FD39" s="32">
        <v>90.5</v>
      </c>
      <c r="FE39" s="32">
        <v>151.19999999999999</v>
      </c>
      <c r="FF39" s="32">
        <v>66</v>
      </c>
      <c r="FG39" s="32">
        <v>83.6</v>
      </c>
      <c r="FH39" s="32">
        <v>69.7</v>
      </c>
      <c r="FI39" s="32">
        <v>102.5</v>
      </c>
      <c r="FJ39" s="32">
        <v>87.2</v>
      </c>
      <c r="FK39" s="32">
        <v>164</v>
      </c>
      <c r="FL39" s="32">
        <v>164</v>
      </c>
    </row>
    <row r="40" spans="1:168" x14ac:dyDescent="0.2">
      <c r="A40" s="34" t="s">
        <v>1020</v>
      </c>
      <c r="B40" s="32">
        <v>69.099999999999994</v>
      </c>
      <c r="C40" s="32">
        <v>75.2</v>
      </c>
      <c r="D40" s="32">
        <v>96.5</v>
      </c>
      <c r="E40" s="32">
        <v>97</v>
      </c>
      <c r="F40" s="32">
        <v>458.2</v>
      </c>
      <c r="G40" s="32">
        <v>8881.5</v>
      </c>
      <c r="H40" s="32">
        <v>632</v>
      </c>
      <c r="I40" s="32">
        <v>64.900000000000006</v>
      </c>
      <c r="J40" s="32">
        <v>76.099999999999994</v>
      </c>
      <c r="K40" s="32">
        <v>91</v>
      </c>
      <c r="L40" s="32">
        <v>91.1</v>
      </c>
      <c r="M40" s="32">
        <v>85.6</v>
      </c>
      <c r="N40" s="32">
        <v>69.8</v>
      </c>
      <c r="O40" s="32">
        <v>320</v>
      </c>
      <c r="P40" s="32">
        <v>586.4</v>
      </c>
      <c r="Q40" s="32">
        <v>161.69999999999999</v>
      </c>
      <c r="R40" s="32">
        <v>66.3</v>
      </c>
      <c r="S40" s="32">
        <v>104.1</v>
      </c>
      <c r="T40" s="32">
        <v>127.7</v>
      </c>
      <c r="U40" s="32">
        <v>44.2</v>
      </c>
      <c r="V40" s="32">
        <v>113.9</v>
      </c>
      <c r="W40" s="32">
        <v>49.3</v>
      </c>
      <c r="X40" s="32">
        <v>33.299999999999997</v>
      </c>
      <c r="Y40" s="32">
        <v>63.1</v>
      </c>
      <c r="Z40" s="32">
        <v>175.4</v>
      </c>
      <c r="AA40" s="32">
        <v>77.3</v>
      </c>
      <c r="AB40" s="32">
        <v>87.3</v>
      </c>
      <c r="AC40" s="32">
        <v>65.099999999999994</v>
      </c>
      <c r="AD40" s="32">
        <v>89.3</v>
      </c>
      <c r="AE40" s="32">
        <v>146.19999999999999</v>
      </c>
      <c r="AF40" s="32">
        <v>146.19999999999999</v>
      </c>
      <c r="AG40" s="32">
        <v>71.8</v>
      </c>
      <c r="AH40" s="32">
        <v>71.8</v>
      </c>
      <c r="AI40" s="32">
        <v>199.7</v>
      </c>
      <c r="AJ40" s="32">
        <v>94.1</v>
      </c>
      <c r="AK40" s="32">
        <v>989.7</v>
      </c>
      <c r="AL40" s="32">
        <v>111.4</v>
      </c>
      <c r="AM40" s="32">
        <v>22.8</v>
      </c>
      <c r="AN40" s="32">
        <v>149.19999999999999</v>
      </c>
      <c r="AO40" s="32">
        <v>84.1</v>
      </c>
      <c r="AP40" s="32">
        <v>84.1</v>
      </c>
      <c r="AQ40" s="32">
        <v>109.8</v>
      </c>
      <c r="AR40" s="32">
        <v>112.6</v>
      </c>
      <c r="AS40" s="32">
        <v>107.2</v>
      </c>
      <c r="AT40" s="32">
        <v>107.9</v>
      </c>
      <c r="AU40" s="32">
        <v>102.6</v>
      </c>
      <c r="AV40" s="32">
        <v>116.7</v>
      </c>
      <c r="AW40" s="32">
        <v>227.2</v>
      </c>
      <c r="AX40" s="32">
        <v>400.4</v>
      </c>
      <c r="AY40" s="32">
        <v>263.89999999999998</v>
      </c>
      <c r="AZ40" s="32">
        <v>98.1</v>
      </c>
      <c r="BA40" s="32">
        <v>19.8</v>
      </c>
      <c r="BB40" s="32">
        <v>19.8</v>
      </c>
      <c r="BC40" s="32">
        <v>108.4</v>
      </c>
      <c r="BD40" s="32">
        <v>108.4</v>
      </c>
      <c r="BE40" s="32">
        <v>86.9</v>
      </c>
      <c r="BF40" s="32">
        <v>86.9</v>
      </c>
      <c r="BG40" s="32">
        <v>68.599999999999994</v>
      </c>
      <c r="BH40" s="32">
        <v>54.7</v>
      </c>
      <c r="BI40" s="32">
        <v>82.2</v>
      </c>
      <c r="BJ40" s="32">
        <v>39.9</v>
      </c>
      <c r="BK40" s="32">
        <v>110.4</v>
      </c>
      <c r="BL40" s="32">
        <v>26.7</v>
      </c>
      <c r="BM40" s="32">
        <v>88.1</v>
      </c>
      <c r="BN40" s="32">
        <v>84.5</v>
      </c>
      <c r="BO40" s="32">
        <v>89.5</v>
      </c>
      <c r="BP40" s="32">
        <v>79.5</v>
      </c>
      <c r="BQ40" s="32">
        <v>95.7</v>
      </c>
      <c r="BR40" s="32">
        <v>122.6</v>
      </c>
      <c r="BS40" s="32">
        <v>205.2</v>
      </c>
      <c r="BT40" s="32">
        <v>69</v>
      </c>
      <c r="BU40" s="32">
        <v>141.19999999999999</v>
      </c>
      <c r="BV40" s="32">
        <v>141.19999999999999</v>
      </c>
      <c r="BW40" s="32">
        <v>177.6</v>
      </c>
      <c r="BX40" s="32">
        <v>112</v>
      </c>
      <c r="BY40" s="32">
        <v>106</v>
      </c>
      <c r="BZ40" s="32">
        <v>115.5</v>
      </c>
      <c r="CA40" s="32">
        <v>101.8</v>
      </c>
      <c r="CB40" s="32">
        <v>96.2</v>
      </c>
      <c r="CC40" s="32">
        <v>120.1</v>
      </c>
      <c r="CD40" s="32">
        <v>39.700000000000003</v>
      </c>
      <c r="CE40" s="32">
        <v>98.3</v>
      </c>
      <c r="CF40" s="32">
        <v>63.3</v>
      </c>
      <c r="CG40" s="32">
        <v>84.8</v>
      </c>
      <c r="CH40" s="32">
        <v>83.5</v>
      </c>
      <c r="CI40" s="32">
        <v>101.9</v>
      </c>
      <c r="CJ40" s="32">
        <v>66.5</v>
      </c>
      <c r="CK40" s="32">
        <v>94.1</v>
      </c>
      <c r="CL40" s="32">
        <v>87.4</v>
      </c>
      <c r="CM40" s="32">
        <v>107.6</v>
      </c>
      <c r="CN40" s="32">
        <v>84.1</v>
      </c>
      <c r="CO40" s="32">
        <v>108.6</v>
      </c>
      <c r="CP40" s="32">
        <v>124.5</v>
      </c>
      <c r="CQ40" s="32">
        <v>46.4</v>
      </c>
      <c r="CR40" s="32">
        <v>98.5</v>
      </c>
      <c r="CS40" s="32">
        <v>107.3</v>
      </c>
      <c r="CT40" s="32">
        <v>86.9</v>
      </c>
      <c r="CU40" s="32">
        <v>65.8</v>
      </c>
      <c r="CV40" s="32">
        <v>96.2</v>
      </c>
      <c r="CW40" s="32">
        <v>13</v>
      </c>
      <c r="CX40" s="32">
        <v>63.9</v>
      </c>
      <c r="CY40" s="32">
        <v>70.5</v>
      </c>
      <c r="CZ40" s="32">
        <v>62.4</v>
      </c>
      <c r="DA40" s="32">
        <v>50.3</v>
      </c>
      <c r="DB40" s="32">
        <v>87.7</v>
      </c>
      <c r="DC40" s="32">
        <v>1.1000000000000001</v>
      </c>
      <c r="DD40" s="32">
        <v>1.1000000000000001</v>
      </c>
      <c r="DE40" s="32">
        <v>33.6</v>
      </c>
      <c r="DF40" s="32">
        <v>28.7</v>
      </c>
      <c r="DG40" s="32">
        <v>65.099999999999994</v>
      </c>
      <c r="DH40" s="32">
        <v>74.099999999999994</v>
      </c>
      <c r="DI40" s="32">
        <v>104.8</v>
      </c>
      <c r="DJ40" s="32">
        <v>96.8</v>
      </c>
      <c r="DK40" s="32">
        <v>96.8</v>
      </c>
      <c r="DL40" s="32">
        <v>32.5</v>
      </c>
      <c r="DM40" s="32">
        <v>65.900000000000006</v>
      </c>
      <c r="DN40" s="32">
        <v>43</v>
      </c>
      <c r="DO40" s="32">
        <v>77.099999999999994</v>
      </c>
      <c r="DP40" s="32">
        <v>25.2</v>
      </c>
      <c r="DQ40" s="32">
        <v>55.3</v>
      </c>
      <c r="DR40" s="32">
        <v>56.3</v>
      </c>
      <c r="DS40" s="32">
        <v>53.9</v>
      </c>
      <c r="DT40" s="32">
        <v>49.5</v>
      </c>
      <c r="DU40" s="32">
        <v>51.9</v>
      </c>
      <c r="DV40" s="32">
        <v>58.6</v>
      </c>
      <c r="DW40" s="32">
        <v>44.9</v>
      </c>
      <c r="DX40" s="32">
        <v>44.6</v>
      </c>
      <c r="DY40" s="32">
        <v>69.599999999999994</v>
      </c>
      <c r="DZ40" s="32">
        <v>89.7</v>
      </c>
      <c r="EA40" s="32">
        <v>89.7</v>
      </c>
      <c r="EB40" s="32">
        <v>52.9</v>
      </c>
      <c r="EC40" s="32">
        <v>51.1</v>
      </c>
      <c r="ED40" s="32">
        <v>55.8</v>
      </c>
      <c r="EE40" s="32">
        <v>63.4</v>
      </c>
      <c r="EF40" s="32">
        <v>39.4</v>
      </c>
      <c r="EG40" s="32">
        <v>53.6</v>
      </c>
      <c r="EH40" s="32">
        <v>73</v>
      </c>
      <c r="EI40" s="32">
        <v>43.6</v>
      </c>
      <c r="EJ40" s="32">
        <v>152.19999999999999</v>
      </c>
      <c r="EK40" s="32">
        <v>42.8</v>
      </c>
      <c r="EL40" s="32">
        <v>75.599999999999994</v>
      </c>
      <c r="EM40" s="32">
        <v>33.200000000000003</v>
      </c>
      <c r="EN40" s="32">
        <v>44.3</v>
      </c>
      <c r="EO40" s="32">
        <v>81.099999999999994</v>
      </c>
      <c r="EP40" s="32">
        <v>82.8</v>
      </c>
      <c r="EQ40" s="32">
        <v>82.8</v>
      </c>
      <c r="ER40" s="32">
        <v>91.4</v>
      </c>
      <c r="ES40" s="32">
        <v>91.4</v>
      </c>
      <c r="ET40" s="32">
        <v>73.099999999999994</v>
      </c>
      <c r="EU40" s="32">
        <v>78.2</v>
      </c>
      <c r="EV40" s="32">
        <v>78.2</v>
      </c>
      <c r="EW40" s="32">
        <v>71.2</v>
      </c>
      <c r="EX40" s="32">
        <v>83.9</v>
      </c>
      <c r="EY40" s="32">
        <v>61.1</v>
      </c>
      <c r="EZ40" s="32">
        <v>86.4</v>
      </c>
      <c r="FA40" s="32">
        <v>85.9</v>
      </c>
      <c r="FB40" s="32">
        <v>103.6</v>
      </c>
      <c r="FC40" s="32">
        <v>83.8</v>
      </c>
      <c r="FD40" s="32">
        <v>91.6</v>
      </c>
      <c r="FE40" s="32">
        <v>147.6</v>
      </c>
      <c r="FF40" s="32">
        <v>66.099999999999994</v>
      </c>
      <c r="FG40" s="32">
        <v>81.900000000000006</v>
      </c>
      <c r="FH40" s="32">
        <v>66.7</v>
      </c>
      <c r="FI40" s="32">
        <v>112.9</v>
      </c>
      <c r="FJ40" s="32">
        <v>84.6</v>
      </c>
      <c r="FK40" s="32">
        <v>167.3</v>
      </c>
      <c r="FL40" s="32">
        <v>167.3</v>
      </c>
    </row>
    <row r="41" spans="1:168" x14ac:dyDescent="0.2">
      <c r="A41" s="34" t="s">
        <v>1021</v>
      </c>
      <c r="B41" s="32">
        <v>69</v>
      </c>
      <c r="C41" s="32">
        <v>75.7</v>
      </c>
      <c r="D41" s="32">
        <v>95.5</v>
      </c>
      <c r="E41" s="32">
        <v>95.6</v>
      </c>
      <c r="F41" s="32">
        <v>444.6</v>
      </c>
      <c r="G41" s="32">
        <v>8378</v>
      </c>
      <c r="H41" s="32">
        <v>611.70000000000005</v>
      </c>
      <c r="I41" s="32">
        <v>64.099999999999994</v>
      </c>
      <c r="J41" s="32">
        <v>75.2</v>
      </c>
      <c r="K41" s="32">
        <v>89.5</v>
      </c>
      <c r="L41" s="32">
        <v>89.8</v>
      </c>
      <c r="M41" s="32">
        <v>84.6</v>
      </c>
      <c r="N41" s="32">
        <v>71.8</v>
      </c>
      <c r="O41" s="32">
        <v>319.60000000000002</v>
      </c>
      <c r="P41" s="32">
        <v>552.29999999999995</v>
      </c>
      <c r="Q41" s="32">
        <v>161.1</v>
      </c>
      <c r="R41" s="32">
        <v>67.2</v>
      </c>
      <c r="S41" s="32">
        <v>101.8</v>
      </c>
      <c r="T41" s="32">
        <v>118.6</v>
      </c>
      <c r="U41" s="32">
        <v>42.8</v>
      </c>
      <c r="V41" s="32">
        <v>111.4</v>
      </c>
      <c r="W41" s="32">
        <v>49.5</v>
      </c>
      <c r="X41" s="32">
        <v>33.9</v>
      </c>
      <c r="Y41" s="32">
        <v>63</v>
      </c>
      <c r="Z41" s="32">
        <v>170.8</v>
      </c>
      <c r="AA41" s="32">
        <v>76.900000000000006</v>
      </c>
      <c r="AB41" s="32">
        <v>90.2</v>
      </c>
      <c r="AC41" s="32">
        <v>63.6</v>
      </c>
      <c r="AD41" s="32">
        <v>88.3</v>
      </c>
      <c r="AE41" s="32">
        <v>137.9</v>
      </c>
      <c r="AF41" s="32">
        <v>137.9</v>
      </c>
      <c r="AG41" s="32">
        <v>70.900000000000006</v>
      </c>
      <c r="AH41" s="32">
        <v>70.900000000000006</v>
      </c>
      <c r="AI41" s="32">
        <v>201.8</v>
      </c>
      <c r="AJ41" s="32">
        <v>92.6</v>
      </c>
      <c r="AK41" s="32">
        <v>966.1</v>
      </c>
      <c r="AL41" s="32">
        <v>110.3</v>
      </c>
      <c r="AM41" s="32">
        <v>22.8</v>
      </c>
      <c r="AN41" s="32">
        <v>143.5</v>
      </c>
      <c r="AO41" s="32">
        <v>75.599999999999994</v>
      </c>
      <c r="AP41" s="32">
        <v>75.599999999999994</v>
      </c>
      <c r="AQ41" s="32">
        <v>106</v>
      </c>
      <c r="AR41" s="32">
        <v>107.7</v>
      </c>
      <c r="AS41" s="32">
        <v>105.2</v>
      </c>
      <c r="AT41" s="32">
        <v>106</v>
      </c>
      <c r="AU41" s="32">
        <v>100.5</v>
      </c>
      <c r="AV41" s="32">
        <v>115.6</v>
      </c>
      <c r="AW41" s="32">
        <v>228.2</v>
      </c>
      <c r="AX41" s="32">
        <v>414.9</v>
      </c>
      <c r="AY41" s="32">
        <v>258.2</v>
      </c>
      <c r="AZ41" s="32">
        <v>96.6</v>
      </c>
      <c r="BA41" s="32">
        <v>19.7</v>
      </c>
      <c r="BB41" s="32">
        <v>19.7</v>
      </c>
      <c r="BC41" s="32">
        <v>113.2</v>
      </c>
      <c r="BD41" s="32">
        <v>113.2</v>
      </c>
      <c r="BE41" s="32">
        <v>88.8</v>
      </c>
      <c r="BF41" s="32">
        <v>88.8</v>
      </c>
      <c r="BG41" s="32">
        <v>69.8</v>
      </c>
      <c r="BH41" s="32">
        <v>56.4</v>
      </c>
      <c r="BI41" s="32">
        <v>82.5</v>
      </c>
      <c r="BJ41" s="32">
        <v>36.700000000000003</v>
      </c>
      <c r="BK41" s="32">
        <v>112.8</v>
      </c>
      <c r="BL41" s="32">
        <v>27.2</v>
      </c>
      <c r="BM41" s="32">
        <v>85.7</v>
      </c>
      <c r="BN41" s="32">
        <v>83.5</v>
      </c>
      <c r="BO41" s="32">
        <v>86.8</v>
      </c>
      <c r="BP41" s="32">
        <v>80.099999999999994</v>
      </c>
      <c r="BQ41" s="32">
        <v>91.3</v>
      </c>
      <c r="BR41" s="32">
        <v>54.8</v>
      </c>
      <c r="BS41" s="32">
        <v>221.6</v>
      </c>
      <c r="BT41" s="32">
        <v>68.400000000000006</v>
      </c>
      <c r="BU41" s="32">
        <v>136.69999999999999</v>
      </c>
      <c r="BV41" s="32">
        <v>136.69999999999999</v>
      </c>
      <c r="BW41" s="32">
        <v>173.7</v>
      </c>
      <c r="BX41" s="32">
        <v>105.3</v>
      </c>
      <c r="BY41" s="32">
        <v>104.8</v>
      </c>
      <c r="BZ41" s="32">
        <v>113.3</v>
      </c>
      <c r="CA41" s="32">
        <v>101.1</v>
      </c>
      <c r="CB41" s="32">
        <v>95.4</v>
      </c>
      <c r="CC41" s="32">
        <v>119.5</v>
      </c>
      <c r="CD41" s="32">
        <v>37.1</v>
      </c>
      <c r="CE41" s="32">
        <v>98.6</v>
      </c>
      <c r="CF41" s="32">
        <v>63.4</v>
      </c>
      <c r="CG41" s="32">
        <v>86</v>
      </c>
      <c r="CH41" s="32">
        <v>85</v>
      </c>
      <c r="CI41" s="32">
        <v>104.1</v>
      </c>
      <c r="CJ41" s="32">
        <v>68.3</v>
      </c>
      <c r="CK41" s="32">
        <v>95.1</v>
      </c>
      <c r="CL41" s="32">
        <v>88.6</v>
      </c>
      <c r="CM41" s="32">
        <v>106</v>
      </c>
      <c r="CN41" s="32">
        <v>85.6</v>
      </c>
      <c r="CO41" s="32">
        <v>106.5</v>
      </c>
      <c r="CP41" s="32">
        <v>128.6</v>
      </c>
      <c r="CQ41" s="32">
        <v>47.1</v>
      </c>
      <c r="CR41" s="32">
        <v>99.9</v>
      </c>
      <c r="CS41" s="32">
        <v>115.3</v>
      </c>
      <c r="CT41" s="32">
        <v>86.8</v>
      </c>
      <c r="CU41" s="32">
        <v>64</v>
      </c>
      <c r="CV41" s="32">
        <v>96.9</v>
      </c>
      <c r="CW41" s="32">
        <v>13.3</v>
      </c>
      <c r="CX41" s="32">
        <v>63.4</v>
      </c>
      <c r="CY41" s="32">
        <v>69.900000000000006</v>
      </c>
      <c r="CZ41" s="32">
        <v>61.7</v>
      </c>
      <c r="DA41" s="32">
        <v>49.4</v>
      </c>
      <c r="DB41" s="32">
        <v>88.1</v>
      </c>
      <c r="DC41" s="32">
        <v>1.1000000000000001</v>
      </c>
      <c r="DD41" s="32">
        <v>1.1000000000000001</v>
      </c>
      <c r="DE41" s="32">
        <v>33.700000000000003</v>
      </c>
      <c r="DF41" s="32">
        <v>29.2</v>
      </c>
      <c r="DG41" s="32">
        <v>62.3</v>
      </c>
      <c r="DH41" s="32">
        <v>72.2</v>
      </c>
      <c r="DI41" s="32">
        <v>98</v>
      </c>
      <c r="DJ41" s="32">
        <v>97.1</v>
      </c>
      <c r="DK41" s="32">
        <v>97.1</v>
      </c>
      <c r="DL41" s="32">
        <v>35</v>
      </c>
      <c r="DM41" s="32">
        <v>65.7</v>
      </c>
      <c r="DN41" s="32">
        <v>42</v>
      </c>
      <c r="DO41" s="32">
        <v>77.2</v>
      </c>
      <c r="DP41" s="32">
        <v>25.7</v>
      </c>
      <c r="DQ41" s="32">
        <v>55</v>
      </c>
      <c r="DR41" s="32">
        <v>55.5</v>
      </c>
      <c r="DS41" s="32">
        <v>53.5</v>
      </c>
      <c r="DT41" s="32">
        <v>48.3</v>
      </c>
      <c r="DU41" s="32">
        <v>50.5</v>
      </c>
      <c r="DV41" s="32">
        <v>60.2</v>
      </c>
      <c r="DW41" s="32">
        <v>40.799999999999997</v>
      </c>
      <c r="DX41" s="32">
        <v>43.7</v>
      </c>
      <c r="DY41" s="32">
        <v>71.8</v>
      </c>
      <c r="DZ41" s="32">
        <v>90.8</v>
      </c>
      <c r="EA41" s="32">
        <v>90.8</v>
      </c>
      <c r="EB41" s="32">
        <v>50.8</v>
      </c>
      <c r="EC41" s="32">
        <v>47.1</v>
      </c>
      <c r="ED41" s="32">
        <v>56.2</v>
      </c>
      <c r="EE41" s="32">
        <v>63.8</v>
      </c>
      <c r="EF41" s="32">
        <v>39.6</v>
      </c>
      <c r="EG41" s="32">
        <v>54</v>
      </c>
      <c r="EH41" s="32">
        <v>74.099999999999994</v>
      </c>
      <c r="EI41" s="32">
        <v>44.5</v>
      </c>
      <c r="EJ41" s="32">
        <v>143.1</v>
      </c>
      <c r="EK41" s="32">
        <v>43.2</v>
      </c>
      <c r="EL41" s="32">
        <v>79.099999999999994</v>
      </c>
      <c r="EM41" s="32">
        <v>33.6</v>
      </c>
      <c r="EN41" s="32">
        <v>44.2</v>
      </c>
      <c r="EO41" s="32">
        <v>80.900000000000006</v>
      </c>
      <c r="EP41" s="32">
        <v>82.6</v>
      </c>
      <c r="EQ41" s="32">
        <v>82.6</v>
      </c>
      <c r="ER41" s="32">
        <v>91.1</v>
      </c>
      <c r="ES41" s="32">
        <v>91.1</v>
      </c>
      <c r="ET41" s="32">
        <v>73.099999999999994</v>
      </c>
      <c r="EU41" s="32">
        <v>78.2</v>
      </c>
      <c r="EV41" s="32">
        <v>78.2</v>
      </c>
      <c r="EW41" s="32">
        <v>71.2</v>
      </c>
      <c r="EX41" s="32">
        <v>84.4</v>
      </c>
      <c r="EY41" s="32">
        <v>60.7</v>
      </c>
      <c r="EZ41" s="32">
        <v>86.9</v>
      </c>
      <c r="FA41" s="32">
        <v>86.6</v>
      </c>
      <c r="FB41" s="32">
        <v>104.6</v>
      </c>
      <c r="FC41" s="32">
        <v>86.9</v>
      </c>
      <c r="FD41" s="32">
        <v>93.1</v>
      </c>
      <c r="FE41" s="32">
        <v>143</v>
      </c>
      <c r="FF41" s="32">
        <v>66.3</v>
      </c>
      <c r="FG41" s="32">
        <v>82.9</v>
      </c>
      <c r="FH41" s="32">
        <v>71</v>
      </c>
      <c r="FI41" s="32">
        <v>113.7</v>
      </c>
      <c r="FJ41" s="32">
        <v>84.1</v>
      </c>
      <c r="FK41" s="32">
        <v>159.1</v>
      </c>
      <c r="FL41" s="32">
        <v>159.1</v>
      </c>
    </row>
    <row r="42" spans="1:168" x14ac:dyDescent="0.2">
      <c r="A42" s="34" t="s">
        <v>1022</v>
      </c>
      <c r="B42" s="32">
        <v>69.900000000000006</v>
      </c>
      <c r="C42" s="32">
        <v>76.7</v>
      </c>
      <c r="D42" s="32">
        <v>96.3</v>
      </c>
      <c r="E42" s="32">
        <v>96.3</v>
      </c>
      <c r="F42" s="32">
        <v>443.3</v>
      </c>
      <c r="G42" s="32">
        <v>6618.3</v>
      </c>
      <c r="H42" s="32">
        <v>610.20000000000005</v>
      </c>
      <c r="I42" s="32">
        <v>65.599999999999994</v>
      </c>
      <c r="J42" s="32">
        <v>75.900000000000006</v>
      </c>
      <c r="K42" s="32">
        <v>91.5</v>
      </c>
      <c r="L42" s="32">
        <v>92.9</v>
      </c>
      <c r="M42" s="32">
        <v>90.9</v>
      </c>
      <c r="N42" s="32">
        <v>69.400000000000006</v>
      </c>
      <c r="O42" s="32">
        <v>375</v>
      </c>
      <c r="P42" s="32">
        <v>574.70000000000005</v>
      </c>
      <c r="Q42" s="32">
        <v>166.8</v>
      </c>
      <c r="R42" s="32">
        <v>70.3</v>
      </c>
      <c r="S42" s="32">
        <v>105.7</v>
      </c>
      <c r="T42" s="32">
        <v>114.9</v>
      </c>
      <c r="U42" s="32">
        <v>40.6</v>
      </c>
      <c r="V42" s="32">
        <v>109.6</v>
      </c>
      <c r="W42" s="32">
        <v>49.2</v>
      </c>
      <c r="X42" s="32">
        <v>33.799999999999997</v>
      </c>
      <c r="Y42" s="32">
        <v>63.5</v>
      </c>
      <c r="Z42" s="32">
        <v>158.9</v>
      </c>
      <c r="AA42" s="32">
        <v>77.400000000000006</v>
      </c>
      <c r="AB42" s="32">
        <v>87.8</v>
      </c>
      <c r="AC42" s="32">
        <v>62.1</v>
      </c>
      <c r="AD42" s="32">
        <v>92</v>
      </c>
      <c r="AE42" s="32">
        <v>147.80000000000001</v>
      </c>
      <c r="AF42" s="32">
        <v>147.80000000000001</v>
      </c>
      <c r="AG42" s="32">
        <v>68.099999999999994</v>
      </c>
      <c r="AH42" s="32">
        <v>68.099999999999994</v>
      </c>
      <c r="AI42" s="32">
        <v>203.5</v>
      </c>
      <c r="AJ42" s="32">
        <v>86.8</v>
      </c>
      <c r="AK42" s="32">
        <v>982.2</v>
      </c>
      <c r="AL42" s="32">
        <v>110.5</v>
      </c>
      <c r="AM42" s="32">
        <v>21.8</v>
      </c>
      <c r="AN42" s="32">
        <v>134.9</v>
      </c>
      <c r="AO42" s="32">
        <v>79</v>
      </c>
      <c r="AP42" s="32">
        <v>79</v>
      </c>
      <c r="AQ42" s="32">
        <v>107</v>
      </c>
      <c r="AR42" s="32">
        <v>105.6</v>
      </c>
      <c r="AS42" s="32">
        <v>111.1</v>
      </c>
      <c r="AT42" s="32">
        <v>110.4</v>
      </c>
      <c r="AU42" s="32">
        <v>108.4</v>
      </c>
      <c r="AV42" s="32">
        <v>118.8</v>
      </c>
      <c r="AW42" s="32">
        <v>229.1</v>
      </c>
      <c r="AX42" s="32">
        <v>428</v>
      </c>
      <c r="AY42" s="32">
        <v>253.5</v>
      </c>
      <c r="AZ42" s="32">
        <v>100.3</v>
      </c>
      <c r="BA42" s="32">
        <v>20.8</v>
      </c>
      <c r="BB42" s="32">
        <v>20.8</v>
      </c>
      <c r="BC42" s="32">
        <v>106.7</v>
      </c>
      <c r="BD42" s="32">
        <v>106.7</v>
      </c>
      <c r="BE42" s="32">
        <v>86</v>
      </c>
      <c r="BF42" s="32">
        <v>86</v>
      </c>
      <c r="BG42" s="32">
        <v>70.099999999999994</v>
      </c>
      <c r="BH42" s="32">
        <v>55.4</v>
      </c>
      <c r="BI42" s="32">
        <v>84.6</v>
      </c>
      <c r="BJ42" s="32">
        <v>36</v>
      </c>
      <c r="BK42" s="32">
        <v>117.9</v>
      </c>
      <c r="BL42" s="32">
        <v>25.1</v>
      </c>
      <c r="BM42" s="32">
        <v>87.9</v>
      </c>
      <c r="BN42" s="32">
        <v>88.4</v>
      </c>
      <c r="BO42" s="32">
        <v>94.2</v>
      </c>
      <c r="BP42" s="32">
        <v>82.8</v>
      </c>
      <c r="BQ42" s="32">
        <v>90</v>
      </c>
      <c r="BR42" s="32">
        <v>82.1</v>
      </c>
      <c r="BS42" s="32">
        <v>226</v>
      </c>
      <c r="BT42" s="32">
        <v>63.7</v>
      </c>
      <c r="BU42" s="32">
        <v>131.80000000000001</v>
      </c>
      <c r="BV42" s="32">
        <v>131.80000000000001</v>
      </c>
      <c r="BW42" s="32">
        <v>173.8</v>
      </c>
      <c r="BX42" s="32">
        <v>89.6</v>
      </c>
      <c r="BY42" s="32">
        <v>108.4</v>
      </c>
      <c r="BZ42" s="32">
        <v>112.6</v>
      </c>
      <c r="CA42" s="32">
        <v>106.9</v>
      </c>
      <c r="CB42" s="32">
        <v>102.5</v>
      </c>
      <c r="CC42" s="32">
        <v>124</v>
      </c>
      <c r="CD42" s="32">
        <v>41</v>
      </c>
      <c r="CE42" s="32">
        <v>99.7</v>
      </c>
      <c r="CF42" s="32">
        <v>64.400000000000006</v>
      </c>
      <c r="CG42" s="32">
        <v>87.5</v>
      </c>
      <c r="CH42" s="32">
        <v>85.8</v>
      </c>
      <c r="CI42" s="32">
        <v>105.5</v>
      </c>
      <c r="CJ42" s="32">
        <v>66.8</v>
      </c>
      <c r="CK42" s="32">
        <v>98.1</v>
      </c>
      <c r="CL42" s="32">
        <v>91.6</v>
      </c>
      <c r="CM42" s="32">
        <v>107.3</v>
      </c>
      <c r="CN42" s="32">
        <v>84.5</v>
      </c>
      <c r="CO42" s="32">
        <v>108.2</v>
      </c>
      <c r="CP42" s="32">
        <v>132.80000000000001</v>
      </c>
      <c r="CQ42" s="32">
        <v>50.7</v>
      </c>
      <c r="CR42" s="32">
        <v>101.5</v>
      </c>
      <c r="CS42" s="32">
        <v>125.1</v>
      </c>
      <c r="CT42" s="32">
        <v>89.1</v>
      </c>
      <c r="CU42" s="32">
        <v>67.8</v>
      </c>
      <c r="CV42" s="32">
        <v>98.6</v>
      </c>
      <c r="CW42" s="32">
        <v>13.6</v>
      </c>
      <c r="CX42" s="32">
        <v>64.8</v>
      </c>
      <c r="CY42" s="32">
        <v>70.099999999999994</v>
      </c>
      <c r="CZ42" s="32">
        <v>64.400000000000006</v>
      </c>
      <c r="DA42" s="32">
        <v>51.7</v>
      </c>
      <c r="DB42" s="32">
        <v>91.2</v>
      </c>
      <c r="DC42" s="32">
        <v>1.2</v>
      </c>
      <c r="DD42" s="32">
        <v>1.2</v>
      </c>
      <c r="DE42" s="32">
        <v>33.6</v>
      </c>
      <c r="DF42" s="32">
        <v>28.9</v>
      </c>
      <c r="DG42" s="32">
        <v>63.8</v>
      </c>
      <c r="DH42" s="32">
        <v>77.8</v>
      </c>
      <c r="DI42" s="32">
        <v>108.3</v>
      </c>
      <c r="DJ42" s="32">
        <v>99.3</v>
      </c>
      <c r="DK42" s="32">
        <v>99.3</v>
      </c>
      <c r="DL42" s="32">
        <v>38.200000000000003</v>
      </c>
      <c r="DM42" s="32">
        <v>65.400000000000006</v>
      </c>
      <c r="DN42" s="32">
        <v>42.5</v>
      </c>
      <c r="DO42" s="32">
        <v>76.5</v>
      </c>
      <c r="DP42" s="32">
        <v>26.5</v>
      </c>
      <c r="DQ42" s="32">
        <v>55.4</v>
      </c>
      <c r="DR42" s="32">
        <v>54.4</v>
      </c>
      <c r="DS42" s="32">
        <v>51</v>
      </c>
      <c r="DT42" s="32">
        <v>49.4</v>
      </c>
      <c r="DU42" s="32">
        <v>53.1</v>
      </c>
      <c r="DV42" s="32">
        <v>57.7</v>
      </c>
      <c r="DW42" s="32">
        <v>48</v>
      </c>
      <c r="DX42" s="32">
        <v>41.8</v>
      </c>
      <c r="DY42" s="32">
        <v>57.1</v>
      </c>
      <c r="DZ42" s="32">
        <v>91.7</v>
      </c>
      <c r="EA42" s="32">
        <v>91.7</v>
      </c>
      <c r="EB42" s="32">
        <v>53.2</v>
      </c>
      <c r="EC42" s="32">
        <v>50.5</v>
      </c>
      <c r="ED42" s="32">
        <v>57.2</v>
      </c>
      <c r="EE42" s="32">
        <v>65.3</v>
      </c>
      <c r="EF42" s="32">
        <v>39.700000000000003</v>
      </c>
      <c r="EG42" s="32">
        <v>56.6</v>
      </c>
      <c r="EH42" s="32">
        <v>76.099999999999994</v>
      </c>
      <c r="EI42" s="32">
        <v>50.3</v>
      </c>
      <c r="EJ42" s="32">
        <v>139.5</v>
      </c>
      <c r="EK42" s="32">
        <v>44.2</v>
      </c>
      <c r="EL42" s="32">
        <v>77.2</v>
      </c>
      <c r="EM42" s="32">
        <v>34.5</v>
      </c>
      <c r="EN42" s="32">
        <v>45.8</v>
      </c>
      <c r="EO42" s="32">
        <v>80.8</v>
      </c>
      <c r="EP42" s="32">
        <v>82.4</v>
      </c>
      <c r="EQ42" s="32">
        <v>82.4</v>
      </c>
      <c r="ER42" s="32">
        <v>90.9</v>
      </c>
      <c r="ES42" s="32">
        <v>90.9</v>
      </c>
      <c r="ET42" s="32">
        <v>73.3</v>
      </c>
      <c r="EU42" s="32">
        <v>78.400000000000006</v>
      </c>
      <c r="EV42" s="32">
        <v>78.400000000000006</v>
      </c>
      <c r="EW42" s="32">
        <v>71.5</v>
      </c>
      <c r="EX42" s="32">
        <v>85.3</v>
      </c>
      <c r="EY42" s="32">
        <v>60.4</v>
      </c>
      <c r="EZ42" s="32">
        <v>91</v>
      </c>
      <c r="FA42" s="32">
        <v>87.5</v>
      </c>
      <c r="FB42" s="32">
        <v>106.7</v>
      </c>
      <c r="FC42" s="32">
        <v>91.6</v>
      </c>
      <c r="FD42" s="32">
        <v>95</v>
      </c>
      <c r="FE42" s="32">
        <v>138.1</v>
      </c>
      <c r="FF42" s="32">
        <v>65.8</v>
      </c>
      <c r="FG42" s="32">
        <v>90.5</v>
      </c>
      <c r="FH42" s="32">
        <v>79.3</v>
      </c>
      <c r="FI42" s="32">
        <v>122.8</v>
      </c>
      <c r="FJ42" s="32">
        <v>91.1</v>
      </c>
      <c r="FK42" s="32">
        <v>151.5</v>
      </c>
      <c r="FL42" s="32">
        <v>151.5</v>
      </c>
    </row>
    <row r="43" spans="1:168" x14ac:dyDescent="0.2">
      <c r="A43" s="34" t="s">
        <v>1023</v>
      </c>
      <c r="B43" s="32">
        <v>69.7</v>
      </c>
      <c r="C43" s="32">
        <v>77.3</v>
      </c>
      <c r="D43" s="32">
        <v>96.7</v>
      </c>
      <c r="E43" s="32">
        <v>96.8</v>
      </c>
      <c r="F43" s="32">
        <v>448.2</v>
      </c>
      <c r="G43" s="32">
        <v>7719.4</v>
      </c>
      <c r="H43" s="32">
        <v>614.29999999999995</v>
      </c>
      <c r="I43" s="32">
        <v>66.2</v>
      </c>
      <c r="J43" s="32">
        <v>76.900000000000006</v>
      </c>
      <c r="K43" s="32">
        <v>90.7</v>
      </c>
      <c r="L43" s="32">
        <v>90.6</v>
      </c>
      <c r="M43" s="32">
        <v>85.5</v>
      </c>
      <c r="N43" s="32">
        <v>74.2</v>
      </c>
      <c r="O43" s="32">
        <v>346.5</v>
      </c>
      <c r="P43" s="32">
        <v>557</v>
      </c>
      <c r="Q43" s="32">
        <v>165.2</v>
      </c>
      <c r="R43" s="32">
        <v>68</v>
      </c>
      <c r="S43" s="32">
        <v>102</v>
      </c>
      <c r="T43" s="32">
        <v>115.6</v>
      </c>
      <c r="U43" s="32">
        <v>44.4</v>
      </c>
      <c r="V43" s="32">
        <v>113.6</v>
      </c>
      <c r="W43" s="32">
        <v>49.7</v>
      </c>
      <c r="X43" s="32">
        <v>33.5</v>
      </c>
      <c r="Y43" s="32">
        <v>64.8</v>
      </c>
      <c r="Z43" s="32">
        <v>165.6</v>
      </c>
      <c r="AA43" s="32">
        <v>80.2</v>
      </c>
      <c r="AB43" s="32">
        <v>89.1</v>
      </c>
      <c r="AC43" s="32">
        <v>61.5</v>
      </c>
      <c r="AD43" s="32">
        <v>98.9</v>
      </c>
      <c r="AE43" s="32">
        <v>162.4</v>
      </c>
      <c r="AF43" s="32">
        <v>162.4</v>
      </c>
      <c r="AG43" s="32">
        <v>70.5</v>
      </c>
      <c r="AH43" s="32">
        <v>70.5</v>
      </c>
      <c r="AI43" s="32">
        <v>208.7</v>
      </c>
      <c r="AJ43" s="32">
        <v>92</v>
      </c>
      <c r="AK43" s="32">
        <v>953.5</v>
      </c>
      <c r="AL43" s="32">
        <v>113</v>
      </c>
      <c r="AM43" s="32">
        <v>23.5</v>
      </c>
      <c r="AN43" s="32">
        <v>131.9</v>
      </c>
      <c r="AO43" s="32">
        <v>76.7</v>
      </c>
      <c r="AP43" s="32">
        <v>76.7</v>
      </c>
      <c r="AQ43" s="32">
        <v>108.3</v>
      </c>
      <c r="AR43" s="32">
        <v>108.6</v>
      </c>
      <c r="AS43" s="32">
        <v>109.7</v>
      </c>
      <c r="AT43" s="32">
        <v>110.7</v>
      </c>
      <c r="AU43" s="32">
        <v>104.8</v>
      </c>
      <c r="AV43" s="32">
        <v>121.3</v>
      </c>
      <c r="AW43" s="32">
        <v>226.2</v>
      </c>
      <c r="AX43" s="32">
        <v>421.1</v>
      </c>
      <c r="AY43" s="32">
        <v>251.9</v>
      </c>
      <c r="AZ43" s="32">
        <v>103.9</v>
      </c>
      <c r="BA43" s="32">
        <v>20.6</v>
      </c>
      <c r="BB43" s="32">
        <v>20.6</v>
      </c>
      <c r="BC43" s="32">
        <v>108.1</v>
      </c>
      <c r="BD43" s="32">
        <v>108.1</v>
      </c>
      <c r="BE43" s="32">
        <v>88.1</v>
      </c>
      <c r="BF43" s="32">
        <v>88.1</v>
      </c>
      <c r="BG43" s="32">
        <v>72.3</v>
      </c>
      <c r="BH43" s="32">
        <v>59.2</v>
      </c>
      <c r="BI43" s="32">
        <v>84.4</v>
      </c>
      <c r="BJ43" s="32">
        <v>33.700000000000003</v>
      </c>
      <c r="BK43" s="32">
        <v>118.1</v>
      </c>
      <c r="BL43" s="32">
        <v>27.4</v>
      </c>
      <c r="BM43" s="32">
        <v>88.3</v>
      </c>
      <c r="BN43" s="32">
        <v>88.9</v>
      </c>
      <c r="BO43" s="32">
        <v>95</v>
      </c>
      <c r="BP43" s="32">
        <v>83</v>
      </c>
      <c r="BQ43" s="32">
        <v>90.4</v>
      </c>
      <c r="BR43" s="32">
        <v>91.1</v>
      </c>
      <c r="BS43" s="32">
        <v>216.3</v>
      </c>
      <c r="BT43" s="32">
        <v>64.5</v>
      </c>
      <c r="BU43" s="32">
        <v>123.6</v>
      </c>
      <c r="BV43" s="32">
        <v>123.6</v>
      </c>
      <c r="BW43" s="32">
        <v>166.3</v>
      </c>
      <c r="BX43" s="32">
        <v>78</v>
      </c>
      <c r="BY43" s="32">
        <v>104.2</v>
      </c>
      <c r="BZ43" s="32">
        <v>113.3</v>
      </c>
      <c r="CA43" s="32">
        <v>100.2</v>
      </c>
      <c r="CB43" s="32">
        <v>95.3</v>
      </c>
      <c r="CC43" s="32">
        <v>117.6</v>
      </c>
      <c r="CD43" s="32">
        <v>34.5</v>
      </c>
      <c r="CE43" s="32">
        <v>100.1</v>
      </c>
      <c r="CF43" s="32">
        <v>64</v>
      </c>
      <c r="CG43" s="32">
        <v>88.1</v>
      </c>
      <c r="CH43" s="32">
        <v>87.2</v>
      </c>
      <c r="CI43" s="32">
        <v>103.6</v>
      </c>
      <c r="CJ43" s="32">
        <v>71.5</v>
      </c>
      <c r="CK43" s="32">
        <v>96.8</v>
      </c>
      <c r="CL43" s="32">
        <v>90.3</v>
      </c>
      <c r="CM43" s="32">
        <v>106.3</v>
      </c>
      <c r="CN43" s="32">
        <v>86.4</v>
      </c>
      <c r="CO43" s="32">
        <v>106.8</v>
      </c>
      <c r="CP43" s="32">
        <v>135.9</v>
      </c>
      <c r="CQ43" s="32">
        <v>51.9</v>
      </c>
      <c r="CR43" s="32">
        <v>95.9</v>
      </c>
      <c r="CS43" s="32">
        <v>124.4</v>
      </c>
      <c r="CT43" s="32">
        <v>88.1</v>
      </c>
      <c r="CU43" s="32">
        <v>63.5</v>
      </c>
      <c r="CV43" s="32">
        <v>98.9</v>
      </c>
      <c r="CW43" s="32">
        <v>14.1</v>
      </c>
      <c r="CX43" s="32">
        <v>65.5</v>
      </c>
      <c r="CY43" s="32">
        <v>71.900000000000006</v>
      </c>
      <c r="CZ43" s="32">
        <v>64.2</v>
      </c>
      <c r="DA43" s="32">
        <v>51.2</v>
      </c>
      <c r="DB43" s="32">
        <v>92.1</v>
      </c>
      <c r="DC43" s="32">
        <v>1.3</v>
      </c>
      <c r="DD43" s="32">
        <v>1.3</v>
      </c>
      <c r="DE43" s="32">
        <v>35.200000000000003</v>
      </c>
      <c r="DF43" s="32">
        <v>30.2</v>
      </c>
      <c r="DG43" s="32">
        <v>68.2</v>
      </c>
      <c r="DH43" s="32">
        <v>73.099999999999994</v>
      </c>
      <c r="DI43" s="32">
        <v>99.4</v>
      </c>
      <c r="DJ43" s="32">
        <v>98.9</v>
      </c>
      <c r="DK43" s="32">
        <v>98.9</v>
      </c>
      <c r="DL43" s="32">
        <v>34.5</v>
      </c>
      <c r="DM43" s="32">
        <v>65.599999999999994</v>
      </c>
      <c r="DN43" s="32">
        <v>42.2</v>
      </c>
      <c r="DO43" s="32">
        <v>76.900000000000006</v>
      </c>
      <c r="DP43" s="32">
        <v>27.8</v>
      </c>
      <c r="DQ43" s="32">
        <v>53.1</v>
      </c>
      <c r="DR43" s="32">
        <v>53.4</v>
      </c>
      <c r="DS43" s="32">
        <v>50.4</v>
      </c>
      <c r="DT43" s="32">
        <v>48.3</v>
      </c>
      <c r="DU43" s="32">
        <v>52.3</v>
      </c>
      <c r="DV43" s="32">
        <v>59.6</v>
      </c>
      <c r="DW43" s="32">
        <v>44.7</v>
      </c>
      <c r="DX43" s="32">
        <v>40</v>
      </c>
      <c r="DY43" s="32">
        <v>58.3</v>
      </c>
      <c r="DZ43" s="32">
        <v>89.1</v>
      </c>
      <c r="EA43" s="32">
        <v>89.1</v>
      </c>
      <c r="EB43" s="32">
        <v>51.3</v>
      </c>
      <c r="EC43" s="32">
        <v>51.4</v>
      </c>
      <c r="ED43" s="32">
        <v>51.3</v>
      </c>
      <c r="EE43" s="32">
        <v>56.7</v>
      </c>
      <c r="EF43" s="32">
        <v>39.799999999999997</v>
      </c>
      <c r="EG43" s="32">
        <v>52.3</v>
      </c>
      <c r="EH43" s="32">
        <v>72.900000000000006</v>
      </c>
      <c r="EI43" s="32">
        <v>47.9</v>
      </c>
      <c r="EJ43" s="32">
        <v>129.9</v>
      </c>
      <c r="EK43" s="32">
        <v>38.6</v>
      </c>
      <c r="EL43" s="32">
        <v>69.3</v>
      </c>
      <c r="EM43" s="32">
        <v>33.6</v>
      </c>
      <c r="EN43" s="32">
        <v>37.299999999999997</v>
      </c>
      <c r="EO43" s="32">
        <v>80.8</v>
      </c>
      <c r="EP43" s="32">
        <v>82.4</v>
      </c>
      <c r="EQ43" s="32">
        <v>82.4</v>
      </c>
      <c r="ER43" s="32">
        <v>90.5</v>
      </c>
      <c r="ES43" s="32">
        <v>90.5</v>
      </c>
      <c r="ET43" s="32">
        <v>73.5</v>
      </c>
      <c r="EU43" s="32">
        <v>78.599999999999994</v>
      </c>
      <c r="EV43" s="32">
        <v>78.599999999999994</v>
      </c>
      <c r="EW43" s="32">
        <v>71.599999999999994</v>
      </c>
      <c r="EX43" s="32">
        <v>86</v>
      </c>
      <c r="EY43" s="32">
        <v>60.2</v>
      </c>
      <c r="EZ43" s="32">
        <v>90.8</v>
      </c>
      <c r="FA43" s="32">
        <v>87.4</v>
      </c>
      <c r="FB43" s="32">
        <v>106.6</v>
      </c>
      <c r="FC43" s="32">
        <v>92.9</v>
      </c>
      <c r="FD43" s="32">
        <v>96.5</v>
      </c>
      <c r="FE43" s="32">
        <v>133</v>
      </c>
      <c r="FF43" s="32">
        <v>65.900000000000006</v>
      </c>
      <c r="FG43" s="32">
        <v>90.5</v>
      </c>
      <c r="FH43" s="32">
        <v>86.5</v>
      </c>
      <c r="FI43" s="32">
        <v>108.8</v>
      </c>
      <c r="FJ43" s="32">
        <v>89.8</v>
      </c>
      <c r="FK43" s="32">
        <v>146.69999999999999</v>
      </c>
      <c r="FL43" s="32">
        <v>146.69999999999999</v>
      </c>
    </row>
    <row r="44" spans="1:168" x14ac:dyDescent="0.2">
      <c r="A44" s="34" t="s">
        <v>1024</v>
      </c>
      <c r="B44" s="32">
        <v>69.5</v>
      </c>
      <c r="C44" s="32">
        <v>78</v>
      </c>
      <c r="D44" s="32">
        <v>96.5</v>
      </c>
      <c r="E44" s="32">
        <v>96.4</v>
      </c>
      <c r="F44" s="32">
        <v>441.2</v>
      </c>
      <c r="G44" s="32">
        <v>7823.3</v>
      </c>
      <c r="H44" s="32">
        <v>602.20000000000005</v>
      </c>
      <c r="I44" s="32">
        <v>66.099999999999994</v>
      </c>
      <c r="J44" s="32">
        <v>76.8</v>
      </c>
      <c r="K44" s="32">
        <v>92</v>
      </c>
      <c r="L44" s="32">
        <v>91</v>
      </c>
      <c r="M44" s="32">
        <v>85.1</v>
      </c>
      <c r="N44" s="32">
        <v>72.599999999999994</v>
      </c>
      <c r="O44" s="32">
        <v>372.8</v>
      </c>
      <c r="P44" s="32">
        <v>551.1</v>
      </c>
      <c r="Q44" s="32">
        <v>165.8</v>
      </c>
      <c r="R44" s="32">
        <v>67.599999999999994</v>
      </c>
      <c r="S44" s="32">
        <v>105.1</v>
      </c>
      <c r="T44" s="32">
        <v>109.7</v>
      </c>
      <c r="U44" s="32">
        <v>45.4</v>
      </c>
      <c r="V44" s="32">
        <v>119.9</v>
      </c>
      <c r="W44" s="32">
        <v>49.5</v>
      </c>
      <c r="X44" s="32">
        <v>33.5</v>
      </c>
      <c r="Y44" s="32">
        <v>64.400000000000006</v>
      </c>
      <c r="Z44" s="32">
        <v>164.3</v>
      </c>
      <c r="AA44" s="32">
        <v>77.7</v>
      </c>
      <c r="AB44" s="32">
        <v>86.7</v>
      </c>
      <c r="AC44" s="32">
        <v>60.6</v>
      </c>
      <c r="AD44" s="32">
        <v>94.5</v>
      </c>
      <c r="AE44" s="32">
        <v>157.1</v>
      </c>
      <c r="AF44" s="32">
        <v>157.1</v>
      </c>
      <c r="AG44" s="32">
        <v>70.400000000000006</v>
      </c>
      <c r="AH44" s="32">
        <v>70.400000000000006</v>
      </c>
      <c r="AI44" s="32">
        <v>215.6</v>
      </c>
      <c r="AJ44" s="32">
        <v>89.6</v>
      </c>
      <c r="AK44" s="32">
        <v>973.3</v>
      </c>
      <c r="AL44" s="32">
        <v>113.1</v>
      </c>
      <c r="AM44" s="32">
        <v>23.8</v>
      </c>
      <c r="AN44" s="32">
        <v>132.80000000000001</v>
      </c>
      <c r="AO44" s="32">
        <v>65.599999999999994</v>
      </c>
      <c r="AP44" s="32">
        <v>65.599999999999994</v>
      </c>
      <c r="AQ44" s="32">
        <v>111.5</v>
      </c>
      <c r="AR44" s="32">
        <v>113.4</v>
      </c>
      <c r="AS44" s="32">
        <v>110.4</v>
      </c>
      <c r="AT44" s="32">
        <v>112</v>
      </c>
      <c r="AU44" s="32">
        <v>104.6</v>
      </c>
      <c r="AV44" s="32">
        <v>119.4</v>
      </c>
      <c r="AW44" s="32">
        <v>227.2</v>
      </c>
      <c r="AX44" s="32">
        <v>443.6</v>
      </c>
      <c r="AY44" s="32">
        <v>242.3</v>
      </c>
      <c r="AZ44" s="32">
        <v>101.4</v>
      </c>
      <c r="BA44" s="32">
        <v>22.1</v>
      </c>
      <c r="BB44" s="32">
        <v>22.1</v>
      </c>
      <c r="BC44" s="32">
        <v>103.5</v>
      </c>
      <c r="BD44" s="32">
        <v>103.5</v>
      </c>
      <c r="BE44" s="32">
        <v>88.6</v>
      </c>
      <c r="BF44" s="32">
        <v>88.6</v>
      </c>
      <c r="BG44" s="32">
        <v>74.5</v>
      </c>
      <c r="BH44" s="32">
        <v>61.5</v>
      </c>
      <c r="BI44" s="32">
        <v>86.1</v>
      </c>
      <c r="BJ44" s="32">
        <v>31.9</v>
      </c>
      <c r="BK44" s="32">
        <v>121.8</v>
      </c>
      <c r="BL44" s="32">
        <v>28.7</v>
      </c>
      <c r="BM44" s="32">
        <v>88.6</v>
      </c>
      <c r="BN44" s="32">
        <v>88.2</v>
      </c>
      <c r="BO44" s="32">
        <v>96.5</v>
      </c>
      <c r="BP44" s="32">
        <v>80.3</v>
      </c>
      <c r="BQ44" s="32">
        <v>91.9</v>
      </c>
      <c r="BR44" s="32">
        <v>92.3</v>
      </c>
      <c r="BS44" s="32">
        <v>218</v>
      </c>
      <c r="BT44" s="32">
        <v>66</v>
      </c>
      <c r="BU44" s="32">
        <v>122.1</v>
      </c>
      <c r="BV44" s="32">
        <v>122.1</v>
      </c>
      <c r="BW44" s="32">
        <v>168.6</v>
      </c>
      <c r="BX44" s="32">
        <v>69</v>
      </c>
      <c r="BY44" s="32">
        <v>102.7</v>
      </c>
      <c r="BZ44" s="32">
        <v>113</v>
      </c>
      <c r="CA44" s="32">
        <v>98.2</v>
      </c>
      <c r="CB44" s="32">
        <v>94.1</v>
      </c>
      <c r="CC44" s="32">
        <v>114.3</v>
      </c>
      <c r="CD44" s="32">
        <v>31.6</v>
      </c>
      <c r="CE44" s="32">
        <v>100.1</v>
      </c>
      <c r="CF44" s="32">
        <v>63.8</v>
      </c>
      <c r="CG44" s="32">
        <v>88</v>
      </c>
      <c r="CH44" s="32">
        <v>87.5</v>
      </c>
      <c r="CI44" s="32">
        <v>113.9</v>
      </c>
      <c r="CJ44" s="32">
        <v>69.3</v>
      </c>
      <c r="CK44" s="32">
        <v>97.5</v>
      </c>
      <c r="CL44" s="32">
        <v>89.8</v>
      </c>
      <c r="CM44" s="32">
        <v>107.1</v>
      </c>
      <c r="CN44" s="32">
        <v>86.7</v>
      </c>
      <c r="CO44" s="32">
        <v>107.6</v>
      </c>
      <c r="CP44" s="32">
        <v>136.5</v>
      </c>
      <c r="CQ44" s="32">
        <v>57.6</v>
      </c>
      <c r="CR44" s="32">
        <v>91.7</v>
      </c>
      <c r="CS44" s="32">
        <v>116.3</v>
      </c>
      <c r="CT44" s="32">
        <v>86.9</v>
      </c>
      <c r="CU44" s="32">
        <v>62.3</v>
      </c>
      <c r="CV44" s="32">
        <v>97.8</v>
      </c>
      <c r="CW44" s="32">
        <v>14.6</v>
      </c>
      <c r="CX44" s="32">
        <v>66</v>
      </c>
      <c r="CY44" s="32">
        <v>73.099999999999994</v>
      </c>
      <c r="CZ44" s="32">
        <v>64</v>
      </c>
      <c r="DA44" s="32">
        <v>50.9</v>
      </c>
      <c r="DB44" s="32">
        <v>92.3</v>
      </c>
      <c r="DC44" s="32">
        <v>1.4</v>
      </c>
      <c r="DD44" s="32">
        <v>1.4</v>
      </c>
      <c r="DE44" s="32">
        <v>36.4</v>
      </c>
      <c r="DF44" s="32">
        <v>31.5</v>
      </c>
      <c r="DG44" s="32">
        <v>67.3</v>
      </c>
      <c r="DH44" s="32">
        <v>71.5</v>
      </c>
      <c r="DI44" s="32">
        <v>96</v>
      </c>
      <c r="DJ44" s="32">
        <v>98.4</v>
      </c>
      <c r="DK44" s="32">
        <v>98.4</v>
      </c>
      <c r="DL44" s="32">
        <v>34.299999999999997</v>
      </c>
      <c r="DM44" s="32">
        <v>65.400000000000006</v>
      </c>
      <c r="DN44" s="32">
        <v>41.8</v>
      </c>
      <c r="DO44" s="32">
        <v>76.599999999999994</v>
      </c>
      <c r="DP44" s="32">
        <v>28.7</v>
      </c>
      <c r="DQ44" s="32">
        <v>51.7</v>
      </c>
      <c r="DR44" s="32">
        <v>54.2</v>
      </c>
      <c r="DS44" s="32">
        <v>53.5</v>
      </c>
      <c r="DT44" s="32">
        <v>48.5</v>
      </c>
      <c r="DU44" s="32">
        <v>52.6</v>
      </c>
      <c r="DV44" s="32">
        <v>62.4</v>
      </c>
      <c r="DW44" s="32">
        <v>42.9</v>
      </c>
      <c r="DX44" s="32">
        <v>39.9</v>
      </c>
      <c r="DY44" s="32">
        <v>71</v>
      </c>
      <c r="DZ44" s="32">
        <v>80.2</v>
      </c>
      <c r="EA44" s="32">
        <v>80.2</v>
      </c>
      <c r="EB44" s="32">
        <v>48</v>
      </c>
      <c r="EC44" s="32">
        <v>49.8</v>
      </c>
      <c r="ED44" s="32">
        <v>45.6</v>
      </c>
      <c r="EE44" s="32">
        <v>48.2</v>
      </c>
      <c r="EF44" s="32">
        <v>40.299999999999997</v>
      </c>
      <c r="EG44" s="32">
        <v>47.6</v>
      </c>
      <c r="EH44" s="32">
        <v>71.7</v>
      </c>
      <c r="EI44" s="32">
        <v>41.7</v>
      </c>
      <c r="EJ44" s="32">
        <v>120.4</v>
      </c>
      <c r="EK44" s="32">
        <v>33.9</v>
      </c>
      <c r="EL44" s="32">
        <v>63.4</v>
      </c>
      <c r="EM44" s="32">
        <v>34</v>
      </c>
      <c r="EN44" s="32">
        <v>29.2</v>
      </c>
      <c r="EO44" s="32">
        <v>80.900000000000006</v>
      </c>
      <c r="EP44" s="32">
        <v>82.2</v>
      </c>
      <c r="EQ44" s="32">
        <v>82.2</v>
      </c>
      <c r="ER44" s="32">
        <v>90.5</v>
      </c>
      <c r="ES44" s="32">
        <v>90.5</v>
      </c>
      <c r="ET44" s="32">
        <v>74</v>
      </c>
      <c r="EU44" s="32">
        <v>79.099999999999994</v>
      </c>
      <c r="EV44" s="32">
        <v>79.099999999999994</v>
      </c>
      <c r="EW44" s="32">
        <v>72</v>
      </c>
      <c r="EX44" s="32">
        <v>86.7</v>
      </c>
      <c r="EY44" s="32">
        <v>60.3</v>
      </c>
      <c r="EZ44" s="32">
        <v>91.8</v>
      </c>
      <c r="FA44" s="32">
        <v>87.5</v>
      </c>
      <c r="FB44" s="32">
        <v>106.6</v>
      </c>
      <c r="FC44" s="32">
        <v>94.5</v>
      </c>
      <c r="FD44" s="32">
        <v>97.1</v>
      </c>
      <c r="FE44" s="32">
        <v>128.5</v>
      </c>
      <c r="FF44" s="32">
        <v>66.099999999999994</v>
      </c>
      <c r="FG44" s="32">
        <v>91.8</v>
      </c>
      <c r="FH44" s="32">
        <v>87.6</v>
      </c>
      <c r="FI44" s="32">
        <v>122.8</v>
      </c>
      <c r="FJ44" s="32">
        <v>89.6</v>
      </c>
      <c r="FK44" s="32">
        <v>153.69999999999999</v>
      </c>
      <c r="FL44" s="32">
        <v>153.69999999999999</v>
      </c>
    </row>
    <row r="45" spans="1:168" x14ac:dyDescent="0.2">
      <c r="A45" s="34" t="s">
        <v>1025</v>
      </c>
      <c r="B45" s="32">
        <v>69.900000000000006</v>
      </c>
      <c r="C45" s="32">
        <v>78.3</v>
      </c>
      <c r="D45" s="32">
        <v>96.2</v>
      </c>
      <c r="E45" s="32">
        <v>96.4</v>
      </c>
      <c r="F45" s="32">
        <v>421.1</v>
      </c>
      <c r="G45" s="32">
        <v>7426.8</v>
      </c>
      <c r="H45" s="32">
        <v>572</v>
      </c>
      <c r="I45" s="32">
        <v>64.7</v>
      </c>
      <c r="J45" s="32">
        <v>77.099999999999994</v>
      </c>
      <c r="K45" s="32">
        <v>92.7</v>
      </c>
      <c r="L45" s="32">
        <v>93.3</v>
      </c>
      <c r="M45" s="32">
        <v>89.6</v>
      </c>
      <c r="N45" s="32">
        <v>71.5</v>
      </c>
      <c r="O45" s="32">
        <v>364.4</v>
      </c>
      <c r="P45" s="32">
        <v>551.5</v>
      </c>
      <c r="Q45" s="32">
        <v>173</v>
      </c>
      <c r="R45" s="32">
        <v>70.900000000000006</v>
      </c>
      <c r="S45" s="32">
        <v>108.3</v>
      </c>
      <c r="T45" s="32">
        <v>102.8</v>
      </c>
      <c r="U45" s="32">
        <v>42.6</v>
      </c>
      <c r="V45" s="32">
        <v>114.7</v>
      </c>
      <c r="W45" s="32">
        <v>48.8</v>
      </c>
      <c r="X45" s="32">
        <v>33.5</v>
      </c>
      <c r="Y45" s="32">
        <v>62.1</v>
      </c>
      <c r="Z45" s="32">
        <v>167.1</v>
      </c>
      <c r="AA45" s="32">
        <v>78.599999999999994</v>
      </c>
      <c r="AB45" s="32">
        <v>85.5</v>
      </c>
      <c r="AC45" s="32">
        <v>60.4</v>
      </c>
      <c r="AD45" s="32">
        <v>97.4</v>
      </c>
      <c r="AE45" s="32">
        <v>157.19999999999999</v>
      </c>
      <c r="AF45" s="32">
        <v>157.19999999999999</v>
      </c>
      <c r="AG45" s="32">
        <v>69.599999999999994</v>
      </c>
      <c r="AH45" s="32">
        <v>69.599999999999994</v>
      </c>
      <c r="AI45" s="32">
        <v>212.7</v>
      </c>
      <c r="AJ45" s="32">
        <v>89</v>
      </c>
      <c r="AK45" s="32">
        <v>973.3</v>
      </c>
      <c r="AL45" s="32">
        <v>117.2</v>
      </c>
      <c r="AM45" s="32">
        <v>23.3</v>
      </c>
      <c r="AN45" s="32">
        <v>125.7</v>
      </c>
      <c r="AO45" s="32">
        <v>77.900000000000006</v>
      </c>
      <c r="AP45" s="32">
        <v>77.900000000000006</v>
      </c>
      <c r="AQ45" s="32">
        <v>108.2</v>
      </c>
      <c r="AR45" s="32">
        <v>106.3</v>
      </c>
      <c r="AS45" s="32">
        <v>113.3</v>
      </c>
      <c r="AT45" s="32">
        <v>115.6</v>
      </c>
      <c r="AU45" s="32">
        <v>106.4</v>
      </c>
      <c r="AV45" s="32">
        <v>116.9</v>
      </c>
      <c r="AW45" s="32">
        <v>212.1</v>
      </c>
      <c r="AX45" s="32">
        <v>389.5</v>
      </c>
      <c r="AY45" s="32">
        <v>241.2</v>
      </c>
      <c r="AZ45" s="32">
        <v>101.2</v>
      </c>
      <c r="BA45" s="32">
        <v>23.2</v>
      </c>
      <c r="BB45" s="32">
        <v>23.2</v>
      </c>
      <c r="BC45" s="32">
        <v>108.5</v>
      </c>
      <c r="BD45" s="32">
        <v>108.5</v>
      </c>
      <c r="BE45" s="32">
        <v>88.8</v>
      </c>
      <c r="BF45" s="32">
        <v>88.8</v>
      </c>
      <c r="BG45" s="32">
        <v>70.5</v>
      </c>
      <c r="BH45" s="32">
        <v>55.3</v>
      </c>
      <c r="BI45" s="32">
        <v>85.9</v>
      </c>
      <c r="BJ45" s="32">
        <v>28.9</v>
      </c>
      <c r="BK45" s="32">
        <v>123.5</v>
      </c>
      <c r="BL45" s="32">
        <v>28.3</v>
      </c>
      <c r="BM45" s="32">
        <v>88.4</v>
      </c>
      <c r="BN45" s="32">
        <v>88.5</v>
      </c>
      <c r="BO45" s="32">
        <v>94.2</v>
      </c>
      <c r="BP45" s="32">
        <v>82.9</v>
      </c>
      <c r="BQ45" s="32">
        <v>91</v>
      </c>
      <c r="BR45" s="32">
        <v>67.099999999999994</v>
      </c>
      <c r="BS45" s="32">
        <v>222.6</v>
      </c>
      <c r="BT45" s="32">
        <v>66.7</v>
      </c>
      <c r="BU45" s="32">
        <v>121.5</v>
      </c>
      <c r="BV45" s="32">
        <v>121.5</v>
      </c>
      <c r="BW45" s="32">
        <v>169.1</v>
      </c>
      <c r="BX45" s="32">
        <v>66.5</v>
      </c>
      <c r="BY45" s="32">
        <v>104.5</v>
      </c>
      <c r="BZ45" s="32">
        <v>111</v>
      </c>
      <c r="CA45" s="32">
        <v>101.8</v>
      </c>
      <c r="CB45" s="32">
        <v>101.7</v>
      </c>
      <c r="CC45" s="32">
        <v>112.5</v>
      </c>
      <c r="CD45" s="32">
        <v>33.799999999999997</v>
      </c>
      <c r="CE45" s="32">
        <v>98.8</v>
      </c>
      <c r="CF45" s="32">
        <v>64.3</v>
      </c>
      <c r="CG45" s="32">
        <v>88.2</v>
      </c>
      <c r="CH45" s="32">
        <v>88.2</v>
      </c>
      <c r="CI45" s="32">
        <v>110.1</v>
      </c>
      <c r="CJ45" s="32">
        <v>70.099999999999994</v>
      </c>
      <c r="CK45" s="32">
        <v>99.1</v>
      </c>
      <c r="CL45" s="32">
        <v>89.2</v>
      </c>
      <c r="CM45" s="32">
        <v>107.1</v>
      </c>
      <c r="CN45" s="32">
        <v>83.2</v>
      </c>
      <c r="CO45" s="32">
        <v>108.2</v>
      </c>
      <c r="CP45" s="32">
        <v>135.6</v>
      </c>
      <c r="CQ45" s="32">
        <v>51.7</v>
      </c>
      <c r="CR45" s="32">
        <v>93.6</v>
      </c>
      <c r="CS45" s="32">
        <v>118.3</v>
      </c>
      <c r="CT45" s="32">
        <v>86.1</v>
      </c>
      <c r="CU45" s="32">
        <v>63.7</v>
      </c>
      <c r="CV45" s="32">
        <v>96</v>
      </c>
      <c r="CW45" s="32">
        <v>14.8</v>
      </c>
      <c r="CX45" s="32">
        <v>65.5</v>
      </c>
      <c r="CY45" s="32">
        <v>72.099999999999994</v>
      </c>
      <c r="CZ45" s="32">
        <v>63.9</v>
      </c>
      <c r="DA45" s="32">
        <v>50.5</v>
      </c>
      <c r="DB45" s="32">
        <v>93</v>
      </c>
      <c r="DC45" s="32">
        <v>1.4</v>
      </c>
      <c r="DD45" s="32">
        <v>1.4</v>
      </c>
      <c r="DE45" s="32">
        <v>35.6</v>
      </c>
      <c r="DF45" s="32">
        <v>31</v>
      </c>
      <c r="DG45" s="32">
        <v>64.599999999999994</v>
      </c>
      <c r="DH45" s="32">
        <v>73</v>
      </c>
      <c r="DI45" s="32">
        <v>98</v>
      </c>
      <c r="DJ45" s="32">
        <v>98.3</v>
      </c>
      <c r="DK45" s="32">
        <v>98.3</v>
      </c>
      <c r="DL45" s="32">
        <v>36.799999999999997</v>
      </c>
      <c r="DM45" s="32">
        <v>64.900000000000006</v>
      </c>
      <c r="DN45" s="32">
        <v>41.1</v>
      </c>
      <c r="DO45" s="32">
        <v>76.2</v>
      </c>
      <c r="DP45" s="32">
        <v>29.5</v>
      </c>
      <c r="DQ45" s="32">
        <v>54.8</v>
      </c>
      <c r="DR45" s="32">
        <v>56.3</v>
      </c>
      <c r="DS45" s="32">
        <v>54.1</v>
      </c>
      <c r="DT45" s="32">
        <v>49.3</v>
      </c>
      <c r="DU45" s="32">
        <v>53.5</v>
      </c>
      <c r="DV45" s="32">
        <v>62.1</v>
      </c>
      <c r="DW45" s="32">
        <v>44.8</v>
      </c>
      <c r="DX45" s="32">
        <v>40.6</v>
      </c>
      <c r="DY45" s="32">
        <v>71.2</v>
      </c>
      <c r="DZ45" s="32">
        <v>88.4</v>
      </c>
      <c r="EA45" s="32">
        <v>88.4</v>
      </c>
      <c r="EB45" s="32">
        <v>52.5</v>
      </c>
      <c r="EC45" s="32">
        <v>51.2</v>
      </c>
      <c r="ED45" s="32">
        <v>54.8</v>
      </c>
      <c r="EE45" s="32">
        <v>61.1</v>
      </c>
      <c r="EF45" s="32">
        <v>41.1</v>
      </c>
      <c r="EG45" s="32">
        <v>52.4</v>
      </c>
      <c r="EH45" s="32">
        <v>72.7</v>
      </c>
      <c r="EI45" s="32">
        <v>47.2</v>
      </c>
      <c r="EJ45" s="32">
        <v>117.6</v>
      </c>
      <c r="EK45" s="32">
        <v>40.299999999999997</v>
      </c>
      <c r="EL45" s="32">
        <v>73.5</v>
      </c>
      <c r="EM45" s="32">
        <v>33.799999999999997</v>
      </c>
      <c r="EN45" s="32">
        <v>39.700000000000003</v>
      </c>
      <c r="EO45" s="32">
        <v>80.8</v>
      </c>
      <c r="EP45" s="32">
        <v>81.5</v>
      </c>
      <c r="EQ45" s="32">
        <v>81.5</v>
      </c>
      <c r="ER45" s="32">
        <v>90.4</v>
      </c>
      <c r="ES45" s="32">
        <v>90.4</v>
      </c>
      <c r="ET45" s="32">
        <v>74.400000000000006</v>
      </c>
      <c r="EU45" s="32">
        <v>79.599999999999994</v>
      </c>
      <c r="EV45" s="32">
        <v>79.599999999999994</v>
      </c>
      <c r="EW45" s="32">
        <v>72.2</v>
      </c>
      <c r="EX45" s="32">
        <v>87.2</v>
      </c>
      <c r="EY45" s="32">
        <v>60.4</v>
      </c>
      <c r="EZ45" s="32">
        <v>89.8</v>
      </c>
      <c r="FA45" s="32">
        <v>84.8</v>
      </c>
      <c r="FB45" s="32">
        <v>101.7</v>
      </c>
      <c r="FC45" s="32">
        <v>87.9</v>
      </c>
      <c r="FD45" s="32">
        <v>97.4</v>
      </c>
      <c r="FE45" s="32">
        <v>124.5</v>
      </c>
      <c r="FF45" s="32">
        <v>65.900000000000006</v>
      </c>
      <c r="FG45" s="32">
        <v>88.9</v>
      </c>
      <c r="FH45" s="32">
        <v>84.8</v>
      </c>
      <c r="FI45" s="32">
        <v>81</v>
      </c>
      <c r="FJ45" s="32">
        <v>91.5</v>
      </c>
      <c r="FK45" s="32">
        <v>174.3</v>
      </c>
      <c r="FL45" s="32">
        <v>174.3</v>
      </c>
    </row>
    <row r="46" spans="1:168" x14ac:dyDescent="0.2">
      <c r="A46" s="34" t="s">
        <v>1026</v>
      </c>
      <c r="B46" s="32">
        <v>70.400000000000006</v>
      </c>
      <c r="C46" s="32">
        <v>79</v>
      </c>
      <c r="D46" s="32">
        <v>96.2</v>
      </c>
      <c r="E46" s="32">
        <v>96.7</v>
      </c>
      <c r="F46" s="32">
        <v>406.3</v>
      </c>
      <c r="G46" s="32">
        <v>7288.9</v>
      </c>
      <c r="H46" s="32">
        <v>547.9</v>
      </c>
      <c r="I46" s="32">
        <v>64.5</v>
      </c>
      <c r="J46" s="32">
        <v>77.5</v>
      </c>
      <c r="K46" s="32">
        <v>91</v>
      </c>
      <c r="L46" s="32">
        <v>90.7</v>
      </c>
      <c r="M46" s="32">
        <v>84.3</v>
      </c>
      <c r="N46" s="32">
        <v>71.599999999999994</v>
      </c>
      <c r="O46" s="32">
        <v>363.7</v>
      </c>
      <c r="P46" s="32">
        <v>552.20000000000005</v>
      </c>
      <c r="Q46" s="32">
        <v>163.9</v>
      </c>
      <c r="R46" s="32">
        <v>67.599999999999994</v>
      </c>
      <c r="S46" s="32">
        <v>105.7</v>
      </c>
      <c r="T46" s="32">
        <v>102.3</v>
      </c>
      <c r="U46" s="32">
        <v>44.6</v>
      </c>
      <c r="V46" s="32">
        <v>115</v>
      </c>
      <c r="W46" s="32">
        <v>49.9</v>
      </c>
      <c r="X46" s="32">
        <v>34.799999999999997</v>
      </c>
      <c r="Y46" s="32">
        <v>62.4</v>
      </c>
      <c r="Z46" s="32">
        <v>171.9</v>
      </c>
      <c r="AA46" s="32">
        <v>76.7</v>
      </c>
      <c r="AB46" s="32">
        <v>84.9</v>
      </c>
      <c r="AC46" s="32">
        <v>59.7</v>
      </c>
      <c r="AD46" s="32">
        <v>93.7</v>
      </c>
      <c r="AE46" s="32">
        <v>156.6</v>
      </c>
      <c r="AF46" s="32">
        <v>156.6</v>
      </c>
      <c r="AG46" s="32">
        <v>70.599999999999994</v>
      </c>
      <c r="AH46" s="32">
        <v>70.599999999999994</v>
      </c>
      <c r="AI46" s="32">
        <v>219</v>
      </c>
      <c r="AJ46" s="32">
        <v>93.4</v>
      </c>
      <c r="AK46" s="32">
        <v>911</v>
      </c>
      <c r="AL46" s="32">
        <v>112.3</v>
      </c>
      <c r="AM46" s="32">
        <v>24.1</v>
      </c>
      <c r="AN46" s="32">
        <v>121.6</v>
      </c>
      <c r="AO46" s="32">
        <v>77.7</v>
      </c>
      <c r="AP46" s="32">
        <v>77.7</v>
      </c>
      <c r="AQ46" s="32">
        <v>108.7</v>
      </c>
      <c r="AR46" s="32">
        <v>106.8</v>
      </c>
      <c r="AS46" s="32">
        <v>113.8</v>
      </c>
      <c r="AT46" s="32">
        <v>115.5</v>
      </c>
      <c r="AU46" s="32">
        <v>107.8</v>
      </c>
      <c r="AV46" s="32">
        <v>115.3</v>
      </c>
      <c r="AW46" s="32">
        <v>214.3</v>
      </c>
      <c r="AX46" s="32">
        <v>402</v>
      </c>
      <c r="AY46" s="32">
        <v>240</v>
      </c>
      <c r="AZ46" s="32">
        <v>98.9</v>
      </c>
      <c r="BA46" s="32">
        <v>23.8</v>
      </c>
      <c r="BB46" s="32">
        <v>23.8</v>
      </c>
      <c r="BC46" s="32">
        <v>109.4</v>
      </c>
      <c r="BD46" s="32">
        <v>109.4</v>
      </c>
      <c r="BE46" s="32">
        <v>89.8</v>
      </c>
      <c r="BF46" s="32">
        <v>89.8</v>
      </c>
      <c r="BG46" s="32">
        <v>73.900000000000006</v>
      </c>
      <c r="BH46" s="32">
        <v>60.6</v>
      </c>
      <c r="BI46" s="32">
        <v>86</v>
      </c>
      <c r="BJ46" s="32">
        <v>27.9</v>
      </c>
      <c r="BK46" s="32">
        <v>124.6</v>
      </c>
      <c r="BL46" s="32">
        <v>27.8</v>
      </c>
      <c r="BM46" s="32">
        <v>89.6</v>
      </c>
      <c r="BN46" s="32">
        <v>90</v>
      </c>
      <c r="BO46" s="32">
        <v>96</v>
      </c>
      <c r="BP46" s="32">
        <v>84.2</v>
      </c>
      <c r="BQ46" s="32">
        <v>91.9</v>
      </c>
      <c r="BR46" s="32">
        <v>65.400000000000006</v>
      </c>
      <c r="BS46" s="32">
        <v>236.9</v>
      </c>
      <c r="BT46" s="32">
        <v>66.099999999999994</v>
      </c>
      <c r="BU46" s="32">
        <v>120</v>
      </c>
      <c r="BV46" s="32">
        <v>120</v>
      </c>
      <c r="BW46" s="32">
        <v>169.6</v>
      </c>
      <c r="BX46" s="32">
        <v>60.7</v>
      </c>
      <c r="BY46" s="32">
        <v>107.1</v>
      </c>
      <c r="BZ46" s="32">
        <v>112.2</v>
      </c>
      <c r="CA46" s="32">
        <v>105.1</v>
      </c>
      <c r="CB46" s="32">
        <v>107.4</v>
      </c>
      <c r="CC46" s="32">
        <v>112.7</v>
      </c>
      <c r="CD46" s="32">
        <v>33.299999999999997</v>
      </c>
      <c r="CE46" s="32">
        <v>97.8</v>
      </c>
      <c r="CF46" s="32">
        <v>64.900000000000006</v>
      </c>
      <c r="CG46" s="32">
        <v>88.8</v>
      </c>
      <c r="CH46" s="32">
        <v>89.9</v>
      </c>
      <c r="CI46" s="32">
        <v>114.3</v>
      </c>
      <c r="CJ46" s="32">
        <v>73.599999999999994</v>
      </c>
      <c r="CK46" s="32">
        <v>98</v>
      </c>
      <c r="CL46" s="32">
        <v>87.9</v>
      </c>
      <c r="CM46" s="32">
        <v>107.1</v>
      </c>
      <c r="CN46" s="32">
        <v>84.4</v>
      </c>
      <c r="CO46" s="32">
        <v>108.1</v>
      </c>
      <c r="CP46" s="32">
        <v>136</v>
      </c>
      <c r="CQ46" s="32">
        <v>52.3</v>
      </c>
      <c r="CR46" s="32">
        <v>89</v>
      </c>
      <c r="CS46" s="32">
        <v>114.8</v>
      </c>
      <c r="CT46" s="32">
        <v>84.6</v>
      </c>
      <c r="CU46" s="32">
        <v>62.3</v>
      </c>
      <c r="CV46" s="32">
        <v>94.4</v>
      </c>
      <c r="CW46" s="32">
        <v>15.5</v>
      </c>
      <c r="CX46" s="32">
        <v>64.900000000000006</v>
      </c>
      <c r="CY46" s="32">
        <v>70.900000000000006</v>
      </c>
      <c r="CZ46" s="32">
        <v>63.9</v>
      </c>
      <c r="DA46" s="32">
        <v>50.2</v>
      </c>
      <c r="DB46" s="32">
        <v>94.1</v>
      </c>
      <c r="DC46" s="32">
        <v>1.5</v>
      </c>
      <c r="DD46" s="32">
        <v>1.5</v>
      </c>
      <c r="DE46" s="32">
        <v>39.299999999999997</v>
      </c>
      <c r="DF46" s="32">
        <v>33.5</v>
      </c>
      <c r="DG46" s="32">
        <v>77</v>
      </c>
      <c r="DH46" s="32">
        <v>72.900000000000006</v>
      </c>
      <c r="DI46" s="32">
        <v>99.6</v>
      </c>
      <c r="DJ46" s="32">
        <v>98.4</v>
      </c>
      <c r="DK46" s="32">
        <v>98.4</v>
      </c>
      <c r="DL46" s="32">
        <v>34.200000000000003</v>
      </c>
      <c r="DM46" s="32">
        <v>65</v>
      </c>
      <c r="DN46" s="32">
        <v>41</v>
      </c>
      <c r="DO46" s="32">
        <v>76.2</v>
      </c>
      <c r="DP46" s="32">
        <v>30.8</v>
      </c>
      <c r="DQ46" s="32">
        <v>55.4</v>
      </c>
      <c r="DR46" s="32">
        <v>56.9</v>
      </c>
      <c r="DS46" s="32">
        <v>54.9</v>
      </c>
      <c r="DT46" s="32">
        <v>50.9</v>
      </c>
      <c r="DU46" s="32">
        <v>54.9</v>
      </c>
      <c r="DV46" s="32">
        <v>61</v>
      </c>
      <c r="DW46" s="32">
        <v>48.4</v>
      </c>
      <c r="DX46" s="32">
        <v>42.6</v>
      </c>
      <c r="DY46" s="32">
        <v>69.400000000000006</v>
      </c>
      <c r="DZ46" s="32">
        <v>85.4</v>
      </c>
      <c r="EA46" s="32">
        <v>85.4</v>
      </c>
      <c r="EB46" s="32">
        <v>53.8</v>
      </c>
      <c r="EC46" s="32">
        <v>53</v>
      </c>
      <c r="ED46" s="32">
        <v>55.2</v>
      </c>
      <c r="EE46" s="32">
        <v>61.6</v>
      </c>
      <c r="EF46" s="32">
        <v>41.5</v>
      </c>
      <c r="EG46" s="32">
        <v>52.8</v>
      </c>
      <c r="EH46" s="32">
        <v>73.400000000000006</v>
      </c>
      <c r="EI46" s="32">
        <v>48.1</v>
      </c>
      <c r="EJ46" s="32">
        <v>120.5</v>
      </c>
      <c r="EK46" s="32">
        <v>40</v>
      </c>
      <c r="EL46" s="32">
        <v>69.400000000000006</v>
      </c>
      <c r="EM46" s="32">
        <v>34</v>
      </c>
      <c r="EN46" s="32">
        <v>39.5</v>
      </c>
      <c r="EO46" s="32">
        <v>81.099999999999994</v>
      </c>
      <c r="EP46" s="32">
        <v>81.400000000000006</v>
      </c>
      <c r="EQ46" s="32">
        <v>81.400000000000006</v>
      </c>
      <c r="ER46" s="32">
        <v>90.6</v>
      </c>
      <c r="ES46" s="32">
        <v>90.6</v>
      </c>
      <c r="ET46" s="32">
        <v>75</v>
      </c>
      <c r="EU46" s="32">
        <v>80.3</v>
      </c>
      <c r="EV46" s="32">
        <v>80.3</v>
      </c>
      <c r="EW46" s="32">
        <v>72.8</v>
      </c>
      <c r="EX46" s="32">
        <v>87.9</v>
      </c>
      <c r="EY46" s="32">
        <v>60.8</v>
      </c>
      <c r="EZ46" s="32">
        <v>90</v>
      </c>
      <c r="FA46" s="32">
        <v>84.8</v>
      </c>
      <c r="FB46" s="32">
        <v>101.4</v>
      </c>
      <c r="FC46" s="32">
        <v>87.9</v>
      </c>
      <c r="FD46" s="32">
        <v>98</v>
      </c>
      <c r="FE46" s="32">
        <v>123</v>
      </c>
      <c r="FF46" s="32">
        <v>66.3</v>
      </c>
      <c r="FG46" s="32">
        <v>88.4</v>
      </c>
      <c r="FH46" s="32">
        <v>83.2</v>
      </c>
      <c r="FI46" s="32">
        <v>105.2</v>
      </c>
      <c r="FJ46" s="32">
        <v>88.4</v>
      </c>
      <c r="FK46" s="32">
        <v>185.3</v>
      </c>
      <c r="FL46" s="32">
        <v>185.3</v>
      </c>
    </row>
    <row r="47" spans="1:168" x14ac:dyDescent="0.2">
      <c r="A47" s="34" t="s">
        <v>1027</v>
      </c>
      <c r="B47" s="32">
        <v>70.599999999999994</v>
      </c>
      <c r="C47" s="32">
        <v>79.400000000000006</v>
      </c>
      <c r="D47" s="32">
        <v>96.2</v>
      </c>
      <c r="E47" s="32">
        <v>97.2</v>
      </c>
      <c r="F47" s="32">
        <v>422.5</v>
      </c>
      <c r="G47" s="32">
        <v>8013.6</v>
      </c>
      <c r="H47" s="32">
        <v>573</v>
      </c>
      <c r="I47" s="32">
        <v>64.8</v>
      </c>
      <c r="J47" s="32">
        <v>77.7</v>
      </c>
      <c r="K47" s="32">
        <v>91.4</v>
      </c>
      <c r="L47" s="32">
        <v>91.8</v>
      </c>
      <c r="M47" s="32">
        <v>85.3</v>
      </c>
      <c r="N47" s="32">
        <v>72.5</v>
      </c>
      <c r="O47" s="32">
        <v>387</v>
      </c>
      <c r="P47" s="32">
        <v>542.1</v>
      </c>
      <c r="Q47" s="32">
        <v>159.69999999999999</v>
      </c>
      <c r="R47" s="32">
        <v>68.900000000000006</v>
      </c>
      <c r="S47" s="32">
        <v>108.3</v>
      </c>
      <c r="T47" s="32">
        <v>98.2</v>
      </c>
      <c r="U47" s="32">
        <v>42.7</v>
      </c>
      <c r="V47" s="32">
        <v>113.6</v>
      </c>
      <c r="W47" s="32">
        <v>50.9</v>
      </c>
      <c r="X47" s="32">
        <v>35</v>
      </c>
      <c r="Y47" s="32">
        <v>65.400000000000006</v>
      </c>
      <c r="Z47" s="32">
        <v>164.3</v>
      </c>
      <c r="AA47" s="32">
        <v>76.8</v>
      </c>
      <c r="AB47" s="32">
        <v>83.1</v>
      </c>
      <c r="AC47" s="32">
        <v>58.7</v>
      </c>
      <c r="AD47" s="32">
        <v>95.6</v>
      </c>
      <c r="AE47" s="32">
        <v>150.6</v>
      </c>
      <c r="AF47" s="32">
        <v>150.6</v>
      </c>
      <c r="AG47" s="32">
        <v>71</v>
      </c>
      <c r="AH47" s="32">
        <v>71</v>
      </c>
      <c r="AI47" s="32">
        <v>207.3</v>
      </c>
      <c r="AJ47" s="32">
        <v>89.2</v>
      </c>
      <c r="AK47" s="32">
        <v>950.1</v>
      </c>
      <c r="AL47" s="32">
        <v>115.8</v>
      </c>
      <c r="AM47" s="32">
        <v>26.7</v>
      </c>
      <c r="AN47" s="32">
        <v>124.3</v>
      </c>
      <c r="AO47" s="32">
        <v>78.900000000000006</v>
      </c>
      <c r="AP47" s="32">
        <v>78.900000000000006</v>
      </c>
      <c r="AQ47" s="32">
        <v>109.2</v>
      </c>
      <c r="AR47" s="32">
        <v>105.9</v>
      </c>
      <c r="AS47" s="32">
        <v>116.6</v>
      </c>
      <c r="AT47" s="32">
        <v>119.2</v>
      </c>
      <c r="AU47" s="32">
        <v>109.3</v>
      </c>
      <c r="AV47" s="32">
        <v>114.5</v>
      </c>
      <c r="AW47" s="32">
        <v>211.5</v>
      </c>
      <c r="AX47" s="32">
        <v>396.2</v>
      </c>
      <c r="AY47" s="32">
        <v>238</v>
      </c>
      <c r="AZ47" s="32">
        <v>98.4</v>
      </c>
      <c r="BA47" s="32">
        <v>24.5</v>
      </c>
      <c r="BB47" s="32">
        <v>24.5</v>
      </c>
      <c r="BC47" s="32">
        <v>110.1</v>
      </c>
      <c r="BD47" s="32">
        <v>110.1</v>
      </c>
      <c r="BE47" s="32">
        <v>89.4</v>
      </c>
      <c r="BF47" s="32">
        <v>89.4</v>
      </c>
      <c r="BG47" s="32">
        <v>73.8</v>
      </c>
      <c r="BH47" s="32">
        <v>58.6</v>
      </c>
      <c r="BI47" s="32">
        <v>88.7</v>
      </c>
      <c r="BJ47" s="32">
        <v>26.5</v>
      </c>
      <c r="BK47" s="32">
        <v>128.30000000000001</v>
      </c>
      <c r="BL47" s="32">
        <v>32.9</v>
      </c>
      <c r="BM47" s="32">
        <v>87.8</v>
      </c>
      <c r="BN47" s="32">
        <v>87.4</v>
      </c>
      <c r="BO47" s="32">
        <v>92</v>
      </c>
      <c r="BP47" s="32">
        <v>82.9</v>
      </c>
      <c r="BQ47" s="32">
        <v>91.1</v>
      </c>
      <c r="BR47" s="32">
        <v>61.3</v>
      </c>
      <c r="BS47" s="32">
        <v>217.1</v>
      </c>
      <c r="BT47" s="32">
        <v>68.099999999999994</v>
      </c>
      <c r="BU47" s="32">
        <v>115.1</v>
      </c>
      <c r="BV47" s="32">
        <v>115.1</v>
      </c>
      <c r="BW47" s="32">
        <v>164</v>
      </c>
      <c r="BX47" s="32">
        <v>55.6</v>
      </c>
      <c r="BY47" s="32">
        <v>110.3</v>
      </c>
      <c r="BZ47" s="32">
        <v>111.4</v>
      </c>
      <c r="CA47" s="32">
        <v>110.3</v>
      </c>
      <c r="CB47" s="32">
        <v>115.9</v>
      </c>
      <c r="CC47" s="32">
        <v>113.9</v>
      </c>
      <c r="CD47" s="32">
        <v>33.700000000000003</v>
      </c>
      <c r="CE47" s="32">
        <v>96.4</v>
      </c>
      <c r="CF47" s="32">
        <v>65.2</v>
      </c>
      <c r="CG47" s="32">
        <v>88.5</v>
      </c>
      <c r="CH47" s="32">
        <v>89.6</v>
      </c>
      <c r="CI47" s="32">
        <v>119</v>
      </c>
      <c r="CJ47" s="32">
        <v>72.099999999999994</v>
      </c>
      <c r="CK47" s="32">
        <v>98</v>
      </c>
      <c r="CL47" s="32">
        <v>88.2</v>
      </c>
      <c r="CM47" s="32">
        <v>107.8</v>
      </c>
      <c r="CN47" s="32">
        <v>87.2</v>
      </c>
      <c r="CO47" s="32">
        <v>108.3</v>
      </c>
      <c r="CP47" s="32">
        <v>137.4</v>
      </c>
      <c r="CQ47" s="32">
        <v>49.4</v>
      </c>
      <c r="CR47" s="32">
        <v>92.5</v>
      </c>
      <c r="CS47" s="32">
        <v>112.9</v>
      </c>
      <c r="CT47" s="32">
        <v>83.3</v>
      </c>
      <c r="CU47" s="32">
        <v>62.4</v>
      </c>
      <c r="CV47" s="32">
        <v>92.5</v>
      </c>
      <c r="CW47" s="32">
        <v>16.2</v>
      </c>
      <c r="CX47" s="32">
        <v>67.5</v>
      </c>
      <c r="CY47" s="32">
        <v>76.2</v>
      </c>
      <c r="CZ47" s="32">
        <v>64.2</v>
      </c>
      <c r="DA47" s="32">
        <v>50.2</v>
      </c>
      <c r="DB47" s="32">
        <v>95.3</v>
      </c>
      <c r="DC47" s="32">
        <v>1.6</v>
      </c>
      <c r="DD47" s="32">
        <v>1.6</v>
      </c>
      <c r="DE47" s="32">
        <v>39.299999999999997</v>
      </c>
      <c r="DF47" s="32">
        <v>33.200000000000003</v>
      </c>
      <c r="DG47" s="32">
        <v>79.599999999999994</v>
      </c>
      <c r="DH47" s="32">
        <v>73.2</v>
      </c>
      <c r="DI47" s="32">
        <v>99.9</v>
      </c>
      <c r="DJ47" s="32">
        <v>99.9</v>
      </c>
      <c r="DK47" s="32">
        <v>99.9</v>
      </c>
      <c r="DL47" s="32">
        <v>33.700000000000003</v>
      </c>
      <c r="DM47" s="32">
        <v>64.900000000000006</v>
      </c>
      <c r="DN47" s="32">
        <v>40.6</v>
      </c>
      <c r="DO47" s="32">
        <v>76.3</v>
      </c>
      <c r="DP47" s="32">
        <v>31.7</v>
      </c>
      <c r="DQ47" s="32">
        <v>55.8</v>
      </c>
      <c r="DR47" s="32">
        <v>57.4</v>
      </c>
      <c r="DS47" s="32">
        <v>55.2</v>
      </c>
      <c r="DT47" s="32">
        <v>49.7</v>
      </c>
      <c r="DU47" s="32">
        <v>52.4</v>
      </c>
      <c r="DV47" s="32">
        <v>61.1</v>
      </c>
      <c r="DW47" s="32">
        <v>43.7</v>
      </c>
      <c r="DX47" s="32">
        <v>44.2</v>
      </c>
      <c r="DY47" s="32">
        <v>74.5</v>
      </c>
      <c r="DZ47" s="32">
        <v>87.2</v>
      </c>
      <c r="EA47" s="32">
        <v>87.2</v>
      </c>
      <c r="EB47" s="32">
        <v>54.5</v>
      </c>
      <c r="EC47" s="32">
        <v>52.8</v>
      </c>
      <c r="ED47" s="32">
        <v>57.3</v>
      </c>
      <c r="EE47" s="32">
        <v>64.5</v>
      </c>
      <c r="EF47" s="32">
        <v>41.6</v>
      </c>
      <c r="EG47" s="32">
        <v>53</v>
      </c>
      <c r="EH47" s="32">
        <v>71.900000000000006</v>
      </c>
      <c r="EI47" s="32">
        <v>49.3</v>
      </c>
      <c r="EJ47" s="32">
        <v>119.5</v>
      </c>
      <c r="EK47" s="32">
        <v>40.5</v>
      </c>
      <c r="EL47" s="32">
        <v>68.599999999999994</v>
      </c>
      <c r="EM47" s="32">
        <v>33.5</v>
      </c>
      <c r="EN47" s="32">
        <v>40.9</v>
      </c>
      <c r="EO47" s="32">
        <v>81.3</v>
      </c>
      <c r="EP47" s="32">
        <v>81.3</v>
      </c>
      <c r="EQ47" s="32">
        <v>81.3</v>
      </c>
      <c r="ER47" s="32">
        <v>90.9</v>
      </c>
      <c r="ES47" s="32">
        <v>90.9</v>
      </c>
      <c r="ET47" s="32">
        <v>75.3</v>
      </c>
      <c r="EU47" s="32">
        <v>80.599999999999994</v>
      </c>
      <c r="EV47" s="32">
        <v>80.599999999999994</v>
      </c>
      <c r="EW47" s="32">
        <v>73.3</v>
      </c>
      <c r="EX47" s="32">
        <v>88.6</v>
      </c>
      <c r="EY47" s="32">
        <v>61.2</v>
      </c>
      <c r="EZ47" s="32">
        <v>89.9</v>
      </c>
      <c r="FA47" s="32">
        <v>85</v>
      </c>
      <c r="FB47" s="32">
        <v>101.7</v>
      </c>
      <c r="FC47" s="32">
        <v>87.8</v>
      </c>
      <c r="FD47" s="32">
        <v>99</v>
      </c>
      <c r="FE47" s="32">
        <v>123.4</v>
      </c>
      <c r="FF47" s="32">
        <v>66.3</v>
      </c>
      <c r="FG47" s="32">
        <v>88.1</v>
      </c>
      <c r="FH47" s="32">
        <v>83.7</v>
      </c>
      <c r="FI47" s="32">
        <v>92.4</v>
      </c>
      <c r="FJ47" s="32">
        <v>89.3</v>
      </c>
      <c r="FK47" s="32">
        <v>185.9</v>
      </c>
      <c r="FL47" s="32">
        <v>185.9</v>
      </c>
    </row>
    <row r="48" spans="1:168" x14ac:dyDescent="0.2">
      <c r="A48" s="34" t="s">
        <v>1028</v>
      </c>
      <c r="B48" s="32">
        <v>70.400000000000006</v>
      </c>
      <c r="C48" s="32">
        <v>79.900000000000006</v>
      </c>
      <c r="D48" s="32">
        <v>95.7</v>
      </c>
      <c r="E48" s="32">
        <v>96.8</v>
      </c>
      <c r="F48" s="32">
        <v>409.7</v>
      </c>
      <c r="G48" s="32">
        <v>7186.6</v>
      </c>
      <c r="H48" s="32">
        <v>553.70000000000005</v>
      </c>
      <c r="I48" s="32">
        <v>64.8</v>
      </c>
      <c r="J48" s="32">
        <v>77.5</v>
      </c>
      <c r="K48" s="32">
        <v>91.8</v>
      </c>
      <c r="L48" s="32">
        <v>92.6</v>
      </c>
      <c r="M48" s="32">
        <v>91.5</v>
      </c>
      <c r="N48" s="32">
        <v>71</v>
      </c>
      <c r="O48" s="32">
        <v>374.4</v>
      </c>
      <c r="P48" s="32">
        <v>539.9</v>
      </c>
      <c r="Q48" s="32">
        <v>163.9</v>
      </c>
      <c r="R48" s="32">
        <v>69.900000000000006</v>
      </c>
      <c r="S48" s="32">
        <v>107.6</v>
      </c>
      <c r="T48" s="32">
        <v>97.2</v>
      </c>
      <c r="U48" s="32">
        <v>38.1</v>
      </c>
      <c r="V48" s="32">
        <v>115.7</v>
      </c>
      <c r="W48" s="32">
        <v>50.3</v>
      </c>
      <c r="X48" s="32">
        <v>35.4</v>
      </c>
      <c r="Y48" s="32">
        <v>63.9</v>
      </c>
      <c r="Z48" s="32">
        <v>155.1</v>
      </c>
      <c r="AA48" s="32">
        <v>77.099999999999994</v>
      </c>
      <c r="AB48" s="32">
        <v>85.1</v>
      </c>
      <c r="AC48" s="32">
        <v>58.4</v>
      </c>
      <c r="AD48" s="32">
        <v>95.8</v>
      </c>
      <c r="AE48" s="32">
        <v>148.19999999999999</v>
      </c>
      <c r="AF48" s="32">
        <v>148.19999999999999</v>
      </c>
      <c r="AG48" s="32">
        <v>72.3</v>
      </c>
      <c r="AH48" s="32">
        <v>72.3</v>
      </c>
      <c r="AI48" s="32">
        <v>227.9</v>
      </c>
      <c r="AJ48" s="32">
        <v>93.5</v>
      </c>
      <c r="AK48" s="32">
        <v>928.9</v>
      </c>
      <c r="AL48" s="32">
        <v>120.4</v>
      </c>
      <c r="AM48" s="32">
        <v>25.4</v>
      </c>
      <c r="AN48" s="32">
        <v>120.9</v>
      </c>
      <c r="AO48" s="32">
        <v>71.7</v>
      </c>
      <c r="AP48" s="32">
        <v>71.7</v>
      </c>
      <c r="AQ48" s="32">
        <v>110.9</v>
      </c>
      <c r="AR48" s="32">
        <v>106.9</v>
      </c>
      <c r="AS48" s="32">
        <v>119.3</v>
      </c>
      <c r="AT48" s="32">
        <v>120.9</v>
      </c>
      <c r="AU48" s="32">
        <v>113.3</v>
      </c>
      <c r="AV48" s="32">
        <v>114.6</v>
      </c>
      <c r="AW48" s="32">
        <v>208</v>
      </c>
      <c r="AX48" s="32">
        <v>394.9</v>
      </c>
      <c r="AY48" s="32">
        <v>231.7</v>
      </c>
      <c r="AZ48" s="32">
        <v>99.2</v>
      </c>
      <c r="BA48" s="32">
        <v>24.9</v>
      </c>
      <c r="BB48" s="32">
        <v>24.9</v>
      </c>
      <c r="BC48" s="32">
        <v>111.7</v>
      </c>
      <c r="BD48" s="32">
        <v>111.7</v>
      </c>
      <c r="BE48" s="32">
        <v>90</v>
      </c>
      <c r="BF48" s="32">
        <v>90</v>
      </c>
      <c r="BG48" s="32">
        <v>73.400000000000006</v>
      </c>
      <c r="BH48" s="32">
        <v>58</v>
      </c>
      <c r="BI48" s="32">
        <v>88.6</v>
      </c>
      <c r="BJ48" s="32">
        <v>25.5</v>
      </c>
      <c r="BK48" s="32">
        <v>130.1</v>
      </c>
      <c r="BL48" s="32">
        <v>29.3</v>
      </c>
      <c r="BM48" s="32">
        <v>85.5</v>
      </c>
      <c r="BN48" s="32">
        <v>86.6</v>
      </c>
      <c r="BO48" s="32">
        <v>90.8</v>
      </c>
      <c r="BP48" s="32">
        <v>82.4</v>
      </c>
      <c r="BQ48" s="32">
        <v>86.8</v>
      </c>
      <c r="BR48" s="32">
        <v>62.5</v>
      </c>
      <c r="BS48" s="32">
        <v>227.7</v>
      </c>
      <c r="BT48" s="32">
        <v>61.8</v>
      </c>
      <c r="BU48" s="32">
        <v>116.4</v>
      </c>
      <c r="BV48" s="32">
        <v>116.4</v>
      </c>
      <c r="BW48" s="32">
        <v>165.4</v>
      </c>
      <c r="BX48" s="32">
        <v>57.5</v>
      </c>
      <c r="BY48" s="32">
        <v>110.5</v>
      </c>
      <c r="BZ48" s="32">
        <v>112</v>
      </c>
      <c r="CA48" s="32">
        <v>110.2</v>
      </c>
      <c r="CB48" s="32">
        <v>114.7</v>
      </c>
      <c r="CC48" s="32">
        <v>115.4</v>
      </c>
      <c r="CD48" s="32">
        <v>34.1</v>
      </c>
      <c r="CE48" s="32">
        <v>95.3</v>
      </c>
      <c r="CF48" s="32">
        <v>65</v>
      </c>
      <c r="CG48" s="32">
        <v>86.8</v>
      </c>
      <c r="CH48" s="32">
        <v>85.9</v>
      </c>
      <c r="CI48" s="32">
        <v>110.1</v>
      </c>
      <c r="CJ48" s="32">
        <v>66.5</v>
      </c>
      <c r="CK48" s="32">
        <v>97.7</v>
      </c>
      <c r="CL48" s="32">
        <v>90.8</v>
      </c>
      <c r="CM48" s="32">
        <v>108.2</v>
      </c>
      <c r="CN48" s="32">
        <v>91</v>
      </c>
      <c r="CO48" s="32">
        <v>108.1</v>
      </c>
      <c r="CP48" s="32">
        <v>140.80000000000001</v>
      </c>
      <c r="CQ48" s="32">
        <v>50.2</v>
      </c>
      <c r="CR48" s="32">
        <v>94.7</v>
      </c>
      <c r="CS48" s="32">
        <v>125.6</v>
      </c>
      <c r="CT48" s="32">
        <v>84.1</v>
      </c>
      <c r="CU48" s="32">
        <v>60.5</v>
      </c>
      <c r="CV48" s="32">
        <v>94.5</v>
      </c>
      <c r="CW48" s="32">
        <v>15.9</v>
      </c>
      <c r="CX48" s="32">
        <v>67.400000000000006</v>
      </c>
      <c r="CY48" s="32">
        <v>74.7</v>
      </c>
      <c r="CZ48" s="32">
        <v>65.400000000000006</v>
      </c>
      <c r="DA48" s="32">
        <v>51.1</v>
      </c>
      <c r="DB48" s="32">
        <v>97.1</v>
      </c>
      <c r="DC48" s="32">
        <v>1.6</v>
      </c>
      <c r="DD48" s="32">
        <v>1.6</v>
      </c>
      <c r="DE48" s="32">
        <v>37.200000000000003</v>
      </c>
      <c r="DF48" s="32">
        <v>31.6</v>
      </c>
      <c r="DG48" s="32">
        <v>73.8</v>
      </c>
      <c r="DH48" s="32">
        <v>73.400000000000006</v>
      </c>
      <c r="DI48" s="32">
        <v>99.7</v>
      </c>
      <c r="DJ48" s="32">
        <v>99.6</v>
      </c>
      <c r="DK48" s="32">
        <v>99.6</v>
      </c>
      <c r="DL48" s="32">
        <v>34.700000000000003</v>
      </c>
      <c r="DM48" s="32">
        <v>65.3</v>
      </c>
      <c r="DN48" s="32">
        <v>41.2</v>
      </c>
      <c r="DO48" s="32">
        <v>76.599999999999994</v>
      </c>
      <c r="DP48" s="32">
        <v>32.6</v>
      </c>
      <c r="DQ48" s="32">
        <v>56.3</v>
      </c>
      <c r="DR48" s="32">
        <v>57.6</v>
      </c>
      <c r="DS48" s="32">
        <v>55.7</v>
      </c>
      <c r="DT48" s="32">
        <v>51</v>
      </c>
      <c r="DU48" s="32">
        <v>53.5</v>
      </c>
      <c r="DV48" s="32">
        <v>61.3</v>
      </c>
      <c r="DW48" s="32">
        <v>45.5</v>
      </c>
      <c r="DX48" s="32">
        <v>45.7</v>
      </c>
      <c r="DY48" s="32">
        <v>72.599999999999994</v>
      </c>
      <c r="DZ48" s="32">
        <v>79.7</v>
      </c>
      <c r="EA48" s="32">
        <v>79.7</v>
      </c>
      <c r="EB48" s="32">
        <v>55.7</v>
      </c>
      <c r="EC48" s="32">
        <v>52.9</v>
      </c>
      <c r="ED48" s="32">
        <v>60</v>
      </c>
      <c r="EE48" s="32">
        <v>68.2</v>
      </c>
      <c r="EF48" s="32">
        <v>42</v>
      </c>
      <c r="EG48" s="32">
        <v>54.1</v>
      </c>
      <c r="EH48" s="32">
        <v>73.5</v>
      </c>
      <c r="EI48" s="32">
        <v>49.9</v>
      </c>
      <c r="EJ48" s="32">
        <v>114.9</v>
      </c>
      <c r="EK48" s="32">
        <v>42</v>
      </c>
      <c r="EL48" s="32">
        <v>68.3</v>
      </c>
      <c r="EM48" s="32">
        <v>33.1</v>
      </c>
      <c r="EN48" s="32">
        <v>44.1</v>
      </c>
      <c r="EO48" s="32">
        <v>81.599999999999994</v>
      </c>
      <c r="EP48" s="32">
        <v>81.8</v>
      </c>
      <c r="EQ48" s="32">
        <v>81.8</v>
      </c>
      <c r="ER48" s="32">
        <v>91.1</v>
      </c>
      <c r="ES48" s="32">
        <v>91.1</v>
      </c>
      <c r="ET48" s="32">
        <v>75.7</v>
      </c>
      <c r="EU48" s="32">
        <v>80.8</v>
      </c>
      <c r="EV48" s="32">
        <v>80.8</v>
      </c>
      <c r="EW48" s="32">
        <v>73.8</v>
      </c>
      <c r="EX48" s="32">
        <v>89.2</v>
      </c>
      <c r="EY48" s="32">
        <v>61.6</v>
      </c>
      <c r="EZ48" s="32">
        <v>91.8</v>
      </c>
      <c r="FA48" s="32">
        <v>85.8</v>
      </c>
      <c r="FB48" s="32">
        <v>102.9</v>
      </c>
      <c r="FC48" s="32">
        <v>89.2</v>
      </c>
      <c r="FD48" s="32">
        <v>99.9</v>
      </c>
      <c r="FE48" s="32">
        <v>124.6</v>
      </c>
      <c r="FF48" s="32">
        <v>66.7</v>
      </c>
      <c r="FG48" s="32">
        <v>91.5</v>
      </c>
      <c r="FH48" s="32">
        <v>87.1</v>
      </c>
      <c r="FI48" s="32">
        <v>94.9</v>
      </c>
      <c r="FJ48" s="32">
        <v>92.8</v>
      </c>
      <c r="FK48" s="32">
        <v>179.4</v>
      </c>
      <c r="FL48" s="32">
        <v>179.4</v>
      </c>
    </row>
    <row r="49" spans="1:168" x14ac:dyDescent="0.2">
      <c r="A49" s="34" t="s">
        <v>1029</v>
      </c>
      <c r="B49" s="32">
        <v>71.099999999999994</v>
      </c>
      <c r="C49" s="32">
        <v>80.2</v>
      </c>
      <c r="D49" s="32">
        <v>96.4</v>
      </c>
      <c r="E49" s="32">
        <v>97.9</v>
      </c>
      <c r="F49" s="32">
        <v>402.3</v>
      </c>
      <c r="G49" s="32">
        <v>6362.6</v>
      </c>
      <c r="H49" s="32">
        <v>548</v>
      </c>
      <c r="I49" s="32">
        <v>62.5</v>
      </c>
      <c r="J49" s="32">
        <v>78.599999999999994</v>
      </c>
      <c r="K49" s="32">
        <v>91.3</v>
      </c>
      <c r="L49" s="32">
        <v>91.7</v>
      </c>
      <c r="M49" s="32">
        <v>85.7</v>
      </c>
      <c r="N49" s="32">
        <v>70.900000000000006</v>
      </c>
      <c r="O49" s="32">
        <v>376.6</v>
      </c>
      <c r="P49" s="32">
        <v>529.4</v>
      </c>
      <c r="Q49" s="32">
        <v>159.9</v>
      </c>
      <c r="R49" s="32">
        <v>70.2</v>
      </c>
      <c r="S49" s="32">
        <v>109.2</v>
      </c>
      <c r="T49" s="32">
        <v>90</v>
      </c>
      <c r="U49" s="32">
        <v>41.3</v>
      </c>
      <c r="V49" s="32">
        <v>113.8</v>
      </c>
      <c r="W49" s="32">
        <v>50.6</v>
      </c>
      <c r="X49" s="32">
        <v>35.9</v>
      </c>
      <c r="Y49" s="32">
        <v>63.5</v>
      </c>
      <c r="Z49" s="32">
        <v>158.19999999999999</v>
      </c>
      <c r="AA49" s="32">
        <v>76.599999999999994</v>
      </c>
      <c r="AB49" s="32">
        <v>87.2</v>
      </c>
      <c r="AC49" s="32">
        <v>58.9</v>
      </c>
      <c r="AD49" s="32">
        <v>93.2</v>
      </c>
      <c r="AE49" s="32">
        <v>160.4</v>
      </c>
      <c r="AF49" s="32">
        <v>160.4</v>
      </c>
      <c r="AG49" s="32">
        <v>72.3</v>
      </c>
      <c r="AH49" s="32">
        <v>72.3</v>
      </c>
      <c r="AI49" s="32">
        <v>232.7</v>
      </c>
      <c r="AJ49" s="32">
        <v>95.1</v>
      </c>
      <c r="AK49" s="32">
        <v>888.5</v>
      </c>
      <c r="AL49" s="32">
        <v>112.9</v>
      </c>
      <c r="AM49" s="32">
        <v>25.1</v>
      </c>
      <c r="AN49" s="32">
        <v>124.9</v>
      </c>
      <c r="AO49" s="32">
        <v>76.7</v>
      </c>
      <c r="AP49" s="32">
        <v>76.7</v>
      </c>
      <c r="AQ49" s="32">
        <v>112.6</v>
      </c>
      <c r="AR49" s="32">
        <v>108.4</v>
      </c>
      <c r="AS49" s="32">
        <v>121.5</v>
      </c>
      <c r="AT49" s="32">
        <v>122.6</v>
      </c>
      <c r="AU49" s="32">
        <v>116.4</v>
      </c>
      <c r="AV49" s="32">
        <v>115.4</v>
      </c>
      <c r="AW49" s="32">
        <v>209.6</v>
      </c>
      <c r="AX49" s="32">
        <v>387.6</v>
      </c>
      <c r="AY49" s="32">
        <v>239.5</v>
      </c>
      <c r="AZ49" s="32">
        <v>99.9</v>
      </c>
      <c r="BA49" s="32">
        <v>26.5</v>
      </c>
      <c r="BB49" s="32">
        <v>26.5</v>
      </c>
      <c r="BC49" s="32">
        <v>112.8</v>
      </c>
      <c r="BD49" s="32">
        <v>112.8</v>
      </c>
      <c r="BE49" s="32">
        <v>90.7</v>
      </c>
      <c r="BF49" s="32">
        <v>90.7</v>
      </c>
      <c r="BG49" s="32">
        <v>73.599999999999994</v>
      </c>
      <c r="BH49" s="32">
        <v>57.2</v>
      </c>
      <c r="BI49" s="32">
        <v>90.3</v>
      </c>
      <c r="BJ49" s="32">
        <v>25.3</v>
      </c>
      <c r="BK49" s="32">
        <v>133.30000000000001</v>
      </c>
      <c r="BL49" s="32">
        <v>29.1</v>
      </c>
      <c r="BM49" s="32">
        <v>88.4</v>
      </c>
      <c r="BN49" s="32">
        <v>87</v>
      </c>
      <c r="BO49" s="32">
        <v>91.9</v>
      </c>
      <c r="BP49" s="32">
        <v>82.1</v>
      </c>
      <c r="BQ49" s="32">
        <v>93</v>
      </c>
      <c r="BR49" s="32">
        <v>55.7</v>
      </c>
      <c r="BS49" s="32">
        <v>241.4</v>
      </c>
      <c r="BT49" s="32">
        <v>67.599999999999994</v>
      </c>
      <c r="BU49" s="32">
        <v>118</v>
      </c>
      <c r="BV49" s="32">
        <v>118</v>
      </c>
      <c r="BW49" s="32">
        <v>167.8</v>
      </c>
      <c r="BX49" s="32">
        <v>58</v>
      </c>
      <c r="BY49" s="32">
        <v>110.8</v>
      </c>
      <c r="BZ49" s="32">
        <v>111.3</v>
      </c>
      <c r="CA49" s="32">
        <v>111</v>
      </c>
      <c r="CB49" s="32">
        <v>115</v>
      </c>
      <c r="CC49" s="32">
        <v>117.1</v>
      </c>
      <c r="CD49" s="32">
        <v>34.200000000000003</v>
      </c>
      <c r="CE49" s="32">
        <v>94.9</v>
      </c>
      <c r="CF49" s="32">
        <v>65.7</v>
      </c>
      <c r="CG49" s="32">
        <v>90.1</v>
      </c>
      <c r="CH49" s="32">
        <v>91.1</v>
      </c>
      <c r="CI49" s="32">
        <v>113.2</v>
      </c>
      <c r="CJ49" s="32">
        <v>75.599999999999994</v>
      </c>
      <c r="CK49" s="32">
        <v>99</v>
      </c>
      <c r="CL49" s="32">
        <v>90.6</v>
      </c>
      <c r="CM49" s="32">
        <v>107.6</v>
      </c>
      <c r="CN49" s="32">
        <v>90.6</v>
      </c>
      <c r="CO49" s="32">
        <v>107.5</v>
      </c>
      <c r="CP49" s="32">
        <v>143.6</v>
      </c>
      <c r="CQ49" s="32">
        <v>48.9</v>
      </c>
      <c r="CR49" s="32">
        <v>90.8</v>
      </c>
      <c r="CS49" s="32">
        <v>132.6</v>
      </c>
      <c r="CT49" s="32">
        <v>84.1</v>
      </c>
      <c r="CU49" s="32">
        <v>59.3</v>
      </c>
      <c r="CV49" s="32">
        <v>95.1</v>
      </c>
      <c r="CW49" s="32">
        <v>16.600000000000001</v>
      </c>
      <c r="CX49" s="32">
        <v>66.099999999999994</v>
      </c>
      <c r="CY49" s="32">
        <v>72.2</v>
      </c>
      <c r="CZ49" s="32">
        <v>64.900000000000006</v>
      </c>
      <c r="DA49" s="32">
        <v>50.5</v>
      </c>
      <c r="DB49" s="32">
        <v>97.1</v>
      </c>
      <c r="DC49" s="32">
        <v>1.7</v>
      </c>
      <c r="DD49" s="32">
        <v>1.7</v>
      </c>
      <c r="DE49" s="32">
        <v>40.200000000000003</v>
      </c>
      <c r="DF49" s="32">
        <v>34.4</v>
      </c>
      <c r="DG49" s="32">
        <v>78</v>
      </c>
      <c r="DH49" s="32">
        <v>72.3</v>
      </c>
      <c r="DI49" s="32">
        <v>98.4</v>
      </c>
      <c r="DJ49" s="32">
        <v>99.4</v>
      </c>
      <c r="DK49" s="32">
        <v>99.4</v>
      </c>
      <c r="DL49" s="32">
        <v>33.1</v>
      </c>
      <c r="DM49" s="32">
        <v>65.2</v>
      </c>
      <c r="DN49" s="32">
        <v>41.1</v>
      </c>
      <c r="DO49" s="32">
        <v>76.5</v>
      </c>
      <c r="DP49" s="32">
        <v>33.299999999999997</v>
      </c>
      <c r="DQ49" s="32">
        <v>55.7</v>
      </c>
      <c r="DR49" s="32">
        <v>56.9</v>
      </c>
      <c r="DS49" s="32">
        <v>54.9</v>
      </c>
      <c r="DT49" s="32">
        <v>50.7</v>
      </c>
      <c r="DU49" s="32">
        <v>52.9</v>
      </c>
      <c r="DV49" s="32">
        <v>60.6</v>
      </c>
      <c r="DW49" s="32">
        <v>45</v>
      </c>
      <c r="DX49" s="32">
        <v>46.3</v>
      </c>
      <c r="DY49" s="32">
        <v>69.7</v>
      </c>
      <c r="DZ49" s="32">
        <v>81.2</v>
      </c>
      <c r="EA49" s="32">
        <v>81.2</v>
      </c>
      <c r="EB49" s="32">
        <v>54.9</v>
      </c>
      <c r="EC49" s="32">
        <v>52.8</v>
      </c>
      <c r="ED49" s="32">
        <v>58.2</v>
      </c>
      <c r="EE49" s="32">
        <v>65.7</v>
      </c>
      <c r="EF49" s="32">
        <v>41.9</v>
      </c>
      <c r="EG49" s="32">
        <v>53.7</v>
      </c>
      <c r="EH49" s="32">
        <v>72.2</v>
      </c>
      <c r="EI49" s="32">
        <v>51.1</v>
      </c>
      <c r="EJ49" s="32">
        <v>107.2</v>
      </c>
      <c r="EK49" s="32">
        <v>41.6</v>
      </c>
      <c r="EL49" s="32">
        <v>67.599999999999994</v>
      </c>
      <c r="EM49" s="32">
        <v>33.4</v>
      </c>
      <c r="EN49" s="32">
        <v>43.2</v>
      </c>
      <c r="EO49" s="32">
        <v>81.7</v>
      </c>
      <c r="EP49" s="32">
        <v>81.7</v>
      </c>
      <c r="EQ49" s="32">
        <v>81.7</v>
      </c>
      <c r="ER49" s="32">
        <v>91.1</v>
      </c>
      <c r="ES49" s="32">
        <v>91.1</v>
      </c>
      <c r="ET49" s="32">
        <v>76</v>
      </c>
      <c r="EU49" s="32">
        <v>81.2</v>
      </c>
      <c r="EV49" s="32">
        <v>81.2</v>
      </c>
      <c r="EW49" s="32">
        <v>74.2</v>
      </c>
      <c r="EX49" s="32">
        <v>89.5</v>
      </c>
      <c r="EY49" s="32">
        <v>62</v>
      </c>
      <c r="EZ49" s="32">
        <v>89.5</v>
      </c>
      <c r="FA49" s="32">
        <v>85.3</v>
      </c>
      <c r="FB49" s="32">
        <v>102.1</v>
      </c>
      <c r="FC49" s="32">
        <v>87.5</v>
      </c>
      <c r="FD49" s="32">
        <v>100.6</v>
      </c>
      <c r="FE49" s="32">
        <v>124.7</v>
      </c>
      <c r="FF49" s="32">
        <v>66.5</v>
      </c>
      <c r="FG49" s="32">
        <v>88</v>
      </c>
      <c r="FH49" s="32">
        <v>86.8</v>
      </c>
      <c r="FI49" s="32">
        <v>100.5</v>
      </c>
      <c r="FJ49" s="32">
        <v>86.8</v>
      </c>
      <c r="FK49" s="32">
        <v>173.4</v>
      </c>
      <c r="FL49" s="32">
        <v>173.4</v>
      </c>
    </row>
    <row r="50" spans="1:168" x14ac:dyDescent="0.2">
      <c r="A50" s="34" t="s">
        <v>1030</v>
      </c>
      <c r="B50" s="32">
        <v>70.900000000000006</v>
      </c>
      <c r="C50" s="32">
        <v>80.5</v>
      </c>
      <c r="D50" s="32">
        <v>96.3</v>
      </c>
      <c r="E50" s="32">
        <v>97.5</v>
      </c>
      <c r="F50" s="32">
        <v>395.5</v>
      </c>
      <c r="G50" s="32">
        <v>7104.3</v>
      </c>
      <c r="H50" s="32">
        <v>538.79999999999995</v>
      </c>
      <c r="I50" s="32">
        <v>60.4</v>
      </c>
      <c r="J50" s="32">
        <v>78.3</v>
      </c>
      <c r="K50" s="32">
        <v>91.5</v>
      </c>
      <c r="L50" s="32">
        <v>91.8</v>
      </c>
      <c r="M50" s="32">
        <v>89.4</v>
      </c>
      <c r="N50" s="32">
        <v>70.099999999999994</v>
      </c>
      <c r="O50" s="32">
        <v>372.6</v>
      </c>
      <c r="P50" s="32">
        <v>528.9</v>
      </c>
      <c r="Q50" s="32">
        <v>157.30000000000001</v>
      </c>
      <c r="R50" s="32">
        <v>71</v>
      </c>
      <c r="S50" s="32">
        <v>107.8</v>
      </c>
      <c r="T50" s="32">
        <v>87.9</v>
      </c>
      <c r="U50" s="32">
        <v>43.4</v>
      </c>
      <c r="V50" s="32">
        <v>113.5</v>
      </c>
      <c r="W50" s="32">
        <v>50.4</v>
      </c>
      <c r="X50" s="32">
        <v>35.5</v>
      </c>
      <c r="Y50" s="32">
        <v>63.6</v>
      </c>
      <c r="Z50" s="32">
        <v>157.4</v>
      </c>
      <c r="AA50" s="32">
        <v>76.5</v>
      </c>
      <c r="AB50" s="32">
        <v>83.6</v>
      </c>
      <c r="AC50" s="32">
        <v>58.7</v>
      </c>
      <c r="AD50" s="32">
        <v>94.9</v>
      </c>
      <c r="AE50" s="32">
        <v>159.9</v>
      </c>
      <c r="AF50" s="32">
        <v>159.9</v>
      </c>
      <c r="AG50" s="32">
        <v>71.7</v>
      </c>
      <c r="AH50" s="32">
        <v>71.7</v>
      </c>
      <c r="AI50" s="32">
        <v>235.3</v>
      </c>
      <c r="AJ50" s="32">
        <v>92.4</v>
      </c>
      <c r="AK50" s="32">
        <v>822.7</v>
      </c>
      <c r="AL50" s="32">
        <v>115.6</v>
      </c>
      <c r="AM50" s="32">
        <v>25.5</v>
      </c>
      <c r="AN50" s="32">
        <v>125.7</v>
      </c>
      <c r="AO50" s="32">
        <v>76.7</v>
      </c>
      <c r="AP50" s="32">
        <v>76.7</v>
      </c>
      <c r="AQ50" s="32">
        <v>111.9</v>
      </c>
      <c r="AR50" s="32">
        <v>109.1</v>
      </c>
      <c r="AS50" s="32">
        <v>118.4</v>
      </c>
      <c r="AT50" s="32">
        <v>119.4</v>
      </c>
      <c r="AU50" s="32">
        <v>113.4</v>
      </c>
      <c r="AV50" s="32">
        <v>114.4</v>
      </c>
      <c r="AW50" s="32">
        <v>201</v>
      </c>
      <c r="AX50" s="32">
        <v>349.6</v>
      </c>
      <c r="AY50" s="32">
        <v>241.9</v>
      </c>
      <c r="AZ50" s="32">
        <v>100.4</v>
      </c>
      <c r="BA50" s="32">
        <v>26.9</v>
      </c>
      <c r="BB50" s="32">
        <v>26.9</v>
      </c>
      <c r="BC50" s="32">
        <v>115.1</v>
      </c>
      <c r="BD50" s="32">
        <v>115.1</v>
      </c>
      <c r="BE50" s="32">
        <v>87.6</v>
      </c>
      <c r="BF50" s="32">
        <v>87.6</v>
      </c>
      <c r="BG50" s="32">
        <v>73.7</v>
      </c>
      <c r="BH50" s="32">
        <v>56.5</v>
      </c>
      <c r="BI50" s="32">
        <v>91.7</v>
      </c>
      <c r="BJ50" s="32">
        <v>24.5</v>
      </c>
      <c r="BK50" s="32">
        <v>135</v>
      </c>
      <c r="BL50" s="32">
        <v>32.200000000000003</v>
      </c>
      <c r="BM50" s="32">
        <v>87.2</v>
      </c>
      <c r="BN50" s="32">
        <v>86.8</v>
      </c>
      <c r="BO50" s="32">
        <v>93.3</v>
      </c>
      <c r="BP50" s="32">
        <v>80.7</v>
      </c>
      <c r="BQ50" s="32">
        <v>90.5</v>
      </c>
      <c r="BR50" s="32">
        <v>66.900000000000006</v>
      </c>
      <c r="BS50" s="32">
        <v>213.8</v>
      </c>
      <c r="BT50" s="32">
        <v>67.3</v>
      </c>
      <c r="BU50" s="32">
        <v>121.3</v>
      </c>
      <c r="BV50" s="32">
        <v>121.3</v>
      </c>
      <c r="BW50" s="32">
        <v>171.1</v>
      </c>
      <c r="BX50" s="32">
        <v>62.6</v>
      </c>
      <c r="BY50" s="32">
        <v>109.8</v>
      </c>
      <c r="BZ50" s="32">
        <v>108.9</v>
      </c>
      <c r="CA50" s="32">
        <v>110.7</v>
      </c>
      <c r="CB50" s="32">
        <v>114.4</v>
      </c>
      <c r="CC50" s="32">
        <v>117.1</v>
      </c>
      <c r="CD50" s="32">
        <v>35.1</v>
      </c>
      <c r="CE50" s="32">
        <v>95.5</v>
      </c>
      <c r="CF50" s="32">
        <v>65.5</v>
      </c>
      <c r="CG50" s="32">
        <v>88.6</v>
      </c>
      <c r="CH50" s="32">
        <v>87.9</v>
      </c>
      <c r="CI50" s="32">
        <v>108.4</v>
      </c>
      <c r="CJ50" s="32">
        <v>70.3</v>
      </c>
      <c r="CK50" s="32">
        <v>98.6</v>
      </c>
      <c r="CL50" s="32">
        <v>93.6</v>
      </c>
      <c r="CM50" s="32">
        <v>110.1</v>
      </c>
      <c r="CN50" s="32">
        <v>87.6</v>
      </c>
      <c r="CO50" s="32">
        <v>110.9</v>
      </c>
      <c r="CP50" s="32">
        <v>146.19999999999999</v>
      </c>
      <c r="CQ50" s="32">
        <v>49.4</v>
      </c>
      <c r="CR50" s="32">
        <v>95.6</v>
      </c>
      <c r="CS50" s="32">
        <v>139.9</v>
      </c>
      <c r="CT50" s="32">
        <v>83.2</v>
      </c>
      <c r="CU50" s="32">
        <v>59.9</v>
      </c>
      <c r="CV50" s="32">
        <v>93.4</v>
      </c>
      <c r="CW50" s="32">
        <v>16.8</v>
      </c>
      <c r="CX50" s="32">
        <v>66.8</v>
      </c>
      <c r="CY50" s="32">
        <v>76.099999999999994</v>
      </c>
      <c r="CZ50" s="32">
        <v>63</v>
      </c>
      <c r="DA50" s="32">
        <v>48.8</v>
      </c>
      <c r="DB50" s="32">
        <v>94.9</v>
      </c>
      <c r="DC50" s="32">
        <v>1.7</v>
      </c>
      <c r="DD50" s="32">
        <v>1.7</v>
      </c>
      <c r="DE50" s="32">
        <v>39.6</v>
      </c>
      <c r="DF50" s="32">
        <v>33.5</v>
      </c>
      <c r="DG50" s="32">
        <v>79.2</v>
      </c>
      <c r="DH50" s="32">
        <v>72</v>
      </c>
      <c r="DI50" s="32">
        <v>98.3</v>
      </c>
      <c r="DJ50" s="32">
        <v>99</v>
      </c>
      <c r="DK50" s="32">
        <v>99</v>
      </c>
      <c r="DL50" s="32">
        <v>32.4</v>
      </c>
      <c r="DM50" s="32">
        <v>65.400000000000006</v>
      </c>
      <c r="DN50" s="32">
        <v>41.1</v>
      </c>
      <c r="DO50" s="32">
        <v>76.7</v>
      </c>
      <c r="DP50" s="32">
        <v>33.700000000000003</v>
      </c>
      <c r="DQ50" s="32">
        <v>55.6</v>
      </c>
      <c r="DR50" s="32">
        <v>56.8</v>
      </c>
      <c r="DS50" s="32">
        <v>54.6</v>
      </c>
      <c r="DT50" s="32">
        <v>50.5</v>
      </c>
      <c r="DU50" s="32">
        <v>52.3</v>
      </c>
      <c r="DV50" s="32">
        <v>57.4</v>
      </c>
      <c r="DW50" s="32">
        <v>46.7</v>
      </c>
      <c r="DX50" s="32">
        <v>46.8</v>
      </c>
      <c r="DY50" s="32">
        <v>69.2</v>
      </c>
      <c r="DZ50" s="32">
        <v>86.1</v>
      </c>
      <c r="EA50" s="32">
        <v>86.1</v>
      </c>
      <c r="EB50" s="32">
        <v>54.2</v>
      </c>
      <c r="EC50" s="32">
        <v>51</v>
      </c>
      <c r="ED50" s="32">
        <v>59</v>
      </c>
      <c r="EE50" s="32">
        <v>66.900000000000006</v>
      </c>
      <c r="EF50" s="32">
        <v>41.8</v>
      </c>
      <c r="EG50" s="32">
        <v>53.6</v>
      </c>
      <c r="EH50" s="32">
        <v>70.599999999999994</v>
      </c>
      <c r="EI50" s="32">
        <v>49.4</v>
      </c>
      <c r="EJ50" s="32">
        <v>111.9</v>
      </c>
      <c r="EK50" s="32">
        <v>42.9</v>
      </c>
      <c r="EL50" s="32">
        <v>75.3</v>
      </c>
      <c r="EM50" s="32">
        <v>33.5</v>
      </c>
      <c r="EN50" s="32">
        <v>44.4</v>
      </c>
      <c r="EO50" s="32">
        <v>82.1</v>
      </c>
      <c r="EP50" s="32">
        <v>82.2</v>
      </c>
      <c r="EQ50" s="32">
        <v>82.2</v>
      </c>
      <c r="ER50" s="32">
        <v>91.2</v>
      </c>
      <c r="ES50" s="32">
        <v>91.2</v>
      </c>
      <c r="ET50" s="32">
        <v>76.5</v>
      </c>
      <c r="EU50" s="32">
        <v>81.900000000000006</v>
      </c>
      <c r="EV50" s="32">
        <v>81.900000000000006</v>
      </c>
      <c r="EW50" s="32">
        <v>74.400000000000006</v>
      </c>
      <c r="EX50" s="32">
        <v>89.6</v>
      </c>
      <c r="EY50" s="32">
        <v>62.4</v>
      </c>
      <c r="EZ50" s="32">
        <v>89.8</v>
      </c>
      <c r="FA50" s="32">
        <v>85.3</v>
      </c>
      <c r="FB50" s="32">
        <v>101.3</v>
      </c>
      <c r="FC50" s="32">
        <v>86.7</v>
      </c>
      <c r="FD50" s="32">
        <v>101.2</v>
      </c>
      <c r="FE50" s="32">
        <v>123</v>
      </c>
      <c r="FF50" s="32">
        <v>67.5</v>
      </c>
      <c r="FG50" s="32">
        <v>88.3</v>
      </c>
      <c r="FH50" s="32">
        <v>84.5</v>
      </c>
      <c r="FI50" s="32">
        <v>103.4</v>
      </c>
      <c r="FJ50" s="32">
        <v>87.9</v>
      </c>
      <c r="FK50" s="32">
        <v>174.6</v>
      </c>
      <c r="FL50" s="32">
        <v>174.6</v>
      </c>
    </row>
    <row r="51" spans="1:168" x14ac:dyDescent="0.2">
      <c r="A51" s="34" t="s">
        <v>1031</v>
      </c>
      <c r="B51" s="32">
        <v>71</v>
      </c>
      <c r="C51" s="32">
        <v>80.7</v>
      </c>
      <c r="D51" s="32">
        <v>96.8</v>
      </c>
      <c r="E51" s="32">
        <v>97.9</v>
      </c>
      <c r="F51" s="32">
        <v>383.6</v>
      </c>
      <c r="G51" s="32">
        <v>7313.5</v>
      </c>
      <c r="H51" s="32">
        <v>517.5</v>
      </c>
      <c r="I51" s="32">
        <v>60.9</v>
      </c>
      <c r="J51" s="32">
        <v>78.7</v>
      </c>
      <c r="K51" s="32">
        <v>90.8</v>
      </c>
      <c r="L51" s="32">
        <v>91.9</v>
      </c>
      <c r="M51" s="32">
        <v>89.2</v>
      </c>
      <c r="N51" s="32">
        <v>68.900000000000006</v>
      </c>
      <c r="O51" s="32">
        <v>380.3</v>
      </c>
      <c r="P51" s="32">
        <v>530.9</v>
      </c>
      <c r="Q51" s="32">
        <v>156.5</v>
      </c>
      <c r="R51" s="32">
        <v>70.7</v>
      </c>
      <c r="S51" s="32">
        <v>109</v>
      </c>
      <c r="T51" s="32">
        <v>85.2</v>
      </c>
      <c r="U51" s="32">
        <v>43.1</v>
      </c>
      <c r="V51" s="32">
        <v>108.5</v>
      </c>
      <c r="W51" s="32">
        <v>50</v>
      </c>
      <c r="X51" s="32">
        <v>35.5</v>
      </c>
      <c r="Y51" s="32">
        <v>63.6</v>
      </c>
      <c r="Z51" s="32">
        <v>146.30000000000001</v>
      </c>
      <c r="AA51" s="32">
        <v>77.400000000000006</v>
      </c>
      <c r="AB51" s="32">
        <v>85.3</v>
      </c>
      <c r="AC51" s="32">
        <v>59.5</v>
      </c>
      <c r="AD51" s="32">
        <v>95.5</v>
      </c>
      <c r="AE51" s="32">
        <v>163.4</v>
      </c>
      <c r="AF51" s="32">
        <v>163.4</v>
      </c>
      <c r="AG51" s="32">
        <v>71.3</v>
      </c>
      <c r="AH51" s="32">
        <v>71.3</v>
      </c>
      <c r="AI51" s="32">
        <v>234.9</v>
      </c>
      <c r="AJ51" s="32">
        <v>91.3</v>
      </c>
      <c r="AK51" s="32">
        <v>696.2</v>
      </c>
      <c r="AL51" s="32">
        <v>117.5</v>
      </c>
      <c r="AM51" s="32">
        <v>25.9</v>
      </c>
      <c r="AN51" s="32">
        <v>129.9</v>
      </c>
      <c r="AO51" s="32">
        <v>75.3</v>
      </c>
      <c r="AP51" s="32">
        <v>75.3</v>
      </c>
      <c r="AQ51" s="32">
        <v>114.9</v>
      </c>
      <c r="AR51" s="32">
        <v>112.7</v>
      </c>
      <c r="AS51" s="32">
        <v>120.5</v>
      </c>
      <c r="AT51" s="32">
        <v>119</v>
      </c>
      <c r="AU51" s="32">
        <v>118.9</v>
      </c>
      <c r="AV51" s="32">
        <v>116.3</v>
      </c>
      <c r="AW51" s="32">
        <v>216</v>
      </c>
      <c r="AX51" s="32">
        <v>394.6</v>
      </c>
      <c r="AY51" s="32">
        <v>249</v>
      </c>
      <c r="AZ51" s="32">
        <v>99.8</v>
      </c>
      <c r="BA51" s="32">
        <v>26.4</v>
      </c>
      <c r="BB51" s="32">
        <v>26.4</v>
      </c>
      <c r="BC51" s="32">
        <v>117.9</v>
      </c>
      <c r="BD51" s="32">
        <v>117.9</v>
      </c>
      <c r="BE51" s="32">
        <v>88.9</v>
      </c>
      <c r="BF51" s="32">
        <v>88.9</v>
      </c>
      <c r="BG51" s="32">
        <v>75.3</v>
      </c>
      <c r="BH51" s="32">
        <v>57.8</v>
      </c>
      <c r="BI51" s="32">
        <v>93.5</v>
      </c>
      <c r="BJ51" s="32">
        <v>24.9</v>
      </c>
      <c r="BK51" s="32">
        <v>139.1</v>
      </c>
      <c r="BL51" s="32">
        <v>29.4</v>
      </c>
      <c r="BM51" s="32">
        <v>86.6</v>
      </c>
      <c r="BN51" s="32">
        <v>86.8</v>
      </c>
      <c r="BO51" s="32">
        <v>93.2</v>
      </c>
      <c r="BP51" s="32">
        <v>80.8</v>
      </c>
      <c r="BQ51" s="32">
        <v>89</v>
      </c>
      <c r="BR51" s="32">
        <v>51.3</v>
      </c>
      <c r="BS51" s="32">
        <v>230.5</v>
      </c>
      <c r="BT51" s="32">
        <v>64.900000000000006</v>
      </c>
      <c r="BU51" s="32">
        <v>125</v>
      </c>
      <c r="BV51" s="32">
        <v>125</v>
      </c>
      <c r="BW51" s="32">
        <v>173.4</v>
      </c>
      <c r="BX51" s="32">
        <v>72.099999999999994</v>
      </c>
      <c r="BY51" s="32">
        <v>110.7</v>
      </c>
      <c r="BZ51" s="32">
        <v>112.9</v>
      </c>
      <c r="CA51" s="32">
        <v>110</v>
      </c>
      <c r="CB51" s="32">
        <v>113.8</v>
      </c>
      <c r="CC51" s="32">
        <v>116.5</v>
      </c>
      <c r="CD51" s="32">
        <v>34.9</v>
      </c>
      <c r="CE51" s="32">
        <v>96.5</v>
      </c>
      <c r="CF51" s="32">
        <v>65.599999999999994</v>
      </c>
      <c r="CG51" s="32">
        <v>88.4</v>
      </c>
      <c r="CH51" s="32">
        <v>88.3</v>
      </c>
      <c r="CI51" s="32">
        <v>110.6</v>
      </c>
      <c r="CJ51" s="32">
        <v>70.5</v>
      </c>
      <c r="CK51" s="32">
        <v>98.8</v>
      </c>
      <c r="CL51" s="32">
        <v>91.8</v>
      </c>
      <c r="CM51" s="32">
        <v>109.3</v>
      </c>
      <c r="CN51" s="32">
        <v>89.9</v>
      </c>
      <c r="CO51" s="32">
        <v>109.5</v>
      </c>
      <c r="CP51" s="32">
        <v>148</v>
      </c>
      <c r="CQ51" s="32">
        <v>52.3</v>
      </c>
      <c r="CR51" s="32">
        <v>91.1</v>
      </c>
      <c r="CS51" s="32">
        <v>131.30000000000001</v>
      </c>
      <c r="CT51" s="32">
        <v>82.7</v>
      </c>
      <c r="CU51" s="32">
        <v>60.2</v>
      </c>
      <c r="CV51" s="32">
        <v>92.7</v>
      </c>
      <c r="CW51" s="32">
        <v>16.7</v>
      </c>
      <c r="CX51" s="32">
        <v>65.099999999999994</v>
      </c>
      <c r="CY51" s="32">
        <v>73.7</v>
      </c>
      <c r="CZ51" s="32">
        <v>61.8</v>
      </c>
      <c r="DA51" s="32">
        <v>47.6</v>
      </c>
      <c r="DB51" s="32">
        <v>93.7</v>
      </c>
      <c r="DC51" s="32">
        <v>1.7</v>
      </c>
      <c r="DD51" s="32">
        <v>1.7</v>
      </c>
      <c r="DE51" s="32">
        <v>39.799999999999997</v>
      </c>
      <c r="DF51" s="32">
        <v>34</v>
      </c>
      <c r="DG51" s="32">
        <v>77.599999999999994</v>
      </c>
      <c r="DH51" s="32">
        <v>72.8</v>
      </c>
      <c r="DI51" s="32">
        <v>98.5</v>
      </c>
      <c r="DJ51" s="32">
        <v>99.5</v>
      </c>
      <c r="DK51" s="32">
        <v>99.5</v>
      </c>
      <c r="DL51" s="32">
        <v>34.5</v>
      </c>
      <c r="DM51" s="32">
        <v>65.5</v>
      </c>
      <c r="DN51" s="32">
        <v>41.1</v>
      </c>
      <c r="DO51" s="32">
        <v>76.900000000000006</v>
      </c>
      <c r="DP51" s="32">
        <v>34.9</v>
      </c>
      <c r="DQ51" s="32">
        <v>55.5</v>
      </c>
      <c r="DR51" s="32">
        <v>56.1</v>
      </c>
      <c r="DS51" s="32">
        <v>53.4</v>
      </c>
      <c r="DT51" s="32">
        <v>50.5</v>
      </c>
      <c r="DU51" s="32">
        <v>52</v>
      </c>
      <c r="DV51" s="32">
        <v>59.6</v>
      </c>
      <c r="DW51" s="32">
        <v>44.3</v>
      </c>
      <c r="DX51" s="32">
        <v>47.4</v>
      </c>
      <c r="DY51" s="32">
        <v>63.9</v>
      </c>
      <c r="DZ51" s="32">
        <v>88.2</v>
      </c>
      <c r="EA51" s="32">
        <v>88.2</v>
      </c>
      <c r="EB51" s="32">
        <v>54.3</v>
      </c>
      <c r="EC51" s="32">
        <v>51.3</v>
      </c>
      <c r="ED51" s="32">
        <v>58.8</v>
      </c>
      <c r="EE51" s="32">
        <v>66.8</v>
      </c>
      <c r="EF51" s="32">
        <v>41.3</v>
      </c>
      <c r="EG51" s="32">
        <v>54.3</v>
      </c>
      <c r="EH51" s="32">
        <v>74.7</v>
      </c>
      <c r="EI51" s="32">
        <v>49.5</v>
      </c>
      <c r="EJ51" s="32">
        <v>105.8</v>
      </c>
      <c r="EK51" s="32">
        <v>42.7</v>
      </c>
      <c r="EL51" s="32">
        <v>71.900000000000006</v>
      </c>
      <c r="EM51" s="32">
        <v>33.4</v>
      </c>
      <c r="EN51" s="32">
        <v>44.7</v>
      </c>
      <c r="EO51" s="32">
        <v>82.7</v>
      </c>
      <c r="EP51" s="32">
        <v>82.6</v>
      </c>
      <c r="EQ51" s="32">
        <v>82.6</v>
      </c>
      <c r="ER51" s="32">
        <v>91.7</v>
      </c>
      <c r="ES51" s="32">
        <v>91.7</v>
      </c>
      <c r="ET51" s="32">
        <v>77.2</v>
      </c>
      <c r="EU51" s="32">
        <v>82.9</v>
      </c>
      <c r="EV51" s="32">
        <v>82.9</v>
      </c>
      <c r="EW51" s="32">
        <v>74.5</v>
      </c>
      <c r="EX51" s="32">
        <v>89.4</v>
      </c>
      <c r="EY51" s="32">
        <v>62.7</v>
      </c>
      <c r="EZ51" s="32">
        <v>87.7</v>
      </c>
      <c r="FA51" s="32">
        <v>85.9</v>
      </c>
      <c r="FB51" s="32">
        <v>101.6</v>
      </c>
      <c r="FC51" s="32">
        <v>88</v>
      </c>
      <c r="FD51" s="32">
        <v>101.5</v>
      </c>
      <c r="FE51" s="32">
        <v>120.9</v>
      </c>
      <c r="FF51" s="32">
        <v>68.400000000000006</v>
      </c>
      <c r="FG51" s="32">
        <v>84.2</v>
      </c>
      <c r="FH51" s="32">
        <v>80.8</v>
      </c>
      <c r="FI51" s="32">
        <v>85.8</v>
      </c>
      <c r="FJ51" s="32">
        <v>85.4</v>
      </c>
      <c r="FK51" s="32">
        <v>170.8</v>
      </c>
      <c r="FL51" s="32">
        <v>170.8</v>
      </c>
    </row>
    <row r="52" spans="1:168" x14ac:dyDescent="0.2">
      <c r="A52" s="34" t="s">
        <v>1032</v>
      </c>
      <c r="B52" s="32">
        <v>71.3</v>
      </c>
      <c r="C52" s="32">
        <v>80.7</v>
      </c>
      <c r="D52" s="32">
        <v>97.6</v>
      </c>
      <c r="E52" s="32">
        <v>98.8</v>
      </c>
      <c r="F52" s="32">
        <v>395.9</v>
      </c>
      <c r="G52" s="32">
        <v>7562.6</v>
      </c>
      <c r="H52" s="32">
        <v>536.9</v>
      </c>
      <c r="I52" s="32">
        <v>60.6</v>
      </c>
      <c r="J52" s="32">
        <v>79.2</v>
      </c>
      <c r="K52" s="32">
        <v>90.8</v>
      </c>
      <c r="L52" s="32">
        <v>92.1</v>
      </c>
      <c r="M52" s="32">
        <v>88.4</v>
      </c>
      <c r="N52" s="32">
        <v>68.099999999999994</v>
      </c>
      <c r="O52" s="32">
        <v>399.7</v>
      </c>
      <c r="P52" s="32">
        <v>535.9</v>
      </c>
      <c r="Q52" s="32">
        <v>147.80000000000001</v>
      </c>
      <c r="R52" s="32">
        <v>73.3</v>
      </c>
      <c r="S52" s="32">
        <v>109</v>
      </c>
      <c r="T52" s="32">
        <v>84.4</v>
      </c>
      <c r="U52" s="32">
        <v>42.5</v>
      </c>
      <c r="V52" s="32">
        <v>107.8</v>
      </c>
      <c r="W52" s="32">
        <v>50.7</v>
      </c>
      <c r="X52" s="32">
        <v>35.799999999999997</v>
      </c>
      <c r="Y52" s="32">
        <v>65.8</v>
      </c>
      <c r="Z52" s="32">
        <v>140.30000000000001</v>
      </c>
      <c r="AA52" s="32">
        <v>77.900000000000006</v>
      </c>
      <c r="AB52" s="32">
        <v>82.3</v>
      </c>
      <c r="AC52" s="32">
        <v>59.7</v>
      </c>
      <c r="AD52" s="32">
        <v>97.9</v>
      </c>
      <c r="AE52" s="32">
        <v>159.69999999999999</v>
      </c>
      <c r="AF52" s="32">
        <v>159.69999999999999</v>
      </c>
      <c r="AG52" s="32">
        <v>70.7</v>
      </c>
      <c r="AH52" s="32">
        <v>70.7</v>
      </c>
      <c r="AI52" s="32">
        <v>238.3</v>
      </c>
      <c r="AJ52" s="32">
        <v>88.9</v>
      </c>
      <c r="AK52" s="32">
        <v>746.5</v>
      </c>
      <c r="AL52" s="32">
        <v>119.2</v>
      </c>
      <c r="AM52" s="32">
        <v>25</v>
      </c>
      <c r="AN52" s="32">
        <v>130.30000000000001</v>
      </c>
      <c r="AO52" s="32">
        <v>74</v>
      </c>
      <c r="AP52" s="32">
        <v>74</v>
      </c>
      <c r="AQ52" s="32">
        <v>115.1</v>
      </c>
      <c r="AR52" s="32">
        <v>114.2</v>
      </c>
      <c r="AS52" s="32">
        <v>118.5</v>
      </c>
      <c r="AT52" s="32">
        <v>118.3</v>
      </c>
      <c r="AU52" s="32">
        <v>115.2</v>
      </c>
      <c r="AV52" s="32">
        <v>116.4</v>
      </c>
      <c r="AW52" s="32">
        <v>221.7</v>
      </c>
      <c r="AX52" s="32">
        <v>405.8</v>
      </c>
      <c r="AY52" s="32">
        <v>254.4</v>
      </c>
      <c r="AZ52" s="32">
        <v>98.8</v>
      </c>
      <c r="BA52" s="32">
        <v>26</v>
      </c>
      <c r="BB52" s="32">
        <v>26</v>
      </c>
      <c r="BC52" s="32">
        <v>118.9</v>
      </c>
      <c r="BD52" s="32">
        <v>118.9</v>
      </c>
      <c r="BE52" s="32">
        <v>88.4</v>
      </c>
      <c r="BF52" s="32">
        <v>88.4</v>
      </c>
      <c r="BG52" s="32">
        <v>79.599999999999994</v>
      </c>
      <c r="BH52" s="32">
        <v>63.2</v>
      </c>
      <c r="BI52" s="32">
        <v>95.5</v>
      </c>
      <c r="BJ52" s="32">
        <v>25.4</v>
      </c>
      <c r="BK52" s="32">
        <v>142.4</v>
      </c>
      <c r="BL52" s="32">
        <v>28.9</v>
      </c>
      <c r="BM52" s="32">
        <v>88.9</v>
      </c>
      <c r="BN52" s="32">
        <v>91.2</v>
      </c>
      <c r="BO52" s="32">
        <v>96.2</v>
      </c>
      <c r="BP52" s="32">
        <v>86.2</v>
      </c>
      <c r="BQ52" s="32">
        <v>88.6</v>
      </c>
      <c r="BR52" s="32">
        <v>59.7</v>
      </c>
      <c r="BS52" s="32">
        <v>217.7</v>
      </c>
      <c r="BT52" s="32">
        <v>65.400000000000006</v>
      </c>
      <c r="BU52" s="32">
        <v>128.1</v>
      </c>
      <c r="BV52" s="32">
        <v>128.1</v>
      </c>
      <c r="BW52" s="32">
        <v>174.5</v>
      </c>
      <c r="BX52" s="32">
        <v>78.3</v>
      </c>
      <c r="BY52" s="32">
        <v>109.5</v>
      </c>
      <c r="BZ52" s="32">
        <v>110.1</v>
      </c>
      <c r="CA52" s="32">
        <v>109.7</v>
      </c>
      <c r="CB52" s="32">
        <v>113.1</v>
      </c>
      <c r="CC52" s="32">
        <v>116.5</v>
      </c>
      <c r="CD52" s="32">
        <v>35.799999999999997</v>
      </c>
      <c r="CE52" s="32">
        <v>97.2</v>
      </c>
      <c r="CF52" s="32">
        <v>65.7</v>
      </c>
      <c r="CG52" s="32">
        <v>87.7</v>
      </c>
      <c r="CH52" s="32">
        <v>88.1</v>
      </c>
      <c r="CI52" s="32">
        <v>114</v>
      </c>
      <c r="CJ52" s="32">
        <v>69.7</v>
      </c>
      <c r="CK52" s="32">
        <v>98.3</v>
      </c>
      <c r="CL52" s="32">
        <v>90</v>
      </c>
      <c r="CM52" s="32">
        <v>108.8</v>
      </c>
      <c r="CN52" s="32">
        <v>87</v>
      </c>
      <c r="CO52" s="32">
        <v>109.6</v>
      </c>
      <c r="CP52" s="32">
        <v>148.5</v>
      </c>
      <c r="CQ52" s="32">
        <v>46</v>
      </c>
      <c r="CR52" s="32">
        <v>89.8</v>
      </c>
      <c r="CS52" s="32">
        <v>128.4</v>
      </c>
      <c r="CT52" s="32">
        <v>82.3</v>
      </c>
      <c r="CU52" s="32">
        <v>61.1</v>
      </c>
      <c r="CV52" s="32">
        <v>91.7</v>
      </c>
      <c r="CW52" s="32">
        <v>16.8</v>
      </c>
      <c r="CX52" s="32">
        <v>64.7</v>
      </c>
      <c r="CY52" s="32">
        <v>74.2</v>
      </c>
      <c r="CZ52" s="32">
        <v>60.6</v>
      </c>
      <c r="DA52" s="32">
        <v>46.2</v>
      </c>
      <c r="DB52" s="32">
        <v>93.4</v>
      </c>
      <c r="DC52" s="32">
        <v>1.8</v>
      </c>
      <c r="DD52" s="32">
        <v>1.8</v>
      </c>
      <c r="DE52" s="32">
        <v>40.1</v>
      </c>
      <c r="DF52" s="32">
        <v>33.799999999999997</v>
      </c>
      <c r="DG52" s="32">
        <v>81.7</v>
      </c>
      <c r="DH52" s="32">
        <v>72.400000000000006</v>
      </c>
      <c r="DI52" s="32">
        <v>100.4</v>
      </c>
      <c r="DJ52" s="32">
        <v>97.8</v>
      </c>
      <c r="DK52" s="32">
        <v>97.8</v>
      </c>
      <c r="DL52" s="32">
        <v>31.7</v>
      </c>
      <c r="DM52" s="32">
        <v>65.5</v>
      </c>
      <c r="DN52" s="32">
        <v>41.1</v>
      </c>
      <c r="DO52" s="32">
        <v>76.8</v>
      </c>
      <c r="DP52" s="32">
        <v>35.5</v>
      </c>
      <c r="DQ52" s="32">
        <v>56.8</v>
      </c>
      <c r="DR52" s="32">
        <v>57.4</v>
      </c>
      <c r="DS52" s="32">
        <v>54.9</v>
      </c>
      <c r="DT52" s="32">
        <v>52.3</v>
      </c>
      <c r="DU52" s="32">
        <v>54.4</v>
      </c>
      <c r="DV52" s="32">
        <v>60.7</v>
      </c>
      <c r="DW52" s="32">
        <v>47.7</v>
      </c>
      <c r="DX52" s="32">
        <v>48</v>
      </c>
      <c r="DY52" s="32">
        <v>64.3</v>
      </c>
      <c r="DZ52" s="32">
        <v>86.3</v>
      </c>
      <c r="EA52" s="32">
        <v>86.3</v>
      </c>
      <c r="EB52" s="32">
        <v>55.5</v>
      </c>
      <c r="EC52" s="32">
        <v>53.5</v>
      </c>
      <c r="ED52" s="32">
        <v>58.8</v>
      </c>
      <c r="EE52" s="32">
        <v>66.900000000000006</v>
      </c>
      <c r="EF52" s="32">
        <v>41</v>
      </c>
      <c r="EG52" s="32">
        <v>55.6</v>
      </c>
      <c r="EH52" s="32">
        <v>78.2</v>
      </c>
      <c r="EI52" s="32">
        <v>51.6</v>
      </c>
      <c r="EJ52" s="32">
        <v>102</v>
      </c>
      <c r="EK52" s="32">
        <v>43.1</v>
      </c>
      <c r="EL52" s="32">
        <v>72.2</v>
      </c>
      <c r="EM52" s="32">
        <v>33.799999999999997</v>
      </c>
      <c r="EN52" s="32">
        <v>45</v>
      </c>
      <c r="EO52" s="32">
        <v>83.3</v>
      </c>
      <c r="EP52" s="32">
        <v>83</v>
      </c>
      <c r="EQ52" s="32">
        <v>83</v>
      </c>
      <c r="ER52" s="32">
        <v>92.7</v>
      </c>
      <c r="ES52" s="32">
        <v>92.7</v>
      </c>
      <c r="ET52" s="32">
        <v>78</v>
      </c>
      <c r="EU52" s="32">
        <v>84</v>
      </c>
      <c r="EV52" s="32">
        <v>84</v>
      </c>
      <c r="EW52" s="32">
        <v>74.7</v>
      </c>
      <c r="EX52" s="32">
        <v>89.2</v>
      </c>
      <c r="EY52" s="32">
        <v>63.1</v>
      </c>
      <c r="EZ52" s="32">
        <v>87.3</v>
      </c>
      <c r="FA52" s="32">
        <v>86.7</v>
      </c>
      <c r="FB52" s="32">
        <v>102.7</v>
      </c>
      <c r="FC52" s="32">
        <v>89.5</v>
      </c>
      <c r="FD52" s="32">
        <v>102.9</v>
      </c>
      <c r="FE52" s="32">
        <v>120.5</v>
      </c>
      <c r="FF52" s="32">
        <v>69</v>
      </c>
      <c r="FG52" s="32">
        <v>82.4</v>
      </c>
      <c r="FH52" s="32">
        <v>77.099999999999994</v>
      </c>
      <c r="FI52" s="32">
        <v>91.7</v>
      </c>
      <c r="FJ52" s="32">
        <v>83.3</v>
      </c>
      <c r="FK52" s="32">
        <v>175.4</v>
      </c>
      <c r="FL52" s="32">
        <v>175.4</v>
      </c>
    </row>
    <row r="53" spans="1:168" x14ac:dyDescent="0.2">
      <c r="A53" s="34" t="s">
        <v>1033</v>
      </c>
      <c r="B53" s="32">
        <v>71.599999999999994</v>
      </c>
      <c r="C53" s="32">
        <v>80.5</v>
      </c>
      <c r="D53" s="32">
        <v>99</v>
      </c>
      <c r="E53" s="32">
        <v>100.6</v>
      </c>
      <c r="F53" s="32">
        <v>386.9</v>
      </c>
      <c r="G53" s="32">
        <v>8003.6</v>
      </c>
      <c r="H53" s="32">
        <v>521.1</v>
      </c>
      <c r="I53" s="32">
        <v>61.9</v>
      </c>
      <c r="J53" s="32">
        <v>81.2</v>
      </c>
      <c r="K53" s="32">
        <v>91.5</v>
      </c>
      <c r="L53" s="32">
        <v>94</v>
      </c>
      <c r="M53" s="32">
        <v>95.8</v>
      </c>
      <c r="N53" s="32">
        <v>65.3</v>
      </c>
      <c r="O53" s="32">
        <v>413.6</v>
      </c>
      <c r="P53" s="32">
        <v>548.5</v>
      </c>
      <c r="Q53" s="32">
        <v>143.69999999999999</v>
      </c>
      <c r="R53" s="32">
        <v>73.3</v>
      </c>
      <c r="S53" s="32">
        <v>112</v>
      </c>
      <c r="T53" s="32">
        <v>83</v>
      </c>
      <c r="U53" s="32">
        <v>45.5</v>
      </c>
      <c r="V53" s="32">
        <v>100.6</v>
      </c>
      <c r="W53" s="32">
        <v>52.3</v>
      </c>
      <c r="X53" s="32">
        <v>38.700000000000003</v>
      </c>
      <c r="Y53" s="32">
        <v>64.900000000000006</v>
      </c>
      <c r="Z53" s="32">
        <v>139.1</v>
      </c>
      <c r="AA53" s="32">
        <v>80.2</v>
      </c>
      <c r="AB53" s="32">
        <v>93.6</v>
      </c>
      <c r="AC53" s="32">
        <v>61.5</v>
      </c>
      <c r="AD53" s="32">
        <v>96.7</v>
      </c>
      <c r="AE53" s="32">
        <v>155.19999999999999</v>
      </c>
      <c r="AF53" s="32">
        <v>155.19999999999999</v>
      </c>
      <c r="AG53" s="32">
        <v>73.2</v>
      </c>
      <c r="AH53" s="32">
        <v>73.2</v>
      </c>
      <c r="AI53" s="32">
        <v>242.9</v>
      </c>
      <c r="AJ53" s="32">
        <v>87.9</v>
      </c>
      <c r="AK53" s="32">
        <v>828.3</v>
      </c>
      <c r="AL53" s="32">
        <v>122.1</v>
      </c>
      <c r="AM53" s="32">
        <v>27.1</v>
      </c>
      <c r="AN53" s="32">
        <v>141.4</v>
      </c>
      <c r="AO53" s="32">
        <v>72.599999999999994</v>
      </c>
      <c r="AP53" s="32">
        <v>72.599999999999994</v>
      </c>
      <c r="AQ53" s="32">
        <v>116.8</v>
      </c>
      <c r="AR53" s="32">
        <v>115.5</v>
      </c>
      <c r="AS53" s="32">
        <v>121</v>
      </c>
      <c r="AT53" s="32">
        <v>118.9</v>
      </c>
      <c r="AU53" s="32">
        <v>120.2</v>
      </c>
      <c r="AV53" s="32">
        <v>116.9</v>
      </c>
      <c r="AW53" s="32">
        <v>218.3</v>
      </c>
      <c r="AX53" s="32">
        <v>370</v>
      </c>
      <c r="AY53" s="32">
        <v>266.8</v>
      </c>
      <c r="AZ53" s="32">
        <v>100.1</v>
      </c>
      <c r="BA53" s="32">
        <v>28.9</v>
      </c>
      <c r="BB53" s="32">
        <v>28.9</v>
      </c>
      <c r="BC53" s="32">
        <v>127.1</v>
      </c>
      <c r="BD53" s="32">
        <v>127.1</v>
      </c>
      <c r="BE53" s="32">
        <v>93.8</v>
      </c>
      <c r="BF53" s="32">
        <v>93.8</v>
      </c>
      <c r="BG53" s="32">
        <v>79.900000000000006</v>
      </c>
      <c r="BH53" s="32">
        <v>62.7</v>
      </c>
      <c r="BI53" s="32">
        <v>97</v>
      </c>
      <c r="BJ53" s="32">
        <v>25</v>
      </c>
      <c r="BK53" s="32">
        <v>144.69999999999999</v>
      </c>
      <c r="BL53" s="32">
        <v>30.3</v>
      </c>
      <c r="BM53" s="32">
        <v>91</v>
      </c>
      <c r="BN53" s="32">
        <v>91.8</v>
      </c>
      <c r="BO53" s="32">
        <v>97.3</v>
      </c>
      <c r="BP53" s="32">
        <v>86.4</v>
      </c>
      <c r="BQ53" s="32">
        <v>92.7</v>
      </c>
      <c r="BR53" s="32">
        <v>50.7</v>
      </c>
      <c r="BS53" s="32">
        <v>217</v>
      </c>
      <c r="BT53" s="32">
        <v>71</v>
      </c>
      <c r="BU53" s="32">
        <v>132.6</v>
      </c>
      <c r="BV53" s="32">
        <v>132.6</v>
      </c>
      <c r="BW53" s="32">
        <v>177.9</v>
      </c>
      <c r="BX53" s="32">
        <v>84.4</v>
      </c>
      <c r="BY53" s="32">
        <v>109.6</v>
      </c>
      <c r="BZ53" s="32">
        <v>113.5</v>
      </c>
      <c r="CA53" s="32">
        <v>108.2</v>
      </c>
      <c r="CB53" s="32">
        <v>110.7</v>
      </c>
      <c r="CC53" s="32">
        <v>115.8</v>
      </c>
      <c r="CD53" s="32">
        <v>37.9</v>
      </c>
      <c r="CE53" s="32">
        <v>97</v>
      </c>
      <c r="CF53" s="32">
        <v>65.8</v>
      </c>
      <c r="CG53" s="32">
        <v>86.9</v>
      </c>
      <c r="CH53" s="32">
        <v>86.6</v>
      </c>
      <c r="CI53" s="32">
        <v>113.1</v>
      </c>
      <c r="CJ53" s="32">
        <v>67.599999999999994</v>
      </c>
      <c r="CK53" s="32">
        <v>97.4</v>
      </c>
      <c r="CL53" s="32">
        <v>90.6</v>
      </c>
      <c r="CM53" s="32">
        <v>111</v>
      </c>
      <c r="CN53" s="32">
        <v>87.9</v>
      </c>
      <c r="CO53" s="32">
        <v>111.8</v>
      </c>
      <c r="CP53" s="32">
        <v>147.19999999999999</v>
      </c>
      <c r="CQ53" s="32">
        <v>48</v>
      </c>
      <c r="CR53" s="32">
        <v>88.4</v>
      </c>
      <c r="CS53" s="32">
        <v>127.5</v>
      </c>
      <c r="CT53" s="32">
        <v>81.900000000000006</v>
      </c>
      <c r="CU53" s="32">
        <v>59</v>
      </c>
      <c r="CV53" s="32">
        <v>92</v>
      </c>
      <c r="CW53" s="32">
        <v>16.8</v>
      </c>
      <c r="CX53" s="32">
        <v>65.599999999999994</v>
      </c>
      <c r="CY53" s="32">
        <v>75.099999999999994</v>
      </c>
      <c r="CZ53" s="32">
        <v>61.5</v>
      </c>
      <c r="DA53" s="32">
        <v>47</v>
      </c>
      <c r="DB53" s="32">
        <v>94.5</v>
      </c>
      <c r="DC53" s="32">
        <v>1.8</v>
      </c>
      <c r="DD53" s="32">
        <v>1.8</v>
      </c>
      <c r="DE53" s="32">
        <v>39.5</v>
      </c>
      <c r="DF53" s="32">
        <v>33.700000000000003</v>
      </c>
      <c r="DG53" s="32">
        <v>77.599999999999994</v>
      </c>
      <c r="DH53" s="32">
        <v>73</v>
      </c>
      <c r="DI53" s="32">
        <v>102.8</v>
      </c>
      <c r="DJ53" s="32">
        <v>96.3</v>
      </c>
      <c r="DK53" s="32">
        <v>96.3</v>
      </c>
      <c r="DL53" s="32">
        <v>31.5</v>
      </c>
      <c r="DM53" s="32">
        <v>65.400000000000006</v>
      </c>
      <c r="DN53" s="32">
        <v>41.1</v>
      </c>
      <c r="DO53" s="32">
        <v>76.599999999999994</v>
      </c>
      <c r="DP53" s="32">
        <v>35.6</v>
      </c>
      <c r="DQ53" s="32">
        <v>56.9</v>
      </c>
      <c r="DR53" s="32">
        <v>56.6</v>
      </c>
      <c r="DS53" s="32">
        <v>53.2</v>
      </c>
      <c r="DT53" s="32">
        <v>49.9</v>
      </c>
      <c r="DU53" s="32">
        <v>50.3</v>
      </c>
      <c r="DV53" s="32">
        <v>58</v>
      </c>
      <c r="DW53" s="32">
        <v>42.4</v>
      </c>
      <c r="DX53" s="32">
        <v>49.1</v>
      </c>
      <c r="DY53" s="32">
        <v>64.900000000000006</v>
      </c>
      <c r="DZ53" s="32">
        <v>86.9</v>
      </c>
      <c r="EA53" s="32">
        <v>86.9</v>
      </c>
      <c r="EB53" s="32">
        <v>57.4</v>
      </c>
      <c r="EC53" s="32">
        <v>54.5</v>
      </c>
      <c r="ED53" s="32">
        <v>61.7</v>
      </c>
      <c r="EE53" s="32">
        <v>71.2</v>
      </c>
      <c r="EF53" s="32">
        <v>40.9</v>
      </c>
      <c r="EG53" s="32">
        <v>57.2</v>
      </c>
      <c r="EH53" s="32">
        <v>82.9</v>
      </c>
      <c r="EI53" s="32">
        <v>51.9</v>
      </c>
      <c r="EJ53" s="32">
        <v>91.9</v>
      </c>
      <c r="EK53" s="32">
        <v>45.2</v>
      </c>
      <c r="EL53" s="32">
        <v>68.599999999999994</v>
      </c>
      <c r="EM53" s="32">
        <v>33.6</v>
      </c>
      <c r="EN53" s="32">
        <v>49.5</v>
      </c>
      <c r="EO53" s="32">
        <v>84</v>
      </c>
      <c r="EP53" s="32">
        <v>83</v>
      </c>
      <c r="EQ53" s="32">
        <v>83</v>
      </c>
      <c r="ER53" s="32">
        <v>93.9</v>
      </c>
      <c r="ES53" s="32">
        <v>93.9</v>
      </c>
      <c r="ET53" s="32">
        <v>78.7</v>
      </c>
      <c r="EU53" s="32">
        <v>85</v>
      </c>
      <c r="EV53" s="32">
        <v>85</v>
      </c>
      <c r="EW53" s="32">
        <v>74.900000000000006</v>
      </c>
      <c r="EX53" s="32">
        <v>89</v>
      </c>
      <c r="EY53" s="32">
        <v>63.7</v>
      </c>
      <c r="EZ53" s="32">
        <v>89.1</v>
      </c>
      <c r="FA53" s="32">
        <v>87.6</v>
      </c>
      <c r="FB53" s="32">
        <v>103.6</v>
      </c>
      <c r="FC53" s="32">
        <v>90.1</v>
      </c>
      <c r="FD53" s="32">
        <v>102.3</v>
      </c>
      <c r="FE53" s="32">
        <v>123.3</v>
      </c>
      <c r="FF53" s="32">
        <v>69.7</v>
      </c>
      <c r="FG53" s="32">
        <v>85</v>
      </c>
      <c r="FH53" s="32">
        <v>76.099999999999994</v>
      </c>
      <c r="FI53" s="32">
        <v>105.7</v>
      </c>
      <c r="FJ53" s="32">
        <v>86.1</v>
      </c>
      <c r="FK53" s="32">
        <v>176.6</v>
      </c>
      <c r="FL53" s="32">
        <v>176.6</v>
      </c>
    </row>
    <row r="54" spans="1:168" x14ac:dyDescent="0.2">
      <c r="A54" s="34" t="s">
        <v>1034</v>
      </c>
      <c r="B54" s="32">
        <v>71.8</v>
      </c>
      <c r="C54" s="32">
        <v>80</v>
      </c>
      <c r="D54" s="32">
        <v>98.5</v>
      </c>
      <c r="E54" s="32">
        <v>100.2</v>
      </c>
      <c r="F54" s="32">
        <v>384.9</v>
      </c>
      <c r="G54" s="32">
        <v>7968.2</v>
      </c>
      <c r="H54" s="32">
        <v>521</v>
      </c>
      <c r="I54" s="32">
        <v>59.6</v>
      </c>
      <c r="J54" s="32">
        <v>80.099999999999994</v>
      </c>
      <c r="K54" s="32">
        <v>88.7</v>
      </c>
      <c r="L54" s="32">
        <v>90.3</v>
      </c>
      <c r="M54" s="32">
        <v>88.1</v>
      </c>
      <c r="N54" s="32">
        <v>72.900000000000006</v>
      </c>
      <c r="O54" s="32">
        <v>425</v>
      </c>
      <c r="P54" s="32">
        <v>458.8</v>
      </c>
      <c r="Q54" s="32">
        <v>136.6</v>
      </c>
      <c r="R54" s="32">
        <v>72.3</v>
      </c>
      <c r="S54" s="32">
        <v>107.3</v>
      </c>
      <c r="T54" s="32">
        <v>80.5</v>
      </c>
      <c r="U54" s="32">
        <v>42.5</v>
      </c>
      <c r="V54" s="32">
        <v>102.9</v>
      </c>
      <c r="W54" s="32">
        <v>50.5</v>
      </c>
      <c r="X54" s="32">
        <v>36.4</v>
      </c>
      <c r="Y54" s="32">
        <v>64.5</v>
      </c>
      <c r="Z54" s="32">
        <v>134.30000000000001</v>
      </c>
      <c r="AA54" s="32">
        <v>79.400000000000006</v>
      </c>
      <c r="AB54" s="32">
        <v>83.8</v>
      </c>
      <c r="AC54" s="32">
        <v>61.2</v>
      </c>
      <c r="AD54" s="32">
        <v>99.6</v>
      </c>
      <c r="AE54" s="32">
        <v>153.9</v>
      </c>
      <c r="AF54" s="32">
        <v>153.9</v>
      </c>
      <c r="AG54" s="32">
        <v>70</v>
      </c>
      <c r="AH54" s="32">
        <v>70</v>
      </c>
      <c r="AI54" s="32">
        <v>250.1</v>
      </c>
      <c r="AJ54" s="32">
        <v>83.8</v>
      </c>
      <c r="AK54" s="32">
        <v>685.2</v>
      </c>
      <c r="AL54" s="32">
        <v>112.8</v>
      </c>
      <c r="AM54" s="32">
        <v>26.5</v>
      </c>
      <c r="AN54" s="32">
        <v>131.30000000000001</v>
      </c>
      <c r="AO54" s="32">
        <v>77.2</v>
      </c>
      <c r="AP54" s="32">
        <v>77.2</v>
      </c>
      <c r="AQ54" s="32">
        <v>116.2</v>
      </c>
      <c r="AR54" s="32">
        <v>115.4</v>
      </c>
      <c r="AS54" s="32">
        <v>119.8</v>
      </c>
      <c r="AT54" s="32">
        <v>117.5</v>
      </c>
      <c r="AU54" s="32">
        <v>119.3</v>
      </c>
      <c r="AV54" s="32">
        <v>118.5</v>
      </c>
      <c r="AW54" s="32">
        <v>226.6</v>
      </c>
      <c r="AX54" s="32">
        <v>394.9</v>
      </c>
      <c r="AY54" s="32">
        <v>269.60000000000002</v>
      </c>
      <c r="AZ54" s="32">
        <v>100.4</v>
      </c>
      <c r="BA54" s="32">
        <v>29</v>
      </c>
      <c r="BB54" s="32">
        <v>29</v>
      </c>
      <c r="BC54" s="32">
        <v>123.9</v>
      </c>
      <c r="BD54" s="32">
        <v>123.9</v>
      </c>
      <c r="BE54" s="32">
        <v>90.6</v>
      </c>
      <c r="BF54" s="32">
        <v>90.6</v>
      </c>
      <c r="BG54" s="32">
        <v>80.3</v>
      </c>
      <c r="BH54" s="32">
        <v>63.1</v>
      </c>
      <c r="BI54" s="32">
        <v>97.2</v>
      </c>
      <c r="BJ54" s="32">
        <v>25.7</v>
      </c>
      <c r="BK54" s="32">
        <v>144.69999999999999</v>
      </c>
      <c r="BL54" s="32">
        <v>30.4</v>
      </c>
      <c r="BM54" s="32">
        <v>86.4</v>
      </c>
      <c r="BN54" s="32">
        <v>92.2</v>
      </c>
      <c r="BO54" s="32">
        <v>95.1</v>
      </c>
      <c r="BP54" s="32">
        <v>88.9</v>
      </c>
      <c r="BQ54" s="32">
        <v>81.5</v>
      </c>
      <c r="BR54" s="32">
        <v>63.9</v>
      </c>
      <c r="BS54" s="32">
        <v>203.1</v>
      </c>
      <c r="BT54" s="32">
        <v>58.8</v>
      </c>
      <c r="BU54" s="32">
        <v>146.9</v>
      </c>
      <c r="BV54" s="32">
        <v>146.9</v>
      </c>
      <c r="BW54" s="32">
        <v>192.8</v>
      </c>
      <c r="BX54" s="32">
        <v>99.4</v>
      </c>
      <c r="BY54" s="32">
        <v>110.5</v>
      </c>
      <c r="BZ54" s="32">
        <v>112.8</v>
      </c>
      <c r="CA54" s="32">
        <v>109.9</v>
      </c>
      <c r="CB54" s="32">
        <v>114.5</v>
      </c>
      <c r="CC54" s="32">
        <v>115.4</v>
      </c>
      <c r="CD54" s="32">
        <v>37.4</v>
      </c>
      <c r="CE54" s="32">
        <v>96.4</v>
      </c>
      <c r="CF54" s="32">
        <v>66.099999999999994</v>
      </c>
      <c r="CG54" s="32">
        <v>88</v>
      </c>
      <c r="CH54" s="32">
        <v>89</v>
      </c>
      <c r="CI54" s="32">
        <v>116.2</v>
      </c>
      <c r="CJ54" s="32">
        <v>71.2</v>
      </c>
      <c r="CK54" s="32">
        <v>98.4</v>
      </c>
      <c r="CL54" s="32">
        <v>88.6</v>
      </c>
      <c r="CM54" s="32">
        <v>109.9</v>
      </c>
      <c r="CN54" s="32">
        <v>88.7</v>
      </c>
      <c r="CO54" s="32">
        <v>110.5</v>
      </c>
      <c r="CP54" s="32">
        <v>146.5</v>
      </c>
      <c r="CQ54" s="32">
        <v>42</v>
      </c>
      <c r="CR54" s="32">
        <v>87.9</v>
      </c>
      <c r="CS54" s="32">
        <v>123.6</v>
      </c>
      <c r="CT54" s="32">
        <v>82.2</v>
      </c>
      <c r="CU54" s="32">
        <v>57.3</v>
      </c>
      <c r="CV54" s="32">
        <v>93.2</v>
      </c>
      <c r="CW54" s="32">
        <v>16.8</v>
      </c>
      <c r="CX54" s="32">
        <v>64</v>
      </c>
      <c r="CY54" s="32">
        <v>76.2</v>
      </c>
      <c r="CZ54" s="32">
        <v>57.5</v>
      </c>
      <c r="DA54" s="32">
        <v>41.6</v>
      </c>
      <c r="DB54" s="32">
        <v>95.5</v>
      </c>
      <c r="DC54" s="32">
        <v>1.8</v>
      </c>
      <c r="DD54" s="32">
        <v>1.8</v>
      </c>
      <c r="DE54" s="32">
        <v>39.700000000000003</v>
      </c>
      <c r="DF54" s="32">
        <v>34.4</v>
      </c>
      <c r="DG54" s="32">
        <v>73.7</v>
      </c>
      <c r="DH54" s="32">
        <v>73.7</v>
      </c>
      <c r="DI54" s="32">
        <v>106.8</v>
      </c>
      <c r="DJ54" s="32">
        <v>94.5</v>
      </c>
      <c r="DK54" s="32">
        <v>94.5</v>
      </c>
      <c r="DL54" s="32">
        <v>29.9</v>
      </c>
      <c r="DM54" s="32">
        <v>65.5</v>
      </c>
      <c r="DN54" s="32">
        <v>40.200000000000003</v>
      </c>
      <c r="DO54" s="32">
        <v>77.2</v>
      </c>
      <c r="DP54" s="32">
        <v>35.6</v>
      </c>
      <c r="DQ54" s="32">
        <v>56.3</v>
      </c>
      <c r="DR54" s="32">
        <v>56.8</v>
      </c>
      <c r="DS54" s="32">
        <v>54.1</v>
      </c>
      <c r="DT54" s="32">
        <v>51.5</v>
      </c>
      <c r="DU54" s="32">
        <v>52</v>
      </c>
      <c r="DV54" s="32">
        <v>59.3</v>
      </c>
      <c r="DW54" s="32">
        <v>44.5</v>
      </c>
      <c r="DX54" s="32">
        <v>50.4</v>
      </c>
      <c r="DY54" s="32">
        <v>63.8</v>
      </c>
      <c r="DZ54" s="32">
        <v>88.1</v>
      </c>
      <c r="EA54" s="32">
        <v>88.1</v>
      </c>
      <c r="EB54" s="32">
        <v>54.8</v>
      </c>
      <c r="EC54" s="32">
        <v>53</v>
      </c>
      <c r="ED54" s="32">
        <v>57.6</v>
      </c>
      <c r="EE54" s="32">
        <v>65.099999999999994</v>
      </c>
      <c r="EF54" s="32">
        <v>41.2</v>
      </c>
      <c r="EG54" s="32">
        <v>55.3</v>
      </c>
      <c r="EH54" s="32">
        <v>78.7</v>
      </c>
      <c r="EI54" s="32">
        <v>48.4</v>
      </c>
      <c r="EJ54" s="32">
        <v>109.9</v>
      </c>
      <c r="EK54" s="32">
        <v>43.7</v>
      </c>
      <c r="EL54" s="32">
        <v>83.8</v>
      </c>
      <c r="EM54" s="32">
        <v>34</v>
      </c>
      <c r="EN54" s="32">
        <v>44.2</v>
      </c>
      <c r="EO54" s="32">
        <v>84.9</v>
      </c>
      <c r="EP54" s="32">
        <v>83.5</v>
      </c>
      <c r="EQ54" s="32">
        <v>83.5</v>
      </c>
      <c r="ER54" s="32">
        <v>95.4</v>
      </c>
      <c r="ES54" s="32">
        <v>95.4</v>
      </c>
      <c r="ET54" s="32">
        <v>79.5</v>
      </c>
      <c r="EU54" s="32">
        <v>86.1</v>
      </c>
      <c r="EV54" s="32">
        <v>86.1</v>
      </c>
      <c r="EW54" s="32">
        <v>75.099999999999994</v>
      </c>
      <c r="EX54" s="32">
        <v>88.7</v>
      </c>
      <c r="EY54" s="32">
        <v>64.3</v>
      </c>
      <c r="EZ54" s="32">
        <v>88</v>
      </c>
      <c r="FA54" s="32">
        <v>85.8</v>
      </c>
      <c r="FB54" s="32">
        <v>99.4</v>
      </c>
      <c r="FC54" s="32">
        <v>81.3</v>
      </c>
      <c r="FD54" s="32">
        <v>101.5</v>
      </c>
      <c r="FE54" s="32">
        <v>128.30000000000001</v>
      </c>
      <c r="FF54" s="32">
        <v>70.7</v>
      </c>
      <c r="FG54" s="32">
        <v>85.4</v>
      </c>
      <c r="FH54" s="32">
        <v>78</v>
      </c>
      <c r="FI54" s="32">
        <v>97.9</v>
      </c>
      <c r="FJ54" s="32">
        <v>86.8</v>
      </c>
      <c r="FK54" s="32">
        <v>162</v>
      </c>
      <c r="FL54" s="32">
        <v>162</v>
      </c>
    </row>
    <row r="55" spans="1:168" x14ac:dyDescent="0.2">
      <c r="A55" s="34" t="s">
        <v>1035</v>
      </c>
      <c r="B55" s="32">
        <v>71.8</v>
      </c>
      <c r="C55" s="32">
        <v>79.3</v>
      </c>
      <c r="D55" s="32">
        <v>98.6</v>
      </c>
      <c r="E55" s="32">
        <v>100.3</v>
      </c>
      <c r="F55" s="32">
        <v>381.6</v>
      </c>
      <c r="G55" s="32">
        <v>7486.9</v>
      </c>
      <c r="H55" s="32">
        <v>517.4</v>
      </c>
      <c r="I55" s="32">
        <v>58.8</v>
      </c>
      <c r="J55" s="32">
        <v>80.3</v>
      </c>
      <c r="K55" s="32">
        <v>88.6</v>
      </c>
      <c r="L55" s="32">
        <v>89.7</v>
      </c>
      <c r="M55" s="32">
        <v>88</v>
      </c>
      <c r="N55" s="32">
        <v>72.2</v>
      </c>
      <c r="O55" s="32">
        <v>441.8</v>
      </c>
      <c r="P55" s="32">
        <v>468.3</v>
      </c>
      <c r="Q55" s="32">
        <v>133.4</v>
      </c>
      <c r="R55" s="32">
        <v>73.5</v>
      </c>
      <c r="S55" s="32">
        <v>104.9</v>
      </c>
      <c r="T55" s="32">
        <v>78.5</v>
      </c>
      <c r="U55" s="32">
        <v>46.4</v>
      </c>
      <c r="V55" s="32">
        <v>102.8</v>
      </c>
      <c r="W55" s="32">
        <v>50.5</v>
      </c>
      <c r="X55" s="32">
        <v>37.200000000000003</v>
      </c>
      <c r="Y55" s="32">
        <v>64</v>
      </c>
      <c r="Z55" s="32">
        <v>123.5</v>
      </c>
      <c r="AA55" s="32">
        <v>79.2</v>
      </c>
      <c r="AB55" s="32">
        <v>85.2</v>
      </c>
      <c r="AC55" s="32">
        <v>61.5</v>
      </c>
      <c r="AD55" s="32">
        <v>98</v>
      </c>
      <c r="AE55" s="32">
        <v>134.1</v>
      </c>
      <c r="AF55" s="32">
        <v>134.1</v>
      </c>
      <c r="AG55" s="32">
        <v>71</v>
      </c>
      <c r="AH55" s="32">
        <v>71</v>
      </c>
      <c r="AI55" s="32">
        <v>247.7</v>
      </c>
      <c r="AJ55" s="32">
        <v>83.1</v>
      </c>
      <c r="AK55" s="32">
        <v>679.1</v>
      </c>
      <c r="AL55" s="32">
        <v>118.6</v>
      </c>
      <c r="AM55" s="32">
        <v>28.1</v>
      </c>
      <c r="AN55" s="32">
        <v>131.1</v>
      </c>
      <c r="AO55" s="32">
        <v>74.2</v>
      </c>
      <c r="AP55" s="32">
        <v>74.2</v>
      </c>
      <c r="AQ55" s="32">
        <v>118</v>
      </c>
      <c r="AR55" s="32">
        <v>118</v>
      </c>
      <c r="AS55" s="32">
        <v>120.3</v>
      </c>
      <c r="AT55" s="32">
        <v>117.2</v>
      </c>
      <c r="AU55" s="32">
        <v>120.7</v>
      </c>
      <c r="AV55" s="32">
        <v>115.6</v>
      </c>
      <c r="AW55" s="32">
        <v>225.6</v>
      </c>
      <c r="AX55" s="32">
        <v>389.6</v>
      </c>
      <c r="AY55" s="32">
        <v>269.89999999999998</v>
      </c>
      <c r="AZ55" s="32">
        <v>97</v>
      </c>
      <c r="BA55" s="32">
        <v>31.6</v>
      </c>
      <c r="BB55" s="32">
        <v>31.6</v>
      </c>
      <c r="BC55" s="32">
        <v>126.8</v>
      </c>
      <c r="BD55" s="32">
        <v>126.8</v>
      </c>
      <c r="BE55" s="32">
        <v>90.5</v>
      </c>
      <c r="BF55" s="32">
        <v>90.5</v>
      </c>
      <c r="BG55" s="32">
        <v>80.2</v>
      </c>
      <c r="BH55" s="32">
        <v>63</v>
      </c>
      <c r="BI55" s="32">
        <v>97.2</v>
      </c>
      <c r="BJ55" s="32">
        <v>26</v>
      </c>
      <c r="BK55" s="32">
        <v>143.80000000000001</v>
      </c>
      <c r="BL55" s="32">
        <v>32.200000000000003</v>
      </c>
      <c r="BM55" s="32">
        <v>86.9</v>
      </c>
      <c r="BN55" s="32">
        <v>92.5</v>
      </c>
      <c r="BO55" s="32">
        <v>98.5</v>
      </c>
      <c r="BP55" s="32">
        <v>86.6</v>
      </c>
      <c r="BQ55" s="32">
        <v>82.1</v>
      </c>
      <c r="BR55" s="32">
        <v>48.4</v>
      </c>
      <c r="BS55" s="32">
        <v>199.8</v>
      </c>
      <c r="BT55" s="32">
        <v>61.6</v>
      </c>
      <c r="BU55" s="32">
        <v>147.9</v>
      </c>
      <c r="BV55" s="32">
        <v>147.9</v>
      </c>
      <c r="BW55" s="32">
        <v>188.6</v>
      </c>
      <c r="BX55" s="32">
        <v>107.1</v>
      </c>
      <c r="BY55" s="32">
        <v>109.6</v>
      </c>
      <c r="BZ55" s="32">
        <v>110.9</v>
      </c>
      <c r="CA55" s="32">
        <v>109.5</v>
      </c>
      <c r="CB55" s="32">
        <v>114.3</v>
      </c>
      <c r="CC55" s="32">
        <v>114.5</v>
      </c>
      <c r="CD55" s="32">
        <v>39.799999999999997</v>
      </c>
      <c r="CE55" s="32">
        <v>96.3</v>
      </c>
      <c r="CF55" s="32">
        <v>66.099999999999994</v>
      </c>
      <c r="CG55" s="32">
        <v>87</v>
      </c>
      <c r="CH55" s="32">
        <v>87.3</v>
      </c>
      <c r="CI55" s="32">
        <v>114</v>
      </c>
      <c r="CJ55" s="32">
        <v>67.5</v>
      </c>
      <c r="CK55" s="32">
        <v>98.7</v>
      </c>
      <c r="CL55" s="32">
        <v>88.6</v>
      </c>
      <c r="CM55" s="32">
        <v>111</v>
      </c>
      <c r="CN55" s="32">
        <v>93.2</v>
      </c>
      <c r="CO55" s="32">
        <v>111</v>
      </c>
      <c r="CP55" s="32">
        <v>144.5</v>
      </c>
      <c r="CQ55" s="32">
        <v>37.799999999999997</v>
      </c>
      <c r="CR55" s="32">
        <v>91.2</v>
      </c>
      <c r="CS55" s="32">
        <v>120.9</v>
      </c>
      <c r="CT55" s="32">
        <v>83.2</v>
      </c>
      <c r="CU55" s="32">
        <v>57.6</v>
      </c>
      <c r="CV55" s="32">
        <v>94.4</v>
      </c>
      <c r="CW55" s="32">
        <v>17.3</v>
      </c>
      <c r="CX55" s="32">
        <v>70.099999999999994</v>
      </c>
      <c r="CY55" s="32">
        <v>76.599999999999994</v>
      </c>
      <c r="CZ55" s="32">
        <v>69</v>
      </c>
      <c r="DA55" s="32">
        <v>54.5</v>
      </c>
      <c r="DB55" s="32">
        <v>100.6</v>
      </c>
      <c r="DC55" s="32">
        <v>1.8</v>
      </c>
      <c r="DD55" s="32">
        <v>1.8</v>
      </c>
      <c r="DE55" s="32">
        <v>39.6</v>
      </c>
      <c r="DF55" s="32">
        <v>34.9</v>
      </c>
      <c r="DG55" s="32">
        <v>69.2</v>
      </c>
      <c r="DH55" s="32">
        <v>72.900000000000006</v>
      </c>
      <c r="DI55" s="32">
        <v>105</v>
      </c>
      <c r="DJ55" s="32">
        <v>91.7</v>
      </c>
      <c r="DK55" s="32">
        <v>91.7</v>
      </c>
      <c r="DL55" s="32">
        <v>31.7</v>
      </c>
      <c r="DM55" s="32">
        <v>65.5</v>
      </c>
      <c r="DN55" s="32">
        <v>40.5</v>
      </c>
      <c r="DO55" s="32">
        <v>77.099999999999994</v>
      </c>
      <c r="DP55" s="32">
        <v>35.6</v>
      </c>
      <c r="DQ55" s="32">
        <v>56.6</v>
      </c>
      <c r="DR55" s="32">
        <v>56.5</v>
      </c>
      <c r="DS55" s="32">
        <v>53.8</v>
      </c>
      <c r="DT55" s="32">
        <v>52</v>
      </c>
      <c r="DU55" s="32">
        <v>52.8</v>
      </c>
      <c r="DV55" s="32">
        <v>59.8</v>
      </c>
      <c r="DW55" s="32">
        <v>45.5</v>
      </c>
      <c r="DX55" s="32">
        <v>50.6</v>
      </c>
      <c r="DY55" s="32">
        <v>60.5</v>
      </c>
      <c r="DZ55" s="32">
        <v>81.5</v>
      </c>
      <c r="EA55" s="32">
        <v>81.5</v>
      </c>
      <c r="EB55" s="32">
        <v>56.4</v>
      </c>
      <c r="EC55" s="32">
        <v>54</v>
      </c>
      <c r="ED55" s="32">
        <v>60.2</v>
      </c>
      <c r="EE55" s="32">
        <v>69</v>
      </c>
      <c r="EF55" s="32">
        <v>41</v>
      </c>
      <c r="EG55" s="32">
        <v>56.4</v>
      </c>
      <c r="EH55" s="32">
        <v>79.8</v>
      </c>
      <c r="EI55" s="32">
        <v>49.4</v>
      </c>
      <c r="EJ55" s="32">
        <v>104.9</v>
      </c>
      <c r="EK55" s="32">
        <v>45.5</v>
      </c>
      <c r="EL55" s="32">
        <v>71.400000000000006</v>
      </c>
      <c r="EM55" s="32">
        <v>35</v>
      </c>
      <c r="EN55" s="32">
        <v>48.8</v>
      </c>
      <c r="EO55" s="32">
        <v>85.4</v>
      </c>
      <c r="EP55" s="32">
        <v>83.6</v>
      </c>
      <c r="EQ55" s="32">
        <v>83.6</v>
      </c>
      <c r="ER55" s="32">
        <v>95.8</v>
      </c>
      <c r="ES55" s="32">
        <v>95.8</v>
      </c>
      <c r="ET55" s="32">
        <v>80.400000000000006</v>
      </c>
      <c r="EU55" s="32">
        <v>87.3</v>
      </c>
      <c r="EV55" s="32">
        <v>87.3</v>
      </c>
      <c r="EW55" s="32">
        <v>75.5</v>
      </c>
      <c r="EX55" s="32">
        <v>88.6</v>
      </c>
      <c r="EY55" s="32">
        <v>65.099999999999994</v>
      </c>
      <c r="EZ55" s="32">
        <v>88.1</v>
      </c>
      <c r="FA55" s="32">
        <v>88.6</v>
      </c>
      <c r="FB55" s="32">
        <v>104.2</v>
      </c>
      <c r="FC55" s="32">
        <v>87.6</v>
      </c>
      <c r="FD55" s="32">
        <v>100.4</v>
      </c>
      <c r="FE55" s="32">
        <v>133.19999999999999</v>
      </c>
      <c r="FF55" s="32">
        <v>71.099999999999994</v>
      </c>
      <c r="FG55" s="32">
        <v>83.7</v>
      </c>
      <c r="FH55" s="32">
        <v>79.900000000000006</v>
      </c>
      <c r="FI55" s="32">
        <v>90.8</v>
      </c>
      <c r="FJ55" s="32">
        <v>84.3</v>
      </c>
      <c r="FK55" s="32">
        <v>157.4</v>
      </c>
      <c r="FL55" s="32">
        <v>157.4</v>
      </c>
    </row>
    <row r="56" spans="1:168" x14ac:dyDescent="0.2">
      <c r="A56" s="34" t="s">
        <v>1036</v>
      </c>
      <c r="B56" s="32">
        <v>72.2</v>
      </c>
      <c r="C56" s="32">
        <v>78.5</v>
      </c>
      <c r="D56" s="32">
        <v>99.4</v>
      </c>
      <c r="E56" s="32">
        <v>101.2</v>
      </c>
      <c r="F56" s="32">
        <v>384.6</v>
      </c>
      <c r="G56" s="32">
        <v>7494</v>
      </c>
      <c r="H56" s="32">
        <v>523.9</v>
      </c>
      <c r="I56" s="32">
        <v>57.3</v>
      </c>
      <c r="J56" s="32">
        <v>80.8</v>
      </c>
      <c r="K56" s="32">
        <v>89.2</v>
      </c>
      <c r="L56" s="32">
        <v>91.4</v>
      </c>
      <c r="M56" s="32">
        <v>89</v>
      </c>
      <c r="N56" s="32">
        <v>69</v>
      </c>
      <c r="O56" s="32">
        <v>452.5</v>
      </c>
      <c r="P56" s="32">
        <v>468.8</v>
      </c>
      <c r="Q56" s="32">
        <v>133.5</v>
      </c>
      <c r="R56" s="32">
        <v>74</v>
      </c>
      <c r="S56" s="32">
        <v>109.9</v>
      </c>
      <c r="T56" s="32">
        <v>82.9</v>
      </c>
      <c r="U56" s="32">
        <v>44.6</v>
      </c>
      <c r="V56" s="32">
        <v>99.8</v>
      </c>
      <c r="W56" s="32">
        <v>49.9</v>
      </c>
      <c r="X56" s="32">
        <v>37.5</v>
      </c>
      <c r="Y56" s="32">
        <v>62.1</v>
      </c>
      <c r="Z56" s="32">
        <v>117.9</v>
      </c>
      <c r="AA56" s="32">
        <v>78.7</v>
      </c>
      <c r="AB56" s="32">
        <v>87</v>
      </c>
      <c r="AC56" s="32">
        <v>62.4</v>
      </c>
      <c r="AD56" s="32">
        <v>95</v>
      </c>
      <c r="AE56" s="32">
        <v>127.6</v>
      </c>
      <c r="AF56" s="32">
        <v>127.6</v>
      </c>
      <c r="AG56" s="32">
        <v>70.8</v>
      </c>
      <c r="AH56" s="32">
        <v>70.8</v>
      </c>
      <c r="AI56" s="32">
        <v>226.3</v>
      </c>
      <c r="AJ56" s="32">
        <v>82.3</v>
      </c>
      <c r="AK56" s="32">
        <v>775.7</v>
      </c>
      <c r="AL56" s="32">
        <v>118.4</v>
      </c>
      <c r="AM56" s="32">
        <v>28.4</v>
      </c>
      <c r="AN56" s="32">
        <v>133.4</v>
      </c>
      <c r="AO56" s="32">
        <v>75.7</v>
      </c>
      <c r="AP56" s="32">
        <v>75.7</v>
      </c>
      <c r="AQ56" s="32">
        <v>118.1</v>
      </c>
      <c r="AR56" s="32">
        <v>118.8</v>
      </c>
      <c r="AS56" s="32">
        <v>119.2</v>
      </c>
      <c r="AT56" s="32">
        <v>117.9</v>
      </c>
      <c r="AU56" s="32">
        <v>117.3</v>
      </c>
      <c r="AV56" s="32">
        <v>115.1</v>
      </c>
      <c r="AW56" s="32">
        <v>217.7</v>
      </c>
      <c r="AX56" s="32">
        <v>354.4</v>
      </c>
      <c r="AY56" s="32">
        <v>272.89999999999998</v>
      </c>
      <c r="AZ56" s="32">
        <v>98</v>
      </c>
      <c r="BA56" s="32">
        <v>32.799999999999997</v>
      </c>
      <c r="BB56" s="32">
        <v>32.799999999999997</v>
      </c>
      <c r="BC56" s="32">
        <v>129.5</v>
      </c>
      <c r="BD56" s="32">
        <v>129.5</v>
      </c>
      <c r="BE56" s="32">
        <v>89.9</v>
      </c>
      <c r="BF56" s="32">
        <v>89.9</v>
      </c>
      <c r="BG56" s="32">
        <v>79.3</v>
      </c>
      <c r="BH56" s="32">
        <v>61.8</v>
      </c>
      <c r="BI56" s="32">
        <v>96.9</v>
      </c>
      <c r="BJ56" s="32">
        <v>26.2</v>
      </c>
      <c r="BK56" s="32">
        <v>142.69999999999999</v>
      </c>
      <c r="BL56" s="32">
        <v>33.299999999999997</v>
      </c>
      <c r="BM56" s="32">
        <v>91</v>
      </c>
      <c r="BN56" s="32">
        <v>94</v>
      </c>
      <c r="BO56" s="32">
        <v>98.9</v>
      </c>
      <c r="BP56" s="32">
        <v>89</v>
      </c>
      <c r="BQ56" s="32">
        <v>90</v>
      </c>
      <c r="BR56" s="32">
        <v>53.6</v>
      </c>
      <c r="BS56" s="32">
        <v>218</v>
      </c>
      <c r="BT56" s="32">
        <v>67.599999999999994</v>
      </c>
      <c r="BU56" s="32">
        <v>154.69999999999999</v>
      </c>
      <c r="BV56" s="32">
        <v>154.69999999999999</v>
      </c>
      <c r="BW56" s="32">
        <v>191.8</v>
      </c>
      <c r="BX56" s="32">
        <v>118.4</v>
      </c>
      <c r="BY56" s="32">
        <v>109.8</v>
      </c>
      <c r="BZ56" s="32">
        <v>107.9</v>
      </c>
      <c r="CA56" s="32">
        <v>111.2</v>
      </c>
      <c r="CB56" s="32">
        <v>118.6</v>
      </c>
      <c r="CC56" s="32">
        <v>113.7</v>
      </c>
      <c r="CD56" s="32">
        <v>40</v>
      </c>
      <c r="CE56" s="32">
        <v>97</v>
      </c>
      <c r="CF56" s="32">
        <v>66.5</v>
      </c>
      <c r="CG56" s="32">
        <v>87.1</v>
      </c>
      <c r="CH56" s="32">
        <v>87.7</v>
      </c>
      <c r="CI56" s="32">
        <v>115.3</v>
      </c>
      <c r="CJ56" s="32">
        <v>68.8</v>
      </c>
      <c r="CK56" s="32">
        <v>98</v>
      </c>
      <c r="CL56" s="32">
        <v>88.2</v>
      </c>
      <c r="CM56" s="32">
        <v>112.3</v>
      </c>
      <c r="CN56" s="32">
        <v>96.5</v>
      </c>
      <c r="CO56" s="32">
        <v>111.9</v>
      </c>
      <c r="CP56" s="32">
        <v>143.1</v>
      </c>
      <c r="CQ56" s="32">
        <v>37.1</v>
      </c>
      <c r="CR56" s="32">
        <v>91.9</v>
      </c>
      <c r="CS56" s="32">
        <v>115</v>
      </c>
      <c r="CT56" s="32">
        <v>82.7</v>
      </c>
      <c r="CU56" s="32">
        <v>57.5</v>
      </c>
      <c r="CV56" s="32">
        <v>93.8</v>
      </c>
      <c r="CW56" s="32">
        <v>17.600000000000001</v>
      </c>
      <c r="CX56" s="32">
        <v>71.3</v>
      </c>
      <c r="CY56" s="32">
        <v>77.400000000000006</v>
      </c>
      <c r="CZ56" s="32">
        <v>70.599999999999994</v>
      </c>
      <c r="DA56" s="32">
        <v>55.8</v>
      </c>
      <c r="DB56" s="32">
        <v>102.5</v>
      </c>
      <c r="DC56" s="32">
        <v>1.8</v>
      </c>
      <c r="DD56" s="32">
        <v>1.8</v>
      </c>
      <c r="DE56" s="32">
        <v>41.6</v>
      </c>
      <c r="DF56" s="32">
        <v>36.4</v>
      </c>
      <c r="DG56" s="32">
        <v>75.3</v>
      </c>
      <c r="DH56" s="32">
        <v>72.099999999999994</v>
      </c>
      <c r="DI56" s="32">
        <v>104.2</v>
      </c>
      <c r="DJ56" s="32">
        <v>89.4</v>
      </c>
      <c r="DK56" s="32">
        <v>89.4</v>
      </c>
      <c r="DL56" s="32">
        <v>31.8</v>
      </c>
      <c r="DM56" s="32">
        <v>65.5</v>
      </c>
      <c r="DN56" s="32">
        <v>40.1</v>
      </c>
      <c r="DO56" s="32">
        <v>77.099999999999994</v>
      </c>
      <c r="DP56" s="32">
        <v>35.9</v>
      </c>
      <c r="DQ56" s="32">
        <v>58.3</v>
      </c>
      <c r="DR56" s="32">
        <v>58.8</v>
      </c>
      <c r="DS56" s="32">
        <v>55.8</v>
      </c>
      <c r="DT56" s="32">
        <v>51.8</v>
      </c>
      <c r="DU56" s="32">
        <v>52.9</v>
      </c>
      <c r="DV56" s="32">
        <v>59.8</v>
      </c>
      <c r="DW56" s="32">
        <v>45.7</v>
      </c>
      <c r="DX56" s="32">
        <v>49.6</v>
      </c>
      <c r="DY56" s="32">
        <v>70.099999999999994</v>
      </c>
      <c r="DZ56" s="32">
        <v>91.4</v>
      </c>
      <c r="EA56" s="32">
        <v>91.4</v>
      </c>
      <c r="EB56" s="32">
        <v>57.5</v>
      </c>
      <c r="EC56" s="32">
        <v>54.5</v>
      </c>
      <c r="ED56" s="32">
        <v>61.9</v>
      </c>
      <c r="EE56" s="32">
        <v>71.5</v>
      </c>
      <c r="EF56" s="32">
        <v>40.9</v>
      </c>
      <c r="EG56" s="32">
        <v>57.3</v>
      </c>
      <c r="EH56" s="32">
        <v>80.7</v>
      </c>
      <c r="EI56" s="32">
        <v>51.3</v>
      </c>
      <c r="EJ56" s="32">
        <v>106.1</v>
      </c>
      <c r="EK56" s="32">
        <v>45.6</v>
      </c>
      <c r="EL56" s="32">
        <v>71</v>
      </c>
      <c r="EM56" s="32">
        <v>35.1</v>
      </c>
      <c r="EN56" s="32">
        <v>48.9</v>
      </c>
      <c r="EO56" s="32">
        <v>85.5</v>
      </c>
      <c r="EP56" s="32">
        <v>83.8</v>
      </c>
      <c r="EQ56" s="32">
        <v>83.8</v>
      </c>
      <c r="ER56" s="32">
        <v>94.9</v>
      </c>
      <c r="ES56" s="32">
        <v>94.9</v>
      </c>
      <c r="ET56" s="32">
        <v>81.3</v>
      </c>
      <c r="EU56" s="32">
        <v>88.5</v>
      </c>
      <c r="EV56" s="32">
        <v>88.5</v>
      </c>
      <c r="EW56" s="32">
        <v>75.900000000000006</v>
      </c>
      <c r="EX56" s="32">
        <v>88.5</v>
      </c>
      <c r="EY56" s="32">
        <v>66</v>
      </c>
      <c r="EZ56" s="32">
        <v>89.5</v>
      </c>
      <c r="FA56" s="32">
        <v>88.3</v>
      </c>
      <c r="FB56" s="32">
        <v>103.1</v>
      </c>
      <c r="FC56" s="32">
        <v>84.3</v>
      </c>
      <c r="FD56" s="32">
        <v>100.9</v>
      </c>
      <c r="FE56" s="32">
        <v>136.5</v>
      </c>
      <c r="FF56" s="32">
        <v>71.7</v>
      </c>
      <c r="FG56" s="32">
        <v>86.9</v>
      </c>
      <c r="FH56" s="32">
        <v>82</v>
      </c>
      <c r="FI56" s="32">
        <v>104.6</v>
      </c>
      <c r="FJ56" s="32">
        <v>86.6</v>
      </c>
      <c r="FK56" s="32">
        <v>152.19999999999999</v>
      </c>
      <c r="FL56" s="32">
        <v>152.19999999999999</v>
      </c>
    </row>
    <row r="57" spans="1:168" x14ac:dyDescent="0.2">
      <c r="A57" s="34" t="s">
        <v>1037</v>
      </c>
      <c r="B57" s="32">
        <v>72.099999999999994</v>
      </c>
      <c r="C57" s="32">
        <v>77.8</v>
      </c>
      <c r="D57" s="32">
        <v>99.9</v>
      </c>
      <c r="E57" s="32">
        <v>101.6</v>
      </c>
      <c r="F57" s="32">
        <v>393</v>
      </c>
      <c r="G57" s="32">
        <v>8335.6</v>
      </c>
      <c r="H57" s="32">
        <v>533.29999999999995</v>
      </c>
      <c r="I57" s="32">
        <v>59.5</v>
      </c>
      <c r="J57" s="32">
        <v>80.7</v>
      </c>
      <c r="K57" s="32">
        <v>88.7</v>
      </c>
      <c r="L57" s="32">
        <v>91.6</v>
      </c>
      <c r="M57" s="32">
        <v>89.3</v>
      </c>
      <c r="N57" s="32">
        <v>70.599999999999994</v>
      </c>
      <c r="O57" s="32">
        <v>449.8</v>
      </c>
      <c r="P57" s="32">
        <v>457.7</v>
      </c>
      <c r="Q57" s="32">
        <v>121.7</v>
      </c>
      <c r="R57" s="32">
        <v>75.2</v>
      </c>
      <c r="S57" s="32">
        <v>110.5</v>
      </c>
      <c r="T57" s="32">
        <v>80.599999999999994</v>
      </c>
      <c r="U57" s="32">
        <v>44.7</v>
      </c>
      <c r="V57" s="32">
        <v>95.1</v>
      </c>
      <c r="W57" s="32">
        <v>50.7</v>
      </c>
      <c r="X57" s="32">
        <v>37.4</v>
      </c>
      <c r="Y57" s="32">
        <v>65.3</v>
      </c>
      <c r="Z57" s="32">
        <v>113.5</v>
      </c>
      <c r="AA57" s="32">
        <v>78.7</v>
      </c>
      <c r="AB57" s="32">
        <v>85.8</v>
      </c>
      <c r="AC57" s="32">
        <v>62</v>
      </c>
      <c r="AD57" s="32">
        <v>96</v>
      </c>
      <c r="AE57" s="32">
        <v>123.1</v>
      </c>
      <c r="AF57" s="32">
        <v>123.1</v>
      </c>
      <c r="AG57" s="32">
        <v>70.099999999999994</v>
      </c>
      <c r="AH57" s="32">
        <v>70.099999999999994</v>
      </c>
      <c r="AI57" s="32">
        <v>243.1</v>
      </c>
      <c r="AJ57" s="32">
        <v>79.5</v>
      </c>
      <c r="AK57" s="32">
        <v>625.6</v>
      </c>
      <c r="AL57" s="32">
        <v>112.4</v>
      </c>
      <c r="AM57" s="32">
        <v>29.5</v>
      </c>
      <c r="AN57" s="32">
        <v>138.4</v>
      </c>
      <c r="AO57" s="32">
        <v>74.599999999999994</v>
      </c>
      <c r="AP57" s="32">
        <v>74.599999999999994</v>
      </c>
      <c r="AQ57" s="32">
        <v>120</v>
      </c>
      <c r="AR57" s="32">
        <v>121.6</v>
      </c>
      <c r="AS57" s="32">
        <v>119.6</v>
      </c>
      <c r="AT57" s="32">
        <v>118.3</v>
      </c>
      <c r="AU57" s="32">
        <v>117.6</v>
      </c>
      <c r="AV57" s="32">
        <v>116.6</v>
      </c>
      <c r="AW57" s="32">
        <v>227.2</v>
      </c>
      <c r="AX57" s="32">
        <v>369.4</v>
      </c>
      <c r="AY57" s="32">
        <v>285.10000000000002</v>
      </c>
      <c r="AZ57" s="32">
        <v>97.9</v>
      </c>
      <c r="BA57" s="32">
        <v>32.700000000000003</v>
      </c>
      <c r="BB57" s="32">
        <v>32.700000000000003</v>
      </c>
      <c r="BC57" s="32">
        <v>128.6</v>
      </c>
      <c r="BD57" s="32">
        <v>128.6</v>
      </c>
      <c r="BE57" s="32">
        <v>91.5</v>
      </c>
      <c r="BF57" s="32">
        <v>91.5</v>
      </c>
      <c r="BG57" s="32">
        <v>80.900000000000006</v>
      </c>
      <c r="BH57" s="32">
        <v>65</v>
      </c>
      <c r="BI57" s="32">
        <v>95.7</v>
      </c>
      <c r="BJ57" s="32">
        <v>28.3</v>
      </c>
      <c r="BK57" s="32">
        <v>139.5</v>
      </c>
      <c r="BL57" s="32">
        <v>32.6</v>
      </c>
      <c r="BM57" s="32">
        <v>85.7</v>
      </c>
      <c r="BN57" s="32">
        <v>96.2</v>
      </c>
      <c r="BO57" s="32">
        <v>100</v>
      </c>
      <c r="BP57" s="32">
        <v>92.2</v>
      </c>
      <c r="BQ57" s="32">
        <v>74.5</v>
      </c>
      <c r="BR57" s="32">
        <v>50.8</v>
      </c>
      <c r="BS57" s="32">
        <v>169.8</v>
      </c>
      <c r="BT57" s="32">
        <v>56.7</v>
      </c>
      <c r="BU57" s="32">
        <v>163.6</v>
      </c>
      <c r="BV57" s="32">
        <v>163.6</v>
      </c>
      <c r="BW57" s="32">
        <v>202.7</v>
      </c>
      <c r="BX57" s="32">
        <v>124.5</v>
      </c>
      <c r="BY57" s="32">
        <v>107.9</v>
      </c>
      <c r="BZ57" s="32">
        <v>109.8</v>
      </c>
      <c r="CA57" s="32">
        <v>107.4</v>
      </c>
      <c r="CB57" s="32">
        <v>110.5</v>
      </c>
      <c r="CC57" s="32">
        <v>114.4</v>
      </c>
      <c r="CD57" s="32">
        <v>39.9</v>
      </c>
      <c r="CE57" s="32">
        <v>98</v>
      </c>
      <c r="CF57" s="32">
        <v>66.2</v>
      </c>
      <c r="CG57" s="32">
        <v>86.4</v>
      </c>
      <c r="CH57" s="32">
        <v>85.8</v>
      </c>
      <c r="CI57" s="32">
        <v>112.6</v>
      </c>
      <c r="CJ57" s="32">
        <v>65.8</v>
      </c>
      <c r="CK57" s="32">
        <v>97.5</v>
      </c>
      <c r="CL57" s="32">
        <v>89.2</v>
      </c>
      <c r="CM57" s="32">
        <v>110.3</v>
      </c>
      <c r="CN57" s="32">
        <v>91.2</v>
      </c>
      <c r="CO57" s="32">
        <v>110.5</v>
      </c>
      <c r="CP57" s="32">
        <v>142.19999999999999</v>
      </c>
      <c r="CQ57" s="32">
        <v>36.6</v>
      </c>
      <c r="CR57" s="32">
        <v>93.3</v>
      </c>
      <c r="CS57" s="32">
        <v>126.6</v>
      </c>
      <c r="CT57" s="32">
        <v>84.3</v>
      </c>
      <c r="CU57" s="32">
        <v>59</v>
      </c>
      <c r="CV57" s="32">
        <v>95.5</v>
      </c>
      <c r="CW57" s="32">
        <v>17.399999999999999</v>
      </c>
      <c r="CX57" s="32">
        <v>68.7</v>
      </c>
      <c r="CY57" s="32">
        <v>77.5</v>
      </c>
      <c r="CZ57" s="32">
        <v>65.5</v>
      </c>
      <c r="DA57" s="32">
        <v>49.8</v>
      </c>
      <c r="DB57" s="32">
        <v>101.4</v>
      </c>
      <c r="DC57" s="32">
        <v>1.8</v>
      </c>
      <c r="DD57" s="32">
        <v>1.8</v>
      </c>
      <c r="DE57" s="32">
        <v>41.4</v>
      </c>
      <c r="DF57" s="32">
        <v>36.4</v>
      </c>
      <c r="DG57" s="32">
        <v>73</v>
      </c>
      <c r="DH57" s="32">
        <v>70.7</v>
      </c>
      <c r="DI57" s="32">
        <v>102</v>
      </c>
      <c r="DJ57" s="32">
        <v>87.1</v>
      </c>
      <c r="DK57" s="32">
        <v>87.1</v>
      </c>
      <c r="DL57" s="32">
        <v>31.8</v>
      </c>
      <c r="DM57" s="32">
        <v>65.8</v>
      </c>
      <c r="DN57" s="32">
        <v>40.299999999999997</v>
      </c>
      <c r="DO57" s="32">
        <v>77.400000000000006</v>
      </c>
      <c r="DP57" s="32">
        <v>36.5</v>
      </c>
      <c r="DQ57" s="32">
        <v>57.6</v>
      </c>
      <c r="DR57" s="32">
        <v>58</v>
      </c>
      <c r="DS57" s="32">
        <v>55.9</v>
      </c>
      <c r="DT57" s="32">
        <v>52.7</v>
      </c>
      <c r="DU57" s="32">
        <v>54.7</v>
      </c>
      <c r="DV57" s="32">
        <v>63.9</v>
      </c>
      <c r="DW57" s="32">
        <v>45.4</v>
      </c>
      <c r="DX57" s="32">
        <v>48.7</v>
      </c>
      <c r="DY57" s="32">
        <v>67.5</v>
      </c>
      <c r="DZ57" s="32">
        <v>80</v>
      </c>
      <c r="EA57" s="32">
        <v>80</v>
      </c>
      <c r="EB57" s="32">
        <v>56.6</v>
      </c>
      <c r="EC57" s="32">
        <v>53.5</v>
      </c>
      <c r="ED57" s="32">
        <v>61.3</v>
      </c>
      <c r="EE57" s="32">
        <v>70.7</v>
      </c>
      <c r="EF57" s="32">
        <v>40.6</v>
      </c>
      <c r="EG57" s="32">
        <v>56.8</v>
      </c>
      <c r="EH57" s="32">
        <v>77.599999999999994</v>
      </c>
      <c r="EI57" s="32">
        <v>51.2</v>
      </c>
      <c r="EJ57" s="32">
        <v>101.7</v>
      </c>
      <c r="EK57" s="32">
        <v>46.6</v>
      </c>
      <c r="EL57" s="32">
        <v>70.2</v>
      </c>
      <c r="EM57" s="32">
        <v>35.200000000000003</v>
      </c>
      <c r="EN57" s="32">
        <v>50.9</v>
      </c>
      <c r="EO57" s="32">
        <v>85.3</v>
      </c>
      <c r="EP57" s="32">
        <v>84.4</v>
      </c>
      <c r="EQ57" s="32">
        <v>84.4</v>
      </c>
      <c r="ER57" s="32">
        <v>92.6</v>
      </c>
      <c r="ES57" s="32">
        <v>92.6</v>
      </c>
      <c r="ET57" s="32">
        <v>82.1</v>
      </c>
      <c r="EU57" s="32">
        <v>89.5</v>
      </c>
      <c r="EV57" s="32">
        <v>89.5</v>
      </c>
      <c r="EW57" s="32">
        <v>76.3</v>
      </c>
      <c r="EX57" s="32">
        <v>88.4</v>
      </c>
      <c r="EY57" s="32">
        <v>66.8</v>
      </c>
      <c r="EZ57" s="32">
        <v>91.2</v>
      </c>
      <c r="FA57" s="32">
        <v>91.8</v>
      </c>
      <c r="FB57" s="32">
        <v>109.8</v>
      </c>
      <c r="FC57" s="32">
        <v>94.6</v>
      </c>
      <c r="FD57" s="32">
        <v>101.5</v>
      </c>
      <c r="FE57" s="32">
        <v>138.1</v>
      </c>
      <c r="FF57" s="32">
        <v>71.7</v>
      </c>
      <c r="FG57" s="32">
        <v>85.3</v>
      </c>
      <c r="FH57" s="32">
        <v>84.1</v>
      </c>
      <c r="FI57" s="32">
        <v>89.7</v>
      </c>
      <c r="FJ57" s="32">
        <v>85.2</v>
      </c>
      <c r="FK57" s="32">
        <v>181.7</v>
      </c>
      <c r="FL57" s="32">
        <v>181.7</v>
      </c>
    </row>
    <row r="58" spans="1:168" x14ac:dyDescent="0.2">
      <c r="A58" s="34" t="s">
        <v>1038</v>
      </c>
      <c r="B58" s="32">
        <v>72.099999999999994</v>
      </c>
      <c r="C58" s="32">
        <v>77.900000000000006</v>
      </c>
      <c r="D58" s="32">
        <v>99.7</v>
      </c>
      <c r="E58" s="32">
        <v>101</v>
      </c>
      <c r="F58" s="32">
        <v>396.7</v>
      </c>
      <c r="G58" s="32">
        <v>9707.4</v>
      </c>
      <c r="H58" s="32">
        <v>537.5</v>
      </c>
      <c r="I58" s="32">
        <v>59.3</v>
      </c>
      <c r="J58" s="32">
        <v>80.3</v>
      </c>
      <c r="K58" s="32">
        <v>89</v>
      </c>
      <c r="L58" s="32">
        <v>91.1</v>
      </c>
      <c r="M58" s="32">
        <v>89.2</v>
      </c>
      <c r="N58" s="32">
        <v>68.8</v>
      </c>
      <c r="O58" s="32">
        <v>405.6</v>
      </c>
      <c r="P58" s="32">
        <v>459.4</v>
      </c>
      <c r="Q58" s="32">
        <v>118</v>
      </c>
      <c r="R58" s="32">
        <v>74.2</v>
      </c>
      <c r="S58" s="32">
        <v>111.1</v>
      </c>
      <c r="T58" s="32">
        <v>80</v>
      </c>
      <c r="U58" s="32">
        <v>48.9</v>
      </c>
      <c r="V58" s="32">
        <v>97.1</v>
      </c>
      <c r="W58" s="32">
        <v>49.9</v>
      </c>
      <c r="X58" s="32">
        <v>37.200000000000003</v>
      </c>
      <c r="Y58" s="32">
        <v>62.9</v>
      </c>
      <c r="Z58" s="32">
        <v>115.5</v>
      </c>
      <c r="AA58" s="32">
        <v>79.5</v>
      </c>
      <c r="AB58" s="32">
        <v>86.1</v>
      </c>
      <c r="AC58" s="32">
        <v>64</v>
      </c>
      <c r="AD58" s="32">
        <v>95.9</v>
      </c>
      <c r="AE58" s="32">
        <v>120.2</v>
      </c>
      <c r="AF58" s="32">
        <v>120.2</v>
      </c>
      <c r="AG58" s="32">
        <v>69.599999999999994</v>
      </c>
      <c r="AH58" s="32">
        <v>69.599999999999994</v>
      </c>
      <c r="AI58" s="32">
        <v>253.5</v>
      </c>
      <c r="AJ58" s="32">
        <v>76.099999999999994</v>
      </c>
      <c r="AK58" s="32">
        <v>646.29999999999995</v>
      </c>
      <c r="AL58" s="32">
        <v>115.3</v>
      </c>
      <c r="AM58" s="32">
        <v>30</v>
      </c>
      <c r="AN58" s="32">
        <v>135.6</v>
      </c>
      <c r="AO58" s="32">
        <v>78</v>
      </c>
      <c r="AP58" s="32">
        <v>78</v>
      </c>
      <c r="AQ58" s="32">
        <v>119.6</v>
      </c>
      <c r="AR58" s="32">
        <v>119.9</v>
      </c>
      <c r="AS58" s="32">
        <v>121.3</v>
      </c>
      <c r="AT58" s="32">
        <v>118</v>
      </c>
      <c r="AU58" s="32">
        <v>122.1</v>
      </c>
      <c r="AV58" s="32">
        <v>116.1</v>
      </c>
      <c r="AW58" s="32">
        <v>223.1</v>
      </c>
      <c r="AX58" s="32">
        <v>369.8</v>
      </c>
      <c r="AY58" s="32">
        <v>276</v>
      </c>
      <c r="AZ58" s="32">
        <v>98.1</v>
      </c>
      <c r="BA58" s="32">
        <v>31.7</v>
      </c>
      <c r="BB58" s="32">
        <v>31.7</v>
      </c>
      <c r="BC58" s="32">
        <v>129.4</v>
      </c>
      <c r="BD58" s="32">
        <v>129.4</v>
      </c>
      <c r="BE58" s="32">
        <v>90.1</v>
      </c>
      <c r="BF58" s="32">
        <v>90.1</v>
      </c>
      <c r="BG58" s="32">
        <v>81</v>
      </c>
      <c r="BH58" s="32">
        <v>65.8</v>
      </c>
      <c r="BI58" s="32">
        <v>94.7</v>
      </c>
      <c r="BJ58" s="32">
        <v>29.3</v>
      </c>
      <c r="BK58" s="32">
        <v>136.5</v>
      </c>
      <c r="BL58" s="32">
        <v>34.799999999999997</v>
      </c>
      <c r="BM58" s="32">
        <v>82.1</v>
      </c>
      <c r="BN58" s="32">
        <v>90.7</v>
      </c>
      <c r="BO58" s="32">
        <v>95</v>
      </c>
      <c r="BP58" s="32">
        <v>86.3</v>
      </c>
      <c r="BQ58" s="32">
        <v>73.3</v>
      </c>
      <c r="BR58" s="32">
        <v>51.5</v>
      </c>
      <c r="BS58" s="32">
        <v>148.69999999999999</v>
      </c>
      <c r="BT58" s="32">
        <v>58.1</v>
      </c>
      <c r="BU58" s="32">
        <v>157.1</v>
      </c>
      <c r="BV58" s="32">
        <v>157.1</v>
      </c>
      <c r="BW58" s="32">
        <v>196.2</v>
      </c>
      <c r="BX58" s="32">
        <v>116.8</v>
      </c>
      <c r="BY58" s="32">
        <v>110.1</v>
      </c>
      <c r="BZ58" s="32">
        <v>114.7</v>
      </c>
      <c r="CA58" s="32">
        <v>108.3</v>
      </c>
      <c r="CB58" s="32">
        <v>112.3</v>
      </c>
      <c r="CC58" s="32">
        <v>114.3</v>
      </c>
      <c r="CD58" s="32">
        <v>41</v>
      </c>
      <c r="CE58" s="32">
        <v>98.7</v>
      </c>
      <c r="CF58" s="32">
        <v>66.3</v>
      </c>
      <c r="CG58" s="32">
        <v>87.3</v>
      </c>
      <c r="CH58" s="32">
        <v>87.4</v>
      </c>
      <c r="CI58" s="32">
        <v>115.6</v>
      </c>
      <c r="CJ58" s="32">
        <v>67.400000000000006</v>
      </c>
      <c r="CK58" s="32">
        <v>98.7</v>
      </c>
      <c r="CL58" s="32">
        <v>88.9</v>
      </c>
      <c r="CM58" s="32">
        <v>109.5</v>
      </c>
      <c r="CN58" s="32">
        <v>92.3</v>
      </c>
      <c r="CO58" s="32">
        <v>109.4</v>
      </c>
      <c r="CP58" s="32">
        <v>141.5</v>
      </c>
      <c r="CQ58" s="32">
        <v>35.1</v>
      </c>
      <c r="CR58" s="32">
        <v>94.3</v>
      </c>
      <c r="CS58" s="32">
        <v>127</v>
      </c>
      <c r="CT58" s="32">
        <v>83.9</v>
      </c>
      <c r="CU58" s="32">
        <v>58.2</v>
      </c>
      <c r="CV58" s="32">
        <v>95.1</v>
      </c>
      <c r="CW58" s="32">
        <v>17.3</v>
      </c>
      <c r="CX58" s="32">
        <v>67.3</v>
      </c>
      <c r="CY58" s="32">
        <v>77.099999999999994</v>
      </c>
      <c r="CZ58" s="32">
        <v>63.1</v>
      </c>
      <c r="DA58" s="32">
        <v>47.3</v>
      </c>
      <c r="DB58" s="32">
        <v>100</v>
      </c>
      <c r="DC58" s="32">
        <v>1.9</v>
      </c>
      <c r="DD58" s="32">
        <v>1.9</v>
      </c>
      <c r="DE58" s="32">
        <v>40.200000000000003</v>
      </c>
      <c r="DF58" s="32">
        <v>35.299999999999997</v>
      </c>
      <c r="DG58" s="32">
        <v>70.7</v>
      </c>
      <c r="DH58" s="32">
        <v>71.3</v>
      </c>
      <c r="DI58" s="32">
        <v>103.1</v>
      </c>
      <c r="DJ58" s="32">
        <v>85.4</v>
      </c>
      <c r="DK58" s="32">
        <v>85.4</v>
      </c>
      <c r="DL58" s="32">
        <v>33.4</v>
      </c>
      <c r="DM58" s="32">
        <v>66</v>
      </c>
      <c r="DN58" s="32">
        <v>40.5</v>
      </c>
      <c r="DO58" s="32">
        <v>77.599999999999994</v>
      </c>
      <c r="DP58" s="32">
        <v>36.9</v>
      </c>
      <c r="DQ58" s="32">
        <v>57.5</v>
      </c>
      <c r="DR58" s="32">
        <v>57.5</v>
      </c>
      <c r="DS58" s="32">
        <v>55.8</v>
      </c>
      <c r="DT58" s="32">
        <v>52.8</v>
      </c>
      <c r="DU58" s="32">
        <v>55</v>
      </c>
      <c r="DV58" s="32">
        <v>62.3</v>
      </c>
      <c r="DW58" s="32">
        <v>47.3</v>
      </c>
      <c r="DX58" s="32">
        <v>48.4</v>
      </c>
      <c r="DY58" s="32">
        <v>66.599999999999994</v>
      </c>
      <c r="DZ58" s="32">
        <v>78.7</v>
      </c>
      <c r="EA58" s="32">
        <v>78.7</v>
      </c>
      <c r="EB58" s="32">
        <v>55.3</v>
      </c>
      <c r="EC58" s="32">
        <v>52.9</v>
      </c>
      <c r="ED58" s="32">
        <v>59</v>
      </c>
      <c r="EE58" s="32">
        <v>67.400000000000006</v>
      </c>
      <c r="EF58" s="32">
        <v>40.5</v>
      </c>
      <c r="EG58" s="32">
        <v>57.4</v>
      </c>
      <c r="EH58" s="32">
        <v>82</v>
      </c>
      <c r="EI58" s="32">
        <v>51.3</v>
      </c>
      <c r="EJ58" s="32">
        <v>101.4</v>
      </c>
      <c r="EK58" s="32">
        <v>45.8</v>
      </c>
      <c r="EL58" s="32">
        <v>73.5</v>
      </c>
      <c r="EM58" s="32">
        <v>35.5</v>
      </c>
      <c r="EN58" s="32">
        <v>48.6</v>
      </c>
      <c r="EO58" s="32">
        <v>85</v>
      </c>
      <c r="EP58" s="32">
        <v>84.7</v>
      </c>
      <c r="EQ58" s="32">
        <v>84.7</v>
      </c>
      <c r="ER58" s="32">
        <v>90.5</v>
      </c>
      <c r="ES58" s="32">
        <v>90.5</v>
      </c>
      <c r="ET58" s="32">
        <v>82.7</v>
      </c>
      <c r="EU58" s="32">
        <v>90.2</v>
      </c>
      <c r="EV58" s="32">
        <v>90.2</v>
      </c>
      <c r="EW58" s="32">
        <v>76.7</v>
      </c>
      <c r="EX58" s="32">
        <v>88.3</v>
      </c>
      <c r="EY58" s="32">
        <v>67.5</v>
      </c>
      <c r="EZ58" s="32">
        <v>91.6</v>
      </c>
      <c r="FA58" s="32">
        <v>90.9</v>
      </c>
      <c r="FB58" s="32">
        <v>107.8</v>
      </c>
      <c r="FC58" s="32">
        <v>90.7</v>
      </c>
      <c r="FD58" s="32">
        <v>102.1</v>
      </c>
      <c r="FE58" s="32">
        <v>139.1</v>
      </c>
      <c r="FF58" s="32">
        <v>72</v>
      </c>
      <c r="FG58" s="32">
        <v>87</v>
      </c>
      <c r="FH58" s="32">
        <v>84.1</v>
      </c>
      <c r="FI58" s="32">
        <v>93</v>
      </c>
      <c r="FJ58" s="32">
        <v>87.4</v>
      </c>
      <c r="FK58" s="32">
        <v>177.7</v>
      </c>
      <c r="FL58" s="32">
        <v>177.7</v>
      </c>
    </row>
    <row r="59" spans="1:168" x14ac:dyDescent="0.2">
      <c r="A59" s="34" t="s">
        <v>1039</v>
      </c>
      <c r="B59" s="32">
        <v>72.400000000000006</v>
      </c>
      <c r="C59" s="32">
        <v>78.8</v>
      </c>
      <c r="D59" s="32">
        <v>100.2</v>
      </c>
      <c r="E59" s="32">
        <v>101.7</v>
      </c>
      <c r="F59" s="32">
        <v>381</v>
      </c>
      <c r="G59" s="32">
        <v>9246.7000000000007</v>
      </c>
      <c r="H59" s="32">
        <v>507</v>
      </c>
      <c r="I59" s="32">
        <v>65.2</v>
      </c>
      <c r="J59" s="32">
        <v>81.599999999999994</v>
      </c>
      <c r="K59" s="32">
        <v>89.1</v>
      </c>
      <c r="L59" s="32">
        <v>91.5</v>
      </c>
      <c r="M59" s="32">
        <v>93.5</v>
      </c>
      <c r="N59" s="32">
        <v>67.7</v>
      </c>
      <c r="O59" s="32">
        <v>440.7</v>
      </c>
      <c r="P59" s="32">
        <v>456.3</v>
      </c>
      <c r="Q59" s="32">
        <v>118.7</v>
      </c>
      <c r="R59" s="32">
        <v>74.900000000000006</v>
      </c>
      <c r="S59" s="32">
        <v>110.4</v>
      </c>
      <c r="T59" s="32">
        <v>76.5</v>
      </c>
      <c r="U59" s="32">
        <v>47.6</v>
      </c>
      <c r="V59" s="32">
        <v>96.5</v>
      </c>
      <c r="W59" s="32">
        <v>50.8</v>
      </c>
      <c r="X59" s="32">
        <v>38</v>
      </c>
      <c r="Y59" s="32">
        <v>64.3</v>
      </c>
      <c r="Z59" s="32">
        <v>115.3</v>
      </c>
      <c r="AA59" s="32">
        <v>80</v>
      </c>
      <c r="AB59" s="32">
        <v>87.9</v>
      </c>
      <c r="AC59" s="32">
        <v>65.5</v>
      </c>
      <c r="AD59" s="32">
        <v>94.7</v>
      </c>
      <c r="AE59" s="32">
        <v>113.2</v>
      </c>
      <c r="AF59" s="32">
        <v>113.2</v>
      </c>
      <c r="AG59" s="32">
        <v>69.2</v>
      </c>
      <c r="AH59" s="32">
        <v>69.2</v>
      </c>
      <c r="AI59" s="32">
        <v>246.6</v>
      </c>
      <c r="AJ59" s="32">
        <v>77.599999999999994</v>
      </c>
      <c r="AK59" s="32">
        <v>606.29999999999995</v>
      </c>
      <c r="AL59" s="32">
        <v>117.6</v>
      </c>
      <c r="AM59" s="32">
        <v>29.4</v>
      </c>
      <c r="AN59" s="32">
        <v>135.4</v>
      </c>
      <c r="AO59" s="32">
        <v>81</v>
      </c>
      <c r="AP59" s="32">
        <v>81</v>
      </c>
      <c r="AQ59" s="32">
        <v>120.6</v>
      </c>
      <c r="AR59" s="32">
        <v>123.2</v>
      </c>
      <c r="AS59" s="32">
        <v>118.7</v>
      </c>
      <c r="AT59" s="32">
        <v>119.5</v>
      </c>
      <c r="AU59" s="32">
        <v>113.9</v>
      </c>
      <c r="AV59" s="32">
        <v>116.4</v>
      </c>
      <c r="AW59" s="32">
        <v>219.2</v>
      </c>
      <c r="AX59" s="32">
        <v>356.7</v>
      </c>
      <c r="AY59" s="32">
        <v>275.60000000000002</v>
      </c>
      <c r="AZ59" s="32">
        <v>99.2</v>
      </c>
      <c r="BA59" s="32">
        <v>34.6</v>
      </c>
      <c r="BB59" s="32">
        <v>34.6</v>
      </c>
      <c r="BC59" s="32">
        <v>134.1</v>
      </c>
      <c r="BD59" s="32">
        <v>134.1</v>
      </c>
      <c r="BE59" s="32">
        <v>90.5</v>
      </c>
      <c r="BF59" s="32">
        <v>90.5</v>
      </c>
      <c r="BG59" s="32">
        <v>81.7</v>
      </c>
      <c r="BH59" s="32">
        <v>67.900000000000006</v>
      </c>
      <c r="BI59" s="32">
        <v>93</v>
      </c>
      <c r="BJ59" s="32">
        <v>30.3</v>
      </c>
      <c r="BK59" s="32">
        <v>133</v>
      </c>
      <c r="BL59" s="32">
        <v>34.200000000000003</v>
      </c>
      <c r="BM59" s="32">
        <v>83.7</v>
      </c>
      <c r="BN59" s="32">
        <v>91.3</v>
      </c>
      <c r="BO59" s="32">
        <v>96.4</v>
      </c>
      <c r="BP59" s="32">
        <v>86.2</v>
      </c>
      <c r="BQ59" s="32">
        <v>76.3</v>
      </c>
      <c r="BR59" s="32">
        <v>57.2</v>
      </c>
      <c r="BS59" s="32">
        <v>169.7</v>
      </c>
      <c r="BT59" s="32">
        <v>58.2</v>
      </c>
      <c r="BU59" s="32">
        <v>156.80000000000001</v>
      </c>
      <c r="BV59" s="32">
        <v>156.80000000000001</v>
      </c>
      <c r="BW59" s="32">
        <v>189.2</v>
      </c>
      <c r="BX59" s="32">
        <v>124.8</v>
      </c>
      <c r="BY59" s="32">
        <v>109.1</v>
      </c>
      <c r="BZ59" s="32">
        <v>112.2</v>
      </c>
      <c r="CA59" s="32">
        <v>108.1</v>
      </c>
      <c r="CB59" s="32">
        <v>112.9</v>
      </c>
      <c r="CC59" s="32">
        <v>113.1</v>
      </c>
      <c r="CD59" s="32">
        <v>41.2</v>
      </c>
      <c r="CE59" s="32">
        <v>98.4</v>
      </c>
      <c r="CF59" s="32">
        <v>66.5</v>
      </c>
      <c r="CG59" s="32">
        <v>87.7</v>
      </c>
      <c r="CH59" s="32">
        <v>87.5</v>
      </c>
      <c r="CI59" s="32">
        <v>123.1</v>
      </c>
      <c r="CJ59" s="32">
        <v>66.8</v>
      </c>
      <c r="CK59" s="32">
        <v>97.8</v>
      </c>
      <c r="CL59" s="32">
        <v>90.4</v>
      </c>
      <c r="CM59" s="32">
        <v>114.4</v>
      </c>
      <c r="CN59" s="32">
        <v>92.8</v>
      </c>
      <c r="CO59" s="32">
        <v>114.9</v>
      </c>
      <c r="CP59" s="32">
        <v>140.4</v>
      </c>
      <c r="CQ59" s="32">
        <v>35.299999999999997</v>
      </c>
      <c r="CR59" s="32">
        <v>93.5</v>
      </c>
      <c r="CS59" s="32">
        <v>127</v>
      </c>
      <c r="CT59" s="32">
        <v>84</v>
      </c>
      <c r="CU59" s="32">
        <v>56.8</v>
      </c>
      <c r="CV59" s="32">
        <v>96</v>
      </c>
      <c r="CW59" s="32">
        <v>17.5</v>
      </c>
      <c r="CX59" s="32">
        <v>67.3</v>
      </c>
      <c r="CY59" s="32">
        <v>77.2</v>
      </c>
      <c r="CZ59" s="32">
        <v>62.9</v>
      </c>
      <c r="DA59" s="32">
        <v>47</v>
      </c>
      <c r="DB59" s="32">
        <v>100</v>
      </c>
      <c r="DC59" s="32">
        <v>1.9</v>
      </c>
      <c r="DD59" s="32">
        <v>1.9</v>
      </c>
      <c r="DE59" s="32">
        <v>42.5</v>
      </c>
      <c r="DF59" s="32">
        <v>37.5</v>
      </c>
      <c r="DG59" s="32">
        <v>73.8</v>
      </c>
      <c r="DH59" s="32">
        <v>71.5</v>
      </c>
      <c r="DI59" s="32">
        <v>103.8</v>
      </c>
      <c r="DJ59" s="32">
        <v>84.2</v>
      </c>
      <c r="DK59" s="32">
        <v>84.2</v>
      </c>
      <c r="DL59" s="32">
        <v>34.200000000000003</v>
      </c>
      <c r="DM59" s="32">
        <v>65.900000000000006</v>
      </c>
      <c r="DN59" s="32">
        <v>40.6</v>
      </c>
      <c r="DO59" s="32">
        <v>77.5</v>
      </c>
      <c r="DP59" s="32">
        <v>37.299999999999997</v>
      </c>
      <c r="DQ59" s="32">
        <v>58.5</v>
      </c>
      <c r="DR59" s="32">
        <v>58.6</v>
      </c>
      <c r="DS59" s="32">
        <v>55.9</v>
      </c>
      <c r="DT59" s="32">
        <v>53.1</v>
      </c>
      <c r="DU59" s="32">
        <v>54.8</v>
      </c>
      <c r="DV59" s="32">
        <v>62</v>
      </c>
      <c r="DW59" s="32">
        <v>47.4</v>
      </c>
      <c r="DX59" s="32">
        <v>49.6</v>
      </c>
      <c r="DY59" s="32">
        <v>65.8</v>
      </c>
      <c r="DZ59" s="32">
        <v>93.5</v>
      </c>
      <c r="EA59" s="32">
        <v>93.5</v>
      </c>
      <c r="EB59" s="32">
        <v>55.9</v>
      </c>
      <c r="EC59" s="32">
        <v>54.9</v>
      </c>
      <c r="ED59" s="32">
        <v>57.6</v>
      </c>
      <c r="EE59" s="32">
        <v>65.599999999999994</v>
      </c>
      <c r="EF59" s="32">
        <v>40.1</v>
      </c>
      <c r="EG59" s="32">
        <v>58</v>
      </c>
      <c r="EH59" s="32">
        <v>84.7</v>
      </c>
      <c r="EI59" s="32">
        <v>52.4</v>
      </c>
      <c r="EJ59" s="32">
        <v>94.1</v>
      </c>
      <c r="EK59" s="32">
        <v>45.9</v>
      </c>
      <c r="EL59" s="32">
        <v>72.2</v>
      </c>
      <c r="EM59" s="32">
        <v>36</v>
      </c>
      <c r="EN59" s="32">
        <v>48.6</v>
      </c>
      <c r="EO59" s="32">
        <v>84.9</v>
      </c>
      <c r="EP59" s="32">
        <v>84.5</v>
      </c>
      <c r="EQ59" s="32">
        <v>84.5</v>
      </c>
      <c r="ER59" s="32">
        <v>89.6</v>
      </c>
      <c r="ES59" s="32">
        <v>89.6</v>
      </c>
      <c r="ET59" s="32">
        <v>83.1</v>
      </c>
      <c r="EU59" s="32">
        <v>90.8</v>
      </c>
      <c r="EV59" s="32">
        <v>90.8</v>
      </c>
      <c r="EW59" s="32">
        <v>77</v>
      </c>
      <c r="EX59" s="32">
        <v>88.3</v>
      </c>
      <c r="EY59" s="32">
        <v>68.099999999999994</v>
      </c>
      <c r="EZ59" s="32">
        <v>88.2</v>
      </c>
      <c r="FA59" s="32">
        <v>85.9</v>
      </c>
      <c r="FB59" s="32">
        <v>97.9</v>
      </c>
      <c r="FC59" s="32">
        <v>73.900000000000006</v>
      </c>
      <c r="FD59" s="32">
        <v>102.2</v>
      </c>
      <c r="FE59" s="32">
        <v>139.80000000000001</v>
      </c>
      <c r="FF59" s="32">
        <v>72.400000000000006</v>
      </c>
      <c r="FG59" s="32">
        <v>84.6</v>
      </c>
      <c r="FH59" s="32">
        <v>80.599999999999994</v>
      </c>
      <c r="FI59" s="32">
        <v>91.5</v>
      </c>
      <c r="FJ59" s="32">
        <v>85.4</v>
      </c>
      <c r="FK59" s="32">
        <v>178.5</v>
      </c>
      <c r="FL59" s="32">
        <v>178.5</v>
      </c>
    </row>
    <row r="60" spans="1:168" x14ac:dyDescent="0.2">
      <c r="A60" s="34" t="s">
        <v>1040</v>
      </c>
      <c r="B60" s="32">
        <v>72.400000000000006</v>
      </c>
      <c r="C60" s="32">
        <v>80</v>
      </c>
      <c r="D60" s="32">
        <v>99.8</v>
      </c>
      <c r="E60" s="32">
        <v>101.5</v>
      </c>
      <c r="F60" s="32">
        <v>388.5</v>
      </c>
      <c r="G60" s="32">
        <v>8807.2999999999993</v>
      </c>
      <c r="H60" s="32">
        <v>519</v>
      </c>
      <c r="I60" s="32">
        <v>65.400000000000006</v>
      </c>
      <c r="J60" s="32">
        <v>80.900000000000006</v>
      </c>
      <c r="K60" s="32">
        <v>88.4</v>
      </c>
      <c r="L60" s="32">
        <v>91.2</v>
      </c>
      <c r="M60" s="32">
        <v>93.6</v>
      </c>
      <c r="N60" s="32">
        <v>66.5</v>
      </c>
      <c r="O60" s="32">
        <v>470.9</v>
      </c>
      <c r="P60" s="32">
        <v>457.6</v>
      </c>
      <c r="Q60" s="32">
        <v>112.6</v>
      </c>
      <c r="R60" s="32">
        <v>75.2</v>
      </c>
      <c r="S60" s="32">
        <v>109.2</v>
      </c>
      <c r="T60" s="32">
        <v>83.5</v>
      </c>
      <c r="U60" s="32">
        <v>48.3</v>
      </c>
      <c r="V60" s="32">
        <v>93</v>
      </c>
      <c r="W60" s="32">
        <v>50</v>
      </c>
      <c r="X60" s="32">
        <v>38.1</v>
      </c>
      <c r="Y60" s="32">
        <v>61.3</v>
      </c>
      <c r="Z60" s="32">
        <v>119.7</v>
      </c>
      <c r="AA60" s="32">
        <v>79.8</v>
      </c>
      <c r="AB60" s="32">
        <v>91.7</v>
      </c>
      <c r="AC60" s="32">
        <v>66</v>
      </c>
      <c r="AD60" s="32">
        <v>92.3</v>
      </c>
      <c r="AE60" s="32">
        <v>130.30000000000001</v>
      </c>
      <c r="AF60" s="32">
        <v>130.30000000000001</v>
      </c>
      <c r="AG60" s="32">
        <v>67.900000000000006</v>
      </c>
      <c r="AH60" s="32">
        <v>67.900000000000006</v>
      </c>
      <c r="AI60" s="32">
        <v>244.1</v>
      </c>
      <c r="AJ60" s="32">
        <v>73.7</v>
      </c>
      <c r="AK60" s="32">
        <v>582</v>
      </c>
      <c r="AL60" s="32">
        <v>114.9</v>
      </c>
      <c r="AM60" s="32">
        <v>29.6</v>
      </c>
      <c r="AN60" s="32">
        <v>145</v>
      </c>
      <c r="AO60" s="32">
        <v>82.6</v>
      </c>
      <c r="AP60" s="32">
        <v>82.6</v>
      </c>
      <c r="AQ60" s="32">
        <v>118.4</v>
      </c>
      <c r="AR60" s="32">
        <v>121</v>
      </c>
      <c r="AS60" s="32">
        <v>116.6</v>
      </c>
      <c r="AT60" s="32">
        <v>119.3</v>
      </c>
      <c r="AU60" s="32">
        <v>109.3</v>
      </c>
      <c r="AV60" s="32">
        <v>114.8</v>
      </c>
      <c r="AW60" s="32">
        <v>219.6</v>
      </c>
      <c r="AX60" s="32">
        <v>342.7</v>
      </c>
      <c r="AY60" s="32">
        <v>285.10000000000002</v>
      </c>
      <c r="AZ60" s="32">
        <v>97.2</v>
      </c>
      <c r="BA60" s="32">
        <v>33.299999999999997</v>
      </c>
      <c r="BB60" s="32">
        <v>33.299999999999997</v>
      </c>
      <c r="BC60" s="32">
        <v>136.5</v>
      </c>
      <c r="BD60" s="32">
        <v>136.5</v>
      </c>
      <c r="BE60" s="32">
        <v>91.6</v>
      </c>
      <c r="BF60" s="32">
        <v>91.6</v>
      </c>
      <c r="BG60" s="32">
        <v>79.8</v>
      </c>
      <c r="BH60" s="32">
        <v>65.599999999999994</v>
      </c>
      <c r="BI60" s="32">
        <v>92.3</v>
      </c>
      <c r="BJ60" s="32">
        <v>31</v>
      </c>
      <c r="BK60" s="32">
        <v>131</v>
      </c>
      <c r="BL60" s="32">
        <v>35</v>
      </c>
      <c r="BM60" s="32">
        <v>84.3</v>
      </c>
      <c r="BN60" s="32">
        <v>91.5</v>
      </c>
      <c r="BO60" s="32">
        <v>96.5</v>
      </c>
      <c r="BP60" s="32">
        <v>86.5</v>
      </c>
      <c r="BQ60" s="32">
        <v>77.400000000000006</v>
      </c>
      <c r="BR60" s="32">
        <v>55.9</v>
      </c>
      <c r="BS60" s="32">
        <v>200.2</v>
      </c>
      <c r="BT60" s="32">
        <v>55.5</v>
      </c>
      <c r="BU60" s="32">
        <v>162.5</v>
      </c>
      <c r="BV60" s="32">
        <v>162.5</v>
      </c>
      <c r="BW60" s="32">
        <v>201.3</v>
      </c>
      <c r="BX60" s="32">
        <v>122</v>
      </c>
      <c r="BY60" s="32">
        <v>107.9</v>
      </c>
      <c r="BZ60" s="32">
        <v>110.3</v>
      </c>
      <c r="CA60" s="32">
        <v>107.3</v>
      </c>
      <c r="CB60" s="32">
        <v>112.1</v>
      </c>
      <c r="CC60" s="32">
        <v>112.4</v>
      </c>
      <c r="CD60" s="32">
        <v>40.5</v>
      </c>
      <c r="CE60" s="32">
        <v>97.7</v>
      </c>
      <c r="CF60" s="32">
        <v>66.599999999999994</v>
      </c>
      <c r="CG60" s="32">
        <v>87.3</v>
      </c>
      <c r="CH60" s="32">
        <v>86.8</v>
      </c>
      <c r="CI60" s="32">
        <v>117.1</v>
      </c>
      <c r="CJ60" s="32">
        <v>66.099999999999994</v>
      </c>
      <c r="CK60" s="32">
        <v>98.3</v>
      </c>
      <c r="CL60" s="32">
        <v>90.8</v>
      </c>
      <c r="CM60" s="32">
        <v>112</v>
      </c>
      <c r="CN60" s="32">
        <v>94</v>
      </c>
      <c r="CO60" s="32">
        <v>112</v>
      </c>
      <c r="CP60" s="32">
        <v>139.4</v>
      </c>
      <c r="CQ60" s="32">
        <v>34.6</v>
      </c>
      <c r="CR60" s="32">
        <v>93.5</v>
      </c>
      <c r="CS60" s="32">
        <v>137.69999999999999</v>
      </c>
      <c r="CT60" s="32">
        <v>83.3</v>
      </c>
      <c r="CU60" s="32">
        <v>59.2</v>
      </c>
      <c r="CV60" s="32">
        <v>93.9</v>
      </c>
      <c r="CW60" s="32">
        <v>17.600000000000001</v>
      </c>
      <c r="CX60" s="32">
        <v>66.400000000000006</v>
      </c>
      <c r="CY60" s="32">
        <v>76.400000000000006</v>
      </c>
      <c r="CZ60" s="32">
        <v>62</v>
      </c>
      <c r="DA60" s="32">
        <v>45.8</v>
      </c>
      <c r="DB60" s="32">
        <v>100.3</v>
      </c>
      <c r="DC60" s="32">
        <v>1.9</v>
      </c>
      <c r="DD60" s="32">
        <v>1.9</v>
      </c>
      <c r="DE60" s="32">
        <v>42.5</v>
      </c>
      <c r="DF60" s="32">
        <v>36.9</v>
      </c>
      <c r="DG60" s="32">
        <v>78.7</v>
      </c>
      <c r="DH60" s="32">
        <v>72.400000000000006</v>
      </c>
      <c r="DI60" s="32">
        <v>105.9</v>
      </c>
      <c r="DJ60" s="32">
        <v>83.7</v>
      </c>
      <c r="DK60" s="32">
        <v>83.7</v>
      </c>
      <c r="DL60" s="32">
        <v>34.700000000000003</v>
      </c>
      <c r="DM60" s="32">
        <v>66.2</v>
      </c>
      <c r="DN60" s="32">
        <v>41</v>
      </c>
      <c r="DO60" s="32">
        <v>77.7</v>
      </c>
      <c r="DP60" s="32">
        <v>38</v>
      </c>
      <c r="DQ60" s="32">
        <v>58.2</v>
      </c>
      <c r="DR60" s="32">
        <v>58.1</v>
      </c>
      <c r="DS60" s="32">
        <v>56.4</v>
      </c>
      <c r="DT60" s="32">
        <v>53.6</v>
      </c>
      <c r="DU60" s="32">
        <v>54.4</v>
      </c>
      <c r="DV60" s="32">
        <v>63.4</v>
      </c>
      <c r="DW60" s="32">
        <v>45.3</v>
      </c>
      <c r="DX60" s="32">
        <v>52</v>
      </c>
      <c r="DY60" s="32">
        <v>66.5</v>
      </c>
      <c r="DZ60" s="32">
        <v>77</v>
      </c>
      <c r="EA60" s="32">
        <v>77</v>
      </c>
      <c r="EB60" s="32">
        <v>56.5</v>
      </c>
      <c r="EC60" s="32">
        <v>54.5</v>
      </c>
      <c r="ED60" s="32">
        <v>59.6</v>
      </c>
      <c r="EE60" s="32">
        <v>68.5</v>
      </c>
      <c r="EF60" s="32">
        <v>40.299999999999997</v>
      </c>
      <c r="EG60" s="32">
        <v>58</v>
      </c>
      <c r="EH60" s="32">
        <v>78.099999999999994</v>
      </c>
      <c r="EI60" s="32">
        <v>53</v>
      </c>
      <c r="EJ60" s="32">
        <v>96.4</v>
      </c>
      <c r="EK60" s="32">
        <v>48.2</v>
      </c>
      <c r="EL60" s="32">
        <v>84.1</v>
      </c>
      <c r="EM60" s="32">
        <v>36</v>
      </c>
      <c r="EN60" s="32">
        <v>51.2</v>
      </c>
      <c r="EO60" s="32">
        <v>85.3</v>
      </c>
      <c r="EP60" s="32">
        <v>84.8</v>
      </c>
      <c r="EQ60" s="32">
        <v>84.8</v>
      </c>
      <c r="ER60" s="32">
        <v>90.4</v>
      </c>
      <c r="ES60" s="32">
        <v>90.4</v>
      </c>
      <c r="ET60" s="32">
        <v>83.4</v>
      </c>
      <c r="EU60" s="32">
        <v>91</v>
      </c>
      <c r="EV60" s="32">
        <v>91</v>
      </c>
      <c r="EW60" s="32">
        <v>77.400000000000006</v>
      </c>
      <c r="EX60" s="32">
        <v>88.4</v>
      </c>
      <c r="EY60" s="32">
        <v>68.599999999999994</v>
      </c>
      <c r="EZ60" s="32">
        <v>88.5</v>
      </c>
      <c r="FA60" s="32">
        <v>87.9</v>
      </c>
      <c r="FB60" s="32">
        <v>102.6</v>
      </c>
      <c r="FC60" s="32">
        <v>81.5</v>
      </c>
      <c r="FD60" s="32">
        <v>102.2</v>
      </c>
      <c r="FE60" s="32">
        <v>140.4</v>
      </c>
      <c r="FF60" s="32">
        <v>71.5</v>
      </c>
      <c r="FG60" s="32">
        <v>84.3</v>
      </c>
      <c r="FH60" s="32">
        <v>76.900000000000006</v>
      </c>
      <c r="FI60" s="32">
        <v>91.7</v>
      </c>
      <c r="FJ60" s="32">
        <v>86.3</v>
      </c>
      <c r="FK60" s="32">
        <v>167.8</v>
      </c>
      <c r="FL60" s="32">
        <v>167.8</v>
      </c>
    </row>
    <row r="61" spans="1:168" x14ac:dyDescent="0.2">
      <c r="A61" s="34" t="s">
        <v>1041</v>
      </c>
      <c r="B61" s="32">
        <v>72.599999999999994</v>
      </c>
      <c r="C61" s="32">
        <v>80.5</v>
      </c>
      <c r="D61" s="32">
        <v>100.5</v>
      </c>
      <c r="E61" s="32">
        <v>102.6</v>
      </c>
      <c r="F61" s="32">
        <v>392.2</v>
      </c>
      <c r="G61" s="32">
        <v>9267</v>
      </c>
      <c r="H61" s="32">
        <v>521</v>
      </c>
      <c r="I61" s="32">
        <v>68.3</v>
      </c>
      <c r="J61" s="32">
        <v>82.2</v>
      </c>
      <c r="K61" s="32">
        <v>87.6</v>
      </c>
      <c r="L61" s="32">
        <v>90.4</v>
      </c>
      <c r="M61" s="32">
        <v>90.5</v>
      </c>
      <c r="N61" s="32">
        <v>65.7</v>
      </c>
      <c r="O61" s="32">
        <v>443.1</v>
      </c>
      <c r="P61" s="32">
        <v>447.3</v>
      </c>
      <c r="Q61" s="32">
        <v>111</v>
      </c>
      <c r="R61" s="32">
        <v>75.400000000000006</v>
      </c>
      <c r="S61" s="32">
        <v>109.4</v>
      </c>
      <c r="T61" s="32">
        <v>83.5</v>
      </c>
      <c r="U61" s="32">
        <v>46.7</v>
      </c>
      <c r="V61" s="32">
        <v>92.6</v>
      </c>
      <c r="W61" s="32">
        <v>51.3</v>
      </c>
      <c r="X61" s="32">
        <v>38.5</v>
      </c>
      <c r="Y61" s="32">
        <v>63.8</v>
      </c>
      <c r="Z61" s="32">
        <v>124.5</v>
      </c>
      <c r="AA61" s="32">
        <v>83.6</v>
      </c>
      <c r="AB61" s="32">
        <v>89.5</v>
      </c>
      <c r="AC61" s="32">
        <v>66.2</v>
      </c>
      <c r="AD61" s="32">
        <v>102.5</v>
      </c>
      <c r="AE61" s="32">
        <v>135.5</v>
      </c>
      <c r="AF61" s="32">
        <v>135.5</v>
      </c>
      <c r="AG61" s="32">
        <v>68.099999999999994</v>
      </c>
      <c r="AH61" s="32">
        <v>68.099999999999994</v>
      </c>
      <c r="AI61" s="32">
        <v>242.5</v>
      </c>
      <c r="AJ61" s="32">
        <v>72.3</v>
      </c>
      <c r="AK61" s="32">
        <v>655.8</v>
      </c>
      <c r="AL61" s="32">
        <v>117.1</v>
      </c>
      <c r="AM61" s="32">
        <v>30.5</v>
      </c>
      <c r="AN61" s="32">
        <v>141.69999999999999</v>
      </c>
      <c r="AO61" s="32">
        <v>83.8</v>
      </c>
      <c r="AP61" s="32">
        <v>83.8</v>
      </c>
      <c r="AQ61" s="32">
        <v>119.4</v>
      </c>
      <c r="AR61" s="32">
        <v>122.7</v>
      </c>
      <c r="AS61" s="32">
        <v>116.4</v>
      </c>
      <c r="AT61" s="32">
        <v>119.5</v>
      </c>
      <c r="AU61" s="32">
        <v>108.4</v>
      </c>
      <c r="AV61" s="32">
        <v>117.1</v>
      </c>
      <c r="AW61" s="32">
        <v>222</v>
      </c>
      <c r="AX61" s="32">
        <v>351.2</v>
      </c>
      <c r="AY61" s="32">
        <v>285.89999999999998</v>
      </c>
      <c r="AZ61" s="32">
        <v>99.6</v>
      </c>
      <c r="BA61" s="32">
        <v>33.799999999999997</v>
      </c>
      <c r="BB61" s="32">
        <v>33.799999999999997</v>
      </c>
      <c r="BC61" s="32">
        <v>139.30000000000001</v>
      </c>
      <c r="BD61" s="32">
        <v>139.30000000000001</v>
      </c>
      <c r="BE61" s="32">
        <v>92.5</v>
      </c>
      <c r="BF61" s="32">
        <v>92.5</v>
      </c>
      <c r="BG61" s="32">
        <v>83.8</v>
      </c>
      <c r="BH61" s="32">
        <v>73</v>
      </c>
      <c r="BI61" s="32">
        <v>90.1</v>
      </c>
      <c r="BJ61" s="32">
        <v>31.1</v>
      </c>
      <c r="BK61" s="32">
        <v>128</v>
      </c>
      <c r="BL61" s="32">
        <v>32.799999999999997</v>
      </c>
      <c r="BM61" s="32">
        <v>84.4</v>
      </c>
      <c r="BN61" s="32">
        <v>91.7</v>
      </c>
      <c r="BO61" s="32">
        <v>95.4</v>
      </c>
      <c r="BP61" s="32">
        <v>87.8</v>
      </c>
      <c r="BQ61" s="32">
        <v>77.400000000000006</v>
      </c>
      <c r="BR61" s="32">
        <v>69.5</v>
      </c>
      <c r="BS61" s="32">
        <v>170.3</v>
      </c>
      <c r="BT61" s="32">
        <v>58.1</v>
      </c>
      <c r="BU61" s="32">
        <v>163.19999999999999</v>
      </c>
      <c r="BV61" s="32">
        <v>163.19999999999999</v>
      </c>
      <c r="BW61" s="32">
        <v>198.1</v>
      </c>
      <c r="BX61" s="32">
        <v>128</v>
      </c>
      <c r="BY61" s="32">
        <v>104</v>
      </c>
      <c r="BZ61" s="32">
        <v>108.6</v>
      </c>
      <c r="CA61" s="32">
        <v>102.2</v>
      </c>
      <c r="CB61" s="32">
        <v>106.3</v>
      </c>
      <c r="CC61" s="32">
        <v>107.7</v>
      </c>
      <c r="CD61" s="32">
        <v>37.9</v>
      </c>
      <c r="CE61" s="32">
        <v>97.1</v>
      </c>
      <c r="CF61" s="32">
        <v>66.599999999999994</v>
      </c>
      <c r="CG61" s="32">
        <v>88.2</v>
      </c>
      <c r="CH61" s="32">
        <v>88.3</v>
      </c>
      <c r="CI61" s="32">
        <v>117.1</v>
      </c>
      <c r="CJ61" s="32">
        <v>70</v>
      </c>
      <c r="CK61" s="32">
        <v>97.8</v>
      </c>
      <c r="CL61" s="32">
        <v>89.9</v>
      </c>
      <c r="CM61" s="32">
        <v>110.5</v>
      </c>
      <c r="CN61" s="32">
        <v>93.9</v>
      </c>
      <c r="CO61" s="32">
        <v>110.2</v>
      </c>
      <c r="CP61" s="32">
        <v>137.80000000000001</v>
      </c>
      <c r="CQ61" s="32">
        <v>34.799999999999997</v>
      </c>
      <c r="CR61" s="32">
        <v>91.7</v>
      </c>
      <c r="CS61" s="32">
        <v>138.5</v>
      </c>
      <c r="CT61" s="32">
        <v>84.4</v>
      </c>
      <c r="CU61" s="32">
        <v>58.5</v>
      </c>
      <c r="CV61" s="32">
        <v>95.7</v>
      </c>
      <c r="CW61" s="32">
        <v>17</v>
      </c>
      <c r="CX61" s="32">
        <v>65.2</v>
      </c>
      <c r="CY61" s="32">
        <v>77.3</v>
      </c>
      <c r="CZ61" s="32">
        <v>58.9</v>
      </c>
      <c r="DA61" s="32">
        <v>41.9</v>
      </c>
      <c r="DB61" s="32">
        <v>99.8</v>
      </c>
      <c r="DC61" s="32">
        <v>1.9</v>
      </c>
      <c r="DD61" s="32">
        <v>1.9</v>
      </c>
      <c r="DE61" s="32">
        <v>39.299999999999997</v>
      </c>
      <c r="DF61" s="32">
        <v>34.6</v>
      </c>
      <c r="DG61" s="32">
        <v>68.900000000000006</v>
      </c>
      <c r="DH61" s="32">
        <v>72.5</v>
      </c>
      <c r="DI61" s="32">
        <v>107.3</v>
      </c>
      <c r="DJ61" s="32">
        <v>81.5</v>
      </c>
      <c r="DK61" s="32">
        <v>81.5</v>
      </c>
      <c r="DL61" s="32">
        <v>34.9</v>
      </c>
      <c r="DM61" s="32">
        <v>66.3</v>
      </c>
      <c r="DN61" s="32">
        <v>41.2</v>
      </c>
      <c r="DO61" s="32">
        <v>77.7</v>
      </c>
      <c r="DP61" s="32">
        <v>38.1</v>
      </c>
      <c r="DQ61" s="32">
        <v>58.5</v>
      </c>
      <c r="DR61" s="32">
        <v>59.5</v>
      </c>
      <c r="DS61" s="32">
        <v>57.9</v>
      </c>
      <c r="DT61" s="32">
        <v>55.1</v>
      </c>
      <c r="DU61" s="32">
        <v>56.1</v>
      </c>
      <c r="DV61" s="32">
        <v>60.9</v>
      </c>
      <c r="DW61" s="32">
        <v>50.8</v>
      </c>
      <c r="DX61" s="32">
        <v>53</v>
      </c>
      <c r="DY61" s="32">
        <v>68.099999999999994</v>
      </c>
      <c r="DZ61" s="32">
        <v>84.5</v>
      </c>
      <c r="EA61" s="32">
        <v>84.5</v>
      </c>
      <c r="EB61" s="32">
        <v>56</v>
      </c>
      <c r="EC61" s="32">
        <v>55.1</v>
      </c>
      <c r="ED61" s="32">
        <v>57.6</v>
      </c>
      <c r="EE61" s="32">
        <v>65.5</v>
      </c>
      <c r="EF61" s="32">
        <v>40.299999999999997</v>
      </c>
      <c r="EG61" s="32">
        <v>56.9</v>
      </c>
      <c r="EH61" s="32">
        <v>78</v>
      </c>
      <c r="EI61" s="32">
        <v>53.7</v>
      </c>
      <c r="EJ61" s="32">
        <v>93.5</v>
      </c>
      <c r="EK61" s="32">
        <v>45.6</v>
      </c>
      <c r="EL61" s="32">
        <v>70.099999999999994</v>
      </c>
      <c r="EM61" s="32">
        <v>36</v>
      </c>
      <c r="EN61" s="32">
        <v>48.4</v>
      </c>
      <c r="EO61" s="32">
        <v>85.6</v>
      </c>
      <c r="EP61" s="32">
        <v>84.9</v>
      </c>
      <c r="EQ61" s="32">
        <v>84.9</v>
      </c>
      <c r="ER61" s="32">
        <v>90.9</v>
      </c>
      <c r="ES61" s="32">
        <v>90.9</v>
      </c>
      <c r="ET61" s="32">
        <v>83.7</v>
      </c>
      <c r="EU61" s="32">
        <v>91.4</v>
      </c>
      <c r="EV61" s="32">
        <v>91.4</v>
      </c>
      <c r="EW61" s="32">
        <v>77.599999999999994</v>
      </c>
      <c r="EX61" s="32">
        <v>88.5</v>
      </c>
      <c r="EY61" s="32">
        <v>68.900000000000006</v>
      </c>
      <c r="EZ61" s="32">
        <v>87.3</v>
      </c>
      <c r="FA61" s="32">
        <v>87.2</v>
      </c>
      <c r="FB61" s="32">
        <v>102.3</v>
      </c>
      <c r="FC61" s="32">
        <v>81.2</v>
      </c>
      <c r="FD61" s="32">
        <v>101.5</v>
      </c>
      <c r="FE61" s="32">
        <v>140.1</v>
      </c>
      <c r="FF61" s="32">
        <v>70.400000000000006</v>
      </c>
      <c r="FG61" s="32">
        <v>82.6</v>
      </c>
      <c r="FH61" s="32">
        <v>75.2</v>
      </c>
      <c r="FI61" s="32">
        <v>92.9</v>
      </c>
      <c r="FJ61" s="32">
        <v>84.4</v>
      </c>
      <c r="FK61" s="32">
        <v>168.1</v>
      </c>
      <c r="FL61" s="32">
        <v>168.1</v>
      </c>
    </row>
    <row r="62" spans="1:168" x14ac:dyDescent="0.2">
      <c r="A62" s="34" t="s">
        <v>1042</v>
      </c>
      <c r="B62" s="32">
        <v>72.5</v>
      </c>
      <c r="C62" s="32">
        <v>79.8</v>
      </c>
      <c r="D62" s="32">
        <v>100.2</v>
      </c>
      <c r="E62" s="32">
        <v>102.2</v>
      </c>
      <c r="F62" s="32">
        <v>388.7</v>
      </c>
      <c r="G62" s="32">
        <v>10116</v>
      </c>
      <c r="H62" s="32">
        <v>516.20000000000005</v>
      </c>
      <c r="I62" s="32">
        <v>66.7</v>
      </c>
      <c r="J62" s="32">
        <v>81.3</v>
      </c>
      <c r="K62" s="32">
        <v>87.1</v>
      </c>
      <c r="L62" s="32">
        <v>89.6</v>
      </c>
      <c r="M62" s="32">
        <v>96.2</v>
      </c>
      <c r="N62" s="32">
        <v>65.900000000000006</v>
      </c>
      <c r="O62" s="32">
        <v>452.4</v>
      </c>
      <c r="P62" s="32">
        <v>460.9</v>
      </c>
      <c r="Q62" s="32">
        <v>112.3</v>
      </c>
      <c r="R62" s="32">
        <v>74.3</v>
      </c>
      <c r="S62" s="32">
        <v>103.6</v>
      </c>
      <c r="T62" s="32">
        <v>85.5</v>
      </c>
      <c r="U62" s="32">
        <v>46.7</v>
      </c>
      <c r="V62" s="32">
        <v>93.3</v>
      </c>
      <c r="W62" s="32">
        <v>51.5</v>
      </c>
      <c r="X62" s="32">
        <v>38.799999999999997</v>
      </c>
      <c r="Y62" s="32">
        <v>64.3</v>
      </c>
      <c r="Z62" s="32">
        <v>118.2</v>
      </c>
      <c r="AA62" s="32">
        <v>81.900000000000006</v>
      </c>
      <c r="AB62" s="32">
        <v>94.6</v>
      </c>
      <c r="AC62" s="32">
        <v>67.8</v>
      </c>
      <c r="AD62" s="32">
        <v>94.4</v>
      </c>
      <c r="AE62" s="32">
        <v>143.1</v>
      </c>
      <c r="AF62" s="32">
        <v>143.1</v>
      </c>
      <c r="AG62" s="32">
        <v>66.3</v>
      </c>
      <c r="AH62" s="32">
        <v>66.3</v>
      </c>
      <c r="AI62" s="32">
        <v>237.4</v>
      </c>
      <c r="AJ62" s="32">
        <v>69.3</v>
      </c>
      <c r="AK62" s="32">
        <v>636.29999999999995</v>
      </c>
      <c r="AL62" s="32">
        <v>117.2</v>
      </c>
      <c r="AM62" s="32">
        <v>29</v>
      </c>
      <c r="AN62" s="32">
        <v>149.19999999999999</v>
      </c>
      <c r="AO62" s="32">
        <v>81.7</v>
      </c>
      <c r="AP62" s="32">
        <v>81.7</v>
      </c>
      <c r="AQ62" s="32">
        <v>118.7</v>
      </c>
      <c r="AR62" s="32">
        <v>119.9</v>
      </c>
      <c r="AS62" s="32">
        <v>119</v>
      </c>
      <c r="AT62" s="32">
        <v>122.4</v>
      </c>
      <c r="AU62" s="32">
        <v>110.4</v>
      </c>
      <c r="AV62" s="32">
        <v>112.9</v>
      </c>
      <c r="AW62" s="32">
        <v>209.3</v>
      </c>
      <c r="AX62" s="32">
        <v>336.6</v>
      </c>
      <c r="AY62" s="32">
        <v>267.3</v>
      </c>
      <c r="AZ62" s="32">
        <v>96.9</v>
      </c>
      <c r="BA62" s="32">
        <v>34.5</v>
      </c>
      <c r="BB62" s="32">
        <v>34.5</v>
      </c>
      <c r="BC62" s="32">
        <v>141</v>
      </c>
      <c r="BD62" s="32">
        <v>141</v>
      </c>
      <c r="BE62" s="32">
        <v>91.7</v>
      </c>
      <c r="BF62" s="32">
        <v>91.7</v>
      </c>
      <c r="BG62" s="32">
        <v>81.900000000000006</v>
      </c>
      <c r="BH62" s="32">
        <v>70.900000000000006</v>
      </c>
      <c r="BI62" s="32">
        <v>89.1</v>
      </c>
      <c r="BJ62" s="32">
        <v>31.2</v>
      </c>
      <c r="BK62" s="32">
        <v>125.7</v>
      </c>
      <c r="BL62" s="32">
        <v>33.799999999999997</v>
      </c>
      <c r="BM62" s="32">
        <v>84.5</v>
      </c>
      <c r="BN62" s="32">
        <v>91.1</v>
      </c>
      <c r="BO62" s="32">
        <v>94.8</v>
      </c>
      <c r="BP62" s="32">
        <v>87.2</v>
      </c>
      <c r="BQ62" s="32">
        <v>78.400000000000006</v>
      </c>
      <c r="BR62" s="32">
        <v>62.7</v>
      </c>
      <c r="BS62" s="32">
        <v>205.5</v>
      </c>
      <c r="BT62" s="32">
        <v>55.2</v>
      </c>
      <c r="BU62" s="32">
        <v>169.6</v>
      </c>
      <c r="BV62" s="32">
        <v>169.6</v>
      </c>
      <c r="BW62" s="32">
        <v>197.7</v>
      </c>
      <c r="BX62" s="32">
        <v>143.69999999999999</v>
      </c>
      <c r="BY62" s="32">
        <v>108.3</v>
      </c>
      <c r="BZ62" s="32">
        <v>111.5</v>
      </c>
      <c r="CA62" s="32">
        <v>107.3</v>
      </c>
      <c r="CB62" s="32">
        <v>115.2</v>
      </c>
      <c r="CC62" s="32">
        <v>108.9</v>
      </c>
      <c r="CD62" s="32">
        <v>41.1</v>
      </c>
      <c r="CE62" s="32">
        <v>97.1</v>
      </c>
      <c r="CF62" s="32">
        <v>66.599999999999994</v>
      </c>
      <c r="CG62" s="32">
        <v>87</v>
      </c>
      <c r="CH62" s="32">
        <v>86.5</v>
      </c>
      <c r="CI62" s="32">
        <v>125.3</v>
      </c>
      <c r="CJ62" s="32">
        <v>64.099999999999994</v>
      </c>
      <c r="CK62" s="32">
        <v>97.8</v>
      </c>
      <c r="CL62" s="32">
        <v>89.4</v>
      </c>
      <c r="CM62" s="32">
        <v>110.7</v>
      </c>
      <c r="CN62" s="32">
        <v>93.7</v>
      </c>
      <c r="CO62" s="32">
        <v>110.6</v>
      </c>
      <c r="CP62" s="32">
        <v>135.6</v>
      </c>
      <c r="CQ62" s="32">
        <v>33.1</v>
      </c>
      <c r="CR62" s="32">
        <v>91.5</v>
      </c>
      <c r="CS62" s="32">
        <v>137.5</v>
      </c>
      <c r="CT62" s="32">
        <v>85</v>
      </c>
      <c r="CU62" s="32">
        <v>58.6</v>
      </c>
      <c r="CV62" s="32">
        <v>96.6</v>
      </c>
      <c r="CW62" s="32">
        <v>17.7</v>
      </c>
      <c r="CX62" s="32">
        <v>67.3</v>
      </c>
      <c r="CY62" s="32">
        <v>77.2</v>
      </c>
      <c r="CZ62" s="32">
        <v>63</v>
      </c>
      <c r="DA62" s="32">
        <v>46.4</v>
      </c>
      <c r="DB62" s="32">
        <v>102.2</v>
      </c>
      <c r="DC62" s="32">
        <v>1.9</v>
      </c>
      <c r="DD62" s="32">
        <v>1.9</v>
      </c>
      <c r="DE62" s="32">
        <v>43</v>
      </c>
      <c r="DF62" s="32">
        <v>37.299999999999997</v>
      </c>
      <c r="DG62" s="32">
        <v>79.5</v>
      </c>
      <c r="DH62" s="32">
        <v>72.400000000000006</v>
      </c>
      <c r="DI62" s="32">
        <v>108.8</v>
      </c>
      <c r="DJ62" s="32">
        <v>78.8</v>
      </c>
      <c r="DK62" s="32">
        <v>78.8</v>
      </c>
      <c r="DL62" s="32">
        <v>34.799999999999997</v>
      </c>
      <c r="DM62" s="32">
        <v>66.2</v>
      </c>
      <c r="DN62" s="32">
        <v>41.2</v>
      </c>
      <c r="DO62" s="32">
        <v>77.7</v>
      </c>
      <c r="DP62" s="32">
        <v>38.299999999999997</v>
      </c>
      <c r="DQ62" s="32">
        <v>57.9</v>
      </c>
      <c r="DR62" s="32">
        <v>59.1</v>
      </c>
      <c r="DS62" s="32">
        <v>56.1</v>
      </c>
      <c r="DT62" s="32">
        <v>53</v>
      </c>
      <c r="DU62" s="32">
        <v>53.4</v>
      </c>
      <c r="DV62" s="32">
        <v>61.4</v>
      </c>
      <c r="DW62" s="32">
        <v>45.3</v>
      </c>
      <c r="DX62" s="32">
        <v>52</v>
      </c>
      <c r="DY62" s="32">
        <v>67.400000000000006</v>
      </c>
      <c r="DZ62" s="32">
        <v>86.3</v>
      </c>
      <c r="EA62" s="32">
        <v>86.3</v>
      </c>
      <c r="EB62" s="32">
        <v>59</v>
      </c>
      <c r="EC62" s="32">
        <v>60.6</v>
      </c>
      <c r="ED62" s="32">
        <v>57.1</v>
      </c>
      <c r="EE62" s="32">
        <v>64.7</v>
      </c>
      <c r="EF62" s="32">
        <v>40.5</v>
      </c>
      <c r="EG62" s="32">
        <v>56</v>
      </c>
      <c r="EH62" s="32">
        <v>76.400000000000006</v>
      </c>
      <c r="EI62" s="32">
        <v>52.1</v>
      </c>
      <c r="EJ62" s="32">
        <v>91.2</v>
      </c>
      <c r="EK62" s="32">
        <v>45.7</v>
      </c>
      <c r="EL62" s="32">
        <v>68.599999999999994</v>
      </c>
      <c r="EM62" s="32">
        <v>36</v>
      </c>
      <c r="EN62" s="32">
        <v>48.7</v>
      </c>
      <c r="EO62" s="32">
        <v>85.9</v>
      </c>
      <c r="EP62" s="32">
        <v>85.2</v>
      </c>
      <c r="EQ62" s="32">
        <v>85.2</v>
      </c>
      <c r="ER62" s="32">
        <v>91</v>
      </c>
      <c r="ES62" s="32">
        <v>91</v>
      </c>
      <c r="ET62" s="32">
        <v>84.2</v>
      </c>
      <c r="EU62" s="32">
        <v>92.1</v>
      </c>
      <c r="EV62" s="32">
        <v>92.1</v>
      </c>
      <c r="EW62" s="32">
        <v>77.7</v>
      </c>
      <c r="EX62" s="32">
        <v>88.4</v>
      </c>
      <c r="EY62" s="32">
        <v>69.2</v>
      </c>
      <c r="EZ62" s="32">
        <v>87.8</v>
      </c>
      <c r="FA62" s="32">
        <v>88.2</v>
      </c>
      <c r="FB62" s="32">
        <v>103</v>
      </c>
      <c r="FC62" s="32">
        <v>83.1</v>
      </c>
      <c r="FD62" s="32">
        <v>100.7</v>
      </c>
      <c r="FE62" s="32">
        <v>139.1</v>
      </c>
      <c r="FF62" s="32">
        <v>71.8</v>
      </c>
      <c r="FG62" s="32">
        <v>83</v>
      </c>
      <c r="FH62" s="32">
        <v>75.5</v>
      </c>
      <c r="FI62" s="32">
        <v>87.7</v>
      </c>
      <c r="FJ62" s="32">
        <v>85.5</v>
      </c>
      <c r="FK62" s="32">
        <v>163.1</v>
      </c>
      <c r="FL62" s="32">
        <v>163.1</v>
      </c>
    </row>
    <row r="63" spans="1:168" x14ac:dyDescent="0.2">
      <c r="A63" s="34" t="s">
        <v>1043</v>
      </c>
      <c r="B63" s="32">
        <v>72.7</v>
      </c>
      <c r="C63" s="32">
        <v>79.2</v>
      </c>
      <c r="D63" s="32">
        <v>99.7</v>
      </c>
      <c r="E63" s="32">
        <v>101.4</v>
      </c>
      <c r="F63" s="32">
        <v>379.6</v>
      </c>
      <c r="G63" s="32">
        <v>9510.7999999999993</v>
      </c>
      <c r="H63" s="32">
        <v>502.9</v>
      </c>
      <c r="I63" s="32">
        <v>66.900000000000006</v>
      </c>
      <c r="J63" s="32">
        <v>81.3</v>
      </c>
      <c r="K63" s="32">
        <v>88</v>
      </c>
      <c r="L63" s="32">
        <v>89.8</v>
      </c>
      <c r="M63" s="32">
        <v>91.3</v>
      </c>
      <c r="N63" s="32">
        <v>65.900000000000006</v>
      </c>
      <c r="O63" s="32">
        <v>443.4</v>
      </c>
      <c r="P63" s="32">
        <v>457.7</v>
      </c>
      <c r="Q63" s="32">
        <v>105.9</v>
      </c>
      <c r="R63" s="32">
        <v>74.099999999999994</v>
      </c>
      <c r="S63" s="32">
        <v>108.5</v>
      </c>
      <c r="T63" s="32">
        <v>78.099999999999994</v>
      </c>
      <c r="U63" s="32">
        <v>48</v>
      </c>
      <c r="V63" s="32">
        <v>97.9</v>
      </c>
      <c r="W63" s="32">
        <v>51</v>
      </c>
      <c r="X63" s="32">
        <v>38.299999999999997</v>
      </c>
      <c r="Y63" s="32">
        <v>64</v>
      </c>
      <c r="Z63" s="32">
        <v>117.6</v>
      </c>
      <c r="AA63" s="32">
        <v>81.400000000000006</v>
      </c>
      <c r="AB63" s="32">
        <v>92.3</v>
      </c>
      <c r="AC63" s="32">
        <v>66.900000000000006</v>
      </c>
      <c r="AD63" s="32">
        <v>95.1</v>
      </c>
      <c r="AE63" s="32">
        <v>141.69999999999999</v>
      </c>
      <c r="AF63" s="32">
        <v>141.69999999999999</v>
      </c>
      <c r="AG63" s="32">
        <v>66</v>
      </c>
      <c r="AH63" s="32">
        <v>66</v>
      </c>
      <c r="AI63" s="32">
        <v>237.7</v>
      </c>
      <c r="AJ63" s="32">
        <v>67.400000000000006</v>
      </c>
      <c r="AK63" s="32">
        <v>657.5</v>
      </c>
      <c r="AL63" s="32">
        <v>112.8</v>
      </c>
      <c r="AM63" s="32">
        <v>30</v>
      </c>
      <c r="AN63" s="32">
        <v>151.9</v>
      </c>
      <c r="AO63" s="32">
        <v>86.9</v>
      </c>
      <c r="AP63" s="32">
        <v>86.9</v>
      </c>
      <c r="AQ63" s="32">
        <v>118.2</v>
      </c>
      <c r="AR63" s="32">
        <v>121.8</v>
      </c>
      <c r="AS63" s="32">
        <v>114.7</v>
      </c>
      <c r="AT63" s="32">
        <v>116.6</v>
      </c>
      <c r="AU63" s="32">
        <v>108.8</v>
      </c>
      <c r="AV63" s="32">
        <v>112.7</v>
      </c>
      <c r="AW63" s="32">
        <v>204.3</v>
      </c>
      <c r="AX63" s="32">
        <v>351.8</v>
      </c>
      <c r="AY63" s="32">
        <v>248.9</v>
      </c>
      <c r="AZ63" s="32">
        <v>97.7</v>
      </c>
      <c r="BA63" s="32">
        <v>34.6</v>
      </c>
      <c r="BB63" s="32">
        <v>34.6</v>
      </c>
      <c r="BC63" s="32">
        <v>138.80000000000001</v>
      </c>
      <c r="BD63" s="32">
        <v>138.80000000000001</v>
      </c>
      <c r="BE63" s="32">
        <v>92.4</v>
      </c>
      <c r="BF63" s="32">
        <v>92.4</v>
      </c>
      <c r="BG63" s="32">
        <v>78.900000000000006</v>
      </c>
      <c r="BH63" s="32">
        <v>68.2</v>
      </c>
      <c r="BI63" s="32">
        <v>85.7</v>
      </c>
      <c r="BJ63" s="32">
        <v>30.7</v>
      </c>
      <c r="BK63" s="32">
        <v>120.5</v>
      </c>
      <c r="BL63" s="32">
        <v>33</v>
      </c>
      <c r="BM63" s="32">
        <v>84.9</v>
      </c>
      <c r="BN63" s="32">
        <v>93.5</v>
      </c>
      <c r="BO63" s="32">
        <v>95.8</v>
      </c>
      <c r="BP63" s="32">
        <v>90.7</v>
      </c>
      <c r="BQ63" s="32">
        <v>76.2</v>
      </c>
      <c r="BR63" s="32">
        <v>69.7</v>
      </c>
      <c r="BS63" s="32">
        <v>176.1</v>
      </c>
      <c r="BT63" s="32">
        <v>56</v>
      </c>
      <c r="BU63" s="32">
        <v>159.6</v>
      </c>
      <c r="BV63" s="32">
        <v>159.6</v>
      </c>
      <c r="BW63" s="32">
        <v>196.4</v>
      </c>
      <c r="BX63" s="32">
        <v>121.4</v>
      </c>
      <c r="BY63" s="32">
        <v>107</v>
      </c>
      <c r="BZ63" s="32">
        <v>112</v>
      </c>
      <c r="CA63" s="32">
        <v>105</v>
      </c>
      <c r="CB63" s="32">
        <v>113.3</v>
      </c>
      <c r="CC63" s="32">
        <v>105.9</v>
      </c>
      <c r="CD63" s="32">
        <v>39.1</v>
      </c>
      <c r="CE63" s="32">
        <v>97.6</v>
      </c>
      <c r="CF63" s="32">
        <v>67</v>
      </c>
      <c r="CG63" s="32">
        <v>87.6</v>
      </c>
      <c r="CH63" s="32">
        <v>88.7</v>
      </c>
      <c r="CI63" s="32">
        <v>122.6</v>
      </c>
      <c r="CJ63" s="32">
        <v>68.8</v>
      </c>
      <c r="CK63" s="32">
        <v>98.5</v>
      </c>
      <c r="CL63" s="32">
        <v>86.6</v>
      </c>
      <c r="CM63" s="32">
        <v>111.1</v>
      </c>
      <c r="CN63" s="32">
        <v>97.3</v>
      </c>
      <c r="CO63" s="32">
        <v>110.4</v>
      </c>
      <c r="CP63" s="32">
        <v>133.30000000000001</v>
      </c>
      <c r="CQ63" s="32">
        <v>32</v>
      </c>
      <c r="CR63" s="32">
        <v>91</v>
      </c>
      <c r="CS63" s="32">
        <v>118.4</v>
      </c>
      <c r="CT63" s="32">
        <v>84</v>
      </c>
      <c r="CU63" s="32">
        <v>58.7</v>
      </c>
      <c r="CV63" s="32">
        <v>95</v>
      </c>
      <c r="CW63" s="32">
        <v>18.2</v>
      </c>
      <c r="CX63" s="32">
        <v>69.400000000000006</v>
      </c>
      <c r="CY63" s="32">
        <v>77.7</v>
      </c>
      <c r="CZ63" s="32">
        <v>66.400000000000006</v>
      </c>
      <c r="DA63" s="32">
        <v>50.4</v>
      </c>
      <c r="DB63" s="32">
        <v>102.9</v>
      </c>
      <c r="DC63" s="32">
        <v>2</v>
      </c>
      <c r="DD63" s="32">
        <v>2</v>
      </c>
      <c r="DE63" s="32">
        <v>42.9</v>
      </c>
      <c r="DF63" s="32">
        <v>37.1</v>
      </c>
      <c r="DG63" s="32">
        <v>79.7</v>
      </c>
      <c r="DH63" s="32">
        <v>71.8</v>
      </c>
      <c r="DI63" s="32">
        <v>112</v>
      </c>
      <c r="DJ63" s="32">
        <v>75.599999999999994</v>
      </c>
      <c r="DK63" s="32">
        <v>75.599999999999994</v>
      </c>
      <c r="DL63" s="32">
        <v>30.7</v>
      </c>
      <c r="DM63" s="32">
        <v>66.400000000000006</v>
      </c>
      <c r="DN63" s="32">
        <v>41.4</v>
      </c>
      <c r="DO63" s="32">
        <v>77.8</v>
      </c>
      <c r="DP63" s="32">
        <v>38.4</v>
      </c>
      <c r="DQ63" s="32">
        <v>58.1</v>
      </c>
      <c r="DR63" s="32">
        <v>59.9</v>
      </c>
      <c r="DS63" s="32">
        <v>57.7</v>
      </c>
      <c r="DT63" s="32">
        <v>53.8</v>
      </c>
      <c r="DU63" s="32">
        <v>55.8</v>
      </c>
      <c r="DV63" s="32">
        <v>63.8</v>
      </c>
      <c r="DW63" s="32">
        <v>47.6</v>
      </c>
      <c r="DX63" s="32">
        <v>49.8</v>
      </c>
      <c r="DY63" s="32">
        <v>71.5</v>
      </c>
      <c r="DZ63" s="32">
        <v>88.2</v>
      </c>
      <c r="EA63" s="32">
        <v>88.2</v>
      </c>
      <c r="EB63" s="32">
        <v>57.3</v>
      </c>
      <c r="EC63" s="32">
        <v>59.3</v>
      </c>
      <c r="ED63" s="32">
        <v>54.7</v>
      </c>
      <c r="EE63" s="32">
        <v>61.3</v>
      </c>
      <c r="EF63" s="32">
        <v>40.5</v>
      </c>
      <c r="EG63" s="32">
        <v>55.1</v>
      </c>
      <c r="EH63" s="32">
        <v>76.8</v>
      </c>
      <c r="EI63" s="32">
        <v>52.5</v>
      </c>
      <c r="EJ63" s="32">
        <v>73.900000000000006</v>
      </c>
      <c r="EK63" s="32">
        <v>45</v>
      </c>
      <c r="EL63" s="32">
        <v>66.2</v>
      </c>
      <c r="EM63" s="32">
        <v>37</v>
      </c>
      <c r="EN63" s="32">
        <v>47.2</v>
      </c>
      <c r="EO63" s="32">
        <v>86.1</v>
      </c>
      <c r="EP63" s="32">
        <v>85.4</v>
      </c>
      <c r="EQ63" s="32">
        <v>85.4</v>
      </c>
      <c r="ER63" s="32">
        <v>90.8</v>
      </c>
      <c r="ES63" s="32">
        <v>90.8</v>
      </c>
      <c r="ET63" s="32">
        <v>84.7</v>
      </c>
      <c r="EU63" s="32">
        <v>92.7</v>
      </c>
      <c r="EV63" s="32">
        <v>92.7</v>
      </c>
      <c r="EW63" s="32">
        <v>77.8</v>
      </c>
      <c r="EX63" s="32">
        <v>88.4</v>
      </c>
      <c r="EY63" s="32">
        <v>69.400000000000006</v>
      </c>
      <c r="EZ63" s="32">
        <v>89.8</v>
      </c>
      <c r="FA63" s="32">
        <v>90</v>
      </c>
      <c r="FB63" s="32">
        <v>104</v>
      </c>
      <c r="FC63" s="32">
        <v>85.5</v>
      </c>
      <c r="FD63" s="32">
        <v>100.2</v>
      </c>
      <c r="FE63" s="32">
        <v>137.80000000000001</v>
      </c>
      <c r="FF63" s="32">
        <v>74.5</v>
      </c>
      <c r="FG63" s="32">
        <v>85.7</v>
      </c>
      <c r="FH63" s="32">
        <v>78</v>
      </c>
      <c r="FI63" s="32">
        <v>92.2</v>
      </c>
      <c r="FJ63" s="32">
        <v>88</v>
      </c>
      <c r="FK63" s="32">
        <v>159.1</v>
      </c>
      <c r="FL63" s="32">
        <v>159.1</v>
      </c>
    </row>
    <row r="64" spans="1:168" x14ac:dyDescent="0.2">
      <c r="A64" s="34" t="s">
        <v>1044</v>
      </c>
      <c r="B64" s="32">
        <v>72.7</v>
      </c>
      <c r="C64" s="32">
        <v>80.900000000000006</v>
      </c>
      <c r="D64" s="32">
        <v>99.9</v>
      </c>
      <c r="E64" s="32">
        <v>101.6</v>
      </c>
      <c r="F64" s="32">
        <v>380.9</v>
      </c>
      <c r="G64" s="32">
        <v>8876.2000000000007</v>
      </c>
      <c r="H64" s="32">
        <v>503.8</v>
      </c>
      <c r="I64" s="32">
        <v>68.8</v>
      </c>
      <c r="J64" s="32">
        <v>81.3</v>
      </c>
      <c r="K64" s="32">
        <v>89.2</v>
      </c>
      <c r="L64" s="32">
        <v>91.1</v>
      </c>
      <c r="M64" s="32">
        <v>92.6</v>
      </c>
      <c r="N64" s="32">
        <v>69.2</v>
      </c>
      <c r="O64" s="32">
        <v>417.8</v>
      </c>
      <c r="P64" s="32">
        <v>468.4</v>
      </c>
      <c r="Q64" s="32">
        <v>107</v>
      </c>
      <c r="R64" s="32">
        <v>73.7</v>
      </c>
      <c r="S64" s="32">
        <v>109.9</v>
      </c>
      <c r="T64" s="32">
        <v>78.8</v>
      </c>
      <c r="U64" s="32">
        <v>50.1</v>
      </c>
      <c r="V64" s="32">
        <v>98.2</v>
      </c>
      <c r="W64" s="32">
        <v>51.9</v>
      </c>
      <c r="X64" s="32">
        <v>39.799999999999997</v>
      </c>
      <c r="Y64" s="32">
        <v>64</v>
      </c>
      <c r="Z64" s="32">
        <v>113.8</v>
      </c>
      <c r="AA64" s="32">
        <v>80.400000000000006</v>
      </c>
      <c r="AB64" s="32">
        <v>89.1</v>
      </c>
      <c r="AC64" s="32">
        <v>68.099999999999994</v>
      </c>
      <c r="AD64" s="32">
        <v>93</v>
      </c>
      <c r="AE64" s="32">
        <v>143.30000000000001</v>
      </c>
      <c r="AF64" s="32">
        <v>143.30000000000001</v>
      </c>
      <c r="AG64" s="32">
        <v>66.7</v>
      </c>
      <c r="AH64" s="32">
        <v>66.7</v>
      </c>
      <c r="AI64" s="32">
        <v>237.9</v>
      </c>
      <c r="AJ64" s="32">
        <v>66.099999999999994</v>
      </c>
      <c r="AK64" s="32">
        <v>712.8</v>
      </c>
      <c r="AL64" s="32">
        <v>109.8</v>
      </c>
      <c r="AM64" s="32">
        <v>31</v>
      </c>
      <c r="AN64" s="32">
        <v>161.19999999999999</v>
      </c>
      <c r="AO64" s="32">
        <v>85.2</v>
      </c>
      <c r="AP64" s="32">
        <v>85.2</v>
      </c>
      <c r="AQ64" s="32">
        <v>119.8</v>
      </c>
      <c r="AR64" s="32">
        <v>123.4</v>
      </c>
      <c r="AS64" s="32">
        <v>116.2</v>
      </c>
      <c r="AT64" s="32">
        <v>114.2</v>
      </c>
      <c r="AU64" s="32">
        <v>115.1</v>
      </c>
      <c r="AV64" s="32">
        <v>110.6</v>
      </c>
      <c r="AW64" s="32">
        <v>194.8</v>
      </c>
      <c r="AX64" s="32">
        <v>312.3</v>
      </c>
      <c r="AY64" s="32">
        <v>249.9</v>
      </c>
      <c r="AZ64" s="32">
        <v>97</v>
      </c>
      <c r="BA64" s="32">
        <v>36</v>
      </c>
      <c r="BB64" s="32">
        <v>36</v>
      </c>
      <c r="BC64" s="32">
        <v>139.4</v>
      </c>
      <c r="BD64" s="32">
        <v>139.4</v>
      </c>
      <c r="BE64" s="32">
        <v>92.8</v>
      </c>
      <c r="BF64" s="32">
        <v>92.8</v>
      </c>
      <c r="BG64" s="32">
        <v>76.5</v>
      </c>
      <c r="BH64" s="32">
        <v>66.400000000000006</v>
      </c>
      <c r="BI64" s="32">
        <v>82.8</v>
      </c>
      <c r="BJ64" s="32">
        <v>29.9</v>
      </c>
      <c r="BK64" s="32">
        <v>116</v>
      </c>
      <c r="BL64" s="32">
        <v>32.6</v>
      </c>
      <c r="BM64" s="32">
        <v>84.8</v>
      </c>
      <c r="BN64" s="32">
        <v>92.1</v>
      </c>
      <c r="BO64" s="32">
        <v>94.5</v>
      </c>
      <c r="BP64" s="32">
        <v>89.2</v>
      </c>
      <c r="BQ64" s="32">
        <v>77.900000000000006</v>
      </c>
      <c r="BR64" s="32">
        <v>74.7</v>
      </c>
      <c r="BS64" s="32">
        <v>199.4</v>
      </c>
      <c r="BT64" s="32">
        <v>54</v>
      </c>
      <c r="BU64" s="32">
        <v>166.2</v>
      </c>
      <c r="BV64" s="32">
        <v>166.2</v>
      </c>
      <c r="BW64" s="32">
        <v>197.4</v>
      </c>
      <c r="BX64" s="32">
        <v>137.9</v>
      </c>
      <c r="BY64" s="32">
        <v>104.7</v>
      </c>
      <c r="BZ64" s="32">
        <v>108.3</v>
      </c>
      <c r="CA64" s="32">
        <v>103.4</v>
      </c>
      <c r="CB64" s="32">
        <v>113.3</v>
      </c>
      <c r="CC64" s="32">
        <v>102.6</v>
      </c>
      <c r="CD64" s="32">
        <v>38.1</v>
      </c>
      <c r="CE64" s="32">
        <v>98</v>
      </c>
      <c r="CF64" s="32">
        <v>66.900000000000006</v>
      </c>
      <c r="CG64" s="32">
        <v>87.9</v>
      </c>
      <c r="CH64" s="32">
        <v>89.2</v>
      </c>
      <c r="CI64" s="32">
        <v>122</v>
      </c>
      <c r="CJ64" s="32">
        <v>69.3</v>
      </c>
      <c r="CK64" s="32">
        <v>99.2</v>
      </c>
      <c r="CL64" s="32">
        <v>86.1</v>
      </c>
      <c r="CM64" s="32">
        <v>109.6</v>
      </c>
      <c r="CN64" s="32">
        <v>96</v>
      </c>
      <c r="CO64" s="32">
        <v>108.9</v>
      </c>
      <c r="CP64" s="32">
        <v>130.80000000000001</v>
      </c>
      <c r="CQ64" s="32">
        <v>31.8</v>
      </c>
      <c r="CR64" s="32">
        <v>89.8</v>
      </c>
      <c r="CS64" s="32">
        <v>121.6</v>
      </c>
      <c r="CT64" s="32">
        <v>85.1</v>
      </c>
      <c r="CU64" s="32">
        <v>57.7</v>
      </c>
      <c r="CV64" s="32">
        <v>97.1</v>
      </c>
      <c r="CW64" s="32">
        <v>17.899999999999999</v>
      </c>
      <c r="CX64" s="32">
        <v>67.8</v>
      </c>
      <c r="CY64" s="32">
        <v>78.900000000000006</v>
      </c>
      <c r="CZ64" s="32">
        <v>62.6</v>
      </c>
      <c r="DA64" s="32">
        <v>45.7</v>
      </c>
      <c r="DB64" s="32">
        <v>102.7</v>
      </c>
      <c r="DC64" s="32">
        <v>2</v>
      </c>
      <c r="DD64" s="32">
        <v>2</v>
      </c>
      <c r="DE64" s="32">
        <v>42</v>
      </c>
      <c r="DF64" s="32">
        <v>36.9</v>
      </c>
      <c r="DG64" s="32">
        <v>74.400000000000006</v>
      </c>
      <c r="DH64" s="32">
        <v>73</v>
      </c>
      <c r="DI64" s="32">
        <v>114</v>
      </c>
      <c r="DJ64" s="32">
        <v>73.7</v>
      </c>
      <c r="DK64" s="32">
        <v>73.7</v>
      </c>
      <c r="DL64" s="32">
        <v>33.799999999999997</v>
      </c>
      <c r="DM64" s="32">
        <v>66.599999999999994</v>
      </c>
      <c r="DN64" s="32">
        <v>41.6</v>
      </c>
      <c r="DO64" s="32">
        <v>78</v>
      </c>
      <c r="DP64" s="32">
        <v>38.299999999999997</v>
      </c>
      <c r="DQ64" s="32">
        <v>57.1</v>
      </c>
      <c r="DR64" s="32">
        <v>58.1</v>
      </c>
      <c r="DS64" s="32">
        <v>55.9</v>
      </c>
      <c r="DT64" s="32">
        <v>51.9</v>
      </c>
      <c r="DU64" s="32">
        <v>53.8</v>
      </c>
      <c r="DV64" s="32">
        <v>61.9</v>
      </c>
      <c r="DW64" s="32">
        <v>45.5</v>
      </c>
      <c r="DX64" s="32">
        <v>48</v>
      </c>
      <c r="DY64" s="32">
        <v>70.400000000000006</v>
      </c>
      <c r="DZ64" s="32">
        <v>88</v>
      </c>
      <c r="EA64" s="32">
        <v>88</v>
      </c>
      <c r="EB64" s="32">
        <v>55.2</v>
      </c>
      <c r="EC64" s="32">
        <v>56.8</v>
      </c>
      <c r="ED64" s="32">
        <v>53.1</v>
      </c>
      <c r="EE64" s="32">
        <v>59</v>
      </c>
      <c r="EF64" s="32">
        <v>40.4</v>
      </c>
      <c r="EG64" s="32">
        <v>55.2</v>
      </c>
      <c r="EH64" s="32">
        <v>78.5</v>
      </c>
      <c r="EI64" s="32">
        <v>52</v>
      </c>
      <c r="EJ64" s="32">
        <v>75.099999999999994</v>
      </c>
      <c r="EK64" s="32">
        <v>44.7</v>
      </c>
      <c r="EL64" s="32">
        <v>79.8</v>
      </c>
      <c r="EM64" s="32">
        <v>36.200000000000003</v>
      </c>
      <c r="EN64" s="32">
        <v>45</v>
      </c>
      <c r="EO64" s="32">
        <v>85.9</v>
      </c>
      <c r="EP64" s="32">
        <v>85.5</v>
      </c>
      <c r="EQ64" s="32">
        <v>85.5</v>
      </c>
      <c r="ER64" s="32">
        <v>90.3</v>
      </c>
      <c r="ES64" s="32">
        <v>90.3</v>
      </c>
      <c r="ET64" s="32">
        <v>84.6</v>
      </c>
      <c r="EU64" s="32">
        <v>92.7</v>
      </c>
      <c r="EV64" s="32">
        <v>92.7</v>
      </c>
      <c r="EW64" s="32">
        <v>77.7</v>
      </c>
      <c r="EX64" s="32">
        <v>88.1</v>
      </c>
      <c r="EY64" s="32">
        <v>69.3</v>
      </c>
      <c r="EZ64" s="32">
        <v>89.5</v>
      </c>
      <c r="FA64" s="32">
        <v>88.3</v>
      </c>
      <c r="FB64" s="32">
        <v>98.4</v>
      </c>
      <c r="FC64" s="32">
        <v>76.2</v>
      </c>
      <c r="FD64" s="32">
        <v>100.5</v>
      </c>
      <c r="FE64" s="32">
        <v>137</v>
      </c>
      <c r="FF64" s="32">
        <v>77.099999999999994</v>
      </c>
      <c r="FG64" s="32">
        <v>86.8</v>
      </c>
      <c r="FH64" s="32">
        <v>80.099999999999994</v>
      </c>
      <c r="FI64" s="32">
        <v>80.5</v>
      </c>
      <c r="FJ64" s="32">
        <v>90.3</v>
      </c>
      <c r="FK64" s="32">
        <v>153.19999999999999</v>
      </c>
      <c r="FL64" s="32">
        <v>153.19999999999999</v>
      </c>
    </row>
    <row r="65" spans="1:168" x14ac:dyDescent="0.2">
      <c r="A65" s="34" t="s">
        <v>1045</v>
      </c>
      <c r="B65" s="32">
        <v>72.599999999999994</v>
      </c>
      <c r="C65" s="32">
        <v>85.9</v>
      </c>
      <c r="D65" s="32">
        <v>99.6</v>
      </c>
      <c r="E65" s="32">
        <v>101.2</v>
      </c>
      <c r="F65" s="32">
        <v>388.4</v>
      </c>
      <c r="G65" s="32">
        <v>8342.1</v>
      </c>
      <c r="H65" s="32">
        <v>515.70000000000005</v>
      </c>
      <c r="I65" s="32">
        <v>68.900000000000006</v>
      </c>
      <c r="J65" s="32">
        <v>80.7</v>
      </c>
      <c r="K65" s="32">
        <v>89.2</v>
      </c>
      <c r="L65" s="32">
        <v>90.6</v>
      </c>
      <c r="M65" s="32">
        <v>97.3</v>
      </c>
      <c r="N65" s="32">
        <v>63.9</v>
      </c>
      <c r="O65" s="32">
        <v>437.9</v>
      </c>
      <c r="P65" s="32">
        <v>467.2</v>
      </c>
      <c r="Q65" s="32">
        <v>112.6</v>
      </c>
      <c r="R65" s="32">
        <v>73.5</v>
      </c>
      <c r="S65" s="32">
        <v>107.9</v>
      </c>
      <c r="T65" s="32">
        <v>82</v>
      </c>
      <c r="U65" s="32">
        <v>46.5</v>
      </c>
      <c r="V65" s="32">
        <v>102.3</v>
      </c>
      <c r="W65" s="32">
        <v>49.4</v>
      </c>
      <c r="X65" s="32">
        <v>39.299999999999997</v>
      </c>
      <c r="Y65" s="32">
        <v>57.9</v>
      </c>
      <c r="Z65" s="32">
        <v>113.4</v>
      </c>
      <c r="AA65" s="32">
        <v>82.9</v>
      </c>
      <c r="AB65" s="32">
        <v>89.7</v>
      </c>
      <c r="AC65" s="32">
        <v>68.8</v>
      </c>
      <c r="AD65" s="32">
        <v>98.2</v>
      </c>
      <c r="AE65" s="32">
        <v>142.5</v>
      </c>
      <c r="AF65" s="32">
        <v>142.5</v>
      </c>
      <c r="AG65" s="32">
        <v>65.7</v>
      </c>
      <c r="AH65" s="32">
        <v>65.7</v>
      </c>
      <c r="AI65" s="32">
        <v>235.3</v>
      </c>
      <c r="AJ65" s="32">
        <v>63.5</v>
      </c>
      <c r="AK65" s="32">
        <v>791.1</v>
      </c>
      <c r="AL65" s="32">
        <v>109.7</v>
      </c>
      <c r="AM65" s="32">
        <v>30.5</v>
      </c>
      <c r="AN65" s="32">
        <v>160.30000000000001</v>
      </c>
      <c r="AO65" s="32">
        <v>87.6</v>
      </c>
      <c r="AP65" s="32">
        <v>87.6</v>
      </c>
      <c r="AQ65" s="32">
        <v>115.7</v>
      </c>
      <c r="AR65" s="32">
        <v>117.9</v>
      </c>
      <c r="AS65" s="32">
        <v>114.2</v>
      </c>
      <c r="AT65" s="32">
        <v>112.3</v>
      </c>
      <c r="AU65" s="32">
        <v>113.1</v>
      </c>
      <c r="AV65" s="32">
        <v>109.6</v>
      </c>
      <c r="AW65" s="32">
        <v>188.1</v>
      </c>
      <c r="AX65" s="32">
        <v>293.10000000000002</v>
      </c>
      <c r="AY65" s="32">
        <v>246</v>
      </c>
      <c r="AZ65" s="32">
        <v>97.1</v>
      </c>
      <c r="BA65" s="32">
        <v>36</v>
      </c>
      <c r="BB65" s="32">
        <v>36</v>
      </c>
      <c r="BC65" s="32">
        <v>141.9</v>
      </c>
      <c r="BD65" s="32">
        <v>141.9</v>
      </c>
      <c r="BE65" s="32">
        <v>92.3</v>
      </c>
      <c r="BF65" s="32">
        <v>92.3</v>
      </c>
      <c r="BG65" s="32">
        <v>76.3</v>
      </c>
      <c r="BH65" s="32">
        <v>68.8</v>
      </c>
      <c r="BI65" s="32">
        <v>79.3</v>
      </c>
      <c r="BJ65" s="32">
        <v>29.9</v>
      </c>
      <c r="BK65" s="32">
        <v>110.4</v>
      </c>
      <c r="BL65" s="32">
        <v>30.9</v>
      </c>
      <c r="BM65" s="32">
        <v>80.3</v>
      </c>
      <c r="BN65" s="32">
        <v>89.5</v>
      </c>
      <c r="BO65" s="32">
        <v>87.3</v>
      </c>
      <c r="BP65" s="32">
        <v>91</v>
      </c>
      <c r="BQ65" s="32">
        <v>70.8</v>
      </c>
      <c r="BR65" s="32">
        <v>73.900000000000006</v>
      </c>
      <c r="BS65" s="32">
        <v>147.6</v>
      </c>
      <c r="BT65" s="32">
        <v>53.4</v>
      </c>
      <c r="BU65" s="32">
        <v>163</v>
      </c>
      <c r="BV65" s="32">
        <v>163</v>
      </c>
      <c r="BW65" s="32">
        <v>190.9</v>
      </c>
      <c r="BX65" s="32">
        <v>140.4</v>
      </c>
      <c r="BY65" s="32">
        <v>106.6</v>
      </c>
      <c r="BZ65" s="32">
        <v>112.8</v>
      </c>
      <c r="CA65" s="32">
        <v>104.1</v>
      </c>
      <c r="CB65" s="32">
        <v>114.8</v>
      </c>
      <c r="CC65" s="32">
        <v>102.5</v>
      </c>
      <c r="CD65" s="32">
        <v>37.799999999999997</v>
      </c>
      <c r="CE65" s="32">
        <v>98</v>
      </c>
      <c r="CF65" s="32">
        <v>66.8</v>
      </c>
      <c r="CG65" s="32">
        <v>87.3</v>
      </c>
      <c r="CH65" s="32">
        <v>88.3</v>
      </c>
      <c r="CI65" s="32">
        <v>119</v>
      </c>
      <c r="CJ65" s="32">
        <v>67.2</v>
      </c>
      <c r="CK65" s="32">
        <v>100.2</v>
      </c>
      <c r="CL65" s="32">
        <v>85.5</v>
      </c>
      <c r="CM65" s="32">
        <v>106.1</v>
      </c>
      <c r="CN65" s="32">
        <v>94.1</v>
      </c>
      <c r="CO65" s="32">
        <v>105.2</v>
      </c>
      <c r="CP65" s="32">
        <v>128.4</v>
      </c>
      <c r="CQ65" s="32">
        <v>32.1</v>
      </c>
      <c r="CR65" s="32">
        <v>89.6</v>
      </c>
      <c r="CS65" s="32">
        <v>127.7</v>
      </c>
      <c r="CT65" s="32">
        <v>85.6</v>
      </c>
      <c r="CU65" s="32">
        <v>60.7</v>
      </c>
      <c r="CV65" s="32">
        <v>96.5</v>
      </c>
      <c r="CW65" s="32">
        <v>18</v>
      </c>
      <c r="CX65" s="32">
        <v>67.5</v>
      </c>
      <c r="CY65" s="32">
        <v>79.7</v>
      </c>
      <c r="CZ65" s="32">
        <v>61.4</v>
      </c>
      <c r="DA65" s="32">
        <v>44.3</v>
      </c>
      <c r="DB65" s="32">
        <v>102.5</v>
      </c>
      <c r="DC65" s="32">
        <v>2</v>
      </c>
      <c r="DD65" s="32">
        <v>2</v>
      </c>
      <c r="DE65" s="32">
        <v>42.8</v>
      </c>
      <c r="DF65" s="32">
        <v>37.6</v>
      </c>
      <c r="DG65" s="32">
        <v>75.7</v>
      </c>
      <c r="DH65" s="32">
        <v>73.400000000000006</v>
      </c>
      <c r="DI65" s="32">
        <v>115.8</v>
      </c>
      <c r="DJ65" s="32">
        <v>71.900000000000006</v>
      </c>
      <c r="DK65" s="32">
        <v>71.900000000000006</v>
      </c>
      <c r="DL65" s="32">
        <v>35.200000000000003</v>
      </c>
      <c r="DM65" s="32">
        <v>66.7</v>
      </c>
      <c r="DN65" s="32">
        <v>41.4</v>
      </c>
      <c r="DO65" s="32">
        <v>78.3</v>
      </c>
      <c r="DP65" s="32">
        <v>38.299999999999997</v>
      </c>
      <c r="DQ65" s="32">
        <v>56.9</v>
      </c>
      <c r="DR65" s="32">
        <v>58.4</v>
      </c>
      <c r="DS65" s="32">
        <v>55.6</v>
      </c>
      <c r="DT65" s="32">
        <v>52.3</v>
      </c>
      <c r="DU65" s="32">
        <v>54.5</v>
      </c>
      <c r="DV65" s="32">
        <v>61.7</v>
      </c>
      <c r="DW65" s="32">
        <v>47.1</v>
      </c>
      <c r="DX65" s="32">
        <v>47.8</v>
      </c>
      <c r="DY65" s="32">
        <v>67.5</v>
      </c>
      <c r="DZ65" s="32">
        <v>95.1</v>
      </c>
      <c r="EA65" s="32">
        <v>95.1</v>
      </c>
      <c r="EB65" s="32">
        <v>55.4</v>
      </c>
      <c r="EC65" s="32">
        <v>57.6</v>
      </c>
      <c r="ED65" s="32">
        <v>52.5</v>
      </c>
      <c r="EE65" s="32">
        <v>58.2</v>
      </c>
      <c r="EF65" s="32">
        <v>40.200000000000003</v>
      </c>
      <c r="EG65" s="32">
        <v>54.4</v>
      </c>
      <c r="EH65" s="32">
        <v>78.599999999999994</v>
      </c>
      <c r="EI65" s="32">
        <v>48.6</v>
      </c>
      <c r="EJ65" s="32">
        <v>73.3</v>
      </c>
      <c r="EK65" s="32">
        <v>45.5</v>
      </c>
      <c r="EL65" s="32">
        <v>82.6</v>
      </c>
      <c r="EM65" s="32">
        <v>36.799999999999997</v>
      </c>
      <c r="EN65" s="32">
        <v>45.7</v>
      </c>
      <c r="EO65" s="32">
        <v>85.5</v>
      </c>
      <c r="EP65" s="32">
        <v>85.3</v>
      </c>
      <c r="EQ65" s="32">
        <v>85.3</v>
      </c>
      <c r="ER65" s="32">
        <v>90</v>
      </c>
      <c r="ES65" s="32">
        <v>90</v>
      </c>
      <c r="ET65" s="32">
        <v>84</v>
      </c>
      <c r="EU65" s="32">
        <v>91.9</v>
      </c>
      <c r="EV65" s="32">
        <v>91.9</v>
      </c>
      <c r="EW65" s="32">
        <v>77.3</v>
      </c>
      <c r="EX65" s="32">
        <v>87.7</v>
      </c>
      <c r="EY65" s="32">
        <v>69.099999999999994</v>
      </c>
      <c r="EZ65" s="32">
        <v>91.4</v>
      </c>
      <c r="FA65" s="32">
        <v>90.5</v>
      </c>
      <c r="FB65" s="32">
        <v>100.1</v>
      </c>
      <c r="FC65" s="32">
        <v>79</v>
      </c>
      <c r="FD65" s="32">
        <v>100.9</v>
      </c>
      <c r="FE65" s="32">
        <v>137.19999999999999</v>
      </c>
      <c r="FF65" s="32">
        <v>79.8</v>
      </c>
      <c r="FG65" s="32">
        <v>88.7</v>
      </c>
      <c r="FH65" s="32">
        <v>80</v>
      </c>
      <c r="FI65" s="32">
        <v>77.900000000000006</v>
      </c>
      <c r="FJ65" s="32">
        <v>93.7</v>
      </c>
      <c r="FK65" s="32">
        <v>150.6</v>
      </c>
      <c r="FL65" s="32">
        <v>150.6</v>
      </c>
    </row>
    <row r="66" spans="1:168" x14ac:dyDescent="0.2">
      <c r="A66" s="34" t="s">
        <v>1046</v>
      </c>
      <c r="B66" s="32">
        <v>72.8</v>
      </c>
      <c r="C66" s="32">
        <v>92.5</v>
      </c>
      <c r="D66" s="32">
        <v>99.3</v>
      </c>
      <c r="E66" s="32">
        <v>100.8</v>
      </c>
      <c r="F66" s="32">
        <v>383.6</v>
      </c>
      <c r="G66" s="32">
        <v>10085.1</v>
      </c>
      <c r="H66" s="32">
        <v>507.2</v>
      </c>
      <c r="I66" s="32">
        <v>68.3</v>
      </c>
      <c r="J66" s="32">
        <v>80.900000000000006</v>
      </c>
      <c r="K66" s="32">
        <v>87.7</v>
      </c>
      <c r="L66" s="32">
        <v>88.8</v>
      </c>
      <c r="M66" s="32">
        <v>91.1</v>
      </c>
      <c r="N66" s="32">
        <v>64.400000000000006</v>
      </c>
      <c r="O66" s="32">
        <v>402.2</v>
      </c>
      <c r="P66" s="32">
        <v>460.2</v>
      </c>
      <c r="Q66" s="32">
        <v>106.3</v>
      </c>
      <c r="R66" s="32">
        <v>70.5</v>
      </c>
      <c r="S66" s="32">
        <v>108.1</v>
      </c>
      <c r="T66" s="32">
        <v>83.3</v>
      </c>
      <c r="U66" s="32">
        <v>47.1</v>
      </c>
      <c r="V66" s="32">
        <v>101</v>
      </c>
      <c r="W66" s="32">
        <v>51</v>
      </c>
      <c r="X66" s="32">
        <v>39.5</v>
      </c>
      <c r="Y66" s="32">
        <v>61</v>
      </c>
      <c r="Z66" s="32">
        <v>123.3</v>
      </c>
      <c r="AA66" s="32">
        <v>82.3</v>
      </c>
      <c r="AB66" s="32">
        <v>87.5</v>
      </c>
      <c r="AC66" s="32">
        <v>71.7</v>
      </c>
      <c r="AD66" s="32">
        <v>95.1</v>
      </c>
      <c r="AE66" s="32">
        <v>147.5</v>
      </c>
      <c r="AF66" s="32">
        <v>147.5</v>
      </c>
      <c r="AG66" s="32">
        <v>64.7</v>
      </c>
      <c r="AH66" s="32">
        <v>64.7</v>
      </c>
      <c r="AI66" s="32">
        <v>225</v>
      </c>
      <c r="AJ66" s="32">
        <v>61.8</v>
      </c>
      <c r="AK66" s="32">
        <v>881.1</v>
      </c>
      <c r="AL66" s="32">
        <v>110.9</v>
      </c>
      <c r="AM66" s="32">
        <v>32.1</v>
      </c>
      <c r="AN66" s="32">
        <v>141.30000000000001</v>
      </c>
      <c r="AO66" s="32">
        <v>83.5</v>
      </c>
      <c r="AP66" s="32">
        <v>83.5</v>
      </c>
      <c r="AQ66" s="32">
        <v>114.5</v>
      </c>
      <c r="AR66" s="32">
        <v>116</v>
      </c>
      <c r="AS66" s="32">
        <v>114.2</v>
      </c>
      <c r="AT66" s="32">
        <v>116.1</v>
      </c>
      <c r="AU66" s="32">
        <v>108.2</v>
      </c>
      <c r="AV66" s="32">
        <v>115.8</v>
      </c>
      <c r="AW66" s="32">
        <v>185.5</v>
      </c>
      <c r="AX66" s="32">
        <v>305.7</v>
      </c>
      <c r="AY66" s="32">
        <v>233.3</v>
      </c>
      <c r="AZ66" s="32">
        <v>105.1</v>
      </c>
      <c r="BA66" s="32">
        <v>35.1</v>
      </c>
      <c r="BB66" s="32">
        <v>35.1</v>
      </c>
      <c r="BC66" s="32">
        <v>148.19999999999999</v>
      </c>
      <c r="BD66" s="32">
        <v>148.19999999999999</v>
      </c>
      <c r="BE66" s="32">
        <v>95.5</v>
      </c>
      <c r="BF66" s="32">
        <v>95.5</v>
      </c>
      <c r="BG66" s="32">
        <v>74.7</v>
      </c>
      <c r="BH66" s="32">
        <v>67.7</v>
      </c>
      <c r="BI66" s="32">
        <v>77.099999999999994</v>
      </c>
      <c r="BJ66" s="32">
        <v>29.4</v>
      </c>
      <c r="BK66" s="32">
        <v>106.9</v>
      </c>
      <c r="BL66" s="32">
        <v>31</v>
      </c>
      <c r="BM66" s="32">
        <v>82.9</v>
      </c>
      <c r="BN66" s="32">
        <v>89.8</v>
      </c>
      <c r="BO66" s="32">
        <v>91.7</v>
      </c>
      <c r="BP66" s="32">
        <v>87.4</v>
      </c>
      <c r="BQ66" s="32">
        <v>76.400000000000006</v>
      </c>
      <c r="BR66" s="32">
        <v>77.099999999999994</v>
      </c>
      <c r="BS66" s="32">
        <v>174.7</v>
      </c>
      <c r="BT66" s="32">
        <v>55.7</v>
      </c>
      <c r="BU66" s="32">
        <v>151.80000000000001</v>
      </c>
      <c r="BV66" s="32">
        <v>151.80000000000001</v>
      </c>
      <c r="BW66" s="32">
        <v>182.4</v>
      </c>
      <c r="BX66" s="32">
        <v>123.6</v>
      </c>
      <c r="BY66" s="32">
        <v>106.5</v>
      </c>
      <c r="BZ66" s="32">
        <v>114.7</v>
      </c>
      <c r="CA66" s="32">
        <v>103</v>
      </c>
      <c r="CB66" s="32">
        <v>116.8</v>
      </c>
      <c r="CC66" s="32">
        <v>98.1</v>
      </c>
      <c r="CD66" s="32">
        <v>37.5</v>
      </c>
      <c r="CE66" s="32">
        <v>97.8</v>
      </c>
      <c r="CF66" s="32">
        <v>67.099999999999994</v>
      </c>
      <c r="CG66" s="32">
        <v>86.9</v>
      </c>
      <c r="CH66" s="32">
        <v>88.5</v>
      </c>
      <c r="CI66" s="32">
        <v>118.1</v>
      </c>
      <c r="CJ66" s="32">
        <v>68.3</v>
      </c>
      <c r="CK66" s="32">
        <v>99.6</v>
      </c>
      <c r="CL66" s="32">
        <v>85</v>
      </c>
      <c r="CM66" s="32">
        <v>105.5</v>
      </c>
      <c r="CN66" s="32">
        <v>90.7</v>
      </c>
      <c r="CO66" s="32">
        <v>105.2</v>
      </c>
      <c r="CP66" s="32">
        <v>125.8</v>
      </c>
      <c r="CQ66" s="32">
        <v>33.1</v>
      </c>
      <c r="CR66" s="32">
        <v>88.2</v>
      </c>
      <c r="CS66" s="32">
        <v>127.3</v>
      </c>
      <c r="CT66" s="32">
        <v>82.7</v>
      </c>
      <c r="CU66" s="32">
        <v>56</v>
      </c>
      <c r="CV66" s="32">
        <v>94.5</v>
      </c>
      <c r="CW66" s="32">
        <v>18.899999999999999</v>
      </c>
      <c r="CX66" s="32">
        <v>66.900000000000006</v>
      </c>
      <c r="CY66" s="32">
        <v>79.5</v>
      </c>
      <c r="CZ66" s="32">
        <v>60.5</v>
      </c>
      <c r="DA66" s="32">
        <v>44</v>
      </c>
      <c r="DB66" s="32">
        <v>100.1</v>
      </c>
      <c r="DC66" s="32">
        <v>2.2000000000000002</v>
      </c>
      <c r="DD66" s="32">
        <v>2.2000000000000002</v>
      </c>
      <c r="DE66" s="32">
        <v>44.2</v>
      </c>
      <c r="DF66" s="32">
        <v>38.799999999999997</v>
      </c>
      <c r="DG66" s="32">
        <v>78.5</v>
      </c>
      <c r="DH66" s="32">
        <v>75.2</v>
      </c>
      <c r="DI66" s="32">
        <v>121.4</v>
      </c>
      <c r="DJ66" s="32">
        <v>71.2</v>
      </c>
      <c r="DK66" s="32">
        <v>71.2</v>
      </c>
      <c r="DL66" s="32">
        <v>35.1</v>
      </c>
      <c r="DM66" s="32">
        <v>66.900000000000006</v>
      </c>
      <c r="DN66" s="32">
        <v>41.4</v>
      </c>
      <c r="DO66" s="32">
        <v>78.5</v>
      </c>
      <c r="DP66" s="32">
        <v>38.9</v>
      </c>
      <c r="DQ66" s="32">
        <v>56.3</v>
      </c>
      <c r="DR66" s="32">
        <v>57.6</v>
      </c>
      <c r="DS66" s="32">
        <v>55.7</v>
      </c>
      <c r="DT66" s="32">
        <v>52.4</v>
      </c>
      <c r="DU66" s="32">
        <v>54.3</v>
      </c>
      <c r="DV66" s="32">
        <v>63</v>
      </c>
      <c r="DW66" s="32">
        <v>45.4</v>
      </c>
      <c r="DX66" s="32">
        <v>48.6</v>
      </c>
      <c r="DY66" s="32">
        <v>67.5</v>
      </c>
      <c r="DZ66" s="32">
        <v>84.6</v>
      </c>
      <c r="EA66" s="32">
        <v>84.6</v>
      </c>
      <c r="EB66" s="32">
        <v>54.6</v>
      </c>
      <c r="EC66" s="32">
        <v>55.2</v>
      </c>
      <c r="ED66" s="32">
        <v>53.9</v>
      </c>
      <c r="EE66" s="32">
        <v>60.3</v>
      </c>
      <c r="EF66" s="32">
        <v>40</v>
      </c>
      <c r="EG66" s="32">
        <v>54.2</v>
      </c>
      <c r="EH66" s="32">
        <v>79.8</v>
      </c>
      <c r="EI66" s="32">
        <v>48.6</v>
      </c>
      <c r="EJ66" s="32">
        <v>77.400000000000006</v>
      </c>
      <c r="EK66" s="32">
        <v>43.9</v>
      </c>
      <c r="EL66" s="32">
        <v>64.8</v>
      </c>
      <c r="EM66" s="32">
        <v>35.9</v>
      </c>
      <c r="EN66" s="32">
        <v>46.1</v>
      </c>
      <c r="EO66" s="32">
        <v>85.1</v>
      </c>
      <c r="EP66" s="32">
        <v>85</v>
      </c>
      <c r="EQ66" s="32">
        <v>85</v>
      </c>
      <c r="ER66" s="32">
        <v>90.1</v>
      </c>
      <c r="ES66" s="32">
        <v>90.1</v>
      </c>
      <c r="ET66" s="32">
        <v>83.1</v>
      </c>
      <c r="EU66" s="32">
        <v>90.7</v>
      </c>
      <c r="EV66" s="32">
        <v>90.7</v>
      </c>
      <c r="EW66" s="32">
        <v>76.900000000000006</v>
      </c>
      <c r="EX66" s="32">
        <v>87.3</v>
      </c>
      <c r="EY66" s="32">
        <v>68.7</v>
      </c>
      <c r="EZ66" s="32">
        <v>91.2</v>
      </c>
      <c r="FA66" s="32">
        <v>95.4</v>
      </c>
      <c r="FB66" s="32">
        <v>110</v>
      </c>
      <c r="FC66" s="32">
        <v>95.6</v>
      </c>
      <c r="FD66" s="32">
        <v>100.8</v>
      </c>
      <c r="FE66" s="32">
        <v>137.5</v>
      </c>
      <c r="FF66" s="32">
        <v>79</v>
      </c>
      <c r="FG66" s="32">
        <v>85.5</v>
      </c>
      <c r="FH66" s="32">
        <v>78.8</v>
      </c>
      <c r="FI66" s="32">
        <v>106.6</v>
      </c>
      <c r="FJ66" s="32">
        <v>85.5</v>
      </c>
      <c r="FK66" s="32">
        <v>138</v>
      </c>
      <c r="FL66" s="32">
        <v>138</v>
      </c>
    </row>
    <row r="67" spans="1:168" x14ac:dyDescent="0.2">
      <c r="A67" s="34" t="s">
        <v>1047</v>
      </c>
      <c r="B67" s="32">
        <v>72.8</v>
      </c>
      <c r="C67" s="32">
        <v>97.7</v>
      </c>
      <c r="D67" s="32">
        <v>99.1</v>
      </c>
      <c r="E67" s="32">
        <v>100.8</v>
      </c>
      <c r="F67" s="32">
        <v>372.2</v>
      </c>
      <c r="G67" s="32">
        <v>9797.2999999999993</v>
      </c>
      <c r="H67" s="32">
        <v>489.2</v>
      </c>
      <c r="I67" s="32">
        <v>69.3</v>
      </c>
      <c r="J67" s="32">
        <v>81.5</v>
      </c>
      <c r="K67" s="32">
        <v>89</v>
      </c>
      <c r="L67" s="32">
        <v>90.7</v>
      </c>
      <c r="M67" s="32">
        <v>95.4</v>
      </c>
      <c r="N67" s="32">
        <v>63.6</v>
      </c>
      <c r="O67" s="32">
        <v>400.7</v>
      </c>
      <c r="P67" s="32">
        <v>468.9</v>
      </c>
      <c r="Q67" s="32">
        <v>108.8</v>
      </c>
      <c r="R67" s="32">
        <v>70.8</v>
      </c>
      <c r="S67" s="32">
        <v>111.3</v>
      </c>
      <c r="T67" s="32">
        <v>84.4</v>
      </c>
      <c r="U67" s="32">
        <v>48</v>
      </c>
      <c r="V67" s="32">
        <v>99.9</v>
      </c>
      <c r="W67" s="32">
        <v>51.5</v>
      </c>
      <c r="X67" s="32">
        <v>40.299999999999997</v>
      </c>
      <c r="Y67" s="32">
        <v>59.1</v>
      </c>
      <c r="Z67" s="32">
        <v>142</v>
      </c>
      <c r="AA67" s="32">
        <v>82.2</v>
      </c>
      <c r="AB67" s="32">
        <v>87.8</v>
      </c>
      <c r="AC67" s="32">
        <v>72.8</v>
      </c>
      <c r="AD67" s="32">
        <v>93.9</v>
      </c>
      <c r="AE67" s="32">
        <v>150.4</v>
      </c>
      <c r="AF67" s="32">
        <v>150.4</v>
      </c>
      <c r="AG67" s="32">
        <v>66.2</v>
      </c>
      <c r="AH67" s="32">
        <v>66.2</v>
      </c>
      <c r="AI67" s="32">
        <v>231.5</v>
      </c>
      <c r="AJ67" s="32">
        <v>62.3</v>
      </c>
      <c r="AK67" s="32">
        <v>990.9</v>
      </c>
      <c r="AL67" s="32">
        <v>108.1</v>
      </c>
      <c r="AM67" s="32">
        <v>32.200000000000003</v>
      </c>
      <c r="AN67" s="32">
        <v>153.80000000000001</v>
      </c>
      <c r="AO67" s="32">
        <v>91.7</v>
      </c>
      <c r="AP67" s="32">
        <v>91.7</v>
      </c>
      <c r="AQ67" s="32">
        <v>110.9</v>
      </c>
      <c r="AR67" s="32">
        <v>112.9</v>
      </c>
      <c r="AS67" s="32">
        <v>109.6</v>
      </c>
      <c r="AT67" s="32">
        <v>117.7</v>
      </c>
      <c r="AU67" s="32">
        <v>95.8</v>
      </c>
      <c r="AV67" s="32">
        <v>113.9</v>
      </c>
      <c r="AW67" s="32">
        <v>182.6</v>
      </c>
      <c r="AX67" s="32">
        <v>298.3</v>
      </c>
      <c r="AY67" s="32">
        <v>230.7</v>
      </c>
      <c r="AZ67" s="32">
        <v>103.4</v>
      </c>
      <c r="BA67" s="32">
        <v>38.299999999999997</v>
      </c>
      <c r="BB67" s="32">
        <v>38.299999999999997</v>
      </c>
      <c r="BC67" s="32">
        <v>145.30000000000001</v>
      </c>
      <c r="BD67" s="32">
        <v>145.30000000000001</v>
      </c>
      <c r="BE67" s="32">
        <v>92.8</v>
      </c>
      <c r="BF67" s="32">
        <v>92.8</v>
      </c>
      <c r="BG67" s="32">
        <v>72.599999999999994</v>
      </c>
      <c r="BH67" s="32">
        <v>65.099999999999994</v>
      </c>
      <c r="BI67" s="32">
        <v>76.2</v>
      </c>
      <c r="BJ67" s="32">
        <v>29.4</v>
      </c>
      <c r="BK67" s="32">
        <v>105.8</v>
      </c>
      <c r="BL67" s="32">
        <v>29.4</v>
      </c>
      <c r="BM67" s="32">
        <v>84.1</v>
      </c>
      <c r="BN67" s="32">
        <v>91.4</v>
      </c>
      <c r="BO67" s="32">
        <v>94.2</v>
      </c>
      <c r="BP67" s="32">
        <v>88.2</v>
      </c>
      <c r="BQ67" s="32">
        <v>77.099999999999994</v>
      </c>
      <c r="BR67" s="32">
        <v>74.3</v>
      </c>
      <c r="BS67" s="32">
        <v>174.8</v>
      </c>
      <c r="BT67" s="32">
        <v>56.7</v>
      </c>
      <c r="BU67" s="32">
        <v>147.4</v>
      </c>
      <c r="BV67" s="32">
        <v>147.4</v>
      </c>
      <c r="BW67" s="32">
        <v>180</v>
      </c>
      <c r="BX67" s="32">
        <v>115.2</v>
      </c>
      <c r="BY67" s="32">
        <v>105.1</v>
      </c>
      <c r="BZ67" s="32">
        <v>111.3</v>
      </c>
      <c r="CA67" s="32">
        <v>102.6</v>
      </c>
      <c r="CB67" s="32">
        <v>118.2</v>
      </c>
      <c r="CC67" s="32">
        <v>95.9</v>
      </c>
      <c r="CD67" s="32">
        <v>35.799999999999997</v>
      </c>
      <c r="CE67" s="32">
        <v>97.2</v>
      </c>
      <c r="CF67" s="32">
        <v>67</v>
      </c>
      <c r="CG67" s="32">
        <v>86.7</v>
      </c>
      <c r="CH67" s="32">
        <v>87.8</v>
      </c>
      <c r="CI67" s="32">
        <v>115.5</v>
      </c>
      <c r="CJ67" s="32">
        <v>66.2</v>
      </c>
      <c r="CK67" s="32">
        <v>100.8</v>
      </c>
      <c r="CL67" s="32">
        <v>85.4</v>
      </c>
      <c r="CM67" s="32">
        <v>104.5</v>
      </c>
      <c r="CN67" s="32">
        <v>87.8</v>
      </c>
      <c r="CO67" s="32">
        <v>104.4</v>
      </c>
      <c r="CP67" s="32">
        <v>124</v>
      </c>
      <c r="CQ67" s="32">
        <v>34.299999999999997</v>
      </c>
      <c r="CR67" s="32">
        <v>87.7</v>
      </c>
      <c r="CS67" s="32">
        <v>132.9</v>
      </c>
      <c r="CT67" s="32">
        <v>84</v>
      </c>
      <c r="CU67" s="32">
        <v>60.5</v>
      </c>
      <c r="CV67" s="32">
        <v>94.3</v>
      </c>
      <c r="CW67" s="32">
        <v>18.8</v>
      </c>
      <c r="CX67" s="32">
        <v>67.400000000000006</v>
      </c>
      <c r="CY67" s="32">
        <v>80</v>
      </c>
      <c r="CZ67" s="32">
        <v>61.1</v>
      </c>
      <c r="DA67" s="32">
        <v>44.5</v>
      </c>
      <c r="DB67" s="32">
        <v>100.7</v>
      </c>
      <c r="DC67" s="32">
        <v>2.2000000000000002</v>
      </c>
      <c r="DD67" s="32">
        <v>2.2000000000000002</v>
      </c>
      <c r="DE67" s="32">
        <v>43.6</v>
      </c>
      <c r="DF67" s="32">
        <v>38.4</v>
      </c>
      <c r="DG67" s="32">
        <v>76.5</v>
      </c>
      <c r="DH67" s="32">
        <v>75.099999999999994</v>
      </c>
      <c r="DI67" s="32">
        <v>122.1</v>
      </c>
      <c r="DJ67" s="32">
        <v>70.2</v>
      </c>
      <c r="DK67" s="32">
        <v>70.2</v>
      </c>
      <c r="DL67" s="32">
        <v>35.299999999999997</v>
      </c>
      <c r="DM67" s="32">
        <v>66.7</v>
      </c>
      <c r="DN67" s="32">
        <v>41.2</v>
      </c>
      <c r="DO67" s="32">
        <v>78.3</v>
      </c>
      <c r="DP67" s="32">
        <v>39.299999999999997</v>
      </c>
      <c r="DQ67" s="32">
        <v>57.4</v>
      </c>
      <c r="DR67" s="32">
        <v>59.2</v>
      </c>
      <c r="DS67" s="32">
        <v>55.7</v>
      </c>
      <c r="DT67" s="32">
        <v>52.5</v>
      </c>
      <c r="DU67" s="32">
        <v>54.1</v>
      </c>
      <c r="DV67" s="32">
        <v>61.8</v>
      </c>
      <c r="DW67" s="32">
        <v>46.1</v>
      </c>
      <c r="DX67" s="32">
        <v>49.2</v>
      </c>
      <c r="DY67" s="32">
        <v>67.2</v>
      </c>
      <c r="DZ67" s="32">
        <v>103.4</v>
      </c>
      <c r="EA67" s="32">
        <v>103.4</v>
      </c>
      <c r="EB67" s="32">
        <v>55.9</v>
      </c>
      <c r="EC67" s="32">
        <v>55.5</v>
      </c>
      <c r="ED67" s="32">
        <v>56.6</v>
      </c>
      <c r="EE67" s="32">
        <v>64.400000000000006</v>
      </c>
      <c r="EF67" s="32">
        <v>39.700000000000003</v>
      </c>
      <c r="EG67" s="32">
        <v>54.5</v>
      </c>
      <c r="EH67" s="32">
        <v>78.5</v>
      </c>
      <c r="EI67" s="32">
        <v>48.2</v>
      </c>
      <c r="EJ67" s="32">
        <v>75.7</v>
      </c>
      <c r="EK67" s="32">
        <v>45.7</v>
      </c>
      <c r="EL67" s="32">
        <v>65.3</v>
      </c>
      <c r="EM67" s="32">
        <v>35.6</v>
      </c>
      <c r="EN67" s="32">
        <v>49.6</v>
      </c>
      <c r="EO67" s="32">
        <v>84.8</v>
      </c>
      <c r="EP67" s="32">
        <v>84.4</v>
      </c>
      <c r="EQ67" s="32">
        <v>84.4</v>
      </c>
      <c r="ER67" s="32">
        <v>90.1</v>
      </c>
      <c r="ES67" s="32">
        <v>90.1</v>
      </c>
      <c r="ET67" s="32">
        <v>82.5</v>
      </c>
      <c r="EU67" s="32">
        <v>90</v>
      </c>
      <c r="EV67" s="32">
        <v>90</v>
      </c>
      <c r="EW67" s="32">
        <v>76.7</v>
      </c>
      <c r="EX67" s="32">
        <v>87</v>
      </c>
      <c r="EY67" s="32">
        <v>68.5</v>
      </c>
      <c r="EZ67" s="32">
        <v>90.6</v>
      </c>
      <c r="FA67" s="32">
        <v>91.4</v>
      </c>
      <c r="FB67" s="32">
        <v>102.1</v>
      </c>
      <c r="FC67" s="32">
        <v>82.4</v>
      </c>
      <c r="FD67" s="32">
        <v>100.4</v>
      </c>
      <c r="FE67" s="32">
        <v>137.4</v>
      </c>
      <c r="FF67" s="32">
        <v>79.3</v>
      </c>
      <c r="FG67" s="32">
        <v>87.5</v>
      </c>
      <c r="FH67" s="32">
        <v>78.8</v>
      </c>
      <c r="FI67" s="32">
        <v>106</v>
      </c>
      <c r="FJ67" s="32">
        <v>88.8</v>
      </c>
      <c r="FK67" s="32">
        <v>138</v>
      </c>
      <c r="FL67" s="32">
        <v>138</v>
      </c>
    </row>
    <row r="68" spans="1:168" x14ac:dyDescent="0.2">
      <c r="A68" s="34" t="s">
        <v>1048</v>
      </c>
      <c r="B68" s="32">
        <v>72.900000000000006</v>
      </c>
      <c r="C68" s="32">
        <v>99.7</v>
      </c>
      <c r="D68" s="32">
        <v>100.3</v>
      </c>
      <c r="E68" s="32">
        <v>102.5</v>
      </c>
      <c r="F68" s="32">
        <v>371.5</v>
      </c>
      <c r="G68" s="32">
        <v>10906.3</v>
      </c>
      <c r="H68" s="32">
        <v>484.1</v>
      </c>
      <c r="I68" s="32">
        <v>72.099999999999994</v>
      </c>
      <c r="J68" s="32">
        <v>83</v>
      </c>
      <c r="K68" s="32">
        <v>90.2</v>
      </c>
      <c r="L68" s="32">
        <v>92.1</v>
      </c>
      <c r="M68" s="32">
        <v>96.8</v>
      </c>
      <c r="N68" s="32">
        <v>65.7</v>
      </c>
      <c r="O68" s="32">
        <v>363.6</v>
      </c>
      <c r="P68" s="32">
        <v>468</v>
      </c>
      <c r="Q68" s="32">
        <v>111.9</v>
      </c>
      <c r="R68" s="32">
        <v>72.2</v>
      </c>
      <c r="S68" s="32">
        <v>112.8</v>
      </c>
      <c r="T68" s="32">
        <v>85.9</v>
      </c>
      <c r="U68" s="32">
        <v>48.3</v>
      </c>
      <c r="V68" s="32">
        <v>100.4</v>
      </c>
      <c r="W68" s="32">
        <v>51.6</v>
      </c>
      <c r="X68" s="32">
        <v>41.4</v>
      </c>
      <c r="Y68" s="32">
        <v>57.2</v>
      </c>
      <c r="Z68" s="32">
        <v>142.69999999999999</v>
      </c>
      <c r="AA68" s="32">
        <v>83.5</v>
      </c>
      <c r="AB68" s="32">
        <v>92.1</v>
      </c>
      <c r="AC68" s="32">
        <v>73.599999999999994</v>
      </c>
      <c r="AD68" s="32">
        <v>94.6</v>
      </c>
      <c r="AE68" s="32">
        <v>147.4</v>
      </c>
      <c r="AF68" s="32">
        <v>147.4</v>
      </c>
      <c r="AG68" s="32">
        <v>65.5</v>
      </c>
      <c r="AH68" s="32">
        <v>65.5</v>
      </c>
      <c r="AI68" s="32">
        <v>234.2</v>
      </c>
      <c r="AJ68" s="32">
        <v>59.2</v>
      </c>
      <c r="AK68" s="32">
        <v>949.9</v>
      </c>
      <c r="AL68" s="32">
        <v>106.9</v>
      </c>
      <c r="AM68" s="32">
        <v>33.4</v>
      </c>
      <c r="AN68" s="32">
        <v>149.6</v>
      </c>
      <c r="AO68" s="32">
        <v>90.5</v>
      </c>
      <c r="AP68" s="32">
        <v>90.5</v>
      </c>
      <c r="AQ68" s="32">
        <v>113.5</v>
      </c>
      <c r="AR68" s="32">
        <v>113.3</v>
      </c>
      <c r="AS68" s="32">
        <v>115.9</v>
      </c>
      <c r="AT68" s="32">
        <v>122.4</v>
      </c>
      <c r="AU68" s="32">
        <v>104</v>
      </c>
      <c r="AV68" s="32">
        <v>113.6</v>
      </c>
      <c r="AW68" s="32">
        <v>178.6</v>
      </c>
      <c r="AX68" s="32">
        <v>289.3</v>
      </c>
      <c r="AY68" s="32">
        <v>226.9</v>
      </c>
      <c r="AZ68" s="32">
        <v>103.8</v>
      </c>
      <c r="BA68" s="32">
        <v>41.2</v>
      </c>
      <c r="BB68" s="32">
        <v>41.2</v>
      </c>
      <c r="BC68" s="32">
        <v>154.1</v>
      </c>
      <c r="BD68" s="32">
        <v>154.1</v>
      </c>
      <c r="BE68" s="32">
        <v>98.5</v>
      </c>
      <c r="BF68" s="32">
        <v>98.5</v>
      </c>
      <c r="BG68" s="32">
        <v>72.8</v>
      </c>
      <c r="BH68" s="32">
        <v>65</v>
      </c>
      <c r="BI68" s="32">
        <v>76.599999999999994</v>
      </c>
      <c r="BJ68" s="32">
        <v>28.8</v>
      </c>
      <c r="BK68" s="32">
        <v>107.6</v>
      </c>
      <c r="BL68" s="32">
        <v>27.3</v>
      </c>
      <c r="BM68" s="32">
        <v>86.6</v>
      </c>
      <c r="BN68" s="32">
        <v>95</v>
      </c>
      <c r="BO68" s="32">
        <v>98.2</v>
      </c>
      <c r="BP68" s="32">
        <v>91.6</v>
      </c>
      <c r="BQ68" s="32">
        <v>78.099999999999994</v>
      </c>
      <c r="BR68" s="32">
        <v>71.2</v>
      </c>
      <c r="BS68" s="32">
        <v>182.8</v>
      </c>
      <c r="BT68" s="32">
        <v>57.1</v>
      </c>
      <c r="BU68" s="32">
        <v>156.19999999999999</v>
      </c>
      <c r="BV68" s="32">
        <v>156.19999999999999</v>
      </c>
      <c r="BW68" s="32">
        <v>197.8</v>
      </c>
      <c r="BX68" s="32">
        <v>109.3</v>
      </c>
      <c r="BY68" s="32">
        <v>105.6</v>
      </c>
      <c r="BZ68" s="32">
        <v>113.4</v>
      </c>
      <c r="CA68" s="32">
        <v>102.3</v>
      </c>
      <c r="CB68" s="32">
        <v>117.8</v>
      </c>
      <c r="CC68" s="32">
        <v>96</v>
      </c>
      <c r="CD68" s="32">
        <v>35</v>
      </c>
      <c r="CE68" s="32">
        <v>96.5</v>
      </c>
      <c r="CF68" s="32">
        <v>66.900000000000006</v>
      </c>
      <c r="CG68" s="32">
        <v>85.9</v>
      </c>
      <c r="CH68" s="32">
        <v>87</v>
      </c>
      <c r="CI68" s="32">
        <v>120.1</v>
      </c>
      <c r="CJ68" s="32">
        <v>63.1</v>
      </c>
      <c r="CK68" s="32">
        <v>101.2</v>
      </c>
      <c r="CL68" s="32">
        <v>82.9</v>
      </c>
      <c r="CM68" s="32">
        <v>102.8</v>
      </c>
      <c r="CN68" s="32">
        <v>86.6</v>
      </c>
      <c r="CO68" s="32">
        <v>102.8</v>
      </c>
      <c r="CP68" s="32">
        <v>122.8</v>
      </c>
      <c r="CQ68" s="32">
        <v>35.200000000000003</v>
      </c>
      <c r="CR68" s="32">
        <v>89</v>
      </c>
      <c r="CS68" s="32">
        <v>113.8</v>
      </c>
      <c r="CT68" s="32">
        <v>85.9</v>
      </c>
      <c r="CU68" s="32">
        <v>63.8</v>
      </c>
      <c r="CV68" s="32">
        <v>95.6</v>
      </c>
      <c r="CW68" s="32">
        <v>19.100000000000001</v>
      </c>
      <c r="CX68" s="32">
        <v>68.400000000000006</v>
      </c>
      <c r="CY68" s="32">
        <v>78.5</v>
      </c>
      <c r="CZ68" s="32">
        <v>64</v>
      </c>
      <c r="DA68" s="32">
        <v>47.2</v>
      </c>
      <c r="DB68" s="32">
        <v>103.4</v>
      </c>
      <c r="DC68" s="32">
        <v>2.2000000000000002</v>
      </c>
      <c r="DD68" s="32">
        <v>2.2000000000000002</v>
      </c>
      <c r="DE68" s="32">
        <v>44.7</v>
      </c>
      <c r="DF68" s="32">
        <v>38.9</v>
      </c>
      <c r="DG68" s="32">
        <v>82</v>
      </c>
      <c r="DH68" s="32">
        <v>75.099999999999994</v>
      </c>
      <c r="DI68" s="32">
        <v>122.9</v>
      </c>
      <c r="DJ68" s="32">
        <v>68.900000000000006</v>
      </c>
      <c r="DK68" s="32">
        <v>68.900000000000006</v>
      </c>
      <c r="DL68" s="32">
        <v>35.5</v>
      </c>
      <c r="DM68" s="32">
        <v>66.400000000000006</v>
      </c>
      <c r="DN68" s="32">
        <v>41.8</v>
      </c>
      <c r="DO68" s="32">
        <v>77.599999999999994</v>
      </c>
      <c r="DP68" s="32">
        <v>39.6</v>
      </c>
      <c r="DQ68" s="32">
        <v>57.4</v>
      </c>
      <c r="DR68" s="32">
        <v>58.7</v>
      </c>
      <c r="DS68" s="32">
        <v>54.9</v>
      </c>
      <c r="DT68" s="32">
        <v>51.4</v>
      </c>
      <c r="DU68" s="32">
        <v>52.6</v>
      </c>
      <c r="DV68" s="32">
        <v>61.1</v>
      </c>
      <c r="DW68" s="32">
        <v>43.9</v>
      </c>
      <c r="DX68" s="32">
        <v>48.9</v>
      </c>
      <c r="DY68" s="32">
        <v>67.400000000000006</v>
      </c>
      <c r="DZ68" s="32">
        <v>100.6</v>
      </c>
      <c r="EA68" s="32">
        <v>100.6</v>
      </c>
      <c r="EB68" s="32">
        <v>56.9</v>
      </c>
      <c r="EC68" s="32">
        <v>56.8</v>
      </c>
      <c r="ED68" s="32">
        <v>57.2</v>
      </c>
      <c r="EE68" s="32">
        <v>65.3</v>
      </c>
      <c r="EF68" s="32">
        <v>39.5</v>
      </c>
      <c r="EG68" s="32">
        <v>55.4</v>
      </c>
      <c r="EH68" s="32">
        <v>81.599999999999994</v>
      </c>
      <c r="EI68" s="32">
        <v>48.2</v>
      </c>
      <c r="EJ68" s="32">
        <v>78.900000000000006</v>
      </c>
      <c r="EK68" s="32">
        <v>46</v>
      </c>
      <c r="EL68" s="32">
        <v>69</v>
      </c>
      <c r="EM68" s="32">
        <v>36.4</v>
      </c>
      <c r="EN68" s="32">
        <v>49.1</v>
      </c>
      <c r="EO68" s="32">
        <v>84.6</v>
      </c>
      <c r="EP68" s="32">
        <v>83.9</v>
      </c>
      <c r="EQ68" s="32">
        <v>83.9</v>
      </c>
      <c r="ER68" s="32">
        <v>90.2</v>
      </c>
      <c r="ES68" s="32">
        <v>90.2</v>
      </c>
      <c r="ET68" s="32">
        <v>82.6</v>
      </c>
      <c r="EU68" s="32">
        <v>90</v>
      </c>
      <c r="EV68" s="32">
        <v>90</v>
      </c>
      <c r="EW68" s="32">
        <v>76.7</v>
      </c>
      <c r="EX68" s="32">
        <v>86.9</v>
      </c>
      <c r="EY68" s="32">
        <v>68.599999999999994</v>
      </c>
      <c r="EZ68" s="32">
        <v>91.8</v>
      </c>
      <c r="FA68" s="32">
        <v>92.8</v>
      </c>
      <c r="FB68" s="32">
        <v>104.5</v>
      </c>
      <c r="FC68" s="32">
        <v>86.9</v>
      </c>
      <c r="FD68" s="32">
        <v>100.2</v>
      </c>
      <c r="FE68" s="32">
        <v>136.5</v>
      </c>
      <c r="FF68" s="32">
        <v>79.599999999999994</v>
      </c>
      <c r="FG68" s="32">
        <v>88.8</v>
      </c>
      <c r="FH68" s="32">
        <v>80.099999999999994</v>
      </c>
      <c r="FI68" s="32">
        <v>114.3</v>
      </c>
      <c r="FJ68" s="32">
        <v>89.2</v>
      </c>
      <c r="FK68" s="32">
        <v>136</v>
      </c>
      <c r="FL68" s="32">
        <v>136</v>
      </c>
    </row>
    <row r="69" spans="1:168" x14ac:dyDescent="0.2">
      <c r="A69" s="34" t="s">
        <v>1049</v>
      </c>
      <c r="B69" s="32">
        <v>73.3</v>
      </c>
      <c r="C69" s="32">
        <v>99.4</v>
      </c>
      <c r="D69" s="32">
        <v>98.6</v>
      </c>
      <c r="E69" s="32">
        <v>100.3</v>
      </c>
      <c r="F69" s="32">
        <v>381.3</v>
      </c>
      <c r="G69" s="32">
        <v>10149.299999999999</v>
      </c>
      <c r="H69" s="32">
        <v>502.5</v>
      </c>
      <c r="I69" s="32">
        <v>69.5</v>
      </c>
      <c r="J69" s="32">
        <v>80.900000000000006</v>
      </c>
      <c r="K69" s="32">
        <v>89.1</v>
      </c>
      <c r="L69" s="32">
        <v>90.1</v>
      </c>
      <c r="M69" s="32">
        <v>97.1</v>
      </c>
      <c r="N69" s="32">
        <v>65.7</v>
      </c>
      <c r="O69" s="32">
        <v>371.1</v>
      </c>
      <c r="P69" s="32">
        <v>470.7</v>
      </c>
      <c r="Q69" s="32">
        <v>112.5</v>
      </c>
      <c r="R69" s="32">
        <v>69.599999999999994</v>
      </c>
      <c r="S69" s="32">
        <v>108</v>
      </c>
      <c r="T69" s="32">
        <v>85.7</v>
      </c>
      <c r="U69" s="32">
        <v>48.3</v>
      </c>
      <c r="V69" s="32">
        <v>103.1</v>
      </c>
      <c r="W69" s="32">
        <v>51.2</v>
      </c>
      <c r="X69" s="32">
        <v>40.799999999999997</v>
      </c>
      <c r="Y69" s="32">
        <v>56.6</v>
      </c>
      <c r="Z69" s="32">
        <v>146.9</v>
      </c>
      <c r="AA69" s="32">
        <v>81.8</v>
      </c>
      <c r="AB69" s="32">
        <v>91.8</v>
      </c>
      <c r="AC69" s="32">
        <v>70.7</v>
      </c>
      <c r="AD69" s="32">
        <v>93.1</v>
      </c>
      <c r="AE69" s="32">
        <v>148.9</v>
      </c>
      <c r="AF69" s="32">
        <v>148.9</v>
      </c>
      <c r="AG69" s="32">
        <v>66.7</v>
      </c>
      <c r="AH69" s="32">
        <v>66.7</v>
      </c>
      <c r="AI69" s="32">
        <v>239.6</v>
      </c>
      <c r="AJ69" s="32">
        <v>59.6</v>
      </c>
      <c r="AK69" s="32">
        <v>1091.3</v>
      </c>
      <c r="AL69" s="32">
        <v>105.9</v>
      </c>
      <c r="AM69" s="32">
        <v>34.299999999999997</v>
      </c>
      <c r="AN69" s="32">
        <v>142.80000000000001</v>
      </c>
      <c r="AO69" s="32">
        <v>81.2</v>
      </c>
      <c r="AP69" s="32">
        <v>81.2</v>
      </c>
      <c r="AQ69" s="32">
        <v>109</v>
      </c>
      <c r="AR69" s="32">
        <v>110.2</v>
      </c>
      <c r="AS69" s="32">
        <v>109.2</v>
      </c>
      <c r="AT69" s="32">
        <v>116</v>
      </c>
      <c r="AU69" s="32">
        <v>97</v>
      </c>
      <c r="AV69" s="32">
        <v>111.3</v>
      </c>
      <c r="AW69" s="32">
        <v>168.9</v>
      </c>
      <c r="AX69" s="32">
        <v>300.2</v>
      </c>
      <c r="AY69" s="32">
        <v>200.3</v>
      </c>
      <c r="AZ69" s="32">
        <v>102.9</v>
      </c>
      <c r="BA69" s="32">
        <v>40.6</v>
      </c>
      <c r="BB69" s="32">
        <v>40.6</v>
      </c>
      <c r="BC69" s="32">
        <v>150.4</v>
      </c>
      <c r="BD69" s="32">
        <v>150.4</v>
      </c>
      <c r="BE69" s="32">
        <v>93.7</v>
      </c>
      <c r="BF69" s="32">
        <v>93.7</v>
      </c>
      <c r="BG69" s="32">
        <v>71.599999999999994</v>
      </c>
      <c r="BH69" s="32">
        <v>60.7</v>
      </c>
      <c r="BI69" s="32">
        <v>80</v>
      </c>
      <c r="BJ69" s="32">
        <v>28.6</v>
      </c>
      <c r="BK69" s="32">
        <v>113.8</v>
      </c>
      <c r="BL69" s="32">
        <v>26.8</v>
      </c>
      <c r="BM69" s="32">
        <v>84.6</v>
      </c>
      <c r="BN69" s="32">
        <v>87</v>
      </c>
      <c r="BO69" s="32">
        <v>90.4</v>
      </c>
      <c r="BP69" s="32">
        <v>83.4</v>
      </c>
      <c r="BQ69" s="32">
        <v>83.9</v>
      </c>
      <c r="BR69" s="32">
        <v>73.599999999999994</v>
      </c>
      <c r="BS69" s="32">
        <v>226.2</v>
      </c>
      <c r="BT69" s="32">
        <v>57.2</v>
      </c>
      <c r="BU69" s="32">
        <v>141.19999999999999</v>
      </c>
      <c r="BV69" s="32">
        <v>141.19999999999999</v>
      </c>
      <c r="BW69" s="32">
        <v>176.1</v>
      </c>
      <c r="BX69" s="32">
        <v>103.8</v>
      </c>
      <c r="BY69" s="32">
        <v>105.9</v>
      </c>
      <c r="BZ69" s="32">
        <v>116.1</v>
      </c>
      <c r="CA69" s="32">
        <v>101.5</v>
      </c>
      <c r="CB69" s="32">
        <v>120.3</v>
      </c>
      <c r="CC69" s="32">
        <v>91.7</v>
      </c>
      <c r="CD69" s="32">
        <v>32.4</v>
      </c>
      <c r="CE69" s="32">
        <v>96.3</v>
      </c>
      <c r="CF69" s="32">
        <v>67.8</v>
      </c>
      <c r="CG69" s="32">
        <v>87.9</v>
      </c>
      <c r="CH69" s="32">
        <v>90.1</v>
      </c>
      <c r="CI69" s="32">
        <v>120.8</v>
      </c>
      <c r="CJ69" s="32">
        <v>68.599999999999994</v>
      </c>
      <c r="CK69" s="32">
        <v>102.2</v>
      </c>
      <c r="CL69" s="32">
        <v>84.3</v>
      </c>
      <c r="CM69" s="32">
        <v>101.7</v>
      </c>
      <c r="CN69" s="32">
        <v>84.9</v>
      </c>
      <c r="CO69" s="32">
        <v>101.7</v>
      </c>
      <c r="CP69" s="32">
        <v>123.3</v>
      </c>
      <c r="CQ69" s="32">
        <v>36</v>
      </c>
      <c r="CR69" s="32">
        <v>89.8</v>
      </c>
      <c r="CS69" s="32">
        <v>124.9</v>
      </c>
      <c r="CT69" s="32">
        <v>84.5</v>
      </c>
      <c r="CU69" s="32">
        <v>62.4</v>
      </c>
      <c r="CV69" s="32">
        <v>94.2</v>
      </c>
      <c r="CW69" s="32">
        <v>19.399999999999999</v>
      </c>
      <c r="CX69" s="32">
        <v>68.7</v>
      </c>
      <c r="CY69" s="32">
        <v>81.7</v>
      </c>
      <c r="CZ69" s="32">
        <v>62</v>
      </c>
      <c r="DA69" s="32">
        <v>44.6</v>
      </c>
      <c r="DB69" s="32">
        <v>104.1</v>
      </c>
      <c r="DC69" s="32">
        <v>2.2999999999999998</v>
      </c>
      <c r="DD69" s="32">
        <v>2.2999999999999998</v>
      </c>
      <c r="DE69" s="32">
        <v>45.3</v>
      </c>
      <c r="DF69" s="32">
        <v>39.9</v>
      </c>
      <c r="DG69" s="32">
        <v>79.400000000000006</v>
      </c>
      <c r="DH69" s="32">
        <v>75.599999999999994</v>
      </c>
      <c r="DI69" s="32">
        <v>125</v>
      </c>
      <c r="DJ69" s="32">
        <v>68.5</v>
      </c>
      <c r="DK69" s="32">
        <v>68.5</v>
      </c>
      <c r="DL69" s="32">
        <v>35.1</v>
      </c>
      <c r="DM69" s="32">
        <v>66.400000000000006</v>
      </c>
      <c r="DN69" s="32">
        <v>41.7</v>
      </c>
      <c r="DO69" s="32">
        <v>77.5</v>
      </c>
      <c r="DP69" s="32">
        <v>40.299999999999997</v>
      </c>
      <c r="DQ69" s="32">
        <v>59.6</v>
      </c>
      <c r="DR69" s="32">
        <v>60.8</v>
      </c>
      <c r="DS69" s="32">
        <v>56.6</v>
      </c>
      <c r="DT69" s="32">
        <v>53.1</v>
      </c>
      <c r="DU69" s="32">
        <v>55.1</v>
      </c>
      <c r="DV69" s="32">
        <v>62.1</v>
      </c>
      <c r="DW69" s="32">
        <v>47.8</v>
      </c>
      <c r="DX69" s="32">
        <v>49</v>
      </c>
      <c r="DY69" s="32">
        <v>69.2</v>
      </c>
      <c r="DZ69" s="32">
        <v>105.7</v>
      </c>
      <c r="EA69" s="32">
        <v>105.7</v>
      </c>
      <c r="EB69" s="32">
        <v>59.2</v>
      </c>
      <c r="EC69" s="32">
        <v>57.9</v>
      </c>
      <c r="ED69" s="32">
        <v>61.4</v>
      </c>
      <c r="EE69" s="32">
        <v>71.2</v>
      </c>
      <c r="EF69" s="32">
        <v>39.9</v>
      </c>
      <c r="EG69" s="32">
        <v>57.6</v>
      </c>
      <c r="EH69" s="32">
        <v>84.2</v>
      </c>
      <c r="EI69" s="32">
        <v>48.6</v>
      </c>
      <c r="EJ69" s="32">
        <v>75.400000000000006</v>
      </c>
      <c r="EK69" s="32">
        <v>50</v>
      </c>
      <c r="EL69" s="32">
        <v>68.5</v>
      </c>
      <c r="EM69" s="32">
        <v>39.299999999999997</v>
      </c>
      <c r="EN69" s="32">
        <v>54.4</v>
      </c>
      <c r="EO69" s="32">
        <v>85.1</v>
      </c>
      <c r="EP69" s="32">
        <v>84.6</v>
      </c>
      <c r="EQ69" s="32">
        <v>84.6</v>
      </c>
      <c r="ER69" s="32">
        <v>90.3</v>
      </c>
      <c r="ES69" s="32">
        <v>90.3</v>
      </c>
      <c r="ET69" s="32">
        <v>83.1</v>
      </c>
      <c r="EU69" s="32">
        <v>90.7</v>
      </c>
      <c r="EV69" s="32">
        <v>90.7</v>
      </c>
      <c r="EW69" s="32">
        <v>77.099999999999994</v>
      </c>
      <c r="EX69" s="32">
        <v>87.2</v>
      </c>
      <c r="EY69" s="32">
        <v>69.099999999999994</v>
      </c>
      <c r="EZ69" s="32">
        <v>90.8</v>
      </c>
      <c r="FA69" s="32">
        <v>92.2</v>
      </c>
      <c r="FB69" s="32">
        <v>105.4</v>
      </c>
      <c r="FC69" s="32">
        <v>88.7</v>
      </c>
      <c r="FD69" s="32">
        <v>100.5</v>
      </c>
      <c r="FE69" s="32">
        <v>135.6</v>
      </c>
      <c r="FF69" s="32">
        <v>77.400000000000006</v>
      </c>
      <c r="FG69" s="32">
        <v>87.2</v>
      </c>
      <c r="FH69" s="32">
        <v>83.6</v>
      </c>
      <c r="FI69" s="32">
        <v>96.9</v>
      </c>
      <c r="FJ69" s="32">
        <v>87.4</v>
      </c>
      <c r="FK69" s="32">
        <v>137.80000000000001</v>
      </c>
      <c r="FL69" s="32">
        <v>137.80000000000001</v>
      </c>
    </row>
    <row r="70" spans="1:168" x14ac:dyDescent="0.2">
      <c r="A70" s="34" t="s">
        <v>1050</v>
      </c>
      <c r="B70" s="32">
        <v>73.900000000000006</v>
      </c>
      <c r="C70" s="32">
        <v>98.4</v>
      </c>
      <c r="D70" s="32">
        <v>100.8</v>
      </c>
      <c r="E70" s="32">
        <v>103.4</v>
      </c>
      <c r="F70" s="32">
        <v>397.4</v>
      </c>
      <c r="G70" s="32">
        <v>9817.7000000000007</v>
      </c>
      <c r="H70" s="32">
        <v>527.9</v>
      </c>
      <c r="I70" s="32">
        <v>69.2</v>
      </c>
      <c r="J70" s="32">
        <v>83.7</v>
      </c>
      <c r="K70" s="32">
        <v>90.1</v>
      </c>
      <c r="L70" s="32">
        <v>91.4</v>
      </c>
      <c r="M70" s="32">
        <v>93</v>
      </c>
      <c r="N70" s="32">
        <v>67.099999999999994</v>
      </c>
      <c r="O70" s="32">
        <v>387.3</v>
      </c>
      <c r="P70" s="32">
        <v>452.7</v>
      </c>
      <c r="Q70" s="32">
        <v>112.8</v>
      </c>
      <c r="R70" s="32">
        <v>71</v>
      </c>
      <c r="S70" s="32">
        <v>113</v>
      </c>
      <c r="T70" s="32">
        <v>89.5</v>
      </c>
      <c r="U70" s="32">
        <v>46.8</v>
      </c>
      <c r="V70" s="32">
        <v>104.1</v>
      </c>
      <c r="W70" s="32">
        <v>51.8</v>
      </c>
      <c r="X70" s="32">
        <v>41.6</v>
      </c>
      <c r="Y70" s="32">
        <v>57.7</v>
      </c>
      <c r="Z70" s="32">
        <v>142.1</v>
      </c>
      <c r="AA70" s="32">
        <v>85.1</v>
      </c>
      <c r="AB70" s="32">
        <v>92.7</v>
      </c>
      <c r="AC70" s="32">
        <v>76.2</v>
      </c>
      <c r="AD70" s="32">
        <v>95.8</v>
      </c>
      <c r="AE70" s="32">
        <v>148.1</v>
      </c>
      <c r="AF70" s="32">
        <v>148.1</v>
      </c>
      <c r="AG70" s="32">
        <v>68</v>
      </c>
      <c r="AH70" s="32">
        <v>68</v>
      </c>
      <c r="AI70" s="32">
        <v>236.9</v>
      </c>
      <c r="AJ70" s="32">
        <v>56.4</v>
      </c>
      <c r="AK70" s="32">
        <v>1173.8</v>
      </c>
      <c r="AL70" s="32">
        <v>107.3</v>
      </c>
      <c r="AM70" s="32">
        <v>36.1</v>
      </c>
      <c r="AN70" s="32">
        <v>154.5</v>
      </c>
      <c r="AO70" s="32">
        <v>89.5</v>
      </c>
      <c r="AP70" s="32">
        <v>89.5</v>
      </c>
      <c r="AQ70" s="32">
        <v>111.6</v>
      </c>
      <c r="AR70" s="32">
        <v>112.5</v>
      </c>
      <c r="AS70" s="32">
        <v>112.2</v>
      </c>
      <c r="AT70" s="32">
        <v>120.4</v>
      </c>
      <c r="AU70" s="32">
        <v>98.2</v>
      </c>
      <c r="AV70" s="32">
        <v>112.7</v>
      </c>
      <c r="AW70" s="32">
        <v>176.6</v>
      </c>
      <c r="AX70" s="32">
        <v>315.3</v>
      </c>
      <c r="AY70" s="32">
        <v>208.2</v>
      </c>
      <c r="AZ70" s="32">
        <v>103.2</v>
      </c>
      <c r="BA70" s="32">
        <v>42.7</v>
      </c>
      <c r="BB70" s="32">
        <v>42.7</v>
      </c>
      <c r="BC70" s="32">
        <v>160.30000000000001</v>
      </c>
      <c r="BD70" s="32">
        <v>160.30000000000001</v>
      </c>
      <c r="BE70" s="32">
        <v>99.4</v>
      </c>
      <c r="BF70" s="32">
        <v>99.4</v>
      </c>
      <c r="BG70" s="32">
        <v>75.3</v>
      </c>
      <c r="BH70" s="32">
        <v>63.8</v>
      </c>
      <c r="BI70" s="32">
        <v>84.2</v>
      </c>
      <c r="BJ70" s="32">
        <v>28.6</v>
      </c>
      <c r="BK70" s="32">
        <v>121.7</v>
      </c>
      <c r="BL70" s="32">
        <v>25.3</v>
      </c>
      <c r="BM70" s="32">
        <v>86.9</v>
      </c>
      <c r="BN70" s="32">
        <v>88.5</v>
      </c>
      <c r="BO70" s="32">
        <v>91.6</v>
      </c>
      <c r="BP70" s="32">
        <v>85.1</v>
      </c>
      <c r="BQ70" s="32">
        <v>87.3</v>
      </c>
      <c r="BR70" s="32">
        <v>80.900000000000006</v>
      </c>
      <c r="BS70" s="32">
        <v>236</v>
      </c>
      <c r="BT70" s="32">
        <v>59</v>
      </c>
      <c r="BU70" s="32">
        <v>141.69999999999999</v>
      </c>
      <c r="BV70" s="32">
        <v>141.69999999999999</v>
      </c>
      <c r="BW70" s="32">
        <v>176</v>
      </c>
      <c r="BX70" s="32">
        <v>105.6</v>
      </c>
      <c r="BY70" s="32">
        <v>104.1</v>
      </c>
      <c r="BZ70" s="32">
        <v>114</v>
      </c>
      <c r="CA70" s="32">
        <v>99.8</v>
      </c>
      <c r="CB70" s="32">
        <v>117.9</v>
      </c>
      <c r="CC70" s="32">
        <v>90.8</v>
      </c>
      <c r="CD70" s="32">
        <v>30.7</v>
      </c>
      <c r="CE70" s="32">
        <v>96.1</v>
      </c>
      <c r="CF70" s="32">
        <v>68</v>
      </c>
      <c r="CG70" s="32">
        <v>87</v>
      </c>
      <c r="CH70" s="32">
        <v>88.4</v>
      </c>
      <c r="CI70" s="32">
        <v>119.5</v>
      </c>
      <c r="CJ70" s="32">
        <v>66.3</v>
      </c>
      <c r="CK70" s="32">
        <v>101.3</v>
      </c>
      <c r="CL70" s="32">
        <v>84.2</v>
      </c>
      <c r="CM70" s="32">
        <v>102</v>
      </c>
      <c r="CN70" s="32">
        <v>84.3</v>
      </c>
      <c r="CO70" s="32">
        <v>102.2</v>
      </c>
      <c r="CP70" s="32">
        <v>122.4</v>
      </c>
      <c r="CQ70" s="32">
        <v>36.1</v>
      </c>
      <c r="CR70" s="32">
        <v>88.9</v>
      </c>
      <c r="CS70" s="32">
        <v>125.3</v>
      </c>
      <c r="CT70" s="32">
        <v>85.5</v>
      </c>
      <c r="CU70" s="32">
        <v>63.1</v>
      </c>
      <c r="CV70" s="32">
        <v>95.3</v>
      </c>
      <c r="CW70" s="32">
        <v>19.8</v>
      </c>
      <c r="CX70" s="32">
        <v>73.099999999999994</v>
      </c>
      <c r="CY70" s="32">
        <v>82.3</v>
      </c>
      <c r="CZ70" s="32">
        <v>69.599999999999994</v>
      </c>
      <c r="DA70" s="32">
        <v>53.6</v>
      </c>
      <c r="DB70" s="32">
        <v>105.7</v>
      </c>
      <c r="DC70" s="32">
        <v>2.2999999999999998</v>
      </c>
      <c r="DD70" s="32">
        <v>2.2999999999999998</v>
      </c>
      <c r="DE70" s="32">
        <v>46</v>
      </c>
      <c r="DF70" s="32">
        <v>40.700000000000003</v>
      </c>
      <c r="DG70" s="32">
        <v>79.2</v>
      </c>
      <c r="DH70" s="32">
        <v>76.3</v>
      </c>
      <c r="DI70" s="32">
        <v>125.9</v>
      </c>
      <c r="DJ70" s="32">
        <v>67.400000000000006</v>
      </c>
      <c r="DK70" s="32">
        <v>67.400000000000006</v>
      </c>
      <c r="DL70" s="32">
        <v>37.4</v>
      </c>
      <c r="DM70" s="32">
        <v>66.2</v>
      </c>
      <c r="DN70" s="32">
        <v>42.7</v>
      </c>
      <c r="DO70" s="32">
        <v>76.900000000000006</v>
      </c>
      <c r="DP70" s="32">
        <v>40.1</v>
      </c>
      <c r="DQ70" s="32">
        <v>60.7</v>
      </c>
      <c r="DR70" s="32">
        <v>62.1</v>
      </c>
      <c r="DS70" s="32">
        <v>58</v>
      </c>
      <c r="DT70" s="32">
        <v>54.2</v>
      </c>
      <c r="DU70" s="32">
        <v>56.8</v>
      </c>
      <c r="DV70" s="32">
        <v>65.900000000000006</v>
      </c>
      <c r="DW70" s="32">
        <v>47.7</v>
      </c>
      <c r="DX70" s="32">
        <v>48.7</v>
      </c>
      <c r="DY70" s="32">
        <v>71.599999999999994</v>
      </c>
      <c r="DZ70" s="32">
        <v>108.4</v>
      </c>
      <c r="EA70" s="32">
        <v>108.4</v>
      </c>
      <c r="EB70" s="32">
        <v>60.2</v>
      </c>
      <c r="EC70" s="32">
        <v>58.5</v>
      </c>
      <c r="ED70" s="32">
        <v>62.7</v>
      </c>
      <c r="EE70" s="32">
        <v>73.099999999999994</v>
      </c>
      <c r="EF70" s="32">
        <v>40.1</v>
      </c>
      <c r="EG70" s="32">
        <v>58.3</v>
      </c>
      <c r="EH70" s="32">
        <v>84.9</v>
      </c>
      <c r="EI70" s="32">
        <v>51.7</v>
      </c>
      <c r="EJ70" s="32">
        <v>69.900000000000006</v>
      </c>
      <c r="EK70" s="32">
        <v>49.6</v>
      </c>
      <c r="EL70" s="32">
        <v>67.599999999999994</v>
      </c>
      <c r="EM70" s="32">
        <v>37.1</v>
      </c>
      <c r="EN70" s="32">
        <v>55.5</v>
      </c>
      <c r="EO70" s="32">
        <v>85.1</v>
      </c>
      <c r="EP70" s="32">
        <v>84.5</v>
      </c>
      <c r="EQ70" s="32">
        <v>84.5</v>
      </c>
      <c r="ER70" s="32">
        <v>90</v>
      </c>
      <c r="ES70" s="32">
        <v>90</v>
      </c>
      <c r="ET70" s="32">
        <v>83.6</v>
      </c>
      <c r="EU70" s="32">
        <v>91.3</v>
      </c>
      <c r="EV70" s="32">
        <v>91.3</v>
      </c>
      <c r="EW70" s="32">
        <v>77.400000000000006</v>
      </c>
      <c r="EX70" s="32">
        <v>87.3</v>
      </c>
      <c r="EY70" s="32">
        <v>69.5</v>
      </c>
      <c r="EZ70" s="32">
        <v>91.5</v>
      </c>
      <c r="FA70" s="32">
        <v>92.6</v>
      </c>
      <c r="FB70" s="32">
        <v>107.7</v>
      </c>
      <c r="FC70" s="32">
        <v>92.7</v>
      </c>
      <c r="FD70" s="32">
        <v>100.7</v>
      </c>
      <c r="FE70" s="32">
        <v>134.9</v>
      </c>
      <c r="FF70" s="32">
        <v>75.8</v>
      </c>
      <c r="FG70" s="32">
        <v>88.6</v>
      </c>
      <c r="FH70" s="32">
        <v>86.5</v>
      </c>
      <c r="FI70" s="32">
        <v>96.2</v>
      </c>
      <c r="FJ70" s="32">
        <v>88.4</v>
      </c>
      <c r="FK70" s="32">
        <v>133.6</v>
      </c>
      <c r="FL70" s="32">
        <v>133.6</v>
      </c>
    </row>
    <row r="71" spans="1:168" x14ac:dyDescent="0.2">
      <c r="A71" s="34" t="s">
        <v>1051</v>
      </c>
      <c r="B71" s="32">
        <v>72.099999999999994</v>
      </c>
      <c r="C71" s="32">
        <v>98.2</v>
      </c>
      <c r="D71" s="32">
        <v>97</v>
      </c>
      <c r="E71" s="32">
        <v>98.1</v>
      </c>
      <c r="F71" s="32">
        <v>382.7</v>
      </c>
      <c r="G71" s="32">
        <v>9041.7999999999993</v>
      </c>
      <c r="H71" s="32">
        <v>512.1</v>
      </c>
      <c r="I71" s="32">
        <v>63.6</v>
      </c>
      <c r="J71" s="32">
        <v>78.3</v>
      </c>
      <c r="K71" s="32">
        <v>87.5</v>
      </c>
      <c r="L71" s="32">
        <v>88.6</v>
      </c>
      <c r="M71" s="32">
        <v>96</v>
      </c>
      <c r="N71" s="32">
        <v>63.9</v>
      </c>
      <c r="O71" s="32">
        <v>368</v>
      </c>
      <c r="P71" s="32">
        <v>441</v>
      </c>
      <c r="Q71" s="32">
        <v>114.9</v>
      </c>
      <c r="R71" s="32">
        <v>70.2</v>
      </c>
      <c r="S71" s="32">
        <v>105.6</v>
      </c>
      <c r="T71" s="32">
        <v>87.4</v>
      </c>
      <c r="U71" s="32">
        <v>45.7</v>
      </c>
      <c r="V71" s="32">
        <v>102.1</v>
      </c>
      <c r="W71" s="32">
        <v>47</v>
      </c>
      <c r="X71" s="32">
        <v>37.700000000000003</v>
      </c>
      <c r="Y71" s="32">
        <v>51.7</v>
      </c>
      <c r="Z71" s="32">
        <v>133.19999999999999</v>
      </c>
      <c r="AA71" s="32">
        <v>78.900000000000006</v>
      </c>
      <c r="AB71" s="32">
        <v>86.9</v>
      </c>
      <c r="AC71" s="32">
        <v>72</v>
      </c>
      <c r="AD71" s="32">
        <v>87.2</v>
      </c>
      <c r="AE71" s="32">
        <v>146.6</v>
      </c>
      <c r="AF71" s="32">
        <v>146.6</v>
      </c>
      <c r="AG71" s="32">
        <v>64.5</v>
      </c>
      <c r="AH71" s="32">
        <v>64.5</v>
      </c>
      <c r="AI71" s="32">
        <v>226.2</v>
      </c>
      <c r="AJ71" s="32">
        <v>54.2</v>
      </c>
      <c r="AK71" s="32">
        <v>1148.2</v>
      </c>
      <c r="AL71" s="32">
        <v>100.2</v>
      </c>
      <c r="AM71" s="32">
        <v>34.200000000000003</v>
      </c>
      <c r="AN71" s="32">
        <v>135.5</v>
      </c>
      <c r="AO71" s="32">
        <v>87.5</v>
      </c>
      <c r="AP71" s="32">
        <v>87.5</v>
      </c>
      <c r="AQ71" s="32">
        <v>100.6</v>
      </c>
      <c r="AR71" s="32">
        <v>100</v>
      </c>
      <c r="AS71" s="32">
        <v>103.5</v>
      </c>
      <c r="AT71" s="32">
        <v>109.4</v>
      </c>
      <c r="AU71" s="32">
        <v>92.8</v>
      </c>
      <c r="AV71" s="32">
        <v>101.9</v>
      </c>
      <c r="AW71" s="32">
        <v>162.9</v>
      </c>
      <c r="AX71" s="32">
        <v>276.10000000000002</v>
      </c>
      <c r="AY71" s="32">
        <v>199.6</v>
      </c>
      <c r="AZ71" s="32">
        <v>92.7</v>
      </c>
      <c r="BA71" s="32">
        <v>41.4</v>
      </c>
      <c r="BB71" s="32">
        <v>41.4</v>
      </c>
      <c r="BC71" s="32">
        <v>145.4</v>
      </c>
      <c r="BD71" s="32">
        <v>145.4</v>
      </c>
      <c r="BE71" s="32">
        <v>89.4</v>
      </c>
      <c r="BF71" s="32">
        <v>89.4</v>
      </c>
      <c r="BG71" s="32">
        <v>68.900000000000006</v>
      </c>
      <c r="BH71" s="32">
        <v>50.3</v>
      </c>
      <c r="BI71" s="32">
        <v>88.4</v>
      </c>
      <c r="BJ71" s="32">
        <v>28.8</v>
      </c>
      <c r="BK71" s="32">
        <v>129.80000000000001</v>
      </c>
      <c r="BL71" s="32">
        <v>22.6</v>
      </c>
      <c r="BM71" s="32">
        <v>82.3</v>
      </c>
      <c r="BN71" s="32">
        <v>80.5</v>
      </c>
      <c r="BO71" s="32">
        <v>83.1</v>
      </c>
      <c r="BP71" s="32">
        <v>77.7</v>
      </c>
      <c r="BQ71" s="32">
        <v>86.9</v>
      </c>
      <c r="BR71" s="32">
        <v>77.900000000000006</v>
      </c>
      <c r="BS71" s="32">
        <v>244.7</v>
      </c>
      <c r="BT71" s="32">
        <v>57.5</v>
      </c>
      <c r="BU71" s="32">
        <v>152.80000000000001</v>
      </c>
      <c r="BV71" s="32">
        <v>152.80000000000001</v>
      </c>
      <c r="BW71" s="32">
        <v>197.1</v>
      </c>
      <c r="BX71" s="32">
        <v>99.9</v>
      </c>
      <c r="BY71" s="32">
        <v>102.7</v>
      </c>
      <c r="BZ71" s="32">
        <v>112.2</v>
      </c>
      <c r="CA71" s="32">
        <v>98.7</v>
      </c>
      <c r="CB71" s="32">
        <v>116.2</v>
      </c>
      <c r="CC71" s="32">
        <v>90.2</v>
      </c>
      <c r="CD71" s="32">
        <v>28.9</v>
      </c>
      <c r="CE71" s="32">
        <v>96.4</v>
      </c>
      <c r="CF71" s="32">
        <v>66.7</v>
      </c>
      <c r="CG71" s="32">
        <v>84.7</v>
      </c>
      <c r="CH71" s="32">
        <v>84.9</v>
      </c>
      <c r="CI71" s="32">
        <v>112.6</v>
      </c>
      <c r="CJ71" s="32">
        <v>62.2</v>
      </c>
      <c r="CK71" s="32">
        <v>99.3</v>
      </c>
      <c r="CL71" s="32">
        <v>82.8</v>
      </c>
      <c r="CM71" s="32">
        <v>100</v>
      </c>
      <c r="CN71" s="32">
        <v>83.6</v>
      </c>
      <c r="CO71" s="32">
        <v>100</v>
      </c>
      <c r="CP71" s="32">
        <v>121.3</v>
      </c>
      <c r="CQ71" s="32">
        <v>36.9</v>
      </c>
      <c r="CR71" s="32">
        <v>88.3</v>
      </c>
      <c r="CS71" s="32">
        <v>119.8</v>
      </c>
      <c r="CT71" s="32">
        <v>86.9</v>
      </c>
      <c r="CU71" s="32">
        <v>62.4</v>
      </c>
      <c r="CV71" s="32">
        <v>97.7</v>
      </c>
      <c r="CW71" s="32">
        <v>18.399999999999999</v>
      </c>
      <c r="CX71" s="32">
        <v>66.400000000000006</v>
      </c>
      <c r="CY71" s="32">
        <v>81.3</v>
      </c>
      <c r="CZ71" s="32">
        <v>58.3</v>
      </c>
      <c r="DA71" s="32">
        <v>40.200000000000003</v>
      </c>
      <c r="DB71" s="32">
        <v>103.3</v>
      </c>
      <c r="DC71" s="32">
        <v>2.2999999999999998</v>
      </c>
      <c r="DD71" s="32">
        <v>2.2999999999999998</v>
      </c>
      <c r="DE71" s="32">
        <v>39.700000000000003</v>
      </c>
      <c r="DF71" s="32">
        <v>35.200000000000003</v>
      </c>
      <c r="DG71" s="32">
        <v>68.2</v>
      </c>
      <c r="DH71" s="32">
        <v>76.599999999999994</v>
      </c>
      <c r="DI71" s="32">
        <v>127.6</v>
      </c>
      <c r="DJ71" s="32">
        <v>66.3</v>
      </c>
      <c r="DK71" s="32">
        <v>66.3</v>
      </c>
      <c r="DL71" s="32">
        <v>37.6</v>
      </c>
      <c r="DM71" s="32">
        <v>66.3</v>
      </c>
      <c r="DN71" s="32">
        <v>43.5</v>
      </c>
      <c r="DO71" s="32">
        <v>76.8</v>
      </c>
      <c r="DP71" s="32">
        <v>40.299999999999997</v>
      </c>
      <c r="DQ71" s="32">
        <v>57.5</v>
      </c>
      <c r="DR71" s="32">
        <v>59.6</v>
      </c>
      <c r="DS71" s="32">
        <v>56</v>
      </c>
      <c r="DT71" s="32">
        <v>51.4</v>
      </c>
      <c r="DU71" s="32">
        <v>52.4</v>
      </c>
      <c r="DV71" s="32">
        <v>61.9</v>
      </c>
      <c r="DW71" s="32">
        <v>42.9</v>
      </c>
      <c r="DX71" s="32">
        <v>49.3</v>
      </c>
      <c r="DY71" s="32">
        <v>72.099999999999994</v>
      </c>
      <c r="DZ71" s="32">
        <v>102.4</v>
      </c>
      <c r="EA71" s="32">
        <v>102.4</v>
      </c>
      <c r="EB71" s="32">
        <v>57.2</v>
      </c>
      <c r="EC71" s="32">
        <v>57.5</v>
      </c>
      <c r="ED71" s="32">
        <v>57.1</v>
      </c>
      <c r="EE71" s="32">
        <v>64.900000000000006</v>
      </c>
      <c r="EF71" s="32">
        <v>40.200000000000003</v>
      </c>
      <c r="EG71" s="32">
        <v>54.1</v>
      </c>
      <c r="EH71" s="32">
        <v>82.5</v>
      </c>
      <c r="EI71" s="32">
        <v>43.6</v>
      </c>
      <c r="EJ71" s="32">
        <v>70.8</v>
      </c>
      <c r="EK71" s="32">
        <v>46.8</v>
      </c>
      <c r="EL71" s="32">
        <v>70.2</v>
      </c>
      <c r="EM71" s="32">
        <v>36.6</v>
      </c>
      <c r="EN71" s="32">
        <v>50.2</v>
      </c>
      <c r="EO71" s="32">
        <v>85.2</v>
      </c>
      <c r="EP71" s="32">
        <v>84.9</v>
      </c>
      <c r="EQ71" s="32">
        <v>84.9</v>
      </c>
      <c r="ER71" s="32">
        <v>89.5</v>
      </c>
      <c r="ES71" s="32">
        <v>89.5</v>
      </c>
      <c r="ET71" s="32">
        <v>83.8</v>
      </c>
      <c r="EU71" s="32">
        <v>91.4</v>
      </c>
      <c r="EV71" s="32">
        <v>91.4</v>
      </c>
      <c r="EW71" s="32">
        <v>77.599999999999994</v>
      </c>
      <c r="EX71" s="32">
        <v>87.4</v>
      </c>
      <c r="EY71" s="32">
        <v>69.8</v>
      </c>
      <c r="EZ71" s="32">
        <v>91.3</v>
      </c>
      <c r="FA71" s="32">
        <v>94</v>
      </c>
      <c r="FB71" s="32">
        <v>108.1</v>
      </c>
      <c r="FC71" s="32">
        <v>92.8</v>
      </c>
      <c r="FD71" s="32">
        <v>101.8</v>
      </c>
      <c r="FE71" s="32">
        <v>135.6</v>
      </c>
      <c r="FF71" s="32">
        <v>78.3</v>
      </c>
      <c r="FG71" s="32">
        <v>87.3</v>
      </c>
      <c r="FH71" s="32">
        <v>88.8</v>
      </c>
      <c r="FI71" s="32">
        <v>81.7</v>
      </c>
      <c r="FJ71" s="32">
        <v>87.3</v>
      </c>
      <c r="FK71" s="32">
        <v>128.6</v>
      </c>
      <c r="FL71" s="32">
        <v>128.6</v>
      </c>
    </row>
    <row r="72" spans="1:168" x14ac:dyDescent="0.2">
      <c r="A72" s="34" t="s">
        <v>1052</v>
      </c>
      <c r="B72" s="32">
        <v>73.400000000000006</v>
      </c>
      <c r="C72" s="32">
        <v>98.1</v>
      </c>
      <c r="D72" s="32">
        <v>101.7</v>
      </c>
      <c r="E72" s="32">
        <v>104.5</v>
      </c>
      <c r="F72" s="32">
        <v>339.6</v>
      </c>
      <c r="G72" s="32">
        <v>9516.1</v>
      </c>
      <c r="H72" s="32">
        <v>444.5</v>
      </c>
      <c r="I72" s="32">
        <v>64.7</v>
      </c>
      <c r="J72" s="32">
        <v>86.6</v>
      </c>
      <c r="K72" s="32">
        <v>94.6</v>
      </c>
      <c r="L72" s="32">
        <v>95</v>
      </c>
      <c r="M72" s="32">
        <v>93.8</v>
      </c>
      <c r="N72" s="32">
        <v>66.7</v>
      </c>
      <c r="O72" s="32">
        <v>344.9</v>
      </c>
      <c r="P72" s="32">
        <v>453.7</v>
      </c>
      <c r="Q72" s="32">
        <v>110.3</v>
      </c>
      <c r="R72" s="32">
        <v>88</v>
      </c>
      <c r="S72" s="32">
        <v>114.2</v>
      </c>
      <c r="T72" s="32">
        <v>83.9</v>
      </c>
      <c r="U72" s="32">
        <v>45.7</v>
      </c>
      <c r="V72" s="32">
        <v>116.3</v>
      </c>
      <c r="W72" s="32">
        <v>60.7</v>
      </c>
      <c r="X72" s="32">
        <v>45</v>
      </c>
      <c r="Y72" s="32">
        <v>75.900000000000006</v>
      </c>
      <c r="Z72" s="32">
        <v>152.4</v>
      </c>
      <c r="AA72" s="32">
        <v>89.8</v>
      </c>
      <c r="AB72" s="32">
        <v>81.5</v>
      </c>
      <c r="AC72" s="32">
        <v>85.6</v>
      </c>
      <c r="AD72" s="32">
        <v>103.7</v>
      </c>
      <c r="AE72" s="32">
        <v>142</v>
      </c>
      <c r="AF72" s="32">
        <v>142</v>
      </c>
      <c r="AG72" s="32">
        <v>80.599999999999994</v>
      </c>
      <c r="AH72" s="32">
        <v>80.599999999999994</v>
      </c>
      <c r="AI72" s="32">
        <v>197.5</v>
      </c>
      <c r="AJ72" s="32">
        <v>104.2</v>
      </c>
      <c r="AK72" s="32">
        <v>1244.8</v>
      </c>
      <c r="AL72" s="32">
        <v>104</v>
      </c>
      <c r="AM72" s="32">
        <v>36.6</v>
      </c>
      <c r="AN72" s="32">
        <v>112.5</v>
      </c>
      <c r="AO72" s="32">
        <v>88.8</v>
      </c>
      <c r="AP72" s="32">
        <v>88.8</v>
      </c>
      <c r="AQ72" s="32">
        <v>110.5</v>
      </c>
      <c r="AR72" s="32">
        <v>99.3</v>
      </c>
      <c r="AS72" s="32">
        <v>130.80000000000001</v>
      </c>
      <c r="AT72" s="32">
        <v>133.80000000000001</v>
      </c>
      <c r="AU72" s="32">
        <v>122.8</v>
      </c>
      <c r="AV72" s="32">
        <v>114</v>
      </c>
      <c r="AW72" s="32">
        <v>206.8</v>
      </c>
      <c r="AX72" s="32">
        <v>320.3</v>
      </c>
      <c r="AY72" s="32">
        <v>268.60000000000002</v>
      </c>
      <c r="AZ72" s="32">
        <v>98.8</v>
      </c>
      <c r="BA72" s="32">
        <v>46.8</v>
      </c>
      <c r="BB72" s="32">
        <v>46.8</v>
      </c>
      <c r="BC72" s="32">
        <v>135.1</v>
      </c>
      <c r="BD72" s="32">
        <v>135.1</v>
      </c>
      <c r="BE72" s="32">
        <v>93.1</v>
      </c>
      <c r="BF72" s="32">
        <v>93.1</v>
      </c>
      <c r="BG72" s="32">
        <v>75.7</v>
      </c>
      <c r="BH72" s="32">
        <v>56.4</v>
      </c>
      <c r="BI72" s="32">
        <v>95.6</v>
      </c>
      <c r="BJ72" s="32">
        <v>29</v>
      </c>
      <c r="BK72" s="32">
        <v>135.30000000000001</v>
      </c>
      <c r="BL72" s="32">
        <v>43.4</v>
      </c>
      <c r="BM72" s="32">
        <v>94.6</v>
      </c>
      <c r="BN72" s="32">
        <v>98.6</v>
      </c>
      <c r="BO72" s="32">
        <v>92.8</v>
      </c>
      <c r="BP72" s="32">
        <v>103.3</v>
      </c>
      <c r="BQ72" s="32">
        <v>92.1</v>
      </c>
      <c r="BR72" s="32">
        <v>72.099999999999994</v>
      </c>
      <c r="BS72" s="32">
        <v>251.5</v>
      </c>
      <c r="BT72" s="32">
        <v>63.2</v>
      </c>
      <c r="BU72" s="32">
        <v>143.5</v>
      </c>
      <c r="BV72" s="32">
        <v>143.5</v>
      </c>
      <c r="BW72" s="32">
        <v>183</v>
      </c>
      <c r="BX72" s="32">
        <v>98.2</v>
      </c>
      <c r="BY72" s="32">
        <v>102.7</v>
      </c>
      <c r="BZ72" s="32">
        <v>114.7</v>
      </c>
      <c r="CA72" s="32">
        <v>97.5</v>
      </c>
      <c r="CB72" s="32">
        <v>117.2</v>
      </c>
      <c r="CC72" s="32">
        <v>86</v>
      </c>
      <c r="CD72" s="32">
        <v>39.799999999999997</v>
      </c>
      <c r="CE72" s="32">
        <v>96.5</v>
      </c>
      <c r="CF72" s="32">
        <v>67.3</v>
      </c>
      <c r="CG72" s="32">
        <v>86.8</v>
      </c>
      <c r="CH72" s="32">
        <v>88.1</v>
      </c>
      <c r="CI72" s="32">
        <v>116.8</v>
      </c>
      <c r="CJ72" s="32">
        <v>67.5</v>
      </c>
      <c r="CK72" s="32">
        <v>100</v>
      </c>
      <c r="CL72" s="32">
        <v>83.3</v>
      </c>
      <c r="CM72" s="32">
        <v>99.3</v>
      </c>
      <c r="CN72" s="32">
        <v>81.8</v>
      </c>
      <c r="CO72" s="32">
        <v>99.5</v>
      </c>
      <c r="CP72" s="32">
        <v>118.7</v>
      </c>
      <c r="CQ72" s="32">
        <v>36</v>
      </c>
      <c r="CR72" s="32">
        <v>85.4</v>
      </c>
      <c r="CS72" s="32">
        <v>134.69999999999999</v>
      </c>
      <c r="CT72" s="32">
        <v>86.3</v>
      </c>
      <c r="CU72" s="32">
        <v>64.7</v>
      </c>
      <c r="CV72" s="32">
        <v>95.7</v>
      </c>
      <c r="CW72" s="32">
        <v>19.600000000000001</v>
      </c>
      <c r="CX72" s="32">
        <v>67.099999999999994</v>
      </c>
      <c r="CY72" s="32">
        <v>80.8</v>
      </c>
      <c r="CZ72" s="32">
        <v>60</v>
      </c>
      <c r="DA72" s="32">
        <v>42.8</v>
      </c>
      <c r="DB72" s="32">
        <v>101.7</v>
      </c>
      <c r="DC72" s="32">
        <v>2.4</v>
      </c>
      <c r="DD72" s="32">
        <v>2.4</v>
      </c>
      <c r="DE72" s="32">
        <v>44.3</v>
      </c>
      <c r="DF72" s="32">
        <v>39.6</v>
      </c>
      <c r="DG72" s="32">
        <v>74</v>
      </c>
      <c r="DH72" s="32">
        <v>74.900000000000006</v>
      </c>
      <c r="DI72" s="32">
        <v>126.6</v>
      </c>
      <c r="DJ72" s="32">
        <v>64.5</v>
      </c>
      <c r="DK72" s="32">
        <v>64.5</v>
      </c>
      <c r="DL72" s="32">
        <v>34.799999999999997</v>
      </c>
      <c r="DM72" s="32">
        <v>65.599999999999994</v>
      </c>
      <c r="DN72" s="32">
        <v>42.8</v>
      </c>
      <c r="DO72" s="32">
        <v>76.099999999999994</v>
      </c>
      <c r="DP72" s="32">
        <v>39.200000000000003</v>
      </c>
      <c r="DQ72" s="32">
        <v>58.7</v>
      </c>
      <c r="DR72" s="32">
        <v>60.7</v>
      </c>
      <c r="DS72" s="32">
        <v>56.6</v>
      </c>
      <c r="DT72" s="32">
        <v>52.1</v>
      </c>
      <c r="DU72" s="32">
        <v>53.7</v>
      </c>
      <c r="DV72" s="32">
        <v>61.7</v>
      </c>
      <c r="DW72" s="32">
        <v>45.4</v>
      </c>
      <c r="DX72" s="32">
        <v>49</v>
      </c>
      <c r="DY72" s="32">
        <v>72.2</v>
      </c>
      <c r="DZ72" s="32">
        <v>108.1</v>
      </c>
      <c r="EA72" s="32">
        <v>108.1</v>
      </c>
      <c r="EB72" s="32">
        <v>58.3</v>
      </c>
      <c r="EC72" s="32">
        <v>58.3</v>
      </c>
      <c r="ED72" s="32">
        <v>58.5</v>
      </c>
      <c r="EE72" s="32">
        <v>67</v>
      </c>
      <c r="EF72" s="32">
        <v>40.1</v>
      </c>
      <c r="EG72" s="32">
        <v>55.5</v>
      </c>
      <c r="EH72" s="32">
        <v>82.5</v>
      </c>
      <c r="EI72" s="32">
        <v>46.2</v>
      </c>
      <c r="EJ72" s="32">
        <v>74.7</v>
      </c>
      <c r="EK72" s="32">
        <v>47.8</v>
      </c>
      <c r="EL72" s="32">
        <v>75.599999999999994</v>
      </c>
      <c r="EM72" s="32">
        <v>36.6</v>
      </c>
      <c r="EN72" s="32">
        <v>51.2</v>
      </c>
      <c r="EO72" s="32">
        <v>84.6</v>
      </c>
      <c r="EP72" s="32">
        <v>84</v>
      </c>
      <c r="EQ72" s="32">
        <v>84</v>
      </c>
      <c r="ER72" s="32">
        <v>88.9</v>
      </c>
      <c r="ES72" s="32">
        <v>88.9</v>
      </c>
      <c r="ET72" s="32">
        <v>83.5</v>
      </c>
      <c r="EU72" s="32">
        <v>91.2</v>
      </c>
      <c r="EV72" s="32">
        <v>91.2</v>
      </c>
      <c r="EW72" s="32">
        <v>77.400000000000006</v>
      </c>
      <c r="EX72" s="32">
        <v>87</v>
      </c>
      <c r="EY72" s="32">
        <v>69.8</v>
      </c>
      <c r="EZ72" s="32">
        <v>91.9</v>
      </c>
      <c r="FA72" s="32">
        <v>94.7</v>
      </c>
      <c r="FB72" s="32">
        <v>104.6</v>
      </c>
      <c r="FC72" s="32">
        <v>86.4</v>
      </c>
      <c r="FD72" s="32">
        <v>102.4</v>
      </c>
      <c r="FE72" s="32">
        <v>136.30000000000001</v>
      </c>
      <c r="FF72" s="32">
        <v>83.4</v>
      </c>
      <c r="FG72" s="32">
        <v>87.5</v>
      </c>
      <c r="FH72" s="32">
        <v>88.8</v>
      </c>
      <c r="FI72" s="32">
        <v>83.5</v>
      </c>
      <c r="FJ72" s="32">
        <v>87.4</v>
      </c>
      <c r="FK72" s="32">
        <v>135.4</v>
      </c>
      <c r="FL72" s="32">
        <v>135.4</v>
      </c>
    </row>
    <row r="73" spans="1:168" x14ac:dyDescent="0.2">
      <c r="A73" s="34" t="s">
        <v>1053</v>
      </c>
      <c r="B73" s="32">
        <v>73.7</v>
      </c>
      <c r="C73" s="32">
        <v>98.7</v>
      </c>
      <c r="D73" s="32">
        <v>101.8</v>
      </c>
      <c r="E73" s="32">
        <v>104.3</v>
      </c>
      <c r="F73" s="32">
        <v>349.2</v>
      </c>
      <c r="G73" s="32">
        <v>9836.5</v>
      </c>
      <c r="H73" s="32">
        <v>459</v>
      </c>
      <c r="I73" s="32">
        <v>64.599999999999994</v>
      </c>
      <c r="J73" s="32">
        <v>86.3</v>
      </c>
      <c r="K73" s="32">
        <v>95.9</v>
      </c>
      <c r="L73" s="32">
        <v>96</v>
      </c>
      <c r="M73" s="32">
        <v>94.3</v>
      </c>
      <c r="N73" s="32">
        <v>68.5</v>
      </c>
      <c r="O73" s="32">
        <v>346.8</v>
      </c>
      <c r="P73" s="32">
        <v>446.9</v>
      </c>
      <c r="Q73" s="32">
        <v>113.6</v>
      </c>
      <c r="R73" s="32">
        <v>88</v>
      </c>
      <c r="S73" s="32">
        <v>116.5</v>
      </c>
      <c r="T73" s="32">
        <v>83.6</v>
      </c>
      <c r="U73" s="32">
        <v>47.5</v>
      </c>
      <c r="V73" s="32">
        <v>118.7</v>
      </c>
      <c r="W73" s="32">
        <v>58.2</v>
      </c>
      <c r="X73" s="32">
        <v>44.5</v>
      </c>
      <c r="Y73" s="32">
        <v>68.900000000000006</v>
      </c>
      <c r="Z73" s="32">
        <v>159.5</v>
      </c>
      <c r="AA73" s="32">
        <v>90.3</v>
      </c>
      <c r="AB73" s="32">
        <v>80.7</v>
      </c>
      <c r="AC73" s="32">
        <v>86.6</v>
      </c>
      <c r="AD73" s="32">
        <v>104.5</v>
      </c>
      <c r="AE73" s="32">
        <v>134.5</v>
      </c>
      <c r="AF73" s="32">
        <v>134.5</v>
      </c>
      <c r="AG73" s="32">
        <v>80.3</v>
      </c>
      <c r="AH73" s="32">
        <v>80.3</v>
      </c>
      <c r="AI73" s="32">
        <v>211.9</v>
      </c>
      <c r="AJ73" s="32">
        <v>97.1</v>
      </c>
      <c r="AK73" s="32">
        <v>1278.5</v>
      </c>
      <c r="AL73" s="32">
        <v>102.5</v>
      </c>
      <c r="AM73" s="32">
        <v>37.299999999999997</v>
      </c>
      <c r="AN73" s="32">
        <v>118.3</v>
      </c>
      <c r="AO73" s="32">
        <v>83.8</v>
      </c>
      <c r="AP73" s="32">
        <v>83.8</v>
      </c>
      <c r="AQ73" s="32">
        <v>110.5</v>
      </c>
      <c r="AR73" s="32">
        <v>100.3</v>
      </c>
      <c r="AS73" s="32">
        <v>129.4</v>
      </c>
      <c r="AT73" s="32">
        <v>131.9</v>
      </c>
      <c r="AU73" s="32">
        <v>122</v>
      </c>
      <c r="AV73" s="32">
        <v>111.9</v>
      </c>
      <c r="AW73" s="32">
        <v>197.3</v>
      </c>
      <c r="AX73" s="32">
        <v>278.2</v>
      </c>
      <c r="AY73" s="32">
        <v>270.60000000000002</v>
      </c>
      <c r="AZ73" s="32">
        <v>98.1</v>
      </c>
      <c r="BA73" s="32">
        <v>44.4</v>
      </c>
      <c r="BB73" s="32">
        <v>44.4</v>
      </c>
      <c r="BC73" s="32">
        <v>138.30000000000001</v>
      </c>
      <c r="BD73" s="32">
        <v>138.30000000000001</v>
      </c>
      <c r="BE73" s="32">
        <v>95.1</v>
      </c>
      <c r="BF73" s="32">
        <v>95.1</v>
      </c>
      <c r="BG73" s="32">
        <v>80.599999999999994</v>
      </c>
      <c r="BH73" s="32">
        <v>62.8</v>
      </c>
      <c r="BI73" s="32">
        <v>98</v>
      </c>
      <c r="BJ73" s="32">
        <v>29.6</v>
      </c>
      <c r="BK73" s="32">
        <v>138.6</v>
      </c>
      <c r="BL73" s="32">
        <v>44.7</v>
      </c>
      <c r="BM73" s="32">
        <v>91.8</v>
      </c>
      <c r="BN73" s="32">
        <v>96.3</v>
      </c>
      <c r="BO73" s="32">
        <v>93.5</v>
      </c>
      <c r="BP73" s="32">
        <v>98.4</v>
      </c>
      <c r="BQ73" s="32">
        <v>88.7</v>
      </c>
      <c r="BR73" s="32">
        <v>74.7</v>
      </c>
      <c r="BS73" s="32">
        <v>253.3</v>
      </c>
      <c r="BT73" s="32">
        <v>58.6</v>
      </c>
      <c r="BU73" s="32">
        <v>139</v>
      </c>
      <c r="BV73" s="32">
        <v>139</v>
      </c>
      <c r="BW73" s="32">
        <v>178.2</v>
      </c>
      <c r="BX73" s="32">
        <v>93.2</v>
      </c>
      <c r="BY73" s="32">
        <v>102.8</v>
      </c>
      <c r="BZ73" s="32">
        <v>114.9</v>
      </c>
      <c r="CA73" s="32">
        <v>97.5</v>
      </c>
      <c r="CB73" s="32">
        <v>119.1</v>
      </c>
      <c r="CC73" s="32">
        <v>84</v>
      </c>
      <c r="CD73" s="32">
        <v>39.200000000000003</v>
      </c>
      <c r="CE73" s="32">
        <v>97.3</v>
      </c>
      <c r="CF73" s="32">
        <v>67.599999999999994</v>
      </c>
      <c r="CG73" s="32">
        <v>86.8</v>
      </c>
      <c r="CH73" s="32">
        <v>87.3</v>
      </c>
      <c r="CI73" s="32">
        <v>120.7</v>
      </c>
      <c r="CJ73" s="32">
        <v>65.099999999999994</v>
      </c>
      <c r="CK73" s="32">
        <v>99.7</v>
      </c>
      <c r="CL73" s="32">
        <v>84.4</v>
      </c>
      <c r="CM73" s="32">
        <v>98.9</v>
      </c>
      <c r="CN73" s="32">
        <v>80.900000000000006</v>
      </c>
      <c r="CO73" s="32">
        <v>99.3</v>
      </c>
      <c r="CP73" s="32">
        <v>117.7</v>
      </c>
      <c r="CQ73" s="32">
        <v>37.4</v>
      </c>
      <c r="CR73" s="32">
        <v>87.2</v>
      </c>
      <c r="CS73" s="32">
        <v>138.6</v>
      </c>
      <c r="CT73" s="32">
        <v>88.3</v>
      </c>
      <c r="CU73" s="32">
        <v>65.7</v>
      </c>
      <c r="CV73" s="32">
        <v>98.2</v>
      </c>
      <c r="CW73" s="32">
        <v>19.8</v>
      </c>
      <c r="CX73" s="32">
        <v>68.3</v>
      </c>
      <c r="CY73" s="32">
        <v>83</v>
      </c>
      <c r="CZ73" s="32">
        <v>60.5</v>
      </c>
      <c r="DA73" s="32">
        <v>43.3</v>
      </c>
      <c r="DB73" s="32">
        <v>102.2</v>
      </c>
      <c r="DC73" s="32">
        <v>2.5</v>
      </c>
      <c r="DD73" s="32">
        <v>2.5</v>
      </c>
      <c r="DE73" s="32">
        <v>44.1</v>
      </c>
      <c r="DF73" s="32">
        <v>39.700000000000003</v>
      </c>
      <c r="DG73" s="32">
        <v>71.099999999999994</v>
      </c>
      <c r="DH73" s="32">
        <v>76</v>
      </c>
      <c r="DI73" s="32">
        <v>128.30000000000001</v>
      </c>
      <c r="DJ73" s="32">
        <v>63.8</v>
      </c>
      <c r="DK73" s="32">
        <v>63.8</v>
      </c>
      <c r="DL73" s="32">
        <v>36.9</v>
      </c>
      <c r="DM73" s="32">
        <v>65.8</v>
      </c>
      <c r="DN73" s="32">
        <v>43</v>
      </c>
      <c r="DO73" s="32">
        <v>76.3</v>
      </c>
      <c r="DP73" s="32">
        <v>39.299999999999997</v>
      </c>
      <c r="DQ73" s="32">
        <v>59.4</v>
      </c>
      <c r="DR73" s="32">
        <v>61.7</v>
      </c>
      <c r="DS73" s="32">
        <v>58.3</v>
      </c>
      <c r="DT73" s="32">
        <v>53.5</v>
      </c>
      <c r="DU73" s="32">
        <v>55.4</v>
      </c>
      <c r="DV73" s="32">
        <v>64.400000000000006</v>
      </c>
      <c r="DW73" s="32">
        <v>46.4</v>
      </c>
      <c r="DX73" s="32">
        <v>49.6</v>
      </c>
      <c r="DY73" s="32">
        <v>75.2</v>
      </c>
      <c r="DZ73" s="32">
        <v>102.9</v>
      </c>
      <c r="EA73" s="32">
        <v>102.9</v>
      </c>
      <c r="EB73" s="32">
        <v>58.9</v>
      </c>
      <c r="EC73" s="32">
        <v>58.8</v>
      </c>
      <c r="ED73" s="32">
        <v>59.3</v>
      </c>
      <c r="EE73" s="32">
        <v>68</v>
      </c>
      <c r="EF73" s="32">
        <v>40.1</v>
      </c>
      <c r="EG73" s="32">
        <v>55.8</v>
      </c>
      <c r="EH73" s="32">
        <v>81.400000000000006</v>
      </c>
      <c r="EI73" s="32">
        <v>49.3</v>
      </c>
      <c r="EJ73" s="32">
        <v>68.8</v>
      </c>
      <c r="EK73" s="32">
        <v>47.5</v>
      </c>
      <c r="EL73" s="32">
        <v>73.7</v>
      </c>
      <c r="EM73" s="32">
        <v>36.1</v>
      </c>
      <c r="EN73" s="32">
        <v>51.3</v>
      </c>
      <c r="EO73" s="32">
        <v>84.4</v>
      </c>
      <c r="EP73" s="32">
        <v>83.7</v>
      </c>
      <c r="EQ73" s="32">
        <v>83.7</v>
      </c>
      <c r="ER73" s="32">
        <v>88.5</v>
      </c>
      <c r="ES73" s="32">
        <v>88.5</v>
      </c>
      <c r="ET73" s="32">
        <v>83.4</v>
      </c>
      <c r="EU73" s="32">
        <v>91</v>
      </c>
      <c r="EV73" s="32">
        <v>91</v>
      </c>
      <c r="EW73" s="32">
        <v>77.5</v>
      </c>
      <c r="EX73" s="32">
        <v>86.8</v>
      </c>
      <c r="EY73" s="32">
        <v>70.099999999999994</v>
      </c>
      <c r="EZ73" s="32">
        <v>93.8</v>
      </c>
      <c r="FA73" s="32">
        <v>97.7</v>
      </c>
      <c r="FB73" s="32">
        <v>109.6</v>
      </c>
      <c r="FC73" s="32">
        <v>93.8</v>
      </c>
      <c r="FD73" s="32">
        <v>102.5</v>
      </c>
      <c r="FE73" s="32">
        <v>138.6</v>
      </c>
      <c r="FF73" s="32">
        <v>84.3</v>
      </c>
      <c r="FG73" s="32">
        <v>88.8</v>
      </c>
      <c r="FH73" s="32">
        <v>88</v>
      </c>
      <c r="FI73" s="32">
        <v>87.7</v>
      </c>
      <c r="FJ73" s="32">
        <v>89.2</v>
      </c>
      <c r="FK73" s="32">
        <v>132.69999999999999</v>
      </c>
      <c r="FL73" s="32">
        <v>132.69999999999999</v>
      </c>
    </row>
    <row r="74" spans="1:168" x14ac:dyDescent="0.2">
      <c r="A74" s="34" t="s">
        <v>1054</v>
      </c>
      <c r="B74" s="32">
        <v>73.900000000000006</v>
      </c>
      <c r="C74" s="32">
        <v>98.8</v>
      </c>
      <c r="D74" s="32">
        <v>103.2</v>
      </c>
      <c r="E74" s="32">
        <v>105.9</v>
      </c>
      <c r="F74" s="32">
        <v>370.6</v>
      </c>
      <c r="G74" s="32">
        <v>10247.9</v>
      </c>
      <c r="H74" s="32">
        <v>492.3</v>
      </c>
      <c r="I74" s="32">
        <v>63.8</v>
      </c>
      <c r="J74" s="32">
        <v>87.1</v>
      </c>
      <c r="K74" s="32">
        <v>95.5</v>
      </c>
      <c r="L74" s="32">
        <v>95.7</v>
      </c>
      <c r="M74" s="32">
        <v>93.8</v>
      </c>
      <c r="N74" s="32">
        <v>68.2</v>
      </c>
      <c r="O74" s="32">
        <v>344.5</v>
      </c>
      <c r="P74" s="32">
        <v>447.8</v>
      </c>
      <c r="Q74" s="32">
        <v>115.3</v>
      </c>
      <c r="R74" s="32">
        <v>87.2</v>
      </c>
      <c r="S74" s="32">
        <v>116</v>
      </c>
      <c r="T74" s="32">
        <v>84.8</v>
      </c>
      <c r="U74" s="32">
        <v>50</v>
      </c>
      <c r="V74" s="32">
        <v>116.9</v>
      </c>
      <c r="W74" s="32">
        <v>56.2</v>
      </c>
      <c r="X74" s="32">
        <v>44.2</v>
      </c>
      <c r="Y74" s="32">
        <v>65.900000000000006</v>
      </c>
      <c r="Z74" s="32">
        <v>136.6</v>
      </c>
      <c r="AA74" s="32">
        <v>87.7</v>
      </c>
      <c r="AB74" s="32">
        <v>82.7</v>
      </c>
      <c r="AC74" s="32">
        <v>85.3</v>
      </c>
      <c r="AD74" s="32">
        <v>98.5</v>
      </c>
      <c r="AE74" s="32">
        <v>136.4</v>
      </c>
      <c r="AF74" s="32">
        <v>136.4</v>
      </c>
      <c r="AG74" s="32">
        <v>79.7</v>
      </c>
      <c r="AH74" s="32">
        <v>79.7</v>
      </c>
      <c r="AI74" s="32">
        <v>202.5</v>
      </c>
      <c r="AJ74" s="32">
        <v>94.2</v>
      </c>
      <c r="AK74" s="32">
        <v>1305.7</v>
      </c>
      <c r="AL74" s="32">
        <v>100</v>
      </c>
      <c r="AM74" s="32">
        <v>38.1</v>
      </c>
      <c r="AN74" s="32">
        <v>117.5</v>
      </c>
      <c r="AO74" s="32">
        <v>94.2</v>
      </c>
      <c r="AP74" s="32">
        <v>94.2</v>
      </c>
      <c r="AQ74" s="32">
        <v>111.5</v>
      </c>
      <c r="AR74" s="32">
        <v>101.9</v>
      </c>
      <c r="AS74" s="32">
        <v>129.19999999999999</v>
      </c>
      <c r="AT74" s="32">
        <v>131.4</v>
      </c>
      <c r="AU74" s="32">
        <v>122.4</v>
      </c>
      <c r="AV74" s="32">
        <v>113.1</v>
      </c>
      <c r="AW74" s="32">
        <v>197.9</v>
      </c>
      <c r="AX74" s="32">
        <v>297.10000000000002</v>
      </c>
      <c r="AY74" s="32">
        <v>261.39999999999998</v>
      </c>
      <c r="AZ74" s="32">
        <v>99.4</v>
      </c>
      <c r="BA74" s="32">
        <v>47.5</v>
      </c>
      <c r="BB74" s="32">
        <v>47.5</v>
      </c>
      <c r="BC74" s="32">
        <v>145.9</v>
      </c>
      <c r="BD74" s="32">
        <v>145.9</v>
      </c>
      <c r="BE74" s="32">
        <v>97.4</v>
      </c>
      <c r="BF74" s="32">
        <v>97.4</v>
      </c>
      <c r="BG74" s="32">
        <v>78</v>
      </c>
      <c r="BH74" s="32">
        <v>57.4</v>
      </c>
      <c r="BI74" s="32">
        <v>99.4</v>
      </c>
      <c r="BJ74" s="32">
        <v>30.2</v>
      </c>
      <c r="BK74" s="32">
        <v>142</v>
      </c>
      <c r="BL74" s="32">
        <v>40.799999999999997</v>
      </c>
      <c r="BM74" s="32">
        <v>90.6</v>
      </c>
      <c r="BN74" s="32">
        <v>95.9</v>
      </c>
      <c r="BO74" s="32">
        <v>87.9</v>
      </c>
      <c r="BP74" s="32">
        <v>102.6</v>
      </c>
      <c r="BQ74" s="32">
        <v>86.5</v>
      </c>
      <c r="BR74" s="32">
        <v>75.099999999999994</v>
      </c>
      <c r="BS74" s="32">
        <v>216.2</v>
      </c>
      <c r="BT74" s="32">
        <v>61.5</v>
      </c>
      <c r="BU74" s="32">
        <v>147.80000000000001</v>
      </c>
      <c r="BV74" s="32">
        <v>147.80000000000001</v>
      </c>
      <c r="BW74" s="32">
        <v>193.6</v>
      </c>
      <c r="BX74" s="32">
        <v>91.1</v>
      </c>
      <c r="BY74" s="32">
        <v>102.1</v>
      </c>
      <c r="BZ74" s="32">
        <v>112.9</v>
      </c>
      <c r="CA74" s="32">
        <v>97.4</v>
      </c>
      <c r="CB74" s="32">
        <v>120.1</v>
      </c>
      <c r="CC74" s="32">
        <v>83</v>
      </c>
      <c r="CD74" s="32">
        <v>37.9</v>
      </c>
      <c r="CE74" s="32">
        <v>97.9</v>
      </c>
      <c r="CF74" s="32">
        <v>67.599999999999994</v>
      </c>
      <c r="CG74" s="32">
        <v>86.5</v>
      </c>
      <c r="CH74" s="32">
        <v>86.8</v>
      </c>
      <c r="CI74" s="32">
        <v>118.4</v>
      </c>
      <c r="CJ74" s="32">
        <v>65.099999999999994</v>
      </c>
      <c r="CK74" s="32">
        <v>99.2</v>
      </c>
      <c r="CL74" s="32">
        <v>84.3</v>
      </c>
      <c r="CM74" s="32">
        <v>97.6</v>
      </c>
      <c r="CN74" s="32">
        <v>80</v>
      </c>
      <c r="CO74" s="32">
        <v>97.9</v>
      </c>
      <c r="CP74" s="32">
        <v>117.5</v>
      </c>
      <c r="CQ74" s="32">
        <v>40</v>
      </c>
      <c r="CR74" s="32">
        <v>87.6</v>
      </c>
      <c r="CS74" s="32">
        <v>135.9</v>
      </c>
      <c r="CT74" s="32">
        <v>88.4</v>
      </c>
      <c r="CU74" s="32">
        <v>64.099999999999994</v>
      </c>
      <c r="CV74" s="32">
        <v>99</v>
      </c>
      <c r="CW74" s="32">
        <v>20</v>
      </c>
      <c r="CX74" s="32">
        <v>67.900000000000006</v>
      </c>
      <c r="CY74" s="32">
        <v>82.4</v>
      </c>
      <c r="CZ74" s="32">
        <v>60.2</v>
      </c>
      <c r="DA74" s="32">
        <v>42.8</v>
      </c>
      <c r="DB74" s="32">
        <v>102.5</v>
      </c>
      <c r="DC74" s="32">
        <v>2.5</v>
      </c>
      <c r="DD74" s="32">
        <v>2.5</v>
      </c>
      <c r="DE74" s="32">
        <v>44.3</v>
      </c>
      <c r="DF74" s="32">
        <v>39.9</v>
      </c>
      <c r="DG74" s="32">
        <v>70.8</v>
      </c>
      <c r="DH74" s="32">
        <v>76.3</v>
      </c>
      <c r="DI74" s="32">
        <v>127.9</v>
      </c>
      <c r="DJ74" s="32">
        <v>63.7</v>
      </c>
      <c r="DK74" s="32">
        <v>63.7</v>
      </c>
      <c r="DL74" s="32">
        <v>38.5</v>
      </c>
      <c r="DM74" s="32">
        <v>66</v>
      </c>
      <c r="DN74" s="32">
        <v>43.4</v>
      </c>
      <c r="DO74" s="32">
        <v>76.400000000000006</v>
      </c>
      <c r="DP74" s="32">
        <v>38.4</v>
      </c>
      <c r="DQ74" s="32">
        <v>59.1</v>
      </c>
      <c r="DR74" s="32">
        <v>60.5</v>
      </c>
      <c r="DS74" s="32">
        <v>57.4</v>
      </c>
      <c r="DT74" s="32">
        <v>52.4</v>
      </c>
      <c r="DU74" s="32">
        <v>53.8</v>
      </c>
      <c r="DV74" s="32">
        <v>63.4</v>
      </c>
      <c r="DW74" s="32">
        <v>44.1</v>
      </c>
      <c r="DX74" s="32">
        <v>49.5</v>
      </c>
      <c r="DY74" s="32">
        <v>75.099999999999994</v>
      </c>
      <c r="DZ74" s="32">
        <v>92.6</v>
      </c>
      <c r="EA74" s="32">
        <v>92.6</v>
      </c>
      <c r="EB74" s="32">
        <v>59.7</v>
      </c>
      <c r="EC74" s="32">
        <v>59.5</v>
      </c>
      <c r="ED74" s="32">
        <v>60.3</v>
      </c>
      <c r="EE74" s="32">
        <v>69.5</v>
      </c>
      <c r="EF74" s="32">
        <v>40</v>
      </c>
      <c r="EG74" s="32">
        <v>56.8</v>
      </c>
      <c r="EH74" s="32">
        <v>84.3</v>
      </c>
      <c r="EI74" s="32">
        <v>50.4</v>
      </c>
      <c r="EJ74" s="32">
        <v>61</v>
      </c>
      <c r="EK74" s="32">
        <v>48.4</v>
      </c>
      <c r="EL74" s="32">
        <v>72.400000000000006</v>
      </c>
      <c r="EM74" s="32">
        <v>36.1</v>
      </c>
      <c r="EN74" s="32">
        <v>53.2</v>
      </c>
      <c r="EO74" s="32">
        <v>84</v>
      </c>
      <c r="EP74" s="32">
        <v>82.8</v>
      </c>
      <c r="EQ74" s="32">
        <v>82.8</v>
      </c>
      <c r="ER74" s="32">
        <v>88.2</v>
      </c>
      <c r="ES74" s="32">
        <v>88.2</v>
      </c>
      <c r="ET74" s="32">
        <v>83.4</v>
      </c>
      <c r="EU74" s="32">
        <v>91</v>
      </c>
      <c r="EV74" s="32">
        <v>91</v>
      </c>
      <c r="EW74" s="32">
        <v>77.5</v>
      </c>
      <c r="EX74" s="32">
        <v>86.6</v>
      </c>
      <c r="EY74" s="32">
        <v>70.3</v>
      </c>
      <c r="EZ74" s="32">
        <v>96.4</v>
      </c>
      <c r="FA74" s="32">
        <v>98.9</v>
      </c>
      <c r="FB74" s="32">
        <v>111</v>
      </c>
      <c r="FC74" s="32">
        <v>95.3</v>
      </c>
      <c r="FD74" s="32">
        <v>102.2</v>
      </c>
      <c r="FE74" s="32">
        <v>141</v>
      </c>
      <c r="FF74" s="32">
        <v>85.2</v>
      </c>
      <c r="FG74" s="32">
        <v>92.8</v>
      </c>
      <c r="FH74" s="32">
        <v>88.1</v>
      </c>
      <c r="FI74" s="32">
        <v>91.1</v>
      </c>
      <c r="FJ74" s="32">
        <v>94.9</v>
      </c>
      <c r="FK74" s="32">
        <v>133.19999999999999</v>
      </c>
      <c r="FL74" s="32">
        <v>133.19999999999999</v>
      </c>
    </row>
    <row r="75" spans="1:168" x14ac:dyDescent="0.2">
      <c r="A75" s="34" t="s">
        <v>1055</v>
      </c>
      <c r="B75" s="32">
        <v>74.099999999999994</v>
      </c>
      <c r="C75" s="32">
        <v>98.9</v>
      </c>
      <c r="D75" s="32">
        <v>102.3</v>
      </c>
      <c r="E75" s="32">
        <v>104.6</v>
      </c>
      <c r="F75" s="32">
        <v>376.6</v>
      </c>
      <c r="G75" s="32">
        <v>10145.799999999999</v>
      </c>
      <c r="H75" s="32">
        <v>502.3</v>
      </c>
      <c r="I75" s="32">
        <v>62.9</v>
      </c>
      <c r="J75" s="32">
        <v>85.7</v>
      </c>
      <c r="K75" s="32">
        <v>94.9</v>
      </c>
      <c r="L75" s="32">
        <v>95.1</v>
      </c>
      <c r="M75" s="32">
        <v>94.7</v>
      </c>
      <c r="N75" s="32">
        <v>69.5</v>
      </c>
      <c r="O75" s="32">
        <v>342.9</v>
      </c>
      <c r="P75" s="32">
        <v>425.2</v>
      </c>
      <c r="Q75" s="32">
        <v>116.7</v>
      </c>
      <c r="R75" s="32">
        <v>83.4</v>
      </c>
      <c r="S75" s="32">
        <v>116.1</v>
      </c>
      <c r="T75" s="32">
        <v>91</v>
      </c>
      <c r="U75" s="32">
        <v>50.5</v>
      </c>
      <c r="V75" s="32">
        <v>115.2</v>
      </c>
      <c r="W75" s="32">
        <v>55.9</v>
      </c>
      <c r="X75" s="32">
        <v>43.7</v>
      </c>
      <c r="Y75" s="32">
        <v>66.599999999999994</v>
      </c>
      <c r="Z75" s="32">
        <v>131.5</v>
      </c>
      <c r="AA75" s="32">
        <v>89.3</v>
      </c>
      <c r="AB75" s="32">
        <v>89.8</v>
      </c>
      <c r="AC75" s="32">
        <v>85.2</v>
      </c>
      <c r="AD75" s="32">
        <v>99.2</v>
      </c>
      <c r="AE75" s="32">
        <v>125.9</v>
      </c>
      <c r="AF75" s="32">
        <v>125.9</v>
      </c>
      <c r="AG75" s="32">
        <v>79.2</v>
      </c>
      <c r="AH75" s="32">
        <v>79.2</v>
      </c>
      <c r="AI75" s="32">
        <v>199.8</v>
      </c>
      <c r="AJ75" s="32">
        <v>87.6</v>
      </c>
      <c r="AK75" s="32">
        <v>1321.8</v>
      </c>
      <c r="AL75" s="32">
        <v>109</v>
      </c>
      <c r="AM75" s="32">
        <v>39.299999999999997</v>
      </c>
      <c r="AN75" s="32">
        <v>123.2</v>
      </c>
      <c r="AO75" s="32">
        <v>82.6</v>
      </c>
      <c r="AP75" s="32">
        <v>82.6</v>
      </c>
      <c r="AQ75" s="32">
        <v>109</v>
      </c>
      <c r="AR75" s="32">
        <v>99.9</v>
      </c>
      <c r="AS75" s="32">
        <v>126</v>
      </c>
      <c r="AT75" s="32">
        <v>130.1</v>
      </c>
      <c r="AU75" s="32">
        <v>116.9</v>
      </c>
      <c r="AV75" s="32">
        <v>114.4</v>
      </c>
      <c r="AW75" s="32">
        <v>197.7</v>
      </c>
      <c r="AX75" s="32">
        <v>308.10000000000002</v>
      </c>
      <c r="AY75" s="32">
        <v>254.9</v>
      </c>
      <c r="AZ75" s="32">
        <v>101.1</v>
      </c>
      <c r="BA75" s="32">
        <v>46.3</v>
      </c>
      <c r="BB75" s="32">
        <v>46.3</v>
      </c>
      <c r="BC75" s="32">
        <v>140.1</v>
      </c>
      <c r="BD75" s="32">
        <v>140.1</v>
      </c>
      <c r="BE75" s="32">
        <v>94.5</v>
      </c>
      <c r="BF75" s="32">
        <v>94.5</v>
      </c>
      <c r="BG75" s="32">
        <v>77.900000000000006</v>
      </c>
      <c r="BH75" s="32">
        <v>57.6</v>
      </c>
      <c r="BI75" s="32">
        <v>98.9</v>
      </c>
      <c r="BJ75" s="32">
        <v>30.9</v>
      </c>
      <c r="BK75" s="32">
        <v>140.80000000000001</v>
      </c>
      <c r="BL75" s="32">
        <v>40.700000000000003</v>
      </c>
      <c r="BM75" s="32">
        <v>90.4</v>
      </c>
      <c r="BN75" s="32">
        <v>95.8</v>
      </c>
      <c r="BO75" s="32">
        <v>88.1</v>
      </c>
      <c r="BP75" s="32">
        <v>102.3</v>
      </c>
      <c r="BQ75" s="32">
        <v>86.1</v>
      </c>
      <c r="BR75" s="32">
        <v>78.400000000000006</v>
      </c>
      <c r="BS75" s="32">
        <v>231.6</v>
      </c>
      <c r="BT75" s="32">
        <v>58.5</v>
      </c>
      <c r="BU75" s="32">
        <v>143.9</v>
      </c>
      <c r="BV75" s="32">
        <v>143.9</v>
      </c>
      <c r="BW75" s="32">
        <v>183.3</v>
      </c>
      <c r="BX75" s="32">
        <v>97.8</v>
      </c>
      <c r="BY75" s="32">
        <v>101.9</v>
      </c>
      <c r="BZ75" s="32">
        <v>113.3</v>
      </c>
      <c r="CA75" s="32">
        <v>97</v>
      </c>
      <c r="CB75" s="32">
        <v>118.3</v>
      </c>
      <c r="CC75" s="32">
        <v>84.4</v>
      </c>
      <c r="CD75" s="32">
        <v>36.200000000000003</v>
      </c>
      <c r="CE75" s="32">
        <v>98.4</v>
      </c>
      <c r="CF75" s="32">
        <v>68</v>
      </c>
      <c r="CG75" s="32">
        <v>87</v>
      </c>
      <c r="CH75" s="32">
        <v>87.9</v>
      </c>
      <c r="CI75" s="32">
        <v>117.6</v>
      </c>
      <c r="CJ75" s="32">
        <v>67.5</v>
      </c>
      <c r="CK75" s="32">
        <v>99.2</v>
      </c>
      <c r="CL75" s="32">
        <v>83.3</v>
      </c>
      <c r="CM75" s="32">
        <v>100.3</v>
      </c>
      <c r="CN75" s="32">
        <v>83.8</v>
      </c>
      <c r="CO75" s="32">
        <v>100.3</v>
      </c>
      <c r="CP75" s="32">
        <v>118.8</v>
      </c>
      <c r="CQ75" s="32">
        <v>40</v>
      </c>
      <c r="CR75" s="32">
        <v>88.1</v>
      </c>
      <c r="CS75" s="32">
        <v>119.1</v>
      </c>
      <c r="CT75" s="32">
        <v>89.2</v>
      </c>
      <c r="CU75" s="32">
        <v>65.7</v>
      </c>
      <c r="CV75" s="32">
        <v>99.5</v>
      </c>
      <c r="CW75" s="32">
        <v>20.7</v>
      </c>
      <c r="CX75" s="32">
        <v>68.900000000000006</v>
      </c>
      <c r="CY75" s="32">
        <v>84.2</v>
      </c>
      <c r="CZ75" s="32">
        <v>60.6</v>
      </c>
      <c r="DA75" s="32">
        <v>43.2</v>
      </c>
      <c r="DB75" s="32">
        <v>102.8</v>
      </c>
      <c r="DC75" s="32">
        <v>2.6</v>
      </c>
      <c r="DD75" s="32">
        <v>2.6</v>
      </c>
      <c r="DE75" s="32">
        <v>46.8</v>
      </c>
      <c r="DF75" s="32">
        <v>42</v>
      </c>
      <c r="DG75" s="32">
        <v>76.7</v>
      </c>
      <c r="DH75" s="32">
        <v>77.400000000000006</v>
      </c>
      <c r="DI75" s="32">
        <v>130.30000000000001</v>
      </c>
      <c r="DJ75" s="32">
        <v>63.6</v>
      </c>
      <c r="DK75" s="32">
        <v>63.6</v>
      </c>
      <c r="DL75" s="32">
        <v>39.6</v>
      </c>
      <c r="DM75" s="32">
        <v>66.7</v>
      </c>
      <c r="DN75" s="32">
        <v>44.4</v>
      </c>
      <c r="DO75" s="32">
        <v>77.099999999999994</v>
      </c>
      <c r="DP75" s="32">
        <v>37.799999999999997</v>
      </c>
      <c r="DQ75" s="32">
        <v>58.9</v>
      </c>
      <c r="DR75" s="32">
        <v>59.8</v>
      </c>
      <c r="DS75" s="32">
        <v>57.2</v>
      </c>
      <c r="DT75" s="32">
        <v>52.2</v>
      </c>
      <c r="DU75" s="32">
        <v>53.4</v>
      </c>
      <c r="DV75" s="32">
        <v>61.7</v>
      </c>
      <c r="DW75" s="32">
        <v>45</v>
      </c>
      <c r="DX75" s="32">
        <v>49.6</v>
      </c>
      <c r="DY75" s="32">
        <v>74.8</v>
      </c>
      <c r="DZ75" s="32">
        <v>85.2</v>
      </c>
      <c r="EA75" s="32">
        <v>85.2</v>
      </c>
      <c r="EB75" s="32">
        <v>59.4</v>
      </c>
      <c r="EC75" s="32">
        <v>59.5</v>
      </c>
      <c r="ED75" s="32">
        <v>59.5</v>
      </c>
      <c r="EE75" s="32">
        <v>68.3</v>
      </c>
      <c r="EF75" s="32">
        <v>40.299999999999997</v>
      </c>
      <c r="EG75" s="32">
        <v>57.2</v>
      </c>
      <c r="EH75" s="32">
        <v>84.5</v>
      </c>
      <c r="EI75" s="32">
        <v>52.7</v>
      </c>
      <c r="EJ75" s="32">
        <v>60.8</v>
      </c>
      <c r="EK75" s="32">
        <v>48</v>
      </c>
      <c r="EL75" s="32">
        <v>73.2</v>
      </c>
      <c r="EM75" s="32">
        <v>36</v>
      </c>
      <c r="EN75" s="32">
        <v>52.4</v>
      </c>
      <c r="EO75" s="32">
        <v>84.1</v>
      </c>
      <c r="EP75" s="32">
        <v>82.7</v>
      </c>
      <c r="EQ75" s="32">
        <v>82.7</v>
      </c>
      <c r="ER75" s="32">
        <v>88</v>
      </c>
      <c r="ES75" s="32">
        <v>88</v>
      </c>
      <c r="ET75" s="32">
        <v>83.7</v>
      </c>
      <c r="EU75" s="32">
        <v>91.3</v>
      </c>
      <c r="EV75" s="32">
        <v>91.3</v>
      </c>
      <c r="EW75" s="32">
        <v>77.8</v>
      </c>
      <c r="EX75" s="32">
        <v>86.6</v>
      </c>
      <c r="EY75" s="32">
        <v>70.900000000000006</v>
      </c>
      <c r="EZ75" s="32">
        <v>93.3</v>
      </c>
      <c r="FA75" s="32">
        <v>95.7</v>
      </c>
      <c r="FB75" s="32">
        <v>110.3</v>
      </c>
      <c r="FC75" s="32">
        <v>92.7</v>
      </c>
      <c r="FD75" s="32">
        <v>102.8</v>
      </c>
      <c r="FE75" s="32">
        <v>144</v>
      </c>
      <c r="FF75" s="32">
        <v>79.3</v>
      </c>
      <c r="FG75" s="32">
        <v>89.6</v>
      </c>
      <c r="FH75" s="32">
        <v>88</v>
      </c>
      <c r="FI75" s="32">
        <v>86.9</v>
      </c>
      <c r="FJ75" s="32">
        <v>90.5</v>
      </c>
      <c r="FK75" s="32">
        <v>130.5</v>
      </c>
      <c r="FL75" s="32">
        <v>130.5</v>
      </c>
    </row>
    <row r="76" spans="1:168" x14ac:dyDescent="0.2">
      <c r="A76" s="34" t="s">
        <v>1056</v>
      </c>
      <c r="B76" s="32">
        <v>74.400000000000006</v>
      </c>
      <c r="C76" s="32">
        <v>98.4</v>
      </c>
      <c r="D76" s="32">
        <v>102.4</v>
      </c>
      <c r="E76" s="32">
        <v>105</v>
      </c>
      <c r="F76" s="32">
        <v>361</v>
      </c>
      <c r="G76" s="32">
        <v>10273.799999999999</v>
      </c>
      <c r="H76" s="32">
        <v>479.6</v>
      </c>
      <c r="I76" s="32">
        <v>61.4</v>
      </c>
      <c r="J76" s="32">
        <v>86.5</v>
      </c>
      <c r="K76" s="32">
        <v>95.1</v>
      </c>
      <c r="L76" s="32">
        <v>96.1</v>
      </c>
      <c r="M76" s="32">
        <v>97.7</v>
      </c>
      <c r="N76" s="32">
        <v>71.2</v>
      </c>
      <c r="O76" s="32">
        <v>342.5</v>
      </c>
      <c r="P76" s="32">
        <v>415.6</v>
      </c>
      <c r="Q76" s="32">
        <v>120.7</v>
      </c>
      <c r="R76" s="32">
        <v>84.2</v>
      </c>
      <c r="S76" s="32">
        <v>116.9</v>
      </c>
      <c r="T76" s="32">
        <v>90</v>
      </c>
      <c r="U76" s="32">
        <v>48</v>
      </c>
      <c r="V76" s="32">
        <v>112.3</v>
      </c>
      <c r="W76" s="32">
        <v>53.9</v>
      </c>
      <c r="X76" s="32">
        <v>41.9</v>
      </c>
      <c r="Y76" s="32">
        <v>64.8</v>
      </c>
      <c r="Z76" s="32">
        <v>125.6</v>
      </c>
      <c r="AA76" s="32">
        <v>91.4</v>
      </c>
      <c r="AB76" s="32">
        <v>91</v>
      </c>
      <c r="AC76" s="32">
        <v>88.9</v>
      </c>
      <c r="AD76" s="32">
        <v>100.7</v>
      </c>
      <c r="AE76" s="32">
        <v>128.19999999999999</v>
      </c>
      <c r="AF76" s="32">
        <v>128.19999999999999</v>
      </c>
      <c r="AG76" s="32">
        <v>80</v>
      </c>
      <c r="AH76" s="32">
        <v>80</v>
      </c>
      <c r="AI76" s="32">
        <v>198.2</v>
      </c>
      <c r="AJ76" s="32">
        <v>89.4</v>
      </c>
      <c r="AK76" s="32">
        <v>1306.4000000000001</v>
      </c>
      <c r="AL76" s="32">
        <v>106.3</v>
      </c>
      <c r="AM76" s="32">
        <v>39.700000000000003</v>
      </c>
      <c r="AN76" s="32">
        <v>125.2</v>
      </c>
      <c r="AO76" s="32">
        <v>85.7</v>
      </c>
      <c r="AP76" s="32">
        <v>85.7</v>
      </c>
      <c r="AQ76" s="32">
        <v>108.8</v>
      </c>
      <c r="AR76" s="32">
        <v>100.5</v>
      </c>
      <c r="AS76" s="32">
        <v>124.3</v>
      </c>
      <c r="AT76" s="32">
        <v>129.6</v>
      </c>
      <c r="AU76" s="32">
        <v>113.6</v>
      </c>
      <c r="AV76" s="32">
        <v>114.8</v>
      </c>
      <c r="AW76" s="32">
        <v>195.9</v>
      </c>
      <c r="AX76" s="32">
        <v>296.2</v>
      </c>
      <c r="AY76" s="32">
        <v>257.3</v>
      </c>
      <c r="AZ76" s="32">
        <v>102</v>
      </c>
      <c r="BA76" s="32">
        <v>46.4</v>
      </c>
      <c r="BB76" s="32">
        <v>46.4</v>
      </c>
      <c r="BC76" s="32">
        <v>146.1</v>
      </c>
      <c r="BD76" s="32">
        <v>146.1</v>
      </c>
      <c r="BE76" s="32">
        <v>96.7</v>
      </c>
      <c r="BF76" s="32">
        <v>96.7</v>
      </c>
      <c r="BG76" s="32">
        <v>77.599999999999994</v>
      </c>
      <c r="BH76" s="32">
        <v>57</v>
      </c>
      <c r="BI76" s="32">
        <v>99.2</v>
      </c>
      <c r="BJ76" s="32">
        <v>31.8</v>
      </c>
      <c r="BK76" s="32">
        <v>140.6</v>
      </c>
      <c r="BL76" s="32">
        <v>41.1</v>
      </c>
      <c r="BM76" s="32">
        <v>92.8</v>
      </c>
      <c r="BN76" s="32">
        <v>94.7</v>
      </c>
      <c r="BO76" s="32">
        <v>88.9</v>
      </c>
      <c r="BP76" s="32">
        <v>99.5</v>
      </c>
      <c r="BQ76" s="32">
        <v>93</v>
      </c>
      <c r="BR76" s="32">
        <v>67.900000000000006</v>
      </c>
      <c r="BS76" s="32">
        <v>253.2</v>
      </c>
      <c r="BT76" s="32">
        <v>64.400000000000006</v>
      </c>
      <c r="BU76" s="32">
        <v>142</v>
      </c>
      <c r="BV76" s="32">
        <v>142</v>
      </c>
      <c r="BW76" s="32">
        <v>183.1</v>
      </c>
      <c r="BX76" s="32">
        <v>93.8</v>
      </c>
      <c r="BY76" s="32">
        <v>103.9</v>
      </c>
      <c r="BZ76" s="32">
        <v>113.3</v>
      </c>
      <c r="CA76" s="32">
        <v>99.9</v>
      </c>
      <c r="CB76" s="32">
        <v>119</v>
      </c>
      <c r="CC76" s="32">
        <v>89.7</v>
      </c>
      <c r="CD76" s="32">
        <v>35.4</v>
      </c>
      <c r="CE76" s="32">
        <v>97.8</v>
      </c>
      <c r="CF76" s="32">
        <v>68.3</v>
      </c>
      <c r="CG76" s="32">
        <v>87</v>
      </c>
      <c r="CH76" s="32">
        <v>88</v>
      </c>
      <c r="CI76" s="32">
        <v>116.5</v>
      </c>
      <c r="CJ76" s="32">
        <v>68</v>
      </c>
      <c r="CK76" s="32">
        <v>99.3</v>
      </c>
      <c r="CL76" s="32">
        <v>83.5</v>
      </c>
      <c r="CM76" s="32">
        <v>101.1</v>
      </c>
      <c r="CN76" s="32">
        <v>83.5</v>
      </c>
      <c r="CO76" s="32">
        <v>101.3</v>
      </c>
      <c r="CP76" s="32">
        <v>119.5</v>
      </c>
      <c r="CQ76" s="32">
        <v>40.4</v>
      </c>
      <c r="CR76" s="32">
        <v>89.4</v>
      </c>
      <c r="CS76" s="32">
        <v>114.9</v>
      </c>
      <c r="CT76" s="32">
        <v>88.3</v>
      </c>
      <c r="CU76" s="32">
        <v>66</v>
      </c>
      <c r="CV76" s="32">
        <v>98</v>
      </c>
      <c r="CW76" s="32">
        <v>20.8</v>
      </c>
      <c r="CX76" s="32">
        <v>69.900000000000006</v>
      </c>
      <c r="CY76" s="32">
        <v>85.9</v>
      </c>
      <c r="CZ76" s="32">
        <v>61.1</v>
      </c>
      <c r="DA76" s="32">
        <v>43.8</v>
      </c>
      <c r="DB76" s="32">
        <v>103.1</v>
      </c>
      <c r="DC76" s="32">
        <v>2.6</v>
      </c>
      <c r="DD76" s="32">
        <v>2.6</v>
      </c>
      <c r="DE76" s="32">
        <v>46.3</v>
      </c>
      <c r="DF76" s="32">
        <v>42.2</v>
      </c>
      <c r="DG76" s="32">
        <v>71.3</v>
      </c>
      <c r="DH76" s="32">
        <v>77.900000000000006</v>
      </c>
      <c r="DI76" s="32">
        <v>130.5</v>
      </c>
      <c r="DJ76" s="32">
        <v>63.8</v>
      </c>
      <c r="DK76" s="32">
        <v>63.8</v>
      </c>
      <c r="DL76" s="32">
        <v>40.700000000000003</v>
      </c>
      <c r="DM76" s="32">
        <v>67</v>
      </c>
      <c r="DN76" s="32">
        <v>44.9</v>
      </c>
      <c r="DO76" s="32">
        <v>77.3</v>
      </c>
      <c r="DP76" s="32">
        <v>37.6</v>
      </c>
      <c r="DQ76" s="32">
        <v>59.6</v>
      </c>
      <c r="DR76" s="32">
        <v>61.2</v>
      </c>
      <c r="DS76" s="32">
        <v>57.5</v>
      </c>
      <c r="DT76" s="32">
        <v>52.3</v>
      </c>
      <c r="DU76" s="32">
        <v>53.5</v>
      </c>
      <c r="DV76" s="32">
        <v>63.1</v>
      </c>
      <c r="DW76" s="32">
        <v>43.9</v>
      </c>
      <c r="DX76" s="32">
        <v>49.7</v>
      </c>
      <c r="DY76" s="32">
        <v>75.8</v>
      </c>
      <c r="DZ76" s="32">
        <v>99.3</v>
      </c>
      <c r="EA76" s="32">
        <v>99.3</v>
      </c>
      <c r="EB76" s="32">
        <v>60</v>
      </c>
      <c r="EC76" s="32">
        <v>60.7</v>
      </c>
      <c r="ED76" s="32">
        <v>59.3</v>
      </c>
      <c r="EE76" s="32">
        <v>68</v>
      </c>
      <c r="EF76" s="32">
        <v>40.299999999999997</v>
      </c>
      <c r="EG76" s="32">
        <v>56.9</v>
      </c>
      <c r="EH76" s="32">
        <v>83.7</v>
      </c>
      <c r="EI76" s="32">
        <v>51.9</v>
      </c>
      <c r="EJ76" s="32">
        <v>62.9</v>
      </c>
      <c r="EK76" s="32">
        <v>47.9</v>
      </c>
      <c r="EL76" s="32">
        <v>74.7</v>
      </c>
      <c r="EM76" s="32">
        <v>36.200000000000003</v>
      </c>
      <c r="EN76" s="32">
        <v>51.9</v>
      </c>
      <c r="EO76" s="32">
        <v>84.3</v>
      </c>
      <c r="EP76" s="32">
        <v>83.4</v>
      </c>
      <c r="EQ76" s="32">
        <v>83.4</v>
      </c>
      <c r="ER76" s="32">
        <v>87.9</v>
      </c>
      <c r="ES76" s="32">
        <v>87.9</v>
      </c>
      <c r="ET76" s="32">
        <v>84.1</v>
      </c>
      <c r="EU76" s="32">
        <v>91.6</v>
      </c>
      <c r="EV76" s="32">
        <v>91.6</v>
      </c>
      <c r="EW76" s="32">
        <v>78.099999999999994</v>
      </c>
      <c r="EX76" s="32">
        <v>86.6</v>
      </c>
      <c r="EY76" s="32">
        <v>71.5</v>
      </c>
      <c r="EZ76" s="32">
        <v>92.3</v>
      </c>
      <c r="FA76" s="32">
        <v>92.9</v>
      </c>
      <c r="FB76" s="32">
        <v>105.6</v>
      </c>
      <c r="FC76" s="32">
        <v>83.7</v>
      </c>
      <c r="FD76" s="32">
        <v>103.5</v>
      </c>
      <c r="FE76" s="32">
        <v>145.80000000000001</v>
      </c>
      <c r="FF76" s="32">
        <v>78.7</v>
      </c>
      <c r="FG76" s="32">
        <v>89.9</v>
      </c>
      <c r="FH76" s="32">
        <v>87.2</v>
      </c>
      <c r="FI76" s="32">
        <v>92.4</v>
      </c>
      <c r="FJ76" s="32">
        <v>90.7</v>
      </c>
      <c r="FK76" s="32">
        <v>132.30000000000001</v>
      </c>
      <c r="FL76" s="32">
        <v>132.30000000000001</v>
      </c>
    </row>
    <row r="77" spans="1:168" x14ac:dyDescent="0.2">
      <c r="A77" s="34" t="s">
        <v>1057</v>
      </c>
      <c r="B77" s="32">
        <v>74.3</v>
      </c>
      <c r="C77" s="32">
        <v>97.8</v>
      </c>
      <c r="D77" s="32">
        <v>102.5</v>
      </c>
      <c r="E77" s="32">
        <v>105.6</v>
      </c>
      <c r="F77" s="32">
        <v>368.2</v>
      </c>
      <c r="G77" s="32">
        <v>9744.2999999999993</v>
      </c>
      <c r="H77" s="32">
        <v>492.1</v>
      </c>
      <c r="I77" s="32">
        <v>60.8</v>
      </c>
      <c r="J77" s="32">
        <v>86</v>
      </c>
      <c r="K77" s="32">
        <v>95.6</v>
      </c>
      <c r="L77" s="32">
        <v>96.3</v>
      </c>
      <c r="M77" s="32">
        <v>95.6</v>
      </c>
      <c r="N77" s="32">
        <v>71.599999999999994</v>
      </c>
      <c r="O77" s="32">
        <v>336.4</v>
      </c>
      <c r="P77" s="32">
        <v>412.8</v>
      </c>
      <c r="Q77" s="32">
        <v>124.7</v>
      </c>
      <c r="R77" s="32">
        <v>84</v>
      </c>
      <c r="S77" s="32">
        <v>117.9</v>
      </c>
      <c r="T77" s="32">
        <v>91.7</v>
      </c>
      <c r="U77" s="32">
        <v>54.1</v>
      </c>
      <c r="V77" s="32">
        <v>112.3</v>
      </c>
      <c r="W77" s="32">
        <v>54</v>
      </c>
      <c r="X77" s="32">
        <v>42.1</v>
      </c>
      <c r="Y77" s="32">
        <v>65.900000000000006</v>
      </c>
      <c r="Z77" s="32">
        <v>115</v>
      </c>
      <c r="AA77" s="32">
        <v>88.6</v>
      </c>
      <c r="AB77" s="32">
        <v>88.1</v>
      </c>
      <c r="AC77" s="32">
        <v>85.5</v>
      </c>
      <c r="AD77" s="32">
        <v>98.3</v>
      </c>
      <c r="AE77" s="32">
        <v>126</v>
      </c>
      <c r="AF77" s="32">
        <v>126</v>
      </c>
      <c r="AG77" s="32">
        <v>79.7</v>
      </c>
      <c r="AH77" s="32">
        <v>79.7</v>
      </c>
      <c r="AI77" s="32">
        <v>201.1</v>
      </c>
      <c r="AJ77" s="32">
        <v>92.5</v>
      </c>
      <c r="AK77" s="32">
        <v>1162.8</v>
      </c>
      <c r="AL77" s="32">
        <v>102</v>
      </c>
      <c r="AM77" s="32">
        <v>40.299999999999997</v>
      </c>
      <c r="AN77" s="32">
        <v>112.6</v>
      </c>
      <c r="AO77" s="32">
        <v>87</v>
      </c>
      <c r="AP77" s="32">
        <v>87</v>
      </c>
      <c r="AQ77" s="32">
        <v>110.4</v>
      </c>
      <c r="AR77" s="32">
        <v>103.4</v>
      </c>
      <c r="AS77" s="32">
        <v>123.8</v>
      </c>
      <c r="AT77" s="32">
        <v>125.3</v>
      </c>
      <c r="AU77" s="32">
        <v>117.9</v>
      </c>
      <c r="AV77" s="32">
        <v>113</v>
      </c>
      <c r="AW77" s="32">
        <v>192.1</v>
      </c>
      <c r="AX77" s="32">
        <v>302.2</v>
      </c>
      <c r="AY77" s="32">
        <v>246.3</v>
      </c>
      <c r="AZ77" s="32">
        <v>100.5</v>
      </c>
      <c r="BA77" s="32">
        <v>47.7</v>
      </c>
      <c r="BB77" s="32">
        <v>47.7</v>
      </c>
      <c r="BC77" s="32">
        <v>141.6</v>
      </c>
      <c r="BD77" s="32">
        <v>141.6</v>
      </c>
      <c r="BE77" s="32">
        <v>95.8</v>
      </c>
      <c r="BF77" s="32">
        <v>95.8</v>
      </c>
      <c r="BG77" s="32">
        <v>76.099999999999994</v>
      </c>
      <c r="BH77" s="32">
        <v>55</v>
      </c>
      <c r="BI77" s="32">
        <v>98.6</v>
      </c>
      <c r="BJ77" s="32">
        <v>32.200000000000003</v>
      </c>
      <c r="BK77" s="32">
        <v>139.6</v>
      </c>
      <c r="BL77" s="32">
        <v>40.1</v>
      </c>
      <c r="BM77" s="32">
        <v>90.4</v>
      </c>
      <c r="BN77" s="32">
        <v>94.3</v>
      </c>
      <c r="BO77" s="32">
        <v>88.8</v>
      </c>
      <c r="BP77" s="32">
        <v>98.9</v>
      </c>
      <c r="BQ77" s="32">
        <v>87.9</v>
      </c>
      <c r="BR77" s="32">
        <v>74</v>
      </c>
      <c r="BS77" s="32">
        <v>223.3</v>
      </c>
      <c r="BT77" s="32">
        <v>62.3</v>
      </c>
      <c r="BU77" s="32">
        <v>155.80000000000001</v>
      </c>
      <c r="BV77" s="32">
        <v>155.80000000000001</v>
      </c>
      <c r="BW77" s="32">
        <v>203.6</v>
      </c>
      <c r="BX77" s="32">
        <v>99.3</v>
      </c>
      <c r="BY77" s="32">
        <v>108.2</v>
      </c>
      <c r="BZ77" s="32">
        <v>113.5</v>
      </c>
      <c r="CA77" s="32">
        <v>106.1</v>
      </c>
      <c r="CB77" s="32">
        <v>124.9</v>
      </c>
      <c r="CC77" s="32">
        <v>96.5</v>
      </c>
      <c r="CD77" s="32">
        <v>36</v>
      </c>
      <c r="CE77" s="32">
        <v>96.4</v>
      </c>
      <c r="CF77" s="32">
        <v>68.2</v>
      </c>
      <c r="CG77" s="32">
        <v>86.5</v>
      </c>
      <c r="CH77" s="32">
        <v>87.1</v>
      </c>
      <c r="CI77" s="32">
        <v>117.9</v>
      </c>
      <c r="CJ77" s="32">
        <v>66.3</v>
      </c>
      <c r="CK77" s="32">
        <v>98.6</v>
      </c>
      <c r="CL77" s="32">
        <v>83</v>
      </c>
      <c r="CM77" s="32">
        <v>102.3</v>
      </c>
      <c r="CN77" s="32">
        <v>83.8</v>
      </c>
      <c r="CO77" s="32">
        <v>102.6</v>
      </c>
      <c r="CP77" s="32">
        <v>120.6</v>
      </c>
      <c r="CQ77" s="32">
        <v>40.6</v>
      </c>
      <c r="CR77" s="32">
        <v>90</v>
      </c>
      <c r="CS77" s="32">
        <v>105.7</v>
      </c>
      <c r="CT77" s="32">
        <v>89.3</v>
      </c>
      <c r="CU77" s="32">
        <v>67.8</v>
      </c>
      <c r="CV77" s="32">
        <v>98.7</v>
      </c>
      <c r="CW77" s="32">
        <v>21.1</v>
      </c>
      <c r="CX77" s="32">
        <v>71.599999999999994</v>
      </c>
      <c r="CY77" s="32">
        <v>87.7</v>
      </c>
      <c r="CZ77" s="32">
        <v>63</v>
      </c>
      <c r="DA77" s="32">
        <v>45.9</v>
      </c>
      <c r="DB77" s="32">
        <v>103.6</v>
      </c>
      <c r="DC77" s="32">
        <v>2.7</v>
      </c>
      <c r="DD77" s="32">
        <v>2.7</v>
      </c>
      <c r="DE77" s="32">
        <v>46.7</v>
      </c>
      <c r="DF77" s="32">
        <v>42.7</v>
      </c>
      <c r="DG77" s="32">
        <v>71.3</v>
      </c>
      <c r="DH77" s="32">
        <v>77.599999999999994</v>
      </c>
      <c r="DI77" s="32">
        <v>129.1</v>
      </c>
      <c r="DJ77" s="32">
        <v>64</v>
      </c>
      <c r="DK77" s="32">
        <v>64</v>
      </c>
      <c r="DL77" s="32">
        <v>40.9</v>
      </c>
      <c r="DM77" s="32">
        <v>67.099999999999994</v>
      </c>
      <c r="DN77" s="32">
        <v>45</v>
      </c>
      <c r="DO77" s="32">
        <v>77.400000000000006</v>
      </c>
      <c r="DP77" s="32">
        <v>37.200000000000003</v>
      </c>
      <c r="DQ77" s="32">
        <v>58.5</v>
      </c>
      <c r="DR77" s="32">
        <v>59.7</v>
      </c>
      <c r="DS77" s="32">
        <v>57.4</v>
      </c>
      <c r="DT77" s="32">
        <v>52.9</v>
      </c>
      <c r="DU77" s="32">
        <v>53.7</v>
      </c>
      <c r="DV77" s="32">
        <v>61.6</v>
      </c>
      <c r="DW77" s="32">
        <v>45.7</v>
      </c>
      <c r="DX77" s="32">
        <v>51</v>
      </c>
      <c r="DY77" s="32">
        <v>73.3</v>
      </c>
      <c r="DZ77" s="32">
        <v>84.8</v>
      </c>
      <c r="EA77" s="32">
        <v>84.8</v>
      </c>
      <c r="EB77" s="32">
        <v>58.8</v>
      </c>
      <c r="EC77" s="32">
        <v>59.1</v>
      </c>
      <c r="ED77" s="32">
        <v>58.8</v>
      </c>
      <c r="EE77" s="32">
        <v>67.3</v>
      </c>
      <c r="EF77" s="32">
        <v>40.200000000000003</v>
      </c>
      <c r="EG77" s="32">
        <v>56.4</v>
      </c>
      <c r="EH77" s="32">
        <v>82.1</v>
      </c>
      <c r="EI77" s="32">
        <v>52.5</v>
      </c>
      <c r="EJ77" s="32">
        <v>61.6</v>
      </c>
      <c r="EK77" s="32">
        <v>47.2</v>
      </c>
      <c r="EL77" s="32">
        <v>75.2</v>
      </c>
      <c r="EM77" s="32">
        <v>35.4</v>
      </c>
      <c r="EN77" s="32">
        <v>51</v>
      </c>
      <c r="EO77" s="32">
        <v>85.1</v>
      </c>
      <c r="EP77" s="32">
        <v>85.8</v>
      </c>
      <c r="EQ77" s="32">
        <v>85.8</v>
      </c>
      <c r="ER77" s="32">
        <v>87.5</v>
      </c>
      <c r="ES77" s="32">
        <v>87.5</v>
      </c>
      <c r="ET77" s="32">
        <v>84.6</v>
      </c>
      <c r="EU77" s="32">
        <v>92.2</v>
      </c>
      <c r="EV77" s="32">
        <v>92.2</v>
      </c>
      <c r="EW77" s="32">
        <v>78.7</v>
      </c>
      <c r="EX77" s="32">
        <v>86.8</v>
      </c>
      <c r="EY77" s="32">
        <v>72.3</v>
      </c>
      <c r="EZ77" s="32">
        <v>91.9</v>
      </c>
      <c r="FA77" s="32">
        <v>96.6</v>
      </c>
      <c r="FB77" s="32">
        <v>111.9</v>
      </c>
      <c r="FC77" s="32">
        <v>92.9</v>
      </c>
      <c r="FD77" s="32">
        <v>106.6</v>
      </c>
      <c r="FE77" s="32">
        <v>147.19999999999999</v>
      </c>
      <c r="FF77" s="32">
        <v>79.400000000000006</v>
      </c>
      <c r="FG77" s="32">
        <v>86.2</v>
      </c>
      <c r="FH77" s="32">
        <v>87.4</v>
      </c>
      <c r="FI77" s="32">
        <v>88.5</v>
      </c>
      <c r="FJ77" s="32">
        <v>85.2</v>
      </c>
      <c r="FK77" s="32">
        <v>132.80000000000001</v>
      </c>
      <c r="FL77" s="32">
        <v>132.80000000000001</v>
      </c>
    </row>
    <row r="78" spans="1:168" x14ac:dyDescent="0.2">
      <c r="A78" s="34" t="s">
        <v>1058</v>
      </c>
      <c r="B78" s="32">
        <v>74.599999999999994</v>
      </c>
      <c r="C78" s="32">
        <v>97.2</v>
      </c>
      <c r="D78" s="32">
        <v>101.7</v>
      </c>
      <c r="E78" s="32">
        <v>105.1</v>
      </c>
      <c r="F78" s="32">
        <v>369.4</v>
      </c>
      <c r="G78" s="32">
        <v>10959.1</v>
      </c>
      <c r="H78" s="32">
        <v>492.6</v>
      </c>
      <c r="I78" s="32">
        <v>60.5</v>
      </c>
      <c r="J78" s="32">
        <v>85.5</v>
      </c>
      <c r="K78" s="32">
        <v>96.1</v>
      </c>
      <c r="L78" s="32">
        <v>97.3</v>
      </c>
      <c r="M78" s="32">
        <v>93</v>
      </c>
      <c r="N78" s="32">
        <v>78.3</v>
      </c>
      <c r="O78" s="32">
        <v>311.39999999999998</v>
      </c>
      <c r="P78" s="32">
        <v>408.4</v>
      </c>
      <c r="Q78" s="32">
        <v>124</v>
      </c>
      <c r="R78" s="32">
        <v>84.6</v>
      </c>
      <c r="S78" s="32">
        <v>118.9</v>
      </c>
      <c r="T78" s="32">
        <v>96.7</v>
      </c>
      <c r="U78" s="32">
        <v>55.1</v>
      </c>
      <c r="V78" s="32">
        <v>109.5</v>
      </c>
      <c r="W78" s="32">
        <v>53.2</v>
      </c>
      <c r="X78" s="32">
        <v>42.1</v>
      </c>
      <c r="Y78" s="32">
        <v>63.9</v>
      </c>
      <c r="Z78" s="32">
        <v>108.4</v>
      </c>
      <c r="AA78" s="32">
        <v>85.9</v>
      </c>
      <c r="AB78" s="32">
        <v>86</v>
      </c>
      <c r="AC78" s="32">
        <v>83.2</v>
      </c>
      <c r="AD78" s="32">
        <v>94.6</v>
      </c>
      <c r="AE78" s="32">
        <v>116.1</v>
      </c>
      <c r="AF78" s="32">
        <v>116.1</v>
      </c>
      <c r="AG78" s="32">
        <v>82</v>
      </c>
      <c r="AH78" s="32">
        <v>82</v>
      </c>
      <c r="AI78" s="32">
        <v>215.3</v>
      </c>
      <c r="AJ78" s="32">
        <v>95.1</v>
      </c>
      <c r="AK78" s="32">
        <v>1147.9000000000001</v>
      </c>
      <c r="AL78" s="32">
        <v>108.1</v>
      </c>
      <c r="AM78" s="32">
        <v>40.4</v>
      </c>
      <c r="AN78" s="32">
        <v>121.5</v>
      </c>
      <c r="AO78" s="32">
        <v>85.5</v>
      </c>
      <c r="AP78" s="32">
        <v>85.5</v>
      </c>
      <c r="AQ78" s="32">
        <v>109.8</v>
      </c>
      <c r="AR78" s="32">
        <v>104.3</v>
      </c>
      <c r="AS78" s="32">
        <v>120.9</v>
      </c>
      <c r="AT78" s="32">
        <v>124</v>
      </c>
      <c r="AU78" s="32">
        <v>113</v>
      </c>
      <c r="AV78" s="32">
        <v>110.3</v>
      </c>
      <c r="AW78" s="32">
        <v>196.2</v>
      </c>
      <c r="AX78" s="32">
        <v>319.7</v>
      </c>
      <c r="AY78" s="32">
        <v>246</v>
      </c>
      <c r="AZ78" s="32">
        <v>96.3</v>
      </c>
      <c r="BA78" s="32">
        <v>46</v>
      </c>
      <c r="BB78" s="32">
        <v>46</v>
      </c>
      <c r="BC78" s="32">
        <v>150.69999999999999</v>
      </c>
      <c r="BD78" s="32">
        <v>150.69999999999999</v>
      </c>
      <c r="BE78" s="32">
        <v>94.1</v>
      </c>
      <c r="BF78" s="32">
        <v>94.1</v>
      </c>
      <c r="BG78" s="32">
        <v>77</v>
      </c>
      <c r="BH78" s="32">
        <v>55.8</v>
      </c>
      <c r="BI78" s="32">
        <v>99.6</v>
      </c>
      <c r="BJ78" s="32">
        <v>32.700000000000003</v>
      </c>
      <c r="BK78" s="32">
        <v>140.9</v>
      </c>
      <c r="BL78" s="32">
        <v>40.6</v>
      </c>
      <c r="BM78" s="32">
        <v>89.6</v>
      </c>
      <c r="BN78" s="32">
        <v>98.5</v>
      </c>
      <c r="BO78" s="32">
        <v>92</v>
      </c>
      <c r="BP78" s="32">
        <v>103.9</v>
      </c>
      <c r="BQ78" s="32">
        <v>80.900000000000006</v>
      </c>
      <c r="BR78" s="32">
        <v>76.900000000000006</v>
      </c>
      <c r="BS78" s="32">
        <v>202.2</v>
      </c>
      <c r="BT78" s="32">
        <v>56.8</v>
      </c>
      <c r="BU78" s="32">
        <v>158.6</v>
      </c>
      <c r="BV78" s="32">
        <v>158.6</v>
      </c>
      <c r="BW78" s="32">
        <v>202.1</v>
      </c>
      <c r="BX78" s="32">
        <v>109</v>
      </c>
      <c r="BY78" s="32">
        <v>106.7</v>
      </c>
      <c r="BZ78" s="32">
        <v>113.7</v>
      </c>
      <c r="CA78" s="32">
        <v>103.8</v>
      </c>
      <c r="CB78" s="32">
        <v>121.2</v>
      </c>
      <c r="CC78" s="32">
        <v>95.5</v>
      </c>
      <c r="CD78" s="32">
        <v>34.6</v>
      </c>
      <c r="CE78" s="32">
        <v>94.7</v>
      </c>
      <c r="CF78" s="32">
        <v>68.7</v>
      </c>
      <c r="CG78" s="32">
        <v>86.7</v>
      </c>
      <c r="CH78" s="32">
        <v>86.6</v>
      </c>
      <c r="CI78" s="32">
        <v>117.6</v>
      </c>
      <c r="CJ78" s="32">
        <v>66.400000000000006</v>
      </c>
      <c r="CK78" s="32">
        <v>97.5</v>
      </c>
      <c r="CL78" s="32">
        <v>85.5</v>
      </c>
      <c r="CM78" s="32">
        <v>100.4</v>
      </c>
      <c r="CN78" s="32">
        <v>82.5</v>
      </c>
      <c r="CO78" s="32">
        <v>100.7</v>
      </c>
      <c r="CP78" s="32">
        <v>120.9</v>
      </c>
      <c r="CQ78" s="32">
        <v>43.3</v>
      </c>
      <c r="CR78" s="32">
        <v>91.3</v>
      </c>
      <c r="CS78" s="32">
        <v>124.4</v>
      </c>
      <c r="CT78" s="32">
        <v>89.2</v>
      </c>
      <c r="CU78" s="32">
        <v>68.5</v>
      </c>
      <c r="CV78" s="32">
        <v>98.2</v>
      </c>
      <c r="CW78" s="32">
        <v>22.1</v>
      </c>
      <c r="CX78" s="32">
        <v>70.7</v>
      </c>
      <c r="CY78" s="32">
        <v>86.8</v>
      </c>
      <c r="CZ78" s="32">
        <v>62</v>
      </c>
      <c r="DA78" s="32">
        <v>44.9</v>
      </c>
      <c r="DB78" s="32">
        <v>103.1</v>
      </c>
      <c r="DC78" s="32">
        <v>2.8</v>
      </c>
      <c r="DD78" s="32">
        <v>2.8</v>
      </c>
      <c r="DE78" s="32">
        <v>51.7</v>
      </c>
      <c r="DF78" s="32">
        <v>46.8</v>
      </c>
      <c r="DG78" s="32">
        <v>81.8</v>
      </c>
      <c r="DH78" s="32">
        <v>77.7</v>
      </c>
      <c r="DI78" s="32">
        <v>129.4</v>
      </c>
      <c r="DJ78" s="32">
        <v>65.2</v>
      </c>
      <c r="DK78" s="32">
        <v>65.2</v>
      </c>
      <c r="DL78" s="32">
        <v>39.799999999999997</v>
      </c>
      <c r="DM78" s="32">
        <v>67.5</v>
      </c>
      <c r="DN78" s="32">
        <v>46.6</v>
      </c>
      <c r="DO78" s="32">
        <v>77.400000000000006</v>
      </c>
      <c r="DP78" s="32">
        <v>37.200000000000003</v>
      </c>
      <c r="DQ78" s="32">
        <v>60</v>
      </c>
      <c r="DR78" s="32">
        <v>61.9</v>
      </c>
      <c r="DS78" s="32">
        <v>59</v>
      </c>
      <c r="DT78" s="32">
        <v>55.3</v>
      </c>
      <c r="DU78" s="32">
        <v>56.5</v>
      </c>
      <c r="DV78" s="32">
        <v>65.400000000000006</v>
      </c>
      <c r="DW78" s="32">
        <v>47.4</v>
      </c>
      <c r="DX78" s="32">
        <v>52.7</v>
      </c>
      <c r="DY78" s="32">
        <v>72.5</v>
      </c>
      <c r="DZ78" s="32">
        <v>88.7</v>
      </c>
      <c r="EA78" s="32">
        <v>88.7</v>
      </c>
      <c r="EB78" s="32">
        <v>61.7</v>
      </c>
      <c r="EC78" s="32">
        <v>62.9</v>
      </c>
      <c r="ED78" s="32">
        <v>60.4</v>
      </c>
      <c r="EE78" s="32">
        <v>69.7</v>
      </c>
      <c r="EF78" s="32">
        <v>39.799999999999997</v>
      </c>
      <c r="EG78" s="32">
        <v>57</v>
      </c>
      <c r="EH78" s="32">
        <v>81.8</v>
      </c>
      <c r="EI78" s="32">
        <v>52.9</v>
      </c>
      <c r="EJ78" s="32">
        <v>55.3</v>
      </c>
      <c r="EK78" s="32">
        <v>49.4</v>
      </c>
      <c r="EL78" s="32">
        <v>76.3</v>
      </c>
      <c r="EM78" s="32">
        <v>36.1</v>
      </c>
      <c r="EN78" s="32">
        <v>54.4</v>
      </c>
      <c r="EO78" s="32">
        <v>84.2</v>
      </c>
      <c r="EP78" s="32">
        <v>82.3</v>
      </c>
      <c r="EQ78" s="32">
        <v>82.3</v>
      </c>
      <c r="ER78" s="32">
        <v>87.1</v>
      </c>
      <c r="ES78" s="32">
        <v>87.1</v>
      </c>
      <c r="ET78" s="32">
        <v>85.2</v>
      </c>
      <c r="EU78" s="32">
        <v>92.8</v>
      </c>
      <c r="EV78" s="32">
        <v>92.8</v>
      </c>
      <c r="EW78" s="32">
        <v>79.400000000000006</v>
      </c>
      <c r="EX78" s="32">
        <v>87.1</v>
      </c>
      <c r="EY78" s="32">
        <v>73.3</v>
      </c>
      <c r="EZ78" s="32">
        <v>92.6</v>
      </c>
      <c r="FA78" s="32">
        <v>99.5</v>
      </c>
      <c r="FB78" s="32">
        <v>110.9</v>
      </c>
      <c r="FC78" s="32">
        <v>89.2</v>
      </c>
      <c r="FD78" s="32">
        <v>110.1</v>
      </c>
      <c r="FE78" s="32">
        <v>148.9</v>
      </c>
      <c r="FF78" s="32">
        <v>86.9</v>
      </c>
      <c r="FG78" s="32">
        <v>85.1</v>
      </c>
      <c r="FH78" s="32">
        <v>86.3</v>
      </c>
      <c r="FI78" s="32">
        <v>73.900000000000006</v>
      </c>
      <c r="FJ78" s="32">
        <v>86</v>
      </c>
      <c r="FK78" s="32">
        <v>134.4</v>
      </c>
      <c r="FL78" s="32">
        <v>134.4</v>
      </c>
    </row>
    <row r="79" spans="1:168" x14ac:dyDescent="0.2">
      <c r="A79" s="34" t="s">
        <v>1059</v>
      </c>
      <c r="B79" s="32">
        <v>74.900000000000006</v>
      </c>
      <c r="C79" s="32">
        <v>96.8</v>
      </c>
      <c r="D79" s="32">
        <v>102.2</v>
      </c>
      <c r="E79" s="32">
        <v>106.3</v>
      </c>
      <c r="F79" s="32">
        <v>376.9</v>
      </c>
      <c r="G79" s="32">
        <v>11786.3</v>
      </c>
      <c r="H79" s="32">
        <v>501.8</v>
      </c>
      <c r="I79" s="32">
        <v>61.8</v>
      </c>
      <c r="J79" s="32">
        <v>86.1</v>
      </c>
      <c r="K79" s="32">
        <v>96.3</v>
      </c>
      <c r="L79" s="32">
        <v>97.3</v>
      </c>
      <c r="M79" s="32">
        <v>95.7</v>
      </c>
      <c r="N79" s="32">
        <v>75.5</v>
      </c>
      <c r="O79" s="32">
        <v>309.7</v>
      </c>
      <c r="P79" s="32">
        <v>402.3</v>
      </c>
      <c r="Q79" s="32">
        <v>129.19999999999999</v>
      </c>
      <c r="R79" s="32">
        <v>84.9</v>
      </c>
      <c r="S79" s="32">
        <v>118.4</v>
      </c>
      <c r="T79" s="32">
        <v>98.5</v>
      </c>
      <c r="U79" s="32">
        <v>55.4</v>
      </c>
      <c r="V79" s="32">
        <v>110.5</v>
      </c>
      <c r="W79" s="32">
        <v>52.4</v>
      </c>
      <c r="X79" s="32">
        <v>42.5</v>
      </c>
      <c r="Y79" s="32">
        <v>61.8</v>
      </c>
      <c r="Z79" s="32">
        <v>100.4</v>
      </c>
      <c r="AA79" s="32">
        <v>88.1</v>
      </c>
      <c r="AB79" s="32">
        <v>88.1</v>
      </c>
      <c r="AC79" s="32">
        <v>83.1</v>
      </c>
      <c r="AD79" s="32">
        <v>99</v>
      </c>
      <c r="AE79" s="32">
        <v>112.8</v>
      </c>
      <c r="AF79" s="32">
        <v>112.8</v>
      </c>
      <c r="AG79" s="32">
        <v>82.4</v>
      </c>
      <c r="AH79" s="32">
        <v>82.4</v>
      </c>
      <c r="AI79" s="32">
        <v>213.7</v>
      </c>
      <c r="AJ79" s="32">
        <v>95</v>
      </c>
      <c r="AK79" s="32">
        <v>1177.5999999999999</v>
      </c>
      <c r="AL79" s="32">
        <v>112.9</v>
      </c>
      <c r="AM79" s="32">
        <v>40.6</v>
      </c>
      <c r="AN79" s="32">
        <v>124.1</v>
      </c>
      <c r="AO79" s="32">
        <v>86</v>
      </c>
      <c r="AP79" s="32">
        <v>86</v>
      </c>
      <c r="AQ79" s="32">
        <v>112</v>
      </c>
      <c r="AR79" s="32">
        <v>108</v>
      </c>
      <c r="AS79" s="32">
        <v>120.5</v>
      </c>
      <c r="AT79" s="32">
        <v>121.1</v>
      </c>
      <c r="AU79" s="32">
        <v>115.8</v>
      </c>
      <c r="AV79" s="32">
        <v>113.8</v>
      </c>
      <c r="AW79" s="32">
        <v>199.5</v>
      </c>
      <c r="AX79" s="32">
        <v>324.89999999999998</v>
      </c>
      <c r="AY79" s="32">
        <v>250.2</v>
      </c>
      <c r="AZ79" s="32">
        <v>100</v>
      </c>
      <c r="BA79" s="32">
        <v>44.3</v>
      </c>
      <c r="BB79" s="32">
        <v>44.3</v>
      </c>
      <c r="BC79" s="32">
        <v>149.19999999999999</v>
      </c>
      <c r="BD79" s="32">
        <v>149.19999999999999</v>
      </c>
      <c r="BE79" s="32">
        <v>95.8</v>
      </c>
      <c r="BF79" s="32">
        <v>95.8</v>
      </c>
      <c r="BG79" s="32">
        <v>78.2</v>
      </c>
      <c r="BH79" s="32">
        <v>57.7</v>
      </c>
      <c r="BI79" s="32">
        <v>99.8</v>
      </c>
      <c r="BJ79" s="32">
        <v>32.5</v>
      </c>
      <c r="BK79" s="32">
        <v>141.69999999999999</v>
      </c>
      <c r="BL79" s="32">
        <v>39.6</v>
      </c>
      <c r="BM79" s="32">
        <v>89.1</v>
      </c>
      <c r="BN79" s="32">
        <v>98.2</v>
      </c>
      <c r="BO79" s="32">
        <v>88.6</v>
      </c>
      <c r="BP79" s="32">
        <v>106.7</v>
      </c>
      <c r="BQ79" s="32">
        <v>80.099999999999994</v>
      </c>
      <c r="BR79" s="32">
        <v>82.8</v>
      </c>
      <c r="BS79" s="32">
        <v>195.9</v>
      </c>
      <c r="BT79" s="32">
        <v>56.2</v>
      </c>
      <c r="BU79" s="32">
        <v>162.69999999999999</v>
      </c>
      <c r="BV79" s="32">
        <v>162.69999999999999</v>
      </c>
      <c r="BW79" s="32">
        <v>204.5</v>
      </c>
      <c r="BX79" s="32">
        <v>116.4</v>
      </c>
      <c r="BY79" s="32">
        <v>109.3</v>
      </c>
      <c r="BZ79" s="32">
        <v>115.2</v>
      </c>
      <c r="CA79" s="32">
        <v>106.8</v>
      </c>
      <c r="CB79" s="32">
        <v>122.6</v>
      </c>
      <c r="CC79" s="32">
        <v>100.4</v>
      </c>
      <c r="CD79" s="32">
        <v>34</v>
      </c>
      <c r="CE79" s="32">
        <v>93.6</v>
      </c>
      <c r="CF79" s="32">
        <v>68.900000000000006</v>
      </c>
      <c r="CG79" s="32">
        <v>86.4</v>
      </c>
      <c r="CH79" s="32">
        <v>86.1</v>
      </c>
      <c r="CI79" s="32">
        <v>119.3</v>
      </c>
      <c r="CJ79" s="32">
        <v>65.5</v>
      </c>
      <c r="CK79" s="32">
        <v>96.8</v>
      </c>
      <c r="CL79" s="32">
        <v>85.8</v>
      </c>
      <c r="CM79" s="32">
        <v>102.7</v>
      </c>
      <c r="CN79" s="32">
        <v>82.5</v>
      </c>
      <c r="CO79" s="32">
        <v>103.3</v>
      </c>
      <c r="CP79" s="32">
        <v>121.1</v>
      </c>
      <c r="CQ79" s="32">
        <v>39.200000000000003</v>
      </c>
      <c r="CR79" s="32">
        <v>91.8</v>
      </c>
      <c r="CS79" s="32">
        <v>126.8</v>
      </c>
      <c r="CT79" s="32">
        <v>88.7</v>
      </c>
      <c r="CU79" s="32">
        <v>68.099999999999994</v>
      </c>
      <c r="CV79" s="32">
        <v>97.7</v>
      </c>
      <c r="CW79" s="32">
        <v>22.3</v>
      </c>
      <c r="CX79" s="32">
        <v>71</v>
      </c>
      <c r="CY79" s="32">
        <v>87.4</v>
      </c>
      <c r="CZ79" s="32">
        <v>62.2</v>
      </c>
      <c r="DA79" s="32">
        <v>44.9</v>
      </c>
      <c r="DB79" s="32">
        <v>103.9</v>
      </c>
      <c r="DC79" s="32">
        <v>2.8</v>
      </c>
      <c r="DD79" s="32">
        <v>2.8</v>
      </c>
      <c r="DE79" s="32">
        <v>52.2</v>
      </c>
      <c r="DF79" s="32">
        <v>47.7</v>
      </c>
      <c r="DG79" s="32">
        <v>79.5</v>
      </c>
      <c r="DH79" s="32">
        <v>77.7</v>
      </c>
      <c r="DI79" s="32">
        <v>130</v>
      </c>
      <c r="DJ79" s="32">
        <v>64.599999999999994</v>
      </c>
      <c r="DK79" s="32">
        <v>64.599999999999994</v>
      </c>
      <c r="DL79" s="32">
        <v>39.700000000000003</v>
      </c>
      <c r="DM79" s="32">
        <v>67.7</v>
      </c>
      <c r="DN79" s="32">
        <v>47.1</v>
      </c>
      <c r="DO79" s="32">
        <v>77.5</v>
      </c>
      <c r="DP79" s="32">
        <v>36.799999999999997</v>
      </c>
      <c r="DQ79" s="32">
        <v>60.6</v>
      </c>
      <c r="DR79" s="32">
        <v>62.8</v>
      </c>
      <c r="DS79" s="32">
        <v>59.8</v>
      </c>
      <c r="DT79" s="32">
        <v>56.3</v>
      </c>
      <c r="DU79" s="32">
        <v>57.6</v>
      </c>
      <c r="DV79" s="32">
        <v>68.8</v>
      </c>
      <c r="DW79" s="32">
        <v>46.4</v>
      </c>
      <c r="DX79" s="32">
        <v>53.7</v>
      </c>
      <c r="DY79" s="32">
        <v>72.599999999999994</v>
      </c>
      <c r="DZ79" s="32">
        <v>89.4</v>
      </c>
      <c r="EA79" s="32">
        <v>89.4</v>
      </c>
      <c r="EB79" s="32">
        <v>63.1</v>
      </c>
      <c r="EC79" s="32">
        <v>65</v>
      </c>
      <c r="ED79" s="32">
        <v>60.7</v>
      </c>
      <c r="EE79" s="32">
        <v>70.3</v>
      </c>
      <c r="EF79" s="32">
        <v>39.6</v>
      </c>
      <c r="EG79" s="32">
        <v>57.2</v>
      </c>
      <c r="EH79" s="32">
        <v>84.2</v>
      </c>
      <c r="EI79" s="32">
        <v>52.2</v>
      </c>
      <c r="EJ79" s="32">
        <v>58.9</v>
      </c>
      <c r="EK79" s="32">
        <v>48.8</v>
      </c>
      <c r="EL79" s="32">
        <v>80.2</v>
      </c>
      <c r="EM79" s="32">
        <v>35.6</v>
      </c>
      <c r="EN79" s="32">
        <v>53.2</v>
      </c>
      <c r="EO79" s="32">
        <v>84.9</v>
      </c>
      <c r="EP79" s="32">
        <v>84.5</v>
      </c>
      <c r="EQ79" s="32">
        <v>84.5</v>
      </c>
      <c r="ER79" s="32">
        <v>86.6</v>
      </c>
      <c r="ES79" s="32">
        <v>86.6</v>
      </c>
      <c r="ET79" s="32">
        <v>85.6</v>
      </c>
      <c r="EU79" s="32">
        <v>93.2</v>
      </c>
      <c r="EV79" s="32">
        <v>93.2</v>
      </c>
      <c r="EW79" s="32">
        <v>79.900000000000006</v>
      </c>
      <c r="EX79" s="32">
        <v>87.2</v>
      </c>
      <c r="EY79" s="32">
        <v>74.099999999999994</v>
      </c>
      <c r="EZ79" s="32">
        <v>93.2</v>
      </c>
      <c r="FA79" s="32">
        <v>101.3</v>
      </c>
      <c r="FB79" s="32">
        <v>113.1</v>
      </c>
      <c r="FC79" s="32">
        <v>91.1</v>
      </c>
      <c r="FD79" s="32">
        <v>113.1</v>
      </c>
      <c r="FE79" s="32">
        <v>151.1</v>
      </c>
      <c r="FF79" s="32">
        <v>88.2</v>
      </c>
      <c r="FG79" s="32">
        <v>85.2</v>
      </c>
      <c r="FH79" s="32">
        <v>85.5</v>
      </c>
      <c r="FI79" s="32">
        <v>76.099999999999994</v>
      </c>
      <c r="FJ79" s="32">
        <v>86.2</v>
      </c>
      <c r="FK79" s="32">
        <v>129.6</v>
      </c>
      <c r="FL79" s="32">
        <v>129.6</v>
      </c>
    </row>
    <row r="80" spans="1:168" x14ac:dyDescent="0.2">
      <c r="A80" s="34" t="s">
        <v>1060</v>
      </c>
      <c r="B80" s="32">
        <v>74.7</v>
      </c>
      <c r="C80" s="32">
        <v>96.6</v>
      </c>
      <c r="D80" s="32">
        <v>102.2</v>
      </c>
      <c r="E80" s="32">
        <v>106.2</v>
      </c>
      <c r="F80" s="32">
        <v>366.4</v>
      </c>
      <c r="G80" s="32">
        <v>11919</v>
      </c>
      <c r="H80" s="32">
        <v>487.8</v>
      </c>
      <c r="I80" s="32">
        <v>59.7</v>
      </c>
      <c r="J80" s="32">
        <v>86.4</v>
      </c>
      <c r="K80" s="32">
        <v>97</v>
      </c>
      <c r="L80" s="32">
        <v>98.1</v>
      </c>
      <c r="M80" s="32">
        <v>100.3</v>
      </c>
      <c r="N80" s="32">
        <v>76.8</v>
      </c>
      <c r="O80" s="32">
        <v>307.5</v>
      </c>
      <c r="P80" s="32">
        <v>404.6</v>
      </c>
      <c r="Q80" s="32">
        <v>131.1</v>
      </c>
      <c r="R80" s="32">
        <v>85.3</v>
      </c>
      <c r="S80" s="32">
        <v>117.4</v>
      </c>
      <c r="T80" s="32">
        <v>99.9</v>
      </c>
      <c r="U80" s="32">
        <v>56.7</v>
      </c>
      <c r="V80" s="32">
        <v>110.3</v>
      </c>
      <c r="W80" s="32">
        <v>51.6</v>
      </c>
      <c r="X80" s="32">
        <v>41</v>
      </c>
      <c r="Y80" s="32">
        <v>63.5</v>
      </c>
      <c r="Z80" s="32">
        <v>90.4</v>
      </c>
      <c r="AA80" s="32">
        <v>89.4</v>
      </c>
      <c r="AB80" s="32">
        <v>90.8</v>
      </c>
      <c r="AC80" s="32">
        <v>83</v>
      </c>
      <c r="AD80" s="32">
        <v>101</v>
      </c>
      <c r="AE80" s="32">
        <v>108.9</v>
      </c>
      <c r="AF80" s="32">
        <v>108.9</v>
      </c>
      <c r="AG80" s="32">
        <v>83.9</v>
      </c>
      <c r="AH80" s="32">
        <v>83.9</v>
      </c>
      <c r="AI80" s="32">
        <v>209.4</v>
      </c>
      <c r="AJ80" s="32">
        <v>99.1</v>
      </c>
      <c r="AK80" s="32">
        <v>1223</v>
      </c>
      <c r="AL80" s="32">
        <v>111.8</v>
      </c>
      <c r="AM80" s="32">
        <v>40.6</v>
      </c>
      <c r="AN80" s="32">
        <v>130.1</v>
      </c>
      <c r="AO80" s="32">
        <v>87.1</v>
      </c>
      <c r="AP80" s="32">
        <v>87.1</v>
      </c>
      <c r="AQ80" s="32">
        <v>111.8</v>
      </c>
      <c r="AR80" s="32">
        <v>107.5</v>
      </c>
      <c r="AS80" s="32">
        <v>120.8</v>
      </c>
      <c r="AT80" s="32">
        <v>120.2</v>
      </c>
      <c r="AU80" s="32">
        <v>117.4</v>
      </c>
      <c r="AV80" s="32">
        <v>113.9</v>
      </c>
      <c r="AW80" s="32">
        <v>199.7</v>
      </c>
      <c r="AX80" s="32">
        <v>322.7</v>
      </c>
      <c r="AY80" s="32">
        <v>251.9</v>
      </c>
      <c r="AZ80" s="32">
        <v>100.1</v>
      </c>
      <c r="BA80" s="32">
        <v>41</v>
      </c>
      <c r="BB80" s="32">
        <v>41</v>
      </c>
      <c r="BC80" s="32">
        <v>148.5</v>
      </c>
      <c r="BD80" s="32">
        <v>148.5</v>
      </c>
      <c r="BE80" s="32">
        <v>99.1</v>
      </c>
      <c r="BF80" s="32">
        <v>99.1</v>
      </c>
      <c r="BG80" s="32">
        <v>77.8</v>
      </c>
      <c r="BH80" s="32">
        <v>58.5</v>
      </c>
      <c r="BI80" s="32">
        <v>97.6</v>
      </c>
      <c r="BJ80" s="32">
        <v>32.299999999999997</v>
      </c>
      <c r="BK80" s="32">
        <v>138.4</v>
      </c>
      <c r="BL80" s="32">
        <v>38.5</v>
      </c>
      <c r="BM80" s="32">
        <v>92.1</v>
      </c>
      <c r="BN80" s="32">
        <v>101.4</v>
      </c>
      <c r="BO80" s="32">
        <v>91.2</v>
      </c>
      <c r="BP80" s="32">
        <v>110.3</v>
      </c>
      <c r="BQ80" s="32">
        <v>83</v>
      </c>
      <c r="BR80" s="32">
        <v>78.5</v>
      </c>
      <c r="BS80" s="32">
        <v>216.8</v>
      </c>
      <c r="BT80" s="32">
        <v>56.9</v>
      </c>
      <c r="BU80" s="32">
        <v>160.80000000000001</v>
      </c>
      <c r="BV80" s="32">
        <v>160.80000000000001</v>
      </c>
      <c r="BW80" s="32">
        <v>206.7</v>
      </c>
      <c r="BX80" s="32">
        <v>108.5</v>
      </c>
      <c r="BY80" s="32">
        <v>109.8</v>
      </c>
      <c r="BZ80" s="32">
        <v>113.1</v>
      </c>
      <c r="CA80" s="32">
        <v>108.7</v>
      </c>
      <c r="CB80" s="32">
        <v>125</v>
      </c>
      <c r="CC80" s="32">
        <v>101.8</v>
      </c>
      <c r="CD80" s="32">
        <v>34.700000000000003</v>
      </c>
      <c r="CE80" s="32">
        <v>93.5</v>
      </c>
      <c r="CF80" s="32">
        <v>68.8</v>
      </c>
      <c r="CG80" s="32">
        <v>85.9</v>
      </c>
      <c r="CH80" s="32">
        <v>85.6</v>
      </c>
      <c r="CI80" s="32">
        <v>115.2</v>
      </c>
      <c r="CJ80" s="32">
        <v>65.5</v>
      </c>
      <c r="CK80" s="32">
        <v>96.9</v>
      </c>
      <c r="CL80" s="32">
        <v>85.4</v>
      </c>
      <c r="CM80" s="32">
        <v>102.9</v>
      </c>
      <c r="CN80" s="32">
        <v>82</v>
      </c>
      <c r="CO80" s="32">
        <v>103.7</v>
      </c>
      <c r="CP80" s="32">
        <v>121.1</v>
      </c>
      <c r="CQ80" s="32">
        <v>37.9</v>
      </c>
      <c r="CR80" s="32">
        <v>90.9</v>
      </c>
      <c r="CS80" s="32">
        <v>126.6</v>
      </c>
      <c r="CT80" s="32">
        <v>87.9</v>
      </c>
      <c r="CU80" s="32">
        <v>67.599999999999994</v>
      </c>
      <c r="CV80" s="32">
        <v>96.8</v>
      </c>
      <c r="CW80" s="32">
        <v>21.9</v>
      </c>
      <c r="CX80" s="32">
        <v>71.5</v>
      </c>
      <c r="CY80" s="32">
        <v>89.1</v>
      </c>
      <c r="CZ80" s="32">
        <v>61.9</v>
      </c>
      <c r="DA80" s="32">
        <v>44.6</v>
      </c>
      <c r="DB80" s="32">
        <v>103.5</v>
      </c>
      <c r="DC80" s="32">
        <v>2.9</v>
      </c>
      <c r="DD80" s="32">
        <v>2.9</v>
      </c>
      <c r="DE80" s="32">
        <v>48.9</v>
      </c>
      <c r="DF80" s="32">
        <v>45.3</v>
      </c>
      <c r="DG80" s="32">
        <v>70.3</v>
      </c>
      <c r="DH80" s="32">
        <v>78.2</v>
      </c>
      <c r="DI80" s="32">
        <v>131.69999999999999</v>
      </c>
      <c r="DJ80" s="32">
        <v>64.2</v>
      </c>
      <c r="DK80" s="32">
        <v>64.2</v>
      </c>
      <c r="DL80" s="32">
        <v>39.5</v>
      </c>
      <c r="DM80" s="32">
        <v>68</v>
      </c>
      <c r="DN80" s="32">
        <v>47.6</v>
      </c>
      <c r="DO80" s="32">
        <v>77.7</v>
      </c>
      <c r="DP80" s="32">
        <v>36.5</v>
      </c>
      <c r="DQ80" s="32">
        <v>60.1</v>
      </c>
      <c r="DR80" s="32">
        <v>62.1</v>
      </c>
      <c r="DS80" s="32">
        <v>58.6</v>
      </c>
      <c r="DT80" s="32">
        <v>54.8</v>
      </c>
      <c r="DU80" s="32">
        <v>55.5</v>
      </c>
      <c r="DV80" s="32">
        <v>64.2</v>
      </c>
      <c r="DW80" s="32">
        <v>46.5</v>
      </c>
      <c r="DX80" s="32">
        <v>53.5</v>
      </c>
      <c r="DY80" s="32">
        <v>72.3</v>
      </c>
      <c r="DZ80" s="32">
        <v>91</v>
      </c>
      <c r="EA80" s="32">
        <v>91</v>
      </c>
      <c r="EB80" s="32">
        <v>63.2</v>
      </c>
      <c r="EC80" s="32">
        <v>65.900000000000006</v>
      </c>
      <c r="ED80" s="32">
        <v>59.7</v>
      </c>
      <c r="EE80" s="32">
        <v>68.8</v>
      </c>
      <c r="EF80" s="32">
        <v>39.700000000000003</v>
      </c>
      <c r="EG80" s="32">
        <v>56.9</v>
      </c>
      <c r="EH80" s="32">
        <v>82.9</v>
      </c>
      <c r="EI80" s="32">
        <v>53.7</v>
      </c>
      <c r="EJ80" s="32">
        <v>52.9</v>
      </c>
      <c r="EK80" s="32">
        <v>48.4</v>
      </c>
      <c r="EL80" s="32">
        <v>71</v>
      </c>
      <c r="EM80" s="32">
        <v>35.5</v>
      </c>
      <c r="EN80" s="32">
        <v>53.9</v>
      </c>
      <c r="EO80" s="32">
        <v>85</v>
      </c>
      <c r="EP80" s="32">
        <v>85.2</v>
      </c>
      <c r="EQ80" s="32">
        <v>85.2</v>
      </c>
      <c r="ER80" s="32">
        <v>86.3</v>
      </c>
      <c r="ES80" s="32">
        <v>86.3</v>
      </c>
      <c r="ET80" s="32">
        <v>85.8</v>
      </c>
      <c r="EU80" s="32">
        <v>93.4</v>
      </c>
      <c r="EV80" s="32">
        <v>93.4</v>
      </c>
      <c r="EW80" s="32">
        <v>80</v>
      </c>
      <c r="EX80" s="32">
        <v>87</v>
      </c>
      <c r="EY80" s="32">
        <v>74.5</v>
      </c>
      <c r="EZ80" s="32">
        <v>92.1</v>
      </c>
      <c r="FA80" s="32">
        <v>100.4</v>
      </c>
      <c r="FB80" s="32">
        <v>110.4</v>
      </c>
      <c r="FC80" s="32">
        <v>84.2</v>
      </c>
      <c r="FD80" s="32">
        <v>115.1</v>
      </c>
      <c r="FE80" s="32">
        <v>154.5</v>
      </c>
      <c r="FF80" s="32">
        <v>89.3</v>
      </c>
      <c r="FG80" s="32">
        <v>84.1</v>
      </c>
      <c r="FH80" s="32">
        <v>84.6</v>
      </c>
      <c r="FI80" s="32">
        <v>70.900000000000006</v>
      </c>
      <c r="FJ80" s="32">
        <v>85.4</v>
      </c>
      <c r="FK80" s="32">
        <v>127.2</v>
      </c>
      <c r="FL80" s="32">
        <v>127.2</v>
      </c>
    </row>
    <row r="81" spans="1:168" x14ac:dyDescent="0.2">
      <c r="A81" s="34" t="s">
        <v>1061</v>
      </c>
      <c r="B81" s="32">
        <v>75.400000000000006</v>
      </c>
      <c r="C81" s="32">
        <v>96.7</v>
      </c>
      <c r="D81" s="32">
        <v>101.8</v>
      </c>
      <c r="E81" s="32">
        <v>105.4</v>
      </c>
      <c r="F81" s="32">
        <v>347.2</v>
      </c>
      <c r="G81" s="32">
        <v>12247.5</v>
      </c>
      <c r="H81" s="32">
        <v>457.8</v>
      </c>
      <c r="I81" s="32">
        <v>59.5</v>
      </c>
      <c r="J81" s="32">
        <v>86.1</v>
      </c>
      <c r="K81" s="32">
        <v>95.1</v>
      </c>
      <c r="L81" s="32">
        <v>95.3</v>
      </c>
      <c r="M81" s="32">
        <v>95.5</v>
      </c>
      <c r="N81" s="32">
        <v>79.2</v>
      </c>
      <c r="O81" s="32">
        <v>300.7</v>
      </c>
      <c r="P81" s="32">
        <v>399.4</v>
      </c>
      <c r="Q81" s="32">
        <v>131.1</v>
      </c>
      <c r="R81" s="32">
        <v>84</v>
      </c>
      <c r="S81" s="32">
        <v>113.1</v>
      </c>
      <c r="T81" s="32">
        <v>80.2</v>
      </c>
      <c r="U81" s="32">
        <v>61.1</v>
      </c>
      <c r="V81" s="32">
        <v>110.4</v>
      </c>
      <c r="W81" s="32">
        <v>53.1</v>
      </c>
      <c r="X81" s="32">
        <v>43.2</v>
      </c>
      <c r="Y81" s="32">
        <v>64.3</v>
      </c>
      <c r="Z81" s="32">
        <v>83</v>
      </c>
      <c r="AA81" s="32">
        <v>88.4</v>
      </c>
      <c r="AB81" s="32">
        <v>84.1</v>
      </c>
      <c r="AC81" s="32">
        <v>86.9</v>
      </c>
      <c r="AD81" s="32">
        <v>98.3</v>
      </c>
      <c r="AE81" s="32">
        <v>104.5</v>
      </c>
      <c r="AF81" s="32">
        <v>104.5</v>
      </c>
      <c r="AG81" s="32">
        <v>81.5</v>
      </c>
      <c r="AH81" s="32">
        <v>81.5</v>
      </c>
      <c r="AI81" s="32">
        <v>213.2</v>
      </c>
      <c r="AJ81" s="32">
        <v>92.5</v>
      </c>
      <c r="AK81" s="32">
        <v>1156</v>
      </c>
      <c r="AL81" s="32">
        <v>113.1</v>
      </c>
      <c r="AM81" s="32">
        <v>40.4</v>
      </c>
      <c r="AN81" s="32">
        <v>135.6</v>
      </c>
      <c r="AO81" s="32">
        <v>86.8</v>
      </c>
      <c r="AP81" s="32">
        <v>86.8</v>
      </c>
      <c r="AQ81" s="32">
        <v>114</v>
      </c>
      <c r="AR81" s="32">
        <v>109.8</v>
      </c>
      <c r="AS81" s="32">
        <v>122.9</v>
      </c>
      <c r="AT81" s="32">
        <v>116.7</v>
      </c>
      <c r="AU81" s="32">
        <v>126.3</v>
      </c>
      <c r="AV81" s="32">
        <v>115</v>
      </c>
      <c r="AW81" s="32">
        <v>197.7</v>
      </c>
      <c r="AX81" s="32">
        <v>325.2</v>
      </c>
      <c r="AY81" s="32">
        <v>246.8</v>
      </c>
      <c r="AZ81" s="32">
        <v>101.8</v>
      </c>
      <c r="BA81" s="32">
        <v>40.700000000000003</v>
      </c>
      <c r="BB81" s="32">
        <v>40.700000000000003</v>
      </c>
      <c r="BC81" s="32">
        <v>150.69999999999999</v>
      </c>
      <c r="BD81" s="32">
        <v>150.69999999999999</v>
      </c>
      <c r="BE81" s="32">
        <v>96.8</v>
      </c>
      <c r="BF81" s="32">
        <v>96.8</v>
      </c>
      <c r="BG81" s="32">
        <v>80.599999999999994</v>
      </c>
      <c r="BH81" s="32">
        <v>63.6</v>
      </c>
      <c r="BI81" s="32">
        <v>96.9</v>
      </c>
      <c r="BJ81" s="32">
        <v>32.1</v>
      </c>
      <c r="BK81" s="32">
        <v>137.1</v>
      </c>
      <c r="BL81" s="32">
        <v>39.200000000000003</v>
      </c>
      <c r="BM81" s="32">
        <v>89.8</v>
      </c>
      <c r="BN81" s="32">
        <v>99.9</v>
      </c>
      <c r="BO81" s="32">
        <v>91.3</v>
      </c>
      <c r="BP81" s="32">
        <v>107.3</v>
      </c>
      <c r="BQ81" s="32">
        <v>79.400000000000006</v>
      </c>
      <c r="BR81" s="32">
        <v>73</v>
      </c>
      <c r="BS81" s="32">
        <v>195.7</v>
      </c>
      <c r="BT81" s="32">
        <v>56.5</v>
      </c>
      <c r="BU81" s="32">
        <v>161</v>
      </c>
      <c r="BV81" s="32">
        <v>161</v>
      </c>
      <c r="BW81" s="32">
        <v>206.9</v>
      </c>
      <c r="BX81" s="32">
        <v>108.7</v>
      </c>
      <c r="BY81" s="32">
        <v>108.4</v>
      </c>
      <c r="BZ81" s="32">
        <v>113.2</v>
      </c>
      <c r="CA81" s="32">
        <v>106.5</v>
      </c>
      <c r="CB81" s="32">
        <v>119.7</v>
      </c>
      <c r="CC81" s="32">
        <v>102.4</v>
      </c>
      <c r="CD81" s="32">
        <v>32.9</v>
      </c>
      <c r="CE81" s="32">
        <v>94.3</v>
      </c>
      <c r="CF81" s="32">
        <v>69.7</v>
      </c>
      <c r="CG81" s="32">
        <v>88.9</v>
      </c>
      <c r="CH81" s="32">
        <v>89.2</v>
      </c>
      <c r="CI81" s="32">
        <v>117.6</v>
      </c>
      <c r="CJ81" s="32">
        <v>72.599999999999994</v>
      </c>
      <c r="CK81" s="32">
        <v>97</v>
      </c>
      <c r="CL81" s="32">
        <v>88.1</v>
      </c>
      <c r="CM81" s="32">
        <v>103.5</v>
      </c>
      <c r="CN81" s="32">
        <v>80.2</v>
      </c>
      <c r="CO81" s="32">
        <v>104.7</v>
      </c>
      <c r="CP81" s="32">
        <v>122</v>
      </c>
      <c r="CQ81" s="32">
        <v>42.4</v>
      </c>
      <c r="CR81" s="32">
        <v>91</v>
      </c>
      <c r="CS81" s="32">
        <v>139.69999999999999</v>
      </c>
      <c r="CT81" s="32">
        <v>88.7</v>
      </c>
      <c r="CU81" s="32">
        <v>68.2</v>
      </c>
      <c r="CV81" s="32">
        <v>97.8</v>
      </c>
      <c r="CW81" s="32">
        <v>23</v>
      </c>
      <c r="CX81" s="32">
        <v>72.900000000000006</v>
      </c>
      <c r="CY81" s="32">
        <v>87.9</v>
      </c>
      <c r="CZ81" s="32">
        <v>65.099999999999994</v>
      </c>
      <c r="DA81" s="32">
        <v>48.8</v>
      </c>
      <c r="DB81" s="32">
        <v>103</v>
      </c>
      <c r="DC81" s="32">
        <v>2.9</v>
      </c>
      <c r="DD81" s="32">
        <v>2.9</v>
      </c>
      <c r="DE81" s="32">
        <v>53.4</v>
      </c>
      <c r="DF81" s="32">
        <v>49.4</v>
      </c>
      <c r="DG81" s="32">
        <v>77</v>
      </c>
      <c r="DH81" s="32">
        <v>77.7</v>
      </c>
      <c r="DI81" s="32">
        <v>133.69999999999999</v>
      </c>
      <c r="DJ81" s="32">
        <v>63</v>
      </c>
      <c r="DK81" s="32">
        <v>63</v>
      </c>
      <c r="DL81" s="32">
        <v>36.799999999999997</v>
      </c>
      <c r="DM81" s="32">
        <v>68.599999999999994</v>
      </c>
      <c r="DN81" s="32">
        <v>47.8</v>
      </c>
      <c r="DO81" s="32">
        <v>78.5</v>
      </c>
      <c r="DP81" s="32">
        <v>36.6</v>
      </c>
      <c r="DQ81" s="32">
        <v>59.7</v>
      </c>
      <c r="DR81" s="32">
        <v>62.2</v>
      </c>
      <c r="DS81" s="32">
        <v>57.3</v>
      </c>
      <c r="DT81" s="32">
        <v>53.3</v>
      </c>
      <c r="DU81" s="32">
        <v>53.3</v>
      </c>
      <c r="DV81" s="32">
        <v>65.099999999999994</v>
      </c>
      <c r="DW81" s="32">
        <v>41.7</v>
      </c>
      <c r="DX81" s="32">
        <v>53.2</v>
      </c>
      <c r="DY81" s="32">
        <v>71.599999999999994</v>
      </c>
      <c r="DZ81" s="32">
        <v>106.1</v>
      </c>
      <c r="EA81" s="32">
        <v>106.1</v>
      </c>
      <c r="EB81" s="32">
        <v>63.3</v>
      </c>
      <c r="EC81" s="32">
        <v>67.8</v>
      </c>
      <c r="ED81" s="32">
        <v>57.2</v>
      </c>
      <c r="EE81" s="32">
        <v>65.099999999999994</v>
      </c>
      <c r="EF81" s="32">
        <v>40.1</v>
      </c>
      <c r="EG81" s="32">
        <v>55.7</v>
      </c>
      <c r="EH81" s="32">
        <v>84.1</v>
      </c>
      <c r="EI81" s="32">
        <v>53.3</v>
      </c>
      <c r="EJ81" s="32">
        <v>55.7</v>
      </c>
      <c r="EK81" s="32">
        <v>45.1</v>
      </c>
      <c r="EL81" s="32">
        <v>68.599999999999994</v>
      </c>
      <c r="EM81" s="32">
        <v>34.200000000000003</v>
      </c>
      <c r="EN81" s="32">
        <v>49</v>
      </c>
      <c r="EO81" s="32">
        <v>85.3</v>
      </c>
      <c r="EP81" s="32">
        <v>85</v>
      </c>
      <c r="EQ81" s="32">
        <v>85</v>
      </c>
      <c r="ER81" s="32">
        <v>87.3</v>
      </c>
      <c r="ES81" s="32">
        <v>87.3</v>
      </c>
      <c r="ET81" s="32">
        <v>85.9</v>
      </c>
      <c r="EU81" s="32">
        <v>93.6</v>
      </c>
      <c r="EV81" s="32">
        <v>93.6</v>
      </c>
      <c r="EW81" s="32">
        <v>80</v>
      </c>
      <c r="EX81" s="32">
        <v>86.7</v>
      </c>
      <c r="EY81" s="32">
        <v>74.8</v>
      </c>
      <c r="EZ81" s="32">
        <v>92.9</v>
      </c>
      <c r="FA81" s="32">
        <v>103.2</v>
      </c>
      <c r="FB81" s="32">
        <v>114.2</v>
      </c>
      <c r="FC81" s="32">
        <v>88.3</v>
      </c>
      <c r="FD81" s="32">
        <v>117.1</v>
      </c>
      <c r="FE81" s="32">
        <v>158.5</v>
      </c>
      <c r="FF81" s="32">
        <v>90.9</v>
      </c>
      <c r="FG81" s="32">
        <v>84.6</v>
      </c>
      <c r="FH81" s="32">
        <v>83.2</v>
      </c>
      <c r="FI81" s="32">
        <v>77.3</v>
      </c>
      <c r="FJ81" s="32">
        <v>86.1</v>
      </c>
      <c r="FK81" s="32">
        <v>108.8</v>
      </c>
      <c r="FL81" s="32">
        <v>108.8</v>
      </c>
    </row>
    <row r="82" spans="1:168" x14ac:dyDescent="0.2">
      <c r="A82" s="34" t="s">
        <v>1062</v>
      </c>
      <c r="B82" s="32">
        <v>75.2</v>
      </c>
      <c r="C82" s="32">
        <v>96.3</v>
      </c>
      <c r="D82" s="32">
        <v>101.1</v>
      </c>
      <c r="E82" s="32">
        <v>104.2</v>
      </c>
      <c r="F82" s="32">
        <v>345.1</v>
      </c>
      <c r="G82" s="32">
        <v>12000</v>
      </c>
      <c r="H82" s="32">
        <v>455.6</v>
      </c>
      <c r="I82" s="32">
        <v>59.1</v>
      </c>
      <c r="J82" s="32">
        <v>84.6</v>
      </c>
      <c r="K82" s="32">
        <v>95.1</v>
      </c>
      <c r="L82" s="32">
        <v>96.5</v>
      </c>
      <c r="M82" s="32">
        <v>98.6</v>
      </c>
      <c r="N82" s="32">
        <v>79.7</v>
      </c>
      <c r="O82" s="32">
        <v>299.3</v>
      </c>
      <c r="P82" s="32">
        <v>401.8</v>
      </c>
      <c r="Q82" s="32">
        <v>133.5</v>
      </c>
      <c r="R82" s="32">
        <v>84.8</v>
      </c>
      <c r="S82" s="32">
        <v>113.8</v>
      </c>
      <c r="T82" s="32">
        <v>85</v>
      </c>
      <c r="U82" s="32">
        <v>56.9</v>
      </c>
      <c r="V82" s="32">
        <v>106.4</v>
      </c>
      <c r="W82" s="32">
        <v>50.3</v>
      </c>
      <c r="X82" s="32">
        <v>41</v>
      </c>
      <c r="Y82" s="32">
        <v>61.5</v>
      </c>
      <c r="Z82" s="32">
        <v>73.5</v>
      </c>
      <c r="AA82" s="32">
        <v>89.2</v>
      </c>
      <c r="AB82" s="32">
        <v>84.1</v>
      </c>
      <c r="AC82" s="32">
        <v>84.1</v>
      </c>
      <c r="AD82" s="32">
        <v>102.8</v>
      </c>
      <c r="AE82" s="32">
        <v>107.1</v>
      </c>
      <c r="AF82" s="32">
        <v>107.1</v>
      </c>
      <c r="AG82" s="32">
        <v>80.2</v>
      </c>
      <c r="AH82" s="32">
        <v>80.2</v>
      </c>
      <c r="AI82" s="32">
        <v>207</v>
      </c>
      <c r="AJ82" s="32">
        <v>93</v>
      </c>
      <c r="AK82" s="32">
        <v>1157.0999999999999</v>
      </c>
      <c r="AL82" s="32">
        <v>104.7</v>
      </c>
      <c r="AM82" s="32">
        <v>39.799999999999997</v>
      </c>
      <c r="AN82" s="32">
        <v>134.69999999999999</v>
      </c>
      <c r="AO82" s="32">
        <v>83</v>
      </c>
      <c r="AP82" s="32">
        <v>83</v>
      </c>
      <c r="AQ82" s="32">
        <v>112.7</v>
      </c>
      <c r="AR82" s="32">
        <v>110.4</v>
      </c>
      <c r="AS82" s="32">
        <v>118.5</v>
      </c>
      <c r="AT82" s="32">
        <v>115.3</v>
      </c>
      <c r="AU82" s="32">
        <v>118.4</v>
      </c>
      <c r="AV82" s="32">
        <v>109</v>
      </c>
      <c r="AW82" s="32">
        <v>189.8</v>
      </c>
      <c r="AX82" s="32">
        <v>295.5</v>
      </c>
      <c r="AY82" s="32">
        <v>245.8</v>
      </c>
      <c r="AZ82" s="32">
        <v>95.9</v>
      </c>
      <c r="BA82" s="32">
        <v>40.6</v>
      </c>
      <c r="BB82" s="32">
        <v>40.6</v>
      </c>
      <c r="BC82" s="32">
        <v>149.5</v>
      </c>
      <c r="BD82" s="32">
        <v>149.5</v>
      </c>
      <c r="BE82" s="32">
        <v>97.8</v>
      </c>
      <c r="BF82" s="32">
        <v>97.8</v>
      </c>
      <c r="BG82" s="32">
        <v>77.2</v>
      </c>
      <c r="BH82" s="32">
        <v>59.8</v>
      </c>
      <c r="BI82" s="32">
        <v>94.4</v>
      </c>
      <c r="BJ82" s="32">
        <v>31.5</v>
      </c>
      <c r="BK82" s="32">
        <v>133.19999999999999</v>
      </c>
      <c r="BL82" s="32">
        <v>39</v>
      </c>
      <c r="BM82" s="32">
        <v>88.6</v>
      </c>
      <c r="BN82" s="32">
        <v>97.9</v>
      </c>
      <c r="BO82" s="32">
        <v>90.2</v>
      </c>
      <c r="BP82" s="32">
        <v>104.5</v>
      </c>
      <c r="BQ82" s="32">
        <v>79.400000000000006</v>
      </c>
      <c r="BR82" s="32">
        <v>90</v>
      </c>
      <c r="BS82" s="32">
        <v>183.4</v>
      </c>
      <c r="BT82" s="32">
        <v>56.5</v>
      </c>
      <c r="BU82" s="32">
        <v>167.4</v>
      </c>
      <c r="BV82" s="32">
        <v>167.4</v>
      </c>
      <c r="BW82" s="32">
        <v>211</v>
      </c>
      <c r="BX82" s="32">
        <v>119.4</v>
      </c>
      <c r="BY82" s="32">
        <v>108.4</v>
      </c>
      <c r="BZ82" s="32">
        <v>112.1</v>
      </c>
      <c r="CA82" s="32">
        <v>107</v>
      </c>
      <c r="CB82" s="32">
        <v>121.1</v>
      </c>
      <c r="CC82" s="32">
        <v>102.2</v>
      </c>
      <c r="CD82" s="32">
        <v>32.799999999999997</v>
      </c>
      <c r="CE82" s="32">
        <v>95.1</v>
      </c>
      <c r="CF82" s="32">
        <v>69.599999999999994</v>
      </c>
      <c r="CG82" s="32">
        <v>87.5</v>
      </c>
      <c r="CH82" s="32">
        <v>87</v>
      </c>
      <c r="CI82" s="32">
        <v>115.4</v>
      </c>
      <c r="CJ82" s="32">
        <v>69.099999999999994</v>
      </c>
      <c r="CK82" s="32">
        <v>96.1</v>
      </c>
      <c r="CL82" s="32">
        <v>87.2</v>
      </c>
      <c r="CM82" s="32">
        <v>103.3</v>
      </c>
      <c r="CN82" s="32">
        <v>79.5</v>
      </c>
      <c r="CO82" s="32">
        <v>104.6</v>
      </c>
      <c r="CP82" s="32">
        <v>124.6</v>
      </c>
      <c r="CQ82" s="32">
        <v>42.4</v>
      </c>
      <c r="CR82" s="32">
        <v>89.4</v>
      </c>
      <c r="CS82" s="32">
        <v>134.5</v>
      </c>
      <c r="CT82" s="32">
        <v>89.8</v>
      </c>
      <c r="CU82" s="32">
        <v>70.7</v>
      </c>
      <c r="CV82" s="32">
        <v>98.2</v>
      </c>
      <c r="CW82" s="32">
        <v>23.2</v>
      </c>
      <c r="CX82" s="32">
        <v>73.7</v>
      </c>
      <c r="CY82" s="32">
        <v>91.6</v>
      </c>
      <c r="CZ82" s="32">
        <v>64</v>
      </c>
      <c r="DA82" s="32">
        <v>47.7</v>
      </c>
      <c r="DB82" s="32">
        <v>102</v>
      </c>
      <c r="DC82" s="32">
        <v>2.9</v>
      </c>
      <c r="DD82" s="32">
        <v>2.9</v>
      </c>
      <c r="DE82" s="32">
        <v>54.2</v>
      </c>
      <c r="DF82" s="32">
        <v>50.7</v>
      </c>
      <c r="DG82" s="32">
        <v>74.400000000000006</v>
      </c>
      <c r="DH82" s="32">
        <v>78.8</v>
      </c>
      <c r="DI82" s="32">
        <v>135.6</v>
      </c>
      <c r="DJ82" s="32">
        <v>62.6</v>
      </c>
      <c r="DK82" s="32">
        <v>62.6</v>
      </c>
      <c r="DL82" s="32">
        <v>38.4</v>
      </c>
      <c r="DM82" s="32">
        <v>69</v>
      </c>
      <c r="DN82" s="32">
        <v>48</v>
      </c>
      <c r="DO82" s="32">
        <v>79.099999999999994</v>
      </c>
      <c r="DP82" s="32">
        <v>36.5</v>
      </c>
      <c r="DQ82" s="32">
        <v>59.3</v>
      </c>
      <c r="DR82" s="32">
        <v>61.5</v>
      </c>
      <c r="DS82" s="32">
        <v>57.8</v>
      </c>
      <c r="DT82" s="32">
        <v>54.3</v>
      </c>
      <c r="DU82" s="32">
        <v>55.1</v>
      </c>
      <c r="DV82" s="32">
        <v>66.2</v>
      </c>
      <c r="DW82" s="32">
        <v>44.1</v>
      </c>
      <c r="DX82" s="32">
        <v>52.5</v>
      </c>
      <c r="DY82" s="32">
        <v>70.3</v>
      </c>
      <c r="DZ82" s="32">
        <v>91</v>
      </c>
      <c r="EA82" s="32">
        <v>91</v>
      </c>
      <c r="EB82" s="32">
        <v>63.6</v>
      </c>
      <c r="EC82" s="32">
        <v>67.2</v>
      </c>
      <c r="ED82" s="32">
        <v>58.7</v>
      </c>
      <c r="EE82" s="32">
        <v>67</v>
      </c>
      <c r="EF82" s="32">
        <v>40.4</v>
      </c>
      <c r="EG82" s="32">
        <v>55.7</v>
      </c>
      <c r="EH82" s="32">
        <v>80</v>
      </c>
      <c r="EI82" s="32">
        <v>53.1</v>
      </c>
      <c r="EJ82" s="32">
        <v>59.5</v>
      </c>
      <c r="EK82" s="32">
        <v>46.6</v>
      </c>
      <c r="EL82" s="32">
        <v>68.5</v>
      </c>
      <c r="EM82" s="32">
        <v>34.700000000000003</v>
      </c>
      <c r="EN82" s="32">
        <v>51.4</v>
      </c>
      <c r="EO82" s="32">
        <v>85.4</v>
      </c>
      <c r="EP82" s="32">
        <v>84.6</v>
      </c>
      <c r="EQ82" s="32">
        <v>84.6</v>
      </c>
      <c r="ER82" s="32">
        <v>87.7</v>
      </c>
      <c r="ES82" s="32">
        <v>87.7</v>
      </c>
      <c r="ET82" s="32">
        <v>86.1</v>
      </c>
      <c r="EU82" s="32">
        <v>93.9</v>
      </c>
      <c r="EV82" s="32">
        <v>93.9</v>
      </c>
      <c r="EW82" s="32">
        <v>80</v>
      </c>
      <c r="EX82" s="32">
        <v>86.4</v>
      </c>
      <c r="EY82" s="32">
        <v>74.900000000000006</v>
      </c>
      <c r="EZ82" s="32">
        <v>92.7</v>
      </c>
      <c r="FA82" s="32">
        <v>102.7</v>
      </c>
      <c r="FB82" s="32">
        <v>112.1</v>
      </c>
      <c r="FC82" s="32">
        <v>82.8</v>
      </c>
      <c r="FD82" s="32">
        <v>118.3</v>
      </c>
      <c r="FE82" s="32">
        <v>162</v>
      </c>
      <c r="FF82" s="32">
        <v>92.1</v>
      </c>
      <c r="FG82" s="32">
        <v>84.3</v>
      </c>
      <c r="FH82" s="32">
        <v>83.2</v>
      </c>
      <c r="FI82" s="32">
        <v>77.3</v>
      </c>
      <c r="FJ82" s="32">
        <v>85.6</v>
      </c>
      <c r="FK82" s="32">
        <v>112</v>
      </c>
      <c r="FL82" s="32">
        <v>112</v>
      </c>
    </row>
    <row r="83" spans="1:168" x14ac:dyDescent="0.2">
      <c r="A83" s="34" t="s">
        <v>1063</v>
      </c>
      <c r="B83" s="32">
        <v>75.7</v>
      </c>
      <c r="C83" s="32">
        <v>95.6</v>
      </c>
      <c r="D83" s="32">
        <v>101.7</v>
      </c>
      <c r="E83" s="32">
        <v>104.8</v>
      </c>
      <c r="F83" s="32">
        <v>339.3</v>
      </c>
      <c r="G83" s="32">
        <v>11997.2</v>
      </c>
      <c r="H83" s="32">
        <v>446.6</v>
      </c>
      <c r="I83" s="32">
        <v>59.2</v>
      </c>
      <c r="J83" s="32">
        <v>85.3</v>
      </c>
      <c r="K83" s="32">
        <v>95</v>
      </c>
      <c r="L83" s="32">
        <v>96.4</v>
      </c>
      <c r="M83" s="32">
        <v>101.7</v>
      </c>
      <c r="N83" s="32">
        <v>80.900000000000006</v>
      </c>
      <c r="O83" s="32">
        <v>302</v>
      </c>
      <c r="P83" s="32">
        <v>406.1</v>
      </c>
      <c r="Q83" s="32">
        <v>134.80000000000001</v>
      </c>
      <c r="R83" s="32">
        <v>83</v>
      </c>
      <c r="S83" s="32">
        <v>112.3</v>
      </c>
      <c r="T83" s="32">
        <v>84.9</v>
      </c>
      <c r="U83" s="32">
        <v>62.3</v>
      </c>
      <c r="V83" s="32">
        <v>103.1</v>
      </c>
      <c r="W83" s="32">
        <v>51.6</v>
      </c>
      <c r="X83" s="32">
        <v>41.8</v>
      </c>
      <c r="Y83" s="32">
        <v>62.4</v>
      </c>
      <c r="Z83" s="32">
        <v>85.5</v>
      </c>
      <c r="AA83" s="32">
        <v>90.5</v>
      </c>
      <c r="AB83" s="32">
        <v>88.9</v>
      </c>
      <c r="AC83" s="32">
        <v>85.4</v>
      </c>
      <c r="AD83" s="32">
        <v>102.4</v>
      </c>
      <c r="AE83" s="32">
        <v>102.2</v>
      </c>
      <c r="AF83" s="32">
        <v>102.2</v>
      </c>
      <c r="AG83" s="32">
        <v>79.5</v>
      </c>
      <c r="AH83" s="32">
        <v>79.5</v>
      </c>
      <c r="AI83" s="32">
        <v>194.6</v>
      </c>
      <c r="AJ83" s="32">
        <v>91.2</v>
      </c>
      <c r="AK83" s="32">
        <v>1104.9000000000001</v>
      </c>
      <c r="AL83" s="32">
        <v>111.2</v>
      </c>
      <c r="AM83" s="32">
        <v>40.299999999999997</v>
      </c>
      <c r="AN83" s="32">
        <v>138.80000000000001</v>
      </c>
      <c r="AO83" s="32">
        <v>79.8</v>
      </c>
      <c r="AP83" s="32">
        <v>79.8</v>
      </c>
      <c r="AQ83" s="32">
        <v>113.4</v>
      </c>
      <c r="AR83" s="32">
        <v>111.3</v>
      </c>
      <c r="AS83" s="32">
        <v>119</v>
      </c>
      <c r="AT83" s="32">
        <v>115.1</v>
      </c>
      <c r="AU83" s="32">
        <v>119.8</v>
      </c>
      <c r="AV83" s="32">
        <v>114.3</v>
      </c>
      <c r="AW83" s="32">
        <v>199.1</v>
      </c>
      <c r="AX83" s="32">
        <v>300.10000000000002</v>
      </c>
      <c r="AY83" s="32">
        <v>263</v>
      </c>
      <c r="AZ83" s="32">
        <v>100.6</v>
      </c>
      <c r="BA83" s="32">
        <v>39.4</v>
      </c>
      <c r="BB83" s="32">
        <v>39.4</v>
      </c>
      <c r="BC83" s="32">
        <v>154.6</v>
      </c>
      <c r="BD83" s="32">
        <v>154.6</v>
      </c>
      <c r="BE83" s="32">
        <v>100</v>
      </c>
      <c r="BF83" s="32">
        <v>100</v>
      </c>
      <c r="BG83" s="32">
        <v>79.5</v>
      </c>
      <c r="BH83" s="32">
        <v>63.5</v>
      </c>
      <c r="BI83" s="32">
        <v>94.4</v>
      </c>
      <c r="BJ83" s="32">
        <v>31.6</v>
      </c>
      <c r="BK83" s="32">
        <v>131.80000000000001</v>
      </c>
      <c r="BL83" s="32">
        <v>42.9</v>
      </c>
      <c r="BM83" s="32">
        <v>87.6</v>
      </c>
      <c r="BN83" s="32">
        <v>98.7</v>
      </c>
      <c r="BO83" s="32">
        <v>92.6</v>
      </c>
      <c r="BP83" s="32">
        <v>103.9</v>
      </c>
      <c r="BQ83" s="32">
        <v>75.900000000000006</v>
      </c>
      <c r="BR83" s="32">
        <v>70.2</v>
      </c>
      <c r="BS83" s="32">
        <v>186</v>
      </c>
      <c r="BT83" s="32">
        <v>54.1</v>
      </c>
      <c r="BU83" s="32">
        <v>169.5</v>
      </c>
      <c r="BV83" s="32">
        <v>169.5</v>
      </c>
      <c r="BW83" s="32">
        <v>214.7</v>
      </c>
      <c r="BX83" s="32">
        <v>119.1</v>
      </c>
      <c r="BY83" s="32">
        <v>109.7</v>
      </c>
      <c r="BZ83" s="32">
        <v>112.1</v>
      </c>
      <c r="CA83" s="32">
        <v>108.9</v>
      </c>
      <c r="CB83" s="32">
        <v>123</v>
      </c>
      <c r="CC83" s="32">
        <v>104.1</v>
      </c>
      <c r="CD83" s="32">
        <v>32.700000000000003</v>
      </c>
      <c r="CE83" s="32">
        <v>95.5</v>
      </c>
      <c r="CF83" s="32">
        <v>70</v>
      </c>
      <c r="CG83" s="32">
        <v>87.8</v>
      </c>
      <c r="CH83" s="32">
        <v>87.5</v>
      </c>
      <c r="CI83" s="32">
        <v>115.4</v>
      </c>
      <c r="CJ83" s="32">
        <v>69.2</v>
      </c>
      <c r="CK83" s="32">
        <v>97.2</v>
      </c>
      <c r="CL83" s="32">
        <v>87.8</v>
      </c>
      <c r="CM83" s="32">
        <v>103.5</v>
      </c>
      <c r="CN83" s="32">
        <v>78.5</v>
      </c>
      <c r="CO83" s="32">
        <v>105</v>
      </c>
      <c r="CP83" s="32">
        <v>129.1</v>
      </c>
      <c r="CQ83" s="32">
        <v>44.1</v>
      </c>
      <c r="CR83" s="32">
        <v>90.1</v>
      </c>
      <c r="CS83" s="32">
        <v>132.6</v>
      </c>
      <c r="CT83" s="32">
        <v>89</v>
      </c>
      <c r="CU83" s="32">
        <v>68.8</v>
      </c>
      <c r="CV83" s="32">
        <v>97.9</v>
      </c>
      <c r="CW83" s="32">
        <v>23.3</v>
      </c>
      <c r="CX83" s="32">
        <v>74.099999999999994</v>
      </c>
      <c r="CY83" s="32">
        <v>93.1</v>
      </c>
      <c r="CZ83" s="32">
        <v>63.7</v>
      </c>
      <c r="DA83" s="32">
        <v>47.5</v>
      </c>
      <c r="DB83" s="32">
        <v>101.7</v>
      </c>
      <c r="DC83" s="32">
        <v>3</v>
      </c>
      <c r="DD83" s="32">
        <v>3</v>
      </c>
      <c r="DE83" s="32">
        <v>53.8</v>
      </c>
      <c r="DF83" s="32">
        <v>50.4</v>
      </c>
      <c r="DG83" s="32">
        <v>73.5</v>
      </c>
      <c r="DH83" s="32">
        <v>79.5</v>
      </c>
      <c r="DI83" s="32">
        <v>136.69999999999999</v>
      </c>
      <c r="DJ83" s="32">
        <v>62.4</v>
      </c>
      <c r="DK83" s="32">
        <v>62.4</v>
      </c>
      <c r="DL83" s="32">
        <v>39.5</v>
      </c>
      <c r="DM83" s="32">
        <v>69.400000000000006</v>
      </c>
      <c r="DN83" s="32">
        <v>48.3</v>
      </c>
      <c r="DO83" s="32">
        <v>79.400000000000006</v>
      </c>
      <c r="DP83" s="32">
        <v>36.6</v>
      </c>
      <c r="DQ83" s="32">
        <v>60.3</v>
      </c>
      <c r="DR83" s="32">
        <v>62.7</v>
      </c>
      <c r="DS83" s="32">
        <v>58.9</v>
      </c>
      <c r="DT83" s="32">
        <v>55.4</v>
      </c>
      <c r="DU83" s="32">
        <v>57</v>
      </c>
      <c r="DV83" s="32">
        <v>67.2</v>
      </c>
      <c r="DW83" s="32">
        <v>46.6</v>
      </c>
      <c r="DX83" s="32">
        <v>52.3</v>
      </c>
      <c r="DY83" s="32">
        <v>71.5</v>
      </c>
      <c r="DZ83" s="32">
        <v>100.4</v>
      </c>
      <c r="EA83" s="32">
        <v>100.4</v>
      </c>
      <c r="EB83" s="32">
        <v>62</v>
      </c>
      <c r="EC83" s="32">
        <v>64.400000000000006</v>
      </c>
      <c r="ED83" s="32">
        <v>58.8</v>
      </c>
      <c r="EE83" s="32">
        <v>67.099999999999994</v>
      </c>
      <c r="EF83" s="32">
        <v>40.5</v>
      </c>
      <c r="EG83" s="32">
        <v>56.7</v>
      </c>
      <c r="EH83" s="32">
        <v>80.7</v>
      </c>
      <c r="EI83" s="32">
        <v>54</v>
      </c>
      <c r="EJ83" s="32">
        <v>63.3</v>
      </c>
      <c r="EK83" s="32">
        <v>47.2</v>
      </c>
      <c r="EL83" s="32">
        <v>67.8</v>
      </c>
      <c r="EM83" s="32">
        <v>36.700000000000003</v>
      </c>
      <c r="EN83" s="32">
        <v>51.2</v>
      </c>
      <c r="EO83" s="32">
        <v>85.7</v>
      </c>
      <c r="EP83" s="32">
        <v>84.6</v>
      </c>
      <c r="EQ83" s="32">
        <v>84.6</v>
      </c>
      <c r="ER83" s="32">
        <v>88</v>
      </c>
      <c r="ES83" s="32">
        <v>88</v>
      </c>
      <c r="ET83" s="32">
        <v>86.6</v>
      </c>
      <c r="EU83" s="32">
        <v>94.6</v>
      </c>
      <c r="EV83" s="32">
        <v>94.6</v>
      </c>
      <c r="EW83" s="32">
        <v>80.099999999999994</v>
      </c>
      <c r="EX83" s="32">
        <v>86.4</v>
      </c>
      <c r="EY83" s="32">
        <v>75.2</v>
      </c>
      <c r="EZ83" s="32">
        <v>93.1</v>
      </c>
      <c r="FA83" s="32">
        <v>102.8</v>
      </c>
      <c r="FB83" s="32">
        <v>111.5</v>
      </c>
      <c r="FC83" s="32">
        <v>80.3</v>
      </c>
      <c r="FD83" s="32">
        <v>118.8</v>
      </c>
      <c r="FE83" s="32">
        <v>164.8</v>
      </c>
      <c r="FF83" s="32">
        <v>93.1</v>
      </c>
      <c r="FG83" s="32">
        <v>84.5</v>
      </c>
      <c r="FH83" s="32">
        <v>84.2</v>
      </c>
      <c r="FI83" s="32">
        <v>81.8</v>
      </c>
      <c r="FJ83" s="32">
        <v>84.9</v>
      </c>
      <c r="FK83" s="32">
        <v>118.4</v>
      </c>
      <c r="FL83" s="32">
        <v>118.4</v>
      </c>
    </row>
    <row r="84" spans="1:168" x14ac:dyDescent="0.2">
      <c r="A84" s="34" t="s">
        <v>1064</v>
      </c>
      <c r="B84" s="32">
        <v>75.900000000000006</v>
      </c>
      <c r="C84" s="32">
        <v>94.4</v>
      </c>
      <c r="D84" s="32">
        <v>102.1</v>
      </c>
      <c r="E84" s="32">
        <v>105.4</v>
      </c>
      <c r="F84" s="32">
        <v>345</v>
      </c>
      <c r="G84" s="32">
        <v>10974.8</v>
      </c>
      <c r="H84" s="32">
        <v>456.7</v>
      </c>
      <c r="I84" s="32">
        <v>59.4</v>
      </c>
      <c r="J84" s="32">
        <v>85.8</v>
      </c>
      <c r="K84" s="32">
        <v>97.2</v>
      </c>
      <c r="L84" s="32">
        <v>97.7</v>
      </c>
      <c r="M84" s="32">
        <v>99.9</v>
      </c>
      <c r="N84" s="32">
        <v>85.4</v>
      </c>
      <c r="O84" s="32">
        <v>302.5</v>
      </c>
      <c r="P84" s="32">
        <v>400</v>
      </c>
      <c r="Q84" s="32">
        <v>134.1</v>
      </c>
      <c r="R84" s="32">
        <v>83.2</v>
      </c>
      <c r="S84" s="32">
        <v>115.6</v>
      </c>
      <c r="T84" s="32">
        <v>83</v>
      </c>
      <c r="U84" s="32">
        <v>66.099999999999994</v>
      </c>
      <c r="V84" s="32">
        <v>109.1</v>
      </c>
      <c r="W84" s="32">
        <v>52</v>
      </c>
      <c r="X84" s="32">
        <v>41.7</v>
      </c>
      <c r="Y84" s="32">
        <v>63.5</v>
      </c>
      <c r="Z84" s="32">
        <v>87.8</v>
      </c>
      <c r="AA84" s="32">
        <v>91.6</v>
      </c>
      <c r="AB84" s="32">
        <v>90.7</v>
      </c>
      <c r="AC84" s="32">
        <v>86.6</v>
      </c>
      <c r="AD84" s="32">
        <v>103.3</v>
      </c>
      <c r="AE84" s="32">
        <v>89.3</v>
      </c>
      <c r="AF84" s="32">
        <v>89.3</v>
      </c>
      <c r="AG84" s="32">
        <v>76</v>
      </c>
      <c r="AH84" s="32">
        <v>76</v>
      </c>
      <c r="AI84" s="32">
        <v>207.3</v>
      </c>
      <c r="AJ84" s="32">
        <v>83</v>
      </c>
      <c r="AK84" s="32">
        <v>1017.2</v>
      </c>
      <c r="AL84" s="32">
        <v>109.9</v>
      </c>
      <c r="AM84" s="32">
        <v>39.700000000000003</v>
      </c>
      <c r="AN84" s="32">
        <v>136.4</v>
      </c>
      <c r="AO84" s="32">
        <v>84</v>
      </c>
      <c r="AP84" s="32">
        <v>84</v>
      </c>
      <c r="AQ84" s="32">
        <v>115.5</v>
      </c>
      <c r="AR84" s="32">
        <v>113.6</v>
      </c>
      <c r="AS84" s="32">
        <v>120.8</v>
      </c>
      <c r="AT84" s="32">
        <v>115.7</v>
      </c>
      <c r="AU84" s="32">
        <v>122.9</v>
      </c>
      <c r="AV84" s="32">
        <v>115.5</v>
      </c>
      <c r="AW84" s="32">
        <v>199.1</v>
      </c>
      <c r="AX84" s="32">
        <v>333.5</v>
      </c>
      <c r="AY84" s="32">
        <v>246.5</v>
      </c>
      <c r="AZ84" s="32">
        <v>102.1</v>
      </c>
      <c r="BA84" s="32">
        <v>39.9</v>
      </c>
      <c r="BB84" s="32">
        <v>39.9</v>
      </c>
      <c r="BC84" s="32">
        <v>155.30000000000001</v>
      </c>
      <c r="BD84" s="32">
        <v>155.30000000000001</v>
      </c>
      <c r="BE84" s="32">
        <v>99.9</v>
      </c>
      <c r="BF84" s="32">
        <v>99.9</v>
      </c>
      <c r="BG84" s="32">
        <v>79.3</v>
      </c>
      <c r="BH84" s="32">
        <v>63.4</v>
      </c>
      <c r="BI84" s="32">
        <v>94</v>
      </c>
      <c r="BJ84" s="32">
        <v>31.3</v>
      </c>
      <c r="BK84" s="32">
        <v>132</v>
      </c>
      <c r="BL84" s="32">
        <v>41</v>
      </c>
      <c r="BM84" s="32">
        <v>86.2</v>
      </c>
      <c r="BN84" s="32">
        <v>98</v>
      </c>
      <c r="BO84" s="32">
        <v>93.2</v>
      </c>
      <c r="BP84" s="32">
        <v>102</v>
      </c>
      <c r="BQ84" s="32">
        <v>73.7</v>
      </c>
      <c r="BR84" s="32">
        <v>71.599999999999994</v>
      </c>
      <c r="BS84" s="32">
        <v>168.1</v>
      </c>
      <c r="BT84" s="32">
        <v>54</v>
      </c>
      <c r="BU84" s="32">
        <v>168.6</v>
      </c>
      <c r="BV84" s="32">
        <v>168.6</v>
      </c>
      <c r="BW84" s="32">
        <v>215.3</v>
      </c>
      <c r="BX84" s="32">
        <v>115.9</v>
      </c>
      <c r="BY84" s="32">
        <v>108.6</v>
      </c>
      <c r="BZ84" s="32">
        <v>110.9</v>
      </c>
      <c r="CA84" s="32">
        <v>107.8</v>
      </c>
      <c r="CB84" s="32">
        <v>122.2</v>
      </c>
      <c r="CC84" s="32">
        <v>102.7</v>
      </c>
      <c r="CD84" s="32">
        <v>32.1</v>
      </c>
      <c r="CE84" s="32">
        <v>95.5</v>
      </c>
      <c r="CF84" s="32">
        <v>70.3</v>
      </c>
      <c r="CG84" s="32">
        <v>88.5</v>
      </c>
      <c r="CH84" s="32">
        <v>88.4</v>
      </c>
      <c r="CI84" s="32">
        <v>117.2</v>
      </c>
      <c r="CJ84" s="32">
        <v>71.2</v>
      </c>
      <c r="CK84" s="32">
        <v>96.7</v>
      </c>
      <c r="CL84" s="32">
        <v>87.5</v>
      </c>
      <c r="CM84" s="32">
        <v>104.7</v>
      </c>
      <c r="CN84" s="32">
        <v>75.8</v>
      </c>
      <c r="CO84" s="32">
        <v>106.9</v>
      </c>
      <c r="CP84" s="32">
        <v>134.80000000000001</v>
      </c>
      <c r="CQ84" s="32">
        <v>45.4</v>
      </c>
      <c r="CR84" s="32">
        <v>90</v>
      </c>
      <c r="CS84" s="32">
        <v>122.7</v>
      </c>
      <c r="CT84" s="32">
        <v>90.1</v>
      </c>
      <c r="CU84" s="32">
        <v>70</v>
      </c>
      <c r="CV84" s="32">
        <v>98.8</v>
      </c>
      <c r="CW84" s="32">
        <v>22.9</v>
      </c>
      <c r="CX84" s="32">
        <v>73</v>
      </c>
      <c r="CY84" s="32">
        <v>92.5</v>
      </c>
      <c r="CZ84" s="32">
        <v>62.3</v>
      </c>
      <c r="DA84" s="32">
        <v>46</v>
      </c>
      <c r="DB84" s="32">
        <v>100.8</v>
      </c>
      <c r="DC84" s="32">
        <v>2.9</v>
      </c>
      <c r="DD84" s="32">
        <v>2.9</v>
      </c>
      <c r="DE84" s="32">
        <v>52.8</v>
      </c>
      <c r="DF84" s="32">
        <v>49</v>
      </c>
      <c r="DG84" s="32">
        <v>74.5</v>
      </c>
      <c r="DH84" s="32">
        <v>81.099999999999994</v>
      </c>
      <c r="DI84" s="32">
        <v>136.19999999999999</v>
      </c>
      <c r="DJ84" s="32">
        <v>61.8</v>
      </c>
      <c r="DK84" s="32">
        <v>61.8</v>
      </c>
      <c r="DL84" s="32">
        <v>45.8</v>
      </c>
      <c r="DM84" s="32">
        <v>69.2</v>
      </c>
      <c r="DN84" s="32">
        <v>46.9</v>
      </c>
      <c r="DO84" s="32">
        <v>79.7</v>
      </c>
      <c r="DP84" s="32">
        <v>36.6</v>
      </c>
      <c r="DQ84" s="32">
        <v>61</v>
      </c>
      <c r="DR84" s="32">
        <v>63.9</v>
      </c>
      <c r="DS84" s="32">
        <v>59.3</v>
      </c>
      <c r="DT84" s="32">
        <v>55.3</v>
      </c>
      <c r="DU84" s="32">
        <v>56.7</v>
      </c>
      <c r="DV84" s="32">
        <v>69.599999999999994</v>
      </c>
      <c r="DW84" s="32">
        <v>44.1</v>
      </c>
      <c r="DX84" s="32">
        <v>52.3</v>
      </c>
      <c r="DY84" s="32">
        <v>73.400000000000006</v>
      </c>
      <c r="DZ84" s="32">
        <v>108.3</v>
      </c>
      <c r="EA84" s="32">
        <v>108.3</v>
      </c>
      <c r="EB84" s="32">
        <v>63.7</v>
      </c>
      <c r="EC84" s="32">
        <v>67.599999999999994</v>
      </c>
      <c r="ED84" s="32">
        <v>58.6</v>
      </c>
      <c r="EE84" s="32">
        <v>66.900000000000006</v>
      </c>
      <c r="EF84" s="32">
        <v>40.6</v>
      </c>
      <c r="EG84" s="32">
        <v>56.5</v>
      </c>
      <c r="EH84" s="32">
        <v>81.599999999999994</v>
      </c>
      <c r="EI84" s="32">
        <v>54.5</v>
      </c>
      <c r="EJ84" s="32">
        <v>63.3</v>
      </c>
      <c r="EK84" s="32">
        <v>46.1</v>
      </c>
      <c r="EL84" s="32">
        <v>69.8</v>
      </c>
      <c r="EM84" s="32">
        <v>36.1</v>
      </c>
      <c r="EN84" s="32">
        <v>49.3</v>
      </c>
      <c r="EO84" s="32">
        <v>85.9</v>
      </c>
      <c r="EP84" s="32">
        <v>84.9</v>
      </c>
      <c r="EQ84" s="32">
        <v>84.9</v>
      </c>
      <c r="ER84" s="32">
        <v>87.8</v>
      </c>
      <c r="ES84" s="32">
        <v>87.8</v>
      </c>
      <c r="ET84" s="32">
        <v>87.1</v>
      </c>
      <c r="EU84" s="32">
        <v>95.3</v>
      </c>
      <c r="EV84" s="32">
        <v>95.3</v>
      </c>
      <c r="EW84" s="32">
        <v>80.400000000000006</v>
      </c>
      <c r="EX84" s="32">
        <v>86.5</v>
      </c>
      <c r="EY84" s="32">
        <v>75.5</v>
      </c>
      <c r="EZ84" s="32">
        <v>93.6</v>
      </c>
      <c r="FA84" s="32">
        <v>104.6</v>
      </c>
      <c r="FB84" s="32">
        <v>114.2</v>
      </c>
      <c r="FC84" s="32">
        <v>83.1</v>
      </c>
      <c r="FD84" s="32">
        <v>119.7</v>
      </c>
      <c r="FE84" s="32">
        <v>168</v>
      </c>
      <c r="FF84" s="32">
        <v>94</v>
      </c>
      <c r="FG84" s="32">
        <v>83.7</v>
      </c>
      <c r="FH84" s="32">
        <v>85.7</v>
      </c>
      <c r="FI84" s="32">
        <v>67.400000000000006</v>
      </c>
      <c r="FJ84" s="32">
        <v>84.9</v>
      </c>
      <c r="FK84" s="32">
        <v>124.5</v>
      </c>
      <c r="FL84" s="32">
        <v>124.5</v>
      </c>
    </row>
    <row r="85" spans="1:168" x14ac:dyDescent="0.2">
      <c r="A85" s="34" t="s">
        <v>1065</v>
      </c>
      <c r="B85" s="32">
        <v>76</v>
      </c>
      <c r="C85" s="32">
        <v>93.2</v>
      </c>
      <c r="D85" s="32">
        <v>102.1</v>
      </c>
      <c r="E85" s="32">
        <v>105.4</v>
      </c>
      <c r="F85" s="32">
        <v>343</v>
      </c>
      <c r="G85" s="32">
        <v>11338.2</v>
      </c>
      <c r="H85" s="32">
        <v>453.8</v>
      </c>
      <c r="I85" s="32">
        <v>58.9</v>
      </c>
      <c r="J85" s="32">
        <v>85.7</v>
      </c>
      <c r="K85" s="32">
        <v>97.4</v>
      </c>
      <c r="L85" s="32">
        <v>98</v>
      </c>
      <c r="M85" s="32">
        <v>104.5</v>
      </c>
      <c r="N85" s="32">
        <v>86.7</v>
      </c>
      <c r="O85" s="32">
        <v>307.89999999999998</v>
      </c>
      <c r="P85" s="32">
        <v>409.4</v>
      </c>
      <c r="Q85" s="32">
        <v>136</v>
      </c>
      <c r="R85" s="32">
        <v>83.4</v>
      </c>
      <c r="S85" s="32">
        <v>112.1</v>
      </c>
      <c r="T85" s="32">
        <v>89.7</v>
      </c>
      <c r="U85" s="32">
        <v>68.400000000000006</v>
      </c>
      <c r="V85" s="32">
        <v>107.7</v>
      </c>
      <c r="W85" s="32">
        <v>51.3</v>
      </c>
      <c r="X85" s="32">
        <v>42.3</v>
      </c>
      <c r="Y85" s="32">
        <v>64.8</v>
      </c>
      <c r="Z85" s="32">
        <v>43.5</v>
      </c>
      <c r="AA85" s="32">
        <v>93.2</v>
      </c>
      <c r="AB85" s="32">
        <v>93</v>
      </c>
      <c r="AC85" s="32">
        <v>87.6</v>
      </c>
      <c r="AD85" s="32">
        <v>105.1</v>
      </c>
      <c r="AE85" s="32">
        <v>103</v>
      </c>
      <c r="AF85" s="32">
        <v>103</v>
      </c>
      <c r="AG85" s="32">
        <v>77.8</v>
      </c>
      <c r="AH85" s="32">
        <v>77.8</v>
      </c>
      <c r="AI85" s="32">
        <v>214.9</v>
      </c>
      <c r="AJ85" s="32">
        <v>84.9</v>
      </c>
      <c r="AK85" s="32">
        <v>911.2</v>
      </c>
      <c r="AL85" s="32">
        <v>114.3</v>
      </c>
      <c r="AM85" s="32">
        <v>42.4</v>
      </c>
      <c r="AN85" s="32">
        <v>135.1</v>
      </c>
      <c r="AO85" s="32">
        <v>81</v>
      </c>
      <c r="AP85" s="32">
        <v>81</v>
      </c>
      <c r="AQ85" s="32">
        <v>114.2</v>
      </c>
      <c r="AR85" s="32">
        <v>111.7</v>
      </c>
      <c r="AS85" s="32">
        <v>120.5</v>
      </c>
      <c r="AT85" s="32">
        <v>114.7</v>
      </c>
      <c r="AU85" s="32">
        <v>123.4</v>
      </c>
      <c r="AV85" s="32">
        <v>115.1</v>
      </c>
      <c r="AW85" s="32">
        <v>188.9</v>
      </c>
      <c r="AX85" s="32">
        <v>301.3</v>
      </c>
      <c r="AY85" s="32">
        <v>241.9</v>
      </c>
      <c r="AZ85" s="32">
        <v>103.7</v>
      </c>
      <c r="BA85" s="32">
        <v>40.9</v>
      </c>
      <c r="BB85" s="32">
        <v>40.9</v>
      </c>
      <c r="BC85" s="32">
        <v>152.6</v>
      </c>
      <c r="BD85" s="32">
        <v>152.6</v>
      </c>
      <c r="BE85" s="32">
        <v>98.2</v>
      </c>
      <c r="BF85" s="32">
        <v>98.2</v>
      </c>
      <c r="BG85" s="32">
        <v>79.099999999999994</v>
      </c>
      <c r="BH85" s="32">
        <v>62.6</v>
      </c>
      <c r="BI85" s="32">
        <v>94.7</v>
      </c>
      <c r="BJ85" s="32">
        <v>32</v>
      </c>
      <c r="BK85" s="32">
        <v>132.69999999999999</v>
      </c>
      <c r="BL85" s="32">
        <v>41.6</v>
      </c>
      <c r="BM85" s="32">
        <v>86.2</v>
      </c>
      <c r="BN85" s="32">
        <v>99.7</v>
      </c>
      <c r="BO85" s="32">
        <v>92.2</v>
      </c>
      <c r="BP85" s="32">
        <v>106.2</v>
      </c>
      <c r="BQ85" s="32">
        <v>71.400000000000006</v>
      </c>
      <c r="BR85" s="32">
        <v>63.6</v>
      </c>
      <c r="BS85" s="32">
        <v>166.4</v>
      </c>
      <c r="BT85" s="32">
        <v>52.4</v>
      </c>
      <c r="BU85" s="32">
        <v>170.7</v>
      </c>
      <c r="BV85" s="32">
        <v>170.7</v>
      </c>
      <c r="BW85" s="32">
        <v>218</v>
      </c>
      <c r="BX85" s="32">
        <v>116.9</v>
      </c>
      <c r="BY85" s="32">
        <v>110</v>
      </c>
      <c r="BZ85" s="32">
        <v>116.5</v>
      </c>
      <c r="CA85" s="32">
        <v>107.3</v>
      </c>
      <c r="CB85" s="32">
        <v>120.2</v>
      </c>
      <c r="CC85" s="32">
        <v>103.8</v>
      </c>
      <c r="CD85" s="32">
        <v>31.5</v>
      </c>
      <c r="CE85" s="32">
        <v>95.4</v>
      </c>
      <c r="CF85" s="32">
        <v>70.400000000000006</v>
      </c>
      <c r="CG85" s="32">
        <v>87.9</v>
      </c>
      <c r="CH85" s="32">
        <v>87.2</v>
      </c>
      <c r="CI85" s="32">
        <v>113.7</v>
      </c>
      <c r="CJ85" s="32">
        <v>69.5</v>
      </c>
      <c r="CK85" s="32">
        <v>96.7</v>
      </c>
      <c r="CL85" s="32">
        <v>88.3</v>
      </c>
      <c r="CM85" s="32">
        <v>104.9</v>
      </c>
      <c r="CN85" s="32">
        <v>76.3</v>
      </c>
      <c r="CO85" s="32">
        <v>107</v>
      </c>
      <c r="CP85" s="32">
        <v>139.6</v>
      </c>
      <c r="CQ85" s="32">
        <v>47.1</v>
      </c>
      <c r="CR85" s="32">
        <v>91.9</v>
      </c>
      <c r="CS85" s="32">
        <v>119.4</v>
      </c>
      <c r="CT85" s="32">
        <v>90</v>
      </c>
      <c r="CU85" s="32">
        <v>70.400000000000006</v>
      </c>
      <c r="CV85" s="32">
        <v>98.5</v>
      </c>
      <c r="CW85" s="32">
        <v>23.3</v>
      </c>
      <c r="CX85" s="32">
        <v>74</v>
      </c>
      <c r="CY85" s="32">
        <v>91.4</v>
      </c>
      <c r="CZ85" s="32">
        <v>64.599999999999994</v>
      </c>
      <c r="DA85" s="32">
        <v>48.5</v>
      </c>
      <c r="DB85" s="32">
        <v>101.7</v>
      </c>
      <c r="DC85" s="32">
        <v>3</v>
      </c>
      <c r="DD85" s="32">
        <v>3</v>
      </c>
      <c r="DE85" s="32">
        <v>53.7</v>
      </c>
      <c r="DF85" s="32">
        <v>50.3</v>
      </c>
      <c r="DG85" s="32">
        <v>73.2</v>
      </c>
      <c r="DH85" s="32">
        <v>79.7</v>
      </c>
      <c r="DI85" s="32">
        <v>136.5</v>
      </c>
      <c r="DJ85" s="32">
        <v>61</v>
      </c>
      <c r="DK85" s="32">
        <v>61</v>
      </c>
      <c r="DL85" s="32">
        <v>41.6</v>
      </c>
      <c r="DM85" s="32">
        <v>69.400000000000006</v>
      </c>
      <c r="DN85" s="32">
        <v>47</v>
      </c>
      <c r="DO85" s="32">
        <v>79.900000000000006</v>
      </c>
      <c r="DP85" s="32">
        <v>37.4</v>
      </c>
      <c r="DQ85" s="32">
        <v>61.5</v>
      </c>
      <c r="DR85" s="32">
        <v>63.9</v>
      </c>
      <c r="DS85" s="32">
        <v>59.6</v>
      </c>
      <c r="DT85" s="32">
        <v>56</v>
      </c>
      <c r="DU85" s="32">
        <v>57.1</v>
      </c>
      <c r="DV85" s="32">
        <v>70.8</v>
      </c>
      <c r="DW85" s="32">
        <v>43.6</v>
      </c>
      <c r="DX85" s="32">
        <v>53.8</v>
      </c>
      <c r="DY85" s="32">
        <v>72.5</v>
      </c>
      <c r="DZ85" s="32">
        <v>102</v>
      </c>
      <c r="EA85" s="32">
        <v>102</v>
      </c>
      <c r="EB85" s="32">
        <v>64.8</v>
      </c>
      <c r="EC85" s="32">
        <v>67.900000000000006</v>
      </c>
      <c r="ED85" s="32">
        <v>60.8</v>
      </c>
      <c r="EE85" s="32">
        <v>70.099999999999994</v>
      </c>
      <c r="EF85" s="32">
        <v>40.5</v>
      </c>
      <c r="EG85" s="32">
        <v>57.9</v>
      </c>
      <c r="EH85" s="32">
        <v>83.7</v>
      </c>
      <c r="EI85" s="32">
        <v>54</v>
      </c>
      <c r="EJ85" s="32">
        <v>68.7</v>
      </c>
      <c r="EK85" s="32">
        <v>47.9</v>
      </c>
      <c r="EL85" s="32">
        <v>68.3</v>
      </c>
      <c r="EM85" s="32">
        <v>36.700000000000003</v>
      </c>
      <c r="EN85" s="32">
        <v>52.5</v>
      </c>
      <c r="EO85" s="32">
        <v>86.3</v>
      </c>
      <c r="EP85" s="32">
        <v>85.2</v>
      </c>
      <c r="EQ85" s="32">
        <v>85.2</v>
      </c>
      <c r="ER85" s="32">
        <v>87.8</v>
      </c>
      <c r="ES85" s="32">
        <v>87.8</v>
      </c>
      <c r="ET85" s="32">
        <v>87.8</v>
      </c>
      <c r="EU85" s="32">
        <v>96.2</v>
      </c>
      <c r="EV85" s="32">
        <v>96.2</v>
      </c>
      <c r="EW85" s="32">
        <v>80.7</v>
      </c>
      <c r="EX85" s="32">
        <v>86.9</v>
      </c>
      <c r="EY85" s="32">
        <v>75.900000000000006</v>
      </c>
      <c r="EZ85" s="32">
        <v>93.7</v>
      </c>
      <c r="FA85" s="32">
        <v>105.9</v>
      </c>
      <c r="FB85" s="32">
        <v>115.9</v>
      </c>
      <c r="FC85" s="32">
        <v>82.8</v>
      </c>
      <c r="FD85" s="32">
        <v>120.5</v>
      </c>
      <c r="FE85" s="32">
        <v>174.5</v>
      </c>
      <c r="FF85" s="32">
        <v>94.8</v>
      </c>
      <c r="FG85" s="32">
        <v>83.2</v>
      </c>
      <c r="FH85" s="32">
        <v>87</v>
      </c>
      <c r="FI85" s="32">
        <v>72.099999999999994</v>
      </c>
      <c r="FJ85" s="32">
        <v>82.9</v>
      </c>
      <c r="FK85" s="32">
        <v>119.3</v>
      </c>
      <c r="FL85" s="32">
        <v>119.3</v>
      </c>
    </row>
    <row r="86" spans="1:168" x14ac:dyDescent="0.2">
      <c r="A86" s="34" t="s">
        <v>1066</v>
      </c>
      <c r="B86" s="32">
        <v>76.400000000000006</v>
      </c>
      <c r="C86" s="32">
        <v>92.2</v>
      </c>
      <c r="D86" s="32">
        <v>102.4</v>
      </c>
      <c r="E86" s="32">
        <v>105.8</v>
      </c>
      <c r="F86" s="32">
        <v>331.4</v>
      </c>
      <c r="G86" s="32">
        <v>10384.1</v>
      </c>
      <c r="H86" s="32">
        <v>437.1</v>
      </c>
      <c r="I86" s="32">
        <v>58.8</v>
      </c>
      <c r="J86" s="32">
        <v>86.3</v>
      </c>
      <c r="K86" s="32">
        <v>99.9</v>
      </c>
      <c r="L86" s="32">
        <v>101.8</v>
      </c>
      <c r="M86" s="32">
        <v>101</v>
      </c>
      <c r="N86" s="32">
        <v>89.3</v>
      </c>
      <c r="O86" s="32">
        <v>298.8</v>
      </c>
      <c r="P86" s="32">
        <v>405</v>
      </c>
      <c r="Q86" s="32">
        <v>135.19999999999999</v>
      </c>
      <c r="R86" s="32">
        <v>78.8</v>
      </c>
      <c r="S86" s="32">
        <v>128</v>
      </c>
      <c r="T86" s="32">
        <v>90.9</v>
      </c>
      <c r="U86" s="32">
        <v>64.8</v>
      </c>
      <c r="V86" s="32">
        <v>106.9</v>
      </c>
      <c r="W86" s="32">
        <v>51</v>
      </c>
      <c r="X86" s="32">
        <v>43.4</v>
      </c>
      <c r="Y86" s="32">
        <v>61.6</v>
      </c>
      <c r="Z86" s="32">
        <v>47.8</v>
      </c>
      <c r="AA86" s="32">
        <v>94.7</v>
      </c>
      <c r="AB86" s="32">
        <v>93</v>
      </c>
      <c r="AC86" s="32">
        <v>87.4</v>
      </c>
      <c r="AD86" s="32">
        <v>108.9</v>
      </c>
      <c r="AE86" s="32">
        <v>101.3</v>
      </c>
      <c r="AF86" s="32">
        <v>101.3</v>
      </c>
      <c r="AG86" s="32">
        <v>78.2</v>
      </c>
      <c r="AH86" s="32">
        <v>78.2</v>
      </c>
      <c r="AI86" s="32">
        <v>231.3</v>
      </c>
      <c r="AJ86" s="32">
        <v>85.6</v>
      </c>
      <c r="AK86" s="32">
        <v>806.4</v>
      </c>
      <c r="AL86" s="32">
        <v>115.4</v>
      </c>
      <c r="AM86" s="32">
        <v>42.4</v>
      </c>
      <c r="AN86" s="32">
        <v>136.19999999999999</v>
      </c>
      <c r="AO86" s="32">
        <v>80.8</v>
      </c>
      <c r="AP86" s="32">
        <v>80.8</v>
      </c>
      <c r="AQ86" s="32">
        <v>114.8</v>
      </c>
      <c r="AR86" s="32">
        <v>112.4</v>
      </c>
      <c r="AS86" s="32">
        <v>120.8</v>
      </c>
      <c r="AT86" s="32">
        <v>116.3</v>
      </c>
      <c r="AU86" s="32">
        <v>122.2</v>
      </c>
      <c r="AV86" s="32">
        <v>114</v>
      </c>
      <c r="AW86" s="32">
        <v>185.9</v>
      </c>
      <c r="AX86" s="32">
        <v>285.3</v>
      </c>
      <c r="AY86" s="32">
        <v>244</v>
      </c>
      <c r="AZ86" s="32">
        <v>102.9</v>
      </c>
      <c r="BA86" s="32">
        <v>39.5</v>
      </c>
      <c r="BB86" s="32">
        <v>39.5</v>
      </c>
      <c r="BC86" s="32">
        <v>153</v>
      </c>
      <c r="BD86" s="32">
        <v>153</v>
      </c>
      <c r="BE86" s="32">
        <v>101.4</v>
      </c>
      <c r="BF86" s="32">
        <v>101.4</v>
      </c>
      <c r="BG86" s="32">
        <v>80</v>
      </c>
      <c r="BH86" s="32">
        <v>62</v>
      </c>
      <c r="BI86" s="32">
        <v>97.7</v>
      </c>
      <c r="BJ86" s="32">
        <v>32</v>
      </c>
      <c r="BK86" s="32">
        <v>137.6</v>
      </c>
      <c r="BL86" s="32">
        <v>42.5</v>
      </c>
      <c r="BM86" s="32">
        <v>86.8</v>
      </c>
      <c r="BN86" s="32">
        <v>99.1</v>
      </c>
      <c r="BO86" s="32">
        <v>96.2</v>
      </c>
      <c r="BP86" s="32">
        <v>101.3</v>
      </c>
      <c r="BQ86" s="32">
        <v>73.599999999999994</v>
      </c>
      <c r="BR86" s="32">
        <v>62.1</v>
      </c>
      <c r="BS86" s="32">
        <v>192</v>
      </c>
      <c r="BT86" s="32">
        <v>51.3</v>
      </c>
      <c r="BU86" s="32">
        <v>174.6</v>
      </c>
      <c r="BV86" s="32">
        <v>174.6</v>
      </c>
      <c r="BW86" s="32">
        <v>220.7</v>
      </c>
      <c r="BX86" s="32">
        <v>122.6</v>
      </c>
      <c r="BY86" s="32">
        <v>109.4</v>
      </c>
      <c r="BZ86" s="32">
        <v>113.5</v>
      </c>
      <c r="CA86" s="32">
        <v>107.9</v>
      </c>
      <c r="CB86" s="32">
        <v>120</v>
      </c>
      <c r="CC86" s="32">
        <v>105.1</v>
      </c>
      <c r="CD86" s="32">
        <v>30.8</v>
      </c>
      <c r="CE86" s="32">
        <v>95.3</v>
      </c>
      <c r="CF86" s="32">
        <v>70.900000000000006</v>
      </c>
      <c r="CG86" s="32">
        <v>88.8</v>
      </c>
      <c r="CH86" s="32">
        <v>88.9</v>
      </c>
      <c r="CI86" s="32">
        <v>113.6</v>
      </c>
      <c r="CJ86" s="32">
        <v>72.900000000000006</v>
      </c>
      <c r="CK86" s="32">
        <v>97</v>
      </c>
      <c r="CL86" s="32">
        <v>87.7</v>
      </c>
      <c r="CM86" s="32">
        <v>104.4</v>
      </c>
      <c r="CN86" s="32">
        <v>75.099999999999994</v>
      </c>
      <c r="CO86" s="32">
        <v>106.7</v>
      </c>
      <c r="CP86" s="32">
        <v>142.69999999999999</v>
      </c>
      <c r="CQ86" s="32">
        <v>45.9</v>
      </c>
      <c r="CR86" s="32">
        <v>91.9</v>
      </c>
      <c r="CS86" s="32">
        <v>117.3</v>
      </c>
      <c r="CT86" s="32">
        <v>89.7</v>
      </c>
      <c r="CU86" s="32">
        <v>70.3</v>
      </c>
      <c r="CV86" s="32">
        <v>98.2</v>
      </c>
      <c r="CW86" s="32">
        <v>23.1</v>
      </c>
      <c r="CX86" s="32">
        <v>74.900000000000006</v>
      </c>
      <c r="CY86" s="32">
        <v>91.9</v>
      </c>
      <c r="CZ86" s="32">
        <v>65.7</v>
      </c>
      <c r="DA86" s="32">
        <v>49.4</v>
      </c>
      <c r="DB86" s="32">
        <v>103.7</v>
      </c>
      <c r="DC86" s="32">
        <v>3</v>
      </c>
      <c r="DD86" s="32">
        <v>3</v>
      </c>
      <c r="DE86" s="32">
        <v>51.5</v>
      </c>
      <c r="DF86" s="32">
        <v>48.3</v>
      </c>
      <c r="DG86" s="32">
        <v>70.099999999999994</v>
      </c>
      <c r="DH86" s="32">
        <v>80.400000000000006</v>
      </c>
      <c r="DI86" s="32">
        <v>138</v>
      </c>
      <c r="DJ86" s="32">
        <v>59.6</v>
      </c>
      <c r="DK86" s="32">
        <v>59.6</v>
      </c>
      <c r="DL86" s="32">
        <v>43.4</v>
      </c>
      <c r="DM86" s="32">
        <v>69.900000000000006</v>
      </c>
      <c r="DN86" s="32">
        <v>47.2</v>
      </c>
      <c r="DO86" s="32">
        <v>80.5</v>
      </c>
      <c r="DP86" s="32">
        <v>38.4</v>
      </c>
      <c r="DQ86" s="32">
        <v>62.7</v>
      </c>
      <c r="DR86" s="32">
        <v>66</v>
      </c>
      <c r="DS86" s="32">
        <v>61.7</v>
      </c>
      <c r="DT86" s="32">
        <v>57.5</v>
      </c>
      <c r="DU86" s="32">
        <v>58.1</v>
      </c>
      <c r="DV86" s="32">
        <v>72.2</v>
      </c>
      <c r="DW86" s="32">
        <v>44.3</v>
      </c>
      <c r="DX86" s="32">
        <v>56.2</v>
      </c>
      <c r="DY86" s="32">
        <v>76.5</v>
      </c>
      <c r="DZ86" s="32">
        <v>107.8</v>
      </c>
      <c r="EA86" s="32">
        <v>107.8</v>
      </c>
      <c r="EB86" s="32">
        <v>65.7</v>
      </c>
      <c r="EC86" s="32">
        <v>68.900000000000006</v>
      </c>
      <c r="ED86" s="32">
        <v>61.5</v>
      </c>
      <c r="EE86" s="32">
        <v>71.099999999999994</v>
      </c>
      <c r="EF86" s="32">
        <v>40.5</v>
      </c>
      <c r="EG86" s="32">
        <v>57.8</v>
      </c>
      <c r="EH86" s="32">
        <v>81.7</v>
      </c>
      <c r="EI86" s="32">
        <v>55.3</v>
      </c>
      <c r="EJ86" s="32">
        <v>63</v>
      </c>
      <c r="EK86" s="32">
        <v>48.5</v>
      </c>
      <c r="EL86" s="32">
        <v>72.099999999999994</v>
      </c>
      <c r="EM86" s="32">
        <v>37</v>
      </c>
      <c r="EN86" s="32">
        <v>52.8</v>
      </c>
      <c r="EO86" s="32">
        <v>86.5</v>
      </c>
      <c r="EP86" s="32">
        <v>85.5</v>
      </c>
      <c r="EQ86" s="32">
        <v>85.5</v>
      </c>
      <c r="ER86" s="32">
        <v>87.5</v>
      </c>
      <c r="ES86" s="32">
        <v>87.5</v>
      </c>
      <c r="ET86" s="32">
        <v>88.4</v>
      </c>
      <c r="EU86" s="32">
        <v>96.9</v>
      </c>
      <c r="EV86" s="32">
        <v>96.9</v>
      </c>
      <c r="EW86" s="32">
        <v>81.099999999999994</v>
      </c>
      <c r="EX86" s="32">
        <v>87.2</v>
      </c>
      <c r="EY86" s="32">
        <v>76.3</v>
      </c>
      <c r="EZ86" s="32">
        <v>93.8</v>
      </c>
      <c r="FA86" s="32">
        <v>107.4</v>
      </c>
      <c r="FB86" s="32">
        <v>117.6</v>
      </c>
      <c r="FC86" s="32">
        <v>81.099999999999994</v>
      </c>
      <c r="FD86" s="32">
        <v>120.5</v>
      </c>
      <c r="FE86" s="32">
        <v>184.9</v>
      </c>
      <c r="FF86" s="32">
        <v>96</v>
      </c>
      <c r="FG86" s="32">
        <v>83.5</v>
      </c>
      <c r="FH86" s="32">
        <v>86.4</v>
      </c>
      <c r="FI86" s="32">
        <v>76.900000000000006</v>
      </c>
      <c r="FJ86" s="32">
        <v>83</v>
      </c>
      <c r="FK86" s="32">
        <v>100.5</v>
      </c>
      <c r="FL86" s="32">
        <v>100.5</v>
      </c>
    </row>
    <row r="87" spans="1:168" x14ac:dyDescent="0.2">
      <c r="A87" s="34" t="s">
        <v>1067</v>
      </c>
      <c r="B87" s="32">
        <v>76.8</v>
      </c>
      <c r="C87" s="32">
        <v>91.1</v>
      </c>
      <c r="D87" s="32">
        <v>103.6</v>
      </c>
      <c r="E87" s="32">
        <v>107.7</v>
      </c>
      <c r="F87" s="32">
        <v>345.6</v>
      </c>
      <c r="G87" s="32">
        <v>11655.7</v>
      </c>
      <c r="H87" s="32">
        <v>457.4</v>
      </c>
      <c r="I87" s="32">
        <v>58.8</v>
      </c>
      <c r="J87" s="32">
        <v>87.9</v>
      </c>
      <c r="K87" s="32">
        <v>100.6</v>
      </c>
      <c r="L87" s="32">
        <v>102.3</v>
      </c>
      <c r="M87" s="32">
        <v>100.7</v>
      </c>
      <c r="N87" s="32">
        <v>88.2</v>
      </c>
      <c r="O87" s="32">
        <v>296.39999999999998</v>
      </c>
      <c r="P87" s="32">
        <v>407.4</v>
      </c>
      <c r="Q87" s="32">
        <v>129.69999999999999</v>
      </c>
      <c r="R87" s="32">
        <v>83.9</v>
      </c>
      <c r="S87" s="32">
        <v>126.9</v>
      </c>
      <c r="T87" s="32">
        <v>93</v>
      </c>
      <c r="U87" s="32">
        <v>70.3</v>
      </c>
      <c r="V87" s="32">
        <v>106.2</v>
      </c>
      <c r="W87" s="32">
        <v>51.1</v>
      </c>
      <c r="X87" s="32">
        <v>43.3</v>
      </c>
      <c r="Y87" s="32">
        <v>61.2</v>
      </c>
      <c r="Z87" s="32">
        <v>56</v>
      </c>
      <c r="AA87" s="32">
        <v>97</v>
      </c>
      <c r="AB87" s="32">
        <v>94.4</v>
      </c>
      <c r="AC87" s="32">
        <v>88.5</v>
      </c>
      <c r="AD87" s="32">
        <v>112.8</v>
      </c>
      <c r="AE87" s="32">
        <v>110.6</v>
      </c>
      <c r="AF87" s="32">
        <v>110.6</v>
      </c>
      <c r="AG87" s="32">
        <v>76.599999999999994</v>
      </c>
      <c r="AH87" s="32">
        <v>76.599999999999994</v>
      </c>
      <c r="AI87" s="32">
        <v>224.4</v>
      </c>
      <c r="AJ87" s="32">
        <v>80.8</v>
      </c>
      <c r="AK87" s="32">
        <v>674.2</v>
      </c>
      <c r="AL87" s="32">
        <v>121.2</v>
      </c>
      <c r="AM87" s="32">
        <v>43.8</v>
      </c>
      <c r="AN87" s="32">
        <v>135</v>
      </c>
      <c r="AO87" s="32">
        <v>88.7</v>
      </c>
      <c r="AP87" s="32">
        <v>88.7</v>
      </c>
      <c r="AQ87" s="32">
        <v>115.9</v>
      </c>
      <c r="AR87" s="32">
        <v>113.3</v>
      </c>
      <c r="AS87" s="32">
        <v>122.3</v>
      </c>
      <c r="AT87" s="32">
        <v>116.8</v>
      </c>
      <c r="AU87" s="32">
        <v>124.9</v>
      </c>
      <c r="AV87" s="32">
        <v>113.3</v>
      </c>
      <c r="AW87" s="32">
        <v>180.3</v>
      </c>
      <c r="AX87" s="32">
        <v>262.7</v>
      </c>
      <c r="AY87" s="32">
        <v>243.3</v>
      </c>
      <c r="AZ87" s="32">
        <v>103.1</v>
      </c>
      <c r="BA87" s="32">
        <v>42.5</v>
      </c>
      <c r="BB87" s="32">
        <v>42.5</v>
      </c>
      <c r="BC87" s="32">
        <v>154</v>
      </c>
      <c r="BD87" s="32">
        <v>154</v>
      </c>
      <c r="BE87" s="32">
        <v>102.3</v>
      </c>
      <c r="BF87" s="32">
        <v>102.3</v>
      </c>
      <c r="BG87" s="32">
        <v>82.5</v>
      </c>
      <c r="BH87" s="32">
        <v>63.7</v>
      </c>
      <c r="BI87" s="32">
        <v>101.3</v>
      </c>
      <c r="BJ87" s="32">
        <v>32.799999999999997</v>
      </c>
      <c r="BK87" s="32">
        <v>143.5</v>
      </c>
      <c r="BL87" s="32">
        <v>42.2</v>
      </c>
      <c r="BM87" s="32">
        <v>88.1</v>
      </c>
      <c r="BN87" s="32">
        <v>98.2</v>
      </c>
      <c r="BO87" s="32">
        <v>90.2</v>
      </c>
      <c r="BP87" s="32">
        <v>104.9</v>
      </c>
      <c r="BQ87" s="32">
        <v>77.900000000000006</v>
      </c>
      <c r="BR87" s="32">
        <v>74.599999999999994</v>
      </c>
      <c r="BS87" s="32">
        <v>206</v>
      </c>
      <c r="BT87" s="32">
        <v>53</v>
      </c>
      <c r="BU87" s="32">
        <v>175.4</v>
      </c>
      <c r="BV87" s="32">
        <v>175.4</v>
      </c>
      <c r="BW87" s="32">
        <v>214.7</v>
      </c>
      <c r="BX87" s="32">
        <v>133.1</v>
      </c>
      <c r="BY87" s="32">
        <v>108.3</v>
      </c>
      <c r="BZ87" s="32">
        <v>111.9</v>
      </c>
      <c r="CA87" s="32">
        <v>107</v>
      </c>
      <c r="CB87" s="32">
        <v>120.8</v>
      </c>
      <c r="CC87" s="32">
        <v>102.5</v>
      </c>
      <c r="CD87" s="32">
        <v>30.7</v>
      </c>
      <c r="CE87" s="32">
        <v>95.2</v>
      </c>
      <c r="CF87" s="32">
        <v>71</v>
      </c>
      <c r="CG87" s="32">
        <v>88.4</v>
      </c>
      <c r="CH87" s="32">
        <v>88.3</v>
      </c>
      <c r="CI87" s="32">
        <v>114.3</v>
      </c>
      <c r="CJ87" s="32">
        <v>71.7</v>
      </c>
      <c r="CK87" s="32">
        <v>96.8</v>
      </c>
      <c r="CL87" s="32">
        <v>87.6</v>
      </c>
      <c r="CM87" s="32">
        <v>102.4</v>
      </c>
      <c r="CN87" s="32">
        <v>73.7</v>
      </c>
      <c r="CO87" s="32">
        <v>104.6</v>
      </c>
      <c r="CP87" s="32">
        <v>143.4</v>
      </c>
      <c r="CQ87" s="32">
        <v>45.5</v>
      </c>
      <c r="CR87" s="32">
        <v>91.5</v>
      </c>
      <c r="CS87" s="32">
        <v>123.2</v>
      </c>
      <c r="CT87" s="32">
        <v>89.7</v>
      </c>
      <c r="CU87" s="32">
        <v>69.099999999999994</v>
      </c>
      <c r="CV87" s="32">
        <v>98.8</v>
      </c>
      <c r="CW87" s="32">
        <v>23.6</v>
      </c>
      <c r="CX87" s="32">
        <v>77.3</v>
      </c>
      <c r="CY87" s="32">
        <v>93.9</v>
      </c>
      <c r="CZ87" s="32">
        <v>68.7</v>
      </c>
      <c r="DA87" s="32">
        <v>52.7</v>
      </c>
      <c r="DB87" s="32">
        <v>104.7</v>
      </c>
      <c r="DC87" s="32">
        <v>3.1</v>
      </c>
      <c r="DD87" s="32">
        <v>3.1</v>
      </c>
      <c r="DE87" s="32">
        <v>52.6</v>
      </c>
      <c r="DF87" s="32">
        <v>49.7</v>
      </c>
      <c r="DG87" s="32">
        <v>68.8</v>
      </c>
      <c r="DH87" s="32">
        <v>79</v>
      </c>
      <c r="DI87" s="32">
        <v>138.6</v>
      </c>
      <c r="DJ87" s="32">
        <v>55.9</v>
      </c>
      <c r="DK87" s="32">
        <v>55.9</v>
      </c>
      <c r="DL87" s="32">
        <v>41.7</v>
      </c>
      <c r="DM87" s="32">
        <v>69.8</v>
      </c>
      <c r="DN87" s="32">
        <v>46.6</v>
      </c>
      <c r="DO87" s="32">
        <v>80.7</v>
      </c>
      <c r="DP87" s="32">
        <v>39</v>
      </c>
      <c r="DQ87" s="32">
        <v>63.8</v>
      </c>
      <c r="DR87" s="32">
        <v>67.7</v>
      </c>
      <c r="DS87" s="32">
        <v>63.9</v>
      </c>
      <c r="DT87" s="32">
        <v>60</v>
      </c>
      <c r="DU87" s="32">
        <v>61</v>
      </c>
      <c r="DV87" s="32">
        <v>74.900000000000006</v>
      </c>
      <c r="DW87" s="32">
        <v>47.3</v>
      </c>
      <c r="DX87" s="32">
        <v>57.8</v>
      </c>
      <c r="DY87" s="32">
        <v>78</v>
      </c>
      <c r="DZ87" s="32">
        <v>107.8</v>
      </c>
      <c r="EA87" s="32">
        <v>107.8</v>
      </c>
      <c r="EB87" s="32">
        <v>66.599999999999994</v>
      </c>
      <c r="EC87" s="32">
        <v>69.8</v>
      </c>
      <c r="ED87" s="32">
        <v>62.5</v>
      </c>
      <c r="EE87" s="32">
        <v>72.599999999999994</v>
      </c>
      <c r="EF87" s="32">
        <v>40.299999999999997</v>
      </c>
      <c r="EG87" s="32">
        <v>57.9</v>
      </c>
      <c r="EH87" s="32">
        <v>83.2</v>
      </c>
      <c r="EI87" s="32">
        <v>54.7</v>
      </c>
      <c r="EJ87" s="32">
        <v>63</v>
      </c>
      <c r="EK87" s="32">
        <v>48.7</v>
      </c>
      <c r="EL87" s="32">
        <v>72.400000000000006</v>
      </c>
      <c r="EM87" s="32">
        <v>37.700000000000003</v>
      </c>
      <c r="EN87" s="32">
        <v>52.6</v>
      </c>
      <c r="EO87" s="32">
        <v>86.6</v>
      </c>
      <c r="EP87" s="32">
        <v>85.1</v>
      </c>
      <c r="EQ87" s="32">
        <v>85.1</v>
      </c>
      <c r="ER87" s="32">
        <v>87.7</v>
      </c>
      <c r="ES87" s="32">
        <v>87.7</v>
      </c>
      <c r="ET87" s="32">
        <v>88.8</v>
      </c>
      <c r="EU87" s="32">
        <v>97.4</v>
      </c>
      <c r="EV87" s="32">
        <v>97.4</v>
      </c>
      <c r="EW87" s="32">
        <v>81.3</v>
      </c>
      <c r="EX87" s="32">
        <v>87.4</v>
      </c>
      <c r="EY87" s="32">
        <v>76.599999999999994</v>
      </c>
      <c r="EZ87" s="32">
        <v>93.6</v>
      </c>
      <c r="FA87" s="32">
        <v>107.7</v>
      </c>
      <c r="FB87" s="32">
        <v>118</v>
      </c>
      <c r="FC87" s="32">
        <v>77.2</v>
      </c>
      <c r="FD87" s="32">
        <v>120.5</v>
      </c>
      <c r="FE87" s="32">
        <v>194.9</v>
      </c>
      <c r="FF87" s="32">
        <v>96.1</v>
      </c>
      <c r="FG87" s="32">
        <v>83.9</v>
      </c>
      <c r="FH87" s="32">
        <v>84</v>
      </c>
      <c r="FI87" s="32">
        <v>91.7</v>
      </c>
      <c r="FJ87" s="32">
        <v>82.7</v>
      </c>
      <c r="FK87" s="32">
        <v>87.7</v>
      </c>
      <c r="FL87" s="32">
        <v>87.7</v>
      </c>
    </row>
    <row r="88" spans="1:168" x14ac:dyDescent="0.2">
      <c r="A88" s="34" t="s">
        <v>1068</v>
      </c>
      <c r="B88" s="32">
        <v>76.599999999999994</v>
      </c>
      <c r="C88" s="32">
        <v>90.2</v>
      </c>
      <c r="D88" s="32">
        <v>102.9</v>
      </c>
      <c r="E88" s="32">
        <v>106.5</v>
      </c>
      <c r="F88" s="32">
        <v>338.3</v>
      </c>
      <c r="G88" s="32">
        <v>13149.8</v>
      </c>
      <c r="H88" s="32">
        <v>442.9</v>
      </c>
      <c r="I88" s="32">
        <v>60.5</v>
      </c>
      <c r="J88" s="32">
        <v>87.5</v>
      </c>
      <c r="K88" s="32">
        <v>100.3</v>
      </c>
      <c r="L88" s="32">
        <v>103.3</v>
      </c>
      <c r="M88" s="32">
        <v>107</v>
      </c>
      <c r="N88" s="32">
        <v>89.4</v>
      </c>
      <c r="O88" s="32">
        <v>303.7</v>
      </c>
      <c r="P88" s="32">
        <v>434.3</v>
      </c>
      <c r="Q88" s="32">
        <v>134.80000000000001</v>
      </c>
      <c r="R88" s="32">
        <v>85.4</v>
      </c>
      <c r="S88" s="32">
        <v>122.9</v>
      </c>
      <c r="T88" s="32">
        <v>94.2</v>
      </c>
      <c r="U88" s="32">
        <v>66.7</v>
      </c>
      <c r="V88" s="32">
        <v>100.9</v>
      </c>
      <c r="W88" s="32">
        <v>50.6</v>
      </c>
      <c r="X88" s="32">
        <v>42.7</v>
      </c>
      <c r="Y88" s="32">
        <v>60.4</v>
      </c>
      <c r="Z88" s="32">
        <v>60.5</v>
      </c>
      <c r="AA88" s="32">
        <v>96.6</v>
      </c>
      <c r="AB88" s="32">
        <v>99.8</v>
      </c>
      <c r="AC88" s="32">
        <v>87.8</v>
      </c>
      <c r="AD88" s="32">
        <v>109.8</v>
      </c>
      <c r="AE88" s="32">
        <v>125.2</v>
      </c>
      <c r="AF88" s="32">
        <v>125.2</v>
      </c>
      <c r="AG88" s="32">
        <v>76.5</v>
      </c>
      <c r="AH88" s="32">
        <v>76.5</v>
      </c>
      <c r="AI88" s="32">
        <v>235.5</v>
      </c>
      <c r="AJ88" s="32">
        <v>79.2</v>
      </c>
      <c r="AK88" s="32">
        <v>567.29999999999995</v>
      </c>
      <c r="AL88" s="32">
        <v>130.5</v>
      </c>
      <c r="AM88" s="32">
        <v>43.9</v>
      </c>
      <c r="AN88" s="32">
        <v>131.9</v>
      </c>
      <c r="AO88" s="32">
        <v>87.1</v>
      </c>
      <c r="AP88" s="32">
        <v>87.1</v>
      </c>
      <c r="AQ88" s="32">
        <v>114.4</v>
      </c>
      <c r="AR88" s="32">
        <v>111.5</v>
      </c>
      <c r="AS88" s="32">
        <v>121.2</v>
      </c>
      <c r="AT88" s="32">
        <v>118.1</v>
      </c>
      <c r="AU88" s="32">
        <v>120.8</v>
      </c>
      <c r="AV88" s="32">
        <v>112</v>
      </c>
      <c r="AW88" s="32">
        <v>182.7</v>
      </c>
      <c r="AX88" s="32">
        <v>263.10000000000002</v>
      </c>
      <c r="AY88" s="32">
        <v>248</v>
      </c>
      <c r="AZ88" s="32">
        <v>101</v>
      </c>
      <c r="BA88" s="32">
        <v>41.9</v>
      </c>
      <c r="BB88" s="32">
        <v>41.9</v>
      </c>
      <c r="BC88" s="32">
        <v>146.1</v>
      </c>
      <c r="BD88" s="32">
        <v>146.1</v>
      </c>
      <c r="BE88" s="32">
        <v>104.7</v>
      </c>
      <c r="BF88" s="32">
        <v>104.7</v>
      </c>
      <c r="BG88" s="32">
        <v>84.1</v>
      </c>
      <c r="BH88" s="32">
        <v>63.6</v>
      </c>
      <c r="BI88" s="32">
        <v>105</v>
      </c>
      <c r="BJ88" s="32">
        <v>33.700000000000003</v>
      </c>
      <c r="BK88" s="32">
        <v>148.80000000000001</v>
      </c>
      <c r="BL88" s="32">
        <v>43.7</v>
      </c>
      <c r="BM88" s="32">
        <v>85.7</v>
      </c>
      <c r="BN88" s="32">
        <v>96.1</v>
      </c>
      <c r="BO88" s="32">
        <v>88.2</v>
      </c>
      <c r="BP88" s="32">
        <v>103</v>
      </c>
      <c r="BQ88" s="32">
        <v>74.900000000000006</v>
      </c>
      <c r="BR88" s="32">
        <v>87.3</v>
      </c>
      <c r="BS88" s="32">
        <v>188.6</v>
      </c>
      <c r="BT88" s="32">
        <v>50.8</v>
      </c>
      <c r="BU88" s="32">
        <v>166.2</v>
      </c>
      <c r="BV88" s="32">
        <v>166.2</v>
      </c>
      <c r="BW88" s="32">
        <v>205.5</v>
      </c>
      <c r="BX88" s="32">
        <v>122.2</v>
      </c>
      <c r="BY88" s="32">
        <v>105.9</v>
      </c>
      <c r="BZ88" s="32">
        <v>109.4</v>
      </c>
      <c r="CA88" s="32">
        <v>104.6</v>
      </c>
      <c r="CB88" s="32">
        <v>120.4</v>
      </c>
      <c r="CC88" s="32">
        <v>98.2</v>
      </c>
      <c r="CD88" s="32">
        <v>30.1</v>
      </c>
      <c r="CE88" s="32">
        <v>95.6</v>
      </c>
      <c r="CF88" s="32">
        <v>70.900000000000006</v>
      </c>
      <c r="CG88" s="32">
        <v>86.9</v>
      </c>
      <c r="CH88" s="32">
        <v>86.3</v>
      </c>
      <c r="CI88" s="32">
        <v>111.4</v>
      </c>
      <c r="CJ88" s="32">
        <v>68.400000000000006</v>
      </c>
      <c r="CK88" s="32">
        <v>96.3</v>
      </c>
      <c r="CL88" s="32">
        <v>87.7</v>
      </c>
      <c r="CM88" s="32">
        <v>99.8</v>
      </c>
      <c r="CN88" s="32">
        <v>72.900000000000006</v>
      </c>
      <c r="CO88" s="32">
        <v>101.8</v>
      </c>
      <c r="CP88" s="32">
        <v>146.9</v>
      </c>
      <c r="CQ88" s="32">
        <v>48.7</v>
      </c>
      <c r="CR88" s="32">
        <v>91.6</v>
      </c>
      <c r="CS88" s="32">
        <v>124.7</v>
      </c>
      <c r="CT88" s="32">
        <v>88.1</v>
      </c>
      <c r="CU88" s="32">
        <v>66.3</v>
      </c>
      <c r="CV88" s="32">
        <v>97.6</v>
      </c>
      <c r="CW88" s="32">
        <v>24.1</v>
      </c>
      <c r="CX88" s="32">
        <v>78.5</v>
      </c>
      <c r="CY88" s="32">
        <v>91.3</v>
      </c>
      <c r="CZ88" s="32">
        <v>72.3</v>
      </c>
      <c r="DA88" s="32">
        <v>56.7</v>
      </c>
      <c r="DB88" s="32">
        <v>106.5</v>
      </c>
      <c r="DC88" s="32">
        <v>3.1</v>
      </c>
      <c r="DD88" s="32">
        <v>3.1</v>
      </c>
      <c r="DE88" s="32">
        <v>54.1</v>
      </c>
      <c r="DF88" s="32">
        <v>51</v>
      </c>
      <c r="DG88" s="32">
        <v>71.3</v>
      </c>
      <c r="DH88" s="32">
        <v>78.400000000000006</v>
      </c>
      <c r="DI88" s="32">
        <v>139.80000000000001</v>
      </c>
      <c r="DJ88" s="32">
        <v>53.7</v>
      </c>
      <c r="DK88" s="32">
        <v>53.7</v>
      </c>
      <c r="DL88" s="32">
        <v>40.6</v>
      </c>
      <c r="DM88" s="32">
        <v>69.900000000000006</v>
      </c>
      <c r="DN88" s="32">
        <v>46.1</v>
      </c>
      <c r="DO88" s="32">
        <v>80.900000000000006</v>
      </c>
      <c r="DP88" s="32">
        <v>39.799999999999997</v>
      </c>
      <c r="DQ88" s="32">
        <v>64.2</v>
      </c>
      <c r="DR88" s="32">
        <v>68.8</v>
      </c>
      <c r="DS88" s="32">
        <v>64.7</v>
      </c>
      <c r="DT88" s="32">
        <v>60.7</v>
      </c>
      <c r="DU88" s="32">
        <v>61.8</v>
      </c>
      <c r="DV88" s="32">
        <v>78.400000000000006</v>
      </c>
      <c r="DW88" s="32">
        <v>45.8</v>
      </c>
      <c r="DX88" s="32">
        <v>58.3</v>
      </c>
      <c r="DY88" s="32">
        <v>79.2</v>
      </c>
      <c r="DZ88" s="32">
        <v>113.6</v>
      </c>
      <c r="EA88" s="32">
        <v>113.6</v>
      </c>
      <c r="EB88" s="32">
        <v>66.7</v>
      </c>
      <c r="EC88" s="32">
        <v>70.400000000000006</v>
      </c>
      <c r="ED88" s="32">
        <v>61.7</v>
      </c>
      <c r="EE88" s="32">
        <v>71.400000000000006</v>
      </c>
      <c r="EF88" s="32">
        <v>40.299999999999997</v>
      </c>
      <c r="EG88" s="32">
        <v>57.3</v>
      </c>
      <c r="EH88" s="32">
        <v>81.3</v>
      </c>
      <c r="EI88" s="32">
        <v>55.3</v>
      </c>
      <c r="EJ88" s="32">
        <v>59.6</v>
      </c>
      <c r="EK88" s="32">
        <v>48.2</v>
      </c>
      <c r="EL88" s="32">
        <v>69.400000000000006</v>
      </c>
      <c r="EM88" s="32">
        <v>38</v>
      </c>
      <c r="EN88" s="32">
        <v>51.9</v>
      </c>
      <c r="EO88" s="32">
        <v>86.9</v>
      </c>
      <c r="EP88" s="32">
        <v>85.3</v>
      </c>
      <c r="EQ88" s="32">
        <v>85.3</v>
      </c>
      <c r="ER88" s="32">
        <v>88.1</v>
      </c>
      <c r="ES88" s="32">
        <v>88.1</v>
      </c>
      <c r="ET88" s="32">
        <v>89.2</v>
      </c>
      <c r="EU88" s="32">
        <v>97.9</v>
      </c>
      <c r="EV88" s="32">
        <v>97.9</v>
      </c>
      <c r="EW88" s="32">
        <v>81.7</v>
      </c>
      <c r="EX88" s="32">
        <v>87.9</v>
      </c>
      <c r="EY88" s="32">
        <v>76.900000000000006</v>
      </c>
      <c r="EZ88" s="32">
        <v>93.2</v>
      </c>
      <c r="FA88" s="32">
        <v>109.9</v>
      </c>
      <c r="FB88" s="32">
        <v>121.5</v>
      </c>
      <c r="FC88" s="32">
        <v>81.099999999999994</v>
      </c>
      <c r="FD88" s="32">
        <v>120.5</v>
      </c>
      <c r="FE88" s="32">
        <v>199.4</v>
      </c>
      <c r="FF88" s="32">
        <v>97.1</v>
      </c>
      <c r="FG88" s="32">
        <v>82</v>
      </c>
      <c r="FH88" s="32">
        <v>81.400000000000006</v>
      </c>
      <c r="FI88" s="32">
        <v>89</v>
      </c>
      <c r="FJ88" s="32">
        <v>81.2</v>
      </c>
      <c r="FK88" s="32">
        <v>78.099999999999994</v>
      </c>
      <c r="FL88" s="32">
        <v>78.099999999999994</v>
      </c>
    </row>
    <row r="89" spans="1:168" x14ac:dyDescent="0.2">
      <c r="A89" s="34" t="s">
        <v>1069</v>
      </c>
      <c r="B89" s="32">
        <v>76.900000000000006</v>
      </c>
      <c r="C89" s="32">
        <v>89.4</v>
      </c>
      <c r="D89" s="32">
        <v>103.1</v>
      </c>
      <c r="E89" s="32">
        <v>106.3</v>
      </c>
      <c r="F89" s="32">
        <v>333.3</v>
      </c>
      <c r="G89" s="32">
        <v>12190.3</v>
      </c>
      <c r="H89" s="32">
        <v>438</v>
      </c>
      <c r="I89" s="32">
        <v>58.6</v>
      </c>
      <c r="J89" s="32">
        <v>87.4</v>
      </c>
      <c r="K89" s="32">
        <v>100.7</v>
      </c>
      <c r="L89" s="32">
        <v>103.2</v>
      </c>
      <c r="M89" s="32">
        <v>101.5</v>
      </c>
      <c r="N89" s="32">
        <v>89.6</v>
      </c>
      <c r="O89" s="32">
        <v>295.8</v>
      </c>
      <c r="P89" s="32">
        <v>418.1</v>
      </c>
      <c r="Q89" s="32">
        <v>134.9</v>
      </c>
      <c r="R89" s="32">
        <v>86.9</v>
      </c>
      <c r="S89" s="32">
        <v>125.3</v>
      </c>
      <c r="T89" s="32">
        <v>95.7</v>
      </c>
      <c r="U89" s="32">
        <v>69.3</v>
      </c>
      <c r="V89" s="32">
        <v>102.6</v>
      </c>
      <c r="W89" s="32">
        <v>51</v>
      </c>
      <c r="X89" s="32">
        <v>43.1</v>
      </c>
      <c r="Y89" s="32">
        <v>60.8</v>
      </c>
      <c r="Z89" s="32">
        <v>59.3</v>
      </c>
      <c r="AA89" s="32">
        <v>98.9</v>
      </c>
      <c r="AB89" s="32">
        <v>101.6</v>
      </c>
      <c r="AC89" s="32">
        <v>88.4</v>
      </c>
      <c r="AD89" s="32">
        <v>113.9</v>
      </c>
      <c r="AE89" s="32">
        <v>124.1</v>
      </c>
      <c r="AF89" s="32">
        <v>124.1</v>
      </c>
      <c r="AG89" s="32">
        <v>75</v>
      </c>
      <c r="AH89" s="32">
        <v>75</v>
      </c>
      <c r="AI89" s="32">
        <v>233.3</v>
      </c>
      <c r="AJ89" s="32">
        <v>74.599999999999994</v>
      </c>
      <c r="AK89" s="32">
        <v>465.1</v>
      </c>
      <c r="AL89" s="32">
        <v>125.8</v>
      </c>
      <c r="AM89" s="32">
        <v>44.1</v>
      </c>
      <c r="AN89" s="32">
        <v>141.9</v>
      </c>
      <c r="AO89" s="32">
        <v>87.2</v>
      </c>
      <c r="AP89" s="32">
        <v>87.2</v>
      </c>
      <c r="AQ89" s="32">
        <v>112.3</v>
      </c>
      <c r="AR89" s="32">
        <v>110.3</v>
      </c>
      <c r="AS89" s="32">
        <v>117.7</v>
      </c>
      <c r="AT89" s="32">
        <v>117.2</v>
      </c>
      <c r="AU89" s="32">
        <v>114.4</v>
      </c>
      <c r="AV89" s="32">
        <v>111.2</v>
      </c>
      <c r="AW89" s="32">
        <v>178.4</v>
      </c>
      <c r="AX89" s="32">
        <v>251.1</v>
      </c>
      <c r="AY89" s="32">
        <v>244.9</v>
      </c>
      <c r="AZ89" s="32">
        <v>101</v>
      </c>
      <c r="BA89" s="32">
        <v>40.200000000000003</v>
      </c>
      <c r="BB89" s="32">
        <v>40.200000000000003</v>
      </c>
      <c r="BC89" s="32">
        <v>143.1</v>
      </c>
      <c r="BD89" s="32">
        <v>143.1</v>
      </c>
      <c r="BE89" s="32">
        <v>109.2</v>
      </c>
      <c r="BF89" s="32">
        <v>109.2</v>
      </c>
      <c r="BG89" s="32">
        <v>84.7</v>
      </c>
      <c r="BH89" s="32">
        <v>62.5</v>
      </c>
      <c r="BI89" s="32">
        <v>108.1</v>
      </c>
      <c r="BJ89" s="32">
        <v>34.700000000000003</v>
      </c>
      <c r="BK89" s="32">
        <v>153.6</v>
      </c>
      <c r="BL89" s="32">
        <v>43.8</v>
      </c>
      <c r="BM89" s="32">
        <v>84.3</v>
      </c>
      <c r="BN89" s="32">
        <v>91.3</v>
      </c>
      <c r="BO89" s="32">
        <v>80.900000000000006</v>
      </c>
      <c r="BP89" s="32">
        <v>100.8</v>
      </c>
      <c r="BQ89" s="32">
        <v>77.7</v>
      </c>
      <c r="BR89" s="32">
        <v>70.7</v>
      </c>
      <c r="BS89" s="32">
        <v>215.2</v>
      </c>
      <c r="BT89" s="32">
        <v>51.8</v>
      </c>
      <c r="BU89" s="32">
        <v>171.7</v>
      </c>
      <c r="BV89" s="32">
        <v>171.7</v>
      </c>
      <c r="BW89" s="32">
        <v>215.5</v>
      </c>
      <c r="BX89" s="32">
        <v>120.8</v>
      </c>
      <c r="BY89" s="32">
        <v>103.7</v>
      </c>
      <c r="BZ89" s="32">
        <v>108.4</v>
      </c>
      <c r="CA89" s="32">
        <v>101.8</v>
      </c>
      <c r="CB89" s="32">
        <v>117.7</v>
      </c>
      <c r="CC89" s="32">
        <v>95.1</v>
      </c>
      <c r="CD89" s="32">
        <v>28.3</v>
      </c>
      <c r="CE89" s="32">
        <v>96.5</v>
      </c>
      <c r="CF89" s="32">
        <v>71.3</v>
      </c>
      <c r="CG89" s="32">
        <v>87.8</v>
      </c>
      <c r="CH89" s="32">
        <v>87.5</v>
      </c>
      <c r="CI89" s="32">
        <v>109.3</v>
      </c>
      <c r="CJ89" s="32">
        <v>71.7</v>
      </c>
      <c r="CK89" s="32">
        <v>96.2</v>
      </c>
      <c r="CL89" s="32">
        <v>87.8</v>
      </c>
      <c r="CM89" s="32">
        <v>101</v>
      </c>
      <c r="CN89" s="32">
        <v>72.900000000000006</v>
      </c>
      <c r="CO89" s="32">
        <v>103.2</v>
      </c>
      <c r="CP89" s="32">
        <v>153.1</v>
      </c>
      <c r="CQ89" s="32">
        <v>47.4</v>
      </c>
      <c r="CR89" s="32">
        <v>91</v>
      </c>
      <c r="CS89" s="32">
        <v>122.7</v>
      </c>
      <c r="CT89" s="32">
        <v>88.9</v>
      </c>
      <c r="CU89" s="32">
        <v>68.2</v>
      </c>
      <c r="CV89" s="32">
        <v>97.9</v>
      </c>
      <c r="CW89" s="32">
        <v>25</v>
      </c>
      <c r="CX89" s="32">
        <v>81.7</v>
      </c>
      <c r="CY89" s="32">
        <v>94.1</v>
      </c>
      <c r="CZ89" s="32">
        <v>75.599999999999994</v>
      </c>
      <c r="DA89" s="32">
        <v>61.2</v>
      </c>
      <c r="DB89" s="32">
        <v>105.7</v>
      </c>
      <c r="DC89" s="32">
        <v>3.2</v>
      </c>
      <c r="DD89" s="32">
        <v>3.2</v>
      </c>
      <c r="DE89" s="32">
        <v>57.1</v>
      </c>
      <c r="DF89" s="32">
        <v>53.7</v>
      </c>
      <c r="DG89" s="32">
        <v>75.900000000000006</v>
      </c>
      <c r="DH89" s="32">
        <v>76.900000000000006</v>
      </c>
      <c r="DI89" s="32">
        <v>140.19999999999999</v>
      </c>
      <c r="DJ89" s="32">
        <v>51.3</v>
      </c>
      <c r="DK89" s="32">
        <v>51.3</v>
      </c>
      <c r="DL89" s="32">
        <v>37.799999999999997</v>
      </c>
      <c r="DM89" s="32">
        <v>69.599999999999994</v>
      </c>
      <c r="DN89" s="32">
        <v>45.6</v>
      </c>
      <c r="DO89" s="32">
        <v>80.7</v>
      </c>
      <c r="DP89" s="32">
        <v>40.6</v>
      </c>
      <c r="DQ89" s="32">
        <v>65</v>
      </c>
      <c r="DR89" s="32">
        <v>69.8</v>
      </c>
      <c r="DS89" s="32">
        <v>65.7</v>
      </c>
      <c r="DT89" s="32">
        <v>61</v>
      </c>
      <c r="DU89" s="32">
        <v>63.2</v>
      </c>
      <c r="DV89" s="32">
        <v>81.3</v>
      </c>
      <c r="DW89" s="32">
        <v>45.7</v>
      </c>
      <c r="DX89" s="32">
        <v>56.6</v>
      </c>
      <c r="DY89" s="32">
        <v>82.4</v>
      </c>
      <c r="DZ89" s="32">
        <v>117.3</v>
      </c>
      <c r="EA89" s="32">
        <v>117.3</v>
      </c>
      <c r="EB89" s="32">
        <v>67</v>
      </c>
      <c r="EC89" s="32">
        <v>70.8</v>
      </c>
      <c r="ED89" s="32">
        <v>61.8</v>
      </c>
      <c r="EE89" s="32">
        <v>71.599999999999994</v>
      </c>
      <c r="EF89" s="32">
        <v>40.5</v>
      </c>
      <c r="EG89" s="32">
        <v>57.9</v>
      </c>
      <c r="EH89" s="32">
        <v>81.2</v>
      </c>
      <c r="EI89" s="32">
        <v>55.1</v>
      </c>
      <c r="EJ89" s="32">
        <v>69.5</v>
      </c>
      <c r="EK89" s="32">
        <v>48</v>
      </c>
      <c r="EL89" s="32">
        <v>69.2</v>
      </c>
      <c r="EM89" s="32">
        <v>39.1</v>
      </c>
      <c r="EN89" s="32">
        <v>50.8</v>
      </c>
      <c r="EO89" s="32">
        <v>87.3</v>
      </c>
      <c r="EP89" s="32">
        <v>85.6</v>
      </c>
      <c r="EQ89" s="32">
        <v>85.6</v>
      </c>
      <c r="ER89" s="32">
        <v>88.6</v>
      </c>
      <c r="ES89" s="32">
        <v>88.6</v>
      </c>
      <c r="ET89" s="32">
        <v>89.7</v>
      </c>
      <c r="EU89" s="32">
        <v>98.3</v>
      </c>
      <c r="EV89" s="32">
        <v>98.3</v>
      </c>
      <c r="EW89" s="32">
        <v>82.1</v>
      </c>
      <c r="EX89" s="32">
        <v>88.4</v>
      </c>
      <c r="EY89" s="32">
        <v>77.2</v>
      </c>
      <c r="EZ89" s="32">
        <v>93.1</v>
      </c>
      <c r="FA89" s="32">
        <v>108.2</v>
      </c>
      <c r="FB89" s="32">
        <v>118</v>
      </c>
      <c r="FC89" s="32">
        <v>76.900000000000006</v>
      </c>
      <c r="FD89" s="32">
        <v>120.7</v>
      </c>
      <c r="FE89" s="32">
        <v>195.1</v>
      </c>
      <c r="FF89" s="32">
        <v>97.3</v>
      </c>
      <c r="FG89" s="32">
        <v>82.6</v>
      </c>
      <c r="FH89" s="32">
        <v>79</v>
      </c>
      <c r="FI89" s="32">
        <v>89.9</v>
      </c>
      <c r="FJ89" s="32">
        <v>83.2</v>
      </c>
      <c r="FK89" s="32">
        <v>86.2</v>
      </c>
      <c r="FL89" s="32">
        <v>86.2</v>
      </c>
    </row>
    <row r="90" spans="1:168" x14ac:dyDescent="0.2">
      <c r="A90" s="34" t="s">
        <v>1070</v>
      </c>
      <c r="B90" s="32">
        <v>76.900000000000006</v>
      </c>
      <c r="C90" s="32">
        <v>88.9</v>
      </c>
      <c r="D90" s="32">
        <v>104.4</v>
      </c>
      <c r="E90" s="32">
        <v>107.6</v>
      </c>
      <c r="F90" s="32">
        <v>333.3</v>
      </c>
      <c r="G90" s="32">
        <v>10812.9</v>
      </c>
      <c r="H90" s="32">
        <v>438.9</v>
      </c>
      <c r="I90" s="32">
        <v>58.8</v>
      </c>
      <c r="J90" s="32">
        <v>89.1</v>
      </c>
      <c r="K90" s="32">
        <v>105.8</v>
      </c>
      <c r="L90" s="32">
        <v>107</v>
      </c>
      <c r="M90" s="32">
        <v>115</v>
      </c>
      <c r="N90" s="32">
        <v>97.7</v>
      </c>
      <c r="O90" s="32">
        <v>302.3</v>
      </c>
      <c r="P90" s="32">
        <v>436.8</v>
      </c>
      <c r="Q90" s="32">
        <v>144.6</v>
      </c>
      <c r="R90" s="32">
        <v>90.6</v>
      </c>
      <c r="S90" s="32">
        <v>122.3</v>
      </c>
      <c r="T90" s="32">
        <v>99</v>
      </c>
      <c r="U90" s="32">
        <v>74.2</v>
      </c>
      <c r="V90" s="32">
        <v>114.3</v>
      </c>
      <c r="W90" s="32">
        <v>51.2</v>
      </c>
      <c r="X90" s="32">
        <v>39.6</v>
      </c>
      <c r="Y90" s="32">
        <v>66</v>
      </c>
      <c r="Z90" s="32">
        <v>84.6</v>
      </c>
      <c r="AA90" s="32">
        <v>98.1</v>
      </c>
      <c r="AB90" s="32">
        <v>109.8</v>
      </c>
      <c r="AC90" s="32">
        <v>90.2</v>
      </c>
      <c r="AD90" s="32">
        <v>106.8</v>
      </c>
      <c r="AE90" s="32">
        <v>136.69999999999999</v>
      </c>
      <c r="AF90" s="32">
        <v>136.69999999999999</v>
      </c>
      <c r="AG90" s="32">
        <v>73.900000000000006</v>
      </c>
      <c r="AH90" s="32">
        <v>73.900000000000006</v>
      </c>
      <c r="AI90" s="32">
        <v>236.1</v>
      </c>
      <c r="AJ90" s="32">
        <v>69.5</v>
      </c>
      <c r="AK90" s="32">
        <v>352.8</v>
      </c>
      <c r="AL90" s="32">
        <v>120.4</v>
      </c>
      <c r="AM90" s="32">
        <v>44.8</v>
      </c>
      <c r="AN90" s="32">
        <v>154.6</v>
      </c>
      <c r="AO90" s="32">
        <v>86.2</v>
      </c>
      <c r="AP90" s="32">
        <v>86.2</v>
      </c>
      <c r="AQ90" s="32">
        <v>115.4</v>
      </c>
      <c r="AR90" s="32">
        <v>116</v>
      </c>
      <c r="AS90" s="32">
        <v>116.9</v>
      </c>
      <c r="AT90" s="32">
        <v>111.9</v>
      </c>
      <c r="AU90" s="32">
        <v>119.1</v>
      </c>
      <c r="AV90" s="32">
        <v>109.4</v>
      </c>
      <c r="AW90" s="32">
        <v>170.2</v>
      </c>
      <c r="AX90" s="32">
        <v>207.3</v>
      </c>
      <c r="AY90" s="32">
        <v>252.4</v>
      </c>
      <c r="AZ90" s="32">
        <v>100.4</v>
      </c>
      <c r="BA90" s="32">
        <v>47.4</v>
      </c>
      <c r="BB90" s="32">
        <v>47.4</v>
      </c>
      <c r="BC90" s="32">
        <v>138</v>
      </c>
      <c r="BD90" s="32">
        <v>138</v>
      </c>
      <c r="BE90" s="32">
        <v>105.1</v>
      </c>
      <c r="BF90" s="32">
        <v>105.1</v>
      </c>
      <c r="BG90" s="32">
        <v>86.6</v>
      </c>
      <c r="BH90" s="32">
        <v>64</v>
      </c>
      <c r="BI90" s="32">
        <v>110.2</v>
      </c>
      <c r="BJ90" s="32">
        <v>35.9</v>
      </c>
      <c r="BK90" s="32">
        <v>156.6</v>
      </c>
      <c r="BL90" s="32">
        <v>43.4</v>
      </c>
      <c r="BM90" s="32">
        <v>87.6</v>
      </c>
      <c r="BN90" s="32">
        <v>95.1</v>
      </c>
      <c r="BO90" s="32">
        <v>83.6</v>
      </c>
      <c r="BP90" s="32">
        <v>105.8</v>
      </c>
      <c r="BQ90" s="32">
        <v>80.400000000000006</v>
      </c>
      <c r="BR90" s="32">
        <v>72.599999999999994</v>
      </c>
      <c r="BS90" s="32">
        <v>221.3</v>
      </c>
      <c r="BT90" s="32">
        <v>53.8</v>
      </c>
      <c r="BU90" s="32">
        <v>167.7</v>
      </c>
      <c r="BV90" s="32">
        <v>167.7</v>
      </c>
      <c r="BW90" s="32">
        <v>211.3</v>
      </c>
      <c r="BX90" s="32">
        <v>115.9</v>
      </c>
      <c r="BY90" s="32">
        <v>102.6</v>
      </c>
      <c r="BZ90" s="32">
        <v>106.8</v>
      </c>
      <c r="CA90" s="32">
        <v>101</v>
      </c>
      <c r="CB90" s="32">
        <v>119.1</v>
      </c>
      <c r="CC90" s="32">
        <v>92.3</v>
      </c>
      <c r="CD90" s="32">
        <v>27.8</v>
      </c>
      <c r="CE90" s="32">
        <v>97.8</v>
      </c>
      <c r="CF90" s="32">
        <v>71</v>
      </c>
      <c r="CG90" s="32">
        <v>89.2</v>
      </c>
      <c r="CH90" s="32">
        <v>88.1</v>
      </c>
      <c r="CI90" s="32">
        <v>113.4</v>
      </c>
      <c r="CJ90" s="32">
        <v>69.900000000000006</v>
      </c>
      <c r="CK90" s="32">
        <v>98.4</v>
      </c>
      <c r="CL90" s="32">
        <v>89.1</v>
      </c>
      <c r="CM90" s="32">
        <v>103.4</v>
      </c>
      <c r="CN90" s="32">
        <v>72.3</v>
      </c>
      <c r="CO90" s="32">
        <v>106</v>
      </c>
      <c r="CP90" s="32">
        <v>162.1</v>
      </c>
      <c r="CQ90" s="32">
        <v>46.8</v>
      </c>
      <c r="CR90" s="32">
        <v>91.6</v>
      </c>
      <c r="CS90" s="32">
        <v>123.2</v>
      </c>
      <c r="CT90" s="32">
        <v>93.5</v>
      </c>
      <c r="CU90" s="32">
        <v>70.099999999999994</v>
      </c>
      <c r="CV90" s="32">
        <v>103.7</v>
      </c>
      <c r="CW90" s="32">
        <v>24.2</v>
      </c>
      <c r="CX90" s="32">
        <v>77.7</v>
      </c>
      <c r="CY90" s="32">
        <v>96.9</v>
      </c>
      <c r="CZ90" s="32">
        <v>67.400000000000006</v>
      </c>
      <c r="DA90" s="32">
        <v>50.9</v>
      </c>
      <c r="DB90" s="32">
        <v>105.4</v>
      </c>
      <c r="DC90" s="32">
        <v>3.2</v>
      </c>
      <c r="DD90" s="32">
        <v>3.2</v>
      </c>
      <c r="DE90" s="32">
        <v>53.5</v>
      </c>
      <c r="DF90" s="32">
        <v>49.9</v>
      </c>
      <c r="DG90" s="32">
        <v>74.400000000000006</v>
      </c>
      <c r="DH90" s="32">
        <v>75.400000000000006</v>
      </c>
      <c r="DI90" s="32">
        <v>138.5</v>
      </c>
      <c r="DJ90" s="32">
        <v>50.1</v>
      </c>
      <c r="DK90" s="32">
        <v>50.1</v>
      </c>
      <c r="DL90" s="32">
        <v>36.299999999999997</v>
      </c>
      <c r="DM90" s="32">
        <v>69.599999999999994</v>
      </c>
      <c r="DN90" s="32">
        <v>45.5</v>
      </c>
      <c r="DO90" s="32">
        <v>80.599999999999994</v>
      </c>
      <c r="DP90" s="32">
        <v>41.9</v>
      </c>
      <c r="DQ90" s="32">
        <v>62.9</v>
      </c>
      <c r="DR90" s="32">
        <v>67.2</v>
      </c>
      <c r="DS90" s="32">
        <v>62.6</v>
      </c>
      <c r="DT90" s="32">
        <v>58.3</v>
      </c>
      <c r="DU90" s="32">
        <v>60.1</v>
      </c>
      <c r="DV90" s="32">
        <v>71.599999999999994</v>
      </c>
      <c r="DW90" s="32">
        <v>48.6</v>
      </c>
      <c r="DX90" s="32">
        <v>54.7</v>
      </c>
      <c r="DY90" s="32">
        <v>77.7</v>
      </c>
      <c r="DZ90" s="32">
        <v>113</v>
      </c>
      <c r="EA90" s="32">
        <v>113</v>
      </c>
      <c r="EB90" s="32">
        <v>66.599999999999994</v>
      </c>
      <c r="EC90" s="32">
        <v>70.599999999999994</v>
      </c>
      <c r="ED90" s="32">
        <v>61.1</v>
      </c>
      <c r="EE90" s="32">
        <v>70.400000000000006</v>
      </c>
      <c r="EF90" s="32">
        <v>40.700000000000003</v>
      </c>
      <c r="EG90" s="32">
        <v>56.4</v>
      </c>
      <c r="EH90" s="32">
        <v>81.5</v>
      </c>
      <c r="EI90" s="32">
        <v>52</v>
      </c>
      <c r="EJ90" s="32">
        <v>53.9</v>
      </c>
      <c r="EK90" s="32">
        <v>49.2</v>
      </c>
      <c r="EL90" s="32">
        <v>68.7</v>
      </c>
      <c r="EM90" s="32">
        <v>40.6</v>
      </c>
      <c r="EN90" s="32">
        <v>52.1</v>
      </c>
      <c r="EO90" s="32">
        <v>87.7</v>
      </c>
      <c r="EP90" s="32">
        <v>86.2</v>
      </c>
      <c r="EQ90" s="32">
        <v>86.2</v>
      </c>
      <c r="ER90" s="32">
        <v>88.6</v>
      </c>
      <c r="ES90" s="32">
        <v>88.6</v>
      </c>
      <c r="ET90" s="32">
        <v>90.2</v>
      </c>
      <c r="EU90" s="32">
        <v>98.9</v>
      </c>
      <c r="EV90" s="32">
        <v>98.9</v>
      </c>
      <c r="EW90" s="32">
        <v>82.7</v>
      </c>
      <c r="EX90" s="32">
        <v>89.3</v>
      </c>
      <c r="EY90" s="32">
        <v>77.5</v>
      </c>
      <c r="EZ90" s="32">
        <v>92.8</v>
      </c>
      <c r="FA90" s="32">
        <v>106.5</v>
      </c>
      <c r="FB90" s="32">
        <v>116.1</v>
      </c>
      <c r="FC90" s="32">
        <v>76.8</v>
      </c>
      <c r="FD90" s="32">
        <v>121.3</v>
      </c>
      <c r="FE90" s="32">
        <v>187.7</v>
      </c>
      <c r="FF90" s="32">
        <v>95.8</v>
      </c>
      <c r="FG90" s="32">
        <v>82.6</v>
      </c>
      <c r="FH90" s="32">
        <v>77.900000000000006</v>
      </c>
      <c r="FI90" s="32">
        <v>93</v>
      </c>
      <c r="FJ90" s="32">
        <v>83.1</v>
      </c>
      <c r="FK90" s="32">
        <v>98.5</v>
      </c>
      <c r="FL90" s="32">
        <v>98.5</v>
      </c>
    </row>
    <row r="91" spans="1:168" x14ac:dyDescent="0.2">
      <c r="A91" s="34" t="s">
        <v>1071</v>
      </c>
      <c r="B91" s="32">
        <v>76.900000000000006</v>
      </c>
      <c r="C91" s="32">
        <v>87.8</v>
      </c>
      <c r="D91" s="32">
        <v>104.3</v>
      </c>
      <c r="E91" s="32">
        <v>107.5</v>
      </c>
      <c r="F91" s="32">
        <v>331.1</v>
      </c>
      <c r="G91" s="32">
        <v>11155.7</v>
      </c>
      <c r="H91" s="32">
        <v>433.9</v>
      </c>
      <c r="I91" s="32">
        <v>59.9</v>
      </c>
      <c r="J91" s="32">
        <v>89.3</v>
      </c>
      <c r="K91" s="32">
        <v>103.5</v>
      </c>
      <c r="L91" s="32">
        <v>105.1</v>
      </c>
      <c r="M91" s="32">
        <v>117</v>
      </c>
      <c r="N91" s="32">
        <v>97.2</v>
      </c>
      <c r="O91" s="32">
        <v>293.3</v>
      </c>
      <c r="P91" s="32">
        <v>432.9</v>
      </c>
      <c r="Q91" s="32">
        <v>132.69999999999999</v>
      </c>
      <c r="R91" s="32">
        <v>90.2</v>
      </c>
      <c r="S91" s="32">
        <v>117.4</v>
      </c>
      <c r="T91" s="32">
        <v>97.1</v>
      </c>
      <c r="U91" s="32">
        <v>75</v>
      </c>
      <c r="V91" s="32">
        <v>109.1</v>
      </c>
      <c r="W91" s="32">
        <v>51.4</v>
      </c>
      <c r="X91" s="32">
        <v>39.200000000000003</v>
      </c>
      <c r="Y91" s="32">
        <v>67.599999999999994</v>
      </c>
      <c r="Z91" s="32">
        <v>83</v>
      </c>
      <c r="AA91" s="32">
        <v>99.6</v>
      </c>
      <c r="AB91" s="32">
        <v>109.7</v>
      </c>
      <c r="AC91" s="32">
        <v>91.9</v>
      </c>
      <c r="AD91" s="32">
        <v>108.8</v>
      </c>
      <c r="AE91" s="32">
        <v>146.30000000000001</v>
      </c>
      <c r="AF91" s="32">
        <v>146.30000000000001</v>
      </c>
      <c r="AG91" s="32">
        <v>72.5</v>
      </c>
      <c r="AH91" s="32">
        <v>72.5</v>
      </c>
      <c r="AI91" s="32">
        <v>227.8</v>
      </c>
      <c r="AJ91" s="32">
        <v>64.900000000000006</v>
      </c>
      <c r="AK91" s="32">
        <v>251.3</v>
      </c>
      <c r="AL91" s="32">
        <v>126.2</v>
      </c>
      <c r="AM91" s="32">
        <v>45</v>
      </c>
      <c r="AN91" s="32">
        <v>162.19999999999999</v>
      </c>
      <c r="AO91" s="32">
        <v>87.9</v>
      </c>
      <c r="AP91" s="32">
        <v>87.9</v>
      </c>
      <c r="AQ91" s="32">
        <v>113.8</v>
      </c>
      <c r="AR91" s="32">
        <v>112.4</v>
      </c>
      <c r="AS91" s="32">
        <v>118.3</v>
      </c>
      <c r="AT91" s="32">
        <v>116.3</v>
      </c>
      <c r="AU91" s="32">
        <v>116.7</v>
      </c>
      <c r="AV91" s="32">
        <v>109.2</v>
      </c>
      <c r="AW91" s="32">
        <v>163.4</v>
      </c>
      <c r="AX91" s="32">
        <v>188.9</v>
      </c>
      <c r="AY91" s="32">
        <v>248.3</v>
      </c>
      <c r="AZ91" s="32">
        <v>101.6</v>
      </c>
      <c r="BA91" s="32">
        <v>45.6</v>
      </c>
      <c r="BB91" s="32">
        <v>45.6</v>
      </c>
      <c r="BC91" s="32">
        <v>138.9</v>
      </c>
      <c r="BD91" s="32">
        <v>138.9</v>
      </c>
      <c r="BE91" s="32">
        <v>110.2</v>
      </c>
      <c r="BF91" s="32">
        <v>110.2</v>
      </c>
      <c r="BG91" s="32">
        <v>87.5</v>
      </c>
      <c r="BH91" s="32">
        <v>64.3</v>
      </c>
      <c r="BI91" s="32">
        <v>112</v>
      </c>
      <c r="BJ91" s="32">
        <v>36.9</v>
      </c>
      <c r="BK91" s="32">
        <v>158.9</v>
      </c>
      <c r="BL91" s="32">
        <v>44</v>
      </c>
      <c r="BM91" s="32">
        <v>90.3</v>
      </c>
      <c r="BN91" s="32">
        <v>97.1</v>
      </c>
      <c r="BO91" s="32">
        <v>83.7</v>
      </c>
      <c r="BP91" s="32">
        <v>109.7</v>
      </c>
      <c r="BQ91" s="32">
        <v>84.2</v>
      </c>
      <c r="BR91" s="32">
        <v>92.5</v>
      </c>
      <c r="BS91" s="32">
        <v>251.5</v>
      </c>
      <c r="BT91" s="32">
        <v>51.5</v>
      </c>
      <c r="BU91" s="32">
        <v>163.1</v>
      </c>
      <c r="BV91" s="32">
        <v>163.1</v>
      </c>
      <c r="BW91" s="32">
        <v>206.1</v>
      </c>
      <c r="BX91" s="32">
        <v>111.1</v>
      </c>
      <c r="BY91" s="32">
        <v>101.3</v>
      </c>
      <c r="BZ91" s="32">
        <v>108.2</v>
      </c>
      <c r="CA91" s="32">
        <v>98.5</v>
      </c>
      <c r="CB91" s="32">
        <v>116.8</v>
      </c>
      <c r="CC91" s="32">
        <v>89.4</v>
      </c>
      <c r="CD91" s="32">
        <v>26.4</v>
      </c>
      <c r="CE91" s="32">
        <v>97.9</v>
      </c>
      <c r="CF91" s="32">
        <v>71</v>
      </c>
      <c r="CG91" s="32">
        <v>88.9</v>
      </c>
      <c r="CH91" s="32">
        <v>88.4</v>
      </c>
      <c r="CI91" s="32">
        <v>112.3</v>
      </c>
      <c r="CJ91" s="32">
        <v>71.400000000000006</v>
      </c>
      <c r="CK91" s="32">
        <v>98</v>
      </c>
      <c r="CL91" s="32">
        <v>88.5</v>
      </c>
      <c r="CM91" s="32">
        <v>102.5</v>
      </c>
      <c r="CN91" s="32">
        <v>72.8</v>
      </c>
      <c r="CO91" s="32">
        <v>104.9</v>
      </c>
      <c r="CP91" s="32">
        <v>170.8</v>
      </c>
      <c r="CQ91" s="32">
        <v>48.3</v>
      </c>
      <c r="CR91" s="32">
        <v>90</v>
      </c>
      <c r="CS91" s="32">
        <v>117.8</v>
      </c>
      <c r="CT91" s="32">
        <v>91.5</v>
      </c>
      <c r="CU91" s="32">
        <v>70.599999999999994</v>
      </c>
      <c r="CV91" s="32">
        <v>100.6</v>
      </c>
      <c r="CW91" s="32">
        <v>24.2</v>
      </c>
      <c r="CX91" s="32">
        <v>78.400000000000006</v>
      </c>
      <c r="CY91" s="32">
        <v>99.6</v>
      </c>
      <c r="CZ91" s="32">
        <v>67</v>
      </c>
      <c r="DA91" s="32">
        <v>50.9</v>
      </c>
      <c r="DB91" s="32">
        <v>103.9</v>
      </c>
      <c r="DC91" s="32">
        <v>3.2</v>
      </c>
      <c r="DD91" s="32">
        <v>3.2</v>
      </c>
      <c r="DE91" s="32">
        <v>54.4</v>
      </c>
      <c r="DF91" s="32">
        <v>50.5</v>
      </c>
      <c r="DG91" s="32">
        <v>77.5</v>
      </c>
      <c r="DH91" s="32">
        <v>75.599999999999994</v>
      </c>
      <c r="DI91" s="32">
        <v>141.9</v>
      </c>
      <c r="DJ91" s="32">
        <v>48.2</v>
      </c>
      <c r="DK91" s="32">
        <v>48.2</v>
      </c>
      <c r="DL91" s="32">
        <v>34.9</v>
      </c>
      <c r="DM91" s="32">
        <v>69.3</v>
      </c>
      <c r="DN91" s="32">
        <v>45.3</v>
      </c>
      <c r="DO91" s="32">
        <v>80.3</v>
      </c>
      <c r="DP91" s="32">
        <v>42.7</v>
      </c>
      <c r="DQ91" s="32">
        <v>63.1</v>
      </c>
      <c r="DR91" s="32">
        <v>66.3</v>
      </c>
      <c r="DS91" s="32">
        <v>61.9</v>
      </c>
      <c r="DT91" s="32">
        <v>57.8</v>
      </c>
      <c r="DU91" s="32">
        <v>60.3</v>
      </c>
      <c r="DV91" s="32">
        <v>75.2</v>
      </c>
      <c r="DW91" s="32">
        <v>45.7</v>
      </c>
      <c r="DX91" s="32">
        <v>52.6</v>
      </c>
      <c r="DY91" s="32">
        <v>76.5</v>
      </c>
      <c r="DZ91" s="32">
        <v>112.2</v>
      </c>
      <c r="EA91" s="32">
        <v>112.2</v>
      </c>
      <c r="EB91" s="32">
        <v>65</v>
      </c>
      <c r="EC91" s="32">
        <v>68.5</v>
      </c>
      <c r="ED91" s="32">
        <v>60.4</v>
      </c>
      <c r="EE91" s="32">
        <v>69.3</v>
      </c>
      <c r="EF91" s="32">
        <v>40.9</v>
      </c>
      <c r="EG91" s="32">
        <v>58.2</v>
      </c>
      <c r="EH91" s="32">
        <v>82</v>
      </c>
      <c r="EI91" s="32">
        <v>56.7</v>
      </c>
      <c r="EJ91" s="32">
        <v>57.7</v>
      </c>
      <c r="EK91" s="32">
        <v>49.2</v>
      </c>
      <c r="EL91" s="32">
        <v>68.900000000000006</v>
      </c>
      <c r="EM91" s="32">
        <v>40.700000000000003</v>
      </c>
      <c r="EN91" s="32">
        <v>51.9</v>
      </c>
      <c r="EO91" s="32">
        <v>87.7</v>
      </c>
      <c r="EP91" s="32">
        <v>86.5</v>
      </c>
      <c r="EQ91" s="32">
        <v>86.5</v>
      </c>
      <c r="ER91" s="32">
        <v>88.2</v>
      </c>
      <c r="ES91" s="32">
        <v>88.2</v>
      </c>
      <c r="ET91" s="32">
        <v>90.4</v>
      </c>
      <c r="EU91" s="32">
        <v>99.1</v>
      </c>
      <c r="EV91" s="32">
        <v>99.1</v>
      </c>
      <c r="EW91" s="32">
        <v>82.8</v>
      </c>
      <c r="EX91" s="32">
        <v>89.6</v>
      </c>
      <c r="EY91" s="32">
        <v>77.5</v>
      </c>
      <c r="EZ91" s="32">
        <v>95.3</v>
      </c>
      <c r="FA91" s="32">
        <v>110.3</v>
      </c>
      <c r="FB91" s="32">
        <v>122.6</v>
      </c>
      <c r="FC91" s="32">
        <v>90.2</v>
      </c>
      <c r="FD91" s="32">
        <v>121.2</v>
      </c>
      <c r="FE91" s="32">
        <v>183.7</v>
      </c>
      <c r="FF91" s="32">
        <v>96.5</v>
      </c>
      <c r="FG91" s="32">
        <v>83.1</v>
      </c>
      <c r="FH91" s="32">
        <v>79.400000000000006</v>
      </c>
      <c r="FI91" s="32">
        <v>92.6</v>
      </c>
      <c r="FJ91" s="32">
        <v>83.3</v>
      </c>
      <c r="FK91" s="32">
        <v>117.2</v>
      </c>
      <c r="FL91" s="32">
        <v>117.2</v>
      </c>
    </row>
    <row r="92" spans="1:168" x14ac:dyDescent="0.2">
      <c r="A92" s="34" t="s">
        <v>1072</v>
      </c>
      <c r="B92" s="32">
        <v>77.2</v>
      </c>
      <c r="C92" s="32">
        <v>86.6</v>
      </c>
      <c r="D92" s="32">
        <v>104</v>
      </c>
      <c r="E92" s="32">
        <v>107.5</v>
      </c>
      <c r="F92" s="32">
        <v>335.2</v>
      </c>
      <c r="G92" s="32">
        <v>10750.7</v>
      </c>
      <c r="H92" s="32">
        <v>440.4</v>
      </c>
      <c r="I92" s="32">
        <v>60.2</v>
      </c>
      <c r="J92" s="32">
        <v>89.1</v>
      </c>
      <c r="K92" s="32">
        <v>104.7</v>
      </c>
      <c r="L92" s="32">
        <v>106.6</v>
      </c>
      <c r="M92" s="32">
        <v>115.5</v>
      </c>
      <c r="N92" s="32">
        <v>97</v>
      </c>
      <c r="O92" s="32">
        <v>295</v>
      </c>
      <c r="P92" s="32">
        <v>426.6</v>
      </c>
      <c r="Q92" s="32">
        <v>135.80000000000001</v>
      </c>
      <c r="R92" s="32">
        <v>89.8</v>
      </c>
      <c r="S92" s="32">
        <v>123.5</v>
      </c>
      <c r="T92" s="32">
        <v>97.1</v>
      </c>
      <c r="U92" s="32">
        <v>73.400000000000006</v>
      </c>
      <c r="V92" s="32">
        <v>110.1</v>
      </c>
      <c r="W92" s="32">
        <v>52.8</v>
      </c>
      <c r="X92" s="32">
        <v>40</v>
      </c>
      <c r="Y92" s="32">
        <v>69.599999999999994</v>
      </c>
      <c r="Z92" s="32">
        <v>89.1</v>
      </c>
      <c r="AA92" s="32">
        <v>99.7</v>
      </c>
      <c r="AB92" s="32">
        <v>108.9</v>
      </c>
      <c r="AC92" s="32">
        <v>91</v>
      </c>
      <c r="AD92" s="32">
        <v>110.3</v>
      </c>
      <c r="AE92" s="32">
        <v>151.6</v>
      </c>
      <c r="AF92" s="32">
        <v>151.6</v>
      </c>
      <c r="AG92" s="32">
        <v>70.900000000000006</v>
      </c>
      <c r="AH92" s="32">
        <v>70.900000000000006</v>
      </c>
      <c r="AI92" s="32">
        <v>228.2</v>
      </c>
      <c r="AJ92" s="32">
        <v>61.1</v>
      </c>
      <c r="AK92" s="32">
        <v>173.1</v>
      </c>
      <c r="AL92" s="32">
        <v>125.2</v>
      </c>
      <c r="AM92" s="32">
        <v>46.9</v>
      </c>
      <c r="AN92" s="32">
        <v>151.69999999999999</v>
      </c>
      <c r="AO92" s="32">
        <v>92</v>
      </c>
      <c r="AP92" s="32">
        <v>92</v>
      </c>
      <c r="AQ92" s="32">
        <v>116.5</v>
      </c>
      <c r="AR92" s="32">
        <v>116.1</v>
      </c>
      <c r="AS92" s="32">
        <v>119.4</v>
      </c>
      <c r="AT92" s="32">
        <v>116.7</v>
      </c>
      <c r="AU92" s="32">
        <v>118.7</v>
      </c>
      <c r="AV92" s="32">
        <v>110.2</v>
      </c>
      <c r="AW92" s="32">
        <v>162.30000000000001</v>
      </c>
      <c r="AX92" s="32">
        <v>187.5</v>
      </c>
      <c r="AY92" s="32">
        <v>247</v>
      </c>
      <c r="AZ92" s="32">
        <v>103.1</v>
      </c>
      <c r="BA92" s="32">
        <v>45.9</v>
      </c>
      <c r="BB92" s="32">
        <v>45.9</v>
      </c>
      <c r="BC92" s="32">
        <v>134</v>
      </c>
      <c r="BD92" s="32">
        <v>134</v>
      </c>
      <c r="BE92" s="32">
        <v>105.5</v>
      </c>
      <c r="BF92" s="32">
        <v>105.5</v>
      </c>
      <c r="BG92" s="32">
        <v>87.5</v>
      </c>
      <c r="BH92" s="32">
        <v>63.8</v>
      </c>
      <c r="BI92" s="32">
        <v>112.7</v>
      </c>
      <c r="BJ92" s="32">
        <v>37.299999999999997</v>
      </c>
      <c r="BK92" s="32">
        <v>159.19999999999999</v>
      </c>
      <c r="BL92" s="32">
        <v>46</v>
      </c>
      <c r="BM92" s="32">
        <v>83.7</v>
      </c>
      <c r="BN92" s="32">
        <v>93</v>
      </c>
      <c r="BO92" s="32">
        <v>80.400000000000006</v>
      </c>
      <c r="BP92" s="32">
        <v>105</v>
      </c>
      <c r="BQ92" s="32">
        <v>74.2</v>
      </c>
      <c r="BR92" s="32">
        <v>81.8</v>
      </c>
      <c r="BS92" s="32">
        <v>188.1</v>
      </c>
      <c r="BT92" s="32">
        <v>50.5</v>
      </c>
      <c r="BU92" s="32">
        <v>162.9</v>
      </c>
      <c r="BV92" s="32">
        <v>162.9</v>
      </c>
      <c r="BW92" s="32">
        <v>205.1</v>
      </c>
      <c r="BX92" s="32">
        <v>112.5</v>
      </c>
      <c r="BY92" s="32">
        <v>102.6</v>
      </c>
      <c r="BZ92" s="32">
        <v>107.2</v>
      </c>
      <c r="CA92" s="32">
        <v>100.8</v>
      </c>
      <c r="CB92" s="32">
        <v>118.5</v>
      </c>
      <c r="CC92" s="32">
        <v>92.5</v>
      </c>
      <c r="CD92" s="32">
        <v>26.9</v>
      </c>
      <c r="CE92" s="32">
        <v>97</v>
      </c>
      <c r="CF92" s="32">
        <v>71.5</v>
      </c>
      <c r="CG92" s="32">
        <v>89.4</v>
      </c>
      <c r="CH92" s="32">
        <v>88.7</v>
      </c>
      <c r="CI92" s="32">
        <v>109.5</v>
      </c>
      <c r="CJ92" s="32">
        <v>71.7</v>
      </c>
      <c r="CK92" s="32">
        <v>98.9</v>
      </c>
      <c r="CL92" s="32">
        <v>89.4</v>
      </c>
      <c r="CM92" s="32">
        <v>103.3</v>
      </c>
      <c r="CN92" s="32">
        <v>71.400000000000006</v>
      </c>
      <c r="CO92" s="32">
        <v>106.1</v>
      </c>
      <c r="CP92" s="32">
        <v>176.7</v>
      </c>
      <c r="CQ92" s="32">
        <v>47.9</v>
      </c>
      <c r="CR92" s="32">
        <v>92.2</v>
      </c>
      <c r="CS92" s="32">
        <v>116.8</v>
      </c>
      <c r="CT92" s="32">
        <v>92</v>
      </c>
      <c r="CU92" s="32">
        <v>70.7</v>
      </c>
      <c r="CV92" s="32">
        <v>101.3</v>
      </c>
      <c r="CW92" s="32">
        <v>24.7</v>
      </c>
      <c r="CX92" s="32">
        <v>78.599999999999994</v>
      </c>
      <c r="CY92" s="32">
        <v>96</v>
      </c>
      <c r="CZ92" s="32">
        <v>69.400000000000006</v>
      </c>
      <c r="DA92" s="32">
        <v>54.3</v>
      </c>
      <c r="DB92" s="32">
        <v>102.4</v>
      </c>
      <c r="DC92" s="32">
        <v>3.4</v>
      </c>
      <c r="DD92" s="32">
        <v>3.4</v>
      </c>
      <c r="DE92" s="32">
        <v>53.8</v>
      </c>
      <c r="DF92" s="32">
        <v>50</v>
      </c>
      <c r="DG92" s="32">
        <v>76.3</v>
      </c>
      <c r="DH92" s="32">
        <v>76.5</v>
      </c>
      <c r="DI92" s="32">
        <v>144</v>
      </c>
      <c r="DJ92" s="32">
        <v>46.9</v>
      </c>
      <c r="DK92" s="32">
        <v>46.9</v>
      </c>
      <c r="DL92" s="32">
        <v>36.700000000000003</v>
      </c>
      <c r="DM92" s="32">
        <v>69.099999999999994</v>
      </c>
      <c r="DN92" s="32">
        <v>44.9</v>
      </c>
      <c r="DO92" s="32">
        <v>80</v>
      </c>
      <c r="DP92" s="32">
        <v>43.4</v>
      </c>
      <c r="DQ92" s="32">
        <v>64.8</v>
      </c>
      <c r="DR92" s="32">
        <v>67.900000000000006</v>
      </c>
      <c r="DS92" s="32">
        <v>62.9</v>
      </c>
      <c r="DT92" s="32">
        <v>58.6</v>
      </c>
      <c r="DU92" s="32">
        <v>61.9</v>
      </c>
      <c r="DV92" s="32">
        <v>77.599999999999994</v>
      </c>
      <c r="DW92" s="32">
        <v>46.5</v>
      </c>
      <c r="DX92" s="32">
        <v>51.9</v>
      </c>
      <c r="DY92" s="32">
        <v>78.099999999999994</v>
      </c>
      <c r="DZ92" s="32">
        <v>120</v>
      </c>
      <c r="EA92" s="32">
        <v>120</v>
      </c>
      <c r="EB92" s="32">
        <v>66.8</v>
      </c>
      <c r="EC92" s="32">
        <v>70.099999999999994</v>
      </c>
      <c r="ED92" s="32">
        <v>62.6</v>
      </c>
      <c r="EE92" s="32">
        <v>72.400000000000006</v>
      </c>
      <c r="EF92" s="32">
        <v>41</v>
      </c>
      <c r="EG92" s="32">
        <v>59.9</v>
      </c>
      <c r="EH92" s="32">
        <v>84.4</v>
      </c>
      <c r="EI92" s="32">
        <v>57.5</v>
      </c>
      <c r="EJ92" s="32">
        <v>59.4</v>
      </c>
      <c r="EK92" s="32">
        <v>51.3</v>
      </c>
      <c r="EL92" s="32">
        <v>70.3</v>
      </c>
      <c r="EM92" s="32">
        <v>42</v>
      </c>
      <c r="EN92" s="32">
        <v>54.8</v>
      </c>
      <c r="EO92" s="32">
        <v>87.3</v>
      </c>
      <c r="EP92" s="32">
        <v>86.3</v>
      </c>
      <c r="EQ92" s="32">
        <v>86.3</v>
      </c>
      <c r="ER92" s="32">
        <v>87.3</v>
      </c>
      <c r="ES92" s="32">
        <v>87.3</v>
      </c>
      <c r="ET92" s="32">
        <v>90.1</v>
      </c>
      <c r="EU92" s="32">
        <v>98.7</v>
      </c>
      <c r="EV92" s="32">
        <v>98.7</v>
      </c>
      <c r="EW92" s="32">
        <v>82.7</v>
      </c>
      <c r="EX92" s="32">
        <v>89.6</v>
      </c>
      <c r="EY92" s="32">
        <v>77.2</v>
      </c>
      <c r="EZ92" s="32">
        <v>96</v>
      </c>
      <c r="FA92" s="32">
        <v>108.7</v>
      </c>
      <c r="FB92" s="32">
        <v>119.4</v>
      </c>
      <c r="FC92" s="32">
        <v>82.3</v>
      </c>
      <c r="FD92" s="32">
        <v>120.7</v>
      </c>
      <c r="FE92" s="32">
        <v>188.7</v>
      </c>
      <c r="FF92" s="32">
        <v>96.9</v>
      </c>
      <c r="FG92" s="32">
        <v>84.9</v>
      </c>
      <c r="FH92" s="32">
        <v>84.8</v>
      </c>
      <c r="FI92" s="32">
        <v>102.4</v>
      </c>
      <c r="FJ92" s="32">
        <v>82.6</v>
      </c>
      <c r="FK92" s="32">
        <v>125.2</v>
      </c>
      <c r="FL92" s="32">
        <v>125.2</v>
      </c>
    </row>
    <row r="93" spans="1:168" x14ac:dyDescent="0.2">
      <c r="A93" s="34" t="s">
        <v>1073</v>
      </c>
      <c r="B93" s="32">
        <v>77.099999999999994</v>
      </c>
      <c r="C93" s="32">
        <v>85.1</v>
      </c>
      <c r="D93" s="32">
        <v>103.7</v>
      </c>
      <c r="E93" s="32">
        <v>107.8</v>
      </c>
      <c r="F93" s="32">
        <v>334.1</v>
      </c>
      <c r="G93" s="32">
        <v>9956.5</v>
      </c>
      <c r="H93" s="32">
        <v>439.2</v>
      </c>
      <c r="I93" s="32">
        <v>60.3</v>
      </c>
      <c r="J93" s="32">
        <v>89.6</v>
      </c>
      <c r="K93" s="32">
        <v>105.6</v>
      </c>
      <c r="L93" s="32">
        <v>107.2</v>
      </c>
      <c r="M93" s="32">
        <v>115.5</v>
      </c>
      <c r="N93" s="32">
        <v>95</v>
      </c>
      <c r="O93" s="32">
        <v>291.2</v>
      </c>
      <c r="P93" s="32">
        <v>437</v>
      </c>
      <c r="Q93" s="32">
        <v>132.6</v>
      </c>
      <c r="R93" s="32">
        <v>93.5</v>
      </c>
      <c r="S93" s="32">
        <v>123.2</v>
      </c>
      <c r="T93" s="32">
        <v>99.1</v>
      </c>
      <c r="U93" s="32">
        <v>76</v>
      </c>
      <c r="V93" s="32">
        <v>111.5</v>
      </c>
      <c r="W93" s="32">
        <v>50.8</v>
      </c>
      <c r="X93" s="32">
        <v>38.799999999999997</v>
      </c>
      <c r="Y93" s="32">
        <v>65</v>
      </c>
      <c r="Z93" s="32">
        <v>96.5</v>
      </c>
      <c r="AA93" s="32">
        <v>101.2</v>
      </c>
      <c r="AB93" s="32">
        <v>115.3</v>
      </c>
      <c r="AC93" s="32">
        <v>90.5</v>
      </c>
      <c r="AD93" s="32">
        <v>111.2</v>
      </c>
      <c r="AE93" s="32">
        <v>156.30000000000001</v>
      </c>
      <c r="AF93" s="32">
        <v>156.30000000000001</v>
      </c>
      <c r="AG93" s="32">
        <v>69.7</v>
      </c>
      <c r="AH93" s="32">
        <v>69.7</v>
      </c>
      <c r="AI93" s="32">
        <v>217.8</v>
      </c>
      <c r="AJ93" s="32">
        <v>58.7</v>
      </c>
      <c r="AK93" s="32">
        <v>120.3</v>
      </c>
      <c r="AL93" s="32">
        <v>132.6</v>
      </c>
      <c r="AM93" s="32">
        <v>46.8</v>
      </c>
      <c r="AN93" s="32">
        <v>150.80000000000001</v>
      </c>
      <c r="AO93" s="32">
        <v>99.8</v>
      </c>
      <c r="AP93" s="32">
        <v>99.8</v>
      </c>
      <c r="AQ93" s="32">
        <v>116.3</v>
      </c>
      <c r="AR93" s="32">
        <v>113.3</v>
      </c>
      <c r="AS93" s="32">
        <v>123.4</v>
      </c>
      <c r="AT93" s="32">
        <v>119.2</v>
      </c>
      <c r="AU93" s="32">
        <v>124.3</v>
      </c>
      <c r="AV93" s="32">
        <v>106</v>
      </c>
      <c r="AW93" s="32">
        <v>156.19999999999999</v>
      </c>
      <c r="AX93" s="32">
        <v>163.1</v>
      </c>
      <c r="AY93" s="32">
        <v>249.1</v>
      </c>
      <c r="AZ93" s="32">
        <v>99.2</v>
      </c>
      <c r="BA93" s="32">
        <v>47.4</v>
      </c>
      <c r="BB93" s="32">
        <v>47.4</v>
      </c>
      <c r="BC93" s="32">
        <v>132.30000000000001</v>
      </c>
      <c r="BD93" s="32">
        <v>132.30000000000001</v>
      </c>
      <c r="BE93" s="32">
        <v>107.4</v>
      </c>
      <c r="BF93" s="32">
        <v>107.4</v>
      </c>
      <c r="BG93" s="32">
        <v>85.8</v>
      </c>
      <c r="BH93" s="32">
        <v>61.6</v>
      </c>
      <c r="BI93" s="32">
        <v>111.9</v>
      </c>
      <c r="BJ93" s="32">
        <v>37.4</v>
      </c>
      <c r="BK93" s="32">
        <v>157.4</v>
      </c>
      <c r="BL93" s="32">
        <v>47.6</v>
      </c>
      <c r="BM93" s="32">
        <v>86.2</v>
      </c>
      <c r="BN93" s="32">
        <v>94</v>
      </c>
      <c r="BO93" s="32">
        <v>80</v>
      </c>
      <c r="BP93" s="32">
        <v>107.2</v>
      </c>
      <c r="BQ93" s="32">
        <v>78.599999999999994</v>
      </c>
      <c r="BR93" s="32">
        <v>88.2</v>
      </c>
      <c r="BS93" s="32">
        <v>215.3</v>
      </c>
      <c r="BT93" s="32">
        <v>51</v>
      </c>
      <c r="BU93" s="32">
        <v>158.80000000000001</v>
      </c>
      <c r="BV93" s="32">
        <v>158.80000000000001</v>
      </c>
      <c r="BW93" s="32">
        <v>202.5</v>
      </c>
      <c r="BX93" s="32">
        <v>106</v>
      </c>
      <c r="BY93" s="32">
        <v>103.4</v>
      </c>
      <c r="BZ93" s="32">
        <v>105</v>
      </c>
      <c r="CA93" s="32">
        <v>102.9</v>
      </c>
      <c r="CB93" s="32">
        <v>123.2</v>
      </c>
      <c r="CC93" s="32">
        <v>92.3</v>
      </c>
      <c r="CD93" s="32">
        <v>28.2</v>
      </c>
      <c r="CE93" s="32">
        <v>95.2</v>
      </c>
      <c r="CF93" s="32">
        <v>71.400000000000006</v>
      </c>
      <c r="CG93" s="32">
        <v>88.8</v>
      </c>
      <c r="CH93" s="32">
        <v>88.4</v>
      </c>
      <c r="CI93" s="32">
        <v>109.1</v>
      </c>
      <c r="CJ93" s="32">
        <v>70.900000000000006</v>
      </c>
      <c r="CK93" s="32">
        <v>99</v>
      </c>
      <c r="CL93" s="32">
        <v>87.5</v>
      </c>
      <c r="CM93" s="32">
        <v>101.5</v>
      </c>
      <c r="CN93" s="32">
        <v>71.900000000000006</v>
      </c>
      <c r="CO93" s="32">
        <v>104</v>
      </c>
      <c r="CP93" s="32">
        <v>179.9</v>
      </c>
      <c r="CQ93" s="32">
        <v>50.1</v>
      </c>
      <c r="CR93" s="32">
        <v>82.6</v>
      </c>
      <c r="CS93" s="32">
        <v>121.4</v>
      </c>
      <c r="CT93" s="32">
        <v>92.7</v>
      </c>
      <c r="CU93" s="32">
        <v>71.2</v>
      </c>
      <c r="CV93" s="32">
        <v>102.1</v>
      </c>
      <c r="CW93" s="32">
        <v>24.6</v>
      </c>
      <c r="CX93" s="32">
        <v>78.900000000000006</v>
      </c>
      <c r="CY93" s="32">
        <v>95.8</v>
      </c>
      <c r="CZ93" s="32">
        <v>70</v>
      </c>
      <c r="DA93" s="32">
        <v>55.5</v>
      </c>
      <c r="DB93" s="32">
        <v>101.5</v>
      </c>
      <c r="DC93" s="32">
        <v>3.4</v>
      </c>
      <c r="DD93" s="32">
        <v>3.4</v>
      </c>
      <c r="DE93" s="32">
        <v>53.6</v>
      </c>
      <c r="DF93" s="32">
        <v>49.9</v>
      </c>
      <c r="DG93" s="32">
        <v>74.8</v>
      </c>
      <c r="DH93" s="32">
        <v>76.599999999999994</v>
      </c>
      <c r="DI93" s="32">
        <v>143.69999999999999</v>
      </c>
      <c r="DJ93" s="32">
        <v>46.3</v>
      </c>
      <c r="DK93" s="32">
        <v>46.3</v>
      </c>
      <c r="DL93" s="32">
        <v>38.1</v>
      </c>
      <c r="DM93" s="32">
        <v>69.599999999999994</v>
      </c>
      <c r="DN93" s="32">
        <v>44.4</v>
      </c>
      <c r="DO93" s="32">
        <v>80.900000000000006</v>
      </c>
      <c r="DP93" s="32">
        <v>43.7</v>
      </c>
      <c r="DQ93" s="32">
        <v>64.3</v>
      </c>
      <c r="DR93" s="32">
        <v>67.8</v>
      </c>
      <c r="DS93" s="32">
        <v>63.1</v>
      </c>
      <c r="DT93" s="32">
        <v>58.3</v>
      </c>
      <c r="DU93" s="32">
        <v>61.4</v>
      </c>
      <c r="DV93" s="32">
        <v>77</v>
      </c>
      <c r="DW93" s="32">
        <v>46.2</v>
      </c>
      <c r="DX93" s="32">
        <v>52</v>
      </c>
      <c r="DY93" s="32">
        <v>79.900000000000006</v>
      </c>
      <c r="DZ93" s="32">
        <v>113.4</v>
      </c>
      <c r="EA93" s="32">
        <v>113.4</v>
      </c>
      <c r="EB93" s="32">
        <v>67.5</v>
      </c>
      <c r="EC93" s="32">
        <v>70.2</v>
      </c>
      <c r="ED93" s="32">
        <v>64</v>
      </c>
      <c r="EE93" s="32">
        <v>74.2</v>
      </c>
      <c r="EF93" s="32">
        <v>41.5</v>
      </c>
      <c r="EG93" s="32">
        <v>59.1</v>
      </c>
      <c r="EH93" s="32">
        <v>81.3</v>
      </c>
      <c r="EI93" s="32">
        <v>55.7</v>
      </c>
      <c r="EJ93" s="32">
        <v>61.1</v>
      </c>
      <c r="EK93" s="32">
        <v>51.7</v>
      </c>
      <c r="EL93" s="32">
        <v>72.099999999999994</v>
      </c>
      <c r="EM93" s="32">
        <v>43</v>
      </c>
      <c r="EN93" s="32">
        <v>54.5</v>
      </c>
      <c r="EO93" s="32">
        <v>87.2</v>
      </c>
      <c r="EP93" s="32">
        <v>85.9</v>
      </c>
      <c r="EQ93" s="32">
        <v>85.9</v>
      </c>
      <c r="ER93" s="32">
        <v>88</v>
      </c>
      <c r="ES93" s="32">
        <v>88</v>
      </c>
      <c r="ET93" s="32">
        <v>89.6</v>
      </c>
      <c r="EU93" s="32">
        <v>98.2</v>
      </c>
      <c r="EV93" s="32">
        <v>98.2</v>
      </c>
      <c r="EW93" s="32">
        <v>82.2</v>
      </c>
      <c r="EX93" s="32">
        <v>89.2</v>
      </c>
      <c r="EY93" s="32">
        <v>76.7</v>
      </c>
      <c r="EZ93" s="32">
        <v>98.5</v>
      </c>
      <c r="FA93" s="32">
        <v>111.5</v>
      </c>
      <c r="FB93" s="32">
        <v>122.4</v>
      </c>
      <c r="FC93" s="32">
        <v>83.5</v>
      </c>
      <c r="FD93" s="32">
        <v>119.4</v>
      </c>
      <c r="FE93" s="32">
        <v>198.2</v>
      </c>
      <c r="FF93" s="32">
        <v>99.3</v>
      </c>
      <c r="FG93" s="32">
        <v>87.6</v>
      </c>
      <c r="FH93" s="32">
        <v>89.9</v>
      </c>
      <c r="FI93" s="32">
        <v>94.9</v>
      </c>
      <c r="FJ93" s="32">
        <v>85.6</v>
      </c>
      <c r="FK93" s="32">
        <v>122.1</v>
      </c>
      <c r="FL93" s="32">
        <v>122.1</v>
      </c>
    </row>
    <row r="94" spans="1:168" x14ac:dyDescent="0.2">
      <c r="A94" s="34" t="s">
        <v>1074</v>
      </c>
      <c r="B94" s="32">
        <v>77.400000000000006</v>
      </c>
      <c r="C94" s="32">
        <v>84.3</v>
      </c>
      <c r="D94" s="32">
        <v>102.5</v>
      </c>
      <c r="E94" s="32">
        <v>106.6</v>
      </c>
      <c r="F94" s="32">
        <v>329.2</v>
      </c>
      <c r="G94" s="32">
        <v>10484.9</v>
      </c>
      <c r="H94" s="32">
        <v>429.2</v>
      </c>
      <c r="I94" s="32">
        <v>62.1</v>
      </c>
      <c r="J94" s="32">
        <v>88.8</v>
      </c>
      <c r="K94" s="32">
        <v>104</v>
      </c>
      <c r="L94" s="32">
        <v>105</v>
      </c>
      <c r="M94" s="32">
        <v>113.1</v>
      </c>
      <c r="N94" s="32">
        <v>94.4</v>
      </c>
      <c r="O94" s="32">
        <v>297.5</v>
      </c>
      <c r="P94" s="32">
        <v>436.7</v>
      </c>
      <c r="Q94" s="32">
        <v>134.5</v>
      </c>
      <c r="R94" s="32">
        <v>89.3</v>
      </c>
      <c r="S94" s="32">
        <v>120.9</v>
      </c>
      <c r="T94" s="32">
        <v>94</v>
      </c>
      <c r="U94" s="32">
        <v>77.2</v>
      </c>
      <c r="V94" s="32">
        <v>111.7</v>
      </c>
      <c r="W94" s="32">
        <v>52.7</v>
      </c>
      <c r="X94" s="32">
        <v>40.4</v>
      </c>
      <c r="Y94" s="32">
        <v>66.900000000000006</v>
      </c>
      <c r="Z94" s="32">
        <v>101.3</v>
      </c>
      <c r="AA94" s="32">
        <v>99.6</v>
      </c>
      <c r="AB94" s="32">
        <v>114.4</v>
      </c>
      <c r="AC94" s="32">
        <v>90.3</v>
      </c>
      <c r="AD94" s="32">
        <v>107.9</v>
      </c>
      <c r="AE94" s="32">
        <v>157.30000000000001</v>
      </c>
      <c r="AF94" s="32">
        <v>157.30000000000001</v>
      </c>
      <c r="AG94" s="32">
        <v>68.099999999999994</v>
      </c>
      <c r="AH94" s="32">
        <v>68.099999999999994</v>
      </c>
      <c r="AI94" s="32">
        <v>203.9</v>
      </c>
      <c r="AJ94" s="32">
        <v>57.4</v>
      </c>
      <c r="AK94" s="32">
        <v>85.9</v>
      </c>
      <c r="AL94" s="32">
        <v>135.5</v>
      </c>
      <c r="AM94" s="32">
        <v>45.4</v>
      </c>
      <c r="AN94" s="32">
        <v>152.4</v>
      </c>
      <c r="AO94" s="32">
        <v>87.6</v>
      </c>
      <c r="AP94" s="32">
        <v>87.6</v>
      </c>
      <c r="AQ94" s="32">
        <v>115.6</v>
      </c>
      <c r="AR94" s="32">
        <v>113.1</v>
      </c>
      <c r="AS94" s="32">
        <v>121.9</v>
      </c>
      <c r="AT94" s="32">
        <v>119.6</v>
      </c>
      <c r="AU94" s="32">
        <v>120.6</v>
      </c>
      <c r="AV94" s="32">
        <v>105.8</v>
      </c>
      <c r="AW94" s="32">
        <v>157.6</v>
      </c>
      <c r="AX94" s="32">
        <v>155.5</v>
      </c>
      <c r="AY94" s="32">
        <v>257.5</v>
      </c>
      <c r="AZ94" s="32">
        <v>98.6</v>
      </c>
      <c r="BA94" s="32">
        <v>47.7</v>
      </c>
      <c r="BB94" s="32">
        <v>47.7</v>
      </c>
      <c r="BC94" s="32">
        <v>132.6</v>
      </c>
      <c r="BD94" s="32">
        <v>132.6</v>
      </c>
      <c r="BE94" s="32">
        <v>111.1</v>
      </c>
      <c r="BF94" s="32">
        <v>111.1</v>
      </c>
      <c r="BG94" s="32">
        <v>88.9</v>
      </c>
      <c r="BH94" s="32">
        <v>66.900000000000006</v>
      </c>
      <c r="BI94" s="32">
        <v>111.4</v>
      </c>
      <c r="BJ94" s="32">
        <v>36.9</v>
      </c>
      <c r="BK94" s="32">
        <v>156.19999999999999</v>
      </c>
      <c r="BL94" s="32">
        <v>49.9</v>
      </c>
      <c r="BM94" s="32">
        <v>83.9</v>
      </c>
      <c r="BN94" s="32">
        <v>93.9</v>
      </c>
      <c r="BO94" s="32">
        <v>81.599999999999994</v>
      </c>
      <c r="BP94" s="32">
        <v>105.5</v>
      </c>
      <c r="BQ94" s="32">
        <v>73.5</v>
      </c>
      <c r="BR94" s="32">
        <v>62.6</v>
      </c>
      <c r="BS94" s="32">
        <v>198.2</v>
      </c>
      <c r="BT94" s="32">
        <v>50.2</v>
      </c>
      <c r="BU94" s="32">
        <v>154.19999999999999</v>
      </c>
      <c r="BV94" s="32">
        <v>154.19999999999999</v>
      </c>
      <c r="BW94" s="32">
        <v>197.8</v>
      </c>
      <c r="BX94" s="32">
        <v>101.8</v>
      </c>
      <c r="BY94" s="32">
        <v>101.4</v>
      </c>
      <c r="BZ94" s="32">
        <v>106.7</v>
      </c>
      <c r="CA94" s="32">
        <v>99.3</v>
      </c>
      <c r="CB94" s="32">
        <v>120.8</v>
      </c>
      <c r="CC94" s="32">
        <v>87.4</v>
      </c>
      <c r="CD94" s="32">
        <v>28.3</v>
      </c>
      <c r="CE94" s="32">
        <v>94</v>
      </c>
      <c r="CF94" s="32">
        <v>72</v>
      </c>
      <c r="CG94" s="32">
        <v>89.8</v>
      </c>
      <c r="CH94" s="32">
        <v>89.1</v>
      </c>
      <c r="CI94" s="32">
        <v>110.8</v>
      </c>
      <c r="CJ94" s="32">
        <v>72</v>
      </c>
      <c r="CK94" s="32">
        <v>99.3</v>
      </c>
      <c r="CL94" s="32">
        <v>89.9</v>
      </c>
      <c r="CM94" s="32">
        <v>102.8</v>
      </c>
      <c r="CN94" s="32">
        <v>70.7</v>
      </c>
      <c r="CO94" s="32">
        <v>105.7</v>
      </c>
      <c r="CP94" s="32">
        <v>184.3</v>
      </c>
      <c r="CQ94" s="32">
        <v>50</v>
      </c>
      <c r="CR94" s="32">
        <v>90.9</v>
      </c>
      <c r="CS94" s="32">
        <v>119.1</v>
      </c>
      <c r="CT94" s="32">
        <v>92.4</v>
      </c>
      <c r="CU94" s="32">
        <v>70.099999999999994</v>
      </c>
      <c r="CV94" s="32">
        <v>102.3</v>
      </c>
      <c r="CW94" s="32">
        <v>25.1</v>
      </c>
      <c r="CX94" s="32">
        <v>79.400000000000006</v>
      </c>
      <c r="CY94" s="32">
        <v>93.1</v>
      </c>
      <c r="CZ94" s="32">
        <v>72.3</v>
      </c>
      <c r="DA94" s="32">
        <v>58.1</v>
      </c>
      <c r="DB94" s="32">
        <v>102.4</v>
      </c>
      <c r="DC94" s="32">
        <v>3.5</v>
      </c>
      <c r="DD94" s="32">
        <v>3.5</v>
      </c>
      <c r="DE94" s="32">
        <v>53.4</v>
      </c>
      <c r="DF94" s="32">
        <v>49.7</v>
      </c>
      <c r="DG94" s="32">
        <v>75.099999999999994</v>
      </c>
      <c r="DH94" s="32">
        <v>77.7</v>
      </c>
      <c r="DI94" s="32">
        <v>146.1</v>
      </c>
      <c r="DJ94" s="32">
        <v>46.9</v>
      </c>
      <c r="DK94" s="32">
        <v>46.9</v>
      </c>
      <c r="DL94" s="32">
        <v>38.5</v>
      </c>
      <c r="DM94" s="32">
        <v>70.099999999999994</v>
      </c>
      <c r="DN94" s="32">
        <v>44.3</v>
      </c>
      <c r="DO94" s="32">
        <v>81.599999999999994</v>
      </c>
      <c r="DP94" s="32">
        <v>44.6</v>
      </c>
      <c r="DQ94" s="32">
        <v>65.3</v>
      </c>
      <c r="DR94" s="32">
        <v>69.099999999999994</v>
      </c>
      <c r="DS94" s="32">
        <v>64.3</v>
      </c>
      <c r="DT94" s="32">
        <v>59.5</v>
      </c>
      <c r="DU94" s="32">
        <v>62.7</v>
      </c>
      <c r="DV94" s="32">
        <v>78.099999999999994</v>
      </c>
      <c r="DW94" s="32">
        <v>47.6</v>
      </c>
      <c r="DX94" s="32">
        <v>53</v>
      </c>
      <c r="DY94" s="32">
        <v>81.099999999999994</v>
      </c>
      <c r="DZ94" s="32">
        <v>118.9</v>
      </c>
      <c r="EA94" s="32">
        <v>118.9</v>
      </c>
      <c r="EB94" s="32">
        <v>68.099999999999994</v>
      </c>
      <c r="EC94" s="32">
        <v>71.2</v>
      </c>
      <c r="ED94" s="32">
        <v>64.099999999999994</v>
      </c>
      <c r="EE94" s="32">
        <v>74.3</v>
      </c>
      <c r="EF94" s="32">
        <v>41.9</v>
      </c>
      <c r="EG94" s="32">
        <v>59.4</v>
      </c>
      <c r="EH94" s="32">
        <v>82.4</v>
      </c>
      <c r="EI94" s="32">
        <v>55.3</v>
      </c>
      <c r="EJ94" s="32">
        <v>60.6</v>
      </c>
      <c r="EK94" s="32">
        <v>52.4</v>
      </c>
      <c r="EL94" s="32">
        <v>78.7</v>
      </c>
      <c r="EM94" s="32">
        <v>42.6</v>
      </c>
      <c r="EN94" s="32">
        <v>55</v>
      </c>
      <c r="EO94" s="32">
        <v>87.3</v>
      </c>
      <c r="EP94" s="32">
        <v>86.4</v>
      </c>
      <c r="EQ94" s="32">
        <v>86.4</v>
      </c>
      <c r="ER94" s="32">
        <v>88.1</v>
      </c>
      <c r="ES94" s="32">
        <v>88.1</v>
      </c>
      <c r="ET94" s="32">
        <v>89.3</v>
      </c>
      <c r="EU94" s="32">
        <v>97.9</v>
      </c>
      <c r="EV94" s="32">
        <v>97.9</v>
      </c>
      <c r="EW94" s="32">
        <v>81.900000000000006</v>
      </c>
      <c r="EX94" s="32">
        <v>89.1</v>
      </c>
      <c r="EY94" s="32">
        <v>76.3</v>
      </c>
      <c r="EZ94" s="32">
        <v>97</v>
      </c>
      <c r="FA94" s="32">
        <v>112.8</v>
      </c>
      <c r="FB94" s="32">
        <v>124.6</v>
      </c>
      <c r="FC94" s="32">
        <v>83.6</v>
      </c>
      <c r="FD94" s="32">
        <v>119.4</v>
      </c>
      <c r="FE94" s="32">
        <v>206</v>
      </c>
      <c r="FF94" s="32">
        <v>99.7</v>
      </c>
      <c r="FG94" s="32">
        <v>83.9</v>
      </c>
      <c r="FH94" s="32">
        <v>92.8</v>
      </c>
      <c r="FI94" s="32">
        <v>90.4</v>
      </c>
      <c r="FJ94" s="32">
        <v>79.3</v>
      </c>
      <c r="FK94" s="32">
        <v>121</v>
      </c>
      <c r="FL94" s="32">
        <v>121</v>
      </c>
    </row>
    <row r="95" spans="1:168" x14ac:dyDescent="0.2">
      <c r="A95" s="34" t="s">
        <v>1075</v>
      </c>
      <c r="B95" s="32">
        <v>77.599999999999994</v>
      </c>
      <c r="C95" s="32">
        <v>84</v>
      </c>
      <c r="D95" s="32">
        <v>102.2</v>
      </c>
      <c r="E95" s="32">
        <v>106.3</v>
      </c>
      <c r="F95" s="32">
        <v>344.4</v>
      </c>
      <c r="G95" s="32">
        <v>11125.3</v>
      </c>
      <c r="H95" s="32">
        <v>450.8</v>
      </c>
      <c r="I95" s="32">
        <v>63.3</v>
      </c>
      <c r="J95" s="32">
        <v>88.3</v>
      </c>
      <c r="K95" s="32">
        <v>104.1</v>
      </c>
      <c r="L95" s="32">
        <v>105.2</v>
      </c>
      <c r="M95" s="32">
        <v>112.6</v>
      </c>
      <c r="N95" s="32">
        <v>93.7</v>
      </c>
      <c r="O95" s="32">
        <v>293.3</v>
      </c>
      <c r="P95" s="32">
        <v>428.6</v>
      </c>
      <c r="Q95" s="32">
        <v>131.5</v>
      </c>
      <c r="R95" s="32">
        <v>89.5</v>
      </c>
      <c r="S95" s="32">
        <v>121.5</v>
      </c>
      <c r="T95" s="32">
        <v>106.1</v>
      </c>
      <c r="U95" s="32">
        <v>78.7</v>
      </c>
      <c r="V95" s="32">
        <v>110.7</v>
      </c>
      <c r="W95" s="32">
        <v>50.2</v>
      </c>
      <c r="X95" s="32">
        <v>38.700000000000003</v>
      </c>
      <c r="Y95" s="32">
        <v>63.1</v>
      </c>
      <c r="Z95" s="32">
        <v>99.8</v>
      </c>
      <c r="AA95" s="32">
        <v>99.7</v>
      </c>
      <c r="AB95" s="32">
        <v>110.6</v>
      </c>
      <c r="AC95" s="32">
        <v>90.9</v>
      </c>
      <c r="AD95" s="32">
        <v>109.5</v>
      </c>
      <c r="AE95" s="32">
        <v>153.19999999999999</v>
      </c>
      <c r="AF95" s="32">
        <v>153.19999999999999</v>
      </c>
      <c r="AG95" s="32">
        <v>67.599999999999994</v>
      </c>
      <c r="AH95" s="32">
        <v>67.599999999999994</v>
      </c>
      <c r="AI95" s="32">
        <v>206.3</v>
      </c>
      <c r="AJ95" s="32">
        <v>55.7</v>
      </c>
      <c r="AK95" s="32">
        <v>81.099999999999994</v>
      </c>
      <c r="AL95" s="32">
        <v>135.4</v>
      </c>
      <c r="AM95" s="32">
        <v>45.9</v>
      </c>
      <c r="AN95" s="32">
        <v>149.19999999999999</v>
      </c>
      <c r="AO95" s="32">
        <v>90.9</v>
      </c>
      <c r="AP95" s="32">
        <v>90.9</v>
      </c>
      <c r="AQ95" s="32">
        <v>116.3</v>
      </c>
      <c r="AR95" s="32">
        <v>113.4</v>
      </c>
      <c r="AS95" s="32">
        <v>123.1</v>
      </c>
      <c r="AT95" s="32">
        <v>118.1</v>
      </c>
      <c r="AU95" s="32">
        <v>125.1</v>
      </c>
      <c r="AV95" s="32">
        <v>103.1</v>
      </c>
      <c r="AW95" s="32">
        <v>158.9</v>
      </c>
      <c r="AX95" s="32">
        <v>158.6</v>
      </c>
      <c r="AY95" s="32">
        <v>259.5</v>
      </c>
      <c r="AZ95" s="32">
        <v>95.1</v>
      </c>
      <c r="BA95" s="32">
        <v>47.8</v>
      </c>
      <c r="BB95" s="32">
        <v>47.8</v>
      </c>
      <c r="BC95" s="32">
        <v>130.80000000000001</v>
      </c>
      <c r="BD95" s="32">
        <v>130.80000000000001</v>
      </c>
      <c r="BE95" s="32">
        <v>108.7</v>
      </c>
      <c r="BF95" s="32">
        <v>108.7</v>
      </c>
      <c r="BG95" s="32">
        <v>85.9</v>
      </c>
      <c r="BH95" s="32">
        <v>62.3</v>
      </c>
      <c r="BI95" s="32">
        <v>111.2</v>
      </c>
      <c r="BJ95" s="32">
        <v>37.1</v>
      </c>
      <c r="BK95" s="32">
        <v>155.1</v>
      </c>
      <c r="BL95" s="32">
        <v>52.6</v>
      </c>
      <c r="BM95" s="32">
        <v>86.3</v>
      </c>
      <c r="BN95" s="32">
        <v>94.2</v>
      </c>
      <c r="BO95" s="32">
        <v>79.900000000000006</v>
      </c>
      <c r="BP95" s="32">
        <v>107.9</v>
      </c>
      <c r="BQ95" s="32">
        <v>78.8</v>
      </c>
      <c r="BR95" s="32">
        <v>73.5</v>
      </c>
      <c r="BS95" s="32">
        <v>212.9</v>
      </c>
      <c r="BT95" s="32">
        <v>53</v>
      </c>
      <c r="BU95" s="32">
        <v>146.4</v>
      </c>
      <c r="BV95" s="32">
        <v>146.4</v>
      </c>
      <c r="BW95" s="32">
        <v>188</v>
      </c>
      <c r="BX95" s="32">
        <v>97.4</v>
      </c>
      <c r="BY95" s="32">
        <v>102.4</v>
      </c>
      <c r="BZ95" s="32">
        <v>107.4</v>
      </c>
      <c r="CA95" s="32">
        <v>100.5</v>
      </c>
      <c r="CB95" s="32">
        <v>123.8</v>
      </c>
      <c r="CC95" s="32">
        <v>87</v>
      </c>
      <c r="CD95" s="32">
        <v>28.4</v>
      </c>
      <c r="CE95" s="32">
        <v>93.5</v>
      </c>
      <c r="CF95" s="32">
        <v>72.400000000000006</v>
      </c>
      <c r="CG95" s="32">
        <v>90.8</v>
      </c>
      <c r="CH95" s="32">
        <v>90.1</v>
      </c>
      <c r="CI95" s="32">
        <v>113.1</v>
      </c>
      <c r="CJ95" s="32">
        <v>73.099999999999994</v>
      </c>
      <c r="CK95" s="32">
        <v>99.9</v>
      </c>
      <c r="CL95" s="32">
        <v>91.4</v>
      </c>
      <c r="CM95" s="32">
        <v>101.3</v>
      </c>
      <c r="CN95" s="32">
        <v>70.7</v>
      </c>
      <c r="CO95" s="32">
        <v>104</v>
      </c>
      <c r="CP95" s="32">
        <v>187.7</v>
      </c>
      <c r="CQ95" s="32">
        <v>49.4</v>
      </c>
      <c r="CR95" s="32">
        <v>100.3</v>
      </c>
      <c r="CS95" s="32">
        <v>115</v>
      </c>
      <c r="CT95" s="32">
        <v>92.7</v>
      </c>
      <c r="CU95" s="32">
        <v>72</v>
      </c>
      <c r="CV95" s="32">
        <v>101.8</v>
      </c>
      <c r="CW95" s="32">
        <v>25.6</v>
      </c>
      <c r="CX95" s="32">
        <v>83</v>
      </c>
      <c r="CY95" s="32">
        <v>98.2</v>
      </c>
      <c r="CZ95" s="32">
        <v>75.099999999999994</v>
      </c>
      <c r="DA95" s="32">
        <v>61</v>
      </c>
      <c r="DB95" s="32">
        <v>104.4</v>
      </c>
      <c r="DC95" s="32">
        <v>3.6</v>
      </c>
      <c r="DD95" s="32">
        <v>3.6</v>
      </c>
      <c r="DE95" s="32">
        <v>53.7</v>
      </c>
      <c r="DF95" s="32">
        <v>49.9</v>
      </c>
      <c r="DG95" s="32">
        <v>76.2</v>
      </c>
      <c r="DH95" s="32">
        <v>78.8</v>
      </c>
      <c r="DI95" s="32">
        <v>147</v>
      </c>
      <c r="DJ95" s="32">
        <v>48.2</v>
      </c>
      <c r="DK95" s="32">
        <v>48.2</v>
      </c>
      <c r="DL95" s="32">
        <v>39.5</v>
      </c>
      <c r="DM95" s="32">
        <v>70.3</v>
      </c>
      <c r="DN95" s="32">
        <v>44.5</v>
      </c>
      <c r="DO95" s="32">
        <v>81.900000000000006</v>
      </c>
      <c r="DP95" s="32">
        <v>44.9</v>
      </c>
      <c r="DQ95" s="32">
        <v>64.599999999999994</v>
      </c>
      <c r="DR95" s="32">
        <v>68.099999999999994</v>
      </c>
      <c r="DS95" s="32">
        <v>64.5</v>
      </c>
      <c r="DT95" s="32">
        <v>61</v>
      </c>
      <c r="DU95" s="32">
        <v>64.7</v>
      </c>
      <c r="DV95" s="32">
        <v>81</v>
      </c>
      <c r="DW95" s="32">
        <v>48.9</v>
      </c>
      <c r="DX95" s="32">
        <v>53.4</v>
      </c>
      <c r="DY95" s="32">
        <v>77.2</v>
      </c>
      <c r="DZ95" s="32">
        <v>102.1</v>
      </c>
      <c r="EA95" s="32">
        <v>102.1</v>
      </c>
      <c r="EB95" s="32">
        <v>68.3</v>
      </c>
      <c r="EC95" s="32">
        <v>71.099999999999994</v>
      </c>
      <c r="ED95" s="32">
        <v>64.599999999999994</v>
      </c>
      <c r="EE95" s="32">
        <v>74.8</v>
      </c>
      <c r="EF95" s="32">
        <v>42.4</v>
      </c>
      <c r="EG95" s="32">
        <v>59.3</v>
      </c>
      <c r="EH95" s="32">
        <v>84.3</v>
      </c>
      <c r="EI95" s="32">
        <v>53.2</v>
      </c>
      <c r="EJ95" s="32">
        <v>59.7</v>
      </c>
      <c r="EK95" s="32">
        <v>52.8</v>
      </c>
      <c r="EL95" s="32">
        <v>70.900000000000006</v>
      </c>
      <c r="EM95" s="32">
        <v>42.3</v>
      </c>
      <c r="EN95" s="32">
        <v>57.3</v>
      </c>
      <c r="EO95" s="32">
        <v>87.3</v>
      </c>
      <c r="EP95" s="32">
        <v>86.4</v>
      </c>
      <c r="EQ95" s="32">
        <v>86.4</v>
      </c>
      <c r="ER95" s="32">
        <v>88</v>
      </c>
      <c r="ES95" s="32">
        <v>88</v>
      </c>
      <c r="ET95" s="32">
        <v>89.4</v>
      </c>
      <c r="EU95" s="32">
        <v>98</v>
      </c>
      <c r="EV95" s="32">
        <v>98</v>
      </c>
      <c r="EW95" s="32">
        <v>81.8</v>
      </c>
      <c r="EX95" s="32">
        <v>89.1</v>
      </c>
      <c r="EY95" s="32">
        <v>76.099999999999994</v>
      </c>
      <c r="EZ95" s="32">
        <v>98</v>
      </c>
      <c r="FA95" s="32">
        <v>114.3</v>
      </c>
      <c r="FB95" s="32">
        <v>127.3</v>
      </c>
      <c r="FC95" s="32">
        <v>88.1</v>
      </c>
      <c r="FD95" s="32">
        <v>119.4</v>
      </c>
      <c r="FE95" s="32">
        <v>206.6</v>
      </c>
      <c r="FF95" s="32">
        <v>99.7</v>
      </c>
      <c r="FG95" s="32">
        <v>84.8</v>
      </c>
      <c r="FH95" s="32">
        <v>90.3</v>
      </c>
      <c r="FI95" s="32">
        <v>87</v>
      </c>
      <c r="FJ95" s="32">
        <v>82.2</v>
      </c>
      <c r="FK95" s="32">
        <v>120</v>
      </c>
      <c r="FL95" s="32">
        <v>120</v>
      </c>
    </row>
    <row r="96" spans="1:168" x14ac:dyDescent="0.2">
      <c r="A96" s="34" t="s">
        <v>1076</v>
      </c>
      <c r="B96" s="32">
        <v>77.599999999999994</v>
      </c>
      <c r="C96" s="32">
        <v>83.7</v>
      </c>
      <c r="D96" s="32">
        <v>101.7</v>
      </c>
      <c r="E96" s="32">
        <v>105.8</v>
      </c>
      <c r="F96" s="32">
        <v>342</v>
      </c>
      <c r="G96" s="32">
        <v>12405.7</v>
      </c>
      <c r="H96" s="32">
        <v>442.7</v>
      </c>
      <c r="I96" s="32">
        <v>66.3</v>
      </c>
      <c r="J96" s="32">
        <v>88.1</v>
      </c>
      <c r="K96" s="32">
        <v>102.9</v>
      </c>
      <c r="L96" s="32">
        <v>105</v>
      </c>
      <c r="M96" s="32">
        <v>108.7</v>
      </c>
      <c r="N96" s="32">
        <v>92.2</v>
      </c>
      <c r="O96" s="32">
        <v>290.39999999999998</v>
      </c>
      <c r="P96" s="32">
        <v>419.1</v>
      </c>
      <c r="Q96" s="32">
        <v>131.5</v>
      </c>
      <c r="R96" s="32">
        <v>90.1</v>
      </c>
      <c r="S96" s="32">
        <v>123.6</v>
      </c>
      <c r="T96" s="32">
        <v>107</v>
      </c>
      <c r="U96" s="32">
        <v>68.7</v>
      </c>
      <c r="V96" s="32">
        <v>108.9</v>
      </c>
      <c r="W96" s="32">
        <v>50.4</v>
      </c>
      <c r="X96" s="32">
        <v>40.200000000000003</v>
      </c>
      <c r="Y96" s="32">
        <v>60.1</v>
      </c>
      <c r="Z96" s="32">
        <v>102.9</v>
      </c>
      <c r="AA96" s="32">
        <v>99.7</v>
      </c>
      <c r="AB96" s="32">
        <v>112.6</v>
      </c>
      <c r="AC96" s="32">
        <v>91.9</v>
      </c>
      <c r="AD96" s="32">
        <v>107.8</v>
      </c>
      <c r="AE96" s="32">
        <v>153.80000000000001</v>
      </c>
      <c r="AF96" s="32">
        <v>153.80000000000001</v>
      </c>
      <c r="AG96" s="32">
        <v>67.5</v>
      </c>
      <c r="AH96" s="32">
        <v>67.5</v>
      </c>
      <c r="AI96" s="32">
        <v>199.4</v>
      </c>
      <c r="AJ96" s="32">
        <v>54.7</v>
      </c>
      <c r="AK96" s="32">
        <v>78.599999999999994</v>
      </c>
      <c r="AL96" s="32">
        <v>136.1</v>
      </c>
      <c r="AM96" s="32">
        <v>46.7</v>
      </c>
      <c r="AN96" s="32">
        <v>151.6</v>
      </c>
      <c r="AO96" s="32">
        <v>85.5</v>
      </c>
      <c r="AP96" s="32">
        <v>85.5</v>
      </c>
      <c r="AQ96" s="32">
        <v>115.6</v>
      </c>
      <c r="AR96" s="32">
        <v>113.5</v>
      </c>
      <c r="AS96" s="32">
        <v>121.3</v>
      </c>
      <c r="AT96" s="32">
        <v>118</v>
      </c>
      <c r="AU96" s="32">
        <v>121.2</v>
      </c>
      <c r="AV96" s="32">
        <v>102.8</v>
      </c>
      <c r="AW96" s="32">
        <v>156.30000000000001</v>
      </c>
      <c r="AX96" s="32">
        <v>140.30000000000001</v>
      </c>
      <c r="AY96" s="32">
        <v>265.39999999999998</v>
      </c>
      <c r="AZ96" s="32">
        <v>95.2</v>
      </c>
      <c r="BA96" s="32">
        <v>49.4</v>
      </c>
      <c r="BB96" s="32">
        <v>49.4</v>
      </c>
      <c r="BC96" s="32">
        <v>128.30000000000001</v>
      </c>
      <c r="BD96" s="32">
        <v>128.30000000000001</v>
      </c>
      <c r="BE96" s="32">
        <v>110.1</v>
      </c>
      <c r="BF96" s="32">
        <v>110.1</v>
      </c>
      <c r="BG96" s="32">
        <v>86.3</v>
      </c>
      <c r="BH96" s="32">
        <v>63.7</v>
      </c>
      <c r="BI96" s="32">
        <v>110.2</v>
      </c>
      <c r="BJ96" s="32">
        <v>36.700000000000003</v>
      </c>
      <c r="BK96" s="32">
        <v>153.5</v>
      </c>
      <c r="BL96" s="32">
        <v>53.2</v>
      </c>
      <c r="BM96" s="32">
        <v>87.3</v>
      </c>
      <c r="BN96" s="32">
        <v>95.5</v>
      </c>
      <c r="BO96" s="32">
        <v>82.7</v>
      </c>
      <c r="BP96" s="32">
        <v>107.5</v>
      </c>
      <c r="BQ96" s="32">
        <v>79.400000000000006</v>
      </c>
      <c r="BR96" s="32">
        <v>101</v>
      </c>
      <c r="BS96" s="32">
        <v>201</v>
      </c>
      <c r="BT96" s="32">
        <v>52.7</v>
      </c>
      <c r="BU96" s="32">
        <v>146.19999999999999</v>
      </c>
      <c r="BV96" s="32">
        <v>146.19999999999999</v>
      </c>
      <c r="BW96" s="32">
        <v>189.8</v>
      </c>
      <c r="BX96" s="32">
        <v>95.2</v>
      </c>
      <c r="BY96" s="32">
        <v>99</v>
      </c>
      <c r="BZ96" s="32">
        <v>103.5</v>
      </c>
      <c r="CA96" s="32">
        <v>97.3</v>
      </c>
      <c r="CB96" s="32">
        <v>118.5</v>
      </c>
      <c r="CC96" s="32">
        <v>85.5</v>
      </c>
      <c r="CD96" s="32">
        <v>27</v>
      </c>
      <c r="CE96" s="32">
        <v>93.3</v>
      </c>
      <c r="CF96" s="32">
        <v>72.5</v>
      </c>
      <c r="CG96" s="32">
        <v>90.7</v>
      </c>
      <c r="CH96" s="32">
        <v>89.8</v>
      </c>
      <c r="CI96" s="32">
        <v>111.6</v>
      </c>
      <c r="CJ96" s="32">
        <v>72.5</v>
      </c>
      <c r="CK96" s="32">
        <v>100.1</v>
      </c>
      <c r="CL96" s="32">
        <v>91.5</v>
      </c>
      <c r="CM96" s="32">
        <v>99</v>
      </c>
      <c r="CN96" s="32">
        <v>67.7</v>
      </c>
      <c r="CO96" s="32">
        <v>101.9</v>
      </c>
      <c r="CP96" s="32">
        <v>191.1</v>
      </c>
      <c r="CQ96" s="32">
        <v>50.3</v>
      </c>
      <c r="CR96" s="32">
        <v>101.5</v>
      </c>
      <c r="CS96" s="32">
        <v>117.8</v>
      </c>
      <c r="CT96" s="32">
        <v>92.9</v>
      </c>
      <c r="CU96" s="32">
        <v>70.900000000000006</v>
      </c>
      <c r="CV96" s="32">
        <v>102.6</v>
      </c>
      <c r="CW96" s="32">
        <v>25.8</v>
      </c>
      <c r="CX96" s="32">
        <v>83.8</v>
      </c>
      <c r="CY96" s="32">
        <v>100.2</v>
      </c>
      <c r="CZ96" s="32">
        <v>75.099999999999994</v>
      </c>
      <c r="DA96" s="32">
        <v>60.7</v>
      </c>
      <c r="DB96" s="32">
        <v>105.4</v>
      </c>
      <c r="DC96" s="32">
        <v>3.7</v>
      </c>
      <c r="DD96" s="32">
        <v>3.7</v>
      </c>
      <c r="DE96" s="32">
        <v>53.2</v>
      </c>
      <c r="DF96" s="32">
        <v>49.6</v>
      </c>
      <c r="DG96" s="32">
        <v>74.599999999999994</v>
      </c>
      <c r="DH96" s="32">
        <v>79.7</v>
      </c>
      <c r="DI96" s="32">
        <v>150</v>
      </c>
      <c r="DJ96" s="32">
        <v>49.7</v>
      </c>
      <c r="DK96" s="32">
        <v>49.7</v>
      </c>
      <c r="DL96" s="32">
        <v>37.5</v>
      </c>
      <c r="DM96" s="32">
        <v>69.599999999999994</v>
      </c>
      <c r="DN96" s="32">
        <v>44.7</v>
      </c>
      <c r="DO96" s="32">
        <v>80.8</v>
      </c>
      <c r="DP96" s="32">
        <v>45</v>
      </c>
      <c r="DQ96" s="32">
        <v>65.3</v>
      </c>
      <c r="DR96" s="32">
        <v>69.5</v>
      </c>
      <c r="DS96" s="32">
        <v>64.900000000000006</v>
      </c>
      <c r="DT96" s="32">
        <v>60.6</v>
      </c>
      <c r="DU96" s="32">
        <v>64.3</v>
      </c>
      <c r="DV96" s="32">
        <v>79.900000000000006</v>
      </c>
      <c r="DW96" s="32">
        <v>48.9</v>
      </c>
      <c r="DX96" s="32">
        <v>53.1</v>
      </c>
      <c r="DY96" s="32">
        <v>80</v>
      </c>
      <c r="DZ96" s="32">
        <v>115.2</v>
      </c>
      <c r="EA96" s="32">
        <v>115.2</v>
      </c>
      <c r="EB96" s="32">
        <v>69</v>
      </c>
      <c r="EC96" s="32">
        <v>72.599999999999994</v>
      </c>
      <c r="ED96" s="32">
        <v>64.3</v>
      </c>
      <c r="EE96" s="32">
        <v>74.099999999999994</v>
      </c>
      <c r="EF96" s="32">
        <v>42.8</v>
      </c>
      <c r="EG96" s="32">
        <v>59</v>
      </c>
      <c r="EH96" s="32">
        <v>80.7</v>
      </c>
      <c r="EI96" s="32">
        <v>57.1</v>
      </c>
      <c r="EJ96" s="32">
        <v>58.8</v>
      </c>
      <c r="EK96" s="32">
        <v>51.2</v>
      </c>
      <c r="EL96" s="32">
        <v>67.7</v>
      </c>
      <c r="EM96" s="32">
        <v>40.700000000000003</v>
      </c>
      <c r="EN96" s="32">
        <v>56</v>
      </c>
      <c r="EO96" s="32">
        <v>87.4</v>
      </c>
      <c r="EP96" s="32">
        <v>86.4</v>
      </c>
      <c r="EQ96" s="32">
        <v>86.4</v>
      </c>
      <c r="ER96" s="32">
        <v>88</v>
      </c>
      <c r="ES96" s="32">
        <v>88</v>
      </c>
      <c r="ET96" s="32">
        <v>89.6</v>
      </c>
      <c r="EU96" s="32">
        <v>98.4</v>
      </c>
      <c r="EV96" s="32">
        <v>98.4</v>
      </c>
      <c r="EW96" s="32">
        <v>81.900000000000006</v>
      </c>
      <c r="EX96" s="32">
        <v>89.3</v>
      </c>
      <c r="EY96" s="32">
        <v>76</v>
      </c>
      <c r="EZ96" s="32">
        <v>97.3</v>
      </c>
      <c r="FA96" s="32">
        <v>112.4</v>
      </c>
      <c r="FB96" s="32">
        <v>126.4</v>
      </c>
      <c r="FC96" s="32">
        <v>88.9</v>
      </c>
      <c r="FD96" s="32">
        <v>119.3</v>
      </c>
      <c r="FE96" s="32">
        <v>201.6</v>
      </c>
      <c r="FF96" s="32">
        <v>96.7</v>
      </c>
      <c r="FG96" s="32">
        <v>84.5</v>
      </c>
      <c r="FH96" s="32">
        <v>86</v>
      </c>
      <c r="FI96" s="32">
        <v>94.2</v>
      </c>
      <c r="FJ96" s="32">
        <v>82.5</v>
      </c>
      <c r="FK96" s="32">
        <v>126.4</v>
      </c>
      <c r="FL96" s="32">
        <v>126.4</v>
      </c>
    </row>
    <row r="97" spans="1:168" x14ac:dyDescent="0.2">
      <c r="A97" s="34" t="s">
        <v>1077</v>
      </c>
      <c r="B97" s="32">
        <v>77.400000000000006</v>
      </c>
      <c r="C97" s="32">
        <v>82.7</v>
      </c>
      <c r="D97" s="32">
        <v>100.6</v>
      </c>
      <c r="E97" s="32">
        <v>104.2</v>
      </c>
      <c r="F97" s="32">
        <v>327.9</v>
      </c>
      <c r="G97" s="32">
        <v>10730.8</v>
      </c>
      <c r="H97" s="32">
        <v>422.4</v>
      </c>
      <c r="I97" s="32">
        <v>66.3</v>
      </c>
      <c r="J97" s="32">
        <v>87</v>
      </c>
      <c r="K97" s="32">
        <v>103.6</v>
      </c>
      <c r="L97" s="32">
        <v>103.9</v>
      </c>
      <c r="M97" s="32">
        <v>106.4</v>
      </c>
      <c r="N97" s="32">
        <v>92.8</v>
      </c>
      <c r="O97" s="32">
        <v>287</v>
      </c>
      <c r="P97" s="32">
        <v>414.8</v>
      </c>
      <c r="Q97" s="32">
        <v>127.5</v>
      </c>
      <c r="R97" s="32">
        <v>89.3</v>
      </c>
      <c r="S97" s="32">
        <v>122.7</v>
      </c>
      <c r="T97" s="32">
        <v>103.7</v>
      </c>
      <c r="U97" s="32">
        <v>82.1</v>
      </c>
      <c r="V97" s="32">
        <v>112.1</v>
      </c>
      <c r="W97" s="32">
        <v>50.2</v>
      </c>
      <c r="X97" s="32">
        <v>39.4</v>
      </c>
      <c r="Y97" s="32">
        <v>61.6</v>
      </c>
      <c r="Z97" s="32">
        <v>99.2</v>
      </c>
      <c r="AA97" s="32">
        <v>96.9</v>
      </c>
      <c r="AB97" s="32">
        <v>102.1</v>
      </c>
      <c r="AC97" s="32">
        <v>90.1</v>
      </c>
      <c r="AD97" s="32">
        <v>107.5</v>
      </c>
      <c r="AE97" s="32">
        <v>150.30000000000001</v>
      </c>
      <c r="AF97" s="32">
        <v>150.30000000000001</v>
      </c>
      <c r="AG97" s="32">
        <v>66.099999999999994</v>
      </c>
      <c r="AH97" s="32">
        <v>66.099999999999994</v>
      </c>
      <c r="AI97" s="32">
        <v>179.9</v>
      </c>
      <c r="AJ97" s="32">
        <v>55.4</v>
      </c>
      <c r="AK97" s="32">
        <v>97.9</v>
      </c>
      <c r="AL97" s="32">
        <v>134.69999999999999</v>
      </c>
      <c r="AM97" s="32">
        <v>45.2</v>
      </c>
      <c r="AN97" s="32">
        <v>148.69999999999999</v>
      </c>
      <c r="AO97" s="32">
        <v>91.1</v>
      </c>
      <c r="AP97" s="32">
        <v>91.1</v>
      </c>
      <c r="AQ97" s="32">
        <v>114.6</v>
      </c>
      <c r="AR97" s="32">
        <v>113.1</v>
      </c>
      <c r="AS97" s="32">
        <v>119.2</v>
      </c>
      <c r="AT97" s="32">
        <v>115.2</v>
      </c>
      <c r="AU97" s="32">
        <v>120.1</v>
      </c>
      <c r="AV97" s="32">
        <v>98.7</v>
      </c>
      <c r="AW97" s="32">
        <v>152.69999999999999</v>
      </c>
      <c r="AX97" s="32">
        <v>133.19999999999999</v>
      </c>
      <c r="AY97" s="32">
        <v>262.39999999999998</v>
      </c>
      <c r="AZ97" s="32">
        <v>90.9</v>
      </c>
      <c r="BA97" s="32">
        <v>47.7</v>
      </c>
      <c r="BB97" s="32">
        <v>47.7</v>
      </c>
      <c r="BC97" s="32">
        <v>119.4</v>
      </c>
      <c r="BD97" s="32">
        <v>119.4</v>
      </c>
      <c r="BE97" s="32">
        <v>108.9</v>
      </c>
      <c r="BF97" s="32">
        <v>108.9</v>
      </c>
      <c r="BG97" s="32">
        <v>83.9</v>
      </c>
      <c r="BH97" s="32">
        <v>60.2</v>
      </c>
      <c r="BI97" s="32">
        <v>109.6</v>
      </c>
      <c r="BJ97" s="32">
        <v>37</v>
      </c>
      <c r="BK97" s="32">
        <v>151.9</v>
      </c>
      <c r="BL97" s="32">
        <v>54.8</v>
      </c>
      <c r="BM97" s="32">
        <v>86.3</v>
      </c>
      <c r="BN97" s="32">
        <v>92</v>
      </c>
      <c r="BO97" s="32">
        <v>83.5</v>
      </c>
      <c r="BP97" s="32">
        <v>99.6</v>
      </c>
      <c r="BQ97" s="32">
        <v>81.400000000000006</v>
      </c>
      <c r="BR97" s="32">
        <v>68.8</v>
      </c>
      <c r="BS97" s="32">
        <v>236.6</v>
      </c>
      <c r="BT97" s="32">
        <v>53</v>
      </c>
      <c r="BU97" s="32">
        <v>144.19999999999999</v>
      </c>
      <c r="BV97" s="32">
        <v>144.19999999999999</v>
      </c>
      <c r="BW97" s="32">
        <v>193.1</v>
      </c>
      <c r="BX97" s="32">
        <v>86.1</v>
      </c>
      <c r="BY97" s="32">
        <v>98.7</v>
      </c>
      <c r="BZ97" s="32">
        <v>103.8</v>
      </c>
      <c r="CA97" s="32">
        <v>96.6</v>
      </c>
      <c r="CB97" s="32">
        <v>117</v>
      </c>
      <c r="CC97" s="32">
        <v>85.6</v>
      </c>
      <c r="CD97" s="32">
        <v>26.4</v>
      </c>
      <c r="CE97" s="32">
        <v>93.2</v>
      </c>
      <c r="CF97" s="32">
        <v>72.5</v>
      </c>
      <c r="CG97" s="32">
        <v>89.6</v>
      </c>
      <c r="CH97" s="32">
        <v>89.5</v>
      </c>
      <c r="CI97" s="32">
        <v>106.5</v>
      </c>
      <c r="CJ97" s="32">
        <v>72.8</v>
      </c>
      <c r="CK97" s="32">
        <v>100.3</v>
      </c>
      <c r="CL97" s="32">
        <v>88.1</v>
      </c>
      <c r="CM97" s="32">
        <v>97</v>
      </c>
      <c r="CN97" s="32">
        <v>68.900000000000006</v>
      </c>
      <c r="CO97" s="32">
        <v>99.3</v>
      </c>
      <c r="CP97" s="32">
        <v>193.6</v>
      </c>
      <c r="CQ97" s="32">
        <v>50.9</v>
      </c>
      <c r="CR97" s="32">
        <v>90.8</v>
      </c>
      <c r="CS97" s="32">
        <v>115.3</v>
      </c>
      <c r="CT97" s="32">
        <v>92.3</v>
      </c>
      <c r="CU97" s="32">
        <v>70.2</v>
      </c>
      <c r="CV97" s="32">
        <v>102.1</v>
      </c>
      <c r="CW97" s="32">
        <v>26.2</v>
      </c>
      <c r="CX97" s="32">
        <v>84</v>
      </c>
      <c r="CY97" s="32">
        <v>103.4</v>
      </c>
      <c r="CZ97" s="32">
        <v>73.7</v>
      </c>
      <c r="DA97" s="32">
        <v>58.7</v>
      </c>
      <c r="DB97" s="32">
        <v>106</v>
      </c>
      <c r="DC97" s="32">
        <v>3.7</v>
      </c>
      <c r="DD97" s="32">
        <v>3.7</v>
      </c>
      <c r="DE97" s="32">
        <v>54.9</v>
      </c>
      <c r="DF97" s="32">
        <v>50.9</v>
      </c>
      <c r="DG97" s="32">
        <v>78.599999999999994</v>
      </c>
      <c r="DH97" s="32">
        <v>82.3</v>
      </c>
      <c r="DI97" s="32">
        <v>153.30000000000001</v>
      </c>
      <c r="DJ97" s="32">
        <v>52.6</v>
      </c>
      <c r="DK97" s="32">
        <v>52.6</v>
      </c>
      <c r="DL97" s="32">
        <v>39.200000000000003</v>
      </c>
      <c r="DM97" s="32">
        <v>69.400000000000006</v>
      </c>
      <c r="DN97" s="32">
        <v>44.8</v>
      </c>
      <c r="DO97" s="32">
        <v>80.400000000000006</v>
      </c>
      <c r="DP97" s="32">
        <v>45.3</v>
      </c>
      <c r="DQ97" s="32">
        <v>65.3</v>
      </c>
      <c r="DR97" s="32">
        <v>69.5</v>
      </c>
      <c r="DS97" s="32">
        <v>65.3</v>
      </c>
      <c r="DT97" s="32">
        <v>60.2</v>
      </c>
      <c r="DU97" s="32">
        <v>63.9</v>
      </c>
      <c r="DV97" s="32">
        <v>80.2</v>
      </c>
      <c r="DW97" s="32">
        <v>48</v>
      </c>
      <c r="DX97" s="32">
        <v>52.6</v>
      </c>
      <c r="DY97" s="32">
        <v>83.2</v>
      </c>
      <c r="DZ97" s="32">
        <v>116.6</v>
      </c>
      <c r="EA97" s="32">
        <v>116.6</v>
      </c>
      <c r="EB97" s="32">
        <v>67.2</v>
      </c>
      <c r="EC97" s="32">
        <v>70</v>
      </c>
      <c r="ED97" s="32">
        <v>63.4</v>
      </c>
      <c r="EE97" s="32">
        <v>72.599999999999994</v>
      </c>
      <c r="EF97" s="32">
        <v>43.3</v>
      </c>
      <c r="EG97" s="32">
        <v>59</v>
      </c>
      <c r="EH97" s="32">
        <v>79.400000000000006</v>
      </c>
      <c r="EI97" s="32">
        <v>58</v>
      </c>
      <c r="EJ97" s="32">
        <v>58.9</v>
      </c>
      <c r="EK97" s="32">
        <v>51.1</v>
      </c>
      <c r="EL97" s="32">
        <v>68.8</v>
      </c>
      <c r="EM97" s="32">
        <v>41.9</v>
      </c>
      <c r="EN97" s="32">
        <v>54.8</v>
      </c>
      <c r="EO97" s="32">
        <v>87.7</v>
      </c>
      <c r="EP97" s="32">
        <v>86.4</v>
      </c>
      <c r="EQ97" s="32">
        <v>86.4</v>
      </c>
      <c r="ER97" s="32">
        <v>88.4</v>
      </c>
      <c r="ES97" s="32">
        <v>88.4</v>
      </c>
      <c r="ET97" s="32">
        <v>90.1</v>
      </c>
      <c r="EU97" s="32">
        <v>99</v>
      </c>
      <c r="EV97" s="32">
        <v>99</v>
      </c>
      <c r="EW97" s="32">
        <v>82</v>
      </c>
      <c r="EX97" s="32">
        <v>89.7</v>
      </c>
      <c r="EY97" s="32">
        <v>76</v>
      </c>
      <c r="EZ97" s="32">
        <v>94.2</v>
      </c>
      <c r="FA97" s="32">
        <v>106.5</v>
      </c>
      <c r="FB97" s="32">
        <v>116</v>
      </c>
      <c r="FC97" s="32">
        <v>73.7</v>
      </c>
      <c r="FD97" s="32">
        <v>119.8</v>
      </c>
      <c r="FE97" s="32">
        <v>194.7</v>
      </c>
      <c r="FF97" s="32">
        <v>95.9</v>
      </c>
      <c r="FG97" s="32">
        <v>83.6</v>
      </c>
      <c r="FH97" s="32">
        <v>84.2</v>
      </c>
      <c r="FI97" s="32">
        <v>86.7</v>
      </c>
      <c r="FJ97" s="32">
        <v>82.8</v>
      </c>
      <c r="FK97" s="32">
        <v>122.5</v>
      </c>
      <c r="FL97" s="32">
        <v>122.5</v>
      </c>
    </row>
    <row r="98" spans="1:168" x14ac:dyDescent="0.2">
      <c r="A98" s="34" t="s">
        <v>1078</v>
      </c>
      <c r="B98" s="32">
        <v>77.7</v>
      </c>
      <c r="C98" s="32">
        <v>80.8</v>
      </c>
      <c r="D98" s="32">
        <v>100.3</v>
      </c>
      <c r="E98" s="32">
        <v>103.9</v>
      </c>
      <c r="F98" s="32">
        <v>299.3</v>
      </c>
      <c r="G98" s="32">
        <v>9581.5</v>
      </c>
      <c r="H98" s="32">
        <v>378.7</v>
      </c>
      <c r="I98" s="32">
        <v>66.900000000000006</v>
      </c>
      <c r="J98" s="32">
        <v>87.9</v>
      </c>
      <c r="K98" s="32">
        <v>102.6</v>
      </c>
      <c r="L98" s="32">
        <v>103</v>
      </c>
      <c r="M98" s="32">
        <v>103.1</v>
      </c>
      <c r="N98" s="32">
        <v>91.8</v>
      </c>
      <c r="O98" s="32">
        <v>285.7</v>
      </c>
      <c r="P98" s="32">
        <v>390.2</v>
      </c>
      <c r="Q98" s="32">
        <v>125.2</v>
      </c>
      <c r="R98" s="32">
        <v>89.9</v>
      </c>
      <c r="S98" s="32">
        <v>123</v>
      </c>
      <c r="T98" s="32">
        <v>106.4</v>
      </c>
      <c r="U98" s="32">
        <v>80.3</v>
      </c>
      <c r="V98" s="32">
        <v>110.9</v>
      </c>
      <c r="W98" s="32">
        <v>51</v>
      </c>
      <c r="X98" s="32">
        <v>39.6</v>
      </c>
      <c r="Y98" s="32">
        <v>63.9</v>
      </c>
      <c r="Z98" s="32">
        <v>96.8</v>
      </c>
      <c r="AA98" s="32">
        <v>97.7</v>
      </c>
      <c r="AB98" s="32">
        <v>98.9</v>
      </c>
      <c r="AC98" s="32">
        <v>91.7</v>
      </c>
      <c r="AD98" s="32">
        <v>109.6</v>
      </c>
      <c r="AE98" s="32">
        <v>145.30000000000001</v>
      </c>
      <c r="AF98" s="32">
        <v>145.30000000000001</v>
      </c>
      <c r="AG98" s="32">
        <v>68.2</v>
      </c>
      <c r="AH98" s="32">
        <v>68.2</v>
      </c>
      <c r="AI98" s="32">
        <v>196.6</v>
      </c>
      <c r="AJ98" s="32">
        <v>58</v>
      </c>
      <c r="AK98" s="32">
        <v>137.1</v>
      </c>
      <c r="AL98" s="32">
        <v>136.1</v>
      </c>
      <c r="AM98" s="32">
        <v>46.2</v>
      </c>
      <c r="AN98" s="32">
        <v>144.30000000000001</v>
      </c>
      <c r="AO98" s="32">
        <v>93.3</v>
      </c>
      <c r="AP98" s="32">
        <v>93.3</v>
      </c>
      <c r="AQ98" s="32">
        <v>116.2</v>
      </c>
      <c r="AR98" s="32">
        <v>114.4</v>
      </c>
      <c r="AS98" s="32">
        <v>121.3</v>
      </c>
      <c r="AT98" s="32">
        <v>114.9</v>
      </c>
      <c r="AU98" s="32">
        <v>125.2</v>
      </c>
      <c r="AV98" s="32">
        <v>100.9</v>
      </c>
      <c r="AW98" s="32">
        <v>162.6</v>
      </c>
      <c r="AX98" s="32">
        <v>145.4</v>
      </c>
      <c r="AY98" s="32">
        <v>278.2</v>
      </c>
      <c r="AZ98" s="32">
        <v>91.5</v>
      </c>
      <c r="BA98" s="32">
        <v>47.8</v>
      </c>
      <c r="BB98" s="32">
        <v>47.8</v>
      </c>
      <c r="BC98" s="32">
        <v>125.6</v>
      </c>
      <c r="BD98" s="32">
        <v>125.6</v>
      </c>
      <c r="BE98" s="32">
        <v>108.8</v>
      </c>
      <c r="BF98" s="32">
        <v>108.8</v>
      </c>
      <c r="BG98" s="32">
        <v>85.7</v>
      </c>
      <c r="BH98" s="32">
        <v>63.9</v>
      </c>
      <c r="BI98" s="32">
        <v>108.4</v>
      </c>
      <c r="BJ98" s="32">
        <v>36.200000000000003</v>
      </c>
      <c r="BK98" s="32">
        <v>150.30000000000001</v>
      </c>
      <c r="BL98" s="32">
        <v>54.7</v>
      </c>
      <c r="BM98" s="32">
        <v>86.3</v>
      </c>
      <c r="BN98" s="32">
        <v>95.6</v>
      </c>
      <c r="BO98" s="32">
        <v>83</v>
      </c>
      <c r="BP98" s="32">
        <v>107.4</v>
      </c>
      <c r="BQ98" s="32">
        <v>77</v>
      </c>
      <c r="BR98" s="32">
        <v>70.400000000000006</v>
      </c>
      <c r="BS98" s="32">
        <v>187.4</v>
      </c>
      <c r="BT98" s="32">
        <v>55.1</v>
      </c>
      <c r="BU98" s="32">
        <v>137.9</v>
      </c>
      <c r="BV98" s="32">
        <v>137.9</v>
      </c>
      <c r="BW98" s="32">
        <v>189</v>
      </c>
      <c r="BX98" s="32">
        <v>76.8</v>
      </c>
      <c r="BY98" s="32">
        <v>99.1</v>
      </c>
      <c r="BZ98" s="32">
        <v>104.4</v>
      </c>
      <c r="CA98" s="32">
        <v>96.9</v>
      </c>
      <c r="CB98" s="32">
        <v>117.6</v>
      </c>
      <c r="CC98" s="32">
        <v>85.5</v>
      </c>
      <c r="CD98" s="32">
        <v>25.8</v>
      </c>
      <c r="CE98" s="32">
        <v>92.9</v>
      </c>
      <c r="CF98" s="32">
        <v>72.900000000000006</v>
      </c>
      <c r="CG98" s="32">
        <v>90.3</v>
      </c>
      <c r="CH98" s="32">
        <v>90.1</v>
      </c>
      <c r="CI98" s="32">
        <v>108.4</v>
      </c>
      <c r="CJ98" s="32">
        <v>73.3</v>
      </c>
      <c r="CK98" s="32">
        <v>100.8</v>
      </c>
      <c r="CL98" s="32">
        <v>88.6</v>
      </c>
      <c r="CM98" s="32">
        <v>99.5</v>
      </c>
      <c r="CN98" s="32">
        <v>69.900000000000006</v>
      </c>
      <c r="CO98" s="32">
        <v>102.1</v>
      </c>
      <c r="CP98" s="32">
        <v>195</v>
      </c>
      <c r="CQ98" s="32">
        <v>51.1</v>
      </c>
      <c r="CR98" s="32">
        <v>89.3</v>
      </c>
      <c r="CS98" s="32">
        <v>114.5</v>
      </c>
      <c r="CT98" s="32">
        <v>93.5</v>
      </c>
      <c r="CU98" s="32">
        <v>72.099999999999994</v>
      </c>
      <c r="CV98" s="32">
        <v>102.9</v>
      </c>
      <c r="CW98" s="32">
        <v>26.5</v>
      </c>
      <c r="CX98" s="32">
        <v>86</v>
      </c>
      <c r="CY98" s="32">
        <v>106.1</v>
      </c>
      <c r="CZ98" s="32">
        <v>75.3</v>
      </c>
      <c r="DA98" s="32">
        <v>60.4</v>
      </c>
      <c r="DB98" s="32">
        <v>106.8</v>
      </c>
      <c r="DC98" s="32">
        <v>3.8</v>
      </c>
      <c r="DD98" s="32">
        <v>3.8</v>
      </c>
      <c r="DE98" s="32">
        <v>54.6</v>
      </c>
      <c r="DF98" s="32">
        <v>50.6</v>
      </c>
      <c r="DG98" s="32">
        <v>77.8</v>
      </c>
      <c r="DH98" s="32">
        <v>85.2</v>
      </c>
      <c r="DI98" s="32">
        <v>158.1</v>
      </c>
      <c r="DJ98" s="32">
        <v>55.9</v>
      </c>
      <c r="DK98" s="32">
        <v>55.9</v>
      </c>
      <c r="DL98" s="32">
        <v>40.1</v>
      </c>
      <c r="DM98" s="32">
        <v>69.3</v>
      </c>
      <c r="DN98" s="32">
        <v>45.1</v>
      </c>
      <c r="DO98" s="32">
        <v>80.2</v>
      </c>
      <c r="DP98" s="32">
        <v>45.6</v>
      </c>
      <c r="DQ98" s="32">
        <v>64.900000000000006</v>
      </c>
      <c r="DR98" s="32">
        <v>69.099999999999994</v>
      </c>
      <c r="DS98" s="32">
        <v>65.900000000000006</v>
      </c>
      <c r="DT98" s="32">
        <v>61</v>
      </c>
      <c r="DU98" s="32">
        <v>65.400000000000006</v>
      </c>
      <c r="DV98" s="32">
        <v>82.2</v>
      </c>
      <c r="DW98" s="32">
        <v>49.1</v>
      </c>
      <c r="DX98" s="32">
        <v>52</v>
      </c>
      <c r="DY98" s="32">
        <v>83</v>
      </c>
      <c r="DZ98" s="32">
        <v>104.5</v>
      </c>
      <c r="EA98" s="32">
        <v>104.5</v>
      </c>
      <c r="EB98" s="32">
        <v>67.599999999999994</v>
      </c>
      <c r="EC98" s="32">
        <v>70.3</v>
      </c>
      <c r="ED98" s="32">
        <v>64.099999999999994</v>
      </c>
      <c r="EE98" s="32">
        <v>73.3</v>
      </c>
      <c r="EF98" s="32">
        <v>43.9</v>
      </c>
      <c r="EG98" s="32">
        <v>58.7</v>
      </c>
      <c r="EH98" s="32">
        <v>79.900000000000006</v>
      </c>
      <c r="EI98" s="32">
        <v>57.2</v>
      </c>
      <c r="EJ98" s="32">
        <v>64.2</v>
      </c>
      <c r="EK98" s="32">
        <v>49.9</v>
      </c>
      <c r="EL98" s="32">
        <v>62.6</v>
      </c>
      <c r="EM98" s="32">
        <v>41.4</v>
      </c>
      <c r="EN98" s="32">
        <v>53.8</v>
      </c>
      <c r="EO98" s="32">
        <v>87.7</v>
      </c>
      <c r="EP98" s="32">
        <v>86.7</v>
      </c>
      <c r="EQ98" s="32">
        <v>86.7</v>
      </c>
      <c r="ER98" s="32">
        <v>87.7</v>
      </c>
      <c r="ES98" s="32">
        <v>87.7</v>
      </c>
      <c r="ET98" s="32">
        <v>90.5</v>
      </c>
      <c r="EU98" s="32">
        <v>99.6</v>
      </c>
      <c r="EV98" s="32">
        <v>99.6</v>
      </c>
      <c r="EW98" s="32">
        <v>82.2</v>
      </c>
      <c r="EX98" s="32">
        <v>89.9</v>
      </c>
      <c r="EY98" s="32">
        <v>76.099999999999994</v>
      </c>
      <c r="EZ98" s="32">
        <v>95.1</v>
      </c>
      <c r="FA98" s="32">
        <v>107.3</v>
      </c>
      <c r="FB98" s="32">
        <v>117.5</v>
      </c>
      <c r="FC98" s="32">
        <v>78.7</v>
      </c>
      <c r="FD98" s="32">
        <v>120.9</v>
      </c>
      <c r="FE98" s="32">
        <v>189</v>
      </c>
      <c r="FF98" s="32">
        <v>95.9</v>
      </c>
      <c r="FG98" s="32">
        <v>85.4</v>
      </c>
      <c r="FH98" s="32">
        <v>88.7</v>
      </c>
      <c r="FI98" s="32">
        <v>83.2</v>
      </c>
      <c r="FJ98" s="32">
        <v>84.1</v>
      </c>
      <c r="FK98" s="32">
        <v>112</v>
      </c>
      <c r="FL98" s="32">
        <v>112</v>
      </c>
    </row>
    <row r="99" spans="1:168" x14ac:dyDescent="0.2">
      <c r="A99" s="34" t="s">
        <v>1079</v>
      </c>
      <c r="B99" s="32">
        <v>78</v>
      </c>
      <c r="C99" s="32">
        <v>79</v>
      </c>
      <c r="D99" s="32">
        <v>100.2</v>
      </c>
      <c r="E99" s="32">
        <v>104</v>
      </c>
      <c r="F99" s="32">
        <v>316</v>
      </c>
      <c r="G99" s="32">
        <v>9349.6</v>
      </c>
      <c r="H99" s="32">
        <v>404.9</v>
      </c>
      <c r="I99" s="32">
        <v>66.8</v>
      </c>
      <c r="J99" s="32">
        <v>87.6</v>
      </c>
      <c r="K99" s="32">
        <v>101.6</v>
      </c>
      <c r="L99" s="32">
        <v>102.2</v>
      </c>
      <c r="M99" s="32">
        <v>100.7</v>
      </c>
      <c r="N99" s="32">
        <v>94.8</v>
      </c>
      <c r="O99" s="32">
        <v>284.5</v>
      </c>
      <c r="P99" s="32">
        <v>377.7</v>
      </c>
      <c r="Q99" s="32">
        <v>123.5</v>
      </c>
      <c r="R99" s="32">
        <v>92.7</v>
      </c>
      <c r="S99" s="32">
        <v>120.2</v>
      </c>
      <c r="T99" s="32">
        <v>102.7</v>
      </c>
      <c r="U99" s="32">
        <v>77.8</v>
      </c>
      <c r="V99" s="32">
        <v>109.3</v>
      </c>
      <c r="W99" s="32">
        <v>50.3</v>
      </c>
      <c r="X99" s="32">
        <v>39.700000000000003</v>
      </c>
      <c r="Y99" s="32">
        <v>61.7</v>
      </c>
      <c r="Z99" s="32">
        <v>95.6</v>
      </c>
      <c r="AA99" s="32">
        <v>97.4</v>
      </c>
      <c r="AB99" s="32">
        <v>98.2</v>
      </c>
      <c r="AC99" s="32">
        <v>92.1</v>
      </c>
      <c r="AD99" s="32">
        <v>109.2</v>
      </c>
      <c r="AE99" s="32">
        <v>147.69999999999999</v>
      </c>
      <c r="AF99" s="32">
        <v>147.69999999999999</v>
      </c>
      <c r="AG99" s="32">
        <v>68.5</v>
      </c>
      <c r="AH99" s="32">
        <v>68.5</v>
      </c>
      <c r="AI99" s="32">
        <v>197.2</v>
      </c>
      <c r="AJ99" s="32">
        <v>60.1</v>
      </c>
      <c r="AK99" s="32">
        <v>215.2</v>
      </c>
      <c r="AL99" s="32">
        <v>131.5</v>
      </c>
      <c r="AM99" s="32">
        <v>45.9</v>
      </c>
      <c r="AN99" s="32">
        <v>141.6</v>
      </c>
      <c r="AO99" s="32">
        <v>85.2</v>
      </c>
      <c r="AP99" s="32">
        <v>85.2</v>
      </c>
      <c r="AQ99" s="32">
        <v>116</v>
      </c>
      <c r="AR99" s="32">
        <v>114.4</v>
      </c>
      <c r="AS99" s="32">
        <v>120.9</v>
      </c>
      <c r="AT99" s="32">
        <v>115.2</v>
      </c>
      <c r="AU99" s="32">
        <v>123.9</v>
      </c>
      <c r="AV99" s="32">
        <v>101.5</v>
      </c>
      <c r="AW99" s="32">
        <v>162</v>
      </c>
      <c r="AX99" s="32">
        <v>129.19999999999999</v>
      </c>
      <c r="AY99" s="32">
        <v>288</v>
      </c>
      <c r="AZ99" s="32">
        <v>92.4</v>
      </c>
      <c r="BA99" s="32">
        <v>50</v>
      </c>
      <c r="BB99" s="32">
        <v>50</v>
      </c>
      <c r="BC99" s="32">
        <v>127.1</v>
      </c>
      <c r="BD99" s="32">
        <v>127.1</v>
      </c>
      <c r="BE99" s="32">
        <v>111.2</v>
      </c>
      <c r="BF99" s="32">
        <v>111.2</v>
      </c>
      <c r="BG99" s="32">
        <v>84.9</v>
      </c>
      <c r="BH99" s="32">
        <v>62.5</v>
      </c>
      <c r="BI99" s="32">
        <v>108.5</v>
      </c>
      <c r="BJ99" s="32">
        <v>35.9</v>
      </c>
      <c r="BK99" s="32">
        <v>150.30000000000001</v>
      </c>
      <c r="BL99" s="32">
        <v>55.8</v>
      </c>
      <c r="BM99" s="32">
        <v>86.4</v>
      </c>
      <c r="BN99" s="32">
        <v>94.7</v>
      </c>
      <c r="BO99" s="32">
        <v>84.5</v>
      </c>
      <c r="BP99" s="32">
        <v>103.9</v>
      </c>
      <c r="BQ99" s="32">
        <v>78.400000000000006</v>
      </c>
      <c r="BR99" s="32">
        <v>71.599999999999994</v>
      </c>
      <c r="BS99" s="32">
        <v>201.1</v>
      </c>
      <c r="BT99" s="32">
        <v>54.5</v>
      </c>
      <c r="BU99" s="32">
        <v>134.80000000000001</v>
      </c>
      <c r="BV99" s="32">
        <v>134.80000000000001</v>
      </c>
      <c r="BW99" s="32">
        <v>191.4</v>
      </c>
      <c r="BX99" s="32">
        <v>61.5</v>
      </c>
      <c r="BY99" s="32">
        <v>98.9</v>
      </c>
      <c r="BZ99" s="32">
        <v>102.9</v>
      </c>
      <c r="CA99" s="32">
        <v>97.3</v>
      </c>
      <c r="CB99" s="32">
        <v>116.9</v>
      </c>
      <c r="CC99" s="32">
        <v>87</v>
      </c>
      <c r="CD99" s="32">
        <v>25.9</v>
      </c>
      <c r="CE99" s="32">
        <v>92.3</v>
      </c>
      <c r="CF99" s="32">
        <v>73.3</v>
      </c>
      <c r="CG99" s="32">
        <v>91</v>
      </c>
      <c r="CH99" s="32">
        <v>90.1</v>
      </c>
      <c r="CI99" s="32">
        <v>109.5</v>
      </c>
      <c r="CJ99" s="32">
        <v>73</v>
      </c>
      <c r="CK99" s="32">
        <v>100.7</v>
      </c>
      <c r="CL99" s="32">
        <v>91.8</v>
      </c>
      <c r="CM99" s="32">
        <v>100.6</v>
      </c>
      <c r="CN99" s="32">
        <v>72.2</v>
      </c>
      <c r="CO99" s="32">
        <v>102.9</v>
      </c>
      <c r="CP99" s="32">
        <v>205.6</v>
      </c>
      <c r="CQ99" s="32">
        <v>51</v>
      </c>
      <c r="CR99" s="32">
        <v>91.9</v>
      </c>
      <c r="CS99" s="32">
        <v>128</v>
      </c>
      <c r="CT99" s="32">
        <v>93.8</v>
      </c>
      <c r="CU99" s="32">
        <v>71.3</v>
      </c>
      <c r="CV99" s="32">
        <v>103.7</v>
      </c>
      <c r="CW99" s="32">
        <v>26.3</v>
      </c>
      <c r="CX99" s="32">
        <v>84.1</v>
      </c>
      <c r="CY99" s="32">
        <v>105</v>
      </c>
      <c r="CZ99" s="32">
        <v>72.900000000000006</v>
      </c>
      <c r="DA99" s="32">
        <v>57.8</v>
      </c>
      <c r="DB99" s="32">
        <v>105.3</v>
      </c>
      <c r="DC99" s="32">
        <v>3.8</v>
      </c>
      <c r="DD99" s="32">
        <v>3.8</v>
      </c>
      <c r="DE99" s="32">
        <v>53.5</v>
      </c>
      <c r="DF99" s="32">
        <v>50.1</v>
      </c>
      <c r="DG99" s="32">
        <v>72.900000000000006</v>
      </c>
      <c r="DH99" s="32">
        <v>87.1</v>
      </c>
      <c r="DI99" s="32">
        <v>160.80000000000001</v>
      </c>
      <c r="DJ99" s="32">
        <v>58.9</v>
      </c>
      <c r="DK99" s="32">
        <v>58.9</v>
      </c>
      <c r="DL99" s="32">
        <v>41</v>
      </c>
      <c r="DM99" s="32">
        <v>69</v>
      </c>
      <c r="DN99" s="32">
        <v>45.3</v>
      </c>
      <c r="DO99" s="32">
        <v>79.7</v>
      </c>
      <c r="DP99" s="32">
        <v>44.8</v>
      </c>
      <c r="DQ99" s="32">
        <v>65.2</v>
      </c>
      <c r="DR99" s="32">
        <v>69.3</v>
      </c>
      <c r="DS99" s="32">
        <v>65.099999999999994</v>
      </c>
      <c r="DT99" s="32">
        <v>59.2</v>
      </c>
      <c r="DU99" s="32">
        <v>63.3</v>
      </c>
      <c r="DV99" s="32">
        <v>79.099999999999994</v>
      </c>
      <c r="DW99" s="32">
        <v>47.9</v>
      </c>
      <c r="DX99" s="32">
        <v>50.7</v>
      </c>
      <c r="DY99" s="32">
        <v>85.6</v>
      </c>
      <c r="DZ99" s="32">
        <v>116</v>
      </c>
      <c r="EA99" s="32">
        <v>116</v>
      </c>
      <c r="EB99" s="32">
        <v>67.2</v>
      </c>
      <c r="EC99" s="32">
        <v>69.7</v>
      </c>
      <c r="ED99" s="32">
        <v>63.9</v>
      </c>
      <c r="EE99" s="32">
        <v>72.7</v>
      </c>
      <c r="EF99" s="32">
        <v>44.5</v>
      </c>
      <c r="EG99" s="32">
        <v>59.1</v>
      </c>
      <c r="EH99" s="32">
        <v>80.900000000000006</v>
      </c>
      <c r="EI99" s="32">
        <v>59.1</v>
      </c>
      <c r="EJ99" s="32">
        <v>61.6</v>
      </c>
      <c r="EK99" s="32">
        <v>49.4</v>
      </c>
      <c r="EL99" s="32">
        <v>62.6</v>
      </c>
      <c r="EM99" s="32">
        <v>41.3</v>
      </c>
      <c r="EN99" s="32">
        <v>53</v>
      </c>
      <c r="EO99" s="32">
        <v>88.3</v>
      </c>
      <c r="EP99" s="32">
        <v>86.8</v>
      </c>
      <c r="EQ99" s="32">
        <v>86.8</v>
      </c>
      <c r="ER99" s="32">
        <v>89.2</v>
      </c>
      <c r="ES99" s="32">
        <v>89.2</v>
      </c>
      <c r="ET99" s="32">
        <v>90.8</v>
      </c>
      <c r="EU99" s="32">
        <v>100</v>
      </c>
      <c r="EV99" s="32">
        <v>100</v>
      </c>
      <c r="EW99" s="32">
        <v>82.3</v>
      </c>
      <c r="EX99" s="32">
        <v>90.1</v>
      </c>
      <c r="EY99" s="32">
        <v>76.2</v>
      </c>
      <c r="EZ99" s="32">
        <v>96.5</v>
      </c>
      <c r="FA99" s="32">
        <v>108.6</v>
      </c>
      <c r="FB99" s="32">
        <v>118.6</v>
      </c>
      <c r="FC99" s="32">
        <v>81.900000000000006</v>
      </c>
      <c r="FD99" s="32">
        <v>122.4</v>
      </c>
      <c r="FE99" s="32">
        <v>185.3</v>
      </c>
      <c r="FF99" s="32">
        <v>97.4</v>
      </c>
      <c r="FG99" s="32">
        <v>86.5</v>
      </c>
      <c r="FH99" s="32">
        <v>94.6</v>
      </c>
      <c r="FI99" s="32">
        <v>79.5</v>
      </c>
      <c r="FJ99" s="32">
        <v>83.9</v>
      </c>
      <c r="FK99" s="32">
        <v>115</v>
      </c>
      <c r="FL99" s="32">
        <v>115</v>
      </c>
    </row>
    <row r="100" spans="1:168" x14ac:dyDescent="0.2">
      <c r="A100" s="34" t="s">
        <v>1080</v>
      </c>
      <c r="B100" s="32">
        <v>78.099999999999994</v>
      </c>
      <c r="C100" s="32">
        <v>79.5</v>
      </c>
      <c r="D100" s="32">
        <v>100.5</v>
      </c>
      <c r="E100" s="32">
        <v>104.5</v>
      </c>
      <c r="F100" s="32">
        <v>323.10000000000002</v>
      </c>
      <c r="G100" s="32">
        <v>8449.2000000000007</v>
      </c>
      <c r="H100" s="32">
        <v>417.6</v>
      </c>
      <c r="I100" s="32">
        <v>65</v>
      </c>
      <c r="J100" s="32">
        <v>88.2</v>
      </c>
      <c r="K100" s="32">
        <v>100</v>
      </c>
      <c r="L100" s="32">
        <v>99.3</v>
      </c>
      <c r="M100" s="32">
        <v>95</v>
      </c>
      <c r="N100" s="32">
        <v>90.9</v>
      </c>
      <c r="O100" s="32">
        <v>281.89999999999998</v>
      </c>
      <c r="P100" s="32">
        <v>348.7</v>
      </c>
      <c r="Q100" s="32">
        <v>123.5</v>
      </c>
      <c r="R100" s="32">
        <v>90</v>
      </c>
      <c r="S100" s="32">
        <v>119.1</v>
      </c>
      <c r="T100" s="32">
        <v>101</v>
      </c>
      <c r="U100" s="32">
        <v>79.7</v>
      </c>
      <c r="V100" s="32">
        <v>113.1</v>
      </c>
      <c r="W100" s="32">
        <v>50.6</v>
      </c>
      <c r="X100" s="32">
        <v>41.3</v>
      </c>
      <c r="Y100" s="32">
        <v>59.5</v>
      </c>
      <c r="Z100" s="32">
        <v>94.8</v>
      </c>
      <c r="AA100" s="32">
        <v>100.3</v>
      </c>
      <c r="AB100" s="32">
        <v>99.9</v>
      </c>
      <c r="AC100" s="32">
        <v>92.9</v>
      </c>
      <c r="AD100" s="32">
        <v>114.4</v>
      </c>
      <c r="AE100" s="32">
        <v>142.69999999999999</v>
      </c>
      <c r="AF100" s="32">
        <v>142.69999999999999</v>
      </c>
      <c r="AG100" s="32">
        <v>68.099999999999994</v>
      </c>
      <c r="AH100" s="32">
        <v>68.099999999999994</v>
      </c>
      <c r="AI100" s="32">
        <v>186.3</v>
      </c>
      <c r="AJ100" s="32">
        <v>61.9</v>
      </c>
      <c r="AK100" s="32">
        <v>258.10000000000002</v>
      </c>
      <c r="AL100" s="32">
        <v>130.30000000000001</v>
      </c>
      <c r="AM100" s="32">
        <v>44.1</v>
      </c>
      <c r="AN100" s="32">
        <v>135.6</v>
      </c>
      <c r="AO100" s="32">
        <v>88.3</v>
      </c>
      <c r="AP100" s="32">
        <v>88.3</v>
      </c>
      <c r="AQ100" s="32">
        <v>117.1</v>
      </c>
      <c r="AR100" s="32">
        <v>115.5</v>
      </c>
      <c r="AS100" s="32">
        <v>121.8</v>
      </c>
      <c r="AT100" s="32">
        <v>112.7</v>
      </c>
      <c r="AU100" s="32">
        <v>128.9</v>
      </c>
      <c r="AV100" s="32">
        <v>104.2</v>
      </c>
      <c r="AW100" s="32">
        <v>159.4</v>
      </c>
      <c r="AX100" s="32">
        <v>124.8</v>
      </c>
      <c r="AY100" s="32">
        <v>286.39999999999998</v>
      </c>
      <c r="AZ100" s="32">
        <v>96.4</v>
      </c>
      <c r="BA100" s="32">
        <v>51.4</v>
      </c>
      <c r="BB100" s="32">
        <v>51.4</v>
      </c>
      <c r="BC100" s="32">
        <v>126.1</v>
      </c>
      <c r="BD100" s="32">
        <v>126.1</v>
      </c>
      <c r="BE100" s="32">
        <v>108.3</v>
      </c>
      <c r="BF100" s="32">
        <v>108.3</v>
      </c>
      <c r="BG100" s="32">
        <v>85.4</v>
      </c>
      <c r="BH100" s="32">
        <v>62.2</v>
      </c>
      <c r="BI100" s="32">
        <v>110.2</v>
      </c>
      <c r="BJ100" s="32">
        <v>36</v>
      </c>
      <c r="BK100" s="32">
        <v>153.4</v>
      </c>
      <c r="BL100" s="32">
        <v>54.8</v>
      </c>
      <c r="BM100" s="32">
        <v>87.9</v>
      </c>
      <c r="BN100" s="32">
        <v>95.9</v>
      </c>
      <c r="BO100" s="32">
        <v>84.8</v>
      </c>
      <c r="BP100" s="32">
        <v>106.2</v>
      </c>
      <c r="BQ100" s="32">
        <v>80.2</v>
      </c>
      <c r="BR100" s="32">
        <v>67.5</v>
      </c>
      <c r="BS100" s="32">
        <v>207.9</v>
      </c>
      <c r="BT100" s="32">
        <v>56.1</v>
      </c>
      <c r="BU100" s="32">
        <v>130</v>
      </c>
      <c r="BV100" s="32">
        <v>130</v>
      </c>
      <c r="BW100" s="32">
        <v>189.9</v>
      </c>
      <c r="BX100" s="32">
        <v>54.8</v>
      </c>
      <c r="BY100" s="32">
        <v>99.2</v>
      </c>
      <c r="BZ100" s="32">
        <v>102.8</v>
      </c>
      <c r="CA100" s="32">
        <v>97.8</v>
      </c>
      <c r="CB100" s="32">
        <v>116.6</v>
      </c>
      <c r="CC100" s="32">
        <v>88.3</v>
      </c>
      <c r="CD100" s="32">
        <v>25.6</v>
      </c>
      <c r="CE100" s="32">
        <v>92.2</v>
      </c>
      <c r="CF100" s="32">
        <v>73.400000000000006</v>
      </c>
      <c r="CG100" s="32">
        <v>91.4</v>
      </c>
      <c r="CH100" s="32">
        <v>90.3</v>
      </c>
      <c r="CI100" s="32">
        <v>111.8</v>
      </c>
      <c r="CJ100" s="32">
        <v>73.099999999999994</v>
      </c>
      <c r="CK100" s="32">
        <v>100.5</v>
      </c>
      <c r="CL100" s="32">
        <v>92.4</v>
      </c>
      <c r="CM100" s="32">
        <v>100.3</v>
      </c>
      <c r="CN100" s="32">
        <v>72.8</v>
      </c>
      <c r="CO100" s="32">
        <v>102.4</v>
      </c>
      <c r="CP100" s="32">
        <v>204.1</v>
      </c>
      <c r="CQ100" s="32">
        <v>53.2</v>
      </c>
      <c r="CR100" s="32">
        <v>93.8</v>
      </c>
      <c r="CS100" s="32">
        <v>127.8</v>
      </c>
      <c r="CT100" s="32">
        <v>94.7</v>
      </c>
      <c r="CU100" s="32">
        <v>71</v>
      </c>
      <c r="CV100" s="32">
        <v>105.2</v>
      </c>
      <c r="CW100" s="32">
        <v>26.7</v>
      </c>
      <c r="CX100" s="32">
        <v>84.7</v>
      </c>
      <c r="CY100" s="32">
        <v>104.2</v>
      </c>
      <c r="CZ100" s="32">
        <v>74.3</v>
      </c>
      <c r="DA100" s="32">
        <v>60</v>
      </c>
      <c r="DB100" s="32">
        <v>104.2</v>
      </c>
      <c r="DC100" s="32">
        <v>4</v>
      </c>
      <c r="DD100" s="32">
        <v>4</v>
      </c>
      <c r="DE100" s="32">
        <v>53.7</v>
      </c>
      <c r="DF100" s="32">
        <v>50.2</v>
      </c>
      <c r="DG100" s="32">
        <v>74.099999999999994</v>
      </c>
      <c r="DH100" s="32">
        <v>87.6</v>
      </c>
      <c r="DI100" s="32">
        <v>161.1</v>
      </c>
      <c r="DJ100" s="32">
        <v>62.9</v>
      </c>
      <c r="DK100" s="32">
        <v>62.9</v>
      </c>
      <c r="DL100" s="32">
        <v>37</v>
      </c>
      <c r="DM100" s="32">
        <v>68.400000000000006</v>
      </c>
      <c r="DN100" s="32">
        <v>44.8</v>
      </c>
      <c r="DO100" s="32">
        <v>78.900000000000006</v>
      </c>
      <c r="DP100" s="32">
        <v>45</v>
      </c>
      <c r="DQ100" s="32">
        <v>65.5</v>
      </c>
      <c r="DR100" s="32">
        <v>69.5</v>
      </c>
      <c r="DS100" s="32">
        <v>64.2</v>
      </c>
      <c r="DT100" s="32">
        <v>59.1</v>
      </c>
      <c r="DU100" s="32">
        <v>63.4</v>
      </c>
      <c r="DV100" s="32">
        <v>77.5</v>
      </c>
      <c r="DW100" s="32">
        <v>49.5</v>
      </c>
      <c r="DX100" s="32">
        <v>50.4</v>
      </c>
      <c r="DY100" s="32">
        <v>81.900000000000006</v>
      </c>
      <c r="DZ100" s="32">
        <v>125.9</v>
      </c>
      <c r="EA100" s="32">
        <v>125.9</v>
      </c>
      <c r="EB100" s="32">
        <v>67.599999999999994</v>
      </c>
      <c r="EC100" s="32">
        <v>70</v>
      </c>
      <c r="ED100" s="32">
        <v>64.5</v>
      </c>
      <c r="EE100" s="32">
        <v>73.5</v>
      </c>
      <c r="EF100" s="32">
        <v>45</v>
      </c>
      <c r="EG100" s="32">
        <v>59.4</v>
      </c>
      <c r="EH100" s="32">
        <v>81.099999999999994</v>
      </c>
      <c r="EI100" s="32">
        <v>58</v>
      </c>
      <c r="EJ100" s="32">
        <v>65.3</v>
      </c>
      <c r="EK100" s="32">
        <v>50.2</v>
      </c>
      <c r="EL100" s="32">
        <v>64.2</v>
      </c>
      <c r="EM100" s="32">
        <v>41.8</v>
      </c>
      <c r="EN100" s="32">
        <v>53.8</v>
      </c>
      <c r="EO100" s="32">
        <v>88</v>
      </c>
      <c r="EP100" s="32">
        <v>86.5</v>
      </c>
      <c r="EQ100" s="32">
        <v>86.5</v>
      </c>
      <c r="ER100" s="32">
        <v>88.5</v>
      </c>
      <c r="ES100" s="32">
        <v>88.5</v>
      </c>
      <c r="ET100" s="32">
        <v>91</v>
      </c>
      <c r="EU100" s="32">
        <v>100.2</v>
      </c>
      <c r="EV100" s="32">
        <v>100.2</v>
      </c>
      <c r="EW100" s="32">
        <v>82.4</v>
      </c>
      <c r="EX100" s="32">
        <v>90.3</v>
      </c>
      <c r="EY100" s="32">
        <v>76.2</v>
      </c>
      <c r="EZ100" s="32">
        <v>95.6</v>
      </c>
      <c r="FA100" s="32">
        <v>108.7</v>
      </c>
      <c r="FB100" s="32">
        <v>119.1</v>
      </c>
      <c r="FC100" s="32">
        <v>82.9</v>
      </c>
      <c r="FD100" s="32">
        <v>122.7</v>
      </c>
      <c r="FE100" s="32">
        <v>184.5</v>
      </c>
      <c r="FF100" s="32">
        <v>97.1</v>
      </c>
      <c r="FG100" s="32">
        <v>85.8</v>
      </c>
      <c r="FH100" s="32">
        <v>97.5</v>
      </c>
      <c r="FI100" s="32">
        <v>72.2</v>
      </c>
      <c r="FJ100" s="32">
        <v>82.4</v>
      </c>
      <c r="FK100" s="32">
        <v>101.7</v>
      </c>
      <c r="FL100" s="32">
        <v>101.7</v>
      </c>
    </row>
    <row r="101" spans="1:168" x14ac:dyDescent="0.2">
      <c r="A101" s="34" t="s">
        <v>1081</v>
      </c>
      <c r="B101" s="32">
        <v>78.099999999999994</v>
      </c>
      <c r="C101" s="32">
        <v>82.9</v>
      </c>
      <c r="D101" s="32">
        <v>100.3</v>
      </c>
      <c r="E101" s="32">
        <v>104</v>
      </c>
      <c r="F101" s="32">
        <v>315.7</v>
      </c>
      <c r="G101" s="32">
        <v>8663.4</v>
      </c>
      <c r="H101" s="32">
        <v>406.4</v>
      </c>
      <c r="I101" s="32">
        <v>64.7</v>
      </c>
      <c r="J101" s="32">
        <v>88</v>
      </c>
      <c r="K101" s="32">
        <v>99.9</v>
      </c>
      <c r="L101" s="32">
        <v>99.6</v>
      </c>
      <c r="M101" s="32">
        <v>92</v>
      </c>
      <c r="N101" s="32">
        <v>94.7</v>
      </c>
      <c r="O101" s="32">
        <v>276.89999999999998</v>
      </c>
      <c r="P101" s="32">
        <v>322.10000000000002</v>
      </c>
      <c r="Q101" s="32">
        <v>120.8</v>
      </c>
      <c r="R101" s="32">
        <v>90.2</v>
      </c>
      <c r="S101" s="32">
        <v>121.9</v>
      </c>
      <c r="T101" s="32">
        <v>101.3</v>
      </c>
      <c r="U101" s="32">
        <v>76.099999999999994</v>
      </c>
      <c r="V101" s="32">
        <v>112.2</v>
      </c>
      <c r="W101" s="32">
        <v>50</v>
      </c>
      <c r="X101" s="32">
        <v>40.9</v>
      </c>
      <c r="Y101" s="32">
        <v>58.9</v>
      </c>
      <c r="Z101" s="32">
        <v>90.3</v>
      </c>
      <c r="AA101" s="32">
        <v>99.7</v>
      </c>
      <c r="AB101" s="32">
        <v>100</v>
      </c>
      <c r="AC101" s="32">
        <v>90.6</v>
      </c>
      <c r="AD101" s="32">
        <v>114.5</v>
      </c>
      <c r="AE101" s="32">
        <v>133.80000000000001</v>
      </c>
      <c r="AF101" s="32">
        <v>133.80000000000001</v>
      </c>
      <c r="AG101" s="32">
        <v>72.7</v>
      </c>
      <c r="AH101" s="32">
        <v>72.7</v>
      </c>
      <c r="AI101" s="32">
        <v>186.8</v>
      </c>
      <c r="AJ101" s="32">
        <v>69.7</v>
      </c>
      <c r="AK101" s="32">
        <v>292.60000000000002</v>
      </c>
      <c r="AL101" s="32">
        <v>130.4</v>
      </c>
      <c r="AM101" s="32">
        <v>46.3</v>
      </c>
      <c r="AN101" s="32">
        <v>141.19999999999999</v>
      </c>
      <c r="AO101" s="32">
        <v>79.8</v>
      </c>
      <c r="AP101" s="32">
        <v>79.8</v>
      </c>
      <c r="AQ101" s="32">
        <v>118.1</v>
      </c>
      <c r="AR101" s="32">
        <v>116.4</v>
      </c>
      <c r="AS101" s="32">
        <v>123.2</v>
      </c>
      <c r="AT101" s="32">
        <v>113.1</v>
      </c>
      <c r="AU101" s="32">
        <v>131.4</v>
      </c>
      <c r="AV101" s="32">
        <v>102.8</v>
      </c>
      <c r="AW101" s="32">
        <v>162.80000000000001</v>
      </c>
      <c r="AX101" s="32">
        <v>141.9</v>
      </c>
      <c r="AY101" s="32">
        <v>280.5</v>
      </c>
      <c r="AZ101" s="32">
        <v>93.9</v>
      </c>
      <c r="BA101" s="32">
        <v>51.4</v>
      </c>
      <c r="BB101" s="32">
        <v>51.4</v>
      </c>
      <c r="BC101" s="32">
        <v>123.4</v>
      </c>
      <c r="BD101" s="32">
        <v>123.4</v>
      </c>
      <c r="BE101" s="32">
        <v>110.5</v>
      </c>
      <c r="BF101" s="32">
        <v>110.5</v>
      </c>
      <c r="BG101" s="32">
        <v>86.4</v>
      </c>
      <c r="BH101" s="32">
        <v>62.7</v>
      </c>
      <c r="BI101" s="32">
        <v>111.8</v>
      </c>
      <c r="BJ101" s="32">
        <v>36</v>
      </c>
      <c r="BK101" s="32">
        <v>155.69999999999999</v>
      </c>
      <c r="BL101" s="32">
        <v>56.6</v>
      </c>
      <c r="BM101" s="32">
        <v>89.9</v>
      </c>
      <c r="BN101" s="32">
        <v>102</v>
      </c>
      <c r="BO101" s="32">
        <v>88.2</v>
      </c>
      <c r="BP101" s="32">
        <v>115.1</v>
      </c>
      <c r="BQ101" s="32">
        <v>77</v>
      </c>
      <c r="BR101" s="32">
        <v>75.400000000000006</v>
      </c>
      <c r="BS101" s="32">
        <v>185.4</v>
      </c>
      <c r="BT101" s="32">
        <v>54.9</v>
      </c>
      <c r="BU101" s="32">
        <v>127</v>
      </c>
      <c r="BV101" s="32">
        <v>127</v>
      </c>
      <c r="BW101" s="32">
        <v>190.9</v>
      </c>
      <c r="BX101" s="32">
        <v>48.7</v>
      </c>
      <c r="BY101" s="32">
        <v>100</v>
      </c>
      <c r="BZ101" s="32">
        <v>101.3</v>
      </c>
      <c r="CA101" s="32">
        <v>99.6</v>
      </c>
      <c r="CB101" s="32">
        <v>119.6</v>
      </c>
      <c r="CC101" s="32">
        <v>89.2</v>
      </c>
      <c r="CD101" s="32">
        <v>26.2</v>
      </c>
      <c r="CE101" s="32">
        <v>92.6</v>
      </c>
      <c r="CF101" s="32">
        <v>73.400000000000006</v>
      </c>
      <c r="CG101" s="32">
        <v>91.8</v>
      </c>
      <c r="CH101" s="32">
        <v>90.7</v>
      </c>
      <c r="CI101" s="32">
        <v>112.8</v>
      </c>
      <c r="CJ101" s="32">
        <v>74.2</v>
      </c>
      <c r="CK101" s="32">
        <v>100.2</v>
      </c>
      <c r="CL101" s="32">
        <v>92.3</v>
      </c>
      <c r="CM101" s="32">
        <v>99.4</v>
      </c>
      <c r="CN101" s="32">
        <v>72.599999999999994</v>
      </c>
      <c r="CO101" s="32">
        <v>101.3</v>
      </c>
      <c r="CP101" s="32">
        <v>202.1</v>
      </c>
      <c r="CQ101" s="32">
        <v>53.8</v>
      </c>
      <c r="CR101" s="32">
        <v>94</v>
      </c>
      <c r="CS101" s="32">
        <v>129.19999999999999</v>
      </c>
      <c r="CT101" s="32">
        <v>95</v>
      </c>
      <c r="CU101" s="32">
        <v>72.400000000000006</v>
      </c>
      <c r="CV101" s="32">
        <v>105</v>
      </c>
      <c r="CW101" s="32">
        <v>26.7</v>
      </c>
      <c r="CX101" s="32">
        <v>82.6</v>
      </c>
      <c r="CY101" s="32">
        <v>102.4</v>
      </c>
      <c r="CZ101" s="32">
        <v>71.900000000000006</v>
      </c>
      <c r="DA101" s="32">
        <v>57</v>
      </c>
      <c r="DB101" s="32">
        <v>104.4</v>
      </c>
      <c r="DC101" s="32">
        <v>3.9</v>
      </c>
      <c r="DD101" s="32">
        <v>3.9</v>
      </c>
      <c r="DE101" s="32">
        <v>55</v>
      </c>
      <c r="DF101" s="32">
        <v>51.4</v>
      </c>
      <c r="DG101" s="32">
        <v>75.900000000000006</v>
      </c>
      <c r="DH101" s="32">
        <v>89</v>
      </c>
      <c r="DI101" s="32">
        <v>158.4</v>
      </c>
      <c r="DJ101" s="32">
        <v>67.8</v>
      </c>
      <c r="DK101" s="32">
        <v>67.8</v>
      </c>
      <c r="DL101" s="32">
        <v>38.799999999999997</v>
      </c>
      <c r="DM101" s="32">
        <v>68.3</v>
      </c>
      <c r="DN101" s="32">
        <v>45.1</v>
      </c>
      <c r="DO101" s="32">
        <v>78.7</v>
      </c>
      <c r="DP101" s="32">
        <v>44.8</v>
      </c>
      <c r="DQ101" s="32">
        <v>65</v>
      </c>
      <c r="DR101" s="32">
        <v>68.5</v>
      </c>
      <c r="DS101" s="32">
        <v>63.5</v>
      </c>
      <c r="DT101" s="32">
        <v>58.3</v>
      </c>
      <c r="DU101" s="32">
        <v>61.8</v>
      </c>
      <c r="DV101" s="32">
        <v>75</v>
      </c>
      <c r="DW101" s="32">
        <v>48.7</v>
      </c>
      <c r="DX101" s="32">
        <v>51.1</v>
      </c>
      <c r="DY101" s="32">
        <v>82</v>
      </c>
      <c r="DZ101" s="32">
        <v>121.3</v>
      </c>
      <c r="EA101" s="32">
        <v>121.3</v>
      </c>
      <c r="EB101" s="32">
        <v>66.7</v>
      </c>
      <c r="EC101" s="32">
        <v>69.8</v>
      </c>
      <c r="ED101" s="32">
        <v>62.7</v>
      </c>
      <c r="EE101" s="32">
        <v>70.5</v>
      </c>
      <c r="EF101" s="32">
        <v>45.7</v>
      </c>
      <c r="EG101" s="32">
        <v>59.7</v>
      </c>
      <c r="EH101" s="32">
        <v>82</v>
      </c>
      <c r="EI101" s="32">
        <v>60.8</v>
      </c>
      <c r="EJ101" s="32">
        <v>68.400000000000006</v>
      </c>
      <c r="EK101" s="32">
        <v>48</v>
      </c>
      <c r="EL101" s="32">
        <v>64.2</v>
      </c>
      <c r="EM101" s="32">
        <v>41.3</v>
      </c>
      <c r="EN101" s="32">
        <v>49.9</v>
      </c>
      <c r="EO101" s="32">
        <v>87.9</v>
      </c>
      <c r="EP101" s="32">
        <v>86.2</v>
      </c>
      <c r="EQ101" s="32">
        <v>86.2</v>
      </c>
      <c r="ER101" s="32">
        <v>88.5</v>
      </c>
      <c r="ES101" s="32">
        <v>88.5</v>
      </c>
      <c r="ET101" s="32">
        <v>90.9</v>
      </c>
      <c r="EU101" s="32">
        <v>100.1</v>
      </c>
      <c r="EV101" s="32">
        <v>100.1</v>
      </c>
      <c r="EW101" s="32">
        <v>82.5</v>
      </c>
      <c r="EX101" s="32">
        <v>90.4</v>
      </c>
      <c r="EY101" s="32">
        <v>76.2</v>
      </c>
      <c r="EZ101" s="32">
        <v>94.9</v>
      </c>
      <c r="FA101" s="32">
        <v>109.5</v>
      </c>
      <c r="FB101" s="32">
        <v>120.1</v>
      </c>
      <c r="FC101" s="32">
        <v>83.9</v>
      </c>
      <c r="FD101" s="32">
        <v>122.7</v>
      </c>
      <c r="FE101" s="32">
        <v>186.4</v>
      </c>
      <c r="FF101" s="32">
        <v>97.7</v>
      </c>
      <c r="FG101" s="32">
        <v>84.2</v>
      </c>
      <c r="FH101" s="32">
        <v>94.7</v>
      </c>
      <c r="FI101" s="32">
        <v>71.3</v>
      </c>
      <c r="FJ101" s="32">
        <v>81.3</v>
      </c>
      <c r="FK101" s="32">
        <v>97.3</v>
      </c>
      <c r="FL101" s="32">
        <v>97.3</v>
      </c>
    </row>
    <row r="102" spans="1:168" x14ac:dyDescent="0.2">
      <c r="A102" s="34" t="s">
        <v>1082</v>
      </c>
      <c r="B102" s="32">
        <v>78.8</v>
      </c>
      <c r="C102" s="32">
        <v>87.8</v>
      </c>
      <c r="D102" s="32">
        <v>101.2</v>
      </c>
      <c r="E102" s="32">
        <v>104.9</v>
      </c>
      <c r="F102" s="32">
        <v>312.10000000000002</v>
      </c>
      <c r="G102" s="32">
        <v>4796.7</v>
      </c>
      <c r="H102" s="32">
        <v>402.8</v>
      </c>
      <c r="I102" s="32">
        <v>63.9</v>
      </c>
      <c r="J102" s="32">
        <v>89.1</v>
      </c>
      <c r="K102" s="32">
        <v>99.8</v>
      </c>
      <c r="L102" s="32">
        <v>98.7</v>
      </c>
      <c r="M102" s="32">
        <v>88.8</v>
      </c>
      <c r="N102" s="32">
        <v>95.8</v>
      </c>
      <c r="O102" s="32">
        <v>286.39999999999998</v>
      </c>
      <c r="P102" s="32">
        <v>293.60000000000002</v>
      </c>
      <c r="Q102" s="32">
        <v>122.9</v>
      </c>
      <c r="R102" s="32">
        <v>90.1</v>
      </c>
      <c r="S102" s="32">
        <v>123</v>
      </c>
      <c r="T102" s="32">
        <v>89.3</v>
      </c>
      <c r="U102" s="32">
        <v>72.599999999999994</v>
      </c>
      <c r="V102" s="32">
        <v>117.3</v>
      </c>
      <c r="W102" s="32">
        <v>50.7</v>
      </c>
      <c r="X102" s="32">
        <v>40.700000000000003</v>
      </c>
      <c r="Y102" s="32">
        <v>61.5</v>
      </c>
      <c r="Z102" s="32">
        <v>89.5</v>
      </c>
      <c r="AA102" s="32">
        <v>107.1</v>
      </c>
      <c r="AB102" s="32">
        <v>99.7</v>
      </c>
      <c r="AC102" s="32">
        <v>94.5</v>
      </c>
      <c r="AD102" s="32">
        <v>128.69999999999999</v>
      </c>
      <c r="AE102" s="32">
        <v>124.8</v>
      </c>
      <c r="AF102" s="32">
        <v>124.8</v>
      </c>
      <c r="AG102" s="32">
        <v>73.099999999999994</v>
      </c>
      <c r="AH102" s="32">
        <v>73.099999999999994</v>
      </c>
      <c r="AI102" s="32">
        <v>171.6</v>
      </c>
      <c r="AJ102" s="32">
        <v>70.400000000000006</v>
      </c>
      <c r="AK102" s="32">
        <v>355.1</v>
      </c>
      <c r="AL102" s="32">
        <v>126.4</v>
      </c>
      <c r="AM102" s="32">
        <v>47.9</v>
      </c>
      <c r="AN102" s="32">
        <v>137.1</v>
      </c>
      <c r="AO102" s="32">
        <v>87.6</v>
      </c>
      <c r="AP102" s="32">
        <v>87.6</v>
      </c>
      <c r="AQ102" s="32">
        <v>122.3</v>
      </c>
      <c r="AR102" s="32">
        <v>116.4</v>
      </c>
      <c r="AS102" s="32">
        <v>134.1</v>
      </c>
      <c r="AT102" s="32">
        <v>124</v>
      </c>
      <c r="AU102" s="32">
        <v>142</v>
      </c>
      <c r="AV102" s="32">
        <v>103.7</v>
      </c>
      <c r="AW102" s="32">
        <v>173.4</v>
      </c>
      <c r="AX102" s="32">
        <v>133.19999999999999</v>
      </c>
      <c r="AY102" s="32">
        <v>316.3</v>
      </c>
      <c r="AZ102" s="32">
        <v>92.6</v>
      </c>
      <c r="BA102" s="32">
        <v>48.8</v>
      </c>
      <c r="BB102" s="32">
        <v>48.8</v>
      </c>
      <c r="BC102" s="32">
        <v>123.7</v>
      </c>
      <c r="BD102" s="32">
        <v>123.7</v>
      </c>
      <c r="BE102" s="32">
        <v>111</v>
      </c>
      <c r="BF102" s="32">
        <v>111</v>
      </c>
      <c r="BG102" s="32">
        <v>88.4</v>
      </c>
      <c r="BH102" s="32">
        <v>65.2</v>
      </c>
      <c r="BI102" s="32">
        <v>112.8</v>
      </c>
      <c r="BJ102" s="32">
        <v>35.6</v>
      </c>
      <c r="BK102" s="32">
        <v>157.5</v>
      </c>
      <c r="BL102" s="32">
        <v>57.2</v>
      </c>
      <c r="BM102" s="32">
        <v>87</v>
      </c>
      <c r="BN102" s="32">
        <v>94</v>
      </c>
      <c r="BO102" s="32">
        <v>87.5</v>
      </c>
      <c r="BP102" s="32">
        <v>99.3</v>
      </c>
      <c r="BQ102" s="32">
        <v>80.5</v>
      </c>
      <c r="BR102" s="32">
        <v>97.3</v>
      </c>
      <c r="BS102" s="32">
        <v>187.6</v>
      </c>
      <c r="BT102" s="32">
        <v>56.4</v>
      </c>
      <c r="BU102" s="32">
        <v>122.9</v>
      </c>
      <c r="BV102" s="32">
        <v>122.9</v>
      </c>
      <c r="BW102" s="32">
        <v>188.7</v>
      </c>
      <c r="BX102" s="32">
        <v>43.3</v>
      </c>
      <c r="BY102" s="32">
        <v>103.7</v>
      </c>
      <c r="BZ102" s="32">
        <v>101.2</v>
      </c>
      <c r="CA102" s="32">
        <v>105.1</v>
      </c>
      <c r="CB102" s="32">
        <v>122.5</v>
      </c>
      <c r="CC102" s="32">
        <v>97.3</v>
      </c>
      <c r="CD102" s="32">
        <v>27.4</v>
      </c>
      <c r="CE102" s="32">
        <v>93.3</v>
      </c>
      <c r="CF102" s="32">
        <v>74.099999999999994</v>
      </c>
      <c r="CG102" s="32">
        <v>92.2</v>
      </c>
      <c r="CH102" s="32">
        <v>91.2</v>
      </c>
      <c r="CI102" s="32">
        <v>109.5</v>
      </c>
      <c r="CJ102" s="32">
        <v>75.8</v>
      </c>
      <c r="CK102" s="32">
        <v>100.7</v>
      </c>
      <c r="CL102" s="32">
        <v>93.1</v>
      </c>
      <c r="CM102" s="32">
        <v>100.7</v>
      </c>
      <c r="CN102" s="32">
        <v>73.400000000000006</v>
      </c>
      <c r="CO102" s="32">
        <v>102.7</v>
      </c>
      <c r="CP102" s="32">
        <v>201.4</v>
      </c>
      <c r="CQ102" s="32">
        <v>52.4</v>
      </c>
      <c r="CR102" s="32">
        <v>95.6</v>
      </c>
      <c r="CS102" s="32">
        <v>131.19999999999999</v>
      </c>
      <c r="CT102" s="32">
        <v>95</v>
      </c>
      <c r="CU102" s="32">
        <v>70.3</v>
      </c>
      <c r="CV102" s="32">
        <v>105.9</v>
      </c>
      <c r="CW102" s="32">
        <v>26.6</v>
      </c>
      <c r="CX102" s="32">
        <v>83.9</v>
      </c>
      <c r="CY102" s="32">
        <v>103.1</v>
      </c>
      <c r="CZ102" s="32">
        <v>73.599999999999994</v>
      </c>
      <c r="DA102" s="32">
        <v>59.4</v>
      </c>
      <c r="DB102" s="32">
        <v>103.6</v>
      </c>
      <c r="DC102" s="32">
        <v>3.8</v>
      </c>
      <c r="DD102" s="32">
        <v>3.8</v>
      </c>
      <c r="DE102" s="32">
        <v>56.1</v>
      </c>
      <c r="DF102" s="32">
        <v>52.5</v>
      </c>
      <c r="DG102" s="32">
        <v>76.8</v>
      </c>
      <c r="DH102" s="32">
        <v>91.6</v>
      </c>
      <c r="DI102" s="32">
        <v>154.9</v>
      </c>
      <c r="DJ102" s="32">
        <v>74.2</v>
      </c>
      <c r="DK102" s="32">
        <v>74.2</v>
      </c>
      <c r="DL102" s="32">
        <v>43.6</v>
      </c>
      <c r="DM102" s="32">
        <v>68.900000000000006</v>
      </c>
      <c r="DN102" s="32">
        <v>46</v>
      </c>
      <c r="DO102" s="32">
        <v>79.3</v>
      </c>
      <c r="DP102" s="32">
        <v>44.6</v>
      </c>
      <c r="DQ102" s="32">
        <v>66.099999999999994</v>
      </c>
      <c r="DR102" s="32">
        <v>70.599999999999994</v>
      </c>
      <c r="DS102" s="32">
        <v>65.900000000000006</v>
      </c>
      <c r="DT102" s="32">
        <v>59.7</v>
      </c>
      <c r="DU102" s="32">
        <v>63</v>
      </c>
      <c r="DV102" s="32">
        <v>74.900000000000006</v>
      </c>
      <c r="DW102" s="32">
        <v>51</v>
      </c>
      <c r="DX102" s="32">
        <v>53</v>
      </c>
      <c r="DY102" s="32">
        <v>87.5</v>
      </c>
      <c r="DZ102" s="32">
        <v>120.8</v>
      </c>
      <c r="EA102" s="32">
        <v>120.8</v>
      </c>
      <c r="EB102" s="32">
        <v>69.099999999999994</v>
      </c>
      <c r="EC102" s="32">
        <v>71.5</v>
      </c>
      <c r="ED102" s="32">
        <v>65.900000000000006</v>
      </c>
      <c r="EE102" s="32">
        <v>74.599999999999994</v>
      </c>
      <c r="EF102" s="32">
        <v>47</v>
      </c>
      <c r="EG102" s="32">
        <v>59.2</v>
      </c>
      <c r="EH102" s="32">
        <v>83.9</v>
      </c>
      <c r="EI102" s="32">
        <v>52.7</v>
      </c>
      <c r="EJ102" s="32">
        <v>68.3</v>
      </c>
      <c r="EK102" s="32">
        <v>51.7</v>
      </c>
      <c r="EL102" s="32">
        <v>65.3</v>
      </c>
      <c r="EM102" s="32">
        <v>43.6</v>
      </c>
      <c r="EN102" s="32">
        <v>55.1</v>
      </c>
      <c r="EO102" s="32">
        <v>88.1</v>
      </c>
      <c r="EP102" s="32">
        <v>87</v>
      </c>
      <c r="EQ102" s="32">
        <v>87</v>
      </c>
      <c r="ER102" s="32">
        <v>88.4</v>
      </c>
      <c r="ES102" s="32">
        <v>88.4</v>
      </c>
      <c r="ET102" s="32">
        <v>90.9</v>
      </c>
      <c r="EU102" s="32">
        <v>100</v>
      </c>
      <c r="EV102" s="32">
        <v>100</v>
      </c>
      <c r="EW102" s="32">
        <v>82.5</v>
      </c>
      <c r="EX102" s="32">
        <v>90.5</v>
      </c>
      <c r="EY102" s="32">
        <v>76.2</v>
      </c>
      <c r="EZ102" s="32">
        <v>95.3</v>
      </c>
      <c r="FA102" s="32">
        <v>110.5</v>
      </c>
      <c r="FB102" s="32">
        <v>121.6</v>
      </c>
      <c r="FC102" s="32">
        <v>85.2</v>
      </c>
      <c r="FD102" s="32">
        <v>122.8</v>
      </c>
      <c r="FE102" s="32">
        <v>189.1</v>
      </c>
      <c r="FF102" s="32">
        <v>98.2</v>
      </c>
      <c r="FG102" s="32">
        <v>84.1</v>
      </c>
      <c r="FH102" s="32">
        <v>89.5</v>
      </c>
      <c r="FI102" s="32">
        <v>84.8</v>
      </c>
      <c r="FJ102" s="32">
        <v>81.7</v>
      </c>
      <c r="FK102" s="32">
        <v>96.9</v>
      </c>
      <c r="FL102" s="32">
        <v>96.9</v>
      </c>
    </row>
    <row r="103" spans="1:168" x14ac:dyDescent="0.2">
      <c r="A103" s="34" t="s">
        <v>1083</v>
      </c>
      <c r="B103" s="32">
        <v>78.8</v>
      </c>
      <c r="C103" s="32">
        <v>91.4</v>
      </c>
      <c r="D103" s="32">
        <v>101.1</v>
      </c>
      <c r="E103" s="32">
        <v>104.5</v>
      </c>
      <c r="F103" s="32">
        <v>307.89999999999998</v>
      </c>
      <c r="G103" s="32">
        <v>5125.6000000000004</v>
      </c>
      <c r="H103" s="32">
        <v>398</v>
      </c>
      <c r="I103" s="32">
        <v>62.2</v>
      </c>
      <c r="J103" s="32">
        <v>88.8</v>
      </c>
      <c r="K103" s="32">
        <v>97.8</v>
      </c>
      <c r="L103" s="32">
        <v>97.4</v>
      </c>
      <c r="M103" s="32">
        <v>82.1</v>
      </c>
      <c r="N103" s="32">
        <v>95.5</v>
      </c>
      <c r="O103" s="32">
        <v>286.2</v>
      </c>
      <c r="P103" s="32">
        <v>269.5</v>
      </c>
      <c r="Q103" s="32">
        <v>120.5</v>
      </c>
      <c r="R103" s="32">
        <v>90.2</v>
      </c>
      <c r="S103" s="32">
        <v>123.7</v>
      </c>
      <c r="T103" s="32">
        <v>91.9</v>
      </c>
      <c r="U103" s="32">
        <v>69.3</v>
      </c>
      <c r="V103" s="32">
        <v>112.5</v>
      </c>
      <c r="W103" s="32">
        <v>52.3</v>
      </c>
      <c r="X103" s="32">
        <v>40.6</v>
      </c>
      <c r="Y103" s="32">
        <v>67.099999999999994</v>
      </c>
      <c r="Z103" s="32">
        <v>85.2</v>
      </c>
      <c r="AA103" s="32">
        <v>105</v>
      </c>
      <c r="AB103" s="32">
        <v>98.2</v>
      </c>
      <c r="AC103" s="32">
        <v>94.7</v>
      </c>
      <c r="AD103" s="32">
        <v>124.5</v>
      </c>
      <c r="AE103" s="32">
        <v>115.7</v>
      </c>
      <c r="AF103" s="32">
        <v>115.7</v>
      </c>
      <c r="AG103" s="32">
        <v>74.3</v>
      </c>
      <c r="AH103" s="32">
        <v>74.3</v>
      </c>
      <c r="AI103" s="32">
        <v>169.3</v>
      </c>
      <c r="AJ103" s="32">
        <v>73.900000000000006</v>
      </c>
      <c r="AK103" s="32">
        <v>375.9</v>
      </c>
      <c r="AL103" s="32">
        <v>124</v>
      </c>
      <c r="AM103" s="32">
        <v>48</v>
      </c>
      <c r="AN103" s="32">
        <v>134.4</v>
      </c>
      <c r="AO103" s="32">
        <v>86.3</v>
      </c>
      <c r="AP103" s="32">
        <v>86.3</v>
      </c>
      <c r="AQ103" s="32">
        <v>122.3</v>
      </c>
      <c r="AR103" s="32">
        <v>119.8</v>
      </c>
      <c r="AS103" s="32">
        <v>128.6</v>
      </c>
      <c r="AT103" s="32">
        <v>118.4</v>
      </c>
      <c r="AU103" s="32">
        <v>136.9</v>
      </c>
      <c r="AV103" s="32">
        <v>104.2</v>
      </c>
      <c r="AW103" s="32">
        <v>170.3</v>
      </c>
      <c r="AX103" s="32">
        <v>136.30000000000001</v>
      </c>
      <c r="AY103" s="32">
        <v>306.7</v>
      </c>
      <c r="AZ103" s="32">
        <v>94</v>
      </c>
      <c r="BA103" s="32">
        <v>48.4</v>
      </c>
      <c r="BB103" s="32">
        <v>48.4</v>
      </c>
      <c r="BC103" s="32">
        <v>127.3</v>
      </c>
      <c r="BD103" s="32">
        <v>127.3</v>
      </c>
      <c r="BE103" s="32">
        <v>111.7</v>
      </c>
      <c r="BF103" s="32">
        <v>111.7</v>
      </c>
      <c r="BG103" s="32">
        <v>88.8</v>
      </c>
      <c r="BH103" s="32">
        <v>65.5</v>
      </c>
      <c r="BI103" s="32">
        <v>113.5</v>
      </c>
      <c r="BJ103" s="32">
        <v>35.200000000000003</v>
      </c>
      <c r="BK103" s="32">
        <v>159</v>
      </c>
      <c r="BL103" s="32">
        <v>57.2</v>
      </c>
      <c r="BM103" s="32">
        <v>86.1</v>
      </c>
      <c r="BN103" s="32">
        <v>94</v>
      </c>
      <c r="BO103" s="32">
        <v>86.9</v>
      </c>
      <c r="BP103" s="32">
        <v>99.9</v>
      </c>
      <c r="BQ103" s="32">
        <v>78.599999999999994</v>
      </c>
      <c r="BR103" s="32">
        <v>67.8</v>
      </c>
      <c r="BS103" s="32">
        <v>192.3</v>
      </c>
      <c r="BT103" s="32">
        <v>56.5</v>
      </c>
      <c r="BU103" s="32">
        <v>123.6</v>
      </c>
      <c r="BV103" s="32">
        <v>123.6</v>
      </c>
      <c r="BW103" s="32">
        <v>193.3</v>
      </c>
      <c r="BX103" s="32">
        <v>40</v>
      </c>
      <c r="BY103" s="32">
        <v>102.7</v>
      </c>
      <c r="BZ103" s="32">
        <v>101.8</v>
      </c>
      <c r="CA103" s="32">
        <v>103.2</v>
      </c>
      <c r="CB103" s="32">
        <v>120.2</v>
      </c>
      <c r="CC103" s="32">
        <v>95.7</v>
      </c>
      <c r="CD103" s="32">
        <v>27.4</v>
      </c>
      <c r="CE103" s="32">
        <v>94.1</v>
      </c>
      <c r="CF103" s="32">
        <v>74</v>
      </c>
      <c r="CG103" s="32">
        <v>92.3</v>
      </c>
      <c r="CH103" s="32">
        <v>91.7</v>
      </c>
      <c r="CI103" s="32">
        <v>109.8</v>
      </c>
      <c r="CJ103" s="32">
        <v>76.599999999999994</v>
      </c>
      <c r="CK103" s="32">
        <v>100.9</v>
      </c>
      <c r="CL103" s="32">
        <v>91.7</v>
      </c>
      <c r="CM103" s="32">
        <v>97.9</v>
      </c>
      <c r="CN103" s="32">
        <v>74.5</v>
      </c>
      <c r="CO103" s="32">
        <v>99.2</v>
      </c>
      <c r="CP103" s="32">
        <v>200.2</v>
      </c>
      <c r="CQ103" s="32">
        <v>53.4</v>
      </c>
      <c r="CR103" s="32">
        <v>92.4</v>
      </c>
      <c r="CS103" s="32">
        <v>133.69999999999999</v>
      </c>
      <c r="CT103" s="32">
        <v>95.1</v>
      </c>
      <c r="CU103" s="32">
        <v>71.599999999999994</v>
      </c>
      <c r="CV103" s="32">
        <v>105.4</v>
      </c>
      <c r="CW103" s="32">
        <v>26.8</v>
      </c>
      <c r="CX103" s="32">
        <v>85.6</v>
      </c>
      <c r="CY103" s="32">
        <v>102.2</v>
      </c>
      <c r="CZ103" s="32">
        <v>76.900000000000006</v>
      </c>
      <c r="DA103" s="32">
        <v>63.4</v>
      </c>
      <c r="DB103" s="32">
        <v>104.8</v>
      </c>
      <c r="DC103" s="32">
        <v>3.8</v>
      </c>
      <c r="DD103" s="32">
        <v>3.8</v>
      </c>
      <c r="DE103" s="32">
        <v>56.8</v>
      </c>
      <c r="DF103" s="32">
        <v>53.6</v>
      </c>
      <c r="DG103" s="32">
        <v>74.5</v>
      </c>
      <c r="DH103" s="32">
        <v>91.7</v>
      </c>
      <c r="DI103" s="32">
        <v>151.5</v>
      </c>
      <c r="DJ103" s="32">
        <v>78.099999999999994</v>
      </c>
      <c r="DK103" s="32">
        <v>78.099999999999994</v>
      </c>
      <c r="DL103" s="32">
        <v>42.5</v>
      </c>
      <c r="DM103" s="32">
        <v>69</v>
      </c>
      <c r="DN103" s="32">
        <v>46.6</v>
      </c>
      <c r="DO103" s="32">
        <v>79.2</v>
      </c>
      <c r="DP103" s="32">
        <v>44.5</v>
      </c>
      <c r="DQ103" s="32">
        <v>65</v>
      </c>
      <c r="DR103" s="32">
        <v>69.099999999999994</v>
      </c>
      <c r="DS103" s="32">
        <v>64.2</v>
      </c>
      <c r="DT103" s="32">
        <v>59.1</v>
      </c>
      <c r="DU103" s="32">
        <v>62.4</v>
      </c>
      <c r="DV103" s="32">
        <v>74.5</v>
      </c>
      <c r="DW103" s="32">
        <v>50.4</v>
      </c>
      <c r="DX103" s="32">
        <v>52.4</v>
      </c>
      <c r="DY103" s="32">
        <v>82</v>
      </c>
      <c r="DZ103" s="32">
        <v>117.8</v>
      </c>
      <c r="EA103" s="32">
        <v>117.8</v>
      </c>
      <c r="EB103" s="32">
        <v>68.5</v>
      </c>
      <c r="EC103" s="32">
        <v>72.2</v>
      </c>
      <c r="ED103" s="32">
        <v>63.7</v>
      </c>
      <c r="EE103" s="32">
        <v>71.099999999999994</v>
      </c>
      <c r="EF103" s="32">
        <v>47.5</v>
      </c>
      <c r="EG103" s="32">
        <v>58.9</v>
      </c>
      <c r="EH103" s="32">
        <v>84.5</v>
      </c>
      <c r="EI103" s="32">
        <v>54.2</v>
      </c>
      <c r="EJ103" s="32">
        <v>66.5</v>
      </c>
      <c r="EK103" s="32">
        <v>50</v>
      </c>
      <c r="EL103" s="32">
        <v>67.8</v>
      </c>
      <c r="EM103" s="32">
        <v>42</v>
      </c>
      <c r="EN103" s="32">
        <v>52.6</v>
      </c>
      <c r="EO103" s="32">
        <v>88.4</v>
      </c>
      <c r="EP103" s="32">
        <v>87</v>
      </c>
      <c r="EQ103" s="32">
        <v>87</v>
      </c>
      <c r="ER103" s="32">
        <v>88.9</v>
      </c>
      <c r="ES103" s="32">
        <v>88.9</v>
      </c>
      <c r="ET103" s="32">
        <v>91.2</v>
      </c>
      <c r="EU103" s="32">
        <v>100.4</v>
      </c>
      <c r="EV103" s="32">
        <v>100.4</v>
      </c>
      <c r="EW103" s="32">
        <v>82.7</v>
      </c>
      <c r="EX103" s="32">
        <v>90.8</v>
      </c>
      <c r="EY103" s="32">
        <v>76.3</v>
      </c>
      <c r="EZ103" s="32">
        <v>95.3</v>
      </c>
      <c r="FA103" s="32">
        <v>109.3</v>
      </c>
      <c r="FB103" s="32">
        <v>119.3</v>
      </c>
      <c r="FC103" s="32">
        <v>80.8</v>
      </c>
      <c r="FD103" s="32">
        <v>123.2</v>
      </c>
      <c r="FE103" s="32">
        <v>189.8</v>
      </c>
      <c r="FF103" s="32">
        <v>98.2</v>
      </c>
      <c r="FG103" s="32">
        <v>83.5</v>
      </c>
      <c r="FH103" s="32">
        <v>84.3</v>
      </c>
      <c r="FI103" s="32">
        <v>79.2</v>
      </c>
      <c r="FJ103" s="32">
        <v>83.7</v>
      </c>
      <c r="FK103" s="32">
        <v>119.7</v>
      </c>
      <c r="FL103" s="32">
        <v>119.7</v>
      </c>
    </row>
    <row r="104" spans="1:168" x14ac:dyDescent="0.2">
      <c r="A104" s="34" t="s">
        <v>1084</v>
      </c>
      <c r="B104" s="32">
        <v>78.5</v>
      </c>
      <c r="C104" s="32">
        <v>92.3</v>
      </c>
      <c r="D104" s="32">
        <v>100</v>
      </c>
      <c r="E104" s="32">
        <v>102.7</v>
      </c>
      <c r="F104" s="32">
        <v>310</v>
      </c>
      <c r="G104" s="32">
        <v>4410.5</v>
      </c>
      <c r="H104" s="32">
        <v>400.9</v>
      </c>
      <c r="I104" s="32">
        <v>62.7</v>
      </c>
      <c r="J104" s="32">
        <v>87.2</v>
      </c>
      <c r="K104" s="32">
        <v>95.4</v>
      </c>
      <c r="L104" s="32">
        <v>94.5</v>
      </c>
      <c r="M104" s="32">
        <v>76.5</v>
      </c>
      <c r="N104" s="32">
        <v>92.4</v>
      </c>
      <c r="O104" s="32">
        <v>280.8</v>
      </c>
      <c r="P104" s="32">
        <v>240.1</v>
      </c>
      <c r="Q104" s="32">
        <v>117.5</v>
      </c>
      <c r="R104" s="32">
        <v>89.8</v>
      </c>
      <c r="S104" s="32">
        <v>121.6</v>
      </c>
      <c r="T104" s="32">
        <v>87.8</v>
      </c>
      <c r="U104" s="32">
        <v>70.3</v>
      </c>
      <c r="V104" s="32">
        <v>111.1</v>
      </c>
      <c r="W104" s="32">
        <v>50</v>
      </c>
      <c r="X104" s="32">
        <v>39.700000000000003</v>
      </c>
      <c r="Y104" s="32">
        <v>62.3</v>
      </c>
      <c r="Z104" s="32">
        <v>82</v>
      </c>
      <c r="AA104" s="32">
        <v>101.4</v>
      </c>
      <c r="AB104" s="32">
        <v>93</v>
      </c>
      <c r="AC104" s="32">
        <v>91.3</v>
      </c>
      <c r="AD104" s="32">
        <v>121.2</v>
      </c>
      <c r="AE104" s="32">
        <v>114.8</v>
      </c>
      <c r="AF104" s="32">
        <v>114.8</v>
      </c>
      <c r="AG104" s="32">
        <v>75.400000000000006</v>
      </c>
      <c r="AH104" s="32">
        <v>75.400000000000006</v>
      </c>
      <c r="AI104" s="32">
        <v>168.2</v>
      </c>
      <c r="AJ104" s="32">
        <v>79.2</v>
      </c>
      <c r="AK104" s="32">
        <v>369.6</v>
      </c>
      <c r="AL104" s="32">
        <v>119.8</v>
      </c>
      <c r="AM104" s="32">
        <v>46.9</v>
      </c>
      <c r="AN104" s="32">
        <v>135.30000000000001</v>
      </c>
      <c r="AO104" s="32">
        <v>83.4</v>
      </c>
      <c r="AP104" s="32">
        <v>83.4</v>
      </c>
      <c r="AQ104" s="32">
        <v>118.4</v>
      </c>
      <c r="AR104" s="32">
        <v>116.8</v>
      </c>
      <c r="AS104" s="32">
        <v>123.4</v>
      </c>
      <c r="AT104" s="32">
        <v>112.6</v>
      </c>
      <c r="AU104" s="32">
        <v>132.6</v>
      </c>
      <c r="AV104" s="32">
        <v>102.3</v>
      </c>
      <c r="AW104" s="32">
        <v>170.6</v>
      </c>
      <c r="AX104" s="32">
        <v>136.6</v>
      </c>
      <c r="AY104" s="32">
        <v>308</v>
      </c>
      <c r="AZ104" s="32">
        <v>91.4</v>
      </c>
      <c r="BA104" s="32">
        <v>47.6</v>
      </c>
      <c r="BB104" s="32">
        <v>47.6</v>
      </c>
      <c r="BC104" s="32">
        <v>125.6</v>
      </c>
      <c r="BD104" s="32">
        <v>125.6</v>
      </c>
      <c r="BE104" s="32">
        <v>109.2</v>
      </c>
      <c r="BF104" s="32">
        <v>109.2</v>
      </c>
      <c r="BG104" s="32">
        <v>88.1</v>
      </c>
      <c r="BH104" s="32">
        <v>64.7</v>
      </c>
      <c r="BI104" s="32">
        <v>112.9</v>
      </c>
      <c r="BJ104" s="32">
        <v>34.9</v>
      </c>
      <c r="BK104" s="32">
        <v>158.9</v>
      </c>
      <c r="BL104" s="32">
        <v>54.1</v>
      </c>
      <c r="BM104" s="32">
        <v>86.7</v>
      </c>
      <c r="BN104" s="32">
        <v>95.4</v>
      </c>
      <c r="BO104" s="32">
        <v>87.2</v>
      </c>
      <c r="BP104" s="32">
        <v>102.5</v>
      </c>
      <c r="BQ104" s="32">
        <v>78</v>
      </c>
      <c r="BR104" s="32">
        <v>71.099999999999994</v>
      </c>
      <c r="BS104" s="32">
        <v>200.6</v>
      </c>
      <c r="BT104" s="32">
        <v>54.2</v>
      </c>
      <c r="BU104" s="32">
        <v>118.1</v>
      </c>
      <c r="BV104" s="32">
        <v>118.1</v>
      </c>
      <c r="BW104" s="32">
        <v>189</v>
      </c>
      <c r="BX104" s="32">
        <v>33.200000000000003</v>
      </c>
      <c r="BY104" s="32">
        <v>102.6</v>
      </c>
      <c r="BZ104" s="32">
        <v>104.3</v>
      </c>
      <c r="CA104" s="32">
        <v>102.1</v>
      </c>
      <c r="CB104" s="32">
        <v>114.6</v>
      </c>
      <c r="CC104" s="32">
        <v>98.2</v>
      </c>
      <c r="CD104" s="32">
        <v>28</v>
      </c>
      <c r="CE104" s="32">
        <v>94.4</v>
      </c>
      <c r="CF104" s="32">
        <v>73.8</v>
      </c>
      <c r="CG104" s="32">
        <v>91.1</v>
      </c>
      <c r="CH104" s="32">
        <v>89.9</v>
      </c>
      <c r="CI104" s="32">
        <v>109.7</v>
      </c>
      <c r="CJ104" s="32">
        <v>73.099999999999994</v>
      </c>
      <c r="CK104" s="32">
        <v>100.2</v>
      </c>
      <c r="CL104" s="32">
        <v>91</v>
      </c>
      <c r="CM104" s="32">
        <v>97.7</v>
      </c>
      <c r="CN104" s="32">
        <v>75.2</v>
      </c>
      <c r="CO104" s="32">
        <v>98.8</v>
      </c>
      <c r="CP104" s="32">
        <v>199.2</v>
      </c>
      <c r="CQ104" s="32">
        <v>53</v>
      </c>
      <c r="CR104" s="32">
        <v>90.6</v>
      </c>
      <c r="CS104" s="32">
        <v>132.80000000000001</v>
      </c>
      <c r="CT104" s="32">
        <v>96.2</v>
      </c>
      <c r="CU104" s="32">
        <v>74.099999999999994</v>
      </c>
      <c r="CV104" s="32">
        <v>105.9</v>
      </c>
      <c r="CW104" s="32">
        <v>27.4</v>
      </c>
      <c r="CX104" s="32">
        <v>85.2</v>
      </c>
      <c r="CY104" s="32">
        <v>100.5</v>
      </c>
      <c r="CZ104" s="32">
        <v>77.2</v>
      </c>
      <c r="DA104" s="32">
        <v>64.5</v>
      </c>
      <c r="DB104" s="32">
        <v>102.6</v>
      </c>
      <c r="DC104" s="32">
        <v>4</v>
      </c>
      <c r="DD104" s="32">
        <v>4</v>
      </c>
      <c r="DE104" s="32">
        <v>56.5</v>
      </c>
      <c r="DF104" s="32">
        <v>53.1</v>
      </c>
      <c r="DG104" s="32">
        <v>75.400000000000006</v>
      </c>
      <c r="DH104" s="32">
        <v>91.3</v>
      </c>
      <c r="DI104" s="32">
        <v>151.69999999999999</v>
      </c>
      <c r="DJ104" s="32">
        <v>79.8</v>
      </c>
      <c r="DK104" s="32">
        <v>79.8</v>
      </c>
      <c r="DL104" s="32">
        <v>38.299999999999997</v>
      </c>
      <c r="DM104" s="32">
        <v>68.900000000000006</v>
      </c>
      <c r="DN104" s="32">
        <v>47</v>
      </c>
      <c r="DO104" s="32">
        <v>78.8</v>
      </c>
      <c r="DP104" s="32">
        <v>44.3</v>
      </c>
      <c r="DQ104" s="32">
        <v>64.099999999999994</v>
      </c>
      <c r="DR104" s="32">
        <v>67.5</v>
      </c>
      <c r="DS104" s="32">
        <v>62.3</v>
      </c>
      <c r="DT104" s="32">
        <v>57.3</v>
      </c>
      <c r="DU104" s="32">
        <v>60</v>
      </c>
      <c r="DV104" s="32">
        <v>70.7</v>
      </c>
      <c r="DW104" s="32">
        <v>49.3</v>
      </c>
      <c r="DX104" s="32">
        <v>51.9</v>
      </c>
      <c r="DY104" s="32">
        <v>79.7</v>
      </c>
      <c r="DZ104" s="32">
        <v>115.7</v>
      </c>
      <c r="EA104" s="32">
        <v>115.7</v>
      </c>
      <c r="EB104" s="32">
        <v>68</v>
      </c>
      <c r="EC104" s="32">
        <v>70.2</v>
      </c>
      <c r="ED104" s="32">
        <v>65.3</v>
      </c>
      <c r="EE104" s="32">
        <v>73.2</v>
      </c>
      <c r="EF104" s="32">
        <v>48</v>
      </c>
      <c r="EG104" s="32">
        <v>59</v>
      </c>
      <c r="EH104" s="32">
        <v>83.1</v>
      </c>
      <c r="EI104" s="32">
        <v>55.8</v>
      </c>
      <c r="EJ104" s="32">
        <v>65.3</v>
      </c>
      <c r="EK104" s="32">
        <v>49.9</v>
      </c>
      <c r="EL104" s="32">
        <v>67.5</v>
      </c>
      <c r="EM104" s="32">
        <v>40.799999999999997</v>
      </c>
      <c r="EN104" s="32">
        <v>53.4</v>
      </c>
      <c r="EO104" s="32">
        <v>88.7</v>
      </c>
      <c r="EP104" s="32">
        <v>87.2</v>
      </c>
      <c r="EQ104" s="32">
        <v>87.2</v>
      </c>
      <c r="ER104" s="32">
        <v>88.9</v>
      </c>
      <c r="ES104" s="32">
        <v>88.9</v>
      </c>
      <c r="ET104" s="32">
        <v>91.9</v>
      </c>
      <c r="EU104" s="32">
        <v>101.3</v>
      </c>
      <c r="EV104" s="32">
        <v>101.3</v>
      </c>
      <c r="EW104" s="32">
        <v>83</v>
      </c>
      <c r="EX104" s="32">
        <v>91.2</v>
      </c>
      <c r="EY104" s="32">
        <v>76.599999999999994</v>
      </c>
      <c r="EZ104" s="32">
        <v>95.8</v>
      </c>
      <c r="FA104" s="32">
        <v>109.3</v>
      </c>
      <c r="FB104" s="32">
        <v>119.4</v>
      </c>
      <c r="FC104" s="32">
        <v>81.8</v>
      </c>
      <c r="FD104" s="32">
        <v>124.1</v>
      </c>
      <c r="FE104" s="32">
        <v>187.3</v>
      </c>
      <c r="FF104" s="32">
        <v>98.2</v>
      </c>
      <c r="FG104" s="32">
        <v>82.2</v>
      </c>
      <c r="FH104" s="32">
        <v>83.4</v>
      </c>
      <c r="FI104" s="32">
        <v>80.3</v>
      </c>
      <c r="FJ104" s="32">
        <v>81.900000000000006</v>
      </c>
      <c r="FK104" s="32">
        <v>153.9</v>
      </c>
      <c r="FL104" s="32">
        <v>153.9</v>
      </c>
    </row>
    <row r="105" spans="1:168" x14ac:dyDescent="0.2">
      <c r="A105" s="34" t="s">
        <v>1085</v>
      </c>
      <c r="B105" s="32">
        <v>79.5</v>
      </c>
      <c r="C105" s="32">
        <v>91.5</v>
      </c>
      <c r="D105" s="32">
        <v>101.9</v>
      </c>
      <c r="E105" s="32">
        <v>105.4</v>
      </c>
      <c r="F105" s="32">
        <v>311.60000000000002</v>
      </c>
      <c r="G105" s="32">
        <v>3858.4</v>
      </c>
      <c r="H105" s="32">
        <v>403</v>
      </c>
      <c r="I105" s="32">
        <v>63.3</v>
      </c>
      <c r="J105" s="32">
        <v>89.8</v>
      </c>
      <c r="K105" s="32">
        <v>94.8</v>
      </c>
      <c r="L105" s="32">
        <v>94.8</v>
      </c>
      <c r="M105" s="32">
        <v>75.900000000000006</v>
      </c>
      <c r="N105" s="32">
        <v>90.3</v>
      </c>
      <c r="O105" s="32">
        <v>277.5</v>
      </c>
      <c r="P105" s="32">
        <v>229</v>
      </c>
      <c r="Q105" s="32">
        <v>121.3</v>
      </c>
      <c r="R105" s="32">
        <v>90</v>
      </c>
      <c r="S105" s="32">
        <v>123.8</v>
      </c>
      <c r="T105" s="32">
        <v>90.6</v>
      </c>
      <c r="U105" s="32">
        <v>67.3</v>
      </c>
      <c r="V105" s="32">
        <v>107.5</v>
      </c>
      <c r="W105" s="32">
        <v>50.3</v>
      </c>
      <c r="X105" s="32">
        <v>40.5</v>
      </c>
      <c r="Y105" s="32">
        <v>60.8</v>
      </c>
      <c r="Z105" s="32">
        <v>88.7</v>
      </c>
      <c r="AA105" s="32">
        <v>105.6</v>
      </c>
      <c r="AB105" s="32">
        <v>93.8</v>
      </c>
      <c r="AC105" s="32">
        <v>95.7</v>
      </c>
      <c r="AD105" s="32">
        <v>127.4</v>
      </c>
      <c r="AE105" s="32">
        <v>108.8</v>
      </c>
      <c r="AF105" s="32">
        <v>108.8</v>
      </c>
      <c r="AG105" s="32">
        <v>84.5</v>
      </c>
      <c r="AH105" s="32">
        <v>84.5</v>
      </c>
      <c r="AI105" s="32">
        <v>152.19999999999999</v>
      </c>
      <c r="AJ105" s="32">
        <v>100.9</v>
      </c>
      <c r="AK105" s="32">
        <v>469.7</v>
      </c>
      <c r="AL105" s="32">
        <v>119.8</v>
      </c>
      <c r="AM105" s="32">
        <v>48.2</v>
      </c>
      <c r="AN105" s="32">
        <v>137.69999999999999</v>
      </c>
      <c r="AO105" s="32">
        <v>86.9</v>
      </c>
      <c r="AP105" s="32">
        <v>86.9</v>
      </c>
      <c r="AQ105" s="32">
        <v>119.2</v>
      </c>
      <c r="AR105" s="32">
        <v>117.9</v>
      </c>
      <c r="AS105" s="32">
        <v>123.7</v>
      </c>
      <c r="AT105" s="32">
        <v>112.8</v>
      </c>
      <c r="AU105" s="32">
        <v>133</v>
      </c>
      <c r="AV105" s="32">
        <v>105</v>
      </c>
      <c r="AW105" s="32">
        <v>173.6</v>
      </c>
      <c r="AX105" s="32">
        <v>149.5</v>
      </c>
      <c r="AY105" s="32">
        <v>304.3</v>
      </c>
      <c r="AZ105" s="32">
        <v>94.1</v>
      </c>
      <c r="BA105" s="32">
        <v>50.4</v>
      </c>
      <c r="BB105" s="32">
        <v>50.4</v>
      </c>
      <c r="BC105" s="32">
        <v>130.69999999999999</v>
      </c>
      <c r="BD105" s="32">
        <v>130.69999999999999</v>
      </c>
      <c r="BE105" s="32">
        <v>113.1</v>
      </c>
      <c r="BF105" s="32">
        <v>113.1</v>
      </c>
      <c r="BG105" s="32">
        <v>89.8</v>
      </c>
      <c r="BH105" s="32">
        <v>66.599999999999994</v>
      </c>
      <c r="BI105" s="32">
        <v>114.1</v>
      </c>
      <c r="BJ105" s="32">
        <v>34.9</v>
      </c>
      <c r="BK105" s="32">
        <v>160.4</v>
      </c>
      <c r="BL105" s="32">
        <v>56.7</v>
      </c>
      <c r="BM105" s="32">
        <v>90.4</v>
      </c>
      <c r="BN105" s="32">
        <v>99.4</v>
      </c>
      <c r="BO105" s="32">
        <v>87.9</v>
      </c>
      <c r="BP105" s="32">
        <v>109.9</v>
      </c>
      <c r="BQ105" s="32">
        <v>81.599999999999994</v>
      </c>
      <c r="BR105" s="32">
        <v>81</v>
      </c>
      <c r="BS105" s="32">
        <v>180</v>
      </c>
      <c r="BT105" s="32">
        <v>60.5</v>
      </c>
      <c r="BU105" s="32">
        <v>121.4</v>
      </c>
      <c r="BV105" s="32">
        <v>121.4</v>
      </c>
      <c r="BW105" s="32">
        <v>196.6</v>
      </c>
      <c r="BX105" s="32">
        <v>31.2</v>
      </c>
      <c r="BY105" s="32">
        <v>103.7</v>
      </c>
      <c r="BZ105" s="32">
        <v>100.1</v>
      </c>
      <c r="CA105" s="32">
        <v>105.5</v>
      </c>
      <c r="CB105" s="32">
        <v>118.1</v>
      </c>
      <c r="CC105" s="32">
        <v>101.7</v>
      </c>
      <c r="CD105" s="32">
        <v>29.1</v>
      </c>
      <c r="CE105" s="32">
        <v>94.7</v>
      </c>
      <c r="CF105" s="32">
        <v>74.7</v>
      </c>
      <c r="CG105" s="32">
        <v>92.9</v>
      </c>
      <c r="CH105" s="32">
        <v>93.2</v>
      </c>
      <c r="CI105" s="32">
        <v>111.9</v>
      </c>
      <c r="CJ105" s="32">
        <v>79.3</v>
      </c>
      <c r="CK105" s="32">
        <v>101</v>
      </c>
      <c r="CL105" s="32">
        <v>90.6</v>
      </c>
      <c r="CM105" s="32">
        <v>99.2</v>
      </c>
      <c r="CN105" s="32">
        <v>75.099999999999994</v>
      </c>
      <c r="CO105" s="32">
        <v>100.6</v>
      </c>
      <c r="CP105" s="32">
        <v>198.8</v>
      </c>
      <c r="CQ105" s="32">
        <v>54.8</v>
      </c>
      <c r="CR105" s="32">
        <v>89.3</v>
      </c>
      <c r="CS105" s="32">
        <v>126.3</v>
      </c>
      <c r="CT105" s="32">
        <v>95.1</v>
      </c>
      <c r="CU105" s="32">
        <v>72.7</v>
      </c>
      <c r="CV105" s="32">
        <v>105</v>
      </c>
      <c r="CW105" s="32">
        <v>27.7</v>
      </c>
      <c r="CX105" s="32">
        <v>84.4</v>
      </c>
      <c r="CY105" s="32">
        <v>103.7</v>
      </c>
      <c r="CZ105" s="32">
        <v>74.099999999999994</v>
      </c>
      <c r="DA105" s="32">
        <v>60.8</v>
      </c>
      <c r="DB105" s="32">
        <v>101.6</v>
      </c>
      <c r="DC105" s="32">
        <v>4.0999999999999996</v>
      </c>
      <c r="DD105" s="32">
        <v>4.0999999999999996</v>
      </c>
      <c r="DE105" s="32">
        <v>58.3</v>
      </c>
      <c r="DF105" s="32">
        <v>54.9</v>
      </c>
      <c r="DG105" s="32">
        <v>77.400000000000006</v>
      </c>
      <c r="DH105" s="32">
        <v>91.5</v>
      </c>
      <c r="DI105" s="32">
        <v>154.9</v>
      </c>
      <c r="DJ105" s="32">
        <v>79.900000000000006</v>
      </c>
      <c r="DK105" s="32">
        <v>79.900000000000006</v>
      </c>
      <c r="DL105" s="32">
        <v>34.700000000000003</v>
      </c>
      <c r="DM105" s="32">
        <v>69.400000000000006</v>
      </c>
      <c r="DN105" s="32">
        <v>47.6</v>
      </c>
      <c r="DO105" s="32">
        <v>79.3</v>
      </c>
      <c r="DP105" s="32">
        <v>44.2</v>
      </c>
      <c r="DQ105" s="32">
        <v>65.2</v>
      </c>
      <c r="DR105" s="32">
        <v>69.3</v>
      </c>
      <c r="DS105" s="32">
        <v>65.099999999999994</v>
      </c>
      <c r="DT105" s="32">
        <v>59.9</v>
      </c>
      <c r="DU105" s="32">
        <v>63.6</v>
      </c>
      <c r="DV105" s="32">
        <v>76.7</v>
      </c>
      <c r="DW105" s="32">
        <v>50.7</v>
      </c>
      <c r="DX105" s="32">
        <v>52.3</v>
      </c>
      <c r="DY105" s="32">
        <v>83.3</v>
      </c>
      <c r="DZ105" s="32">
        <v>120</v>
      </c>
      <c r="EA105" s="32">
        <v>120</v>
      </c>
      <c r="EB105" s="32">
        <v>65.900000000000006</v>
      </c>
      <c r="EC105" s="32">
        <v>67</v>
      </c>
      <c r="ED105" s="32">
        <v>64.7</v>
      </c>
      <c r="EE105" s="32">
        <v>72.2</v>
      </c>
      <c r="EF105" s="32">
        <v>48.4</v>
      </c>
      <c r="EG105" s="32">
        <v>59.1</v>
      </c>
      <c r="EH105" s="32">
        <v>86.1</v>
      </c>
      <c r="EI105" s="32">
        <v>55.9</v>
      </c>
      <c r="EJ105" s="32">
        <v>60.5</v>
      </c>
      <c r="EK105" s="32">
        <v>49.5</v>
      </c>
      <c r="EL105" s="32">
        <v>64.400000000000006</v>
      </c>
      <c r="EM105" s="32">
        <v>42</v>
      </c>
      <c r="EN105" s="32">
        <v>52.4</v>
      </c>
      <c r="EO105" s="32">
        <v>89.4</v>
      </c>
      <c r="EP105" s="32">
        <v>88.1</v>
      </c>
      <c r="EQ105" s="32">
        <v>88.1</v>
      </c>
      <c r="ER105" s="32">
        <v>88.9</v>
      </c>
      <c r="ES105" s="32">
        <v>88.9</v>
      </c>
      <c r="ET105" s="32">
        <v>92.9</v>
      </c>
      <c r="EU105" s="32">
        <v>102.7</v>
      </c>
      <c r="EV105" s="32">
        <v>102.7</v>
      </c>
      <c r="EW105" s="32">
        <v>83.5</v>
      </c>
      <c r="EX105" s="32">
        <v>91.7</v>
      </c>
      <c r="EY105" s="32">
        <v>77</v>
      </c>
      <c r="EZ105" s="32">
        <v>97.5</v>
      </c>
      <c r="FA105" s="32">
        <v>110.8</v>
      </c>
      <c r="FB105" s="32">
        <v>121.8</v>
      </c>
      <c r="FC105" s="32">
        <v>86.9</v>
      </c>
      <c r="FD105" s="32">
        <v>125.6</v>
      </c>
      <c r="FE105" s="32">
        <v>184.5</v>
      </c>
      <c r="FF105" s="32">
        <v>98.5</v>
      </c>
      <c r="FG105" s="32">
        <v>83.5</v>
      </c>
      <c r="FH105" s="32">
        <v>86.7</v>
      </c>
      <c r="FI105" s="32">
        <v>90</v>
      </c>
      <c r="FJ105" s="32">
        <v>81.3</v>
      </c>
      <c r="FK105" s="32">
        <v>165.1</v>
      </c>
      <c r="FL105" s="32">
        <v>165.1</v>
      </c>
    </row>
    <row r="106" spans="1:168" x14ac:dyDescent="0.2">
      <c r="A106" s="34" t="s">
        <v>1086</v>
      </c>
      <c r="B106" s="32">
        <v>79.2</v>
      </c>
      <c r="C106" s="32">
        <v>90.6</v>
      </c>
      <c r="D106" s="32">
        <v>101.2</v>
      </c>
      <c r="E106" s="32">
        <v>104.6</v>
      </c>
      <c r="F106" s="32">
        <v>308.60000000000002</v>
      </c>
      <c r="G106" s="32">
        <v>3503.5</v>
      </c>
      <c r="H106" s="32">
        <v>399.7</v>
      </c>
      <c r="I106" s="32">
        <v>62.5</v>
      </c>
      <c r="J106" s="32">
        <v>89.1</v>
      </c>
      <c r="K106" s="32">
        <v>94.8</v>
      </c>
      <c r="L106" s="32">
        <v>94.3</v>
      </c>
      <c r="M106" s="32">
        <v>72</v>
      </c>
      <c r="N106" s="32">
        <v>89.3</v>
      </c>
      <c r="O106" s="32">
        <v>274.89999999999998</v>
      </c>
      <c r="P106" s="32">
        <v>218.7</v>
      </c>
      <c r="Q106" s="32">
        <v>121.4</v>
      </c>
      <c r="R106" s="32">
        <v>90.3</v>
      </c>
      <c r="S106" s="32">
        <v>125</v>
      </c>
      <c r="T106" s="32">
        <v>88.3</v>
      </c>
      <c r="U106" s="32">
        <v>67.5</v>
      </c>
      <c r="V106" s="32">
        <v>109.7</v>
      </c>
      <c r="W106" s="32">
        <v>48.9</v>
      </c>
      <c r="X106" s="32">
        <v>39.200000000000003</v>
      </c>
      <c r="Y106" s="32">
        <v>59.9</v>
      </c>
      <c r="Z106" s="32">
        <v>81.900000000000006</v>
      </c>
      <c r="AA106" s="32">
        <v>104.3</v>
      </c>
      <c r="AB106" s="32">
        <v>97</v>
      </c>
      <c r="AC106" s="32">
        <v>93.3</v>
      </c>
      <c r="AD106" s="32">
        <v>124.7</v>
      </c>
      <c r="AE106" s="32">
        <v>104.5</v>
      </c>
      <c r="AF106" s="32">
        <v>104.5</v>
      </c>
      <c r="AG106" s="32">
        <v>82.2</v>
      </c>
      <c r="AH106" s="32">
        <v>82.2</v>
      </c>
      <c r="AI106" s="32">
        <v>156.1</v>
      </c>
      <c r="AJ106" s="32">
        <v>91.2</v>
      </c>
      <c r="AK106" s="32">
        <v>420.1</v>
      </c>
      <c r="AL106" s="32">
        <v>116</v>
      </c>
      <c r="AM106" s="32">
        <v>48.3</v>
      </c>
      <c r="AN106" s="32">
        <v>159.9</v>
      </c>
      <c r="AO106" s="32">
        <v>88.6</v>
      </c>
      <c r="AP106" s="32">
        <v>88.6</v>
      </c>
      <c r="AQ106" s="32">
        <v>116.2</v>
      </c>
      <c r="AR106" s="32">
        <v>113.6</v>
      </c>
      <c r="AS106" s="32">
        <v>122.6</v>
      </c>
      <c r="AT106" s="32">
        <v>112</v>
      </c>
      <c r="AU106" s="32">
        <v>131.5</v>
      </c>
      <c r="AV106" s="32">
        <v>109.6</v>
      </c>
      <c r="AW106" s="32">
        <v>172.2</v>
      </c>
      <c r="AX106" s="32">
        <v>143.80000000000001</v>
      </c>
      <c r="AY106" s="32">
        <v>306.10000000000002</v>
      </c>
      <c r="AZ106" s="32">
        <v>100.3</v>
      </c>
      <c r="BA106" s="32">
        <v>49</v>
      </c>
      <c r="BB106" s="32">
        <v>49</v>
      </c>
      <c r="BC106" s="32">
        <v>129.69999999999999</v>
      </c>
      <c r="BD106" s="32">
        <v>129.69999999999999</v>
      </c>
      <c r="BE106" s="32">
        <v>108.3</v>
      </c>
      <c r="BF106" s="32">
        <v>108.3</v>
      </c>
      <c r="BG106" s="32">
        <v>89.2</v>
      </c>
      <c r="BH106" s="32">
        <v>65.400000000000006</v>
      </c>
      <c r="BI106" s="32">
        <v>114.4</v>
      </c>
      <c r="BJ106" s="32">
        <v>34.700000000000003</v>
      </c>
      <c r="BK106" s="32">
        <v>161.6</v>
      </c>
      <c r="BL106" s="32">
        <v>54.8</v>
      </c>
      <c r="BM106" s="32">
        <v>88.7</v>
      </c>
      <c r="BN106" s="32">
        <v>97</v>
      </c>
      <c r="BO106" s="32">
        <v>90.4</v>
      </c>
      <c r="BP106" s="32">
        <v>102.3</v>
      </c>
      <c r="BQ106" s="32">
        <v>80.7</v>
      </c>
      <c r="BR106" s="32">
        <v>78.8</v>
      </c>
      <c r="BS106" s="32">
        <v>186</v>
      </c>
      <c r="BT106" s="32">
        <v>58.8</v>
      </c>
      <c r="BU106" s="32">
        <v>117.1</v>
      </c>
      <c r="BV106" s="32">
        <v>117.1</v>
      </c>
      <c r="BW106" s="32">
        <v>191.3</v>
      </c>
      <c r="BX106" s="32">
        <v>28</v>
      </c>
      <c r="BY106" s="32">
        <v>105.9</v>
      </c>
      <c r="BZ106" s="32">
        <v>101.9</v>
      </c>
      <c r="CA106" s="32">
        <v>107.9</v>
      </c>
      <c r="CB106" s="32">
        <v>118.4</v>
      </c>
      <c r="CC106" s="32">
        <v>106.1</v>
      </c>
      <c r="CD106" s="32">
        <v>30.4</v>
      </c>
      <c r="CE106" s="32">
        <v>94.4</v>
      </c>
      <c r="CF106" s="32">
        <v>74.400000000000006</v>
      </c>
      <c r="CG106" s="32">
        <v>92.1</v>
      </c>
      <c r="CH106" s="32">
        <v>92</v>
      </c>
      <c r="CI106" s="32">
        <v>109.5</v>
      </c>
      <c r="CJ106" s="32">
        <v>77.3</v>
      </c>
      <c r="CK106" s="32">
        <v>100.8</v>
      </c>
      <c r="CL106" s="32">
        <v>89.8</v>
      </c>
      <c r="CM106" s="32">
        <v>97.4</v>
      </c>
      <c r="CN106" s="32">
        <v>76.3</v>
      </c>
      <c r="CO106" s="32">
        <v>98.2</v>
      </c>
      <c r="CP106" s="32">
        <v>197.2</v>
      </c>
      <c r="CQ106" s="32">
        <v>55.3</v>
      </c>
      <c r="CR106" s="32">
        <v>88.7</v>
      </c>
      <c r="CS106" s="32">
        <v>126.1</v>
      </c>
      <c r="CT106" s="32">
        <v>96.2</v>
      </c>
      <c r="CU106" s="32">
        <v>73.400000000000006</v>
      </c>
      <c r="CV106" s="32">
        <v>106.3</v>
      </c>
      <c r="CW106" s="32">
        <v>27.3</v>
      </c>
      <c r="CX106" s="32">
        <v>82.3</v>
      </c>
      <c r="CY106" s="32">
        <v>100.3</v>
      </c>
      <c r="CZ106" s="32">
        <v>72.8</v>
      </c>
      <c r="DA106" s="32">
        <v>59</v>
      </c>
      <c r="DB106" s="32">
        <v>101.8</v>
      </c>
      <c r="DC106" s="32">
        <v>4</v>
      </c>
      <c r="DD106" s="32">
        <v>4</v>
      </c>
      <c r="DE106" s="32">
        <v>58.7</v>
      </c>
      <c r="DF106" s="32">
        <v>55.1</v>
      </c>
      <c r="DG106" s="32">
        <v>79.2</v>
      </c>
      <c r="DH106" s="32">
        <v>92.5</v>
      </c>
      <c r="DI106" s="32">
        <v>157.4</v>
      </c>
      <c r="DJ106" s="32">
        <v>81.3</v>
      </c>
      <c r="DK106" s="32">
        <v>81.3</v>
      </c>
      <c r="DL106" s="32">
        <v>33.200000000000003</v>
      </c>
      <c r="DM106" s="32">
        <v>69.5</v>
      </c>
      <c r="DN106" s="32">
        <v>48.3</v>
      </c>
      <c r="DO106" s="32">
        <v>79.2</v>
      </c>
      <c r="DP106" s="32">
        <v>44</v>
      </c>
      <c r="DQ106" s="32">
        <v>64.3</v>
      </c>
      <c r="DR106" s="32">
        <v>67.5</v>
      </c>
      <c r="DS106" s="32">
        <v>63.2</v>
      </c>
      <c r="DT106" s="32">
        <v>59.9</v>
      </c>
      <c r="DU106" s="32">
        <v>63.9</v>
      </c>
      <c r="DV106" s="32">
        <v>76.400000000000006</v>
      </c>
      <c r="DW106" s="32">
        <v>51.5</v>
      </c>
      <c r="DX106" s="32">
        <v>51.7</v>
      </c>
      <c r="DY106" s="32">
        <v>75.400000000000006</v>
      </c>
      <c r="DZ106" s="32">
        <v>114.7</v>
      </c>
      <c r="EA106" s="32">
        <v>114.7</v>
      </c>
      <c r="EB106" s="32">
        <v>65.3</v>
      </c>
      <c r="EC106" s="32">
        <v>65.900000000000006</v>
      </c>
      <c r="ED106" s="32">
        <v>64.900000000000006</v>
      </c>
      <c r="EE106" s="32">
        <v>72.3</v>
      </c>
      <c r="EF106" s="32">
        <v>48.8</v>
      </c>
      <c r="EG106" s="32">
        <v>59.3</v>
      </c>
      <c r="EH106" s="32">
        <v>84.8</v>
      </c>
      <c r="EI106" s="32">
        <v>57.3</v>
      </c>
      <c r="EJ106" s="32">
        <v>61.4</v>
      </c>
      <c r="EK106" s="32">
        <v>49.6</v>
      </c>
      <c r="EL106" s="32">
        <v>69.599999999999994</v>
      </c>
      <c r="EM106" s="32">
        <v>41.6</v>
      </c>
      <c r="EN106" s="32">
        <v>51.8</v>
      </c>
      <c r="EO106" s="32">
        <v>89.3</v>
      </c>
      <c r="EP106" s="32">
        <v>88.3</v>
      </c>
      <c r="EQ106" s="32">
        <v>88.3</v>
      </c>
      <c r="ER106" s="32">
        <v>87.3</v>
      </c>
      <c r="ES106" s="32">
        <v>87.3</v>
      </c>
      <c r="ET106" s="32">
        <v>93.7</v>
      </c>
      <c r="EU106" s="32">
        <v>103.8</v>
      </c>
      <c r="EV106" s="32">
        <v>103.8</v>
      </c>
      <c r="EW106" s="32">
        <v>83.7</v>
      </c>
      <c r="EX106" s="32">
        <v>92</v>
      </c>
      <c r="EY106" s="32">
        <v>77.099999999999994</v>
      </c>
      <c r="EZ106" s="32">
        <v>97.8</v>
      </c>
      <c r="FA106" s="32">
        <v>111.9</v>
      </c>
      <c r="FB106" s="32">
        <v>124</v>
      </c>
      <c r="FC106" s="32">
        <v>90.5</v>
      </c>
      <c r="FD106" s="32">
        <v>126.4</v>
      </c>
      <c r="FE106" s="32">
        <v>184.5</v>
      </c>
      <c r="FF106" s="32">
        <v>98.5</v>
      </c>
      <c r="FG106" s="32">
        <v>83</v>
      </c>
      <c r="FH106" s="32">
        <v>90.3</v>
      </c>
      <c r="FI106" s="32">
        <v>79.3</v>
      </c>
      <c r="FJ106" s="32">
        <v>80.400000000000006</v>
      </c>
      <c r="FK106" s="32">
        <v>168.5</v>
      </c>
      <c r="FL106" s="32">
        <v>168.5</v>
      </c>
    </row>
    <row r="107" spans="1:168" x14ac:dyDescent="0.2">
      <c r="A107" s="34" t="s">
        <v>1087</v>
      </c>
      <c r="B107" s="32">
        <v>79.7</v>
      </c>
      <c r="C107" s="32">
        <v>91</v>
      </c>
      <c r="D107" s="32">
        <v>101.7</v>
      </c>
      <c r="E107" s="32">
        <v>105.5</v>
      </c>
      <c r="F107" s="32">
        <v>299.5</v>
      </c>
      <c r="G107" s="32">
        <v>3359.7</v>
      </c>
      <c r="H107" s="32">
        <v>385.8</v>
      </c>
      <c r="I107" s="32">
        <v>63</v>
      </c>
      <c r="J107" s="32">
        <v>90.5</v>
      </c>
      <c r="K107" s="32">
        <v>96.1</v>
      </c>
      <c r="L107" s="32">
        <v>94.2</v>
      </c>
      <c r="M107" s="32">
        <v>70.900000000000006</v>
      </c>
      <c r="N107" s="32">
        <v>90</v>
      </c>
      <c r="O107" s="32">
        <v>264.60000000000002</v>
      </c>
      <c r="P107" s="32">
        <v>210.9</v>
      </c>
      <c r="Q107" s="32">
        <v>122.9</v>
      </c>
      <c r="R107" s="32">
        <v>86.6</v>
      </c>
      <c r="S107" s="32">
        <v>128.5</v>
      </c>
      <c r="T107" s="32">
        <v>85.3</v>
      </c>
      <c r="U107" s="32">
        <v>71.900000000000006</v>
      </c>
      <c r="V107" s="32">
        <v>116.1</v>
      </c>
      <c r="W107" s="32">
        <v>52.3</v>
      </c>
      <c r="X107" s="32">
        <v>41.8</v>
      </c>
      <c r="Y107" s="32">
        <v>65</v>
      </c>
      <c r="Z107" s="32">
        <v>80.599999999999994</v>
      </c>
      <c r="AA107" s="32">
        <v>106.6</v>
      </c>
      <c r="AB107" s="32">
        <v>96.5</v>
      </c>
      <c r="AC107" s="32">
        <v>93</v>
      </c>
      <c r="AD107" s="32">
        <v>130.30000000000001</v>
      </c>
      <c r="AE107" s="32">
        <v>103.2</v>
      </c>
      <c r="AF107" s="32">
        <v>103.2</v>
      </c>
      <c r="AG107" s="32">
        <v>81.3</v>
      </c>
      <c r="AH107" s="32">
        <v>81.3</v>
      </c>
      <c r="AI107" s="32">
        <v>156.9</v>
      </c>
      <c r="AJ107" s="32">
        <v>86.3</v>
      </c>
      <c r="AK107" s="32">
        <v>464.6</v>
      </c>
      <c r="AL107" s="32">
        <v>116.6</v>
      </c>
      <c r="AM107" s="32">
        <v>48.7</v>
      </c>
      <c r="AN107" s="32">
        <v>157.9</v>
      </c>
      <c r="AO107" s="32">
        <v>97.8</v>
      </c>
      <c r="AP107" s="32">
        <v>97.8</v>
      </c>
      <c r="AQ107" s="32">
        <v>118.4</v>
      </c>
      <c r="AR107" s="32">
        <v>117.1</v>
      </c>
      <c r="AS107" s="32">
        <v>123</v>
      </c>
      <c r="AT107" s="32">
        <v>111.2</v>
      </c>
      <c r="AU107" s="32">
        <v>133.30000000000001</v>
      </c>
      <c r="AV107" s="32">
        <v>106.6</v>
      </c>
      <c r="AW107" s="32">
        <v>170.3</v>
      </c>
      <c r="AX107" s="32">
        <v>149.19999999999999</v>
      </c>
      <c r="AY107" s="32">
        <v>296.89999999999998</v>
      </c>
      <c r="AZ107" s="32">
        <v>96.9</v>
      </c>
      <c r="BA107" s="32">
        <v>50.5</v>
      </c>
      <c r="BB107" s="32">
        <v>50.5</v>
      </c>
      <c r="BC107" s="32">
        <v>128</v>
      </c>
      <c r="BD107" s="32">
        <v>128</v>
      </c>
      <c r="BE107" s="32">
        <v>109.2</v>
      </c>
      <c r="BF107" s="32">
        <v>109.2</v>
      </c>
      <c r="BG107" s="32">
        <v>90.9</v>
      </c>
      <c r="BH107" s="32">
        <v>66.900000000000006</v>
      </c>
      <c r="BI107" s="32">
        <v>116.3</v>
      </c>
      <c r="BJ107" s="32">
        <v>34.5</v>
      </c>
      <c r="BK107" s="32">
        <v>165</v>
      </c>
      <c r="BL107" s="32">
        <v>54.3</v>
      </c>
      <c r="BM107" s="32">
        <v>89</v>
      </c>
      <c r="BN107" s="32">
        <v>100.4</v>
      </c>
      <c r="BO107" s="32">
        <v>90.8</v>
      </c>
      <c r="BP107" s="32">
        <v>108.8</v>
      </c>
      <c r="BQ107" s="32">
        <v>77.2</v>
      </c>
      <c r="BR107" s="32">
        <v>67.8</v>
      </c>
      <c r="BS107" s="32">
        <v>180.3</v>
      </c>
      <c r="BT107" s="32">
        <v>56.8</v>
      </c>
      <c r="BU107" s="32">
        <v>117.8</v>
      </c>
      <c r="BV107" s="32">
        <v>117.8</v>
      </c>
      <c r="BW107" s="32">
        <v>194.4</v>
      </c>
      <c r="BX107" s="32">
        <v>25.8</v>
      </c>
      <c r="BY107" s="32">
        <v>104.6</v>
      </c>
      <c r="BZ107" s="32">
        <v>104.1</v>
      </c>
      <c r="CA107" s="32">
        <v>105</v>
      </c>
      <c r="CB107" s="32">
        <v>116.5</v>
      </c>
      <c r="CC107" s="32">
        <v>102.3</v>
      </c>
      <c r="CD107" s="32">
        <v>29.1</v>
      </c>
      <c r="CE107" s="32">
        <v>94</v>
      </c>
      <c r="CF107" s="32">
        <v>74.900000000000006</v>
      </c>
      <c r="CG107" s="32">
        <v>92.6</v>
      </c>
      <c r="CH107" s="32">
        <v>92.9</v>
      </c>
      <c r="CI107" s="32">
        <v>109.6</v>
      </c>
      <c r="CJ107" s="32">
        <v>78.7</v>
      </c>
      <c r="CK107" s="32">
        <v>101.4</v>
      </c>
      <c r="CL107" s="32">
        <v>90.4</v>
      </c>
      <c r="CM107" s="32">
        <v>99.8</v>
      </c>
      <c r="CN107" s="32">
        <v>76.900000000000006</v>
      </c>
      <c r="CO107" s="32">
        <v>100.9</v>
      </c>
      <c r="CP107" s="32">
        <v>194.4</v>
      </c>
      <c r="CQ107" s="32">
        <v>56.9</v>
      </c>
      <c r="CR107" s="32">
        <v>87.5</v>
      </c>
      <c r="CS107" s="32">
        <v>126.4</v>
      </c>
      <c r="CT107" s="32">
        <v>94.8</v>
      </c>
      <c r="CU107" s="32">
        <v>73</v>
      </c>
      <c r="CV107" s="32">
        <v>104.3</v>
      </c>
      <c r="CW107" s="32">
        <v>28.1</v>
      </c>
      <c r="CX107" s="32">
        <v>83.5</v>
      </c>
      <c r="CY107" s="32">
        <v>103.3</v>
      </c>
      <c r="CZ107" s="32">
        <v>72.8</v>
      </c>
      <c r="DA107" s="32">
        <v>59.3</v>
      </c>
      <c r="DB107" s="32">
        <v>101.2</v>
      </c>
      <c r="DC107" s="32">
        <v>4.0999999999999996</v>
      </c>
      <c r="DD107" s="32">
        <v>4.0999999999999996</v>
      </c>
      <c r="DE107" s="32">
        <v>60.4</v>
      </c>
      <c r="DF107" s="32">
        <v>56.5</v>
      </c>
      <c r="DG107" s="32">
        <v>82.6</v>
      </c>
      <c r="DH107" s="32">
        <v>92.9</v>
      </c>
      <c r="DI107" s="32">
        <v>158.80000000000001</v>
      </c>
      <c r="DJ107" s="32">
        <v>82.4</v>
      </c>
      <c r="DK107" s="32">
        <v>82.4</v>
      </c>
      <c r="DL107" s="32">
        <v>31.1</v>
      </c>
      <c r="DM107" s="32">
        <v>69.400000000000006</v>
      </c>
      <c r="DN107" s="32">
        <v>48.2</v>
      </c>
      <c r="DO107" s="32">
        <v>79.2</v>
      </c>
      <c r="DP107" s="32">
        <v>43.2</v>
      </c>
      <c r="DQ107" s="32">
        <v>65.599999999999994</v>
      </c>
      <c r="DR107" s="32">
        <v>69.400000000000006</v>
      </c>
      <c r="DS107" s="32">
        <v>63.1</v>
      </c>
      <c r="DT107" s="32">
        <v>58.3</v>
      </c>
      <c r="DU107" s="32">
        <v>61.9</v>
      </c>
      <c r="DV107" s="32">
        <v>74.3</v>
      </c>
      <c r="DW107" s="32">
        <v>49.5</v>
      </c>
      <c r="DX107" s="32">
        <v>51</v>
      </c>
      <c r="DY107" s="32">
        <v>80.2</v>
      </c>
      <c r="DZ107" s="32">
        <v>128.9</v>
      </c>
      <c r="EA107" s="32">
        <v>128.9</v>
      </c>
      <c r="EB107" s="32">
        <v>69.8</v>
      </c>
      <c r="EC107" s="32">
        <v>72.5</v>
      </c>
      <c r="ED107" s="32">
        <v>66.3</v>
      </c>
      <c r="EE107" s="32">
        <v>74.2</v>
      </c>
      <c r="EF107" s="32">
        <v>49.1</v>
      </c>
      <c r="EG107" s="32">
        <v>59.7</v>
      </c>
      <c r="EH107" s="32">
        <v>91.7</v>
      </c>
      <c r="EI107" s="32">
        <v>54.4</v>
      </c>
      <c r="EJ107" s="32">
        <v>61.8</v>
      </c>
      <c r="EK107" s="32">
        <v>49.3</v>
      </c>
      <c r="EL107" s="32">
        <v>70.599999999999994</v>
      </c>
      <c r="EM107" s="32">
        <v>41.2</v>
      </c>
      <c r="EN107" s="32">
        <v>51.4</v>
      </c>
      <c r="EO107" s="32">
        <v>89.4</v>
      </c>
      <c r="EP107" s="32">
        <v>88.2</v>
      </c>
      <c r="EQ107" s="32">
        <v>88.2</v>
      </c>
      <c r="ER107" s="32">
        <v>87.4</v>
      </c>
      <c r="ES107" s="32">
        <v>87.4</v>
      </c>
      <c r="ET107" s="32">
        <v>94.1</v>
      </c>
      <c r="EU107" s="32">
        <v>104.4</v>
      </c>
      <c r="EV107" s="32">
        <v>104.4</v>
      </c>
      <c r="EW107" s="32">
        <v>83.6</v>
      </c>
      <c r="EX107" s="32">
        <v>92.1</v>
      </c>
      <c r="EY107" s="32">
        <v>76.900000000000006</v>
      </c>
      <c r="EZ107" s="32">
        <v>98</v>
      </c>
      <c r="FA107" s="32">
        <v>113.2</v>
      </c>
      <c r="FB107" s="32">
        <v>126.7</v>
      </c>
      <c r="FC107" s="32">
        <v>92.6</v>
      </c>
      <c r="FD107" s="32">
        <v>126.8</v>
      </c>
      <c r="FE107" s="32">
        <v>189.8</v>
      </c>
      <c r="FF107" s="32">
        <v>98.2</v>
      </c>
      <c r="FG107" s="32">
        <v>84.6</v>
      </c>
      <c r="FH107" s="32">
        <v>93.1</v>
      </c>
      <c r="FI107" s="32">
        <v>78.2</v>
      </c>
      <c r="FJ107" s="32">
        <v>81.8</v>
      </c>
      <c r="FK107" s="32">
        <v>132.9</v>
      </c>
      <c r="FL107" s="32">
        <v>132.9</v>
      </c>
    </row>
    <row r="108" spans="1:168" x14ac:dyDescent="0.2">
      <c r="A108" s="34" t="s">
        <v>1088</v>
      </c>
      <c r="B108" s="32">
        <v>80.099999999999994</v>
      </c>
      <c r="C108" s="32">
        <v>92.1</v>
      </c>
      <c r="D108" s="32">
        <v>100.7</v>
      </c>
      <c r="E108" s="32">
        <v>104.3</v>
      </c>
      <c r="F108" s="32">
        <v>287.60000000000002</v>
      </c>
      <c r="G108" s="32">
        <v>2788.6</v>
      </c>
      <c r="H108" s="32">
        <v>369</v>
      </c>
      <c r="I108" s="32">
        <v>62.5</v>
      </c>
      <c r="J108" s="32">
        <v>89.6</v>
      </c>
      <c r="K108" s="32">
        <v>94.7</v>
      </c>
      <c r="L108" s="32">
        <v>92.2</v>
      </c>
      <c r="M108" s="32">
        <v>70.7</v>
      </c>
      <c r="N108" s="32">
        <v>87.9</v>
      </c>
      <c r="O108" s="32">
        <v>267.89999999999998</v>
      </c>
      <c r="P108" s="32">
        <v>210.9</v>
      </c>
      <c r="Q108" s="32">
        <v>124.8</v>
      </c>
      <c r="R108" s="32">
        <v>89.4</v>
      </c>
      <c r="S108" s="32">
        <v>120.7</v>
      </c>
      <c r="T108" s="32">
        <v>85.7</v>
      </c>
      <c r="U108" s="32">
        <v>75.900000000000006</v>
      </c>
      <c r="V108" s="32">
        <v>115.3</v>
      </c>
      <c r="W108" s="32">
        <v>48.6</v>
      </c>
      <c r="X108" s="32">
        <v>39.799999999999997</v>
      </c>
      <c r="Y108" s="32">
        <v>58</v>
      </c>
      <c r="Z108" s="32">
        <v>79</v>
      </c>
      <c r="AA108" s="32">
        <v>104.8</v>
      </c>
      <c r="AB108" s="32">
        <v>97.6</v>
      </c>
      <c r="AC108" s="32">
        <v>92</v>
      </c>
      <c r="AD108" s="32">
        <v>126.4</v>
      </c>
      <c r="AE108" s="32">
        <v>106</v>
      </c>
      <c r="AF108" s="32">
        <v>106</v>
      </c>
      <c r="AG108" s="32">
        <v>84.3</v>
      </c>
      <c r="AH108" s="32">
        <v>84.3</v>
      </c>
      <c r="AI108" s="32">
        <v>163.30000000000001</v>
      </c>
      <c r="AJ108" s="32">
        <v>92</v>
      </c>
      <c r="AK108" s="32">
        <v>465.7</v>
      </c>
      <c r="AL108" s="32">
        <v>115.8</v>
      </c>
      <c r="AM108" s="32">
        <v>49.3</v>
      </c>
      <c r="AN108" s="32">
        <v>165.6</v>
      </c>
      <c r="AO108" s="32">
        <v>90.7</v>
      </c>
      <c r="AP108" s="32">
        <v>90.7</v>
      </c>
      <c r="AQ108" s="32">
        <v>117</v>
      </c>
      <c r="AR108" s="32">
        <v>114.7</v>
      </c>
      <c r="AS108" s="32">
        <v>123</v>
      </c>
      <c r="AT108" s="32">
        <v>112</v>
      </c>
      <c r="AU108" s="32">
        <v>132.30000000000001</v>
      </c>
      <c r="AV108" s="32">
        <v>107.5</v>
      </c>
      <c r="AW108" s="32">
        <v>165.6</v>
      </c>
      <c r="AX108" s="32">
        <v>144.4</v>
      </c>
      <c r="AY108" s="32">
        <v>289.2</v>
      </c>
      <c r="AZ108" s="32">
        <v>99.1</v>
      </c>
      <c r="BA108" s="32">
        <v>50.5</v>
      </c>
      <c r="BB108" s="32">
        <v>50.5</v>
      </c>
      <c r="BC108" s="32">
        <v>128.19999999999999</v>
      </c>
      <c r="BD108" s="32">
        <v>128.19999999999999</v>
      </c>
      <c r="BE108" s="32">
        <v>107.7</v>
      </c>
      <c r="BF108" s="32">
        <v>107.7</v>
      </c>
      <c r="BG108" s="32">
        <v>89.7</v>
      </c>
      <c r="BH108" s="32">
        <v>65</v>
      </c>
      <c r="BI108" s="32">
        <v>116.1</v>
      </c>
      <c r="BJ108" s="32">
        <v>34.1</v>
      </c>
      <c r="BK108" s="32">
        <v>164.6</v>
      </c>
      <c r="BL108" s="32">
        <v>55.5</v>
      </c>
      <c r="BM108" s="32">
        <v>91.1</v>
      </c>
      <c r="BN108" s="32">
        <v>101.7</v>
      </c>
      <c r="BO108" s="32">
        <v>91.7</v>
      </c>
      <c r="BP108" s="32">
        <v>110.8</v>
      </c>
      <c r="BQ108" s="32">
        <v>80.3</v>
      </c>
      <c r="BR108" s="32">
        <v>77</v>
      </c>
      <c r="BS108" s="32">
        <v>190.7</v>
      </c>
      <c r="BT108" s="32">
        <v>57.8</v>
      </c>
      <c r="BU108" s="32">
        <v>116.9</v>
      </c>
      <c r="BV108" s="32">
        <v>116.9</v>
      </c>
      <c r="BW108" s="32">
        <v>192.3</v>
      </c>
      <c r="BX108" s="32">
        <v>26.1</v>
      </c>
      <c r="BY108" s="32">
        <v>106.2</v>
      </c>
      <c r="BZ108" s="32">
        <v>103.8</v>
      </c>
      <c r="CA108" s="32">
        <v>107.5</v>
      </c>
      <c r="CB108" s="32">
        <v>118.1</v>
      </c>
      <c r="CC108" s="32">
        <v>105.6</v>
      </c>
      <c r="CD108" s="32">
        <v>29.3</v>
      </c>
      <c r="CE108" s="32">
        <v>93.3</v>
      </c>
      <c r="CF108" s="32">
        <v>75.599999999999994</v>
      </c>
      <c r="CG108" s="32">
        <v>93</v>
      </c>
      <c r="CH108" s="32">
        <v>93.3</v>
      </c>
      <c r="CI108" s="32">
        <v>111.5</v>
      </c>
      <c r="CJ108" s="32">
        <v>79.5</v>
      </c>
      <c r="CK108" s="32">
        <v>101.1</v>
      </c>
      <c r="CL108" s="32">
        <v>90.5</v>
      </c>
      <c r="CM108" s="32">
        <v>99.3</v>
      </c>
      <c r="CN108" s="32">
        <v>74.599999999999994</v>
      </c>
      <c r="CO108" s="32">
        <v>100.7</v>
      </c>
      <c r="CP108" s="32">
        <v>192.7</v>
      </c>
      <c r="CQ108" s="32">
        <v>59.2</v>
      </c>
      <c r="CR108" s="32">
        <v>89</v>
      </c>
      <c r="CS108" s="32">
        <v>122.7</v>
      </c>
      <c r="CT108" s="32">
        <v>95.5</v>
      </c>
      <c r="CU108" s="32">
        <v>72.900000000000006</v>
      </c>
      <c r="CV108" s="32">
        <v>105.5</v>
      </c>
      <c r="CW108" s="32">
        <v>28.7</v>
      </c>
      <c r="CX108" s="32">
        <v>87.2</v>
      </c>
      <c r="CY108" s="32">
        <v>109.3</v>
      </c>
      <c r="CZ108" s="32">
        <v>75.3</v>
      </c>
      <c r="DA108" s="32">
        <v>62.3</v>
      </c>
      <c r="DB108" s="32">
        <v>101.9</v>
      </c>
      <c r="DC108" s="32">
        <v>4.2</v>
      </c>
      <c r="DD108" s="32">
        <v>4.2</v>
      </c>
      <c r="DE108" s="32">
        <v>61</v>
      </c>
      <c r="DF108" s="32">
        <v>57.5</v>
      </c>
      <c r="DG108" s="32">
        <v>80.7</v>
      </c>
      <c r="DH108" s="32">
        <v>95.8</v>
      </c>
      <c r="DI108" s="32">
        <v>161.80000000000001</v>
      </c>
      <c r="DJ108" s="32">
        <v>85.1</v>
      </c>
      <c r="DK108" s="32">
        <v>85.1</v>
      </c>
      <c r="DL108" s="32">
        <v>34.4</v>
      </c>
      <c r="DM108" s="32">
        <v>70.400000000000006</v>
      </c>
      <c r="DN108" s="32">
        <v>48.8</v>
      </c>
      <c r="DO108" s="32">
        <v>80.400000000000006</v>
      </c>
      <c r="DP108" s="32">
        <v>43.4</v>
      </c>
      <c r="DQ108" s="32">
        <v>65.400000000000006</v>
      </c>
      <c r="DR108" s="32">
        <v>68.2</v>
      </c>
      <c r="DS108" s="32">
        <v>63</v>
      </c>
      <c r="DT108" s="32">
        <v>59</v>
      </c>
      <c r="DU108" s="32">
        <v>62.6</v>
      </c>
      <c r="DV108" s="32">
        <v>74.7</v>
      </c>
      <c r="DW108" s="32">
        <v>50.6</v>
      </c>
      <c r="DX108" s="32">
        <v>51.4</v>
      </c>
      <c r="DY108" s="32">
        <v>77.3</v>
      </c>
      <c r="DZ108" s="32">
        <v>115.2</v>
      </c>
      <c r="EA108" s="32">
        <v>115.2</v>
      </c>
      <c r="EB108" s="32">
        <v>69.2</v>
      </c>
      <c r="EC108" s="32">
        <v>71.900000000000006</v>
      </c>
      <c r="ED108" s="32">
        <v>65.599999999999994</v>
      </c>
      <c r="EE108" s="32">
        <v>73</v>
      </c>
      <c r="EF108" s="32">
        <v>49.5</v>
      </c>
      <c r="EG108" s="32">
        <v>61</v>
      </c>
      <c r="EH108" s="32">
        <v>90.9</v>
      </c>
      <c r="EI108" s="32">
        <v>58.2</v>
      </c>
      <c r="EJ108" s="32">
        <v>63.9</v>
      </c>
      <c r="EK108" s="32">
        <v>49.7</v>
      </c>
      <c r="EL108" s="32">
        <v>71.3</v>
      </c>
      <c r="EM108" s="32">
        <v>42.2</v>
      </c>
      <c r="EN108" s="32">
        <v>51.3</v>
      </c>
      <c r="EO108" s="32">
        <v>89.6</v>
      </c>
      <c r="EP108" s="32">
        <v>88.9</v>
      </c>
      <c r="EQ108" s="32">
        <v>88.9</v>
      </c>
      <c r="ER108" s="32">
        <v>87.5</v>
      </c>
      <c r="ES108" s="32">
        <v>87.5</v>
      </c>
      <c r="ET108" s="32">
        <v>94</v>
      </c>
      <c r="EU108" s="32">
        <v>104.3</v>
      </c>
      <c r="EV108" s="32">
        <v>104.3</v>
      </c>
      <c r="EW108" s="32">
        <v>83.4</v>
      </c>
      <c r="EX108" s="32">
        <v>92</v>
      </c>
      <c r="EY108" s="32">
        <v>76.5</v>
      </c>
      <c r="EZ108" s="32">
        <v>99.4</v>
      </c>
      <c r="FA108" s="32">
        <v>115.5</v>
      </c>
      <c r="FB108" s="32">
        <v>130.4</v>
      </c>
      <c r="FC108" s="32">
        <v>95.6</v>
      </c>
      <c r="FD108" s="32">
        <v>126.6</v>
      </c>
      <c r="FE108" s="32">
        <v>197.5</v>
      </c>
      <c r="FF108" s="32">
        <v>98.8</v>
      </c>
      <c r="FG108" s="32">
        <v>86.4</v>
      </c>
      <c r="FH108" s="32">
        <v>94.6</v>
      </c>
      <c r="FI108" s="32">
        <v>85.7</v>
      </c>
      <c r="FJ108" s="32">
        <v>82.9</v>
      </c>
      <c r="FK108" s="32">
        <v>121.2</v>
      </c>
      <c r="FL108" s="32">
        <v>121.2</v>
      </c>
    </row>
    <row r="109" spans="1:168" x14ac:dyDescent="0.2">
      <c r="A109" s="34" t="s">
        <v>1089</v>
      </c>
      <c r="B109" s="32">
        <v>80.099999999999994</v>
      </c>
      <c r="C109" s="32">
        <v>93.3</v>
      </c>
      <c r="D109" s="32">
        <v>100</v>
      </c>
      <c r="E109" s="32">
        <v>103.4</v>
      </c>
      <c r="F109" s="32">
        <v>267.89999999999998</v>
      </c>
      <c r="G109" s="32">
        <v>3482.9</v>
      </c>
      <c r="H109" s="32">
        <v>338.2</v>
      </c>
      <c r="I109" s="32">
        <v>63.9</v>
      </c>
      <c r="J109" s="32">
        <v>89.4</v>
      </c>
      <c r="K109" s="32">
        <v>93</v>
      </c>
      <c r="L109" s="32">
        <v>90.8</v>
      </c>
      <c r="M109" s="32">
        <v>69.599999999999994</v>
      </c>
      <c r="N109" s="32">
        <v>85.6</v>
      </c>
      <c r="O109" s="32">
        <v>258.39999999999998</v>
      </c>
      <c r="P109" s="32">
        <v>204.9</v>
      </c>
      <c r="Q109" s="32">
        <v>127.8</v>
      </c>
      <c r="R109" s="32">
        <v>88.8</v>
      </c>
      <c r="S109" s="32">
        <v>118.3</v>
      </c>
      <c r="T109" s="32">
        <v>86.9</v>
      </c>
      <c r="U109" s="32">
        <v>66.5</v>
      </c>
      <c r="V109" s="32">
        <v>115.3</v>
      </c>
      <c r="W109" s="32">
        <v>47.7</v>
      </c>
      <c r="X109" s="32">
        <v>40</v>
      </c>
      <c r="Y109" s="32">
        <v>55.2</v>
      </c>
      <c r="Z109" s="32">
        <v>78.099999999999994</v>
      </c>
      <c r="AA109" s="32">
        <v>100.2</v>
      </c>
      <c r="AB109" s="32">
        <v>103.5</v>
      </c>
      <c r="AC109" s="32">
        <v>90.7</v>
      </c>
      <c r="AD109" s="32">
        <v>114.2</v>
      </c>
      <c r="AE109" s="32">
        <v>103.8</v>
      </c>
      <c r="AF109" s="32">
        <v>103.8</v>
      </c>
      <c r="AG109" s="32">
        <v>77.8</v>
      </c>
      <c r="AH109" s="32">
        <v>77.8</v>
      </c>
      <c r="AI109" s="32">
        <v>171.1</v>
      </c>
      <c r="AJ109" s="32">
        <v>72.3</v>
      </c>
      <c r="AK109" s="32">
        <v>477.3</v>
      </c>
      <c r="AL109" s="32">
        <v>114.4</v>
      </c>
      <c r="AM109" s="32">
        <v>49.1</v>
      </c>
      <c r="AN109" s="32">
        <v>163.6</v>
      </c>
      <c r="AO109" s="32">
        <v>93.9</v>
      </c>
      <c r="AP109" s="32">
        <v>93.9</v>
      </c>
      <c r="AQ109" s="32">
        <v>116.4</v>
      </c>
      <c r="AR109" s="32">
        <v>113.8</v>
      </c>
      <c r="AS109" s="32">
        <v>123</v>
      </c>
      <c r="AT109" s="32">
        <v>112.9</v>
      </c>
      <c r="AU109" s="32">
        <v>131.30000000000001</v>
      </c>
      <c r="AV109" s="32">
        <v>106.5</v>
      </c>
      <c r="AW109" s="32">
        <v>169.2</v>
      </c>
      <c r="AX109" s="32">
        <v>158.69999999999999</v>
      </c>
      <c r="AY109" s="32">
        <v>285.5</v>
      </c>
      <c r="AZ109" s="32">
        <v>97</v>
      </c>
      <c r="BA109" s="32">
        <v>54.9</v>
      </c>
      <c r="BB109" s="32">
        <v>54.9</v>
      </c>
      <c r="BC109" s="32">
        <v>130.1</v>
      </c>
      <c r="BD109" s="32">
        <v>130.1</v>
      </c>
      <c r="BE109" s="32">
        <v>107.8</v>
      </c>
      <c r="BF109" s="32">
        <v>107.8</v>
      </c>
      <c r="BG109" s="32">
        <v>90.6</v>
      </c>
      <c r="BH109" s="32">
        <v>66.7</v>
      </c>
      <c r="BI109" s="32">
        <v>115.9</v>
      </c>
      <c r="BJ109" s="32">
        <v>33.700000000000003</v>
      </c>
      <c r="BK109" s="32">
        <v>165.3</v>
      </c>
      <c r="BL109" s="32">
        <v>52.5</v>
      </c>
      <c r="BM109" s="32">
        <v>91.5</v>
      </c>
      <c r="BN109" s="32">
        <v>102.4</v>
      </c>
      <c r="BO109" s="32">
        <v>92.3</v>
      </c>
      <c r="BP109" s="32">
        <v>111.5</v>
      </c>
      <c r="BQ109" s="32">
        <v>80.2</v>
      </c>
      <c r="BR109" s="32">
        <v>74.3</v>
      </c>
      <c r="BS109" s="32">
        <v>190.8</v>
      </c>
      <c r="BT109" s="32">
        <v>58</v>
      </c>
      <c r="BU109" s="32">
        <v>115.3</v>
      </c>
      <c r="BV109" s="32">
        <v>115.3</v>
      </c>
      <c r="BW109" s="32">
        <v>188.7</v>
      </c>
      <c r="BX109" s="32">
        <v>27</v>
      </c>
      <c r="BY109" s="32">
        <v>106.5</v>
      </c>
      <c r="BZ109" s="32">
        <v>103.3</v>
      </c>
      <c r="CA109" s="32">
        <v>108.2</v>
      </c>
      <c r="CB109" s="32">
        <v>120.2</v>
      </c>
      <c r="CC109" s="32">
        <v>105.3</v>
      </c>
      <c r="CD109" s="32">
        <v>29</v>
      </c>
      <c r="CE109" s="32">
        <v>92.9</v>
      </c>
      <c r="CF109" s="32">
        <v>75.7</v>
      </c>
      <c r="CG109" s="32">
        <v>93.4</v>
      </c>
      <c r="CH109" s="32">
        <v>94.3</v>
      </c>
      <c r="CI109" s="32">
        <v>111.4</v>
      </c>
      <c r="CJ109" s="32">
        <v>82.6</v>
      </c>
      <c r="CK109" s="32">
        <v>100.5</v>
      </c>
      <c r="CL109" s="32">
        <v>90.3</v>
      </c>
      <c r="CM109" s="32">
        <v>99.7</v>
      </c>
      <c r="CN109" s="32">
        <v>75.099999999999994</v>
      </c>
      <c r="CO109" s="32">
        <v>101.2</v>
      </c>
      <c r="CP109" s="32">
        <v>190.1</v>
      </c>
      <c r="CQ109" s="32">
        <v>58.9</v>
      </c>
      <c r="CR109" s="32">
        <v>88.4</v>
      </c>
      <c r="CS109" s="32">
        <v>122.7</v>
      </c>
      <c r="CT109" s="32">
        <v>94.5</v>
      </c>
      <c r="CU109" s="32">
        <v>73.8</v>
      </c>
      <c r="CV109" s="32">
        <v>103.5</v>
      </c>
      <c r="CW109" s="32">
        <v>28.5</v>
      </c>
      <c r="CX109" s="32">
        <v>87.5</v>
      </c>
      <c r="CY109" s="32">
        <v>101.5</v>
      </c>
      <c r="CZ109" s="32">
        <v>80.3</v>
      </c>
      <c r="DA109" s="32">
        <v>68.8</v>
      </c>
      <c r="DB109" s="32">
        <v>102</v>
      </c>
      <c r="DC109" s="32">
        <v>4.2</v>
      </c>
      <c r="DD109" s="32">
        <v>4.2</v>
      </c>
      <c r="DE109" s="32">
        <v>60.2</v>
      </c>
      <c r="DF109" s="32">
        <v>56.5</v>
      </c>
      <c r="DG109" s="32">
        <v>80.900000000000006</v>
      </c>
      <c r="DH109" s="32">
        <v>94</v>
      </c>
      <c r="DI109" s="32">
        <v>162.80000000000001</v>
      </c>
      <c r="DJ109" s="32">
        <v>84.7</v>
      </c>
      <c r="DK109" s="32">
        <v>84.7</v>
      </c>
      <c r="DL109" s="32">
        <v>26.9</v>
      </c>
      <c r="DM109" s="32">
        <v>70.900000000000006</v>
      </c>
      <c r="DN109" s="32">
        <v>49.2</v>
      </c>
      <c r="DO109" s="32">
        <v>80.900000000000006</v>
      </c>
      <c r="DP109" s="32">
        <v>43</v>
      </c>
      <c r="DQ109" s="32">
        <v>66.3</v>
      </c>
      <c r="DR109" s="32">
        <v>69.900000000000006</v>
      </c>
      <c r="DS109" s="32">
        <v>64.599999999999994</v>
      </c>
      <c r="DT109" s="32">
        <v>61</v>
      </c>
      <c r="DU109" s="32">
        <v>65.5</v>
      </c>
      <c r="DV109" s="32">
        <v>78.7</v>
      </c>
      <c r="DW109" s="32">
        <v>52.5</v>
      </c>
      <c r="DX109" s="32">
        <v>51.7</v>
      </c>
      <c r="DY109" s="32">
        <v>77.7</v>
      </c>
      <c r="DZ109" s="32">
        <v>118.3</v>
      </c>
      <c r="EA109" s="32">
        <v>118.3</v>
      </c>
      <c r="EB109" s="32">
        <v>70.7</v>
      </c>
      <c r="EC109" s="32">
        <v>75.099999999999994</v>
      </c>
      <c r="ED109" s="32">
        <v>64.900000000000006</v>
      </c>
      <c r="EE109" s="32">
        <v>71.8</v>
      </c>
      <c r="EF109" s="32">
        <v>50</v>
      </c>
      <c r="EG109" s="32">
        <v>60.7</v>
      </c>
      <c r="EH109" s="32">
        <v>90.6</v>
      </c>
      <c r="EI109" s="32">
        <v>57.3</v>
      </c>
      <c r="EJ109" s="32">
        <v>62.7</v>
      </c>
      <c r="EK109" s="32">
        <v>49.8</v>
      </c>
      <c r="EL109" s="32">
        <v>73.7</v>
      </c>
      <c r="EM109" s="32">
        <v>41.5</v>
      </c>
      <c r="EN109" s="32">
        <v>51.7</v>
      </c>
      <c r="EO109" s="32">
        <v>89.7</v>
      </c>
      <c r="EP109" s="32">
        <v>89.1</v>
      </c>
      <c r="EQ109" s="32">
        <v>89.1</v>
      </c>
      <c r="ER109" s="32">
        <v>87.7</v>
      </c>
      <c r="ES109" s="32">
        <v>87.7</v>
      </c>
      <c r="ET109" s="32">
        <v>93.8</v>
      </c>
      <c r="EU109" s="32">
        <v>104.2</v>
      </c>
      <c r="EV109" s="32">
        <v>104.2</v>
      </c>
      <c r="EW109" s="32">
        <v>83.3</v>
      </c>
      <c r="EX109" s="32">
        <v>92</v>
      </c>
      <c r="EY109" s="32">
        <v>76.3</v>
      </c>
      <c r="EZ109" s="32">
        <v>99</v>
      </c>
      <c r="FA109" s="32">
        <v>116.8</v>
      </c>
      <c r="FB109" s="32">
        <v>132.5</v>
      </c>
      <c r="FC109" s="32">
        <v>96.3</v>
      </c>
      <c r="FD109" s="32">
        <v>127.3</v>
      </c>
      <c r="FE109" s="32">
        <v>203.5</v>
      </c>
      <c r="FF109" s="32">
        <v>99.2</v>
      </c>
      <c r="FG109" s="32">
        <v>86.3</v>
      </c>
      <c r="FH109" s="32">
        <v>92.9</v>
      </c>
      <c r="FI109" s="32">
        <v>82.1</v>
      </c>
      <c r="FJ109" s="32">
        <v>84</v>
      </c>
      <c r="FK109" s="32">
        <v>96.7</v>
      </c>
      <c r="FL109" s="32">
        <v>96.7</v>
      </c>
    </row>
    <row r="110" spans="1:168" x14ac:dyDescent="0.2">
      <c r="A110" s="34" t="s">
        <v>1090</v>
      </c>
      <c r="B110" s="32">
        <v>80.400000000000006</v>
      </c>
      <c r="C110" s="32">
        <v>93.5</v>
      </c>
      <c r="D110" s="32">
        <v>100.8</v>
      </c>
      <c r="E110" s="32">
        <v>104.7</v>
      </c>
      <c r="F110" s="32">
        <v>282.60000000000002</v>
      </c>
      <c r="G110" s="32">
        <v>4182.2</v>
      </c>
      <c r="H110" s="32">
        <v>358.4</v>
      </c>
      <c r="I110" s="32">
        <v>65.7</v>
      </c>
      <c r="J110" s="32">
        <v>90.7</v>
      </c>
      <c r="K110" s="32">
        <v>95.8</v>
      </c>
      <c r="L110" s="32">
        <v>93.3</v>
      </c>
      <c r="M110" s="32">
        <v>69.5</v>
      </c>
      <c r="N110" s="32">
        <v>86.4</v>
      </c>
      <c r="O110" s="32">
        <v>249</v>
      </c>
      <c r="P110" s="32">
        <v>216.3</v>
      </c>
      <c r="Q110" s="32">
        <v>127.9</v>
      </c>
      <c r="R110" s="32">
        <v>93.4</v>
      </c>
      <c r="S110" s="32">
        <v>121.6</v>
      </c>
      <c r="T110" s="32">
        <v>88.8</v>
      </c>
      <c r="U110" s="32">
        <v>78.900000000000006</v>
      </c>
      <c r="V110" s="32">
        <v>115.5</v>
      </c>
      <c r="W110" s="32">
        <v>48.9</v>
      </c>
      <c r="X110" s="32">
        <v>39.9</v>
      </c>
      <c r="Y110" s="32">
        <v>58.7</v>
      </c>
      <c r="Z110" s="32">
        <v>81.5</v>
      </c>
      <c r="AA110" s="32">
        <v>103.5</v>
      </c>
      <c r="AB110" s="32">
        <v>108.5</v>
      </c>
      <c r="AC110" s="32">
        <v>89.8</v>
      </c>
      <c r="AD110" s="32">
        <v>119.6</v>
      </c>
      <c r="AE110" s="32">
        <v>108</v>
      </c>
      <c r="AF110" s="32">
        <v>108</v>
      </c>
      <c r="AG110" s="32">
        <v>79.900000000000006</v>
      </c>
      <c r="AH110" s="32">
        <v>79.900000000000006</v>
      </c>
      <c r="AI110" s="32">
        <v>164.6</v>
      </c>
      <c r="AJ110" s="32">
        <v>73.3</v>
      </c>
      <c r="AK110" s="32">
        <v>505.7</v>
      </c>
      <c r="AL110" s="32">
        <v>112.9</v>
      </c>
      <c r="AM110" s="32">
        <v>50.8</v>
      </c>
      <c r="AN110" s="32">
        <v>177.4</v>
      </c>
      <c r="AO110" s="32">
        <v>90.1</v>
      </c>
      <c r="AP110" s="32">
        <v>90.1</v>
      </c>
      <c r="AQ110" s="32">
        <v>114.1</v>
      </c>
      <c r="AR110" s="32">
        <v>111.8</v>
      </c>
      <c r="AS110" s="32">
        <v>120.1</v>
      </c>
      <c r="AT110" s="32">
        <v>109.1</v>
      </c>
      <c r="AU110" s="32">
        <v>129.6</v>
      </c>
      <c r="AV110" s="32">
        <v>111.2</v>
      </c>
      <c r="AW110" s="32">
        <v>165.1</v>
      </c>
      <c r="AX110" s="32">
        <v>151.19999999999999</v>
      </c>
      <c r="AY110" s="32">
        <v>281.39999999999998</v>
      </c>
      <c r="AZ110" s="32">
        <v>103.8</v>
      </c>
      <c r="BA110" s="32">
        <v>55.7</v>
      </c>
      <c r="BB110" s="32">
        <v>55.7</v>
      </c>
      <c r="BC110" s="32">
        <v>129.6</v>
      </c>
      <c r="BD110" s="32">
        <v>129.6</v>
      </c>
      <c r="BE110" s="32">
        <v>106.9</v>
      </c>
      <c r="BF110" s="32">
        <v>106.9</v>
      </c>
      <c r="BG110" s="32">
        <v>92</v>
      </c>
      <c r="BH110" s="32">
        <v>68.7</v>
      </c>
      <c r="BI110" s="32">
        <v>116.4</v>
      </c>
      <c r="BJ110" s="32">
        <v>33.200000000000003</v>
      </c>
      <c r="BK110" s="32">
        <v>165.1</v>
      </c>
      <c r="BL110" s="32">
        <v>57.7</v>
      </c>
      <c r="BM110" s="32">
        <v>93.6</v>
      </c>
      <c r="BN110" s="32">
        <v>106.1</v>
      </c>
      <c r="BO110" s="32">
        <v>96.2</v>
      </c>
      <c r="BP110" s="32">
        <v>115</v>
      </c>
      <c r="BQ110" s="32">
        <v>80.5</v>
      </c>
      <c r="BR110" s="32">
        <v>69.900000000000006</v>
      </c>
      <c r="BS110" s="32">
        <v>201</v>
      </c>
      <c r="BT110" s="32">
        <v>57.2</v>
      </c>
      <c r="BU110" s="32">
        <v>116.8</v>
      </c>
      <c r="BV110" s="32">
        <v>116.8</v>
      </c>
      <c r="BW110" s="32">
        <v>188.3</v>
      </c>
      <c r="BX110" s="32">
        <v>30.6</v>
      </c>
      <c r="BY110" s="32">
        <v>101.8</v>
      </c>
      <c r="BZ110" s="32">
        <v>100.2</v>
      </c>
      <c r="CA110" s="32">
        <v>102.7</v>
      </c>
      <c r="CB110" s="32">
        <v>115.8</v>
      </c>
      <c r="CC110" s="32">
        <v>98.4</v>
      </c>
      <c r="CD110" s="32">
        <v>27</v>
      </c>
      <c r="CE110" s="32">
        <v>92.8</v>
      </c>
      <c r="CF110" s="32">
        <v>76</v>
      </c>
      <c r="CG110" s="32">
        <v>93.2</v>
      </c>
      <c r="CH110" s="32">
        <v>94</v>
      </c>
      <c r="CI110" s="32">
        <v>110.3</v>
      </c>
      <c r="CJ110" s="32">
        <v>81.900000000000006</v>
      </c>
      <c r="CK110" s="32">
        <v>100.7</v>
      </c>
      <c r="CL110" s="32">
        <v>90.9</v>
      </c>
      <c r="CM110" s="32">
        <v>100.3</v>
      </c>
      <c r="CN110" s="32">
        <v>76.2</v>
      </c>
      <c r="CO110" s="32">
        <v>101.6</v>
      </c>
      <c r="CP110" s="32">
        <v>187.7</v>
      </c>
      <c r="CQ110" s="32">
        <v>59</v>
      </c>
      <c r="CR110" s="32">
        <v>89.6</v>
      </c>
      <c r="CS110" s="32">
        <v>124.1</v>
      </c>
      <c r="CT110" s="32">
        <v>93.6</v>
      </c>
      <c r="CU110" s="32">
        <v>75</v>
      </c>
      <c r="CV110" s="32">
        <v>101.7</v>
      </c>
      <c r="CW110" s="32">
        <v>29</v>
      </c>
      <c r="CX110" s="32">
        <v>86.8</v>
      </c>
      <c r="CY110" s="32">
        <v>100.8</v>
      </c>
      <c r="CZ110" s="32">
        <v>79.599999999999994</v>
      </c>
      <c r="DA110" s="32">
        <v>67.900000000000006</v>
      </c>
      <c r="DB110" s="32">
        <v>101.8</v>
      </c>
      <c r="DC110" s="32">
        <v>4.2</v>
      </c>
      <c r="DD110" s="32">
        <v>4.2</v>
      </c>
      <c r="DE110" s="32">
        <v>62.2</v>
      </c>
      <c r="DF110" s="32">
        <v>58.3</v>
      </c>
      <c r="DG110" s="32">
        <v>84.3</v>
      </c>
      <c r="DH110" s="32">
        <v>94.7</v>
      </c>
      <c r="DI110" s="32">
        <v>163.6</v>
      </c>
      <c r="DJ110" s="32">
        <v>82.5</v>
      </c>
      <c r="DK110" s="32">
        <v>82.5</v>
      </c>
      <c r="DL110" s="32">
        <v>31.5</v>
      </c>
      <c r="DM110" s="32">
        <v>71.099999999999994</v>
      </c>
      <c r="DN110" s="32">
        <v>49.5</v>
      </c>
      <c r="DO110" s="32">
        <v>81.2</v>
      </c>
      <c r="DP110" s="32">
        <v>42.5</v>
      </c>
      <c r="DQ110" s="32">
        <v>67.2</v>
      </c>
      <c r="DR110" s="32">
        <v>70.2</v>
      </c>
      <c r="DS110" s="32">
        <v>64.400000000000006</v>
      </c>
      <c r="DT110" s="32">
        <v>61</v>
      </c>
      <c r="DU110" s="32">
        <v>65.099999999999994</v>
      </c>
      <c r="DV110" s="32">
        <v>76.900000000000006</v>
      </c>
      <c r="DW110" s="32">
        <v>53.3</v>
      </c>
      <c r="DX110" s="32">
        <v>52.5</v>
      </c>
      <c r="DY110" s="32">
        <v>76.8</v>
      </c>
      <c r="DZ110" s="32">
        <v>117</v>
      </c>
      <c r="EA110" s="32">
        <v>117</v>
      </c>
      <c r="EB110" s="32">
        <v>73</v>
      </c>
      <c r="EC110" s="32">
        <v>77.400000000000006</v>
      </c>
      <c r="ED110" s="32">
        <v>67.2</v>
      </c>
      <c r="EE110" s="32">
        <v>74.900000000000006</v>
      </c>
      <c r="EF110" s="32">
        <v>50.6</v>
      </c>
      <c r="EG110" s="32">
        <v>62.6</v>
      </c>
      <c r="EH110" s="32">
        <v>91.8</v>
      </c>
      <c r="EI110" s="32">
        <v>59.5</v>
      </c>
      <c r="EJ110" s="32">
        <v>66.3</v>
      </c>
      <c r="EK110" s="32">
        <v>51.6</v>
      </c>
      <c r="EL110" s="32">
        <v>73.599999999999994</v>
      </c>
      <c r="EM110" s="32">
        <v>42.5</v>
      </c>
      <c r="EN110" s="32">
        <v>54.4</v>
      </c>
      <c r="EO110" s="32">
        <v>89.3</v>
      </c>
      <c r="EP110" s="32">
        <v>89.3</v>
      </c>
      <c r="EQ110" s="32">
        <v>89.3</v>
      </c>
      <c r="ER110" s="32">
        <v>86.4</v>
      </c>
      <c r="ES110" s="32">
        <v>86.4</v>
      </c>
      <c r="ET110" s="32">
        <v>93.8</v>
      </c>
      <c r="EU110" s="32">
        <v>104</v>
      </c>
      <c r="EV110" s="32">
        <v>104</v>
      </c>
      <c r="EW110" s="32">
        <v>83.4</v>
      </c>
      <c r="EX110" s="32">
        <v>92.4</v>
      </c>
      <c r="EY110" s="32">
        <v>76.400000000000006</v>
      </c>
      <c r="EZ110" s="32">
        <v>98.7</v>
      </c>
      <c r="FA110" s="32">
        <v>117.5</v>
      </c>
      <c r="FB110" s="32">
        <v>133.69999999999999</v>
      </c>
      <c r="FC110" s="32">
        <v>97.5</v>
      </c>
      <c r="FD110" s="32">
        <v>128.1</v>
      </c>
      <c r="FE110" s="32">
        <v>204.8</v>
      </c>
      <c r="FF110" s="32">
        <v>99.4</v>
      </c>
      <c r="FG110" s="32">
        <v>83.6</v>
      </c>
      <c r="FH110" s="32">
        <v>87.7</v>
      </c>
      <c r="FI110" s="32">
        <v>77.400000000000006</v>
      </c>
      <c r="FJ110" s="32">
        <v>82.5</v>
      </c>
      <c r="FK110" s="32">
        <v>120.7</v>
      </c>
      <c r="FL110" s="32">
        <v>120.7</v>
      </c>
    </row>
    <row r="111" spans="1:168" x14ac:dyDescent="0.2">
      <c r="A111" s="34" t="s">
        <v>1091</v>
      </c>
      <c r="B111" s="32">
        <v>80.2</v>
      </c>
      <c r="C111" s="32">
        <v>92.6</v>
      </c>
      <c r="D111" s="32">
        <v>100.2</v>
      </c>
      <c r="E111" s="32">
        <v>104</v>
      </c>
      <c r="F111" s="32">
        <v>276.3</v>
      </c>
      <c r="G111" s="32">
        <v>3634.4</v>
      </c>
      <c r="H111" s="32">
        <v>345.9</v>
      </c>
      <c r="I111" s="32">
        <v>67.8</v>
      </c>
      <c r="J111" s="32">
        <v>90</v>
      </c>
      <c r="K111" s="32">
        <v>96</v>
      </c>
      <c r="L111" s="32">
        <v>94.3</v>
      </c>
      <c r="M111" s="32">
        <v>69.2</v>
      </c>
      <c r="N111" s="32">
        <v>87.4</v>
      </c>
      <c r="O111" s="32">
        <v>230</v>
      </c>
      <c r="P111" s="32">
        <v>234.4</v>
      </c>
      <c r="Q111" s="32">
        <v>131.4</v>
      </c>
      <c r="R111" s="32">
        <v>94.8</v>
      </c>
      <c r="S111" s="32">
        <v>122.2</v>
      </c>
      <c r="T111" s="32">
        <v>90.1</v>
      </c>
      <c r="U111" s="32">
        <v>70.2</v>
      </c>
      <c r="V111" s="32">
        <v>115.8</v>
      </c>
      <c r="W111" s="32">
        <v>48.4</v>
      </c>
      <c r="X111" s="32">
        <v>40</v>
      </c>
      <c r="Y111" s="32">
        <v>57.3</v>
      </c>
      <c r="Z111" s="32">
        <v>76.7</v>
      </c>
      <c r="AA111" s="32">
        <v>101.3</v>
      </c>
      <c r="AB111" s="32">
        <v>108.4</v>
      </c>
      <c r="AC111" s="32">
        <v>87</v>
      </c>
      <c r="AD111" s="32">
        <v>116.7</v>
      </c>
      <c r="AE111" s="32">
        <v>101.5</v>
      </c>
      <c r="AF111" s="32">
        <v>101.5</v>
      </c>
      <c r="AG111" s="32">
        <v>80.599999999999994</v>
      </c>
      <c r="AH111" s="32">
        <v>80.599999999999994</v>
      </c>
      <c r="AI111" s="32">
        <v>175.6</v>
      </c>
      <c r="AJ111" s="32">
        <v>77.599999999999994</v>
      </c>
      <c r="AK111" s="32">
        <v>474.7</v>
      </c>
      <c r="AL111" s="32">
        <v>109.7</v>
      </c>
      <c r="AM111" s="32">
        <v>49.6</v>
      </c>
      <c r="AN111" s="32">
        <v>177</v>
      </c>
      <c r="AO111" s="32">
        <v>94</v>
      </c>
      <c r="AP111" s="32">
        <v>94</v>
      </c>
      <c r="AQ111" s="32">
        <v>115.3</v>
      </c>
      <c r="AR111" s="32">
        <v>110.7</v>
      </c>
      <c r="AS111" s="32">
        <v>124.8</v>
      </c>
      <c r="AT111" s="32">
        <v>115.1</v>
      </c>
      <c r="AU111" s="32">
        <v>132.5</v>
      </c>
      <c r="AV111" s="32">
        <v>107.9</v>
      </c>
      <c r="AW111" s="32">
        <v>161.69999999999999</v>
      </c>
      <c r="AX111" s="32">
        <v>155.6</v>
      </c>
      <c r="AY111" s="32">
        <v>270</v>
      </c>
      <c r="AZ111" s="32">
        <v>100.5</v>
      </c>
      <c r="BA111" s="32">
        <v>54</v>
      </c>
      <c r="BB111" s="32">
        <v>54</v>
      </c>
      <c r="BC111" s="32">
        <v>127.6</v>
      </c>
      <c r="BD111" s="32">
        <v>127.6</v>
      </c>
      <c r="BE111" s="32">
        <v>107.8</v>
      </c>
      <c r="BF111" s="32">
        <v>107.8</v>
      </c>
      <c r="BG111" s="32">
        <v>91.1</v>
      </c>
      <c r="BH111" s="32">
        <v>68.8</v>
      </c>
      <c r="BI111" s="32">
        <v>114.1</v>
      </c>
      <c r="BJ111" s="32">
        <v>33</v>
      </c>
      <c r="BK111" s="32">
        <v>162</v>
      </c>
      <c r="BL111" s="32">
        <v>55.3</v>
      </c>
      <c r="BM111" s="32">
        <v>90.8</v>
      </c>
      <c r="BN111" s="32">
        <v>105.4</v>
      </c>
      <c r="BO111" s="32">
        <v>95.4</v>
      </c>
      <c r="BP111" s="32">
        <v>114.3</v>
      </c>
      <c r="BQ111" s="32">
        <v>75</v>
      </c>
      <c r="BR111" s="32">
        <v>53.3</v>
      </c>
      <c r="BS111" s="32">
        <v>172.5</v>
      </c>
      <c r="BT111" s="32">
        <v>56.9</v>
      </c>
      <c r="BU111" s="32">
        <v>116.4</v>
      </c>
      <c r="BV111" s="32">
        <v>116.4</v>
      </c>
      <c r="BW111" s="32">
        <v>189.4</v>
      </c>
      <c r="BX111" s="32">
        <v>33.1</v>
      </c>
      <c r="BY111" s="32">
        <v>102.2</v>
      </c>
      <c r="BZ111" s="32">
        <v>99.2</v>
      </c>
      <c r="CA111" s="32">
        <v>103.7</v>
      </c>
      <c r="CB111" s="32">
        <v>118.7</v>
      </c>
      <c r="CC111" s="32">
        <v>97.8</v>
      </c>
      <c r="CD111" s="32">
        <v>28</v>
      </c>
      <c r="CE111" s="32">
        <v>92.5</v>
      </c>
      <c r="CF111" s="32">
        <v>75.900000000000006</v>
      </c>
      <c r="CG111" s="32">
        <v>94.3</v>
      </c>
      <c r="CH111" s="32">
        <v>94.9</v>
      </c>
      <c r="CI111" s="32">
        <v>110.7</v>
      </c>
      <c r="CJ111" s="32">
        <v>83.5</v>
      </c>
      <c r="CK111" s="32">
        <v>101</v>
      </c>
      <c r="CL111" s="32">
        <v>92.3</v>
      </c>
      <c r="CM111" s="32">
        <v>100.7</v>
      </c>
      <c r="CN111" s="32">
        <v>78.599999999999994</v>
      </c>
      <c r="CO111" s="32">
        <v>101.6</v>
      </c>
      <c r="CP111" s="32">
        <v>185.4</v>
      </c>
      <c r="CQ111" s="32">
        <v>63</v>
      </c>
      <c r="CR111" s="32">
        <v>90.8</v>
      </c>
      <c r="CS111" s="32">
        <v>128.30000000000001</v>
      </c>
      <c r="CT111" s="32">
        <v>94.8</v>
      </c>
      <c r="CU111" s="32">
        <v>75.400000000000006</v>
      </c>
      <c r="CV111" s="32">
        <v>103.3</v>
      </c>
      <c r="CW111" s="32">
        <v>28.9</v>
      </c>
      <c r="CX111" s="32">
        <v>82.9</v>
      </c>
      <c r="CY111" s="32">
        <v>100.7</v>
      </c>
      <c r="CZ111" s="32">
        <v>73.400000000000006</v>
      </c>
      <c r="DA111" s="32">
        <v>59.6</v>
      </c>
      <c r="DB111" s="32">
        <v>102.2</v>
      </c>
      <c r="DC111" s="32">
        <v>4.2</v>
      </c>
      <c r="DD111" s="32">
        <v>4.2</v>
      </c>
      <c r="DE111" s="32">
        <v>63.5</v>
      </c>
      <c r="DF111" s="32">
        <v>59.4</v>
      </c>
      <c r="DG111" s="32">
        <v>87.3</v>
      </c>
      <c r="DH111" s="32">
        <v>90.8</v>
      </c>
      <c r="DI111" s="32">
        <v>165.9</v>
      </c>
      <c r="DJ111" s="32">
        <v>76.2</v>
      </c>
      <c r="DK111" s="32">
        <v>76.2</v>
      </c>
      <c r="DL111" s="32">
        <v>24.6</v>
      </c>
      <c r="DM111" s="32">
        <v>71.3</v>
      </c>
      <c r="DN111" s="32">
        <v>50</v>
      </c>
      <c r="DO111" s="32">
        <v>81.3</v>
      </c>
      <c r="DP111" s="32">
        <v>42.5</v>
      </c>
      <c r="DQ111" s="32">
        <v>68.400000000000006</v>
      </c>
      <c r="DR111" s="32">
        <v>71.900000000000006</v>
      </c>
      <c r="DS111" s="32">
        <v>66</v>
      </c>
      <c r="DT111" s="32">
        <v>63.4</v>
      </c>
      <c r="DU111" s="32">
        <v>66.7</v>
      </c>
      <c r="DV111" s="32">
        <v>78.7</v>
      </c>
      <c r="DW111" s="32">
        <v>54.7</v>
      </c>
      <c r="DX111" s="32">
        <v>56.6</v>
      </c>
      <c r="DY111" s="32">
        <v>75.599999999999994</v>
      </c>
      <c r="DZ111" s="32">
        <v>120.6</v>
      </c>
      <c r="EA111" s="32">
        <v>120.6</v>
      </c>
      <c r="EB111" s="32">
        <v>74.599999999999994</v>
      </c>
      <c r="EC111" s="32">
        <v>77.400000000000006</v>
      </c>
      <c r="ED111" s="32">
        <v>70.900000000000006</v>
      </c>
      <c r="EE111" s="32">
        <v>80</v>
      </c>
      <c r="EF111" s="32">
        <v>51</v>
      </c>
      <c r="EG111" s="32">
        <v>62.9</v>
      </c>
      <c r="EH111" s="32">
        <v>89.7</v>
      </c>
      <c r="EI111" s="32">
        <v>58.3</v>
      </c>
      <c r="EJ111" s="32">
        <v>71.900000000000006</v>
      </c>
      <c r="EK111" s="32">
        <v>53.2</v>
      </c>
      <c r="EL111" s="32">
        <v>70.900000000000006</v>
      </c>
      <c r="EM111" s="32">
        <v>43</v>
      </c>
      <c r="EN111" s="32">
        <v>57.5</v>
      </c>
      <c r="EO111" s="32">
        <v>88.8</v>
      </c>
      <c r="EP111" s="32">
        <v>89.6</v>
      </c>
      <c r="EQ111" s="32">
        <v>89.6</v>
      </c>
      <c r="ER111" s="32">
        <v>84.7</v>
      </c>
      <c r="ES111" s="32">
        <v>84.7</v>
      </c>
      <c r="ET111" s="32">
        <v>93.6</v>
      </c>
      <c r="EU111" s="32">
        <v>103.7</v>
      </c>
      <c r="EV111" s="32">
        <v>103.7</v>
      </c>
      <c r="EW111" s="32">
        <v>83.6</v>
      </c>
      <c r="EX111" s="32">
        <v>92.7</v>
      </c>
      <c r="EY111" s="32">
        <v>76.5</v>
      </c>
      <c r="EZ111" s="32">
        <v>98</v>
      </c>
      <c r="FA111" s="32">
        <v>117.8</v>
      </c>
      <c r="FB111" s="32">
        <v>133.80000000000001</v>
      </c>
      <c r="FC111" s="32">
        <v>99.1</v>
      </c>
      <c r="FD111" s="32">
        <v>129.6</v>
      </c>
      <c r="FE111" s="32">
        <v>200.9</v>
      </c>
      <c r="FF111" s="32">
        <v>99.9</v>
      </c>
      <c r="FG111" s="32">
        <v>81.8</v>
      </c>
      <c r="FH111" s="32">
        <v>83.6</v>
      </c>
      <c r="FI111" s="32">
        <v>86.2</v>
      </c>
      <c r="FJ111" s="32">
        <v>80.400000000000006</v>
      </c>
      <c r="FK111" s="32">
        <v>124.7</v>
      </c>
      <c r="FL111" s="32">
        <v>124.7</v>
      </c>
    </row>
    <row r="112" spans="1:168" x14ac:dyDescent="0.2">
      <c r="A112" s="34" t="s">
        <v>1092</v>
      </c>
      <c r="B112" s="32">
        <v>81</v>
      </c>
      <c r="C112" s="32">
        <v>92.3</v>
      </c>
      <c r="D112" s="32">
        <v>101.1</v>
      </c>
      <c r="E112" s="32">
        <v>105.1</v>
      </c>
      <c r="F112" s="32">
        <v>273</v>
      </c>
      <c r="G112" s="32">
        <v>3529.1</v>
      </c>
      <c r="H112" s="32">
        <v>338.5</v>
      </c>
      <c r="I112" s="32">
        <v>71.7</v>
      </c>
      <c r="J112" s="32">
        <v>91</v>
      </c>
      <c r="K112" s="32">
        <v>96.7</v>
      </c>
      <c r="L112" s="32">
        <v>94.6</v>
      </c>
      <c r="M112" s="32">
        <v>71.2</v>
      </c>
      <c r="N112" s="32">
        <v>84.8</v>
      </c>
      <c r="O112" s="32">
        <v>214.8</v>
      </c>
      <c r="P112" s="32">
        <v>239.3</v>
      </c>
      <c r="Q112" s="32">
        <v>132</v>
      </c>
      <c r="R112" s="32">
        <v>91.9</v>
      </c>
      <c r="S112" s="32">
        <v>124.1</v>
      </c>
      <c r="T112" s="32">
        <v>92.9</v>
      </c>
      <c r="U112" s="32">
        <v>72.599999999999994</v>
      </c>
      <c r="V112" s="32">
        <v>117.9</v>
      </c>
      <c r="W112" s="32">
        <v>49.2</v>
      </c>
      <c r="X112" s="32">
        <v>40.4</v>
      </c>
      <c r="Y112" s="32">
        <v>58.1</v>
      </c>
      <c r="Z112" s="32">
        <v>83.7</v>
      </c>
      <c r="AA112" s="32">
        <v>101.1</v>
      </c>
      <c r="AB112" s="32">
        <v>105.4</v>
      </c>
      <c r="AC112" s="32">
        <v>85.7</v>
      </c>
      <c r="AD112" s="32">
        <v>118.6</v>
      </c>
      <c r="AE112" s="32">
        <v>102.9</v>
      </c>
      <c r="AF112" s="32">
        <v>102.9</v>
      </c>
      <c r="AG112" s="32">
        <v>82.3</v>
      </c>
      <c r="AH112" s="32">
        <v>82.3</v>
      </c>
      <c r="AI112" s="32">
        <v>178.7</v>
      </c>
      <c r="AJ112" s="32">
        <v>78.599999999999994</v>
      </c>
      <c r="AK112" s="32">
        <v>482.5</v>
      </c>
      <c r="AL112" s="32">
        <v>112.2</v>
      </c>
      <c r="AM112" s="32">
        <v>50.1</v>
      </c>
      <c r="AN112" s="32">
        <v>186.5</v>
      </c>
      <c r="AO112" s="32">
        <v>93.3</v>
      </c>
      <c r="AP112" s="32">
        <v>93.3</v>
      </c>
      <c r="AQ112" s="32">
        <v>114.9</v>
      </c>
      <c r="AR112" s="32">
        <v>110.2</v>
      </c>
      <c r="AS112" s="32">
        <v>124.4</v>
      </c>
      <c r="AT112" s="32">
        <v>116.6</v>
      </c>
      <c r="AU112" s="32">
        <v>129.80000000000001</v>
      </c>
      <c r="AV112" s="32">
        <v>108.6</v>
      </c>
      <c r="AW112" s="32">
        <v>166.1</v>
      </c>
      <c r="AX112" s="32">
        <v>174.9</v>
      </c>
      <c r="AY112" s="32">
        <v>261.39999999999998</v>
      </c>
      <c r="AZ112" s="32">
        <v>100.3</v>
      </c>
      <c r="BA112" s="32">
        <v>54.7</v>
      </c>
      <c r="BB112" s="32">
        <v>54.7</v>
      </c>
      <c r="BC112" s="32">
        <v>130.1</v>
      </c>
      <c r="BD112" s="32">
        <v>130.1</v>
      </c>
      <c r="BE112" s="32">
        <v>112.3</v>
      </c>
      <c r="BF112" s="32">
        <v>112.3</v>
      </c>
      <c r="BG112" s="32">
        <v>92.8</v>
      </c>
      <c r="BH112" s="32">
        <v>71.3</v>
      </c>
      <c r="BI112" s="32">
        <v>114.6</v>
      </c>
      <c r="BJ112" s="32">
        <v>33.299999999999997</v>
      </c>
      <c r="BK112" s="32">
        <v>162.69999999999999</v>
      </c>
      <c r="BL112" s="32">
        <v>55.5</v>
      </c>
      <c r="BM112" s="32">
        <v>92.2</v>
      </c>
      <c r="BN112" s="32">
        <v>107.2</v>
      </c>
      <c r="BO112" s="32">
        <v>94.8</v>
      </c>
      <c r="BP112" s="32">
        <v>118.7</v>
      </c>
      <c r="BQ112" s="32">
        <v>75.900000000000006</v>
      </c>
      <c r="BR112" s="32">
        <v>59.6</v>
      </c>
      <c r="BS112" s="32">
        <v>165.7</v>
      </c>
      <c r="BT112" s="32">
        <v>58.3</v>
      </c>
      <c r="BU112" s="32">
        <v>122</v>
      </c>
      <c r="BV112" s="32">
        <v>122</v>
      </c>
      <c r="BW112" s="32">
        <v>187.1</v>
      </c>
      <c r="BX112" s="32">
        <v>41.8</v>
      </c>
      <c r="BY112" s="32">
        <v>103.6</v>
      </c>
      <c r="BZ112" s="32">
        <v>99.9</v>
      </c>
      <c r="CA112" s="32">
        <v>105.4</v>
      </c>
      <c r="CB112" s="32">
        <v>121.4</v>
      </c>
      <c r="CC112" s="32">
        <v>98.8</v>
      </c>
      <c r="CD112" s="32">
        <v>28.1</v>
      </c>
      <c r="CE112" s="32">
        <v>92.8</v>
      </c>
      <c r="CF112" s="32">
        <v>76.7</v>
      </c>
      <c r="CG112" s="32">
        <v>95.3</v>
      </c>
      <c r="CH112" s="32">
        <v>96.2</v>
      </c>
      <c r="CI112" s="32">
        <v>111.3</v>
      </c>
      <c r="CJ112" s="32">
        <v>85.4</v>
      </c>
      <c r="CK112" s="32">
        <v>101.9</v>
      </c>
      <c r="CL112" s="32">
        <v>92.7</v>
      </c>
      <c r="CM112" s="32">
        <v>101.5</v>
      </c>
      <c r="CN112" s="32">
        <v>80</v>
      </c>
      <c r="CO112" s="32">
        <v>102.2</v>
      </c>
      <c r="CP112" s="32">
        <v>184.1</v>
      </c>
      <c r="CQ112" s="32">
        <v>60.9</v>
      </c>
      <c r="CR112" s="32">
        <v>90.5</v>
      </c>
      <c r="CS112" s="32">
        <v>132.69999999999999</v>
      </c>
      <c r="CT112" s="32">
        <v>95.7</v>
      </c>
      <c r="CU112" s="32">
        <v>76.400000000000006</v>
      </c>
      <c r="CV112" s="32">
        <v>104.1</v>
      </c>
      <c r="CW112" s="32">
        <v>29.4</v>
      </c>
      <c r="CX112" s="32">
        <v>87</v>
      </c>
      <c r="CY112" s="32">
        <v>103.6</v>
      </c>
      <c r="CZ112" s="32">
        <v>78.2</v>
      </c>
      <c r="DA112" s="32">
        <v>66.2</v>
      </c>
      <c r="DB112" s="32">
        <v>102</v>
      </c>
      <c r="DC112" s="32">
        <v>4.3</v>
      </c>
      <c r="DD112" s="32">
        <v>4.3</v>
      </c>
      <c r="DE112" s="32">
        <v>63.7</v>
      </c>
      <c r="DF112" s="32">
        <v>59.5</v>
      </c>
      <c r="DG112" s="32">
        <v>88.1</v>
      </c>
      <c r="DH112" s="32">
        <v>92.6</v>
      </c>
      <c r="DI112" s="32">
        <v>169.2</v>
      </c>
      <c r="DJ112" s="32">
        <v>71.099999999999994</v>
      </c>
      <c r="DK112" s="32">
        <v>71.099999999999994</v>
      </c>
      <c r="DL112" s="32">
        <v>32.1</v>
      </c>
      <c r="DM112" s="32">
        <v>71.3</v>
      </c>
      <c r="DN112" s="32">
        <v>50</v>
      </c>
      <c r="DO112" s="32">
        <v>81.400000000000006</v>
      </c>
      <c r="DP112" s="32">
        <v>42</v>
      </c>
      <c r="DQ112" s="32">
        <v>70</v>
      </c>
      <c r="DR112" s="32">
        <v>73.400000000000006</v>
      </c>
      <c r="DS112" s="32">
        <v>68.099999999999994</v>
      </c>
      <c r="DT112" s="32">
        <v>65.400000000000006</v>
      </c>
      <c r="DU112" s="32">
        <v>67.8</v>
      </c>
      <c r="DV112" s="32">
        <v>78.8</v>
      </c>
      <c r="DW112" s="32">
        <v>56.7</v>
      </c>
      <c r="DX112" s="32">
        <v>60.4</v>
      </c>
      <c r="DY112" s="32">
        <v>78.099999999999994</v>
      </c>
      <c r="DZ112" s="32">
        <v>107.8</v>
      </c>
      <c r="EA112" s="32">
        <v>107.8</v>
      </c>
      <c r="EB112" s="32">
        <v>78.599999999999994</v>
      </c>
      <c r="EC112" s="32">
        <v>81.7</v>
      </c>
      <c r="ED112" s="32">
        <v>74.599999999999994</v>
      </c>
      <c r="EE112" s="32">
        <v>85.2</v>
      </c>
      <c r="EF112" s="32">
        <v>51.3</v>
      </c>
      <c r="EG112" s="32">
        <v>64.8</v>
      </c>
      <c r="EH112" s="32">
        <v>88.1</v>
      </c>
      <c r="EI112" s="32">
        <v>61.8</v>
      </c>
      <c r="EJ112" s="32">
        <v>74.400000000000006</v>
      </c>
      <c r="EK112" s="32">
        <v>55.5</v>
      </c>
      <c r="EL112" s="32">
        <v>68.5</v>
      </c>
      <c r="EM112" s="32">
        <v>43.1</v>
      </c>
      <c r="EN112" s="32">
        <v>62.2</v>
      </c>
      <c r="EO112" s="32">
        <v>89.3</v>
      </c>
      <c r="EP112" s="32">
        <v>89.9</v>
      </c>
      <c r="EQ112" s="32">
        <v>89.9</v>
      </c>
      <c r="ER112" s="32">
        <v>85.8</v>
      </c>
      <c r="ES112" s="32">
        <v>85.8</v>
      </c>
      <c r="ET112" s="32">
        <v>93.8</v>
      </c>
      <c r="EU112" s="32">
        <v>103.8</v>
      </c>
      <c r="EV112" s="32">
        <v>103.8</v>
      </c>
      <c r="EW112" s="32">
        <v>84.1</v>
      </c>
      <c r="EX112" s="32">
        <v>93.3</v>
      </c>
      <c r="EY112" s="32">
        <v>76.8</v>
      </c>
      <c r="EZ112" s="32">
        <v>98.1</v>
      </c>
      <c r="FA112" s="32">
        <v>115.3</v>
      </c>
      <c r="FB112" s="32">
        <v>128</v>
      </c>
      <c r="FC112" s="32">
        <v>91.6</v>
      </c>
      <c r="FD112" s="32">
        <v>129.5</v>
      </c>
      <c r="FE112" s="32">
        <v>195</v>
      </c>
      <c r="FF112" s="32">
        <v>101</v>
      </c>
      <c r="FG112" s="32">
        <v>82.1</v>
      </c>
      <c r="FH112" s="32">
        <v>81.8</v>
      </c>
      <c r="FI112" s="32">
        <v>87.1</v>
      </c>
      <c r="FJ112" s="32">
        <v>81.5</v>
      </c>
      <c r="FK112" s="32">
        <v>154</v>
      </c>
      <c r="FL112" s="32">
        <v>154</v>
      </c>
    </row>
    <row r="113" spans="1:168" x14ac:dyDescent="0.2">
      <c r="A113" s="34" t="s">
        <v>1093</v>
      </c>
      <c r="B113" s="32">
        <v>81.7</v>
      </c>
      <c r="C113" s="32">
        <v>92.4</v>
      </c>
      <c r="D113" s="32">
        <v>103.8</v>
      </c>
      <c r="E113" s="32">
        <v>108.8</v>
      </c>
      <c r="F113" s="32">
        <v>281.10000000000002</v>
      </c>
      <c r="G113" s="32">
        <v>3820.3</v>
      </c>
      <c r="H113" s="32">
        <v>342.5</v>
      </c>
      <c r="I113" s="32">
        <v>82.3</v>
      </c>
      <c r="J113" s="32">
        <v>94.8</v>
      </c>
      <c r="K113" s="32">
        <v>99.2</v>
      </c>
      <c r="L113" s="32">
        <v>97.3</v>
      </c>
      <c r="M113" s="32">
        <v>70.8</v>
      </c>
      <c r="N113" s="32">
        <v>87.6</v>
      </c>
      <c r="O113" s="32">
        <v>201.9</v>
      </c>
      <c r="P113" s="32">
        <v>251.4</v>
      </c>
      <c r="Q113" s="32">
        <v>139.19999999999999</v>
      </c>
      <c r="R113" s="32">
        <v>91.1</v>
      </c>
      <c r="S113" s="32">
        <v>130.9</v>
      </c>
      <c r="T113" s="32">
        <v>95.1</v>
      </c>
      <c r="U113" s="32">
        <v>73</v>
      </c>
      <c r="V113" s="32">
        <v>120.4</v>
      </c>
      <c r="W113" s="32">
        <v>52.4</v>
      </c>
      <c r="X113" s="32">
        <v>43.5</v>
      </c>
      <c r="Y113" s="32">
        <v>61.3</v>
      </c>
      <c r="Z113" s="32">
        <v>88.4</v>
      </c>
      <c r="AA113" s="32">
        <v>102.1</v>
      </c>
      <c r="AB113" s="32">
        <v>110.8</v>
      </c>
      <c r="AC113" s="32">
        <v>87</v>
      </c>
      <c r="AD113" s="32">
        <v>117.4</v>
      </c>
      <c r="AE113" s="32">
        <v>105.7</v>
      </c>
      <c r="AF113" s="32">
        <v>105.7</v>
      </c>
      <c r="AG113" s="32">
        <v>82.8</v>
      </c>
      <c r="AH113" s="32">
        <v>82.8</v>
      </c>
      <c r="AI113" s="32">
        <v>193.7</v>
      </c>
      <c r="AJ113" s="32">
        <v>76.8</v>
      </c>
      <c r="AK113" s="32">
        <v>480.6</v>
      </c>
      <c r="AL113" s="32">
        <v>108.5</v>
      </c>
      <c r="AM113" s="32">
        <v>50.7</v>
      </c>
      <c r="AN113" s="32">
        <v>191.4</v>
      </c>
      <c r="AO113" s="32">
        <v>133.5</v>
      </c>
      <c r="AP113" s="32">
        <v>133.5</v>
      </c>
      <c r="AQ113" s="32">
        <v>115.2</v>
      </c>
      <c r="AR113" s="32">
        <v>112.4</v>
      </c>
      <c r="AS113" s="32">
        <v>122</v>
      </c>
      <c r="AT113" s="32">
        <v>118.8</v>
      </c>
      <c r="AU113" s="32">
        <v>122.1</v>
      </c>
      <c r="AV113" s="32">
        <v>109.2</v>
      </c>
      <c r="AW113" s="32">
        <v>161.6</v>
      </c>
      <c r="AX113" s="32">
        <v>172.2</v>
      </c>
      <c r="AY113" s="32">
        <v>252.2</v>
      </c>
      <c r="AZ113" s="32">
        <v>102.1</v>
      </c>
      <c r="BA113" s="32">
        <v>54.9</v>
      </c>
      <c r="BB113" s="32">
        <v>54.9</v>
      </c>
      <c r="BC113" s="32">
        <v>134.30000000000001</v>
      </c>
      <c r="BD113" s="32">
        <v>134.30000000000001</v>
      </c>
      <c r="BE113" s="32">
        <v>110.1</v>
      </c>
      <c r="BF113" s="32">
        <v>110.1</v>
      </c>
      <c r="BG113" s="32">
        <v>93</v>
      </c>
      <c r="BH113" s="32">
        <v>70.599999999999994</v>
      </c>
      <c r="BI113" s="32">
        <v>116.1</v>
      </c>
      <c r="BJ113" s="32">
        <v>33.4</v>
      </c>
      <c r="BK113" s="32">
        <v>165</v>
      </c>
      <c r="BL113" s="32">
        <v>55.6</v>
      </c>
      <c r="BM113" s="32">
        <v>95.2</v>
      </c>
      <c r="BN113" s="32">
        <v>110.6</v>
      </c>
      <c r="BO113" s="32">
        <v>94.3</v>
      </c>
      <c r="BP113" s="32">
        <v>126.2</v>
      </c>
      <c r="BQ113" s="32">
        <v>78.5</v>
      </c>
      <c r="BR113" s="32">
        <v>63.5</v>
      </c>
      <c r="BS113" s="32">
        <v>174.2</v>
      </c>
      <c r="BT113" s="32">
        <v>59.6</v>
      </c>
      <c r="BU113" s="32">
        <v>122.7</v>
      </c>
      <c r="BV113" s="32">
        <v>122.7</v>
      </c>
      <c r="BW113" s="32">
        <v>184.7</v>
      </c>
      <c r="BX113" s="32">
        <v>43.7</v>
      </c>
      <c r="BY113" s="32">
        <v>104.3</v>
      </c>
      <c r="BZ113" s="32">
        <v>100.6</v>
      </c>
      <c r="CA113" s="32">
        <v>106.2</v>
      </c>
      <c r="CB113" s="32">
        <v>120.8</v>
      </c>
      <c r="CC113" s="32">
        <v>101</v>
      </c>
      <c r="CD113" s="32">
        <v>27.8</v>
      </c>
      <c r="CE113" s="32">
        <v>93.1</v>
      </c>
      <c r="CF113" s="32">
        <v>77</v>
      </c>
      <c r="CG113" s="32">
        <v>95.7</v>
      </c>
      <c r="CH113" s="32">
        <v>96.7</v>
      </c>
      <c r="CI113" s="32">
        <v>116.8</v>
      </c>
      <c r="CJ113" s="32">
        <v>85.9</v>
      </c>
      <c r="CK113" s="32">
        <v>101.2</v>
      </c>
      <c r="CL113" s="32">
        <v>93.7</v>
      </c>
      <c r="CM113" s="32">
        <v>99.9</v>
      </c>
      <c r="CN113" s="32">
        <v>80.900000000000006</v>
      </c>
      <c r="CO113" s="32">
        <v>100.2</v>
      </c>
      <c r="CP113" s="32">
        <v>182.9</v>
      </c>
      <c r="CQ113" s="32">
        <v>60.9</v>
      </c>
      <c r="CR113" s="32">
        <v>95.1</v>
      </c>
      <c r="CS113" s="32">
        <v>135.80000000000001</v>
      </c>
      <c r="CT113" s="32">
        <v>94.2</v>
      </c>
      <c r="CU113" s="32">
        <v>76.400000000000006</v>
      </c>
      <c r="CV113" s="32">
        <v>101.9</v>
      </c>
      <c r="CW113" s="32">
        <v>30</v>
      </c>
      <c r="CX113" s="32">
        <v>86.3</v>
      </c>
      <c r="CY113" s="32">
        <v>100.6</v>
      </c>
      <c r="CZ113" s="32">
        <v>79</v>
      </c>
      <c r="DA113" s="32">
        <v>66.599999999999994</v>
      </c>
      <c r="DB113" s="32">
        <v>103.5</v>
      </c>
      <c r="DC113" s="32">
        <v>4.5</v>
      </c>
      <c r="DD113" s="32">
        <v>4.5</v>
      </c>
      <c r="DE113" s="32">
        <v>64.5</v>
      </c>
      <c r="DF113" s="32">
        <v>60.8</v>
      </c>
      <c r="DG113" s="32">
        <v>85.6</v>
      </c>
      <c r="DH113" s="32">
        <v>92</v>
      </c>
      <c r="DI113" s="32">
        <v>171.6</v>
      </c>
      <c r="DJ113" s="32">
        <v>65.400000000000006</v>
      </c>
      <c r="DK113" s="32">
        <v>65.400000000000006</v>
      </c>
      <c r="DL113" s="32">
        <v>33.5</v>
      </c>
      <c r="DM113" s="32">
        <v>71.599999999999994</v>
      </c>
      <c r="DN113" s="32">
        <v>50.7</v>
      </c>
      <c r="DO113" s="32">
        <v>81.5</v>
      </c>
      <c r="DP113" s="32">
        <v>41.1</v>
      </c>
      <c r="DQ113" s="32">
        <v>70.099999999999994</v>
      </c>
      <c r="DR113" s="32">
        <v>73.7</v>
      </c>
      <c r="DS113" s="32">
        <v>69.099999999999994</v>
      </c>
      <c r="DT113" s="32">
        <v>66.599999999999994</v>
      </c>
      <c r="DU113" s="32">
        <v>69.7</v>
      </c>
      <c r="DV113" s="32">
        <v>82.1</v>
      </c>
      <c r="DW113" s="32">
        <v>57.2</v>
      </c>
      <c r="DX113" s="32">
        <v>60.4</v>
      </c>
      <c r="DY113" s="32">
        <v>78.400000000000006</v>
      </c>
      <c r="DZ113" s="32">
        <v>108.4</v>
      </c>
      <c r="EA113" s="32">
        <v>108.4</v>
      </c>
      <c r="EB113" s="32">
        <v>76.599999999999994</v>
      </c>
      <c r="EC113" s="32">
        <v>78.7</v>
      </c>
      <c r="ED113" s="32">
        <v>73.900000000000006</v>
      </c>
      <c r="EE113" s="32">
        <v>84.2</v>
      </c>
      <c r="EF113" s="32">
        <v>51.5</v>
      </c>
      <c r="EG113" s="32">
        <v>64.7</v>
      </c>
      <c r="EH113" s="32">
        <v>90.1</v>
      </c>
      <c r="EI113" s="32">
        <v>61.2</v>
      </c>
      <c r="EJ113" s="32">
        <v>76.8</v>
      </c>
      <c r="EK113" s="32">
        <v>54.2</v>
      </c>
      <c r="EL113" s="32">
        <v>67.900000000000006</v>
      </c>
      <c r="EM113" s="32">
        <v>41.8</v>
      </c>
      <c r="EN113" s="32">
        <v>60.7</v>
      </c>
      <c r="EO113" s="32">
        <v>89.3</v>
      </c>
      <c r="EP113" s="32">
        <v>90.1</v>
      </c>
      <c r="EQ113" s="32">
        <v>90.1</v>
      </c>
      <c r="ER113" s="32">
        <v>85.1</v>
      </c>
      <c r="ES113" s="32">
        <v>85.1</v>
      </c>
      <c r="ET113" s="32">
        <v>94.3</v>
      </c>
      <c r="EU113" s="32">
        <v>104.3</v>
      </c>
      <c r="EV113" s="32">
        <v>104.3</v>
      </c>
      <c r="EW113" s="32">
        <v>84.6</v>
      </c>
      <c r="EX113" s="32">
        <v>94.1</v>
      </c>
      <c r="EY113" s="32">
        <v>77.099999999999994</v>
      </c>
      <c r="EZ113" s="32">
        <v>99.3</v>
      </c>
      <c r="FA113" s="32">
        <v>117.1</v>
      </c>
      <c r="FB113" s="32">
        <v>130.69999999999999</v>
      </c>
      <c r="FC113" s="32">
        <v>99.9</v>
      </c>
      <c r="FD113" s="32">
        <v>129</v>
      </c>
      <c r="FE113" s="32">
        <v>187.9</v>
      </c>
      <c r="FF113" s="32">
        <v>101.9</v>
      </c>
      <c r="FG113" s="32">
        <v>83.2</v>
      </c>
      <c r="FH113" s="32">
        <v>84.8</v>
      </c>
      <c r="FI113" s="32">
        <v>85.4</v>
      </c>
      <c r="FJ113" s="32">
        <v>82.1</v>
      </c>
      <c r="FK113" s="32">
        <v>150.1</v>
      </c>
      <c r="FL113" s="32">
        <v>150.1</v>
      </c>
    </row>
    <row r="114" spans="1:168" x14ac:dyDescent="0.2">
      <c r="A114" s="34" t="s">
        <v>1094</v>
      </c>
      <c r="B114" s="32">
        <v>81.400000000000006</v>
      </c>
      <c r="C114" s="32">
        <v>93</v>
      </c>
      <c r="D114" s="32">
        <v>102.8</v>
      </c>
      <c r="E114" s="32">
        <v>107.2</v>
      </c>
      <c r="F114" s="32">
        <v>291.7</v>
      </c>
      <c r="G114" s="32">
        <v>4600.8</v>
      </c>
      <c r="H114" s="32">
        <v>356.7</v>
      </c>
      <c r="I114" s="32">
        <v>83.3</v>
      </c>
      <c r="J114" s="32">
        <v>92.6</v>
      </c>
      <c r="K114" s="32">
        <v>97.6</v>
      </c>
      <c r="L114" s="32">
        <v>95.2</v>
      </c>
      <c r="M114" s="32">
        <v>73</v>
      </c>
      <c r="N114" s="32">
        <v>89.5</v>
      </c>
      <c r="O114" s="32">
        <v>179.8</v>
      </c>
      <c r="P114" s="32">
        <v>265.5</v>
      </c>
      <c r="Q114" s="32">
        <v>140.5</v>
      </c>
      <c r="R114" s="32">
        <v>86.7</v>
      </c>
      <c r="S114" s="32">
        <v>122.5</v>
      </c>
      <c r="T114" s="32">
        <v>95.8</v>
      </c>
      <c r="U114" s="32">
        <v>74.5</v>
      </c>
      <c r="V114" s="32">
        <v>119.9</v>
      </c>
      <c r="W114" s="32">
        <v>50.4</v>
      </c>
      <c r="X114" s="32">
        <v>41.3</v>
      </c>
      <c r="Y114" s="32">
        <v>59.8</v>
      </c>
      <c r="Z114" s="32">
        <v>86.2</v>
      </c>
      <c r="AA114" s="32">
        <v>102.6</v>
      </c>
      <c r="AB114" s="32">
        <v>94.9</v>
      </c>
      <c r="AC114" s="32">
        <v>79.8</v>
      </c>
      <c r="AD114" s="32">
        <v>131.6</v>
      </c>
      <c r="AE114" s="32">
        <v>113.3</v>
      </c>
      <c r="AF114" s="32">
        <v>113.3</v>
      </c>
      <c r="AG114" s="32">
        <v>79.099999999999994</v>
      </c>
      <c r="AH114" s="32">
        <v>79.099999999999994</v>
      </c>
      <c r="AI114" s="32">
        <v>180.2</v>
      </c>
      <c r="AJ114" s="32">
        <v>76</v>
      </c>
      <c r="AK114" s="32">
        <v>446.5</v>
      </c>
      <c r="AL114" s="32">
        <v>107.9</v>
      </c>
      <c r="AM114" s="32">
        <v>49.4</v>
      </c>
      <c r="AN114" s="32">
        <v>166.1</v>
      </c>
      <c r="AO114" s="32">
        <v>95.7</v>
      </c>
      <c r="AP114" s="32">
        <v>95.7</v>
      </c>
      <c r="AQ114" s="32">
        <v>119.7</v>
      </c>
      <c r="AR114" s="32">
        <v>112.9</v>
      </c>
      <c r="AS114" s="32">
        <v>132.30000000000001</v>
      </c>
      <c r="AT114" s="32">
        <v>121</v>
      </c>
      <c r="AU114" s="32">
        <v>141.6</v>
      </c>
      <c r="AV114" s="32">
        <v>110.4</v>
      </c>
      <c r="AW114" s="32">
        <v>162.80000000000001</v>
      </c>
      <c r="AX114" s="32">
        <v>171</v>
      </c>
      <c r="AY114" s="32">
        <v>256.3</v>
      </c>
      <c r="AZ114" s="32">
        <v>103.3</v>
      </c>
      <c r="BA114" s="32">
        <v>61</v>
      </c>
      <c r="BB114" s="32">
        <v>61</v>
      </c>
      <c r="BC114" s="32">
        <v>135.4</v>
      </c>
      <c r="BD114" s="32">
        <v>135.4</v>
      </c>
      <c r="BE114" s="32">
        <v>109.2</v>
      </c>
      <c r="BF114" s="32">
        <v>109.2</v>
      </c>
      <c r="BG114" s="32">
        <v>94.2</v>
      </c>
      <c r="BH114" s="32">
        <v>71.099999999999994</v>
      </c>
      <c r="BI114" s="32">
        <v>118.2</v>
      </c>
      <c r="BJ114" s="32">
        <v>33.9</v>
      </c>
      <c r="BK114" s="32">
        <v>167.8</v>
      </c>
      <c r="BL114" s="32">
        <v>57.7</v>
      </c>
      <c r="BM114" s="32">
        <v>92.7</v>
      </c>
      <c r="BN114" s="32">
        <v>104.5</v>
      </c>
      <c r="BO114" s="32">
        <v>88.2</v>
      </c>
      <c r="BP114" s="32">
        <v>120.3</v>
      </c>
      <c r="BQ114" s="32">
        <v>80.400000000000006</v>
      </c>
      <c r="BR114" s="32">
        <v>68.2</v>
      </c>
      <c r="BS114" s="32">
        <v>180.9</v>
      </c>
      <c r="BT114" s="32">
        <v>60.4</v>
      </c>
      <c r="BU114" s="32">
        <v>126.5</v>
      </c>
      <c r="BV114" s="32">
        <v>126.5</v>
      </c>
      <c r="BW114" s="32">
        <v>187</v>
      </c>
      <c r="BX114" s="32">
        <v>46.4</v>
      </c>
      <c r="BY114" s="32">
        <v>99.6</v>
      </c>
      <c r="BZ114" s="32">
        <v>99.9</v>
      </c>
      <c r="CA114" s="32">
        <v>99.5</v>
      </c>
      <c r="CB114" s="32">
        <v>115.2</v>
      </c>
      <c r="CC114" s="32">
        <v>92.7</v>
      </c>
      <c r="CD114" s="32">
        <v>25.4</v>
      </c>
      <c r="CE114" s="32">
        <v>93.6</v>
      </c>
      <c r="CF114" s="32">
        <v>76.8</v>
      </c>
      <c r="CG114" s="32">
        <v>96.1</v>
      </c>
      <c r="CH114" s="32">
        <v>97.4</v>
      </c>
      <c r="CI114" s="32">
        <v>109.3</v>
      </c>
      <c r="CJ114" s="32">
        <v>88.2</v>
      </c>
      <c r="CK114" s="32">
        <v>102.8</v>
      </c>
      <c r="CL114" s="32">
        <v>92.2</v>
      </c>
      <c r="CM114" s="32">
        <v>101.1</v>
      </c>
      <c r="CN114" s="32">
        <v>80.599999999999994</v>
      </c>
      <c r="CO114" s="32">
        <v>101.7</v>
      </c>
      <c r="CP114" s="32">
        <v>180.6</v>
      </c>
      <c r="CQ114" s="32">
        <v>58</v>
      </c>
      <c r="CR114" s="32">
        <v>91.6</v>
      </c>
      <c r="CS114" s="32">
        <v>131.9</v>
      </c>
      <c r="CT114" s="32">
        <v>96.9</v>
      </c>
      <c r="CU114" s="32">
        <v>79.3</v>
      </c>
      <c r="CV114" s="32">
        <v>104.5</v>
      </c>
      <c r="CW114" s="32">
        <v>29.6</v>
      </c>
      <c r="CX114" s="32">
        <v>87.5</v>
      </c>
      <c r="CY114" s="32">
        <v>103.5</v>
      </c>
      <c r="CZ114" s="32">
        <v>79.099999999999994</v>
      </c>
      <c r="DA114" s="32">
        <v>65.2</v>
      </c>
      <c r="DB114" s="32">
        <v>107.5</v>
      </c>
      <c r="DC114" s="32">
        <v>4.4000000000000004</v>
      </c>
      <c r="DD114" s="32">
        <v>4.4000000000000004</v>
      </c>
      <c r="DE114" s="32">
        <v>63.3</v>
      </c>
      <c r="DF114" s="32">
        <v>59.5</v>
      </c>
      <c r="DG114" s="32">
        <v>84.9</v>
      </c>
      <c r="DH114" s="32">
        <v>91.2</v>
      </c>
      <c r="DI114" s="32">
        <v>173.7</v>
      </c>
      <c r="DJ114" s="32">
        <v>61</v>
      </c>
      <c r="DK114" s="32">
        <v>61</v>
      </c>
      <c r="DL114" s="32">
        <v>33.5</v>
      </c>
      <c r="DM114" s="32">
        <v>71.5</v>
      </c>
      <c r="DN114" s="32">
        <v>50.6</v>
      </c>
      <c r="DO114" s="32">
        <v>81.5</v>
      </c>
      <c r="DP114" s="32">
        <v>39.6</v>
      </c>
      <c r="DQ114" s="32">
        <v>69.2</v>
      </c>
      <c r="DR114" s="32">
        <v>73.599999999999994</v>
      </c>
      <c r="DS114" s="32">
        <v>68.099999999999994</v>
      </c>
      <c r="DT114" s="32">
        <v>64.3</v>
      </c>
      <c r="DU114" s="32">
        <v>67.5</v>
      </c>
      <c r="DV114" s="32">
        <v>80.8</v>
      </c>
      <c r="DW114" s="32">
        <v>54.2</v>
      </c>
      <c r="DX114" s="32">
        <v>57.9</v>
      </c>
      <c r="DY114" s="32">
        <v>81.599999999999994</v>
      </c>
      <c r="DZ114" s="32">
        <v>113.9</v>
      </c>
      <c r="EA114" s="32">
        <v>113.9</v>
      </c>
      <c r="EB114" s="32">
        <v>77.3</v>
      </c>
      <c r="EC114" s="32">
        <v>82.6</v>
      </c>
      <c r="ED114" s="32">
        <v>70.3</v>
      </c>
      <c r="EE114" s="32">
        <v>79</v>
      </c>
      <c r="EF114" s="32">
        <v>51.5</v>
      </c>
      <c r="EG114" s="32">
        <v>62.6</v>
      </c>
      <c r="EH114" s="32">
        <v>90.3</v>
      </c>
      <c r="EI114" s="32">
        <v>57.7</v>
      </c>
      <c r="EJ114" s="32">
        <v>78.7</v>
      </c>
      <c r="EK114" s="32">
        <v>51.5</v>
      </c>
      <c r="EL114" s="32">
        <v>69</v>
      </c>
      <c r="EM114" s="32">
        <v>42.7</v>
      </c>
      <c r="EN114" s="32">
        <v>54.8</v>
      </c>
      <c r="EO114" s="32">
        <v>89.5</v>
      </c>
      <c r="EP114" s="32">
        <v>89.2</v>
      </c>
      <c r="EQ114" s="32">
        <v>89.2</v>
      </c>
      <c r="ER114" s="32">
        <v>86</v>
      </c>
      <c r="ES114" s="32">
        <v>86</v>
      </c>
      <c r="ET114" s="32">
        <v>94.7</v>
      </c>
      <c r="EU114" s="32">
        <v>104.7</v>
      </c>
      <c r="EV114" s="32">
        <v>104.7</v>
      </c>
      <c r="EW114" s="32">
        <v>85</v>
      </c>
      <c r="EX114" s="32">
        <v>94.7</v>
      </c>
      <c r="EY114" s="32">
        <v>77.3</v>
      </c>
      <c r="EZ114" s="32">
        <v>99.5</v>
      </c>
      <c r="FA114" s="32">
        <v>116.1</v>
      </c>
      <c r="FB114" s="32">
        <v>128.30000000000001</v>
      </c>
      <c r="FC114" s="32">
        <v>99.2</v>
      </c>
      <c r="FD114" s="32">
        <v>128.6</v>
      </c>
      <c r="FE114" s="32">
        <v>181.1</v>
      </c>
      <c r="FF114" s="32">
        <v>102.4</v>
      </c>
      <c r="FG114" s="32">
        <v>84.7</v>
      </c>
      <c r="FH114" s="32">
        <v>89.1</v>
      </c>
      <c r="FI114" s="32">
        <v>86</v>
      </c>
      <c r="FJ114" s="32">
        <v>82.5</v>
      </c>
      <c r="FK114" s="32">
        <v>144.19999999999999</v>
      </c>
      <c r="FL114" s="32">
        <v>144.19999999999999</v>
      </c>
    </row>
    <row r="115" spans="1:168" x14ac:dyDescent="0.2">
      <c r="A115" s="34" t="s">
        <v>1095</v>
      </c>
      <c r="B115" s="32">
        <v>81.3</v>
      </c>
      <c r="C115" s="32">
        <v>93.3</v>
      </c>
      <c r="D115" s="32">
        <v>102.9</v>
      </c>
      <c r="E115" s="32">
        <v>107.2</v>
      </c>
      <c r="F115" s="32">
        <v>276.39999999999998</v>
      </c>
      <c r="G115" s="32">
        <v>4454.8</v>
      </c>
      <c r="H115" s="32">
        <v>336.1</v>
      </c>
      <c r="I115" s="32">
        <v>82</v>
      </c>
      <c r="J115" s="32">
        <v>93.2</v>
      </c>
      <c r="K115" s="32">
        <v>99</v>
      </c>
      <c r="L115" s="32">
        <v>96.3</v>
      </c>
      <c r="M115" s="32">
        <v>73.099999999999994</v>
      </c>
      <c r="N115" s="32">
        <v>89.3</v>
      </c>
      <c r="O115" s="32">
        <v>164.6</v>
      </c>
      <c r="P115" s="32">
        <v>276.3</v>
      </c>
      <c r="Q115" s="32">
        <v>145.69999999999999</v>
      </c>
      <c r="R115" s="32">
        <v>89.8</v>
      </c>
      <c r="S115" s="32">
        <v>122</v>
      </c>
      <c r="T115" s="32">
        <v>100.5</v>
      </c>
      <c r="U115" s="32">
        <v>75.400000000000006</v>
      </c>
      <c r="V115" s="32">
        <v>123</v>
      </c>
      <c r="W115" s="32">
        <v>51.4</v>
      </c>
      <c r="X115" s="32">
        <v>41.6</v>
      </c>
      <c r="Y115" s="32">
        <v>61.3</v>
      </c>
      <c r="Z115" s="32">
        <v>94.9</v>
      </c>
      <c r="AA115" s="32">
        <v>100.5</v>
      </c>
      <c r="AB115" s="32">
        <v>92.5</v>
      </c>
      <c r="AC115" s="32">
        <v>80.400000000000006</v>
      </c>
      <c r="AD115" s="32">
        <v>127.5</v>
      </c>
      <c r="AE115" s="32">
        <v>113.4</v>
      </c>
      <c r="AF115" s="32">
        <v>113.4</v>
      </c>
      <c r="AG115" s="32">
        <v>79.599999999999994</v>
      </c>
      <c r="AH115" s="32">
        <v>79.599999999999994</v>
      </c>
      <c r="AI115" s="32">
        <v>180.9</v>
      </c>
      <c r="AJ115" s="32">
        <v>76</v>
      </c>
      <c r="AK115" s="32">
        <v>436.1</v>
      </c>
      <c r="AL115" s="32">
        <v>104.1</v>
      </c>
      <c r="AM115" s="32">
        <v>49.3</v>
      </c>
      <c r="AN115" s="32">
        <v>177.4</v>
      </c>
      <c r="AO115" s="32">
        <v>96.4</v>
      </c>
      <c r="AP115" s="32">
        <v>96.4</v>
      </c>
      <c r="AQ115" s="32">
        <v>116.9</v>
      </c>
      <c r="AR115" s="32">
        <v>111</v>
      </c>
      <c r="AS115" s="32">
        <v>128.19999999999999</v>
      </c>
      <c r="AT115" s="32">
        <v>120.7</v>
      </c>
      <c r="AU115" s="32">
        <v>133.19999999999999</v>
      </c>
      <c r="AV115" s="32">
        <v>105.9</v>
      </c>
      <c r="AW115" s="32">
        <v>159.69999999999999</v>
      </c>
      <c r="AX115" s="32">
        <v>184.7</v>
      </c>
      <c r="AY115" s="32">
        <v>233.9</v>
      </c>
      <c r="AZ115" s="32">
        <v>98.4</v>
      </c>
      <c r="BA115" s="32">
        <v>66.7</v>
      </c>
      <c r="BB115" s="32">
        <v>66.7</v>
      </c>
      <c r="BC115" s="32">
        <v>130.19999999999999</v>
      </c>
      <c r="BD115" s="32">
        <v>130.19999999999999</v>
      </c>
      <c r="BE115" s="32">
        <v>107.8</v>
      </c>
      <c r="BF115" s="32">
        <v>107.8</v>
      </c>
      <c r="BG115" s="32">
        <v>97.2</v>
      </c>
      <c r="BH115" s="32">
        <v>74.099999999999994</v>
      </c>
      <c r="BI115" s="32">
        <v>121</v>
      </c>
      <c r="BJ115" s="32">
        <v>35.1</v>
      </c>
      <c r="BK115" s="32">
        <v>171.7</v>
      </c>
      <c r="BL115" s="32">
        <v>58.5</v>
      </c>
      <c r="BM115" s="32">
        <v>95.9</v>
      </c>
      <c r="BN115" s="32">
        <v>108.8</v>
      </c>
      <c r="BO115" s="32">
        <v>93.2</v>
      </c>
      <c r="BP115" s="32">
        <v>123.7</v>
      </c>
      <c r="BQ115" s="32">
        <v>82.4</v>
      </c>
      <c r="BR115" s="32">
        <v>65.7</v>
      </c>
      <c r="BS115" s="32">
        <v>178.8</v>
      </c>
      <c r="BT115" s="32">
        <v>63.3</v>
      </c>
      <c r="BU115" s="32">
        <v>130.6</v>
      </c>
      <c r="BV115" s="32">
        <v>130.6</v>
      </c>
      <c r="BW115" s="32">
        <v>189.3</v>
      </c>
      <c r="BX115" s="32">
        <v>49.4</v>
      </c>
      <c r="BY115" s="32">
        <v>97.6</v>
      </c>
      <c r="BZ115" s="32">
        <v>97.2</v>
      </c>
      <c r="CA115" s="32">
        <v>97.9</v>
      </c>
      <c r="CB115" s="32">
        <v>115.9</v>
      </c>
      <c r="CC115" s="32">
        <v>88.7</v>
      </c>
      <c r="CD115" s="32">
        <v>24.7</v>
      </c>
      <c r="CE115" s="32">
        <v>94</v>
      </c>
      <c r="CF115" s="32">
        <v>76.7</v>
      </c>
      <c r="CG115" s="32">
        <v>96.2</v>
      </c>
      <c r="CH115" s="32">
        <v>97.9</v>
      </c>
      <c r="CI115" s="32">
        <v>109.2</v>
      </c>
      <c r="CJ115" s="32">
        <v>89.7</v>
      </c>
      <c r="CK115" s="32">
        <v>102.7</v>
      </c>
      <c r="CL115" s="32">
        <v>93.8</v>
      </c>
      <c r="CM115" s="32">
        <v>104</v>
      </c>
      <c r="CN115" s="32">
        <v>81.2</v>
      </c>
      <c r="CO115" s="32">
        <v>104.9</v>
      </c>
      <c r="CP115" s="32">
        <v>175.8</v>
      </c>
      <c r="CQ115" s="32">
        <v>61.6</v>
      </c>
      <c r="CR115" s="32">
        <v>91.2</v>
      </c>
      <c r="CS115" s="32">
        <v>134.6</v>
      </c>
      <c r="CT115" s="32">
        <v>92.8</v>
      </c>
      <c r="CU115" s="32">
        <v>74.7</v>
      </c>
      <c r="CV115" s="32">
        <v>100.7</v>
      </c>
      <c r="CW115" s="32">
        <v>29.5</v>
      </c>
      <c r="CX115" s="32">
        <v>87.6</v>
      </c>
      <c r="CY115" s="32">
        <v>104.1</v>
      </c>
      <c r="CZ115" s="32">
        <v>79.099999999999994</v>
      </c>
      <c r="DA115" s="32">
        <v>65.099999999999994</v>
      </c>
      <c r="DB115" s="32">
        <v>107.7</v>
      </c>
      <c r="DC115" s="32">
        <v>4.4000000000000004</v>
      </c>
      <c r="DD115" s="32">
        <v>4.4000000000000004</v>
      </c>
      <c r="DE115" s="32">
        <v>61.8</v>
      </c>
      <c r="DF115" s="32">
        <v>58.1</v>
      </c>
      <c r="DG115" s="32">
        <v>83.6</v>
      </c>
      <c r="DH115" s="32">
        <v>90</v>
      </c>
      <c r="DI115" s="32">
        <v>176.4</v>
      </c>
      <c r="DJ115" s="32">
        <v>55.2</v>
      </c>
      <c r="DK115" s="32">
        <v>55.2</v>
      </c>
      <c r="DL115" s="32">
        <v>32.9</v>
      </c>
      <c r="DM115" s="32">
        <v>71.599999999999994</v>
      </c>
      <c r="DN115" s="32">
        <v>50.2</v>
      </c>
      <c r="DO115" s="32">
        <v>81.900000000000006</v>
      </c>
      <c r="DP115" s="32">
        <v>38.9</v>
      </c>
      <c r="DQ115" s="32">
        <v>69.8</v>
      </c>
      <c r="DR115" s="32">
        <v>74.3</v>
      </c>
      <c r="DS115" s="32">
        <v>69</v>
      </c>
      <c r="DT115" s="32">
        <v>65</v>
      </c>
      <c r="DU115" s="32">
        <v>69</v>
      </c>
      <c r="DV115" s="32">
        <v>83.2</v>
      </c>
      <c r="DW115" s="32">
        <v>54.9</v>
      </c>
      <c r="DX115" s="32">
        <v>57</v>
      </c>
      <c r="DY115" s="32">
        <v>83.5</v>
      </c>
      <c r="DZ115" s="32">
        <v>110.7</v>
      </c>
      <c r="EA115" s="32">
        <v>110.7</v>
      </c>
      <c r="EB115" s="32">
        <v>78.599999999999994</v>
      </c>
      <c r="EC115" s="32">
        <v>83.4</v>
      </c>
      <c r="ED115" s="32">
        <v>72.3</v>
      </c>
      <c r="EE115" s="32">
        <v>81.8</v>
      </c>
      <c r="EF115" s="32">
        <v>51.4</v>
      </c>
      <c r="EG115" s="32">
        <v>63</v>
      </c>
      <c r="EH115" s="32">
        <v>88.8</v>
      </c>
      <c r="EI115" s="32">
        <v>59.4</v>
      </c>
      <c r="EJ115" s="32">
        <v>77</v>
      </c>
      <c r="EK115" s="32">
        <v>52.3</v>
      </c>
      <c r="EL115" s="32">
        <v>65.7</v>
      </c>
      <c r="EM115" s="32">
        <v>42.2</v>
      </c>
      <c r="EN115" s="32">
        <v>57.3</v>
      </c>
      <c r="EO115" s="32">
        <v>89.3</v>
      </c>
      <c r="EP115" s="32">
        <v>89.3</v>
      </c>
      <c r="EQ115" s="32">
        <v>89.3</v>
      </c>
      <c r="ER115" s="32">
        <v>85.3</v>
      </c>
      <c r="ES115" s="32">
        <v>85.3</v>
      </c>
      <c r="ET115" s="32">
        <v>94.8</v>
      </c>
      <c r="EU115" s="32">
        <v>104.9</v>
      </c>
      <c r="EV115" s="32">
        <v>104.9</v>
      </c>
      <c r="EW115" s="32">
        <v>85</v>
      </c>
      <c r="EX115" s="32">
        <v>94.9</v>
      </c>
      <c r="EY115" s="32">
        <v>77.099999999999994</v>
      </c>
      <c r="EZ115" s="32">
        <v>97.9</v>
      </c>
      <c r="FA115" s="32">
        <v>114.9</v>
      </c>
      <c r="FB115" s="32">
        <v>125.3</v>
      </c>
      <c r="FC115" s="32">
        <v>96.1</v>
      </c>
      <c r="FD115" s="32">
        <v>128.9</v>
      </c>
      <c r="FE115" s="32">
        <v>176.4</v>
      </c>
      <c r="FF115" s="32">
        <v>103.2</v>
      </c>
      <c r="FG115" s="32">
        <v>84.2</v>
      </c>
      <c r="FH115" s="32">
        <v>91.6</v>
      </c>
      <c r="FI115" s="32">
        <v>78.400000000000006</v>
      </c>
      <c r="FJ115" s="32">
        <v>81.599999999999994</v>
      </c>
      <c r="FK115" s="32">
        <v>120.1</v>
      </c>
      <c r="FL115" s="32">
        <v>120.1</v>
      </c>
    </row>
    <row r="116" spans="1:168" x14ac:dyDescent="0.2">
      <c r="A116" s="34" t="s">
        <v>1096</v>
      </c>
      <c r="B116" s="32">
        <v>81.7</v>
      </c>
      <c r="C116" s="32">
        <v>93</v>
      </c>
      <c r="D116" s="32">
        <v>103.9</v>
      </c>
      <c r="E116" s="32">
        <v>108.4</v>
      </c>
      <c r="F116" s="32">
        <v>270.7</v>
      </c>
      <c r="G116" s="32">
        <v>4281.7</v>
      </c>
      <c r="H116" s="32">
        <v>327.3</v>
      </c>
      <c r="I116" s="32">
        <v>83.3</v>
      </c>
      <c r="J116" s="32">
        <v>94.8</v>
      </c>
      <c r="K116" s="32">
        <v>100.3</v>
      </c>
      <c r="L116" s="32">
        <v>97.9</v>
      </c>
      <c r="M116" s="32">
        <v>76.3</v>
      </c>
      <c r="N116" s="32">
        <v>90.5</v>
      </c>
      <c r="O116" s="32">
        <v>152.9</v>
      </c>
      <c r="P116" s="32">
        <v>288.39999999999998</v>
      </c>
      <c r="Q116" s="32">
        <v>151</v>
      </c>
      <c r="R116" s="32">
        <v>89.7</v>
      </c>
      <c r="S116" s="32">
        <v>122.6</v>
      </c>
      <c r="T116" s="32">
        <v>102.5</v>
      </c>
      <c r="U116" s="32">
        <v>74.400000000000006</v>
      </c>
      <c r="V116" s="32">
        <v>124</v>
      </c>
      <c r="W116" s="32">
        <v>50.8</v>
      </c>
      <c r="X116" s="32">
        <v>42</v>
      </c>
      <c r="Y116" s="32">
        <v>57.6</v>
      </c>
      <c r="Z116" s="32">
        <v>100.1</v>
      </c>
      <c r="AA116" s="32">
        <v>103.8</v>
      </c>
      <c r="AB116" s="32">
        <v>99.7</v>
      </c>
      <c r="AC116" s="32">
        <v>80.599999999999994</v>
      </c>
      <c r="AD116" s="32">
        <v>131.19999999999999</v>
      </c>
      <c r="AE116" s="32">
        <v>106.2</v>
      </c>
      <c r="AF116" s="32">
        <v>106.2</v>
      </c>
      <c r="AG116" s="32">
        <v>80.2</v>
      </c>
      <c r="AH116" s="32">
        <v>80.2</v>
      </c>
      <c r="AI116" s="32">
        <v>190.5</v>
      </c>
      <c r="AJ116" s="32">
        <v>76.5</v>
      </c>
      <c r="AK116" s="32">
        <v>406.5</v>
      </c>
      <c r="AL116" s="32">
        <v>106.3</v>
      </c>
      <c r="AM116" s="32">
        <v>49.3</v>
      </c>
      <c r="AN116" s="32">
        <v>179.9</v>
      </c>
      <c r="AO116" s="32">
        <v>99.2</v>
      </c>
      <c r="AP116" s="32">
        <v>99.2</v>
      </c>
      <c r="AQ116" s="32">
        <v>116.2</v>
      </c>
      <c r="AR116" s="32">
        <v>111.4</v>
      </c>
      <c r="AS116" s="32">
        <v>126</v>
      </c>
      <c r="AT116" s="32">
        <v>118.7</v>
      </c>
      <c r="AU116" s="32">
        <v>130.69999999999999</v>
      </c>
      <c r="AV116" s="32">
        <v>108.2</v>
      </c>
      <c r="AW116" s="32">
        <v>163.80000000000001</v>
      </c>
      <c r="AX116" s="32">
        <v>201.5</v>
      </c>
      <c r="AY116" s="32">
        <v>227.2</v>
      </c>
      <c r="AZ116" s="32">
        <v>100.3</v>
      </c>
      <c r="BA116" s="32">
        <v>66.7</v>
      </c>
      <c r="BB116" s="32">
        <v>66.7</v>
      </c>
      <c r="BC116" s="32">
        <v>136.4</v>
      </c>
      <c r="BD116" s="32">
        <v>136.4</v>
      </c>
      <c r="BE116" s="32">
        <v>109.2</v>
      </c>
      <c r="BF116" s="32">
        <v>109.2</v>
      </c>
      <c r="BG116" s="32">
        <v>100</v>
      </c>
      <c r="BH116" s="32">
        <v>77.2</v>
      </c>
      <c r="BI116" s="32">
        <v>123.1</v>
      </c>
      <c r="BJ116" s="32">
        <v>35.799999999999997</v>
      </c>
      <c r="BK116" s="32">
        <v>174.4</v>
      </c>
      <c r="BL116" s="32">
        <v>60.3</v>
      </c>
      <c r="BM116" s="32">
        <v>99.5</v>
      </c>
      <c r="BN116" s="32">
        <v>111.4</v>
      </c>
      <c r="BO116" s="32">
        <v>97.3</v>
      </c>
      <c r="BP116" s="32">
        <v>124.6</v>
      </c>
      <c r="BQ116" s="32">
        <v>87.3</v>
      </c>
      <c r="BR116" s="32">
        <v>87.9</v>
      </c>
      <c r="BS116" s="32">
        <v>174.8</v>
      </c>
      <c r="BT116" s="32">
        <v>67.400000000000006</v>
      </c>
      <c r="BU116" s="32">
        <v>135.1</v>
      </c>
      <c r="BV116" s="32">
        <v>135.1</v>
      </c>
      <c r="BW116" s="32">
        <v>190.2</v>
      </c>
      <c r="BX116" s="32">
        <v>53.9</v>
      </c>
      <c r="BY116" s="32">
        <v>95.8</v>
      </c>
      <c r="BZ116" s="32">
        <v>99.3</v>
      </c>
      <c r="CA116" s="32">
        <v>94.3</v>
      </c>
      <c r="CB116" s="32">
        <v>113</v>
      </c>
      <c r="CC116" s="32">
        <v>84</v>
      </c>
      <c r="CD116" s="32">
        <v>22.9</v>
      </c>
      <c r="CE116" s="32">
        <v>94.3</v>
      </c>
      <c r="CF116" s="32">
        <v>76.900000000000006</v>
      </c>
      <c r="CG116" s="32">
        <v>97.1</v>
      </c>
      <c r="CH116" s="32">
        <v>99.1</v>
      </c>
      <c r="CI116" s="32">
        <v>107.5</v>
      </c>
      <c r="CJ116" s="32">
        <v>92</v>
      </c>
      <c r="CK116" s="32">
        <v>103.7</v>
      </c>
      <c r="CL116" s="32">
        <v>94.9</v>
      </c>
      <c r="CM116" s="32">
        <v>104</v>
      </c>
      <c r="CN116" s="32">
        <v>83.1</v>
      </c>
      <c r="CO116" s="32">
        <v>104.5</v>
      </c>
      <c r="CP116" s="32">
        <v>168.4</v>
      </c>
      <c r="CQ116" s="32">
        <v>64.5</v>
      </c>
      <c r="CR116" s="32">
        <v>95.1</v>
      </c>
      <c r="CS116" s="32">
        <v>135.1</v>
      </c>
      <c r="CT116" s="32">
        <v>92.4</v>
      </c>
      <c r="CU116" s="32">
        <v>75.5</v>
      </c>
      <c r="CV116" s="32">
        <v>99.7</v>
      </c>
      <c r="CW116" s="32">
        <v>29.3</v>
      </c>
      <c r="CX116" s="32">
        <v>85</v>
      </c>
      <c r="CY116" s="32">
        <v>102.3</v>
      </c>
      <c r="CZ116" s="32">
        <v>75.8</v>
      </c>
      <c r="DA116" s="32">
        <v>61.9</v>
      </c>
      <c r="DB116" s="32">
        <v>104.7</v>
      </c>
      <c r="DC116" s="32">
        <v>4.4000000000000004</v>
      </c>
      <c r="DD116" s="32">
        <v>4.4000000000000004</v>
      </c>
      <c r="DE116" s="32">
        <v>62.2</v>
      </c>
      <c r="DF116" s="32">
        <v>58.4</v>
      </c>
      <c r="DG116" s="32">
        <v>83.8</v>
      </c>
      <c r="DH116" s="32">
        <v>89.2</v>
      </c>
      <c r="DI116" s="32">
        <v>177.6</v>
      </c>
      <c r="DJ116" s="32">
        <v>50.6</v>
      </c>
      <c r="DK116" s="32">
        <v>50.6</v>
      </c>
      <c r="DL116" s="32">
        <v>34</v>
      </c>
      <c r="DM116" s="32">
        <v>72.099999999999994</v>
      </c>
      <c r="DN116" s="32">
        <v>50.5</v>
      </c>
      <c r="DO116" s="32">
        <v>82.5</v>
      </c>
      <c r="DP116" s="32">
        <v>38.299999999999997</v>
      </c>
      <c r="DQ116" s="32">
        <v>70.3</v>
      </c>
      <c r="DR116" s="32">
        <v>74.8</v>
      </c>
      <c r="DS116" s="32">
        <v>69.5</v>
      </c>
      <c r="DT116" s="32">
        <v>65.400000000000006</v>
      </c>
      <c r="DU116" s="32">
        <v>69.7</v>
      </c>
      <c r="DV116" s="32">
        <v>83.6</v>
      </c>
      <c r="DW116" s="32">
        <v>55.8</v>
      </c>
      <c r="DX116" s="32">
        <v>56.7</v>
      </c>
      <c r="DY116" s="32">
        <v>84.4</v>
      </c>
      <c r="DZ116" s="32">
        <v>110.7</v>
      </c>
      <c r="EA116" s="32">
        <v>110.7</v>
      </c>
      <c r="EB116" s="32">
        <v>79.2</v>
      </c>
      <c r="EC116" s="32">
        <v>84.2</v>
      </c>
      <c r="ED116" s="32">
        <v>72.5</v>
      </c>
      <c r="EE116" s="32">
        <v>82.1</v>
      </c>
      <c r="EF116" s="32">
        <v>51.5</v>
      </c>
      <c r="EG116" s="32">
        <v>63.5</v>
      </c>
      <c r="EH116" s="32">
        <v>88.7</v>
      </c>
      <c r="EI116" s="32">
        <v>60.3</v>
      </c>
      <c r="EJ116" s="32">
        <v>76.5</v>
      </c>
      <c r="EK116" s="32">
        <v>52.8</v>
      </c>
      <c r="EL116" s="32">
        <v>66.5</v>
      </c>
      <c r="EM116" s="32">
        <v>43.7</v>
      </c>
      <c r="EN116" s="32">
        <v>57</v>
      </c>
      <c r="EO116" s="32">
        <v>89.1</v>
      </c>
      <c r="EP116" s="32">
        <v>89.5</v>
      </c>
      <c r="EQ116" s="32">
        <v>89.5</v>
      </c>
      <c r="ER116" s="32">
        <v>85.1</v>
      </c>
      <c r="ES116" s="32">
        <v>85.1</v>
      </c>
      <c r="ET116" s="32">
        <v>94.2</v>
      </c>
      <c r="EU116" s="32">
        <v>104.2</v>
      </c>
      <c r="EV116" s="32">
        <v>104.2</v>
      </c>
      <c r="EW116" s="32">
        <v>84.6</v>
      </c>
      <c r="EX116" s="32">
        <v>94.6</v>
      </c>
      <c r="EY116" s="32">
        <v>76.7</v>
      </c>
      <c r="EZ116" s="32">
        <v>98.4</v>
      </c>
      <c r="FA116" s="32">
        <v>116.1</v>
      </c>
      <c r="FB116" s="32">
        <v>127.3</v>
      </c>
      <c r="FC116" s="32">
        <v>100.5</v>
      </c>
      <c r="FD116" s="32">
        <v>129</v>
      </c>
      <c r="FE116" s="32">
        <v>174.3</v>
      </c>
      <c r="FF116" s="32">
        <v>103.7</v>
      </c>
      <c r="FG116" s="32">
        <v>84.4</v>
      </c>
      <c r="FH116" s="32">
        <v>91.5</v>
      </c>
      <c r="FI116" s="32">
        <v>83.6</v>
      </c>
      <c r="FJ116" s="32">
        <v>81.5</v>
      </c>
      <c r="FK116" s="32">
        <v>115</v>
      </c>
      <c r="FL116" s="32">
        <v>115</v>
      </c>
    </row>
    <row r="117" spans="1:168" x14ac:dyDescent="0.2">
      <c r="A117" s="34" t="s">
        <v>1097</v>
      </c>
      <c r="B117" s="32">
        <v>81.5</v>
      </c>
      <c r="C117" s="32">
        <v>92.4</v>
      </c>
      <c r="D117" s="32">
        <v>104.1</v>
      </c>
      <c r="E117" s="32">
        <v>108.7</v>
      </c>
      <c r="F117" s="32">
        <v>265.39999999999998</v>
      </c>
      <c r="G117" s="32">
        <v>4572.8999999999996</v>
      </c>
      <c r="H117" s="32">
        <v>320.60000000000002</v>
      </c>
      <c r="I117" s="32">
        <v>82.2</v>
      </c>
      <c r="J117" s="32">
        <v>95.7</v>
      </c>
      <c r="K117" s="32">
        <v>101.3</v>
      </c>
      <c r="L117" s="32">
        <v>99.7</v>
      </c>
      <c r="M117" s="32">
        <v>75.8</v>
      </c>
      <c r="N117" s="32">
        <v>90.7</v>
      </c>
      <c r="O117" s="32">
        <v>139.6</v>
      </c>
      <c r="P117" s="32">
        <v>293.10000000000002</v>
      </c>
      <c r="Q117" s="32">
        <v>148.19999999999999</v>
      </c>
      <c r="R117" s="32">
        <v>90.7</v>
      </c>
      <c r="S117" s="32">
        <v>127.4</v>
      </c>
      <c r="T117" s="32">
        <v>112.3</v>
      </c>
      <c r="U117" s="32">
        <v>69.8</v>
      </c>
      <c r="V117" s="32">
        <v>122.8</v>
      </c>
      <c r="W117" s="32">
        <v>52.1</v>
      </c>
      <c r="X117" s="32">
        <v>42.7</v>
      </c>
      <c r="Y117" s="32">
        <v>60.7</v>
      </c>
      <c r="Z117" s="32">
        <v>97.1</v>
      </c>
      <c r="AA117" s="32">
        <v>102.3</v>
      </c>
      <c r="AB117" s="32">
        <v>102.8</v>
      </c>
      <c r="AC117" s="32">
        <v>78.099999999999994</v>
      </c>
      <c r="AD117" s="32">
        <v>127.9</v>
      </c>
      <c r="AE117" s="32">
        <v>107.6</v>
      </c>
      <c r="AF117" s="32">
        <v>107.6</v>
      </c>
      <c r="AG117" s="32">
        <v>80.099999999999994</v>
      </c>
      <c r="AH117" s="32">
        <v>80.099999999999994</v>
      </c>
      <c r="AI117" s="32">
        <v>210.4</v>
      </c>
      <c r="AJ117" s="32">
        <v>74.8</v>
      </c>
      <c r="AK117" s="32">
        <v>398</v>
      </c>
      <c r="AL117" s="32">
        <v>106.8</v>
      </c>
      <c r="AM117" s="32">
        <v>47.2</v>
      </c>
      <c r="AN117" s="32">
        <v>187</v>
      </c>
      <c r="AO117" s="32">
        <v>106.1</v>
      </c>
      <c r="AP117" s="32">
        <v>106.1</v>
      </c>
      <c r="AQ117" s="32">
        <v>115.4</v>
      </c>
      <c r="AR117" s="32">
        <v>111.1</v>
      </c>
      <c r="AS117" s="32">
        <v>124.2</v>
      </c>
      <c r="AT117" s="32">
        <v>116</v>
      </c>
      <c r="AU117" s="32">
        <v>130.30000000000001</v>
      </c>
      <c r="AV117" s="32">
        <v>108.7</v>
      </c>
      <c r="AW117" s="32">
        <v>157.6</v>
      </c>
      <c r="AX117" s="32">
        <v>190.2</v>
      </c>
      <c r="AY117" s="32">
        <v>222.2</v>
      </c>
      <c r="AZ117" s="32">
        <v>102.5</v>
      </c>
      <c r="BA117" s="32">
        <v>67.5</v>
      </c>
      <c r="BB117" s="32">
        <v>67.5</v>
      </c>
      <c r="BC117" s="32">
        <v>139.19999999999999</v>
      </c>
      <c r="BD117" s="32">
        <v>139.19999999999999</v>
      </c>
      <c r="BE117" s="32">
        <v>110.2</v>
      </c>
      <c r="BF117" s="32">
        <v>110.2</v>
      </c>
      <c r="BG117" s="32">
        <v>100.3</v>
      </c>
      <c r="BH117" s="32">
        <v>75.400000000000006</v>
      </c>
      <c r="BI117" s="32">
        <v>126.2</v>
      </c>
      <c r="BJ117" s="32">
        <v>37.6</v>
      </c>
      <c r="BK117" s="32">
        <v>178.1</v>
      </c>
      <c r="BL117" s="32">
        <v>63.2</v>
      </c>
      <c r="BM117" s="32">
        <v>100.3</v>
      </c>
      <c r="BN117" s="32">
        <v>114</v>
      </c>
      <c r="BO117" s="32">
        <v>101.2</v>
      </c>
      <c r="BP117" s="32">
        <v>125.7</v>
      </c>
      <c r="BQ117" s="32">
        <v>86</v>
      </c>
      <c r="BR117" s="32">
        <v>67.900000000000006</v>
      </c>
      <c r="BS117" s="32">
        <v>188</v>
      </c>
      <c r="BT117" s="32">
        <v>66</v>
      </c>
      <c r="BU117" s="32">
        <v>132.6</v>
      </c>
      <c r="BV117" s="32">
        <v>132.6</v>
      </c>
      <c r="BW117" s="32">
        <v>186</v>
      </c>
      <c r="BX117" s="32">
        <v>52.8</v>
      </c>
      <c r="BY117" s="32">
        <v>94.6</v>
      </c>
      <c r="BZ117" s="32">
        <v>96.1</v>
      </c>
      <c r="CA117" s="32">
        <v>94</v>
      </c>
      <c r="CB117" s="32">
        <v>114.1</v>
      </c>
      <c r="CC117" s="32">
        <v>82.5</v>
      </c>
      <c r="CD117" s="32">
        <v>22.6</v>
      </c>
      <c r="CE117" s="32">
        <v>94.5</v>
      </c>
      <c r="CF117" s="32">
        <v>76.599999999999994</v>
      </c>
      <c r="CG117" s="32">
        <v>97.2</v>
      </c>
      <c r="CH117" s="32">
        <v>98.6</v>
      </c>
      <c r="CI117" s="32">
        <v>108.1</v>
      </c>
      <c r="CJ117" s="32">
        <v>91.4</v>
      </c>
      <c r="CK117" s="32">
        <v>102.9</v>
      </c>
      <c r="CL117" s="32">
        <v>95.9</v>
      </c>
      <c r="CM117" s="32">
        <v>105.9</v>
      </c>
      <c r="CN117" s="32">
        <v>83.3</v>
      </c>
      <c r="CO117" s="32">
        <v>106.8</v>
      </c>
      <c r="CP117" s="32">
        <v>159.80000000000001</v>
      </c>
      <c r="CQ117" s="32">
        <v>65.900000000000006</v>
      </c>
      <c r="CR117" s="32">
        <v>99.9</v>
      </c>
      <c r="CS117" s="32">
        <v>129.19999999999999</v>
      </c>
      <c r="CT117" s="32">
        <v>93.6</v>
      </c>
      <c r="CU117" s="32">
        <v>78.099999999999994</v>
      </c>
      <c r="CV117" s="32">
        <v>100.2</v>
      </c>
      <c r="CW117" s="32">
        <v>28.8</v>
      </c>
      <c r="CX117" s="32">
        <v>81.400000000000006</v>
      </c>
      <c r="CY117" s="32">
        <v>96.8</v>
      </c>
      <c r="CZ117" s="32">
        <v>73.3</v>
      </c>
      <c r="DA117" s="32">
        <v>59.9</v>
      </c>
      <c r="DB117" s="32">
        <v>101.2</v>
      </c>
      <c r="DC117" s="32">
        <v>4.5</v>
      </c>
      <c r="DD117" s="32">
        <v>4.5</v>
      </c>
      <c r="DE117" s="32">
        <v>59.9</v>
      </c>
      <c r="DF117" s="32">
        <v>56.8</v>
      </c>
      <c r="DG117" s="32">
        <v>77.599999999999994</v>
      </c>
      <c r="DH117" s="32">
        <v>87.7</v>
      </c>
      <c r="DI117" s="32">
        <v>176.8</v>
      </c>
      <c r="DJ117" s="32">
        <v>46.3</v>
      </c>
      <c r="DK117" s="32">
        <v>46.3</v>
      </c>
      <c r="DL117" s="32">
        <v>34.5</v>
      </c>
      <c r="DM117" s="32">
        <v>72.400000000000006</v>
      </c>
      <c r="DN117" s="32">
        <v>50.6</v>
      </c>
      <c r="DO117" s="32">
        <v>82.9</v>
      </c>
      <c r="DP117" s="32">
        <v>37.6</v>
      </c>
      <c r="DQ117" s="32">
        <v>70</v>
      </c>
      <c r="DR117" s="32">
        <v>75.400000000000006</v>
      </c>
      <c r="DS117" s="32">
        <v>70.599999999999994</v>
      </c>
      <c r="DT117" s="32">
        <v>66.8</v>
      </c>
      <c r="DU117" s="32">
        <v>71.7</v>
      </c>
      <c r="DV117" s="32">
        <v>85.3</v>
      </c>
      <c r="DW117" s="32">
        <v>58.1</v>
      </c>
      <c r="DX117" s="32">
        <v>56.7</v>
      </c>
      <c r="DY117" s="32">
        <v>84.4</v>
      </c>
      <c r="DZ117" s="32">
        <v>109.8</v>
      </c>
      <c r="EA117" s="32">
        <v>109.8</v>
      </c>
      <c r="EB117" s="32">
        <v>79.3</v>
      </c>
      <c r="EC117" s="32">
        <v>85.4</v>
      </c>
      <c r="ED117" s="32">
        <v>71</v>
      </c>
      <c r="EE117" s="32">
        <v>80</v>
      </c>
      <c r="EF117" s="32">
        <v>51.3</v>
      </c>
      <c r="EG117" s="32">
        <v>61.9</v>
      </c>
      <c r="EH117" s="32">
        <v>87.1</v>
      </c>
      <c r="EI117" s="32">
        <v>58</v>
      </c>
      <c r="EJ117" s="32">
        <v>76.599999999999994</v>
      </c>
      <c r="EK117" s="32">
        <v>51.4</v>
      </c>
      <c r="EL117" s="32">
        <v>66.5</v>
      </c>
      <c r="EM117" s="32">
        <v>42.3</v>
      </c>
      <c r="EN117" s="32">
        <v>55.4</v>
      </c>
      <c r="EO117" s="32">
        <v>88.6</v>
      </c>
      <c r="EP117" s="32">
        <v>89.8</v>
      </c>
      <c r="EQ117" s="32">
        <v>89.8</v>
      </c>
      <c r="ER117" s="32">
        <v>84.3</v>
      </c>
      <c r="ES117" s="32">
        <v>84.3</v>
      </c>
      <c r="ET117" s="32">
        <v>93.4</v>
      </c>
      <c r="EU117" s="32">
        <v>103.2</v>
      </c>
      <c r="EV117" s="32">
        <v>103.2</v>
      </c>
      <c r="EW117" s="32">
        <v>84</v>
      </c>
      <c r="EX117" s="32">
        <v>94</v>
      </c>
      <c r="EY117" s="32">
        <v>76.099999999999994</v>
      </c>
      <c r="EZ117" s="32">
        <v>98.6</v>
      </c>
      <c r="FA117" s="32">
        <v>116.7</v>
      </c>
      <c r="FB117" s="32">
        <v>127</v>
      </c>
      <c r="FC117" s="32">
        <v>100.5</v>
      </c>
      <c r="FD117" s="32">
        <v>128.30000000000001</v>
      </c>
      <c r="FE117" s="32">
        <v>173.7</v>
      </c>
      <c r="FF117" s="32">
        <v>105.2</v>
      </c>
      <c r="FG117" s="32">
        <v>84.1</v>
      </c>
      <c r="FH117" s="32">
        <v>88</v>
      </c>
      <c r="FI117" s="32">
        <v>93.6</v>
      </c>
      <c r="FJ117" s="32">
        <v>81.3</v>
      </c>
      <c r="FK117" s="32">
        <v>119.7</v>
      </c>
      <c r="FL117" s="32">
        <v>119.7</v>
      </c>
    </row>
    <row r="118" spans="1:168" x14ac:dyDescent="0.2">
      <c r="A118" s="34" t="s">
        <v>1098</v>
      </c>
      <c r="B118" s="32">
        <v>81.8</v>
      </c>
      <c r="C118" s="32">
        <v>92</v>
      </c>
      <c r="D118" s="32">
        <v>104.7</v>
      </c>
      <c r="E118" s="32">
        <v>109.6</v>
      </c>
      <c r="F118" s="32">
        <v>254.5</v>
      </c>
      <c r="G118" s="32">
        <v>4618.8999999999996</v>
      </c>
      <c r="H118" s="32">
        <v>302.89999999999998</v>
      </c>
      <c r="I118" s="32">
        <v>85.2</v>
      </c>
      <c r="J118" s="32">
        <v>97.4</v>
      </c>
      <c r="K118" s="32">
        <v>102.2</v>
      </c>
      <c r="L118" s="32">
        <v>99.4</v>
      </c>
      <c r="M118" s="32">
        <v>79.7</v>
      </c>
      <c r="N118" s="32">
        <v>91.6</v>
      </c>
      <c r="O118" s="32">
        <v>132.9</v>
      </c>
      <c r="P118" s="32">
        <v>290.10000000000002</v>
      </c>
      <c r="Q118" s="32">
        <v>148.69999999999999</v>
      </c>
      <c r="R118" s="32">
        <v>90.7</v>
      </c>
      <c r="S118" s="32">
        <v>125</v>
      </c>
      <c r="T118" s="32">
        <v>102.4</v>
      </c>
      <c r="U118" s="32">
        <v>75.599999999999994</v>
      </c>
      <c r="V118" s="32">
        <v>128</v>
      </c>
      <c r="W118" s="32">
        <v>51.7</v>
      </c>
      <c r="X118" s="32">
        <v>44</v>
      </c>
      <c r="Y118" s="32">
        <v>56.3</v>
      </c>
      <c r="Z118" s="32">
        <v>101.2</v>
      </c>
      <c r="AA118" s="32">
        <v>103.7</v>
      </c>
      <c r="AB118" s="32">
        <v>102.4</v>
      </c>
      <c r="AC118" s="32">
        <v>80</v>
      </c>
      <c r="AD118" s="32">
        <v>130.1</v>
      </c>
      <c r="AE118" s="32">
        <v>120.2</v>
      </c>
      <c r="AF118" s="32">
        <v>120.2</v>
      </c>
      <c r="AG118" s="32">
        <v>82.2</v>
      </c>
      <c r="AH118" s="32">
        <v>82.2</v>
      </c>
      <c r="AI118" s="32">
        <v>228.5</v>
      </c>
      <c r="AJ118" s="32">
        <v>75.7</v>
      </c>
      <c r="AK118" s="32">
        <v>392.8</v>
      </c>
      <c r="AL118" s="32">
        <v>106.9</v>
      </c>
      <c r="AM118" s="32">
        <v>48.2</v>
      </c>
      <c r="AN118" s="32">
        <v>195.9</v>
      </c>
      <c r="AO118" s="32">
        <v>109.3</v>
      </c>
      <c r="AP118" s="32">
        <v>109.3</v>
      </c>
      <c r="AQ118" s="32">
        <v>115.9</v>
      </c>
      <c r="AR118" s="32">
        <v>111.8</v>
      </c>
      <c r="AS118" s="32">
        <v>124.4</v>
      </c>
      <c r="AT118" s="32">
        <v>114.3</v>
      </c>
      <c r="AU118" s="32">
        <v>132.69999999999999</v>
      </c>
      <c r="AV118" s="32">
        <v>108.4</v>
      </c>
      <c r="AW118" s="32">
        <v>161.69999999999999</v>
      </c>
      <c r="AX118" s="32">
        <v>206.4</v>
      </c>
      <c r="AY118" s="32">
        <v>216</v>
      </c>
      <c r="AZ118" s="32">
        <v>101.2</v>
      </c>
      <c r="BA118" s="32">
        <v>70.599999999999994</v>
      </c>
      <c r="BB118" s="32">
        <v>70.599999999999994</v>
      </c>
      <c r="BC118" s="32">
        <v>140.1</v>
      </c>
      <c r="BD118" s="32">
        <v>140.1</v>
      </c>
      <c r="BE118" s="32">
        <v>113</v>
      </c>
      <c r="BF118" s="32">
        <v>113</v>
      </c>
      <c r="BG118" s="32">
        <v>102.4</v>
      </c>
      <c r="BH118" s="32">
        <v>77.400000000000006</v>
      </c>
      <c r="BI118" s="32">
        <v>128.30000000000001</v>
      </c>
      <c r="BJ118" s="32">
        <v>38.200000000000003</v>
      </c>
      <c r="BK118" s="32">
        <v>181.1</v>
      </c>
      <c r="BL118" s="32">
        <v>63.5</v>
      </c>
      <c r="BM118" s="32">
        <v>103</v>
      </c>
      <c r="BN118" s="32">
        <v>117.1</v>
      </c>
      <c r="BO118" s="32">
        <v>97.8</v>
      </c>
      <c r="BP118" s="32">
        <v>135.80000000000001</v>
      </c>
      <c r="BQ118" s="32">
        <v>88.2</v>
      </c>
      <c r="BR118" s="32">
        <v>72.3</v>
      </c>
      <c r="BS118" s="32">
        <v>192.7</v>
      </c>
      <c r="BT118" s="32">
        <v>67.400000000000006</v>
      </c>
      <c r="BU118" s="32">
        <v>132</v>
      </c>
      <c r="BV118" s="32">
        <v>132</v>
      </c>
      <c r="BW118" s="32">
        <v>189.3</v>
      </c>
      <c r="BX118" s="32">
        <v>49.7</v>
      </c>
      <c r="BY118" s="32">
        <v>93.8</v>
      </c>
      <c r="BZ118" s="32">
        <v>94.8</v>
      </c>
      <c r="CA118" s="32">
        <v>93.4</v>
      </c>
      <c r="CB118" s="32">
        <v>114</v>
      </c>
      <c r="CC118" s="32">
        <v>81.3</v>
      </c>
      <c r="CD118" s="32">
        <v>21.8</v>
      </c>
      <c r="CE118" s="32">
        <v>94.6</v>
      </c>
      <c r="CF118" s="32">
        <v>76.900000000000006</v>
      </c>
      <c r="CG118" s="32">
        <v>97.9</v>
      </c>
      <c r="CH118" s="32">
        <v>99.6</v>
      </c>
      <c r="CI118" s="32">
        <v>108.5</v>
      </c>
      <c r="CJ118" s="32">
        <v>92.9</v>
      </c>
      <c r="CK118" s="32">
        <v>103.7</v>
      </c>
      <c r="CL118" s="32">
        <v>96.7</v>
      </c>
      <c r="CM118" s="32">
        <v>107.5</v>
      </c>
      <c r="CN118" s="32">
        <v>84.3</v>
      </c>
      <c r="CO118" s="32">
        <v>108.4</v>
      </c>
      <c r="CP118" s="32">
        <v>153.4</v>
      </c>
      <c r="CQ118" s="32">
        <v>67.5</v>
      </c>
      <c r="CR118" s="32">
        <v>101.2</v>
      </c>
      <c r="CS118" s="32">
        <v>128.9</v>
      </c>
      <c r="CT118" s="32">
        <v>93.1</v>
      </c>
      <c r="CU118" s="32">
        <v>76.8</v>
      </c>
      <c r="CV118" s="32">
        <v>100.1</v>
      </c>
      <c r="CW118" s="32">
        <v>29.3</v>
      </c>
      <c r="CX118" s="32">
        <v>83.8</v>
      </c>
      <c r="CY118" s="32">
        <v>101.7</v>
      </c>
      <c r="CZ118" s="32">
        <v>74.3</v>
      </c>
      <c r="DA118" s="32">
        <v>62.1</v>
      </c>
      <c r="DB118" s="32">
        <v>99</v>
      </c>
      <c r="DC118" s="32">
        <v>4.5999999999999996</v>
      </c>
      <c r="DD118" s="32">
        <v>4.5999999999999996</v>
      </c>
      <c r="DE118" s="32">
        <v>60.5</v>
      </c>
      <c r="DF118" s="32">
        <v>57</v>
      </c>
      <c r="DG118" s="32">
        <v>81</v>
      </c>
      <c r="DH118" s="32">
        <v>87.3</v>
      </c>
      <c r="DI118" s="32">
        <v>177.6</v>
      </c>
      <c r="DJ118" s="32">
        <v>43.1</v>
      </c>
      <c r="DK118" s="32">
        <v>43.1</v>
      </c>
      <c r="DL118" s="32">
        <v>35.700000000000003</v>
      </c>
      <c r="DM118" s="32">
        <v>72.599999999999994</v>
      </c>
      <c r="DN118" s="32">
        <v>50.7</v>
      </c>
      <c r="DO118" s="32">
        <v>83.2</v>
      </c>
      <c r="DP118" s="32">
        <v>37.1</v>
      </c>
      <c r="DQ118" s="32">
        <v>70.2</v>
      </c>
      <c r="DR118" s="32">
        <v>75.3</v>
      </c>
      <c r="DS118" s="32">
        <v>70.5</v>
      </c>
      <c r="DT118" s="32">
        <v>66.2</v>
      </c>
      <c r="DU118" s="32">
        <v>71</v>
      </c>
      <c r="DV118" s="32">
        <v>83.8</v>
      </c>
      <c r="DW118" s="32">
        <v>58.2</v>
      </c>
      <c r="DX118" s="32">
        <v>56.5</v>
      </c>
      <c r="DY118" s="32">
        <v>85.8</v>
      </c>
      <c r="DZ118" s="32">
        <v>111.5</v>
      </c>
      <c r="EA118" s="32">
        <v>111.5</v>
      </c>
      <c r="EB118" s="32">
        <v>78.099999999999994</v>
      </c>
      <c r="EC118" s="32">
        <v>83.4</v>
      </c>
      <c r="ED118" s="32">
        <v>71.099999999999994</v>
      </c>
      <c r="EE118" s="32">
        <v>80.2</v>
      </c>
      <c r="EF118" s="32">
        <v>51.1</v>
      </c>
      <c r="EG118" s="32">
        <v>62.6</v>
      </c>
      <c r="EH118" s="32">
        <v>87</v>
      </c>
      <c r="EI118" s="32">
        <v>59.6</v>
      </c>
      <c r="EJ118" s="32">
        <v>77.5</v>
      </c>
      <c r="EK118" s="32">
        <v>51.8</v>
      </c>
      <c r="EL118" s="32">
        <v>67.8</v>
      </c>
      <c r="EM118" s="32">
        <v>43.4</v>
      </c>
      <c r="EN118" s="32">
        <v>55.1</v>
      </c>
      <c r="EO118" s="32">
        <v>88.6</v>
      </c>
      <c r="EP118" s="32">
        <v>89.8</v>
      </c>
      <c r="EQ118" s="32">
        <v>89.8</v>
      </c>
      <c r="ER118" s="32">
        <v>84.8</v>
      </c>
      <c r="ES118" s="32">
        <v>84.8</v>
      </c>
      <c r="ET118" s="32">
        <v>93</v>
      </c>
      <c r="EU118" s="32">
        <v>102.7</v>
      </c>
      <c r="EV118" s="32">
        <v>102.7</v>
      </c>
      <c r="EW118" s="32">
        <v>83.6</v>
      </c>
      <c r="EX118" s="32">
        <v>93.5</v>
      </c>
      <c r="EY118" s="32">
        <v>75.599999999999994</v>
      </c>
      <c r="EZ118" s="32">
        <v>99</v>
      </c>
      <c r="FA118" s="32">
        <v>117</v>
      </c>
      <c r="FB118" s="32">
        <v>128</v>
      </c>
      <c r="FC118" s="32">
        <v>102.8</v>
      </c>
      <c r="FD118" s="32">
        <v>128.19999999999999</v>
      </c>
      <c r="FE118" s="32">
        <v>172.9</v>
      </c>
      <c r="FF118" s="32">
        <v>104.7</v>
      </c>
      <c r="FG118" s="32">
        <v>84.2</v>
      </c>
      <c r="FH118" s="32">
        <v>84.1</v>
      </c>
      <c r="FI118" s="32">
        <v>95.4</v>
      </c>
      <c r="FJ118" s="32">
        <v>82.8</v>
      </c>
      <c r="FK118" s="32">
        <v>126.1</v>
      </c>
      <c r="FL118" s="32">
        <v>126.1</v>
      </c>
    </row>
    <row r="119" spans="1:168" x14ac:dyDescent="0.2">
      <c r="A119" s="34" t="s">
        <v>1099</v>
      </c>
      <c r="B119" s="32">
        <v>82</v>
      </c>
      <c r="C119" s="32">
        <v>91.9</v>
      </c>
      <c r="D119" s="32">
        <v>105</v>
      </c>
      <c r="E119" s="32">
        <v>110.1</v>
      </c>
      <c r="F119" s="32">
        <v>247.9</v>
      </c>
      <c r="G119" s="32">
        <v>4227.8</v>
      </c>
      <c r="H119" s="32">
        <v>292.89999999999998</v>
      </c>
      <c r="I119" s="32">
        <v>86.5</v>
      </c>
      <c r="J119" s="32">
        <v>97.7</v>
      </c>
      <c r="K119" s="32">
        <v>105</v>
      </c>
      <c r="L119" s="32">
        <v>101.8</v>
      </c>
      <c r="M119" s="32">
        <v>80.900000000000006</v>
      </c>
      <c r="N119" s="32">
        <v>98.2</v>
      </c>
      <c r="O119" s="32">
        <v>129.4</v>
      </c>
      <c r="P119" s="32">
        <v>303.3</v>
      </c>
      <c r="Q119" s="32">
        <v>148.80000000000001</v>
      </c>
      <c r="R119" s="32">
        <v>92.6</v>
      </c>
      <c r="S119" s="32">
        <v>127.4</v>
      </c>
      <c r="T119" s="32">
        <v>97.8</v>
      </c>
      <c r="U119" s="32">
        <v>78.400000000000006</v>
      </c>
      <c r="V119" s="32">
        <v>132.9</v>
      </c>
      <c r="W119" s="32">
        <v>54.6</v>
      </c>
      <c r="X119" s="32">
        <v>43.6</v>
      </c>
      <c r="Y119" s="32">
        <v>67</v>
      </c>
      <c r="Z119" s="32">
        <v>97.3</v>
      </c>
      <c r="AA119" s="32">
        <v>105.1</v>
      </c>
      <c r="AB119" s="32">
        <v>108.9</v>
      </c>
      <c r="AC119" s="32">
        <v>79.900000000000006</v>
      </c>
      <c r="AD119" s="32">
        <v>130.1</v>
      </c>
      <c r="AE119" s="32">
        <v>121.2</v>
      </c>
      <c r="AF119" s="32">
        <v>121.2</v>
      </c>
      <c r="AG119" s="32">
        <v>82.3</v>
      </c>
      <c r="AH119" s="32">
        <v>82.3</v>
      </c>
      <c r="AI119" s="32">
        <v>228.7</v>
      </c>
      <c r="AJ119" s="32">
        <v>73.599999999999994</v>
      </c>
      <c r="AK119" s="32">
        <v>354.3</v>
      </c>
      <c r="AL119" s="32">
        <v>106.7</v>
      </c>
      <c r="AM119" s="32">
        <v>49.6</v>
      </c>
      <c r="AN119" s="32">
        <v>206.6</v>
      </c>
      <c r="AO119" s="32">
        <v>106.2</v>
      </c>
      <c r="AP119" s="32">
        <v>106.2</v>
      </c>
      <c r="AQ119" s="32">
        <v>113.2</v>
      </c>
      <c r="AR119" s="32">
        <v>109.9</v>
      </c>
      <c r="AS119" s="32">
        <v>120.7</v>
      </c>
      <c r="AT119" s="32">
        <v>113.2</v>
      </c>
      <c r="AU119" s="32">
        <v>125.9</v>
      </c>
      <c r="AV119" s="32">
        <v>108.9</v>
      </c>
      <c r="AW119" s="32">
        <v>154</v>
      </c>
      <c r="AX119" s="32">
        <v>193.4</v>
      </c>
      <c r="AY119" s="32">
        <v>209</v>
      </c>
      <c r="AZ119" s="32">
        <v>103.5</v>
      </c>
      <c r="BA119" s="32">
        <v>71.5</v>
      </c>
      <c r="BB119" s="32">
        <v>71.5</v>
      </c>
      <c r="BC119" s="32">
        <v>132.5</v>
      </c>
      <c r="BD119" s="32">
        <v>132.5</v>
      </c>
      <c r="BE119" s="32">
        <v>112.8</v>
      </c>
      <c r="BF119" s="32">
        <v>112.8</v>
      </c>
      <c r="BG119" s="32">
        <v>101.2</v>
      </c>
      <c r="BH119" s="32">
        <v>75.400000000000006</v>
      </c>
      <c r="BI119" s="32">
        <v>128.19999999999999</v>
      </c>
      <c r="BJ119" s="32">
        <v>38.9</v>
      </c>
      <c r="BK119" s="32">
        <v>180.3</v>
      </c>
      <c r="BL119" s="32">
        <v>64.400000000000006</v>
      </c>
      <c r="BM119" s="32">
        <v>104.9</v>
      </c>
      <c r="BN119" s="32">
        <v>118</v>
      </c>
      <c r="BO119" s="32">
        <v>103.1</v>
      </c>
      <c r="BP119" s="32">
        <v>132</v>
      </c>
      <c r="BQ119" s="32">
        <v>91.2</v>
      </c>
      <c r="BR119" s="32">
        <v>87.6</v>
      </c>
      <c r="BS119" s="32">
        <v>194.9</v>
      </c>
      <c r="BT119" s="32">
        <v>69</v>
      </c>
      <c r="BU119" s="32">
        <v>132.30000000000001</v>
      </c>
      <c r="BV119" s="32">
        <v>132.30000000000001</v>
      </c>
      <c r="BW119" s="32">
        <v>186.1</v>
      </c>
      <c r="BX119" s="32">
        <v>51.7</v>
      </c>
      <c r="BY119" s="32">
        <v>100.3</v>
      </c>
      <c r="BZ119" s="32">
        <v>97.1</v>
      </c>
      <c r="CA119" s="32">
        <v>101.9</v>
      </c>
      <c r="CB119" s="32">
        <v>127.1</v>
      </c>
      <c r="CC119" s="32">
        <v>86.1</v>
      </c>
      <c r="CD119" s="32">
        <v>23.4</v>
      </c>
      <c r="CE119" s="32">
        <v>94.4</v>
      </c>
      <c r="CF119" s="32">
        <v>77</v>
      </c>
      <c r="CG119" s="32">
        <v>97.6</v>
      </c>
      <c r="CH119" s="32">
        <v>98.4</v>
      </c>
      <c r="CI119" s="32">
        <v>106.5</v>
      </c>
      <c r="CJ119" s="32">
        <v>90.6</v>
      </c>
      <c r="CK119" s="32">
        <v>103.7</v>
      </c>
      <c r="CL119" s="32">
        <v>98.8</v>
      </c>
      <c r="CM119" s="32">
        <v>111.5</v>
      </c>
      <c r="CN119" s="32">
        <v>85</v>
      </c>
      <c r="CO119" s="32">
        <v>112.9</v>
      </c>
      <c r="CP119" s="32">
        <v>151.1</v>
      </c>
      <c r="CQ119" s="32">
        <v>69</v>
      </c>
      <c r="CR119" s="32">
        <v>103.3</v>
      </c>
      <c r="CS119" s="32">
        <v>128.80000000000001</v>
      </c>
      <c r="CT119" s="32">
        <v>92.8</v>
      </c>
      <c r="CU119" s="32">
        <v>77.599999999999994</v>
      </c>
      <c r="CV119" s="32">
        <v>99.2</v>
      </c>
      <c r="CW119" s="32">
        <v>29.7</v>
      </c>
      <c r="CX119" s="32">
        <v>81.8</v>
      </c>
      <c r="CY119" s="32">
        <v>98.8</v>
      </c>
      <c r="CZ119" s="32">
        <v>72.900000000000006</v>
      </c>
      <c r="DA119" s="32">
        <v>59.7</v>
      </c>
      <c r="DB119" s="32">
        <v>100</v>
      </c>
      <c r="DC119" s="32">
        <v>4.7</v>
      </c>
      <c r="DD119" s="32">
        <v>4.7</v>
      </c>
      <c r="DE119" s="32">
        <v>62.2</v>
      </c>
      <c r="DF119" s="32">
        <v>58.6</v>
      </c>
      <c r="DG119" s="32">
        <v>82.8</v>
      </c>
      <c r="DH119" s="32">
        <v>87.3</v>
      </c>
      <c r="DI119" s="32">
        <v>180.2</v>
      </c>
      <c r="DJ119" s="32">
        <v>40.799999999999997</v>
      </c>
      <c r="DK119" s="32">
        <v>40.799999999999997</v>
      </c>
      <c r="DL119" s="32">
        <v>35.5</v>
      </c>
      <c r="DM119" s="32">
        <v>72.900000000000006</v>
      </c>
      <c r="DN119" s="32">
        <v>50.9</v>
      </c>
      <c r="DO119" s="32">
        <v>83.6</v>
      </c>
      <c r="DP119" s="32">
        <v>37.1</v>
      </c>
      <c r="DQ119" s="32">
        <v>70.599999999999994</v>
      </c>
      <c r="DR119" s="32">
        <v>75.900000000000006</v>
      </c>
      <c r="DS119" s="32">
        <v>70.8</v>
      </c>
      <c r="DT119" s="32">
        <v>65.8</v>
      </c>
      <c r="DU119" s="32">
        <v>70.7</v>
      </c>
      <c r="DV119" s="32">
        <v>83.6</v>
      </c>
      <c r="DW119" s="32">
        <v>57.7</v>
      </c>
      <c r="DX119" s="32">
        <v>55.9</v>
      </c>
      <c r="DY119" s="32">
        <v>88.5</v>
      </c>
      <c r="DZ119" s="32">
        <v>114.5</v>
      </c>
      <c r="EA119" s="32">
        <v>114.5</v>
      </c>
      <c r="EB119" s="32">
        <v>78.8</v>
      </c>
      <c r="EC119" s="32">
        <v>84.8</v>
      </c>
      <c r="ED119" s="32">
        <v>70.8</v>
      </c>
      <c r="EE119" s="32">
        <v>79.8</v>
      </c>
      <c r="EF119" s="32">
        <v>51.1</v>
      </c>
      <c r="EG119" s="32">
        <v>62.8</v>
      </c>
      <c r="EH119" s="32">
        <v>85.1</v>
      </c>
      <c r="EI119" s="32">
        <v>61.7</v>
      </c>
      <c r="EJ119" s="32">
        <v>77.099999999999994</v>
      </c>
      <c r="EK119" s="32">
        <v>51.7</v>
      </c>
      <c r="EL119" s="32">
        <v>68.8</v>
      </c>
      <c r="EM119" s="32">
        <v>42.9</v>
      </c>
      <c r="EN119" s="32">
        <v>55.2</v>
      </c>
      <c r="EO119" s="32">
        <v>88.7</v>
      </c>
      <c r="EP119" s="32">
        <v>90.2</v>
      </c>
      <c r="EQ119" s="32">
        <v>90.2</v>
      </c>
      <c r="ER119" s="32">
        <v>84.5</v>
      </c>
      <c r="ES119" s="32">
        <v>84.5</v>
      </c>
      <c r="ET119" s="32">
        <v>93.1</v>
      </c>
      <c r="EU119" s="32">
        <v>103.1</v>
      </c>
      <c r="EV119" s="32">
        <v>103.1</v>
      </c>
      <c r="EW119" s="32">
        <v>83.4</v>
      </c>
      <c r="EX119" s="32">
        <v>93.3</v>
      </c>
      <c r="EY119" s="32">
        <v>75.5</v>
      </c>
      <c r="EZ119" s="32">
        <v>97.4</v>
      </c>
      <c r="FA119" s="32">
        <v>114.1</v>
      </c>
      <c r="FB119" s="32">
        <v>122.8</v>
      </c>
      <c r="FC119" s="32">
        <v>94.6</v>
      </c>
      <c r="FD119" s="32">
        <v>127.7</v>
      </c>
      <c r="FE119" s="32">
        <v>171</v>
      </c>
      <c r="FF119" s="32">
        <v>104.3</v>
      </c>
      <c r="FG119" s="32">
        <v>83.8</v>
      </c>
      <c r="FH119" s="32">
        <v>83.6</v>
      </c>
      <c r="FI119" s="32">
        <v>94.7</v>
      </c>
      <c r="FJ119" s="32">
        <v>82.4</v>
      </c>
      <c r="FK119" s="32">
        <v>122.3</v>
      </c>
      <c r="FL119" s="32">
        <v>122.3</v>
      </c>
    </row>
    <row r="120" spans="1:168" x14ac:dyDescent="0.2">
      <c r="A120" s="34" t="s">
        <v>1100</v>
      </c>
      <c r="B120" s="32">
        <v>81.599999999999994</v>
      </c>
      <c r="C120" s="32">
        <v>91.9</v>
      </c>
      <c r="D120" s="32">
        <v>104.4</v>
      </c>
      <c r="E120" s="32">
        <v>109.3</v>
      </c>
      <c r="F120" s="32">
        <v>246.2</v>
      </c>
      <c r="G120" s="32">
        <v>3805.1</v>
      </c>
      <c r="H120" s="32">
        <v>290.60000000000002</v>
      </c>
      <c r="I120" s="32">
        <v>86.9</v>
      </c>
      <c r="J120" s="32">
        <v>97.4</v>
      </c>
      <c r="K120" s="32">
        <v>104.1</v>
      </c>
      <c r="L120" s="32">
        <v>101.9</v>
      </c>
      <c r="M120" s="32">
        <v>85.1</v>
      </c>
      <c r="N120" s="32">
        <v>93.6</v>
      </c>
      <c r="O120" s="32">
        <v>126.3</v>
      </c>
      <c r="P120" s="32">
        <v>320.7</v>
      </c>
      <c r="Q120" s="32">
        <v>150.30000000000001</v>
      </c>
      <c r="R120" s="32">
        <v>91.9</v>
      </c>
      <c r="S120" s="32">
        <v>124.4</v>
      </c>
      <c r="T120" s="32">
        <v>104.1</v>
      </c>
      <c r="U120" s="32">
        <v>77.8</v>
      </c>
      <c r="V120" s="32">
        <v>126.8</v>
      </c>
      <c r="W120" s="32">
        <v>53.9</v>
      </c>
      <c r="X120" s="32">
        <v>43.2</v>
      </c>
      <c r="Y120" s="32">
        <v>65.099999999999994</v>
      </c>
      <c r="Z120" s="32">
        <v>98.7</v>
      </c>
      <c r="AA120" s="32">
        <v>104.1</v>
      </c>
      <c r="AB120" s="32">
        <v>98.3</v>
      </c>
      <c r="AC120" s="32">
        <v>79.2</v>
      </c>
      <c r="AD120" s="32">
        <v>133.69999999999999</v>
      </c>
      <c r="AE120" s="32">
        <v>120.1</v>
      </c>
      <c r="AF120" s="32">
        <v>120.1</v>
      </c>
      <c r="AG120" s="32">
        <v>82.8</v>
      </c>
      <c r="AH120" s="32">
        <v>82.8</v>
      </c>
      <c r="AI120" s="32">
        <v>233</v>
      </c>
      <c r="AJ120" s="32">
        <v>75.099999999999994</v>
      </c>
      <c r="AK120" s="32">
        <v>320.8</v>
      </c>
      <c r="AL120" s="32">
        <v>108.2</v>
      </c>
      <c r="AM120" s="32">
        <v>49.7</v>
      </c>
      <c r="AN120" s="32">
        <v>207.1</v>
      </c>
      <c r="AO120" s="32">
        <v>108.9</v>
      </c>
      <c r="AP120" s="32">
        <v>108.9</v>
      </c>
      <c r="AQ120" s="32">
        <v>113.6</v>
      </c>
      <c r="AR120" s="32">
        <v>110</v>
      </c>
      <c r="AS120" s="32">
        <v>121.5</v>
      </c>
      <c r="AT120" s="32">
        <v>112.2</v>
      </c>
      <c r="AU120" s="32">
        <v>128.69999999999999</v>
      </c>
      <c r="AV120" s="32">
        <v>104.7</v>
      </c>
      <c r="AW120" s="32">
        <v>156.80000000000001</v>
      </c>
      <c r="AX120" s="32">
        <v>206.2</v>
      </c>
      <c r="AY120" s="32">
        <v>202.9</v>
      </c>
      <c r="AZ120" s="32">
        <v>97.6</v>
      </c>
      <c r="BA120" s="32">
        <v>70.2</v>
      </c>
      <c r="BB120" s="32">
        <v>70.2</v>
      </c>
      <c r="BC120" s="32">
        <v>135.4</v>
      </c>
      <c r="BD120" s="32">
        <v>135.4</v>
      </c>
      <c r="BE120" s="32">
        <v>115.6</v>
      </c>
      <c r="BF120" s="32">
        <v>115.6</v>
      </c>
      <c r="BG120" s="32">
        <v>101.6</v>
      </c>
      <c r="BH120" s="32">
        <v>75.099999999999994</v>
      </c>
      <c r="BI120" s="32">
        <v>129.5</v>
      </c>
      <c r="BJ120" s="32">
        <v>40.1</v>
      </c>
      <c r="BK120" s="32">
        <v>182</v>
      </c>
      <c r="BL120" s="32">
        <v>63.7</v>
      </c>
      <c r="BM120" s="32">
        <v>104.3</v>
      </c>
      <c r="BN120" s="32">
        <v>115.7</v>
      </c>
      <c r="BO120" s="32">
        <v>98.7</v>
      </c>
      <c r="BP120" s="32">
        <v>131.9</v>
      </c>
      <c r="BQ120" s="32">
        <v>92.8</v>
      </c>
      <c r="BR120" s="32">
        <v>91</v>
      </c>
      <c r="BS120" s="32">
        <v>206.6</v>
      </c>
      <c r="BT120" s="32">
        <v>68.599999999999994</v>
      </c>
      <c r="BU120" s="32">
        <v>129.80000000000001</v>
      </c>
      <c r="BV120" s="32">
        <v>129.80000000000001</v>
      </c>
      <c r="BW120" s="32">
        <v>183.5</v>
      </c>
      <c r="BX120" s="32">
        <v>50.1</v>
      </c>
      <c r="BY120" s="32">
        <v>96.4</v>
      </c>
      <c r="BZ120" s="32">
        <v>100.7</v>
      </c>
      <c r="CA120" s="32">
        <v>94.4</v>
      </c>
      <c r="CB120" s="32">
        <v>114.9</v>
      </c>
      <c r="CC120" s="32">
        <v>82.5</v>
      </c>
      <c r="CD120" s="32">
        <v>21.9</v>
      </c>
      <c r="CE120" s="32">
        <v>94.4</v>
      </c>
      <c r="CF120" s="32">
        <v>76.7</v>
      </c>
      <c r="CG120" s="32">
        <v>96.6</v>
      </c>
      <c r="CH120" s="32">
        <v>97.7</v>
      </c>
      <c r="CI120" s="32">
        <v>105.8</v>
      </c>
      <c r="CJ120" s="32">
        <v>89.5</v>
      </c>
      <c r="CK120" s="32">
        <v>103.5</v>
      </c>
      <c r="CL120" s="32">
        <v>96.6</v>
      </c>
      <c r="CM120" s="32">
        <v>108</v>
      </c>
      <c r="CN120" s="32">
        <v>85.5</v>
      </c>
      <c r="CO120" s="32">
        <v>108.7</v>
      </c>
      <c r="CP120" s="32">
        <v>149.6</v>
      </c>
      <c r="CQ120" s="32">
        <v>68.400000000000006</v>
      </c>
      <c r="CR120" s="32">
        <v>101.4</v>
      </c>
      <c r="CS120" s="32">
        <v>126.3</v>
      </c>
      <c r="CT120" s="32">
        <v>91.7</v>
      </c>
      <c r="CU120" s="32">
        <v>76.8</v>
      </c>
      <c r="CV120" s="32">
        <v>98.1</v>
      </c>
      <c r="CW120" s="32">
        <v>29.6</v>
      </c>
      <c r="CX120" s="32">
        <v>83</v>
      </c>
      <c r="CY120" s="32">
        <v>100.8</v>
      </c>
      <c r="CZ120" s="32">
        <v>73.5</v>
      </c>
      <c r="DA120" s="32">
        <v>59</v>
      </c>
      <c r="DB120" s="32">
        <v>104</v>
      </c>
      <c r="DC120" s="32">
        <v>4.8</v>
      </c>
      <c r="DD120" s="32">
        <v>4.8</v>
      </c>
      <c r="DE120" s="32">
        <v>60.4</v>
      </c>
      <c r="DF120" s="32">
        <v>57</v>
      </c>
      <c r="DG120" s="32">
        <v>80.2</v>
      </c>
      <c r="DH120" s="32">
        <v>87.4</v>
      </c>
      <c r="DI120" s="32">
        <v>182.9</v>
      </c>
      <c r="DJ120" s="32">
        <v>39.9</v>
      </c>
      <c r="DK120" s="32">
        <v>39.9</v>
      </c>
      <c r="DL120" s="32">
        <v>33.799999999999997</v>
      </c>
      <c r="DM120" s="32">
        <v>72.5</v>
      </c>
      <c r="DN120" s="32">
        <v>50.5</v>
      </c>
      <c r="DO120" s="32">
        <v>83.2</v>
      </c>
      <c r="DP120" s="32">
        <v>37</v>
      </c>
      <c r="DQ120" s="32">
        <v>70.3</v>
      </c>
      <c r="DR120" s="32">
        <v>75.5</v>
      </c>
      <c r="DS120" s="32">
        <v>70.900000000000006</v>
      </c>
      <c r="DT120" s="32">
        <v>66.3</v>
      </c>
      <c r="DU120" s="32">
        <v>71.7</v>
      </c>
      <c r="DV120" s="32">
        <v>84.9</v>
      </c>
      <c r="DW120" s="32">
        <v>58.5</v>
      </c>
      <c r="DX120" s="32">
        <v>55.1</v>
      </c>
      <c r="DY120" s="32">
        <v>87.6</v>
      </c>
      <c r="DZ120" s="32">
        <v>115.1</v>
      </c>
      <c r="EA120" s="32">
        <v>115.1</v>
      </c>
      <c r="EB120" s="32">
        <v>76.7</v>
      </c>
      <c r="EC120" s="32">
        <v>80</v>
      </c>
      <c r="ED120" s="32">
        <v>72.400000000000006</v>
      </c>
      <c r="EE120" s="32">
        <v>82.2</v>
      </c>
      <c r="EF120" s="32">
        <v>51.1</v>
      </c>
      <c r="EG120" s="32">
        <v>62.5</v>
      </c>
      <c r="EH120" s="32">
        <v>85.6</v>
      </c>
      <c r="EI120" s="32">
        <v>58.8</v>
      </c>
      <c r="EJ120" s="32">
        <v>78.3</v>
      </c>
      <c r="EK120" s="32">
        <v>52.7</v>
      </c>
      <c r="EL120" s="32">
        <v>68</v>
      </c>
      <c r="EM120" s="32">
        <v>43</v>
      </c>
      <c r="EN120" s="32">
        <v>57</v>
      </c>
      <c r="EO120" s="32">
        <v>88.8</v>
      </c>
      <c r="EP120" s="32">
        <v>90.3</v>
      </c>
      <c r="EQ120" s="32">
        <v>90.3</v>
      </c>
      <c r="ER120" s="32">
        <v>84.3</v>
      </c>
      <c r="ES120" s="32">
        <v>84.3</v>
      </c>
      <c r="ET120" s="32">
        <v>93.6</v>
      </c>
      <c r="EU120" s="32">
        <v>103.7</v>
      </c>
      <c r="EV120" s="32">
        <v>103.7</v>
      </c>
      <c r="EW120" s="32">
        <v>83.4</v>
      </c>
      <c r="EX120" s="32">
        <v>93.4</v>
      </c>
      <c r="EY120" s="32">
        <v>75.5</v>
      </c>
      <c r="EZ120" s="32">
        <v>96.4</v>
      </c>
      <c r="FA120" s="32">
        <v>112.4</v>
      </c>
      <c r="FB120" s="32">
        <v>122.3</v>
      </c>
      <c r="FC120" s="32">
        <v>95</v>
      </c>
      <c r="FD120" s="32">
        <v>126.6</v>
      </c>
      <c r="FE120" s="32">
        <v>169.1</v>
      </c>
      <c r="FF120" s="32">
        <v>101.3</v>
      </c>
      <c r="FG120" s="32">
        <v>83.2</v>
      </c>
      <c r="FH120" s="32">
        <v>84.4</v>
      </c>
      <c r="FI120" s="32">
        <v>102.2</v>
      </c>
      <c r="FJ120" s="32">
        <v>80.3</v>
      </c>
      <c r="FK120" s="32">
        <v>121</v>
      </c>
      <c r="FL120" s="32">
        <v>121</v>
      </c>
    </row>
    <row r="121" spans="1:168" x14ac:dyDescent="0.2">
      <c r="A121" s="34" t="s">
        <v>1101</v>
      </c>
      <c r="B121" s="32">
        <v>81.900000000000006</v>
      </c>
      <c r="C121" s="32">
        <v>91.2</v>
      </c>
      <c r="D121" s="32">
        <v>105</v>
      </c>
      <c r="E121" s="32">
        <v>110.1</v>
      </c>
      <c r="F121" s="32">
        <v>251.1</v>
      </c>
      <c r="G121" s="32">
        <v>3280.8</v>
      </c>
      <c r="H121" s="32">
        <v>296.8</v>
      </c>
      <c r="I121" s="32">
        <v>88.5</v>
      </c>
      <c r="J121" s="32">
        <v>97.9</v>
      </c>
      <c r="K121" s="32">
        <v>104.6</v>
      </c>
      <c r="L121" s="32">
        <v>103.1</v>
      </c>
      <c r="M121" s="32">
        <v>87.5</v>
      </c>
      <c r="N121" s="32">
        <v>93.1</v>
      </c>
      <c r="O121" s="32">
        <v>124.5</v>
      </c>
      <c r="P121" s="32">
        <v>293.2</v>
      </c>
      <c r="Q121" s="32">
        <v>151.6</v>
      </c>
      <c r="R121" s="32">
        <v>92.8</v>
      </c>
      <c r="S121" s="32">
        <v>129.5</v>
      </c>
      <c r="T121" s="32">
        <v>107.4</v>
      </c>
      <c r="U121" s="32">
        <v>74.3</v>
      </c>
      <c r="V121" s="32">
        <v>125.7</v>
      </c>
      <c r="W121" s="32">
        <v>54.3</v>
      </c>
      <c r="X121" s="32">
        <v>45.2</v>
      </c>
      <c r="Y121" s="32">
        <v>61.6</v>
      </c>
      <c r="Z121" s="32">
        <v>102.9</v>
      </c>
      <c r="AA121" s="32">
        <v>108.2</v>
      </c>
      <c r="AB121" s="32">
        <v>102.4</v>
      </c>
      <c r="AC121" s="32">
        <v>81.400000000000006</v>
      </c>
      <c r="AD121" s="32">
        <v>139.30000000000001</v>
      </c>
      <c r="AE121" s="32">
        <v>123.5</v>
      </c>
      <c r="AF121" s="32">
        <v>123.5</v>
      </c>
      <c r="AG121" s="32">
        <v>84.2</v>
      </c>
      <c r="AH121" s="32">
        <v>84.2</v>
      </c>
      <c r="AI121" s="32">
        <v>230</v>
      </c>
      <c r="AJ121" s="32">
        <v>76.599999999999994</v>
      </c>
      <c r="AK121" s="32">
        <v>305.8</v>
      </c>
      <c r="AL121" s="32">
        <v>105.4</v>
      </c>
      <c r="AM121" s="32">
        <v>50.8</v>
      </c>
      <c r="AN121" s="32">
        <v>220.6</v>
      </c>
      <c r="AO121" s="32">
        <v>105.7</v>
      </c>
      <c r="AP121" s="32">
        <v>105.7</v>
      </c>
      <c r="AQ121" s="32">
        <v>114.3</v>
      </c>
      <c r="AR121" s="32">
        <v>109.8</v>
      </c>
      <c r="AS121" s="32">
        <v>123.5</v>
      </c>
      <c r="AT121" s="32">
        <v>117.8</v>
      </c>
      <c r="AU121" s="32">
        <v>126.5</v>
      </c>
      <c r="AV121" s="32">
        <v>106.4</v>
      </c>
      <c r="AW121" s="32">
        <v>157.30000000000001</v>
      </c>
      <c r="AX121" s="32">
        <v>211.5</v>
      </c>
      <c r="AY121" s="32">
        <v>198.7</v>
      </c>
      <c r="AZ121" s="32">
        <v>99.6</v>
      </c>
      <c r="BA121" s="32">
        <v>70.2</v>
      </c>
      <c r="BB121" s="32">
        <v>70.2</v>
      </c>
      <c r="BC121" s="32">
        <v>142.6</v>
      </c>
      <c r="BD121" s="32">
        <v>142.6</v>
      </c>
      <c r="BE121" s="32">
        <v>116.3</v>
      </c>
      <c r="BF121" s="32">
        <v>116.3</v>
      </c>
      <c r="BG121" s="32">
        <v>100.5</v>
      </c>
      <c r="BH121" s="32">
        <v>71.5</v>
      </c>
      <c r="BI121" s="32">
        <v>132</v>
      </c>
      <c r="BJ121" s="32">
        <v>40.6</v>
      </c>
      <c r="BK121" s="32">
        <v>185.9</v>
      </c>
      <c r="BL121" s="32">
        <v>64.099999999999994</v>
      </c>
      <c r="BM121" s="32">
        <v>103.1</v>
      </c>
      <c r="BN121" s="32">
        <v>115</v>
      </c>
      <c r="BO121" s="32">
        <v>100</v>
      </c>
      <c r="BP121" s="32">
        <v>129.1</v>
      </c>
      <c r="BQ121" s="32">
        <v>90.9</v>
      </c>
      <c r="BR121" s="32">
        <v>97.1</v>
      </c>
      <c r="BS121" s="32">
        <v>193.4</v>
      </c>
      <c r="BT121" s="32">
        <v>67.8</v>
      </c>
      <c r="BU121" s="32">
        <v>134.80000000000001</v>
      </c>
      <c r="BV121" s="32">
        <v>134.80000000000001</v>
      </c>
      <c r="BW121" s="32">
        <v>184.6</v>
      </c>
      <c r="BX121" s="32">
        <v>55.4</v>
      </c>
      <c r="BY121" s="32">
        <v>95.4</v>
      </c>
      <c r="BZ121" s="32">
        <v>94.1</v>
      </c>
      <c r="CA121" s="32">
        <v>96.2</v>
      </c>
      <c r="CB121" s="32">
        <v>117.5</v>
      </c>
      <c r="CC121" s="32">
        <v>83.6</v>
      </c>
      <c r="CD121" s="32">
        <v>22.3</v>
      </c>
      <c r="CE121" s="32">
        <v>94.4</v>
      </c>
      <c r="CF121" s="32">
        <v>76.900000000000006</v>
      </c>
      <c r="CG121" s="32">
        <v>96.7</v>
      </c>
      <c r="CH121" s="32">
        <v>98.2</v>
      </c>
      <c r="CI121" s="32">
        <v>107.3</v>
      </c>
      <c r="CJ121" s="32">
        <v>90.3</v>
      </c>
      <c r="CK121" s="32">
        <v>103.4</v>
      </c>
      <c r="CL121" s="32">
        <v>95.8</v>
      </c>
      <c r="CM121" s="32">
        <v>106.6</v>
      </c>
      <c r="CN121" s="32">
        <v>86</v>
      </c>
      <c r="CO121" s="32">
        <v>107</v>
      </c>
      <c r="CP121" s="32">
        <v>145.69999999999999</v>
      </c>
      <c r="CQ121" s="32">
        <v>68.2</v>
      </c>
      <c r="CR121" s="32">
        <v>100.4</v>
      </c>
      <c r="CS121" s="32">
        <v>128.1</v>
      </c>
      <c r="CT121" s="32">
        <v>92</v>
      </c>
      <c r="CU121" s="32">
        <v>78</v>
      </c>
      <c r="CV121" s="32">
        <v>98</v>
      </c>
      <c r="CW121" s="32">
        <v>30.2</v>
      </c>
      <c r="CX121" s="32">
        <v>84</v>
      </c>
      <c r="CY121" s="32">
        <v>100.6</v>
      </c>
      <c r="CZ121" s="32">
        <v>75.2</v>
      </c>
      <c r="DA121" s="32">
        <v>59.8</v>
      </c>
      <c r="DB121" s="32">
        <v>107.8</v>
      </c>
      <c r="DC121" s="32">
        <v>5.0999999999999996</v>
      </c>
      <c r="DD121" s="32">
        <v>5.0999999999999996</v>
      </c>
      <c r="DE121" s="32">
        <v>59.9</v>
      </c>
      <c r="DF121" s="32">
        <v>55.9</v>
      </c>
      <c r="DG121" s="32">
        <v>83.4</v>
      </c>
      <c r="DH121" s="32">
        <v>87.7</v>
      </c>
      <c r="DI121" s="32">
        <v>185.6</v>
      </c>
      <c r="DJ121" s="32">
        <v>40.200000000000003</v>
      </c>
      <c r="DK121" s="32">
        <v>40.200000000000003</v>
      </c>
      <c r="DL121" s="32">
        <v>31.4</v>
      </c>
      <c r="DM121" s="32">
        <v>72.7</v>
      </c>
      <c r="DN121" s="32">
        <v>50.6</v>
      </c>
      <c r="DO121" s="32">
        <v>83.3</v>
      </c>
      <c r="DP121" s="32">
        <v>37.1</v>
      </c>
      <c r="DQ121" s="32">
        <v>70.400000000000006</v>
      </c>
      <c r="DR121" s="32">
        <v>75.2</v>
      </c>
      <c r="DS121" s="32">
        <v>70.3</v>
      </c>
      <c r="DT121" s="32">
        <v>66.5</v>
      </c>
      <c r="DU121" s="32">
        <v>71.599999999999994</v>
      </c>
      <c r="DV121" s="32">
        <v>84.7</v>
      </c>
      <c r="DW121" s="32">
        <v>58.6</v>
      </c>
      <c r="DX121" s="32">
        <v>55.9</v>
      </c>
      <c r="DY121" s="32">
        <v>84</v>
      </c>
      <c r="DZ121" s="32">
        <v>113.7</v>
      </c>
      <c r="EA121" s="32">
        <v>113.7</v>
      </c>
      <c r="EB121" s="32">
        <v>77.7</v>
      </c>
      <c r="EC121" s="32">
        <v>82.6</v>
      </c>
      <c r="ED121" s="32">
        <v>71.3</v>
      </c>
      <c r="EE121" s="32">
        <v>80.599999999999994</v>
      </c>
      <c r="EF121" s="32">
        <v>50.8</v>
      </c>
      <c r="EG121" s="32">
        <v>63.2</v>
      </c>
      <c r="EH121" s="32">
        <v>87.6</v>
      </c>
      <c r="EI121" s="32">
        <v>59.4</v>
      </c>
      <c r="EJ121" s="32">
        <v>79.099999999999994</v>
      </c>
      <c r="EK121" s="32">
        <v>52.8</v>
      </c>
      <c r="EL121" s="32">
        <v>66.900000000000006</v>
      </c>
      <c r="EM121" s="32">
        <v>43.2</v>
      </c>
      <c r="EN121" s="32">
        <v>57.3</v>
      </c>
      <c r="EO121" s="32">
        <v>88.9</v>
      </c>
      <c r="EP121" s="32">
        <v>90.6</v>
      </c>
      <c r="EQ121" s="32">
        <v>90.6</v>
      </c>
      <c r="ER121" s="32">
        <v>84</v>
      </c>
      <c r="ES121" s="32">
        <v>84</v>
      </c>
      <c r="ET121" s="32">
        <v>93.7</v>
      </c>
      <c r="EU121" s="32">
        <v>103.9</v>
      </c>
      <c r="EV121" s="32">
        <v>103.9</v>
      </c>
      <c r="EW121" s="32">
        <v>83.4</v>
      </c>
      <c r="EX121" s="32">
        <v>93.4</v>
      </c>
      <c r="EY121" s="32">
        <v>75.5</v>
      </c>
      <c r="EZ121" s="32">
        <v>96.9</v>
      </c>
      <c r="FA121" s="32">
        <v>112.2</v>
      </c>
      <c r="FB121" s="32">
        <v>123.1</v>
      </c>
      <c r="FC121" s="32">
        <v>96.9</v>
      </c>
      <c r="FD121" s="32">
        <v>125.9</v>
      </c>
      <c r="FE121" s="32">
        <v>168.6</v>
      </c>
      <c r="FF121" s="32">
        <v>99.9</v>
      </c>
      <c r="FG121" s="32">
        <v>84.7</v>
      </c>
      <c r="FH121" s="32">
        <v>88.3</v>
      </c>
      <c r="FI121" s="32">
        <v>95.8</v>
      </c>
      <c r="FJ121" s="32">
        <v>81.7</v>
      </c>
      <c r="FK121" s="32">
        <v>115.4</v>
      </c>
      <c r="FL121" s="32">
        <v>115.4</v>
      </c>
    </row>
    <row r="122" spans="1:168" x14ac:dyDescent="0.2">
      <c r="A122" s="34" t="s">
        <v>1102</v>
      </c>
      <c r="B122" s="32">
        <v>82.2</v>
      </c>
      <c r="C122" s="32">
        <v>89.7</v>
      </c>
      <c r="D122" s="32">
        <v>105.3</v>
      </c>
      <c r="E122" s="32">
        <v>110.3</v>
      </c>
      <c r="F122" s="32">
        <v>248.8</v>
      </c>
      <c r="G122" s="32">
        <v>3947.8</v>
      </c>
      <c r="H122" s="32">
        <v>293.2</v>
      </c>
      <c r="I122" s="32">
        <v>88.8</v>
      </c>
      <c r="J122" s="32">
        <v>98.2</v>
      </c>
      <c r="K122" s="32">
        <v>105</v>
      </c>
      <c r="L122" s="32">
        <v>102.6</v>
      </c>
      <c r="M122" s="32">
        <v>90.7</v>
      </c>
      <c r="N122" s="32">
        <v>93</v>
      </c>
      <c r="O122" s="32">
        <v>128.4</v>
      </c>
      <c r="P122" s="32">
        <v>303.60000000000002</v>
      </c>
      <c r="Q122" s="32">
        <v>149.5</v>
      </c>
      <c r="R122" s="32">
        <v>92.9</v>
      </c>
      <c r="S122" s="32">
        <v>125.2</v>
      </c>
      <c r="T122" s="32">
        <v>102.5</v>
      </c>
      <c r="U122" s="32">
        <v>75</v>
      </c>
      <c r="V122" s="32">
        <v>130.6</v>
      </c>
      <c r="W122" s="32">
        <v>53.5</v>
      </c>
      <c r="X122" s="32">
        <v>44.4</v>
      </c>
      <c r="Y122" s="32">
        <v>60.3</v>
      </c>
      <c r="Z122" s="32">
        <v>107.5</v>
      </c>
      <c r="AA122" s="32">
        <v>107.2</v>
      </c>
      <c r="AB122" s="32">
        <v>99.8</v>
      </c>
      <c r="AC122" s="32">
        <v>82.9</v>
      </c>
      <c r="AD122" s="32">
        <v>137.5</v>
      </c>
      <c r="AE122" s="32">
        <v>118.5</v>
      </c>
      <c r="AF122" s="32">
        <v>118.5</v>
      </c>
      <c r="AG122" s="32">
        <v>83.1</v>
      </c>
      <c r="AH122" s="32">
        <v>83.1</v>
      </c>
      <c r="AI122" s="32">
        <v>233.9</v>
      </c>
      <c r="AJ122" s="32">
        <v>70.3</v>
      </c>
      <c r="AK122" s="32">
        <v>266.89999999999998</v>
      </c>
      <c r="AL122" s="32">
        <v>106</v>
      </c>
      <c r="AM122" s="32">
        <v>52.2</v>
      </c>
      <c r="AN122" s="32">
        <v>231.1</v>
      </c>
      <c r="AO122" s="32">
        <v>118.9</v>
      </c>
      <c r="AP122" s="32">
        <v>118.9</v>
      </c>
      <c r="AQ122" s="32">
        <v>114.2</v>
      </c>
      <c r="AR122" s="32">
        <v>110.3</v>
      </c>
      <c r="AS122" s="32">
        <v>122.4</v>
      </c>
      <c r="AT122" s="32">
        <v>116.7</v>
      </c>
      <c r="AU122" s="32">
        <v>125.6</v>
      </c>
      <c r="AV122" s="32">
        <v>103.6</v>
      </c>
      <c r="AW122" s="32">
        <v>153.5</v>
      </c>
      <c r="AX122" s="32">
        <v>199.6</v>
      </c>
      <c r="AY122" s="32">
        <v>200.6</v>
      </c>
      <c r="AZ122" s="32">
        <v>97</v>
      </c>
      <c r="BA122" s="32">
        <v>68.2</v>
      </c>
      <c r="BB122" s="32">
        <v>68.2</v>
      </c>
      <c r="BC122" s="32">
        <v>140.1</v>
      </c>
      <c r="BD122" s="32">
        <v>140.1</v>
      </c>
      <c r="BE122" s="32">
        <v>119.4</v>
      </c>
      <c r="BF122" s="32">
        <v>119.4</v>
      </c>
      <c r="BG122" s="32">
        <v>100.6</v>
      </c>
      <c r="BH122" s="32">
        <v>71.5</v>
      </c>
      <c r="BI122" s="32">
        <v>131.9</v>
      </c>
      <c r="BJ122" s="32">
        <v>40.299999999999997</v>
      </c>
      <c r="BK122" s="32">
        <v>185.9</v>
      </c>
      <c r="BL122" s="32">
        <v>64</v>
      </c>
      <c r="BM122" s="32">
        <v>102.7</v>
      </c>
      <c r="BN122" s="32">
        <v>114.2</v>
      </c>
      <c r="BO122" s="32">
        <v>100.2</v>
      </c>
      <c r="BP122" s="32">
        <v>127.3</v>
      </c>
      <c r="BQ122" s="32">
        <v>91</v>
      </c>
      <c r="BR122" s="32">
        <v>80.900000000000006</v>
      </c>
      <c r="BS122" s="32">
        <v>211.3</v>
      </c>
      <c r="BT122" s="32">
        <v>67</v>
      </c>
      <c r="BU122" s="32">
        <v>136.4</v>
      </c>
      <c r="BV122" s="32">
        <v>136.4</v>
      </c>
      <c r="BW122" s="32">
        <v>188.6</v>
      </c>
      <c r="BX122" s="32">
        <v>54.9</v>
      </c>
      <c r="BY122" s="32">
        <v>94.5</v>
      </c>
      <c r="BZ122" s="32">
        <v>93.4</v>
      </c>
      <c r="CA122" s="32">
        <v>95.2</v>
      </c>
      <c r="CB122" s="32">
        <v>114.8</v>
      </c>
      <c r="CC122" s="32">
        <v>84.2</v>
      </c>
      <c r="CD122" s="32">
        <v>21.9</v>
      </c>
      <c r="CE122" s="32">
        <v>94.7</v>
      </c>
      <c r="CF122" s="32">
        <v>77.2</v>
      </c>
      <c r="CG122" s="32">
        <v>97.1</v>
      </c>
      <c r="CH122" s="32">
        <v>98.7</v>
      </c>
      <c r="CI122" s="32">
        <v>107.8</v>
      </c>
      <c r="CJ122" s="32">
        <v>92.1</v>
      </c>
      <c r="CK122" s="32">
        <v>102.9</v>
      </c>
      <c r="CL122" s="32">
        <v>96.2</v>
      </c>
      <c r="CM122" s="32">
        <v>108</v>
      </c>
      <c r="CN122" s="32">
        <v>86.9</v>
      </c>
      <c r="CO122" s="32">
        <v>108.4</v>
      </c>
      <c r="CP122" s="32">
        <v>136.6</v>
      </c>
      <c r="CQ122" s="32">
        <v>73.3</v>
      </c>
      <c r="CR122" s="32">
        <v>99.5</v>
      </c>
      <c r="CS122" s="32">
        <v>126.8</v>
      </c>
      <c r="CT122" s="32">
        <v>91.5</v>
      </c>
      <c r="CU122" s="32">
        <v>77.8</v>
      </c>
      <c r="CV122" s="32">
        <v>97.3</v>
      </c>
      <c r="CW122" s="32">
        <v>30.4</v>
      </c>
      <c r="CX122" s="32">
        <v>83.2</v>
      </c>
      <c r="CY122" s="32">
        <v>102.7</v>
      </c>
      <c r="CZ122" s="32">
        <v>72.7</v>
      </c>
      <c r="DA122" s="32">
        <v>56.4</v>
      </c>
      <c r="DB122" s="32">
        <v>107.7</v>
      </c>
      <c r="DC122" s="32">
        <v>5.2</v>
      </c>
      <c r="DD122" s="32">
        <v>5.2</v>
      </c>
      <c r="DE122" s="32">
        <v>60.2</v>
      </c>
      <c r="DF122" s="32">
        <v>56.6</v>
      </c>
      <c r="DG122" s="32">
        <v>81.099999999999994</v>
      </c>
      <c r="DH122" s="32">
        <v>90.1</v>
      </c>
      <c r="DI122" s="32">
        <v>186.1</v>
      </c>
      <c r="DJ122" s="32">
        <v>42.2</v>
      </c>
      <c r="DK122" s="32">
        <v>42.2</v>
      </c>
      <c r="DL122" s="32">
        <v>36.299999999999997</v>
      </c>
      <c r="DM122" s="32">
        <v>72.7</v>
      </c>
      <c r="DN122" s="32">
        <v>50.5</v>
      </c>
      <c r="DO122" s="32">
        <v>83.4</v>
      </c>
      <c r="DP122" s="32">
        <v>38</v>
      </c>
      <c r="DQ122" s="32">
        <v>70</v>
      </c>
      <c r="DR122" s="32">
        <v>75.3</v>
      </c>
      <c r="DS122" s="32">
        <v>70.3</v>
      </c>
      <c r="DT122" s="32">
        <v>66.2</v>
      </c>
      <c r="DU122" s="32">
        <v>70.7</v>
      </c>
      <c r="DV122" s="32">
        <v>82.8</v>
      </c>
      <c r="DW122" s="32">
        <v>58.5</v>
      </c>
      <c r="DX122" s="32">
        <v>56.9</v>
      </c>
      <c r="DY122" s="32">
        <v>85.1</v>
      </c>
      <c r="DZ122" s="32">
        <v>119.1</v>
      </c>
      <c r="EA122" s="32">
        <v>119.1</v>
      </c>
      <c r="EB122" s="32">
        <v>76.5</v>
      </c>
      <c r="EC122" s="32">
        <v>83.1</v>
      </c>
      <c r="ED122" s="32">
        <v>67.599999999999994</v>
      </c>
      <c r="EE122" s="32">
        <v>75.099999999999994</v>
      </c>
      <c r="EF122" s="32">
        <v>51.3</v>
      </c>
      <c r="EG122" s="32">
        <v>62.2</v>
      </c>
      <c r="EH122" s="32">
        <v>87.2</v>
      </c>
      <c r="EI122" s="32">
        <v>58.9</v>
      </c>
      <c r="EJ122" s="32">
        <v>77.8</v>
      </c>
      <c r="EK122" s="32">
        <v>51.1</v>
      </c>
      <c r="EL122" s="32">
        <v>64.599999999999994</v>
      </c>
      <c r="EM122" s="32">
        <v>43.2</v>
      </c>
      <c r="EN122" s="32">
        <v>54.5</v>
      </c>
      <c r="EO122" s="32">
        <v>89</v>
      </c>
      <c r="EP122" s="32">
        <v>90.7</v>
      </c>
      <c r="EQ122" s="32">
        <v>90.7</v>
      </c>
      <c r="ER122" s="32">
        <v>84.7</v>
      </c>
      <c r="ES122" s="32">
        <v>84.7</v>
      </c>
      <c r="ET122" s="32">
        <v>93.3</v>
      </c>
      <c r="EU122" s="32">
        <v>103.4</v>
      </c>
      <c r="EV122" s="32">
        <v>103.4</v>
      </c>
      <c r="EW122" s="32">
        <v>83.3</v>
      </c>
      <c r="EX122" s="32">
        <v>93.3</v>
      </c>
      <c r="EY122" s="32">
        <v>75.3</v>
      </c>
      <c r="EZ122" s="32">
        <v>97.7</v>
      </c>
      <c r="FA122" s="32">
        <v>114.1</v>
      </c>
      <c r="FB122" s="32">
        <v>126.8</v>
      </c>
      <c r="FC122" s="32">
        <v>103.1</v>
      </c>
      <c r="FD122" s="32">
        <v>124</v>
      </c>
      <c r="FE122" s="32">
        <v>170.7</v>
      </c>
      <c r="FF122" s="32">
        <v>99.8</v>
      </c>
      <c r="FG122" s="32">
        <v>84.2</v>
      </c>
      <c r="FH122" s="32">
        <v>94.1</v>
      </c>
      <c r="FI122" s="32">
        <v>88.5</v>
      </c>
      <c r="FJ122" s="32">
        <v>79.3</v>
      </c>
      <c r="FK122" s="32">
        <v>122.8</v>
      </c>
      <c r="FL122" s="32">
        <v>122.8</v>
      </c>
    </row>
    <row r="123" spans="1:168" x14ac:dyDescent="0.2">
      <c r="A123" s="34" t="s">
        <v>1103</v>
      </c>
      <c r="B123" s="32">
        <v>81.8</v>
      </c>
      <c r="C123" s="32">
        <v>87.3</v>
      </c>
      <c r="D123" s="32">
        <v>104.4</v>
      </c>
      <c r="E123" s="32">
        <v>109</v>
      </c>
      <c r="F123" s="32">
        <v>244.7</v>
      </c>
      <c r="G123" s="32">
        <v>4393.5</v>
      </c>
      <c r="H123" s="32">
        <v>287.39999999999998</v>
      </c>
      <c r="I123" s="32">
        <v>88.2</v>
      </c>
      <c r="J123" s="32">
        <v>97.3</v>
      </c>
      <c r="K123" s="32">
        <v>105.8</v>
      </c>
      <c r="L123" s="32">
        <v>103.4</v>
      </c>
      <c r="M123" s="32">
        <v>94.2</v>
      </c>
      <c r="N123" s="32">
        <v>91.9</v>
      </c>
      <c r="O123" s="32">
        <v>128.30000000000001</v>
      </c>
      <c r="P123" s="32">
        <v>300.5</v>
      </c>
      <c r="Q123" s="32">
        <v>145</v>
      </c>
      <c r="R123" s="32">
        <v>92.4</v>
      </c>
      <c r="S123" s="32">
        <v>127.5</v>
      </c>
      <c r="T123" s="32">
        <v>104.5</v>
      </c>
      <c r="U123" s="32">
        <v>72.7</v>
      </c>
      <c r="V123" s="32">
        <v>132.19999999999999</v>
      </c>
      <c r="W123" s="32">
        <v>54.1</v>
      </c>
      <c r="X123" s="32">
        <v>44.6</v>
      </c>
      <c r="Y123" s="32">
        <v>61.8</v>
      </c>
      <c r="Z123" s="32">
        <v>108.5</v>
      </c>
      <c r="AA123" s="32">
        <v>111.7</v>
      </c>
      <c r="AB123" s="32">
        <v>115</v>
      </c>
      <c r="AC123" s="32">
        <v>85.8</v>
      </c>
      <c r="AD123" s="32">
        <v>138</v>
      </c>
      <c r="AE123" s="32">
        <v>112.5</v>
      </c>
      <c r="AF123" s="32">
        <v>112.5</v>
      </c>
      <c r="AG123" s="32">
        <v>82.4</v>
      </c>
      <c r="AH123" s="32">
        <v>82.4</v>
      </c>
      <c r="AI123" s="32">
        <v>232.7</v>
      </c>
      <c r="AJ123" s="32">
        <v>67</v>
      </c>
      <c r="AK123" s="32">
        <v>243.1</v>
      </c>
      <c r="AL123" s="32">
        <v>106.6</v>
      </c>
      <c r="AM123" s="32">
        <v>53.3</v>
      </c>
      <c r="AN123" s="32">
        <v>233.6</v>
      </c>
      <c r="AO123" s="32">
        <v>105.3</v>
      </c>
      <c r="AP123" s="32">
        <v>105.3</v>
      </c>
      <c r="AQ123" s="32">
        <v>112.2</v>
      </c>
      <c r="AR123" s="32">
        <v>109.7</v>
      </c>
      <c r="AS123" s="32">
        <v>118.5</v>
      </c>
      <c r="AT123" s="32">
        <v>113.6</v>
      </c>
      <c r="AU123" s="32">
        <v>120.9</v>
      </c>
      <c r="AV123" s="32">
        <v>102.7</v>
      </c>
      <c r="AW123" s="32">
        <v>155.6</v>
      </c>
      <c r="AX123" s="32">
        <v>202.8</v>
      </c>
      <c r="AY123" s="32">
        <v>203.5</v>
      </c>
      <c r="AZ123" s="32">
        <v>95.3</v>
      </c>
      <c r="BA123" s="32">
        <v>68.400000000000006</v>
      </c>
      <c r="BB123" s="32">
        <v>68.400000000000006</v>
      </c>
      <c r="BC123" s="32">
        <v>140.1</v>
      </c>
      <c r="BD123" s="32">
        <v>140.1</v>
      </c>
      <c r="BE123" s="32">
        <v>116.9</v>
      </c>
      <c r="BF123" s="32">
        <v>116.9</v>
      </c>
      <c r="BG123" s="32">
        <v>100.5</v>
      </c>
      <c r="BH123" s="32">
        <v>71.400000000000006</v>
      </c>
      <c r="BI123" s="32">
        <v>131.80000000000001</v>
      </c>
      <c r="BJ123" s="32">
        <v>40.6</v>
      </c>
      <c r="BK123" s="32">
        <v>185.6</v>
      </c>
      <c r="BL123" s="32">
        <v>63.9</v>
      </c>
      <c r="BM123" s="32">
        <v>103</v>
      </c>
      <c r="BN123" s="32">
        <v>116.2</v>
      </c>
      <c r="BO123" s="32">
        <v>102.9</v>
      </c>
      <c r="BP123" s="32">
        <v>128.6</v>
      </c>
      <c r="BQ123" s="32">
        <v>89.2</v>
      </c>
      <c r="BR123" s="32">
        <v>86</v>
      </c>
      <c r="BS123" s="32">
        <v>187.2</v>
      </c>
      <c r="BT123" s="32">
        <v>68</v>
      </c>
      <c r="BU123" s="32">
        <v>130.4</v>
      </c>
      <c r="BV123" s="32">
        <v>130.4</v>
      </c>
      <c r="BW123" s="32">
        <v>176.5</v>
      </c>
      <c r="BX123" s="32">
        <v>55.2</v>
      </c>
      <c r="BY123" s="32">
        <v>94.5</v>
      </c>
      <c r="BZ123" s="32">
        <v>93</v>
      </c>
      <c r="CA123" s="32">
        <v>95.4</v>
      </c>
      <c r="CB123" s="32">
        <v>114.6</v>
      </c>
      <c r="CC123" s="32">
        <v>84.8</v>
      </c>
      <c r="CD123" s="32">
        <v>21.9</v>
      </c>
      <c r="CE123" s="32">
        <v>94.9</v>
      </c>
      <c r="CF123" s="32">
        <v>76.900000000000006</v>
      </c>
      <c r="CG123" s="32">
        <v>96</v>
      </c>
      <c r="CH123" s="32">
        <v>98.4</v>
      </c>
      <c r="CI123" s="32">
        <v>104.7</v>
      </c>
      <c r="CJ123" s="32">
        <v>91.1</v>
      </c>
      <c r="CK123" s="32">
        <v>103.9</v>
      </c>
      <c r="CL123" s="32">
        <v>94.5</v>
      </c>
      <c r="CM123" s="32">
        <v>106.5</v>
      </c>
      <c r="CN123" s="32">
        <v>87.1</v>
      </c>
      <c r="CO123" s="32">
        <v>106.7</v>
      </c>
      <c r="CP123" s="32">
        <v>125.1</v>
      </c>
      <c r="CQ123" s="32">
        <v>71.7</v>
      </c>
      <c r="CR123" s="32">
        <v>97.4</v>
      </c>
      <c r="CS123" s="32">
        <v>127.4</v>
      </c>
      <c r="CT123" s="32">
        <v>88.7</v>
      </c>
      <c r="CU123" s="32">
        <v>74.5</v>
      </c>
      <c r="CV123" s="32">
        <v>94.8</v>
      </c>
      <c r="CW123" s="32">
        <v>30.5</v>
      </c>
      <c r="CX123" s="32">
        <v>85.5</v>
      </c>
      <c r="CY123" s="32">
        <v>101.9</v>
      </c>
      <c r="CZ123" s="32">
        <v>76.900000000000006</v>
      </c>
      <c r="DA123" s="32">
        <v>62</v>
      </c>
      <c r="DB123" s="32">
        <v>107.7</v>
      </c>
      <c r="DC123" s="32">
        <v>5.3</v>
      </c>
      <c r="DD123" s="32">
        <v>5.3</v>
      </c>
      <c r="DE123" s="32">
        <v>58.6</v>
      </c>
      <c r="DF123" s="32">
        <v>54.7</v>
      </c>
      <c r="DG123" s="32">
        <v>81.3</v>
      </c>
      <c r="DH123" s="32">
        <v>91.3</v>
      </c>
      <c r="DI123" s="32">
        <v>186.1</v>
      </c>
      <c r="DJ123" s="32">
        <v>44</v>
      </c>
      <c r="DK123" s="32">
        <v>44</v>
      </c>
      <c r="DL123" s="32">
        <v>39.4</v>
      </c>
      <c r="DM123" s="32">
        <v>72</v>
      </c>
      <c r="DN123" s="32">
        <v>49.5</v>
      </c>
      <c r="DO123" s="32">
        <v>82.6</v>
      </c>
      <c r="DP123" s="32">
        <v>39.200000000000003</v>
      </c>
      <c r="DQ123" s="32">
        <v>70.400000000000006</v>
      </c>
      <c r="DR123" s="32">
        <v>75.099999999999994</v>
      </c>
      <c r="DS123" s="32">
        <v>70.7</v>
      </c>
      <c r="DT123" s="32">
        <v>66.900000000000006</v>
      </c>
      <c r="DU123" s="32">
        <v>71</v>
      </c>
      <c r="DV123" s="32">
        <v>84</v>
      </c>
      <c r="DW123" s="32">
        <v>57.9</v>
      </c>
      <c r="DX123" s="32">
        <v>58.7</v>
      </c>
      <c r="DY123" s="32">
        <v>84.4</v>
      </c>
      <c r="DZ123" s="32">
        <v>110.6</v>
      </c>
      <c r="EA123" s="32">
        <v>110.6</v>
      </c>
      <c r="EB123" s="32">
        <v>77</v>
      </c>
      <c r="EC123" s="32">
        <v>83.2</v>
      </c>
      <c r="ED123" s="32">
        <v>68.7</v>
      </c>
      <c r="EE123" s="32">
        <v>76.7</v>
      </c>
      <c r="EF123" s="32">
        <v>51.3</v>
      </c>
      <c r="EG123" s="32">
        <v>63.3</v>
      </c>
      <c r="EH123" s="32">
        <v>87.9</v>
      </c>
      <c r="EI123" s="32">
        <v>60.6</v>
      </c>
      <c r="EJ123" s="32">
        <v>79.3</v>
      </c>
      <c r="EK123" s="32">
        <v>52</v>
      </c>
      <c r="EL123" s="32">
        <v>71.099999999999994</v>
      </c>
      <c r="EM123" s="32">
        <v>42.1</v>
      </c>
      <c r="EN123" s="32">
        <v>55.8</v>
      </c>
      <c r="EO123" s="32">
        <v>88.4</v>
      </c>
      <c r="EP123" s="32">
        <v>90.3</v>
      </c>
      <c r="EQ123" s="32">
        <v>90.3</v>
      </c>
      <c r="ER123" s="32">
        <v>84.1</v>
      </c>
      <c r="ES123" s="32">
        <v>84.1</v>
      </c>
      <c r="ET123" s="32">
        <v>92.7</v>
      </c>
      <c r="EU123" s="32">
        <v>102.6</v>
      </c>
      <c r="EV123" s="32">
        <v>102.6</v>
      </c>
      <c r="EW123" s="32">
        <v>82.9</v>
      </c>
      <c r="EX123" s="32">
        <v>93</v>
      </c>
      <c r="EY123" s="32">
        <v>74.900000000000006</v>
      </c>
      <c r="EZ123" s="32">
        <v>97.9</v>
      </c>
      <c r="FA123" s="32">
        <v>112.9</v>
      </c>
      <c r="FB123" s="32">
        <v>125.1</v>
      </c>
      <c r="FC123" s="32">
        <v>99.4</v>
      </c>
      <c r="FD123" s="32">
        <v>121.4</v>
      </c>
      <c r="FE123" s="32">
        <v>173.6</v>
      </c>
      <c r="FF123" s="32">
        <v>99.2</v>
      </c>
      <c r="FG123" s="32">
        <v>85.7</v>
      </c>
      <c r="FH123" s="32">
        <v>98.8</v>
      </c>
      <c r="FI123" s="32">
        <v>86.6</v>
      </c>
      <c r="FJ123" s="32">
        <v>79.900000000000006</v>
      </c>
      <c r="FK123" s="32">
        <v>119.7</v>
      </c>
      <c r="FL123" s="32">
        <v>119.7</v>
      </c>
    </row>
    <row r="124" spans="1:168" x14ac:dyDescent="0.2">
      <c r="A124" s="34" t="s">
        <v>1104</v>
      </c>
      <c r="B124" s="32">
        <v>82.2</v>
      </c>
      <c r="C124" s="32">
        <v>85.2</v>
      </c>
      <c r="D124" s="32">
        <v>105.1</v>
      </c>
      <c r="E124" s="32">
        <v>109.8</v>
      </c>
      <c r="F124" s="32">
        <v>243.5</v>
      </c>
      <c r="G124" s="32">
        <v>4345.8999999999996</v>
      </c>
      <c r="H124" s="32">
        <v>286.3</v>
      </c>
      <c r="I124" s="32">
        <v>87.4</v>
      </c>
      <c r="J124" s="32">
        <v>98</v>
      </c>
      <c r="K124" s="32">
        <v>106.8</v>
      </c>
      <c r="L124" s="32">
        <v>105.5</v>
      </c>
      <c r="M124" s="32">
        <v>101.7</v>
      </c>
      <c r="N124" s="32">
        <v>93.1</v>
      </c>
      <c r="O124" s="32">
        <v>134.80000000000001</v>
      </c>
      <c r="P124" s="32">
        <v>286.5</v>
      </c>
      <c r="Q124" s="32">
        <v>143.30000000000001</v>
      </c>
      <c r="R124" s="32">
        <v>92.8</v>
      </c>
      <c r="S124" s="32">
        <v>131.4</v>
      </c>
      <c r="T124" s="32">
        <v>103.4</v>
      </c>
      <c r="U124" s="32">
        <v>71.599999999999994</v>
      </c>
      <c r="V124" s="32">
        <v>128.6</v>
      </c>
      <c r="W124" s="32">
        <v>56.4</v>
      </c>
      <c r="X124" s="32">
        <v>47.8</v>
      </c>
      <c r="Y124" s="32">
        <v>61.5</v>
      </c>
      <c r="Z124" s="32">
        <v>108.9</v>
      </c>
      <c r="AA124" s="32">
        <v>111</v>
      </c>
      <c r="AB124" s="32">
        <v>122.5</v>
      </c>
      <c r="AC124" s="32">
        <v>88</v>
      </c>
      <c r="AD124" s="32">
        <v>131</v>
      </c>
      <c r="AE124" s="32">
        <v>117.2</v>
      </c>
      <c r="AF124" s="32">
        <v>117.2</v>
      </c>
      <c r="AG124" s="32">
        <v>83</v>
      </c>
      <c r="AH124" s="32">
        <v>83</v>
      </c>
      <c r="AI124" s="32">
        <v>238.1</v>
      </c>
      <c r="AJ124" s="32">
        <v>63.6</v>
      </c>
      <c r="AK124" s="32">
        <v>179.4</v>
      </c>
      <c r="AL124" s="32">
        <v>112.9</v>
      </c>
      <c r="AM124" s="32">
        <v>56.2</v>
      </c>
      <c r="AN124" s="32">
        <v>242.5</v>
      </c>
      <c r="AO124" s="32">
        <v>103.8</v>
      </c>
      <c r="AP124" s="32">
        <v>103.8</v>
      </c>
      <c r="AQ124" s="32">
        <v>112.4</v>
      </c>
      <c r="AR124" s="32">
        <v>109.5</v>
      </c>
      <c r="AS124" s="32">
        <v>119.3</v>
      </c>
      <c r="AT124" s="32">
        <v>113.7</v>
      </c>
      <c r="AU124" s="32">
        <v>122.4</v>
      </c>
      <c r="AV124" s="32">
        <v>102.4</v>
      </c>
      <c r="AW124" s="32">
        <v>162.19999999999999</v>
      </c>
      <c r="AX124" s="32">
        <v>205.1</v>
      </c>
      <c r="AY124" s="32">
        <v>217.4</v>
      </c>
      <c r="AZ124" s="32">
        <v>93.4</v>
      </c>
      <c r="BA124" s="32">
        <v>70.7</v>
      </c>
      <c r="BB124" s="32">
        <v>70.7</v>
      </c>
      <c r="BC124" s="32">
        <v>139.6</v>
      </c>
      <c r="BD124" s="32">
        <v>139.6</v>
      </c>
      <c r="BE124" s="32">
        <v>118.4</v>
      </c>
      <c r="BF124" s="32">
        <v>118.4</v>
      </c>
      <c r="BG124" s="32">
        <v>101.5</v>
      </c>
      <c r="BH124" s="32">
        <v>74.2</v>
      </c>
      <c r="BI124" s="32">
        <v>130.5</v>
      </c>
      <c r="BJ124" s="32">
        <v>41.7</v>
      </c>
      <c r="BK124" s="32">
        <v>183.1</v>
      </c>
      <c r="BL124" s="32">
        <v>62</v>
      </c>
      <c r="BM124" s="32">
        <v>105.1</v>
      </c>
      <c r="BN124" s="32">
        <v>116.8</v>
      </c>
      <c r="BO124" s="32">
        <v>106.8</v>
      </c>
      <c r="BP124" s="32">
        <v>125.5</v>
      </c>
      <c r="BQ124" s="32">
        <v>93.1</v>
      </c>
      <c r="BR124" s="32">
        <v>77.8</v>
      </c>
      <c r="BS124" s="32">
        <v>214.7</v>
      </c>
      <c r="BT124" s="32">
        <v>69.2</v>
      </c>
      <c r="BU124" s="32">
        <v>133.6</v>
      </c>
      <c r="BV124" s="32">
        <v>133.6</v>
      </c>
      <c r="BW124" s="32">
        <v>181.9</v>
      </c>
      <c r="BX124" s="32">
        <v>55.9</v>
      </c>
      <c r="BY124" s="32">
        <v>95.1</v>
      </c>
      <c r="BZ124" s="32">
        <v>92.9</v>
      </c>
      <c r="CA124" s="32">
        <v>96.2</v>
      </c>
      <c r="CB124" s="32">
        <v>115.3</v>
      </c>
      <c r="CC124" s="32">
        <v>85.8</v>
      </c>
      <c r="CD124" s="32">
        <v>22.1</v>
      </c>
      <c r="CE124" s="32">
        <v>95.3</v>
      </c>
      <c r="CF124" s="32">
        <v>77.400000000000006</v>
      </c>
      <c r="CG124" s="32">
        <v>96.2</v>
      </c>
      <c r="CH124" s="32">
        <v>98.2</v>
      </c>
      <c r="CI124" s="32">
        <v>104</v>
      </c>
      <c r="CJ124" s="32">
        <v>91.2</v>
      </c>
      <c r="CK124" s="32">
        <v>103.7</v>
      </c>
      <c r="CL124" s="32">
        <v>94.9</v>
      </c>
      <c r="CM124" s="32">
        <v>107.7</v>
      </c>
      <c r="CN124" s="32">
        <v>88.3</v>
      </c>
      <c r="CO124" s="32">
        <v>107.8</v>
      </c>
      <c r="CP124" s="32">
        <v>116.9</v>
      </c>
      <c r="CQ124" s="32">
        <v>73.7</v>
      </c>
      <c r="CR124" s="32">
        <v>98.4</v>
      </c>
      <c r="CS124" s="32">
        <v>126.9</v>
      </c>
      <c r="CT124" s="32">
        <v>90.1</v>
      </c>
      <c r="CU124" s="32">
        <v>77.7</v>
      </c>
      <c r="CV124" s="32">
        <v>95.3</v>
      </c>
      <c r="CW124" s="32">
        <v>30.7</v>
      </c>
      <c r="CX124" s="32">
        <v>85.1</v>
      </c>
      <c r="CY124" s="32">
        <v>100</v>
      </c>
      <c r="CZ124" s="32">
        <v>77.400000000000006</v>
      </c>
      <c r="DA124" s="32">
        <v>62.9</v>
      </c>
      <c r="DB124" s="32">
        <v>107.2</v>
      </c>
      <c r="DC124" s="32">
        <v>5.3</v>
      </c>
      <c r="DD124" s="32">
        <v>5.3</v>
      </c>
      <c r="DE124" s="32">
        <v>59.8</v>
      </c>
      <c r="DF124" s="32">
        <v>55.5</v>
      </c>
      <c r="DG124" s="32">
        <v>84.9</v>
      </c>
      <c r="DH124" s="32">
        <v>95.7</v>
      </c>
      <c r="DI124" s="32">
        <v>189.2</v>
      </c>
      <c r="DJ124" s="32">
        <v>47.9</v>
      </c>
      <c r="DK124" s="32">
        <v>47.9</v>
      </c>
      <c r="DL124" s="32">
        <v>44.5</v>
      </c>
      <c r="DM124" s="32">
        <v>71.900000000000006</v>
      </c>
      <c r="DN124" s="32">
        <v>49.6</v>
      </c>
      <c r="DO124" s="32">
        <v>82.4</v>
      </c>
      <c r="DP124" s="32">
        <v>41</v>
      </c>
      <c r="DQ124" s="32">
        <v>69.5</v>
      </c>
      <c r="DR124" s="32">
        <v>73.5</v>
      </c>
      <c r="DS124" s="32">
        <v>70.8</v>
      </c>
      <c r="DT124" s="32">
        <v>67.2</v>
      </c>
      <c r="DU124" s="32">
        <v>70.2</v>
      </c>
      <c r="DV124" s="32">
        <v>82</v>
      </c>
      <c r="DW124" s="32">
        <v>58.3</v>
      </c>
      <c r="DX124" s="32">
        <v>60.9</v>
      </c>
      <c r="DY124" s="32">
        <v>84</v>
      </c>
      <c r="DZ124" s="32">
        <v>95.7</v>
      </c>
      <c r="EA124" s="32">
        <v>95.7</v>
      </c>
      <c r="EB124" s="32">
        <v>74.599999999999994</v>
      </c>
      <c r="EC124" s="32">
        <v>77.5</v>
      </c>
      <c r="ED124" s="32">
        <v>71</v>
      </c>
      <c r="EE124" s="32">
        <v>79.8</v>
      </c>
      <c r="EF124" s="32">
        <v>51.7</v>
      </c>
      <c r="EG124" s="32">
        <v>63.5</v>
      </c>
      <c r="EH124" s="32">
        <v>89.9</v>
      </c>
      <c r="EI124" s="32">
        <v>58.5</v>
      </c>
      <c r="EJ124" s="32">
        <v>78.099999999999994</v>
      </c>
      <c r="EK124" s="32">
        <v>53.4</v>
      </c>
      <c r="EL124" s="32">
        <v>73.8</v>
      </c>
      <c r="EM124" s="32">
        <v>41.6</v>
      </c>
      <c r="EN124" s="32">
        <v>58.4</v>
      </c>
      <c r="EO124" s="32">
        <v>88.5</v>
      </c>
      <c r="EP124" s="32">
        <v>90.3</v>
      </c>
      <c r="EQ124" s="32">
        <v>90.3</v>
      </c>
      <c r="ER124" s="32">
        <v>84.4</v>
      </c>
      <c r="ES124" s="32">
        <v>84.4</v>
      </c>
      <c r="ET124" s="32">
        <v>92.6</v>
      </c>
      <c r="EU124" s="32">
        <v>102.7</v>
      </c>
      <c r="EV124" s="32">
        <v>102.7</v>
      </c>
      <c r="EW124" s="32">
        <v>82.6</v>
      </c>
      <c r="EX124" s="32">
        <v>92.6</v>
      </c>
      <c r="EY124" s="32">
        <v>74.7</v>
      </c>
      <c r="EZ124" s="32">
        <v>99.6</v>
      </c>
      <c r="FA124" s="32">
        <v>113.3</v>
      </c>
      <c r="FB124" s="32">
        <v>127.6</v>
      </c>
      <c r="FC124" s="32">
        <v>103.3</v>
      </c>
      <c r="FD124" s="32">
        <v>119.9</v>
      </c>
      <c r="FE124" s="32">
        <v>175.7</v>
      </c>
      <c r="FF124" s="32">
        <v>97.4</v>
      </c>
      <c r="FG124" s="32">
        <v>87.8</v>
      </c>
      <c r="FH124" s="32">
        <v>102.4</v>
      </c>
      <c r="FI124" s="32">
        <v>92.2</v>
      </c>
      <c r="FJ124" s="32">
        <v>81</v>
      </c>
      <c r="FK124" s="32">
        <v>126</v>
      </c>
      <c r="FL124" s="32">
        <v>126</v>
      </c>
    </row>
    <row r="125" spans="1:168" x14ac:dyDescent="0.2">
      <c r="A125" s="34" t="s">
        <v>1105</v>
      </c>
      <c r="B125" s="32">
        <v>82.9</v>
      </c>
      <c r="C125" s="32">
        <v>83.4</v>
      </c>
      <c r="D125" s="32">
        <v>105</v>
      </c>
      <c r="E125" s="32">
        <v>109.5</v>
      </c>
      <c r="F125" s="32">
        <v>229</v>
      </c>
      <c r="G125" s="32">
        <v>3959.2</v>
      </c>
      <c r="H125" s="32">
        <v>267.2</v>
      </c>
      <c r="I125" s="32">
        <v>86</v>
      </c>
      <c r="J125" s="32">
        <v>98.9</v>
      </c>
      <c r="K125" s="32">
        <v>108.2</v>
      </c>
      <c r="L125" s="32">
        <v>106.1</v>
      </c>
      <c r="M125" s="32">
        <v>98.8</v>
      </c>
      <c r="N125" s="32">
        <v>101</v>
      </c>
      <c r="O125" s="32">
        <v>150.19999999999999</v>
      </c>
      <c r="P125" s="32">
        <v>279</v>
      </c>
      <c r="Q125" s="32">
        <v>154.5</v>
      </c>
      <c r="R125" s="32">
        <v>90.3</v>
      </c>
      <c r="S125" s="32">
        <v>132.9</v>
      </c>
      <c r="T125" s="32">
        <v>105.3</v>
      </c>
      <c r="U125" s="32">
        <v>76.7</v>
      </c>
      <c r="V125" s="32">
        <v>132.5</v>
      </c>
      <c r="W125" s="32">
        <v>60.8</v>
      </c>
      <c r="X125" s="32">
        <v>51.2</v>
      </c>
      <c r="Y125" s="32">
        <v>68.5</v>
      </c>
      <c r="Z125" s="32">
        <v>106.6</v>
      </c>
      <c r="AA125" s="32">
        <v>113.7</v>
      </c>
      <c r="AB125" s="32">
        <v>110.2</v>
      </c>
      <c r="AC125" s="32">
        <v>90.5</v>
      </c>
      <c r="AD125" s="32">
        <v>141.69999999999999</v>
      </c>
      <c r="AE125" s="32">
        <v>115.4</v>
      </c>
      <c r="AF125" s="32">
        <v>115.4</v>
      </c>
      <c r="AG125" s="32">
        <v>83.7</v>
      </c>
      <c r="AH125" s="32">
        <v>83.7</v>
      </c>
      <c r="AI125" s="32">
        <v>261.10000000000002</v>
      </c>
      <c r="AJ125" s="32">
        <v>61.9</v>
      </c>
      <c r="AK125" s="32">
        <v>149.30000000000001</v>
      </c>
      <c r="AL125" s="32">
        <v>113</v>
      </c>
      <c r="AM125" s="32">
        <v>55</v>
      </c>
      <c r="AN125" s="32">
        <v>254.8</v>
      </c>
      <c r="AO125" s="32">
        <v>107.1</v>
      </c>
      <c r="AP125" s="32">
        <v>107.1</v>
      </c>
      <c r="AQ125" s="32">
        <v>112</v>
      </c>
      <c r="AR125" s="32">
        <v>109.2</v>
      </c>
      <c r="AS125" s="32">
        <v>118.6</v>
      </c>
      <c r="AT125" s="32">
        <v>114.3</v>
      </c>
      <c r="AU125" s="32">
        <v>120.3</v>
      </c>
      <c r="AV125" s="32">
        <v>103.9</v>
      </c>
      <c r="AW125" s="32">
        <v>158.9</v>
      </c>
      <c r="AX125" s="32">
        <v>201.4</v>
      </c>
      <c r="AY125" s="32">
        <v>212.4</v>
      </c>
      <c r="AZ125" s="32">
        <v>96.1</v>
      </c>
      <c r="BA125" s="32">
        <v>67</v>
      </c>
      <c r="BB125" s="32">
        <v>67</v>
      </c>
      <c r="BC125" s="32">
        <v>138.69999999999999</v>
      </c>
      <c r="BD125" s="32">
        <v>138.69999999999999</v>
      </c>
      <c r="BE125" s="32">
        <v>123.9</v>
      </c>
      <c r="BF125" s="32">
        <v>123.9</v>
      </c>
      <c r="BG125" s="32">
        <v>98.6</v>
      </c>
      <c r="BH125" s="32">
        <v>71.2</v>
      </c>
      <c r="BI125" s="32">
        <v>127.9</v>
      </c>
      <c r="BJ125" s="32">
        <v>42.3</v>
      </c>
      <c r="BK125" s="32">
        <v>178.8</v>
      </c>
      <c r="BL125" s="32">
        <v>60.5</v>
      </c>
      <c r="BM125" s="32">
        <v>106.6</v>
      </c>
      <c r="BN125" s="32">
        <v>119.8</v>
      </c>
      <c r="BO125" s="32">
        <v>115.6</v>
      </c>
      <c r="BP125" s="32">
        <v>121.9</v>
      </c>
      <c r="BQ125" s="32">
        <v>93</v>
      </c>
      <c r="BR125" s="32">
        <v>73.900000000000006</v>
      </c>
      <c r="BS125" s="32">
        <v>225.5</v>
      </c>
      <c r="BT125" s="32">
        <v>67.900000000000006</v>
      </c>
      <c r="BU125" s="32">
        <v>131.5</v>
      </c>
      <c r="BV125" s="32">
        <v>131.5</v>
      </c>
      <c r="BW125" s="32">
        <v>181.2</v>
      </c>
      <c r="BX125" s="32">
        <v>53.4</v>
      </c>
      <c r="BY125" s="32">
        <v>94.7</v>
      </c>
      <c r="BZ125" s="32">
        <v>91.4</v>
      </c>
      <c r="CA125" s="32">
        <v>96.4</v>
      </c>
      <c r="CB125" s="32">
        <v>113.7</v>
      </c>
      <c r="CC125" s="32">
        <v>87.4</v>
      </c>
      <c r="CD125" s="32">
        <v>22.5</v>
      </c>
      <c r="CE125" s="32">
        <v>95.5</v>
      </c>
      <c r="CF125" s="32">
        <v>78.2</v>
      </c>
      <c r="CG125" s="32">
        <v>96.1</v>
      </c>
      <c r="CH125" s="32">
        <v>97.9</v>
      </c>
      <c r="CI125" s="32">
        <v>105.8</v>
      </c>
      <c r="CJ125" s="32">
        <v>89</v>
      </c>
      <c r="CK125" s="32">
        <v>104.1</v>
      </c>
      <c r="CL125" s="32">
        <v>95.4</v>
      </c>
      <c r="CM125" s="32">
        <v>108.9</v>
      </c>
      <c r="CN125" s="32">
        <v>89.4</v>
      </c>
      <c r="CO125" s="32">
        <v>109</v>
      </c>
      <c r="CP125" s="32">
        <v>114</v>
      </c>
      <c r="CQ125" s="32">
        <v>76</v>
      </c>
      <c r="CR125" s="32">
        <v>97.6</v>
      </c>
      <c r="CS125" s="32">
        <v>128.6</v>
      </c>
      <c r="CT125" s="32">
        <v>89.8</v>
      </c>
      <c r="CU125" s="32">
        <v>74.400000000000006</v>
      </c>
      <c r="CV125" s="32">
        <v>96.3</v>
      </c>
      <c r="CW125" s="32">
        <v>31.1</v>
      </c>
      <c r="CX125" s="32">
        <v>87.8</v>
      </c>
      <c r="CY125" s="32">
        <v>105.7</v>
      </c>
      <c r="CZ125" s="32">
        <v>78.400000000000006</v>
      </c>
      <c r="DA125" s="32">
        <v>64.7</v>
      </c>
      <c r="DB125" s="32">
        <v>106.4</v>
      </c>
      <c r="DC125" s="32">
        <v>5.3</v>
      </c>
      <c r="DD125" s="32">
        <v>5.3</v>
      </c>
      <c r="DE125" s="32">
        <v>60.4</v>
      </c>
      <c r="DF125" s="32">
        <v>56.6</v>
      </c>
      <c r="DG125" s="32">
        <v>82.1</v>
      </c>
      <c r="DH125" s="32">
        <v>100.2</v>
      </c>
      <c r="DI125" s="32">
        <v>195</v>
      </c>
      <c r="DJ125" s="32">
        <v>51.7</v>
      </c>
      <c r="DK125" s="32">
        <v>51.7</v>
      </c>
      <c r="DL125" s="32">
        <v>47.1</v>
      </c>
      <c r="DM125" s="32">
        <v>71.900000000000006</v>
      </c>
      <c r="DN125" s="32">
        <v>49.7</v>
      </c>
      <c r="DO125" s="32">
        <v>82.2</v>
      </c>
      <c r="DP125" s="32">
        <v>43.6</v>
      </c>
      <c r="DQ125" s="32">
        <v>71.099999999999994</v>
      </c>
      <c r="DR125" s="32">
        <v>75.7</v>
      </c>
      <c r="DS125" s="32">
        <v>73</v>
      </c>
      <c r="DT125" s="32">
        <v>69</v>
      </c>
      <c r="DU125" s="32">
        <v>72.099999999999994</v>
      </c>
      <c r="DV125" s="32">
        <v>83.1</v>
      </c>
      <c r="DW125" s="32">
        <v>60.9</v>
      </c>
      <c r="DX125" s="32">
        <v>62.8</v>
      </c>
      <c r="DY125" s="32">
        <v>87.4</v>
      </c>
      <c r="DZ125" s="32">
        <v>110.7</v>
      </c>
      <c r="EA125" s="32">
        <v>110.7</v>
      </c>
      <c r="EB125" s="32">
        <v>72.7</v>
      </c>
      <c r="EC125" s="32">
        <v>73.2</v>
      </c>
      <c r="ED125" s="32">
        <v>72.3</v>
      </c>
      <c r="EE125" s="32">
        <v>81.400000000000006</v>
      </c>
      <c r="EF125" s="32">
        <v>52.6</v>
      </c>
      <c r="EG125" s="32">
        <v>64.099999999999994</v>
      </c>
      <c r="EH125" s="32">
        <v>90.3</v>
      </c>
      <c r="EI125" s="32">
        <v>59.4</v>
      </c>
      <c r="EJ125" s="32">
        <v>75.900000000000006</v>
      </c>
      <c r="EK125" s="32">
        <v>54.3</v>
      </c>
      <c r="EL125" s="32">
        <v>74.900000000000006</v>
      </c>
      <c r="EM125" s="32">
        <v>42.2</v>
      </c>
      <c r="EN125" s="32">
        <v>59.4</v>
      </c>
      <c r="EO125" s="32">
        <v>89</v>
      </c>
      <c r="EP125" s="32">
        <v>90.3</v>
      </c>
      <c r="EQ125" s="32">
        <v>90.3</v>
      </c>
      <c r="ER125" s="32">
        <v>85.3</v>
      </c>
      <c r="ES125" s="32">
        <v>85.3</v>
      </c>
      <c r="ET125" s="32">
        <v>93.2</v>
      </c>
      <c r="EU125" s="32">
        <v>103.7</v>
      </c>
      <c r="EV125" s="32">
        <v>103.7</v>
      </c>
      <c r="EW125" s="32">
        <v>82.3</v>
      </c>
      <c r="EX125" s="32">
        <v>92.2</v>
      </c>
      <c r="EY125" s="32">
        <v>74.5</v>
      </c>
      <c r="EZ125" s="32">
        <v>98.8</v>
      </c>
      <c r="FA125" s="32">
        <v>111.6</v>
      </c>
      <c r="FB125" s="32">
        <v>126.1</v>
      </c>
      <c r="FC125" s="32">
        <v>101.3</v>
      </c>
      <c r="FD125" s="32">
        <v>118.2</v>
      </c>
      <c r="FE125" s="32">
        <v>175.4</v>
      </c>
      <c r="FF125" s="32">
        <v>95.5</v>
      </c>
      <c r="FG125" s="32">
        <v>88</v>
      </c>
      <c r="FH125" s="32">
        <v>102.1</v>
      </c>
      <c r="FI125" s="32">
        <v>90.8</v>
      </c>
      <c r="FJ125" s="32">
        <v>81.5</v>
      </c>
      <c r="FK125" s="32">
        <v>121.3</v>
      </c>
      <c r="FL125" s="32">
        <v>121.3</v>
      </c>
    </row>
    <row r="126" spans="1:168" x14ac:dyDescent="0.2">
      <c r="A126" s="34" t="s">
        <v>1106</v>
      </c>
      <c r="B126" s="32">
        <v>82.9</v>
      </c>
      <c r="C126" s="32">
        <v>81.400000000000006</v>
      </c>
      <c r="D126" s="32">
        <v>104.9</v>
      </c>
      <c r="E126" s="32">
        <v>109.5</v>
      </c>
      <c r="F126" s="32">
        <v>236.6</v>
      </c>
      <c r="G126" s="32">
        <v>4178.1000000000004</v>
      </c>
      <c r="H126" s="32">
        <v>278.89999999999998</v>
      </c>
      <c r="I126" s="32">
        <v>83.5</v>
      </c>
      <c r="J126" s="32">
        <v>98.3</v>
      </c>
      <c r="K126" s="32">
        <v>104.9</v>
      </c>
      <c r="L126" s="32">
        <v>102.8</v>
      </c>
      <c r="M126" s="32">
        <v>103.5</v>
      </c>
      <c r="N126" s="32">
        <v>91.3</v>
      </c>
      <c r="O126" s="32">
        <v>153.9</v>
      </c>
      <c r="P126" s="32">
        <v>265.10000000000002</v>
      </c>
      <c r="Q126" s="32">
        <v>162.69999999999999</v>
      </c>
      <c r="R126" s="32">
        <v>90.4</v>
      </c>
      <c r="S126" s="32">
        <v>123.9</v>
      </c>
      <c r="T126" s="32">
        <v>100.4</v>
      </c>
      <c r="U126" s="32">
        <v>73</v>
      </c>
      <c r="V126" s="32">
        <v>129.30000000000001</v>
      </c>
      <c r="W126" s="32">
        <v>56.4</v>
      </c>
      <c r="X126" s="32">
        <v>49.2</v>
      </c>
      <c r="Y126" s="32">
        <v>59.4</v>
      </c>
      <c r="Z126" s="32">
        <v>99.9</v>
      </c>
      <c r="AA126" s="32">
        <v>111.7</v>
      </c>
      <c r="AB126" s="32">
        <v>108.2</v>
      </c>
      <c r="AC126" s="32">
        <v>93.7</v>
      </c>
      <c r="AD126" s="32">
        <v>136.1</v>
      </c>
      <c r="AE126" s="32">
        <v>100.6</v>
      </c>
      <c r="AF126" s="32">
        <v>100.6</v>
      </c>
      <c r="AG126" s="32">
        <v>79.599999999999994</v>
      </c>
      <c r="AH126" s="32">
        <v>79.599999999999994</v>
      </c>
      <c r="AI126" s="32">
        <v>278.60000000000002</v>
      </c>
      <c r="AJ126" s="32">
        <v>57.6</v>
      </c>
      <c r="AK126" s="32">
        <v>97.7</v>
      </c>
      <c r="AL126" s="32">
        <v>114.3</v>
      </c>
      <c r="AM126" s="32">
        <v>55</v>
      </c>
      <c r="AN126" s="32">
        <v>213.6</v>
      </c>
      <c r="AO126" s="32">
        <v>106.8</v>
      </c>
      <c r="AP126" s="32">
        <v>106.8</v>
      </c>
      <c r="AQ126" s="32">
        <v>111.9</v>
      </c>
      <c r="AR126" s="32">
        <v>109.7</v>
      </c>
      <c r="AS126" s="32">
        <v>117.6</v>
      </c>
      <c r="AT126" s="32">
        <v>113.5</v>
      </c>
      <c r="AU126" s="32">
        <v>119.2</v>
      </c>
      <c r="AV126" s="32">
        <v>107.6</v>
      </c>
      <c r="AW126" s="32">
        <v>158.9</v>
      </c>
      <c r="AX126" s="32">
        <v>215.3</v>
      </c>
      <c r="AY126" s="32">
        <v>201</v>
      </c>
      <c r="AZ126" s="32">
        <v>100.7</v>
      </c>
      <c r="BA126" s="32">
        <v>71.400000000000006</v>
      </c>
      <c r="BB126" s="32">
        <v>71.400000000000006</v>
      </c>
      <c r="BC126" s="32">
        <v>139.6</v>
      </c>
      <c r="BD126" s="32">
        <v>139.6</v>
      </c>
      <c r="BE126" s="32">
        <v>119.4</v>
      </c>
      <c r="BF126" s="32">
        <v>119.4</v>
      </c>
      <c r="BG126" s="32">
        <v>98.8</v>
      </c>
      <c r="BH126" s="32">
        <v>75</v>
      </c>
      <c r="BI126" s="32">
        <v>123.5</v>
      </c>
      <c r="BJ126" s="32">
        <v>43</v>
      </c>
      <c r="BK126" s="32">
        <v>171.6</v>
      </c>
      <c r="BL126" s="32">
        <v>58</v>
      </c>
      <c r="BM126" s="32">
        <v>107.9</v>
      </c>
      <c r="BN126" s="32">
        <v>124.9</v>
      </c>
      <c r="BO126" s="32">
        <v>105.2</v>
      </c>
      <c r="BP126" s="32">
        <v>144.1</v>
      </c>
      <c r="BQ126" s="32">
        <v>89.9</v>
      </c>
      <c r="BR126" s="32">
        <v>81.7</v>
      </c>
      <c r="BS126" s="32">
        <v>201</v>
      </c>
      <c r="BT126" s="32">
        <v>67</v>
      </c>
      <c r="BU126" s="32">
        <v>130.80000000000001</v>
      </c>
      <c r="BV126" s="32">
        <v>130.80000000000001</v>
      </c>
      <c r="BW126" s="32">
        <v>184.6</v>
      </c>
      <c r="BX126" s="32">
        <v>49.9</v>
      </c>
      <c r="BY126" s="32">
        <v>96.4</v>
      </c>
      <c r="BZ126" s="32">
        <v>90.2</v>
      </c>
      <c r="CA126" s="32">
        <v>99.3</v>
      </c>
      <c r="CB126" s="32">
        <v>115.3</v>
      </c>
      <c r="CC126" s="32">
        <v>91.7</v>
      </c>
      <c r="CD126" s="32">
        <v>23</v>
      </c>
      <c r="CE126" s="32">
        <v>95.4</v>
      </c>
      <c r="CF126" s="32">
        <v>78.2</v>
      </c>
      <c r="CG126" s="32">
        <v>95.6</v>
      </c>
      <c r="CH126" s="32">
        <v>97.6</v>
      </c>
      <c r="CI126" s="32">
        <v>104.7</v>
      </c>
      <c r="CJ126" s="32">
        <v>90.3</v>
      </c>
      <c r="CK126" s="32">
        <v>103</v>
      </c>
      <c r="CL126" s="32">
        <v>93.7</v>
      </c>
      <c r="CM126" s="32">
        <v>107.2</v>
      </c>
      <c r="CN126" s="32">
        <v>90.3</v>
      </c>
      <c r="CO126" s="32">
        <v>106.7</v>
      </c>
      <c r="CP126" s="32">
        <v>113.5</v>
      </c>
      <c r="CQ126" s="32">
        <v>77.8</v>
      </c>
      <c r="CR126" s="32">
        <v>98.3</v>
      </c>
      <c r="CS126" s="32">
        <v>118.1</v>
      </c>
      <c r="CT126" s="32">
        <v>89.9</v>
      </c>
      <c r="CU126" s="32">
        <v>75.099999999999994</v>
      </c>
      <c r="CV126" s="32">
        <v>96.2</v>
      </c>
      <c r="CW126" s="32">
        <v>31.5</v>
      </c>
      <c r="CX126" s="32">
        <v>86.9</v>
      </c>
      <c r="CY126" s="32">
        <v>104.7</v>
      </c>
      <c r="CZ126" s="32">
        <v>77.5</v>
      </c>
      <c r="DA126" s="32">
        <v>63.5</v>
      </c>
      <c r="DB126" s="32">
        <v>106.2</v>
      </c>
      <c r="DC126" s="32">
        <v>5.4</v>
      </c>
      <c r="DD126" s="32">
        <v>5.4</v>
      </c>
      <c r="DE126" s="32">
        <v>61.6</v>
      </c>
      <c r="DF126" s="32">
        <v>57.8</v>
      </c>
      <c r="DG126" s="32">
        <v>83.5</v>
      </c>
      <c r="DH126" s="32">
        <v>102.4</v>
      </c>
      <c r="DI126" s="32">
        <v>199.8</v>
      </c>
      <c r="DJ126" s="32">
        <v>57.3</v>
      </c>
      <c r="DK126" s="32">
        <v>57.3</v>
      </c>
      <c r="DL126" s="32">
        <v>40.700000000000003</v>
      </c>
      <c r="DM126" s="32">
        <v>71.599999999999994</v>
      </c>
      <c r="DN126" s="32">
        <v>49.2</v>
      </c>
      <c r="DO126" s="32">
        <v>81.8</v>
      </c>
      <c r="DP126" s="32">
        <v>46.2</v>
      </c>
      <c r="DQ126" s="32">
        <v>71.2</v>
      </c>
      <c r="DR126" s="32">
        <v>75.099999999999994</v>
      </c>
      <c r="DS126" s="32">
        <v>71.099999999999994</v>
      </c>
      <c r="DT126" s="32">
        <v>66.7</v>
      </c>
      <c r="DU126" s="32">
        <v>69.3</v>
      </c>
      <c r="DV126" s="32">
        <v>83.6</v>
      </c>
      <c r="DW126" s="32">
        <v>55.1</v>
      </c>
      <c r="DX126" s="32">
        <v>61.4</v>
      </c>
      <c r="DY126" s="32">
        <v>86.8</v>
      </c>
      <c r="DZ126" s="32">
        <v>107.1</v>
      </c>
      <c r="EA126" s="32">
        <v>107.1</v>
      </c>
      <c r="EB126" s="32">
        <v>77</v>
      </c>
      <c r="EC126" s="32">
        <v>80.8</v>
      </c>
      <c r="ED126" s="32">
        <v>72.2</v>
      </c>
      <c r="EE126" s="32">
        <v>80.8</v>
      </c>
      <c r="EF126" s="32">
        <v>53.4</v>
      </c>
      <c r="EG126" s="32">
        <v>65.3</v>
      </c>
      <c r="EH126" s="32">
        <v>86.1</v>
      </c>
      <c r="EI126" s="32">
        <v>67.599999999999994</v>
      </c>
      <c r="EJ126" s="32">
        <v>78.900000000000006</v>
      </c>
      <c r="EK126" s="32">
        <v>52.6</v>
      </c>
      <c r="EL126" s="32">
        <v>71.8</v>
      </c>
      <c r="EM126" s="32">
        <v>41.3</v>
      </c>
      <c r="EN126" s="32">
        <v>57.4</v>
      </c>
      <c r="EO126" s="32">
        <v>89</v>
      </c>
      <c r="EP126" s="32">
        <v>90.3</v>
      </c>
      <c r="EQ126" s="32">
        <v>90.3</v>
      </c>
      <c r="ER126" s="32">
        <v>84.2</v>
      </c>
      <c r="ES126" s="32">
        <v>84.2</v>
      </c>
      <c r="ET126" s="32">
        <v>94.1</v>
      </c>
      <c r="EU126" s="32">
        <v>105.4</v>
      </c>
      <c r="EV126" s="32">
        <v>105.4</v>
      </c>
      <c r="EW126" s="32">
        <v>82</v>
      </c>
      <c r="EX126" s="32">
        <v>91.6</v>
      </c>
      <c r="EY126" s="32">
        <v>74.3</v>
      </c>
      <c r="EZ126" s="32">
        <v>94.6</v>
      </c>
      <c r="FA126" s="32">
        <v>104.6</v>
      </c>
      <c r="FB126" s="32">
        <v>114.9</v>
      </c>
      <c r="FC126" s="32">
        <v>82.5</v>
      </c>
      <c r="FD126" s="32">
        <v>117.4</v>
      </c>
      <c r="FE126" s="32">
        <v>173.2</v>
      </c>
      <c r="FF126" s="32">
        <v>93.2</v>
      </c>
      <c r="FG126" s="32">
        <v>85.3</v>
      </c>
      <c r="FH126" s="32">
        <v>98.8</v>
      </c>
      <c r="FI126" s="32">
        <v>79.8</v>
      </c>
      <c r="FJ126" s="32">
        <v>80.099999999999994</v>
      </c>
      <c r="FK126" s="32">
        <v>124.1</v>
      </c>
      <c r="FL126" s="32">
        <v>124.1</v>
      </c>
    </row>
    <row r="127" spans="1:168" x14ac:dyDescent="0.2">
      <c r="A127" s="34" t="s">
        <v>1107</v>
      </c>
      <c r="B127" s="32">
        <v>83.2</v>
      </c>
      <c r="C127" s="32">
        <v>80</v>
      </c>
      <c r="D127" s="32">
        <v>104</v>
      </c>
      <c r="E127" s="32">
        <v>108.1</v>
      </c>
      <c r="F127" s="32">
        <v>242.3</v>
      </c>
      <c r="G127" s="32">
        <v>3818.8</v>
      </c>
      <c r="H127" s="32">
        <v>287.10000000000002</v>
      </c>
      <c r="I127" s="32">
        <v>83.7</v>
      </c>
      <c r="J127" s="32">
        <v>96.2</v>
      </c>
      <c r="K127" s="32">
        <v>103.4</v>
      </c>
      <c r="L127" s="32">
        <v>101.6</v>
      </c>
      <c r="M127" s="32">
        <v>103.6</v>
      </c>
      <c r="N127" s="32">
        <v>91.5</v>
      </c>
      <c r="O127" s="32">
        <v>156.4</v>
      </c>
      <c r="P127" s="32">
        <v>258.10000000000002</v>
      </c>
      <c r="Q127" s="32">
        <v>147.4</v>
      </c>
      <c r="R127" s="32">
        <v>89.8</v>
      </c>
      <c r="S127" s="32">
        <v>123.1</v>
      </c>
      <c r="T127" s="32">
        <v>100</v>
      </c>
      <c r="U127" s="32">
        <v>70.7</v>
      </c>
      <c r="V127" s="32">
        <v>126.9</v>
      </c>
      <c r="W127" s="32">
        <v>57</v>
      </c>
      <c r="X127" s="32">
        <v>50</v>
      </c>
      <c r="Y127" s="32">
        <v>61</v>
      </c>
      <c r="Z127" s="32">
        <v>88.1</v>
      </c>
      <c r="AA127" s="32">
        <v>109.4</v>
      </c>
      <c r="AB127" s="32">
        <v>103.1</v>
      </c>
      <c r="AC127" s="32">
        <v>94.5</v>
      </c>
      <c r="AD127" s="32">
        <v>132.6</v>
      </c>
      <c r="AE127" s="32">
        <v>89.6</v>
      </c>
      <c r="AF127" s="32">
        <v>89.6</v>
      </c>
      <c r="AG127" s="32">
        <v>77.8</v>
      </c>
      <c r="AH127" s="32">
        <v>77.8</v>
      </c>
      <c r="AI127" s="32">
        <v>274.60000000000002</v>
      </c>
      <c r="AJ127" s="32">
        <v>53</v>
      </c>
      <c r="AK127" s="32">
        <v>77.900000000000006</v>
      </c>
      <c r="AL127" s="32">
        <v>115.9</v>
      </c>
      <c r="AM127" s="32">
        <v>54.9</v>
      </c>
      <c r="AN127" s="32">
        <v>216.8</v>
      </c>
      <c r="AO127" s="32">
        <v>102</v>
      </c>
      <c r="AP127" s="32">
        <v>102</v>
      </c>
      <c r="AQ127" s="32">
        <v>110.9</v>
      </c>
      <c r="AR127" s="32">
        <v>110.6</v>
      </c>
      <c r="AS127" s="32">
        <v>114</v>
      </c>
      <c r="AT127" s="32">
        <v>112.3</v>
      </c>
      <c r="AU127" s="32">
        <v>113</v>
      </c>
      <c r="AV127" s="32">
        <v>104.1</v>
      </c>
      <c r="AW127" s="32">
        <v>164.8</v>
      </c>
      <c r="AX127" s="32">
        <v>216.7</v>
      </c>
      <c r="AY127" s="32">
        <v>214.2</v>
      </c>
      <c r="AZ127" s="32">
        <v>95.1</v>
      </c>
      <c r="BA127" s="32">
        <v>70</v>
      </c>
      <c r="BB127" s="32">
        <v>70</v>
      </c>
      <c r="BC127" s="32">
        <v>136</v>
      </c>
      <c r="BD127" s="32">
        <v>136</v>
      </c>
      <c r="BE127" s="32">
        <v>120.7</v>
      </c>
      <c r="BF127" s="32">
        <v>120.7</v>
      </c>
      <c r="BG127" s="32">
        <v>95.3</v>
      </c>
      <c r="BH127" s="32">
        <v>71.900000000000006</v>
      </c>
      <c r="BI127" s="32">
        <v>119.5</v>
      </c>
      <c r="BJ127" s="32">
        <v>44.2</v>
      </c>
      <c r="BK127" s="32">
        <v>164.8</v>
      </c>
      <c r="BL127" s="32">
        <v>55.3</v>
      </c>
      <c r="BM127" s="32">
        <v>105.3</v>
      </c>
      <c r="BN127" s="32">
        <v>122.3</v>
      </c>
      <c r="BO127" s="32">
        <v>105.9</v>
      </c>
      <c r="BP127" s="32">
        <v>137.80000000000001</v>
      </c>
      <c r="BQ127" s="32">
        <v>87.1</v>
      </c>
      <c r="BR127" s="32">
        <v>84.3</v>
      </c>
      <c r="BS127" s="32">
        <v>194.2</v>
      </c>
      <c r="BT127" s="32">
        <v>64.400000000000006</v>
      </c>
      <c r="BU127" s="32">
        <v>129.6</v>
      </c>
      <c r="BV127" s="32">
        <v>129.6</v>
      </c>
      <c r="BW127" s="32">
        <v>183.9</v>
      </c>
      <c r="BX127" s="32">
        <v>49</v>
      </c>
      <c r="BY127" s="32">
        <v>97.7</v>
      </c>
      <c r="BZ127" s="32">
        <v>90.8</v>
      </c>
      <c r="CA127" s="32">
        <v>101</v>
      </c>
      <c r="CB127" s="32">
        <v>116.4</v>
      </c>
      <c r="CC127" s="32">
        <v>93.8</v>
      </c>
      <c r="CD127" s="32">
        <v>23.3</v>
      </c>
      <c r="CE127" s="32">
        <v>95.2</v>
      </c>
      <c r="CF127" s="32">
        <v>78.8</v>
      </c>
      <c r="CG127" s="32">
        <v>96.1</v>
      </c>
      <c r="CH127" s="32">
        <v>97.8</v>
      </c>
      <c r="CI127" s="32">
        <v>104.6</v>
      </c>
      <c r="CJ127" s="32">
        <v>89.4</v>
      </c>
      <c r="CK127" s="32">
        <v>103.9</v>
      </c>
      <c r="CL127" s="32">
        <v>94.8</v>
      </c>
      <c r="CM127" s="32">
        <v>111.7</v>
      </c>
      <c r="CN127" s="32">
        <v>91</v>
      </c>
      <c r="CO127" s="32">
        <v>111.9</v>
      </c>
      <c r="CP127" s="32">
        <v>113.8</v>
      </c>
      <c r="CQ127" s="32">
        <v>80.599999999999994</v>
      </c>
      <c r="CR127" s="32">
        <v>96.8</v>
      </c>
      <c r="CS127" s="32">
        <v>115.6</v>
      </c>
      <c r="CT127" s="32">
        <v>91</v>
      </c>
      <c r="CU127" s="32">
        <v>76.099999999999994</v>
      </c>
      <c r="CV127" s="32">
        <v>97.4</v>
      </c>
      <c r="CW127" s="32">
        <v>31.5</v>
      </c>
      <c r="CX127" s="32">
        <v>86.3</v>
      </c>
      <c r="CY127" s="32">
        <v>105.1</v>
      </c>
      <c r="CZ127" s="32">
        <v>76.3</v>
      </c>
      <c r="DA127" s="32">
        <v>62.2</v>
      </c>
      <c r="DB127" s="32">
        <v>105.6</v>
      </c>
      <c r="DC127" s="32">
        <v>5.4</v>
      </c>
      <c r="DD127" s="32">
        <v>5.4</v>
      </c>
      <c r="DE127" s="32">
        <v>62.1</v>
      </c>
      <c r="DF127" s="32">
        <v>58.6</v>
      </c>
      <c r="DG127" s="32">
        <v>82.2</v>
      </c>
      <c r="DH127" s="32">
        <v>104.8</v>
      </c>
      <c r="DI127" s="32">
        <v>198</v>
      </c>
      <c r="DJ127" s="32">
        <v>61</v>
      </c>
      <c r="DK127" s="32">
        <v>61</v>
      </c>
      <c r="DL127" s="32">
        <v>44.5</v>
      </c>
      <c r="DM127" s="32">
        <v>71.400000000000006</v>
      </c>
      <c r="DN127" s="32">
        <v>49.1</v>
      </c>
      <c r="DO127" s="32">
        <v>81.400000000000006</v>
      </c>
      <c r="DP127" s="32">
        <v>48.8</v>
      </c>
      <c r="DQ127" s="32">
        <v>72.7</v>
      </c>
      <c r="DR127" s="32">
        <v>76.7</v>
      </c>
      <c r="DS127" s="32">
        <v>71.8</v>
      </c>
      <c r="DT127" s="32">
        <v>67.8</v>
      </c>
      <c r="DU127" s="32">
        <v>70.7</v>
      </c>
      <c r="DV127" s="32">
        <v>83.2</v>
      </c>
      <c r="DW127" s="32">
        <v>58.2</v>
      </c>
      <c r="DX127" s="32">
        <v>61.8</v>
      </c>
      <c r="DY127" s="32">
        <v>86.2</v>
      </c>
      <c r="DZ127" s="32">
        <v>116.3</v>
      </c>
      <c r="EA127" s="32">
        <v>116.3</v>
      </c>
      <c r="EB127" s="32">
        <v>79.099999999999994</v>
      </c>
      <c r="EC127" s="32">
        <v>83.9</v>
      </c>
      <c r="ED127" s="32">
        <v>72.8</v>
      </c>
      <c r="EE127" s="32">
        <v>81.5</v>
      </c>
      <c r="EF127" s="32">
        <v>53.9</v>
      </c>
      <c r="EG127" s="32">
        <v>66.599999999999994</v>
      </c>
      <c r="EH127" s="32">
        <v>88</v>
      </c>
      <c r="EI127" s="32">
        <v>67.599999999999994</v>
      </c>
      <c r="EJ127" s="32">
        <v>81.400000000000006</v>
      </c>
      <c r="EK127" s="32">
        <v>54.3</v>
      </c>
      <c r="EL127" s="32">
        <v>73.400000000000006</v>
      </c>
      <c r="EM127" s="32">
        <v>41.6</v>
      </c>
      <c r="EN127" s="32">
        <v>60.1</v>
      </c>
      <c r="EO127" s="32">
        <v>89.6</v>
      </c>
      <c r="EP127" s="32">
        <v>90.1</v>
      </c>
      <c r="EQ127" s="32">
        <v>90.1</v>
      </c>
      <c r="ER127" s="32">
        <v>85.3</v>
      </c>
      <c r="ES127" s="32">
        <v>85.3</v>
      </c>
      <c r="ET127" s="32">
        <v>94.9</v>
      </c>
      <c r="EU127" s="32">
        <v>106.6</v>
      </c>
      <c r="EV127" s="32">
        <v>106.6</v>
      </c>
      <c r="EW127" s="32">
        <v>81.7</v>
      </c>
      <c r="EX127" s="32">
        <v>91.1</v>
      </c>
      <c r="EY127" s="32">
        <v>74.2</v>
      </c>
      <c r="EZ127" s="32">
        <v>94.7</v>
      </c>
      <c r="FA127" s="32">
        <v>107</v>
      </c>
      <c r="FB127" s="32">
        <v>121.6</v>
      </c>
      <c r="FC127" s="32">
        <v>96.3</v>
      </c>
      <c r="FD127" s="32">
        <v>116.4</v>
      </c>
      <c r="FE127" s="32">
        <v>170.5</v>
      </c>
      <c r="FF127" s="32">
        <v>90.8</v>
      </c>
      <c r="FG127" s="32">
        <v>84.8</v>
      </c>
      <c r="FH127" s="32">
        <v>93.7</v>
      </c>
      <c r="FI127" s="32">
        <v>87.1</v>
      </c>
      <c r="FJ127" s="32">
        <v>80.599999999999994</v>
      </c>
      <c r="FK127" s="32">
        <v>109.7</v>
      </c>
      <c r="FL127" s="32">
        <v>109.7</v>
      </c>
    </row>
    <row r="128" spans="1:168" x14ac:dyDescent="0.2">
      <c r="A128" s="34" t="s">
        <v>1108</v>
      </c>
      <c r="B128" s="32">
        <v>83.3</v>
      </c>
      <c r="C128" s="32">
        <v>78.8</v>
      </c>
      <c r="D128" s="32">
        <v>103.5</v>
      </c>
      <c r="E128" s="32">
        <v>107.6</v>
      </c>
      <c r="F128" s="32">
        <v>242.2</v>
      </c>
      <c r="G128" s="32">
        <v>3638.2</v>
      </c>
      <c r="H128" s="32">
        <v>287.3</v>
      </c>
      <c r="I128" s="32">
        <v>83.4</v>
      </c>
      <c r="J128" s="32">
        <v>95.9</v>
      </c>
      <c r="K128" s="32">
        <v>103.5</v>
      </c>
      <c r="L128" s="32">
        <v>102</v>
      </c>
      <c r="M128" s="32">
        <v>105.1</v>
      </c>
      <c r="N128" s="32">
        <v>92.6</v>
      </c>
      <c r="O128" s="32">
        <v>156</v>
      </c>
      <c r="P128" s="32">
        <v>247.3</v>
      </c>
      <c r="Q128" s="32">
        <v>142</v>
      </c>
      <c r="R128" s="32">
        <v>89.6</v>
      </c>
      <c r="S128" s="32">
        <v>125.5</v>
      </c>
      <c r="T128" s="32">
        <v>98.6</v>
      </c>
      <c r="U128" s="32">
        <v>71.400000000000006</v>
      </c>
      <c r="V128" s="32">
        <v>125.3</v>
      </c>
      <c r="W128" s="32">
        <v>60.5</v>
      </c>
      <c r="X128" s="32">
        <v>52.2</v>
      </c>
      <c r="Y128" s="32">
        <v>67.3</v>
      </c>
      <c r="Z128" s="32">
        <v>88.2</v>
      </c>
      <c r="AA128" s="32">
        <v>108.1</v>
      </c>
      <c r="AB128" s="32">
        <v>104.6</v>
      </c>
      <c r="AC128" s="32">
        <v>97.5</v>
      </c>
      <c r="AD128" s="32">
        <v>126.9</v>
      </c>
      <c r="AE128" s="32">
        <v>80.3</v>
      </c>
      <c r="AF128" s="32">
        <v>80.3</v>
      </c>
      <c r="AG128" s="32">
        <v>78.099999999999994</v>
      </c>
      <c r="AH128" s="32">
        <v>78.099999999999994</v>
      </c>
      <c r="AI128" s="32">
        <v>276.89999999999998</v>
      </c>
      <c r="AJ128" s="32">
        <v>50.6</v>
      </c>
      <c r="AK128" s="32">
        <v>66.8</v>
      </c>
      <c r="AL128" s="32">
        <v>119.4</v>
      </c>
      <c r="AM128" s="32">
        <v>55.7</v>
      </c>
      <c r="AN128" s="32">
        <v>227.3</v>
      </c>
      <c r="AO128" s="32">
        <v>94.9</v>
      </c>
      <c r="AP128" s="32">
        <v>94.9</v>
      </c>
      <c r="AQ128" s="32">
        <v>110.9</v>
      </c>
      <c r="AR128" s="32">
        <v>110</v>
      </c>
      <c r="AS128" s="32">
        <v>114.8</v>
      </c>
      <c r="AT128" s="32">
        <v>114.3</v>
      </c>
      <c r="AU128" s="32">
        <v>112.7</v>
      </c>
      <c r="AV128" s="32">
        <v>104.3</v>
      </c>
      <c r="AW128" s="32">
        <v>162.1</v>
      </c>
      <c r="AX128" s="32">
        <v>201.4</v>
      </c>
      <c r="AY128" s="32">
        <v>220.5</v>
      </c>
      <c r="AZ128" s="32">
        <v>95.9</v>
      </c>
      <c r="BA128" s="32">
        <v>70</v>
      </c>
      <c r="BB128" s="32">
        <v>70</v>
      </c>
      <c r="BC128" s="32">
        <v>140.6</v>
      </c>
      <c r="BD128" s="32">
        <v>140.6</v>
      </c>
      <c r="BE128" s="32">
        <v>121.9</v>
      </c>
      <c r="BF128" s="32">
        <v>121.9</v>
      </c>
      <c r="BG128" s="32">
        <v>93.2</v>
      </c>
      <c r="BH128" s="32">
        <v>71</v>
      </c>
      <c r="BI128" s="32">
        <v>116.1</v>
      </c>
      <c r="BJ128" s="32">
        <v>44.7</v>
      </c>
      <c r="BK128" s="32">
        <v>158.69999999999999</v>
      </c>
      <c r="BL128" s="32">
        <v>55.8</v>
      </c>
      <c r="BM128" s="32">
        <v>107.7</v>
      </c>
      <c r="BN128" s="32">
        <v>127</v>
      </c>
      <c r="BO128" s="32">
        <v>116.9</v>
      </c>
      <c r="BP128" s="32">
        <v>135.30000000000001</v>
      </c>
      <c r="BQ128" s="32">
        <v>86.8</v>
      </c>
      <c r="BR128" s="32">
        <v>85.6</v>
      </c>
      <c r="BS128" s="32">
        <v>198.9</v>
      </c>
      <c r="BT128" s="32">
        <v>63.1</v>
      </c>
      <c r="BU128" s="32">
        <v>128.6</v>
      </c>
      <c r="BV128" s="32">
        <v>128.6</v>
      </c>
      <c r="BW128" s="32">
        <v>183.1</v>
      </c>
      <c r="BX128" s="32">
        <v>48.3</v>
      </c>
      <c r="BY128" s="32">
        <v>96</v>
      </c>
      <c r="BZ128" s="32">
        <v>89.5</v>
      </c>
      <c r="CA128" s="32">
        <v>99</v>
      </c>
      <c r="CB128" s="32">
        <v>114.3</v>
      </c>
      <c r="CC128" s="32">
        <v>91.9</v>
      </c>
      <c r="CD128" s="32">
        <v>23</v>
      </c>
      <c r="CE128" s="32">
        <v>95</v>
      </c>
      <c r="CF128" s="32">
        <v>79.099999999999994</v>
      </c>
      <c r="CG128" s="32">
        <v>96.7</v>
      </c>
      <c r="CH128" s="32">
        <v>98.4</v>
      </c>
      <c r="CI128" s="32">
        <v>110.2</v>
      </c>
      <c r="CJ128" s="32">
        <v>88.9</v>
      </c>
      <c r="CK128" s="32">
        <v>104</v>
      </c>
      <c r="CL128" s="32">
        <v>95.8</v>
      </c>
      <c r="CM128" s="32">
        <v>112.1</v>
      </c>
      <c r="CN128" s="32">
        <v>91.4</v>
      </c>
      <c r="CO128" s="32">
        <v>112.2</v>
      </c>
      <c r="CP128" s="32">
        <v>112.8</v>
      </c>
      <c r="CQ128" s="32">
        <v>83.6</v>
      </c>
      <c r="CR128" s="32">
        <v>98.5</v>
      </c>
      <c r="CS128" s="32">
        <v>116.2</v>
      </c>
      <c r="CT128" s="32">
        <v>91.4</v>
      </c>
      <c r="CU128" s="32">
        <v>75.900000000000006</v>
      </c>
      <c r="CV128" s="32">
        <v>98</v>
      </c>
      <c r="CW128" s="32">
        <v>32.200000000000003</v>
      </c>
      <c r="CX128" s="32">
        <v>91.9</v>
      </c>
      <c r="CY128" s="32">
        <v>111</v>
      </c>
      <c r="CZ128" s="32">
        <v>81.8</v>
      </c>
      <c r="DA128" s="32">
        <v>69.8</v>
      </c>
      <c r="DB128" s="32">
        <v>106</v>
      </c>
      <c r="DC128" s="32">
        <v>5.3</v>
      </c>
      <c r="DD128" s="32">
        <v>5.3</v>
      </c>
      <c r="DE128" s="32">
        <v>64.900000000000006</v>
      </c>
      <c r="DF128" s="32">
        <v>61.5</v>
      </c>
      <c r="DG128" s="32">
        <v>84.2</v>
      </c>
      <c r="DH128" s="32">
        <v>104.5</v>
      </c>
      <c r="DI128" s="32">
        <v>199.1</v>
      </c>
      <c r="DJ128" s="32">
        <v>64.900000000000006</v>
      </c>
      <c r="DK128" s="32">
        <v>64.900000000000006</v>
      </c>
      <c r="DL128" s="32">
        <v>36.4</v>
      </c>
      <c r="DM128" s="32">
        <v>71.5</v>
      </c>
      <c r="DN128" s="32">
        <v>48.7</v>
      </c>
      <c r="DO128" s="32">
        <v>81.599999999999994</v>
      </c>
      <c r="DP128" s="32">
        <v>50.4</v>
      </c>
      <c r="DQ128" s="32">
        <v>72.900000000000006</v>
      </c>
      <c r="DR128" s="32">
        <v>77.400000000000006</v>
      </c>
      <c r="DS128" s="32">
        <v>72.8</v>
      </c>
      <c r="DT128" s="32">
        <v>68.400000000000006</v>
      </c>
      <c r="DU128" s="32">
        <v>71.3</v>
      </c>
      <c r="DV128" s="32">
        <v>84</v>
      </c>
      <c r="DW128" s="32">
        <v>58.6</v>
      </c>
      <c r="DX128" s="32">
        <v>62.6</v>
      </c>
      <c r="DY128" s="32">
        <v>88.5</v>
      </c>
      <c r="DZ128" s="32">
        <v>121.6</v>
      </c>
      <c r="EA128" s="32">
        <v>121.6</v>
      </c>
      <c r="EB128" s="32">
        <v>77</v>
      </c>
      <c r="EC128" s="32">
        <v>81.8</v>
      </c>
      <c r="ED128" s="32">
        <v>70.7</v>
      </c>
      <c r="EE128" s="32">
        <v>78</v>
      </c>
      <c r="EF128" s="32">
        <v>54.7</v>
      </c>
      <c r="EG128" s="32">
        <v>66.099999999999994</v>
      </c>
      <c r="EH128" s="32">
        <v>88.7</v>
      </c>
      <c r="EI128" s="32">
        <v>67</v>
      </c>
      <c r="EJ128" s="32">
        <v>81.599999999999994</v>
      </c>
      <c r="EK128" s="32">
        <v>53.1</v>
      </c>
      <c r="EL128" s="32">
        <v>74.900000000000006</v>
      </c>
      <c r="EM128" s="32">
        <v>43.9</v>
      </c>
      <c r="EN128" s="32">
        <v>56</v>
      </c>
      <c r="EO128" s="32">
        <v>89.7</v>
      </c>
      <c r="EP128" s="32">
        <v>90.5</v>
      </c>
      <c r="EQ128" s="32">
        <v>90.5</v>
      </c>
      <c r="ER128" s="32">
        <v>85.6</v>
      </c>
      <c r="ES128" s="32">
        <v>85.6</v>
      </c>
      <c r="ET128" s="32">
        <v>94.6</v>
      </c>
      <c r="EU128" s="32">
        <v>106.4</v>
      </c>
      <c r="EV128" s="32">
        <v>106.4</v>
      </c>
      <c r="EW128" s="32">
        <v>81.400000000000006</v>
      </c>
      <c r="EX128" s="32">
        <v>90.7</v>
      </c>
      <c r="EY128" s="32">
        <v>74</v>
      </c>
      <c r="EZ128" s="32">
        <v>93</v>
      </c>
      <c r="FA128" s="32">
        <v>105.6</v>
      </c>
      <c r="FB128" s="32">
        <v>120</v>
      </c>
      <c r="FC128" s="32">
        <v>94.8</v>
      </c>
      <c r="FD128" s="32">
        <v>115.1</v>
      </c>
      <c r="FE128" s="32">
        <v>168.3</v>
      </c>
      <c r="FF128" s="32">
        <v>89.6</v>
      </c>
      <c r="FG128" s="32">
        <v>83.4</v>
      </c>
      <c r="FH128" s="32">
        <v>88.4</v>
      </c>
      <c r="FI128" s="32">
        <v>80</v>
      </c>
      <c r="FJ128" s="32">
        <v>81.599999999999994</v>
      </c>
      <c r="FK128" s="32">
        <v>97.6</v>
      </c>
      <c r="FL128" s="32">
        <v>97.6</v>
      </c>
    </row>
    <row r="129" spans="1:168" x14ac:dyDescent="0.2">
      <c r="A129" s="34" t="s">
        <v>1109</v>
      </c>
      <c r="B129" s="32">
        <v>83.5</v>
      </c>
      <c r="C129" s="32">
        <v>78</v>
      </c>
      <c r="D129" s="32">
        <v>102.6</v>
      </c>
      <c r="E129" s="32">
        <v>106.4</v>
      </c>
      <c r="F129" s="32">
        <v>237.8</v>
      </c>
      <c r="G129" s="32">
        <v>4024.4</v>
      </c>
      <c r="H129" s="32">
        <v>281</v>
      </c>
      <c r="I129" s="32">
        <v>83.2</v>
      </c>
      <c r="J129" s="32">
        <v>95.3</v>
      </c>
      <c r="K129" s="32">
        <v>104.2</v>
      </c>
      <c r="L129" s="32">
        <v>102.1</v>
      </c>
      <c r="M129" s="32">
        <v>112.5</v>
      </c>
      <c r="N129" s="32">
        <v>96.5</v>
      </c>
      <c r="O129" s="32">
        <v>172</v>
      </c>
      <c r="P129" s="32">
        <v>250.1</v>
      </c>
      <c r="Q129" s="32">
        <v>155.30000000000001</v>
      </c>
      <c r="R129" s="32">
        <v>90.3</v>
      </c>
      <c r="S129" s="32">
        <v>118</v>
      </c>
      <c r="T129" s="32">
        <v>94.2</v>
      </c>
      <c r="U129" s="32">
        <v>73.900000000000006</v>
      </c>
      <c r="V129" s="32">
        <v>128.6</v>
      </c>
      <c r="W129" s="32">
        <v>59.8</v>
      </c>
      <c r="X129" s="32">
        <v>52.3</v>
      </c>
      <c r="Y129" s="32">
        <v>65.099999999999994</v>
      </c>
      <c r="Z129" s="32">
        <v>85</v>
      </c>
      <c r="AA129" s="32">
        <v>106.3</v>
      </c>
      <c r="AB129" s="32">
        <v>99</v>
      </c>
      <c r="AC129" s="32">
        <v>96.4</v>
      </c>
      <c r="AD129" s="32">
        <v>126.5</v>
      </c>
      <c r="AE129" s="32">
        <v>86.9</v>
      </c>
      <c r="AF129" s="32">
        <v>86.9</v>
      </c>
      <c r="AG129" s="32">
        <v>77.400000000000006</v>
      </c>
      <c r="AH129" s="32">
        <v>77.400000000000006</v>
      </c>
      <c r="AI129" s="32">
        <v>288</v>
      </c>
      <c r="AJ129" s="32">
        <v>46.5</v>
      </c>
      <c r="AK129" s="32">
        <v>60</v>
      </c>
      <c r="AL129" s="32">
        <v>118.6</v>
      </c>
      <c r="AM129" s="32">
        <v>57.6</v>
      </c>
      <c r="AN129" s="32">
        <v>222.8</v>
      </c>
      <c r="AO129" s="32">
        <v>97.2</v>
      </c>
      <c r="AP129" s="32">
        <v>97.2</v>
      </c>
      <c r="AQ129" s="32">
        <v>109.6</v>
      </c>
      <c r="AR129" s="32">
        <v>109.3</v>
      </c>
      <c r="AS129" s="32">
        <v>112.7</v>
      </c>
      <c r="AT129" s="32">
        <v>113.7</v>
      </c>
      <c r="AU129" s="32">
        <v>108.9</v>
      </c>
      <c r="AV129" s="32">
        <v>102</v>
      </c>
      <c r="AW129" s="32">
        <v>163.30000000000001</v>
      </c>
      <c r="AX129" s="32">
        <v>203.6</v>
      </c>
      <c r="AY129" s="32">
        <v>221.8</v>
      </c>
      <c r="AZ129" s="32">
        <v>92.7</v>
      </c>
      <c r="BA129" s="32">
        <v>69.2</v>
      </c>
      <c r="BB129" s="32">
        <v>69.2</v>
      </c>
      <c r="BC129" s="32">
        <v>133.80000000000001</v>
      </c>
      <c r="BD129" s="32">
        <v>133.80000000000001</v>
      </c>
      <c r="BE129" s="32">
        <v>120.8</v>
      </c>
      <c r="BF129" s="32">
        <v>120.8</v>
      </c>
      <c r="BG129" s="32">
        <v>93.4</v>
      </c>
      <c r="BH129" s="32">
        <v>72.7</v>
      </c>
      <c r="BI129" s="32">
        <v>114.4</v>
      </c>
      <c r="BJ129" s="32">
        <v>46.1</v>
      </c>
      <c r="BK129" s="32">
        <v>156.19999999999999</v>
      </c>
      <c r="BL129" s="32">
        <v>51.4</v>
      </c>
      <c r="BM129" s="32">
        <v>106.5</v>
      </c>
      <c r="BN129" s="32">
        <v>122.4</v>
      </c>
      <c r="BO129" s="32">
        <v>105.8</v>
      </c>
      <c r="BP129" s="32">
        <v>138.19999999999999</v>
      </c>
      <c r="BQ129" s="32">
        <v>89.6</v>
      </c>
      <c r="BR129" s="32">
        <v>124.1</v>
      </c>
      <c r="BS129" s="32">
        <v>191.6</v>
      </c>
      <c r="BT129" s="32">
        <v>63.1</v>
      </c>
      <c r="BU129" s="32">
        <v>122.8</v>
      </c>
      <c r="BV129" s="32">
        <v>122.8</v>
      </c>
      <c r="BW129" s="32">
        <v>178.3</v>
      </c>
      <c r="BX129" s="32">
        <v>43.3</v>
      </c>
      <c r="BY129" s="32">
        <v>95.8</v>
      </c>
      <c r="BZ129" s="32">
        <v>91</v>
      </c>
      <c r="CA129" s="32">
        <v>98</v>
      </c>
      <c r="CB129" s="32">
        <v>111.8</v>
      </c>
      <c r="CC129" s="32">
        <v>92.1</v>
      </c>
      <c r="CD129" s="32">
        <v>22.5</v>
      </c>
      <c r="CE129" s="32">
        <v>94.6</v>
      </c>
      <c r="CF129" s="32">
        <v>79.5</v>
      </c>
      <c r="CG129" s="32">
        <v>95.9</v>
      </c>
      <c r="CH129" s="32">
        <v>97.3</v>
      </c>
      <c r="CI129" s="32">
        <v>103.8</v>
      </c>
      <c r="CJ129" s="32">
        <v>87.7</v>
      </c>
      <c r="CK129" s="32">
        <v>104.5</v>
      </c>
      <c r="CL129" s="32">
        <v>95.4</v>
      </c>
      <c r="CM129" s="32">
        <v>110.8</v>
      </c>
      <c r="CN129" s="32">
        <v>92.6</v>
      </c>
      <c r="CO129" s="32">
        <v>110.5</v>
      </c>
      <c r="CP129" s="32">
        <v>111.4</v>
      </c>
      <c r="CQ129" s="32">
        <v>85.4</v>
      </c>
      <c r="CR129" s="32">
        <v>97.9</v>
      </c>
      <c r="CS129" s="32">
        <v>117.5</v>
      </c>
      <c r="CT129" s="32">
        <v>91.2</v>
      </c>
      <c r="CU129" s="32">
        <v>73.5</v>
      </c>
      <c r="CV129" s="32">
        <v>98.8</v>
      </c>
      <c r="CW129" s="32">
        <v>32.700000000000003</v>
      </c>
      <c r="CX129" s="32">
        <v>87.8</v>
      </c>
      <c r="CY129" s="32">
        <v>111</v>
      </c>
      <c r="CZ129" s="32">
        <v>75.3</v>
      </c>
      <c r="DA129" s="32">
        <v>60.6</v>
      </c>
      <c r="DB129" s="32">
        <v>105.8</v>
      </c>
      <c r="DC129" s="32">
        <v>5.6</v>
      </c>
      <c r="DD129" s="32">
        <v>5.6</v>
      </c>
      <c r="DE129" s="32">
        <v>66.400000000000006</v>
      </c>
      <c r="DF129" s="32">
        <v>63.7</v>
      </c>
      <c r="DG129" s="32">
        <v>81.3</v>
      </c>
      <c r="DH129" s="32">
        <v>111.3</v>
      </c>
      <c r="DI129" s="32">
        <v>206.1</v>
      </c>
      <c r="DJ129" s="32">
        <v>70.2</v>
      </c>
      <c r="DK129" s="32">
        <v>70.2</v>
      </c>
      <c r="DL129" s="32">
        <v>42.9</v>
      </c>
      <c r="DM129" s="32">
        <v>71.7</v>
      </c>
      <c r="DN129" s="32">
        <v>49.4</v>
      </c>
      <c r="DO129" s="32">
        <v>81.5</v>
      </c>
      <c r="DP129" s="32">
        <v>52</v>
      </c>
      <c r="DQ129" s="32">
        <v>71.900000000000006</v>
      </c>
      <c r="DR129" s="32">
        <v>75.900000000000006</v>
      </c>
      <c r="DS129" s="32">
        <v>71.2</v>
      </c>
      <c r="DT129" s="32">
        <v>68.099999999999994</v>
      </c>
      <c r="DU129" s="32">
        <v>71.3</v>
      </c>
      <c r="DV129" s="32">
        <v>84.8</v>
      </c>
      <c r="DW129" s="32">
        <v>57.9</v>
      </c>
      <c r="DX129" s="32">
        <v>61.4</v>
      </c>
      <c r="DY129" s="32">
        <v>82.9</v>
      </c>
      <c r="DZ129" s="32">
        <v>117.8</v>
      </c>
      <c r="EA129" s="32">
        <v>117.8</v>
      </c>
      <c r="EB129" s="32">
        <v>76.599999999999994</v>
      </c>
      <c r="EC129" s="32">
        <v>80.099999999999994</v>
      </c>
      <c r="ED129" s="32">
        <v>72.099999999999994</v>
      </c>
      <c r="EE129" s="32">
        <v>80.099999999999994</v>
      </c>
      <c r="EF129" s="32">
        <v>54.4</v>
      </c>
      <c r="EG129" s="32">
        <v>65.900000000000006</v>
      </c>
      <c r="EH129" s="32">
        <v>88.3</v>
      </c>
      <c r="EI129" s="32">
        <v>64.3</v>
      </c>
      <c r="EJ129" s="32">
        <v>86</v>
      </c>
      <c r="EK129" s="32">
        <v>54.2</v>
      </c>
      <c r="EL129" s="32">
        <v>74.7</v>
      </c>
      <c r="EM129" s="32">
        <v>41.7</v>
      </c>
      <c r="EN129" s="32">
        <v>59.6</v>
      </c>
      <c r="EO129" s="32">
        <v>89.1</v>
      </c>
      <c r="EP129" s="32">
        <v>90.2</v>
      </c>
      <c r="EQ129" s="32">
        <v>90.2</v>
      </c>
      <c r="ER129" s="32">
        <v>84.6</v>
      </c>
      <c r="ES129" s="32">
        <v>84.6</v>
      </c>
      <c r="ET129" s="32">
        <v>94.1</v>
      </c>
      <c r="EU129" s="32">
        <v>105.7</v>
      </c>
      <c r="EV129" s="32">
        <v>105.7</v>
      </c>
      <c r="EW129" s="32">
        <v>81.099999999999994</v>
      </c>
      <c r="EX129" s="32">
        <v>90.3</v>
      </c>
      <c r="EY129" s="32">
        <v>73.8</v>
      </c>
      <c r="EZ129" s="32">
        <v>92.2</v>
      </c>
      <c r="FA129" s="32">
        <v>106.5</v>
      </c>
      <c r="FB129" s="32">
        <v>119.6</v>
      </c>
      <c r="FC129" s="32">
        <v>94.9</v>
      </c>
      <c r="FD129" s="32">
        <v>115</v>
      </c>
      <c r="FE129" s="32">
        <v>167.1</v>
      </c>
      <c r="FF129" s="32">
        <v>91.8</v>
      </c>
      <c r="FG129" s="32">
        <v>82</v>
      </c>
      <c r="FH129" s="32">
        <v>84.8</v>
      </c>
      <c r="FI129" s="32">
        <v>77.3</v>
      </c>
      <c r="FJ129" s="32">
        <v>81.3</v>
      </c>
      <c r="FK129" s="32">
        <v>88.3</v>
      </c>
      <c r="FL129" s="32">
        <v>88.3</v>
      </c>
    </row>
    <row r="130" spans="1:168" x14ac:dyDescent="0.2">
      <c r="A130" s="34" t="s">
        <v>1110</v>
      </c>
      <c r="B130" s="32">
        <v>83.9</v>
      </c>
      <c r="C130" s="32">
        <v>77.5</v>
      </c>
      <c r="D130" s="32">
        <v>103.8</v>
      </c>
      <c r="E130" s="32">
        <v>108.5</v>
      </c>
      <c r="F130" s="32">
        <v>244.9</v>
      </c>
      <c r="G130" s="32">
        <v>4288.8</v>
      </c>
      <c r="H130" s="32">
        <v>291.3</v>
      </c>
      <c r="I130" s="32">
        <v>82.1</v>
      </c>
      <c r="J130" s="32">
        <v>96.8</v>
      </c>
      <c r="K130" s="32">
        <v>104.8</v>
      </c>
      <c r="L130" s="32">
        <v>103.6</v>
      </c>
      <c r="M130" s="32">
        <v>111.7</v>
      </c>
      <c r="N130" s="32">
        <v>99.4</v>
      </c>
      <c r="O130" s="32">
        <v>219</v>
      </c>
      <c r="P130" s="32">
        <v>227.1</v>
      </c>
      <c r="Q130" s="32">
        <v>141.69999999999999</v>
      </c>
      <c r="R130" s="32">
        <v>90.7</v>
      </c>
      <c r="S130" s="32">
        <v>126.3</v>
      </c>
      <c r="T130" s="32">
        <v>92.2</v>
      </c>
      <c r="U130" s="32">
        <v>70.2</v>
      </c>
      <c r="V130" s="32">
        <v>126.2</v>
      </c>
      <c r="W130" s="32">
        <v>60.3</v>
      </c>
      <c r="X130" s="32">
        <v>53.1</v>
      </c>
      <c r="Y130" s="32">
        <v>65.5</v>
      </c>
      <c r="Z130" s="32">
        <v>81.8</v>
      </c>
      <c r="AA130" s="32">
        <v>107.4</v>
      </c>
      <c r="AB130" s="32">
        <v>95.5</v>
      </c>
      <c r="AC130" s="32">
        <v>99.2</v>
      </c>
      <c r="AD130" s="32">
        <v>128.69999999999999</v>
      </c>
      <c r="AE130" s="32">
        <v>88.6</v>
      </c>
      <c r="AF130" s="32">
        <v>88.6</v>
      </c>
      <c r="AG130" s="32">
        <v>74.400000000000006</v>
      </c>
      <c r="AH130" s="32">
        <v>74.400000000000006</v>
      </c>
      <c r="AI130" s="32">
        <v>278</v>
      </c>
      <c r="AJ130" s="32">
        <v>40.799999999999997</v>
      </c>
      <c r="AK130" s="32">
        <v>50.8</v>
      </c>
      <c r="AL130" s="32">
        <v>120.4</v>
      </c>
      <c r="AM130" s="32">
        <v>56.4</v>
      </c>
      <c r="AN130" s="32">
        <v>222</v>
      </c>
      <c r="AO130" s="32">
        <v>113.9</v>
      </c>
      <c r="AP130" s="32">
        <v>113.9</v>
      </c>
      <c r="AQ130" s="32">
        <v>112.7</v>
      </c>
      <c r="AR130" s="32">
        <v>113.3</v>
      </c>
      <c r="AS130" s="32">
        <v>114.4</v>
      </c>
      <c r="AT130" s="32">
        <v>115.9</v>
      </c>
      <c r="AU130" s="32">
        <v>110.1</v>
      </c>
      <c r="AV130" s="32">
        <v>103.6</v>
      </c>
      <c r="AW130" s="32">
        <v>169.1</v>
      </c>
      <c r="AX130" s="32">
        <v>211.3</v>
      </c>
      <c r="AY130" s="32">
        <v>229.6</v>
      </c>
      <c r="AZ130" s="32">
        <v>93.6</v>
      </c>
      <c r="BA130" s="32">
        <v>68.5</v>
      </c>
      <c r="BB130" s="32">
        <v>68.5</v>
      </c>
      <c r="BC130" s="32">
        <v>138.30000000000001</v>
      </c>
      <c r="BD130" s="32">
        <v>138.30000000000001</v>
      </c>
      <c r="BE130" s="32">
        <v>121.5</v>
      </c>
      <c r="BF130" s="32">
        <v>121.5</v>
      </c>
      <c r="BG130" s="32">
        <v>91.6</v>
      </c>
      <c r="BH130" s="32">
        <v>70.3</v>
      </c>
      <c r="BI130" s="32">
        <v>113.5</v>
      </c>
      <c r="BJ130" s="32">
        <v>46.6</v>
      </c>
      <c r="BK130" s="32">
        <v>154.30000000000001</v>
      </c>
      <c r="BL130" s="32">
        <v>51.5</v>
      </c>
      <c r="BM130" s="32">
        <v>105.4</v>
      </c>
      <c r="BN130" s="32">
        <v>118.9</v>
      </c>
      <c r="BO130" s="32">
        <v>104.7</v>
      </c>
      <c r="BP130" s="32">
        <v>132.1</v>
      </c>
      <c r="BQ130" s="32">
        <v>91.4</v>
      </c>
      <c r="BR130" s="32">
        <v>122.6</v>
      </c>
      <c r="BS130" s="32">
        <v>206.1</v>
      </c>
      <c r="BT130" s="32">
        <v>63.2</v>
      </c>
      <c r="BU130" s="32">
        <v>130.30000000000001</v>
      </c>
      <c r="BV130" s="32">
        <v>130.30000000000001</v>
      </c>
      <c r="BW130" s="32">
        <v>190.4</v>
      </c>
      <c r="BX130" s="32">
        <v>45.1</v>
      </c>
      <c r="BY130" s="32">
        <v>95.8</v>
      </c>
      <c r="BZ130" s="32">
        <v>90.4</v>
      </c>
      <c r="CA130" s="32">
        <v>98.3</v>
      </c>
      <c r="CB130" s="32">
        <v>113.4</v>
      </c>
      <c r="CC130" s="32">
        <v>91.3</v>
      </c>
      <c r="CD130" s="32">
        <v>22.3</v>
      </c>
      <c r="CE130" s="32">
        <v>93.9</v>
      </c>
      <c r="CF130" s="32">
        <v>79.8</v>
      </c>
      <c r="CG130" s="32">
        <v>96.2</v>
      </c>
      <c r="CH130" s="32">
        <v>97.4</v>
      </c>
      <c r="CI130" s="32">
        <v>107.7</v>
      </c>
      <c r="CJ130" s="32">
        <v>87.9</v>
      </c>
      <c r="CK130" s="32">
        <v>103.5</v>
      </c>
      <c r="CL130" s="32">
        <v>96.2</v>
      </c>
      <c r="CM130" s="32">
        <v>111.3</v>
      </c>
      <c r="CN130" s="32">
        <v>92.8</v>
      </c>
      <c r="CO130" s="32">
        <v>111.1</v>
      </c>
      <c r="CP130" s="32">
        <v>111.5</v>
      </c>
      <c r="CQ130" s="32">
        <v>88.4</v>
      </c>
      <c r="CR130" s="32">
        <v>97.7</v>
      </c>
      <c r="CS130" s="32">
        <v>119.9</v>
      </c>
      <c r="CT130" s="32">
        <v>90.9</v>
      </c>
      <c r="CU130" s="32">
        <v>75.7</v>
      </c>
      <c r="CV130" s="32">
        <v>97.3</v>
      </c>
      <c r="CW130" s="32">
        <v>33.6</v>
      </c>
      <c r="CX130" s="32">
        <v>91.3</v>
      </c>
      <c r="CY130" s="32">
        <v>114.7</v>
      </c>
      <c r="CZ130" s="32">
        <v>78.7</v>
      </c>
      <c r="DA130" s="32">
        <v>65.400000000000006</v>
      </c>
      <c r="DB130" s="32">
        <v>106.1</v>
      </c>
      <c r="DC130" s="32">
        <v>5.7</v>
      </c>
      <c r="DD130" s="32">
        <v>5.7</v>
      </c>
      <c r="DE130" s="32">
        <v>67.7</v>
      </c>
      <c r="DF130" s="32">
        <v>63.9</v>
      </c>
      <c r="DG130" s="32">
        <v>89.4</v>
      </c>
      <c r="DH130" s="32">
        <v>112.7</v>
      </c>
      <c r="DI130" s="32">
        <v>207.1</v>
      </c>
      <c r="DJ130" s="32">
        <v>73.900000000000006</v>
      </c>
      <c r="DK130" s="32">
        <v>73.900000000000006</v>
      </c>
      <c r="DL130" s="32">
        <v>40.6</v>
      </c>
      <c r="DM130" s="32">
        <v>71.599999999999994</v>
      </c>
      <c r="DN130" s="32">
        <v>49.5</v>
      </c>
      <c r="DO130" s="32">
        <v>81.2</v>
      </c>
      <c r="DP130" s="32">
        <v>52.5</v>
      </c>
      <c r="DQ130" s="32">
        <v>72.099999999999994</v>
      </c>
      <c r="DR130" s="32">
        <v>76.099999999999994</v>
      </c>
      <c r="DS130" s="32">
        <v>71</v>
      </c>
      <c r="DT130" s="32">
        <v>68.099999999999994</v>
      </c>
      <c r="DU130" s="32">
        <v>71.400000000000006</v>
      </c>
      <c r="DV130" s="32">
        <v>84.6</v>
      </c>
      <c r="DW130" s="32">
        <v>58.2</v>
      </c>
      <c r="DX130" s="32">
        <v>61.4</v>
      </c>
      <c r="DY130" s="32">
        <v>81.900000000000006</v>
      </c>
      <c r="DZ130" s="32">
        <v>118.4</v>
      </c>
      <c r="EA130" s="32">
        <v>118.4</v>
      </c>
      <c r="EB130" s="32">
        <v>77.8</v>
      </c>
      <c r="EC130" s="32">
        <v>82.1</v>
      </c>
      <c r="ED130" s="32">
        <v>72.099999999999994</v>
      </c>
      <c r="EE130" s="32">
        <v>80.400000000000006</v>
      </c>
      <c r="EF130" s="32">
        <v>54.2</v>
      </c>
      <c r="EG130" s="32">
        <v>66</v>
      </c>
      <c r="EH130" s="32">
        <v>91.6</v>
      </c>
      <c r="EI130" s="32">
        <v>61.9</v>
      </c>
      <c r="EJ130" s="32">
        <v>86.1</v>
      </c>
      <c r="EK130" s="32">
        <v>54.7</v>
      </c>
      <c r="EL130" s="32">
        <v>70</v>
      </c>
      <c r="EM130" s="32">
        <v>41.6</v>
      </c>
      <c r="EN130" s="32">
        <v>61.6</v>
      </c>
      <c r="EO130" s="32">
        <v>89</v>
      </c>
      <c r="EP130" s="32">
        <v>90.1</v>
      </c>
      <c r="EQ130" s="32">
        <v>90.1</v>
      </c>
      <c r="ER130" s="32">
        <v>85.1</v>
      </c>
      <c r="ES130" s="32">
        <v>85.1</v>
      </c>
      <c r="ET130" s="32">
        <v>93.4</v>
      </c>
      <c r="EU130" s="32">
        <v>104.8</v>
      </c>
      <c r="EV130" s="32">
        <v>104.8</v>
      </c>
      <c r="EW130" s="32">
        <v>80.900000000000006</v>
      </c>
      <c r="EX130" s="32">
        <v>90</v>
      </c>
      <c r="EY130" s="32">
        <v>73.599999999999994</v>
      </c>
      <c r="EZ130" s="32">
        <v>91.9</v>
      </c>
      <c r="FA130" s="32">
        <v>105.7</v>
      </c>
      <c r="FB130" s="32">
        <v>121.4</v>
      </c>
      <c r="FC130" s="32">
        <v>98.9</v>
      </c>
      <c r="FD130" s="32">
        <v>114.3</v>
      </c>
      <c r="FE130" s="32">
        <v>166.2</v>
      </c>
      <c r="FF130" s="32">
        <v>88.1</v>
      </c>
      <c r="FG130" s="32">
        <v>82</v>
      </c>
      <c r="FH130" s="32">
        <v>83.3</v>
      </c>
      <c r="FI130" s="32">
        <v>85.6</v>
      </c>
      <c r="FJ130" s="32">
        <v>81</v>
      </c>
      <c r="FK130" s="32">
        <v>88.7</v>
      </c>
      <c r="FL130" s="32">
        <v>88.7</v>
      </c>
    </row>
    <row r="131" spans="1:168" x14ac:dyDescent="0.2">
      <c r="A131" s="34" t="s">
        <v>1111</v>
      </c>
      <c r="B131" s="32">
        <v>84</v>
      </c>
      <c r="C131" s="32">
        <v>77.3</v>
      </c>
      <c r="D131" s="32">
        <v>102.4</v>
      </c>
      <c r="E131" s="32">
        <v>106.9</v>
      </c>
      <c r="F131" s="32">
        <v>230.8</v>
      </c>
      <c r="G131" s="32">
        <v>4578.8</v>
      </c>
      <c r="H131" s="32">
        <v>272.3</v>
      </c>
      <c r="I131" s="32">
        <v>80.5</v>
      </c>
      <c r="J131" s="32">
        <v>95.8</v>
      </c>
      <c r="K131" s="32">
        <v>103.3</v>
      </c>
      <c r="L131" s="32">
        <v>102.4</v>
      </c>
      <c r="M131" s="32">
        <v>109.6</v>
      </c>
      <c r="N131" s="32">
        <v>99.1</v>
      </c>
      <c r="O131" s="32">
        <v>189.1</v>
      </c>
      <c r="P131" s="32">
        <v>221</v>
      </c>
      <c r="Q131" s="32">
        <v>136.9</v>
      </c>
      <c r="R131" s="32">
        <v>90.3</v>
      </c>
      <c r="S131" s="32">
        <v>125.4</v>
      </c>
      <c r="T131" s="32">
        <v>93.3</v>
      </c>
      <c r="U131" s="32">
        <v>67.900000000000006</v>
      </c>
      <c r="V131" s="32">
        <v>123.4</v>
      </c>
      <c r="W131" s="32">
        <v>59.8</v>
      </c>
      <c r="X131" s="32">
        <v>53.7</v>
      </c>
      <c r="Y131" s="32">
        <v>61.6</v>
      </c>
      <c r="Z131" s="32">
        <v>89.9</v>
      </c>
      <c r="AA131" s="32">
        <v>106</v>
      </c>
      <c r="AB131" s="32">
        <v>96.6</v>
      </c>
      <c r="AC131" s="32">
        <v>100.8</v>
      </c>
      <c r="AD131" s="32">
        <v>123.8</v>
      </c>
      <c r="AE131" s="32">
        <v>76.599999999999994</v>
      </c>
      <c r="AF131" s="32">
        <v>76.599999999999994</v>
      </c>
      <c r="AG131" s="32">
        <v>82.8</v>
      </c>
      <c r="AH131" s="32">
        <v>82.8</v>
      </c>
      <c r="AI131" s="32">
        <v>256.5</v>
      </c>
      <c r="AJ131" s="32">
        <v>69.900000000000006</v>
      </c>
      <c r="AK131" s="32">
        <v>43.4</v>
      </c>
      <c r="AL131" s="32">
        <v>116.2</v>
      </c>
      <c r="AM131" s="32">
        <v>56.2</v>
      </c>
      <c r="AN131" s="32">
        <v>211.4</v>
      </c>
      <c r="AO131" s="32">
        <v>99.5</v>
      </c>
      <c r="AP131" s="32">
        <v>99.5</v>
      </c>
      <c r="AQ131" s="32">
        <v>108.2</v>
      </c>
      <c r="AR131" s="32">
        <v>107.3</v>
      </c>
      <c r="AS131" s="32">
        <v>112</v>
      </c>
      <c r="AT131" s="32">
        <v>113.8</v>
      </c>
      <c r="AU131" s="32">
        <v>107.3</v>
      </c>
      <c r="AV131" s="32">
        <v>102.1</v>
      </c>
      <c r="AW131" s="32">
        <v>167.8</v>
      </c>
      <c r="AX131" s="32">
        <v>201.1</v>
      </c>
      <c r="AY131" s="32">
        <v>235.2</v>
      </c>
      <c r="AZ131" s="32">
        <v>92.1</v>
      </c>
      <c r="BA131" s="32">
        <v>69.5</v>
      </c>
      <c r="BB131" s="32">
        <v>69.5</v>
      </c>
      <c r="BC131" s="32">
        <v>138.1</v>
      </c>
      <c r="BD131" s="32">
        <v>138.1</v>
      </c>
      <c r="BE131" s="32">
        <v>123.1</v>
      </c>
      <c r="BF131" s="32">
        <v>123.1</v>
      </c>
      <c r="BG131" s="32">
        <v>95.2</v>
      </c>
      <c r="BH131" s="32">
        <v>76.5</v>
      </c>
      <c r="BI131" s="32">
        <v>113.8</v>
      </c>
      <c r="BJ131" s="32">
        <v>46.8</v>
      </c>
      <c r="BK131" s="32">
        <v>155.4</v>
      </c>
      <c r="BL131" s="32">
        <v>48.1</v>
      </c>
      <c r="BM131" s="32">
        <v>103.5</v>
      </c>
      <c r="BN131" s="32">
        <v>118.6</v>
      </c>
      <c r="BO131" s="32">
        <v>105.9</v>
      </c>
      <c r="BP131" s="32">
        <v>130</v>
      </c>
      <c r="BQ131" s="32">
        <v>87.6</v>
      </c>
      <c r="BR131" s="32">
        <v>97.3</v>
      </c>
      <c r="BS131" s="32">
        <v>191.6</v>
      </c>
      <c r="BT131" s="32">
        <v>64</v>
      </c>
      <c r="BU131" s="32">
        <v>130.6</v>
      </c>
      <c r="BV131" s="32">
        <v>130.6</v>
      </c>
      <c r="BW131" s="32">
        <v>189.4</v>
      </c>
      <c r="BX131" s="32">
        <v>46.6</v>
      </c>
      <c r="BY131" s="32">
        <v>93.7</v>
      </c>
      <c r="BZ131" s="32">
        <v>88.7</v>
      </c>
      <c r="CA131" s="32">
        <v>96</v>
      </c>
      <c r="CB131" s="32">
        <v>109.9</v>
      </c>
      <c r="CC131" s="32">
        <v>89.9</v>
      </c>
      <c r="CD131" s="32">
        <v>21.4</v>
      </c>
      <c r="CE131" s="32">
        <v>92.9</v>
      </c>
      <c r="CF131" s="32">
        <v>80.2</v>
      </c>
      <c r="CG131" s="32">
        <v>96.8</v>
      </c>
      <c r="CH131" s="32">
        <v>97.7</v>
      </c>
      <c r="CI131" s="32">
        <v>109.9</v>
      </c>
      <c r="CJ131" s="32">
        <v>88.3</v>
      </c>
      <c r="CK131" s="32">
        <v>103.2</v>
      </c>
      <c r="CL131" s="32">
        <v>96.5</v>
      </c>
      <c r="CM131" s="32">
        <v>110.4</v>
      </c>
      <c r="CN131" s="32">
        <v>93.4</v>
      </c>
      <c r="CO131" s="32">
        <v>109.9</v>
      </c>
      <c r="CP131" s="32">
        <v>113.9</v>
      </c>
      <c r="CQ131" s="32">
        <v>90.2</v>
      </c>
      <c r="CR131" s="32">
        <v>98</v>
      </c>
      <c r="CS131" s="32">
        <v>122</v>
      </c>
      <c r="CT131" s="32">
        <v>93.2</v>
      </c>
      <c r="CU131" s="32">
        <v>77.5</v>
      </c>
      <c r="CV131" s="32">
        <v>99.9</v>
      </c>
      <c r="CW131" s="32">
        <v>34.1</v>
      </c>
      <c r="CX131" s="32">
        <v>89.6</v>
      </c>
      <c r="CY131" s="32">
        <v>113.6</v>
      </c>
      <c r="CZ131" s="32">
        <v>76.400000000000006</v>
      </c>
      <c r="DA131" s="32">
        <v>61.8</v>
      </c>
      <c r="DB131" s="32">
        <v>107</v>
      </c>
      <c r="DC131" s="32">
        <v>5.9</v>
      </c>
      <c r="DD131" s="32">
        <v>5.9</v>
      </c>
      <c r="DE131" s="32">
        <v>69.400000000000006</v>
      </c>
      <c r="DF131" s="32">
        <v>65.8</v>
      </c>
      <c r="DG131" s="32">
        <v>89.6</v>
      </c>
      <c r="DH131" s="32">
        <v>115</v>
      </c>
      <c r="DI131" s="32">
        <v>205.4</v>
      </c>
      <c r="DJ131" s="32">
        <v>76.599999999999994</v>
      </c>
      <c r="DK131" s="32">
        <v>76.599999999999994</v>
      </c>
      <c r="DL131" s="32">
        <v>45.9</v>
      </c>
      <c r="DM131" s="32">
        <v>71.400000000000006</v>
      </c>
      <c r="DN131" s="32">
        <v>49.5</v>
      </c>
      <c r="DO131" s="32">
        <v>80.900000000000006</v>
      </c>
      <c r="DP131" s="32">
        <v>53.7</v>
      </c>
      <c r="DQ131" s="32">
        <v>72.400000000000006</v>
      </c>
      <c r="DR131" s="32">
        <v>76.599999999999994</v>
      </c>
      <c r="DS131" s="32">
        <v>72.5</v>
      </c>
      <c r="DT131" s="32">
        <v>69.400000000000006</v>
      </c>
      <c r="DU131" s="32">
        <v>72.8</v>
      </c>
      <c r="DV131" s="32">
        <v>84.9</v>
      </c>
      <c r="DW131" s="32">
        <v>60.6</v>
      </c>
      <c r="DX131" s="32">
        <v>62.3</v>
      </c>
      <c r="DY131" s="32">
        <v>84.2</v>
      </c>
      <c r="DZ131" s="32">
        <v>118.5</v>
      </c>
      <c r="EA131" s="32">
        <v>118.5</v>
      </c>
      <c r="EB131" s="32">
        <v>75.400000000000006</v>
      </c>
      <c r="EC131" s="32">
        <v>79</v>
      </c>
      <c r="ED131" s="32">
        <v>70.599999999999994</v>
      </c>
      <c r="EE131" s="32">
        <v>77.8</v>
      </c>
      <c r="EF131" s="32">
        <v>54.7</v>
      </c>
      <c r="EG131" s="32">
        <v>66.099999999999994</v>
      </c>
      <c r="EH131" s="32">
        <v>92.5</v>
      </c>
      <c r="EI131" s="32">
        <v>61.2</v>
      </c>
      <c r="EJ131" s="32">
        <v>87</v>
      </c>
      <c r="EK131" s="32">
        <v>54.9</v>
      </c>
      <c r="EL131" s="32">
        <v>72.3</v>
      </c>
      <c r="EM131" s="32">
        <v>42.6</v>
      </c>
      <c r="EN131" s="32">
        <v>60.8</v>
      </c>
      <c r="EO131" s="32">
        <v>88.8</v>
      </c>
      <c r="EP131" s="32">
        <v>90.3</v>
      </c>
      <c r="EQ131" s="32">
        <v>90.3</v>
      </c>
      <c r="ER131" s="32">
        <v>84.8</v>
      </c>
      <c r="ES131" s="32">
        <v>84.8</v>
      </c>
      <c r="ET131" s="32">
        <v>93.2</v>
      </c>
      <c r="EU131" s="32">
        <v>104.5</v>
      </c>
      <c r="EV131" s="32">
        <v>104.5</v>
      </c>
      <c r="EW131" s="32">
        <v>80.8</v>
      </c>
      <c r="EX131" s="32">
        <v>89.9</v>
      </c>
      <c r="EY131" s="32">
        <v>73.5</v>
      </c>
      <c r="EZ131" s="32">
        <v>92.9</v>
      </c>
      <c r="FA131" s="32">
        <v>106.2</v>
      </c>
      <c r="FB131" s="32">
        <v>123.1</v>
      </c>
      <c r="FC131" s="32">
        <v>102.2</v>
      </c>
      <c r="FD131" s="32">
        <v>113.9</v>
      </c>
      <c r="FE131" s="32">
        <v>165.9</v>
      </c>
      <c r="FF131" s="32">
        <v>87.3</v>
      </c>
      <c r="FG131" s="32">
        <v>82.9</v>
      </c>
      <c r="FH131" s="32">
        <v>83.8</v>
      </c>
      <c r="FI131" s="32">
        <v>75.900000000000006</v>
      </c>
      <c r="FJ131" s="32">
        <v>83.3</v>
      </c>
      <c r="FK131" s="32">
        <v>97.5</v>
      </c>
      <c r="FL131" s="32">
        <v>97.5</v>
      </c>
    </row>
    <row r="132" spans="1:168" ht="15.75" customHeight="1" x14ac:dyDescent="0.2">
      <c r="A132" s="34" t="s">
        <v>1112</v>
      </c>
      <c r="B132" s="32">
        <v>84</v>
      </c>
      <c r="C132" s="32">
        <v>77.400000000000006</v>
      </c>
      <c r="D132" s="32">
        <v>101.7</v>
      </c>
      <c r="E132" s="32">
        <v>106.3</v>
      </c>
      <c r="F132" s="32">
        <v>236.5</v>
      </c>
      <c r="G132" s="32">
        <v>4916.2</v>
      </c>
      <c r="H132" s="32">
        <v>280.7</v>
      </c>
      <c r="I132" s="32">
        <v>79.5</v>
      </c>
      <c r="J132" s="32">
        <v>95</v>
      </c>
      <c r="K132" s="32">
        <v>103.1</v>
      </c>
      <c r="L132" s="32">
        <v>101.6</v>
      </c>
      <c r="M132" s="32">
        <v>108.3</v>
      </c>
      <c r="N132" s="32">
        <v>98.9</v>
      </c>
      <c r="O132" s="32">
        <v>207.1</v>
      </c>
      <c r="P132" s="32">
        <v>211.9</v>
      </c>
      <c r="Q132" s="32">
        <v>137.9</v>
      </c>
      <c r="R132" s="32">
        <v>90.3</v>
      </c>
      <c r="S132" s="32">
        <v>124.2</v>
      </c>
      <c r="T132" s="32">
        <v>94.3</v>
      </c>
      <c r="U132" s="32">
        <v>68.8</v>
      </c>
      <c r="V132" s="32">
        <v>125.6</v>
      </c>
      <c r="W132" s="32">
        <v>62.7</v>
      </c>
      <c r="X132" s="32">
        <v>55.1</v>
      </c>
      <c r="Y132" s="32">
        <v>67.599999999999994</v>
      </c>
      <c r="Z132" s="32">
        <v>90.6</v>
      </c>
      <c r="AA132" s="32">
        <v>108.4</v>
      </c>
      <c r="AB132" s="32">
        <v>98.2</v>
      </c>
      <c r="AC132" s="32">
        <v>102.4</v>
      </c>
      <c r="AD132" s="32">
        <v>127.3</v>
      </c>
      <c r="AE132" s="32">
        <v>72.2</v>
      </c>
      <c r="AF132" s="32">
        <v>72.2</v>
      </c>
      <c r="AG132" s="32">
        <v>79.099999999999994</v>
      </c>
      <c r="AH132" s="32">
        <v>79.099999999999994</v>
      </c>
      <c r="AI132" s="32">
        <v>253.2</v>
      </c>
      <c r="AJ132" s="32">
        <v>62.2</v>
      </c>
      <c r="AK132" s="32">
        <v>39.6</v>
      </c>
      <c r="AL132" s="32">
        <v>114.5</v>
      </c>
      <c r="AM132" s="32">
        <v>54</v>
      </c>
      <c r="AN132" s="32">
        <v>214</v>
      </c>
      <c r="AO132" s="32">
        <v>93.8</v>
      </c>
      <c r="AP132" s="32">
        <v>93.8</v>
      </c>
      <c r="AQ132" s="32">
        <v>106.7</v>
      </c>
      <c r="AR132" s="32">
        <v>106.3</v>
      </c>
      <c r="AS132" s="32">
        <v>109.8</v>
      </c>
      <c r="AT132" s="32">
        <v>113.3</v>
      </c>
      <c r="AU132" s="32">
        <v>103.4</v>
      </c>
      <c r="AV132" s="32">
        <v>102.9</v>
      </c>
      <c r="AW132" s="32">
        <v>167.5</v>
      </c>
      <c r="AX132" s="32">
        <v>191.2</v>
      </c>
      <c r="AY132" s="32">
        <v>243.1</v>
      </c>
      <c r="AZ132" s="32">
        <v>93.1</v>
      </c>
      <c r="BA132" s="32">
        <v>72.099999999999994</v>
      </c>
      <c r="BB132" s="32">
        <v>72.099999999999994</v>
      </c>
      <c r="BC132" s="32">
        <v>141</v>
      </c>
      <c r="BD132" s="32">
        <v>141</v>
      </c>
      <c r="BE132" s="32">
        <v>124.7</v>
      </c>
      <c r="BF132" s="32">
        <v>124.7</v>
      </c>
      <c r="BG132" s="32">
        <v>90.3</v>
      </c>
      <c r="BH132" s="32">
        <v>66.099999999999994</v>
      </c>
      <c r="BI132" s="32">
        <v>115.8</v>
      </c>
      <c r="BJ132" s="32">
        <v>47.6</v>
      </c>
      <c r="BK132" s="32">
        <v>157.5</v>
      </c>
      <c r="BL132" s="32">
        <v>52</v>
      </c>
      <c r="BM132" s="32">
        <v>100.6</v>
      </c>
      <c r="BN132" s="32">
        <v>118.4</v>
      </c>
      <c r="BO132" s="32">
        <v>109.2</v>
      </c>
      <c r="BP132" s="32">
        <v>125.9</v>
      </c>
      <c r="BQ132" s="32">
        <v>81.5</v>
      </c>
      <c r="BR132" s="32">
        <v>76.7</v>
      </c>
      <c r="BS132" s="32">
        <v>173.8</v>
      </c>
      <c r="BT132" s="32">
        <v>61.8</v>
      </c>
      <c r="BU132" s="32">
        <v>128.69999999999999</v>
      </c>
      <c r="BV132" s="32">
        <v>128.69999999999999</v>
      </c>
      <c r="BW132" s="32">
        <v>189.7</v>
      </c>
      <c r="BX132" s="32">
        <v>43.2</v>
      </c>
      <c r="BY132" s="32">
        <v>94</v>
      </c>
      <c r="BZ132" s="32">
        <v>88.2</v>
      </c>
      <c r="CA132" s="32">
        <v>96.8</v>
      </c>
      <c r="CB132" s="32">
        <v>110</v>
      </c>
      <c r="CC132" s="32">
        <v>91.2</v>
      </c>
      <c r="CD132" s="32">
        <v>21.5</v>
      </c>
      <c r="CE132" s="32">
        <v>92</v>
      </c>
      <c r="CF132" s="32">
        <v>80.3</v>
      </c>
      <c r="CG132" s="32">
        <v>96.3</v>
      </c>
      <c r="CH132" s="32">
        <v>97.5</v>
      </c>
      <c r="CI132" s="32">
        <v>108.7</v>
      </c>
      <c r="CJ132" s="32">
        <v>88.2</v>
      </c>
      <c r="CK132" s="32">
        <v>103.3</v>
      </c>
      <c r="CL132" s="32">
        <v>96.4</v>
      </c>
      <c r="CM132" s="32">
        <v>109.9</v>
      </c>
      <c r="CN132" s="32">
        <v>94.2</v>
      </c>
      <c r="CO132" s="32">
        <v>109.1</v>
      </c>
      <c r="CP132" s="32">
        <v>115.9</v>
      </c>
      <c r="CQ132" s="32">
        <v>89</v>
      </c>
      <c r="CR132" s="32">
        <v>96.4</v>
      </c>
      <c r="CS132" s="32">
        <v>125.7</v>
      </c>
      <c r="CT132" s="32">
        <v>90.8</v>
      </c>
      <c r="CU132" s="32">
        <v>73.5</v>
      </c>
      <c r="CV132" s="32">
        <v>98.2</v>
      </c>
      <c r="CW132" s="32">
        <v>34.299999999999997</v>
      </c>
      <c r="CX132" s="32">
        <v>92.3</v>
      </c>
      <c r="CY132" s="32">
        <v>115</v>
      </c>
      <c r="CZ132" s="32">
        <v>80.099999999999994</v>
      </c>
      <c r="DA132" s="32">
        <v>66.2</v>
      </c>
      <c r="DB132" s="32">
        <v>108.6</v>
      </c>
      <c r="DC132" s="32">
        <v>5.8</v>
      </c>
      <c r="DD132" s="32">
        <v>5.8</v>
      </c>
      <c r="DE132" s="32">
        <v>69.7</v>
      </c>
      <c r="DF132" s="32">
        <v>66.099999999999994</v>
      </c>
      <c r="DG132" s="32">
        <v>90</v>
      </c>
      <c r="DH132" s="32">
        <v>117.7</v>
      </c>
      <c r="DI132" s="32">
        <v>212.6</v>
      </c>
      <c r="DJ132" s="32">
        <v>78.8</v>
      </c>
      <c r="DK132" s="32">
        <v>78.8</v>
      </c>
      <c r="DL132" s="32">
        <v>43.9</v>
      </c>
      <c r="DM132" s="32">
        <v>71.2</v>
      </c>
      <c r="DN132" s="32">
        <v>50</v>
      </c>
      <c r="DO132" s="32">
        <v>80.400000000000006</v>
      </c>
      <c r="DP132" s="32">
        <v>54.6</v>
      </c>
      <c r="DQ132" s="32">
        <v>72.599999999999994</v>
      </c>
      <c r="DR132" s="32">
        <v>76.8</v>
      </c>
      <c r="DS132" s="32">
        <v>73</v>
      </c>
      <c r="DT132" s="32">
        <v>69.099999999999994</v>
      </c>
      <c r="DU132" s="32">
        <v>71.5</v>
      </c>
      <c r="DV132" s="32">
        <v>83.1</v>
      </c>
      <c r="DW132" s="32">
        <v>59.8</v>
      </c>
      <c r="DX132" s="32">
        <v>64.2</v>
      </c>
      <c r="DY132" s="32">
        <v>87.2</v>
      </c>
      <c r="DZ132" s="32">
        <v>110.4</v>
      </c>
      <c r="EA132" s="32">
        <v>110.4</v>
      </c>
      <c r="EB132" s="32">
        <v>77.599999999999994</v>
      </c>
      <c r="EC132" s="32">
        <v>81.099999999999994</v>
      </c>
      <c r="ED132" s="32">
        <v>72.900000000000006</v>
      </c>
      <c r="EE132" s="32">
        <v>81</v>
      </c>
      <c r="EF132" s="32">
        <v>55.2</v>
      </c>
      <c r="EG132" s="32">
        <v>66.400000000000006</v>
      </c>
      <c r="EH132" s="32">
        <v>92.5</v>
      </c>
      <c r="EI132" s="32">
        <v>59.3</v>
      </c>
      <c r="EJ132" s="32">
        <v>88.8</v>
      </c>
      <c r="EK132" s="32">
        <v>56.6</v>
      </c>
      <c r="EL132" s="32">
        <v>72.400000000000006</v>
      </c>
      <c r="EM132" s="32">
        <v>43.5</v>
      </c>
      <c r="EN132" s="32">
        <v>63.4</v>
      </c>
      <c r="EO132" s="32">
        <v>88.5</v>
      </c>
      <c r="EP132" s="32">
        <v>90</v>
      </c>
      <c r="EQ132" s="32">
        <v>90</v>
      </c>
      <c r="ER132" s="32">
        <v>83.7</v>
      </c>
      <c r="ES132" s="32">
        <v>83.7</v>
      </c>
      <c r="ET132" s="32">
        <v>93.3</v>
      </c>
      <c r="EU132" s="32">
        <v>104.6</v>
      </c>
      <c r="EV132" s="32">
        <v>104.6</v>
      </c>
      <c r="EW132" s="32">
        <v>80.8</v>
      </c>
      <c r="EX132" s="32">
        <v>89.9</v>
      </c>
      <c r="EY132" s="32">
        <v>73.599999999999994</v>
      </c>
      <c r="EZ132" s="32">
        <v>90.9</v>
      </c>
      <c r="FA132" s="32">
        <v>103.1</v>
      </c>
      <c r="FB132" s="32">
        <v>121</v>
      </c>
      <c r="FC132" s="32">
        <v>98.1</v>
      </c>
      <c r="FD132" s="32">
        <v>114.1</v>
      </c>
      <c r="FE132" s="32">
        <v>166.4</v>
      </c>
      <c r="FF132" s="32">
        <v>83.2</v>
      </c>
      <c r="FG132" s="32">
        <v>81.7</v>
      </c>
      <c r="FH132" s="32">
        <v>84.7</v>
      </c>
      <c r="FI132" s="32">
        <v>72.599999999999994</v>
      </c>
      <c r="FJ132" s="32">
        <v>81.3</v>
      </c>
      <c r="FK132" s="32">
        <v>94.9</v>
      </c>
      <c r="FL132" s="32">
        <v>94.9</v>
      </c>
    </row>
    <row r="133" spans="1:168" ht="15.75" customHeight="1" x14ac:dyDescent="0.2">
      <c r="A133" s="34" t="s">
        <v>1113</v>
      </c>
      <c r="B133" s="32">
        <v>84.5</v>
      </c>
      <c r="C133" s="32">
        <v>77.5</v>
      </c>
      <c r="D133" s="32">
        <v>102.5</v>
      </c>
      <c r="E133" s="32">
        <v>107.8</v>
      </c>
      <c r="F133" s="32">
        <v>227.5</v>
      </c>
      <c r="G133" s="32">
        <v>3906</v>
      </c>
      <c r="H133" s="32">
        <v>273.5</v>
      </c>
      <c r="I133" s="32">
        <v>72.3</v>
      </c>
      <c r="J133" s="32">
        <v>97.5</v>
      </c>
      <c r="K133" s="32">
        <v>101.2</v>
      </c>
      <c r="L133" s="32">
        <v>99.8</v>
      </c>
      <c r="M133" s="32">
        <v>98.9</v>
      </c>
      <c r="N133" s="32">
        <v>104.5</v>
      </c>
      <c r="O133" s="32">
        <v>184.1</v>
      </c>
      <c r="P133" s="32">
        <v>210.8</v>
      </c>
      <c r="Q133" s="32">
        <v>123.5</v>
      </c>
      <c r="R133" s="32">
        <v>89.2</v>
      </c>
      <c r="S133" s="32">
        <v>124.7</v>
      </c>
      <c r="T133" s="32">
        <v>90.7</v>
      </c>
      <c r="U133" s="32">
        <v>68.3</v>
      </c>
      <c r="V133" s="32">
        <v>122.8</v>
      </c>
      <c r="W133" s="32">
        <v>62.9</v>
      </c>
      <c r="X133" s="32">
        <v>53.9</v>
      </c>
      <c r="Y133" s="32">
        <v>69.900000000000006</v>
      </c>
      <c r="Z133" s="32">
        <v>101.2</v>
      </c>
      <c r="AA133" s="32">
        <v>111</v>
      </c>
      <c r="AB133" s="32">
        <v>100.3</v>
      </c>
      <c r="AC133" s="32">
        <v>102.2</v>
      </c>
      <c r="AD133" s="32">
        <v>132.30000000000001</v>
      </c>
      <c r="AE133" s="32">
        <v>73.099999999999994</v>
      </c>
      <c r="AF133" s="32">
        <v>73.099999999999994</v>
      </c>
      <c r="AG133" s="32">
        <v>78.7</v>
      </c>
      <c r="AH133" s="32">
        <v>78.7</v>
      </c>
      <c r="AI133" s="32">
        <v>242.3</v>
      </c>
      <c r="AJ133" s="32">
        <v>58.3</v>
      </c>
      <c r="AK133" s="32">
        <v>33.799999999999997</v>
      </c>
      <c r="AL133" s="32">
        <v>119.7</v>
      </c>
      <c r="AM133" s="32">
        <v>54.9</v>
      </c>
      <c r="AN133" s="32">
        <v>226.4</v>
      </c>
      <c r="AO133" s="32">
        <v>106.1</v>
      </c>
      <c r="AP133" s="32">
        <v>106.1</v>
      </c>
      <c r="AQ133" s="32">
        <v>110.1</v>
      </c>
      <c r="AR133" s="32">
        <v>106.7</v>
      </c>
      <c r="AS133" s="32">
        <v>117.7</v>
      </c>
      <c r="AT133" s="32">
        <v>110.6</v>
      </c>
      <c r="AU133" s="32">
        <v>122.5</v>
      </c>
      <c r="AV133" s="32">
        <v>103.3</v>
      </c>
      <c r="AW133" s="32">
        <v>171.9</v>
      </c>
      <c r="AX133" s="32">
        <v>193.1</v>
      </c>
      <c r="AY133" s="32">
        <v>252.4</v>
      </c>
      <c r="AZ133" s="32">
        <v>92.6</v>
      </c>
      <c r="BA133" s="32">
        <v>70.400000000000006</v>
      </c>
      <c r="BB133" s="32">
        <v>70.400000000000006</v>
      </c>
      <c r="BC133" s="32">
        <v>136.6</v>
      </c>
      <c r="BD133" s="32">
        <v>136.6</v>
      </c>
      <c r="BE133" s="32">
        <v>126.4</v>
      </c>
      <c r="BF133" s="32">
        <v>126.4</v>
      </c>
      <c r="BG133" s="32">
        <v>103.3</v>
      </c>
      <c r="BH133" s="32">
        <v>88.4</v>
      </c>
      <c r="BI133" s="32">
        <v>116.7</v>
      </c>
      <c r="BJ133" s="32">
        <v>47.7</v>
      </c>
      <c r="BK133" s="32">
        <v>158.6</v>
      </c>
      <c r="BL133" s="32">
        <v>53.6</v>
      </c>
      <c r="BM133" s="32">
        <v>102.4</v>
      </c>
      <c r="BN133" s="32">
        <v>118.1</v>
      </c>
      <c r="BO133" s="32">
        <v>105.7</v>
      </c>
      <c r="BP133" s="32">
        <v>129.19999999999999</v>
      </c>
      <c r="BQ133" s="32">
        <v>85.7</v>
      </c>
      <c r="BR133" s="32">
        <v>82.4</v>
      </c>
      <c r="BS133" s="32">
        <v>194.6</v>
      </c>
      <c r="BT133" s="32">
        <v>62.9</v>
      </c>
      <c r="BU133" s="32">
        <v>126.4</v>
      </c>
      <c r="BV133" s="32">
        <v>126.4</v>
      </c>
      <c r="BW133" s="32">
        <v>186.5</v>
      </c>
      <c r="BX133" s="32">
        <v>42.4</v>
      </c>
      <c r="BY133" s="32">
        <v>94.4</v>
      </c>
      <c r="BZ133" s="32">
        <v>92.2</v>
      </c>
      <c r="CA133" s="32">
        <v>95.5</v>
      </c>
      <c r="CB133" s="32">
        <v>108.8</v>
      </c>
      <c r="CC133" s="32">
        <v>89.7</v>
      </c>
      <c r="CD133" s="32">
        <v>20.8</v>
      </c>
      <c r="CE133" s="32">
        <v>91.3</v>
      </c>
      <c r="CF133" s="32">
        <v>80.7</v>
      </c>
      <c r="CG133" s="32">
        <v>97.6</v>
      </c>
      <c r="CH133" s="32">
        <v>98.8</v>
      </c>
      <c r="CI133" s="32">
        <v>111.5</v>
      </c>
      <c r="CJ133" s="32">
        <v>89.2</v>
      </c>
      <c r="CK133" s="32">
        <v>104.2</v>
      </c>
      <c r="CL133" s="32">
        <v>98</v>
      </c>
      <c r="CM133" s="32">
        <v>113.2</v>
      </c>
      <c r="CN133" s="32">
        <v>95.6</v>
      </c>
      <c r="CO133" s="32">
        <v>112.7</v>
      </c>
      <c r="CP133" s="32">
        <v>114.1</v>
      </c>
      <c r="CQ133" s="32">
        <v>88.3</v>
      </c>
      <c r="CR133" s="32">
        <v>97.9</v>
      </c>
      <c r="CS133" s="32">
        <v>127.3</v>
      </c>
      <c r="CT133" s="32">
        <v>92.1</v>
      </c>
      <c r="CU133" s="32">
        <v>75.7</v>
      </c>
      <c r="CV133" s="32">
        <v>99.1</v>
      </c>
      <c r="CW133" s="32">
        <v>34.5</v>
      </c>
      <c r="CX133" s="32">
        <v>91.1</v>
      </c>
      <c r="CY133" s="32">
        <v>114.3</v>
      </c>
      <c r="CZ133" s="32">
        <v>78.5</v>
      </c>
      <c r="DA133" s="32">
        <v>64.3</v>
      </c>
      <c r="DB133" s="32">
        <v>107.9</v>
      </c>
      <c r="DC133" s="32">
        <v>5.7</v>
      </c>
      <c r="DD133" s="32">
        <v>5.7</v>
      </c>
      <c r="DE133" s="32">
        <v>71.900000000000006</v>
      </c>
      <c r="DF133" s="32">
        <v>67.8</v>
      </c>
      <c r="DG133" s="32">
        <v>95.2</v>
      </c>
      <c r="DH133" s="32">
        <v>117.8</v>
      </c>
      <c r="DI133" s="32">
        <v>209.7</v>
      </c>
      <c r="DJ133" s="32">
        <v>80</v>
      </c>
      <c r="DK133" s="32">
        <v>80</v>
      </c>
      <c r="DL133" s="32">
        <v>45.5</v>
      </c>
      <c r="DM133" s="32">
        <v>71.400000000000006</v>
      </c>
      <c r="DN133" s="32">
        <v>50.6</v>
      </c>
      <c r="DO133" s="32">
        <v>80.400000000000006</v>
      </c>
      <c r="DP133" s="32">
        <v>54.3</v>
      </c>
      <c r="DQ133" s="32">
        <v>73.2</v>
      </c>
      <c r="DR133" s="32">
        <v>77.099999999999994</v>
      </c>
      <c r="DS133" s="32">
        <v>72.8</v>
      </c>
      <c r="DT133" s="32">
        <v>68.8</v>
      </c>
      <c r="DU133" s="32">
        <v>70.900000000000006</v>
      </c>
      <c r="DV133" s="32">
        <v>81.3</v>
      </c>
      <c r="DW133" s="32">
        <v>60.1</v>
      </c>
      <c r="DX133" s="32">
        <v>64.7</v>
      </c>
      <c r="DY133" s="32">
        <v>87.2</v>
      </c>
      <c r="DZ133" s="32">
        <v>119.1</v>
      </c>
      <c r="EA133" s="32">
        <v>119.1</v>
      </c>
      <c r="EB133" s="32">
        <v>76.8</v>
      </c>
      <c r="EC133" s="32">
        <v>78.8</v>
      </c>
      <c r="ED133" s="32">
        <v>74.400000000000006</v>
      </c>
      <c r="EE133" s="32">
        <v>83.2</v>
      </c>
      <c r="EF133" s="32">
        <v>55.1</v>
      </c>
      <c r="EG133" s="32">
        <v>67.400000000000006</v>
      </c>
      <c r="EH133" s="32">
        <v>93.7</v>
      </c>
      <c r="EI133" s="32">
        <v>59.4</v>
      </c>
      <c r="EJ133" s="32">
        <v>89.7</v>
      </c>
      <c r="EK133" s="32">
        <v>58.1</v>
      </c>
      <c r="EL133" s="32">
        <v>70.2</v>
      </c>
      <c r="EM133" s="32">
        <v>45</v>
      </c>
      <c r="EN133" s="32">
        <v>65.599999999999994</v>
      </c>
      <c r="EO133" s="32">
        <v>88.5</v>
      </c>
      <c r="EP133" s="32">
        <v>90</v>
      </c>
      <c r="EQ133" s="32">
        <v>90</v>
      </c>
      <c r="ER133" s="32">
        <v>83.5</v>
      </c>
      <c r="ES133" s="32">
        <v>83.5</v>
      </c>
      <c r="ET133" s="32">
        <v>93.6</v>
      </c>
      <c r="EU133" s="32">
        <v>105.1</v>
      </c>
      <c r="EV133" s="32">
        <v>105.1</v>
      </c>
      <c r="EW133" s="32">
        <v>81</v>
      </c>
      <c r="EX133" s="32">
        <v>90</v>
      </c>
      <c r="EY133" s="32">
        <v>73.8</v>
      </c>
      <c r="EZ133" s="32">
        <v>92.6</v>
      </c>
      <c r="FA133" s="32">
        <v>104.8</v>
      </c>
      <c r="FB133" s="32">
        <v>124.7</v>
      </c>
      <c r="FC133" s="32">
        <v>104.2</v>
      </c>
      <c r="FD133" s="32">
        <v>113.8</v>
      </c>
      <c r="FE133" s="32">
        <v>167.6</v>
      </c>
      <c r="FF133" s="32">
        <v>82.6</v>
      </c>
      <c r="FG133" s="32">
        <v>82.9</v>
      </c>
      <c r="FH133" s="32">
        <v>85.7</v>
      </c>
      <c r="FI133" s="32">
        <v>77.599999999999994</v>
      </c>
      <c r="FJ133" s="32">
        <v>82.2</v>
      </c>
      <c r="FK133" s="32">
        <v>105.6</v>
      </c>
      <c r="FL133" s="32">
        <v>105.6</v>
      </c>
    </row>
    <row r="134" spans="1:168" x14ac:dyDescent="0.2">
      <c r="A134" s="34" t="s">
        <v>1114</v>
      </c>
      <c r="B134" s="32">
        <v>84.6</v>
      </c>
      <c r="C134" s="32">
        <v>77.7</v>
      </c>
      <c r="D134" s="32">
        <v>101.6</v>
      </c>
      <c r="E134" s="32">
        <v>106.5</v>
      </c>
      <c r="F134" s="32">
        <v>220.2</v>
      </c>
      <c r="G134" s="32">
        <v>3790.6</v>
      </c>
      <c r="H134" s="32">
        <v>263.60000000000002</v>
      </c>
      <c r="I134" s="32">
        <v>72.099999999999994</v>
      </c>
      <c r="J134" s="32">
        <v>96.6</v>
      </c>
      <c r="K134" s="32">
        <v>99.3</v>
      </c>
      <c r="L134" s="32">
        <v>98.6</v>
      </c>
      <c r="M134" s="32">
        <v>98.1</v>
      </c>
      <c r="N134" s="32">
        <v>95.1</v>
      </c>
      <c r="O134" s="32">
        <v>180.5</v>
      </c>
      <c r="P134" s="32">
        <v>209.6</v>
      </c>
      <c r="Q134" s="32">
        <v>127.4</v>
      </c>
      <c r="R134" s="32">
        <v>89.9</v>
      </c>
      <c r="S134" s="32">
        <v>123.9</v>
      </c>
      <c r="T134" s="32">
        <v>90.4</v>
      </c>
      <c r="U134" s="32">
        <v>70.900000000000006</v>
      </c>
      <c r="V134" s="32">
        <v>115.7</v>
      </c>
      <c r="W134" s="32">
        <v>61.7</v>
      </c>
      <c r="X134" s="32">
        <v>53.5</v>
      </c>
      <c r="Y134" s="32">
        <v>66.900000000000006</v>
      </c>
      <c r="Z134" s="32">
        <v>101.2</v>
      </c>
      <c r="AA134" s="32">
        <v>111.9</v>
      </c>
      <c r="AB134" s="32">
        <v>107.2</v>
      </c>
      <c r="AC134" s="32">
        <v>100.7</v>
      </c>
      <c r="AD134" s="32">
        <v>132.19999999999999</v>
      </c>
      <c r="AE134" s="32">
        <v>72</v>
      </c>
      <c r="AF134" s="32">
        <v>72</v>
      </c>
      <c r="AG134" s="32">
        <v>76</v>
      </c>
      <c r="AH134" s="32">
        <v>76</v>
      </c>
      <c r="AI134" s="32">
        <v>250.2</v>
      </c>
      <c r="AJ134" s="32">
        <v>56.2</v>
      </c>
      <c r="AK134" s="32">
        <v>28.9</v>
      </c>
      <c r="AL134" s="32">
        <v>111.2</v>
      </c>
      <c r="AM134" s="32">
        <v>52.1</v>
      </c>
      <c r="AN134" s="32">
        <v>218.5</v>
      </c>
      <c r="AO134" s="32">
        <v>108.5</v>
      </c>
      <c r="AP134" s="32">
        <v>108.5</v>
      </c>
      <c r="AQ134" s="32">
        <v>108.3</v>
      </c>
      <c r="AR134" s="32">
        <v>105.4</v>
      </c>
      <c r="AS134" s="32">
        <v>115.1</v>
      </c>
      <c r="AT134" s="32">
        <v>106.2</v>
      </c>
      <c r="AU134" s="32">
        <v>121.9</v>
      </c>
      <c r="AV134" s="32">
        <v>103.1</v>
      </c>
      <c r="AW134" s="32">
        <v>163.19999999999999</v>
      </c>
      <c r="AX134" s="32">
        <v>175.6</v>
      </c>
      <c r="AY134" s="32">
        <v>246.7</v>
      </c>
      <c r="AZ134" s="32">
        <v>94.2</v>
      </c>
      <c r="BA134" s="32">
        <v>71.900000000000006</v>
      </c>
      <c r="BB134" s="32">
        <v>71.900000000000006</v>
      </c>
      <c r="BC134" s="32">
        <v>137.5</v>
      </c>
      <c r="BD134" s="32">
        <v>137.5</v>
      </c>
      <c r="BE134" s="32">
        <v>127</v>
      </c>
      <c r="BF134" s="32">
        <v>127</v>
      </c>
      <c r="BG134" s="32">
        <v>99.2</v>
      </c>
      <c r="BH134" s="32">
        <v>80.8</v>
      </c>
      <c r="BI134" s="32">
        <v>117.1</v>
      </c>
      <c r="BJ134" s="32">
        <v>48.1</v>
      </c>
      <c r="BK134" s="32">
        <v>158.6</v>
      </c>
      <c r="BL134" s="32">
        <v>55.6</v>
      </c>
      <c r="BM134" s="32">
        <v>100.1</v>
      </c>
      <c r="BN134" s="32">
        <v>113.4</v>
      </c>
      <c r="BO134" s="32">
        <v>96.8</v>
      </c>
      <c r="BP134" s="32">
        <v>129.4</v>
      </c>
      <c r="BQ134" s="32">
        <v>86.2</v>
      </c>
      <c r="BR134" s="32">
        <v>82.1</v>
      </c>
      <c r="BS134" s="32">
        <v>177.3</v>
      </c>
      <c r="BT134" s="32">
        <v>66.3</v>
      </c>
      <c r="BU134" s="32">
        <v>124.6</v>
      </c>
      <c r="BV134" s="32">
        <v>124.6</v>
      </c>
      <c r="BW134" s="32">
        <v>184.1</v>
      </c>
      <c r="BX134" s="32">
        <v>41.6</v>
      </c>
      <c r="BY134" s="32">
        <v>94.3</v>
      </c>
      <c r="BZ134" s="32">
        <v>92.5</v>
      </c>
      <c r="CA134" s="32">
        <v>95.2</v>
      </c>
      <c r="CB134" s="32">
        <v>108.8</v>
      </c>
      <c r="CC134" s="32">
        <v>89.2</v>
      </c>
      <c r="CD134" s="32">
        <v>20.6</v>
      </c>
      <c r="CE134" s="32">
        <v>91.2</v>
      </c>
      <c r="CF134" s="32">
        <v>81</v>
      </c>
      <c r="CG134" s="32">
        <v>98.2</v>
      </c>
      <c r="CH134" s="32">
        <v>99.9</v>
      </c>
      <c r="CI134" s="32">
        <v>113.4</v>
      </c>
      <c r="CJ134" s="32">
        <v>91.5</v>
      </c>
      <c r="CK134" s="32">
        <v>104.2</v>
      </c>
      <c r="CL134" s="32">
        <v>97.9</v>
      </c>
      <c r="CM134" s="32">
        <v>112.9</v>
      </c>
      <c r="CN134" s="32">
        <v>97.5</v>
      </c>
      <c r="CO134" s="32">
        <v>112</v>
      </c>
      <c r="CP134" s="32">
        <v>107.7</v>
      </c>
      <c r="CQ134" s="32">
        <v>88.1</v>
      </c>
      <c r="CR134" s="32">
        <v>98.9</v>
      </c>
      <c r="CS134" s="32">
        <v>127.4</v>
      </c>
      <c r="CT134" s="32">
        <v>92.1</v>
      </c>
      <c r="CU134" s="32">
        <v>74.599999999999994</v>
      </c>
      <c r="CV134" s="32">
        <v>99.7</v>
      </c>
      <c r="CW134" s="32">
        <v>35</v>
      </c>
      <c r="CX134" s="32">
        <v>89.5</v>
      </c>
      <c r="CY134" s="32">
        <v>111.6</v>
      </c>
      <c r="CZ134" s="32">
        <v>77.599999999999994</v>
      </c>
      <c r="DA134" s="32">
        <v>62.8</v>
      </c>
      <c r="DB134" s="32">
        <v>108.2</v>
      </c>
      <c r="DC134" s="32">
        <v>5.8</v>
      </c>
      <c r="DD134" s="32">
        <v>5.8</v>
      </c>
      <c r="DE134" s="32">
        <v>74</v>
      </c>
      <c r="DF134" s="32">
        <v>71.2</v>
      </c>
      <c r="DG134" s="32">
        <v>89.1</v>
      </c>
      <c r="DH134" s="32">
        <v>117.8</v>
      </c>
      <c r="DI134" s="32">
        <v>208.5</v>
      </c>
      <c r="DJ134" s="32">
        <v>81.2</v>
      </c>
      <c r="DK134" s="32">
        <v>81.2</v>
      </c>
      <c r="DL134" s="32">
        <v>45.2</v>
      </c>
      <c r="DM134" s="32">
        <v>71.5</v>
      </c>
      <c r="DN134" s="32">
        <v>51.1</v>
      </c>
      <c r="DO134" s="32">
        <v>80.400000000000006</v>
      </c>
      <c r="DP134" s="32">
        <v>54</v>
      </c>
      <c r="DQ134" s="32">
        <v>73.2</v>
      </c>
      <c r="DR134" s="32">
        <v>77.099999999999994</v>
      </c>
      <c r="DS134" s="32">
        <v>72.7</v>
      </c>
      <c r="DT134" s="32">
        <v>68.900000000000006</v>
      </c>
      <c r="DU134" s="32">
        <v>70.900000000000006</v>
      </c>
      <c r="DV134" s="32">
        <v>81.599999999999994</v>
      </c>
      <c r="DW134" s="32">
        <v>60</v>
      </c>
      <c r="DX134" s="32">
        <v>64.8</v>
      </c>
      <c r="DY134" s="32">
        <v>86.5</v>
      </c>
      <c r="DZ134" s="32">
        <v>121</v>
      </c>
      <c r="EA134" s="32">
        <v>121</v>
      </c>
      <c r="EB134" s="32">
        <v>76.3</v>
      </c>
      <c r="EC134" s="32">
        <v>78.5</v>
      </c>
      <c r="ED134" s="32">
        <v>73.5</v>
      </c>
      <c r="EE134" s="32">
        <v>81.7</v>
      </c>
      <c r="EF134" s="32">
        <v>55.8</v>
      </c>
      <c r="EG134" s="32">
        <v>67.400000000000006</v>
      </c>
      <c r="EH134" s="32">
        <v>94.8</v>
      </c>
      <c r="EI134" s="32">
        <v>60.2</v>
      </c>
      <c r="EJ134" s="32">
        <v>91.6</v>
      </c>
      <c r="EK134" s="32">
        <v>56.7</v>
      </c>
      <c r="EL134" s="32">
        <v>71.7</v>
      </c>
      <c r="EM134" s="32">
        <v>43.8</v>
      </c>
      <c r="EN134" s="32">
        <v>63.5</v>
      </c>
      <c r="EO134" s="32">
        <v>88.4</v>
      </c>
      <c r="EP134" s="32">
        <v>89.3</v>
      </c>
      <c r="EQ134" s="32">
        <v>89.3</v>
      </c>
      <c r="ER134" s="32">
        <v>83.5</v>
      </c>
      <c r="ES134" s="32">
        <v>83.5</v>
      </c>
      <c r="ET134" s="32">
        <v>94</v>
      </c>
      <c r="EU134" s="32">
        <v>105.5</v>
      </c>
      <c r="EV134" s="32">
        <v>105.5</v>
      </c>
      <c r="EW134" s="32">
        <v>81.2</v>
      </c>
      <c r="EX134" s="32">
        <v>90.3</v>
      </c>
      <c r="EY134" s="32">
        <v>74.099999999999994</v>
      </c>
      <c r="EZ134" s="32">
        <v>94.4</v>
      </c>
      <c r="FA134" s="32">
        <v>106.9</v>
      </c>
      <c r="FB134" s="32">
        <v>127.2</v>
      </c>
      <c r="FC134" s="32">
        <v>108</v>
      </c>
      <c r="FD134" s="32">
        <v>112.2</v>
      </c>
      <c r="FE134" s="32">
        <v>169.9</v>
      </c>
      <c r="FF134" s="32">
        <v>84.4</v>
      </c>
      <c r="FG134" s="32">
        <v>84.3</v>
      </c>
      <c r="FH134" s="32">
        <v>86.4</v>
      </c>
      <c r="FI134" s="32">
        <v>79.7</v>
      </c>
      <c r="FJ134" s="32">
        <v>83.8</v>
      </c>
      <c r="FK134" s="32">
        <v>109.6</v>
      </c>
      <c r="FL134" s="32">
        <v>109.6</v>
      </c>
    </row>
    <row r="135" spans="1:168" x14ac:dyDescent="0.2">
      <c r="A135" s="34" t="s">
        <v>1115</v>
      </c>
      <c r="B135" s="32">
        <v>84.3</v>
      </c>
      <c r="C135" s="32">
        <v>78.900000000000006</v>
      </c>
      <c r="D135" s="32">
        <v>101.8</v>
      </c>
      <c r="E135" s="32">
        <v>106.8</v>
      </c>
      <c r="F135" s="32">
        <v>230.8</v>
      </c>
      <c r="G135" s="32">
        <v>2358.8000000000002</v>
      </c>
      <c r="H135" s="32">
        <v>278.7</v>
      </c>
      <c r="I135" s="32">
        <v>73.599999999999994</v>
      </c>
      <c r="J135" s="32">
        <v>96.5</v>
      </c>
      <c r="K135" s="32">
        <v>99.8</v>
      </c>
      <c r="L135" s="32">
        <v>97.7</v>
      </c>
      <c r="M135" s="32">
        <v>98.6</v>
      </c>
      <c r="N135" s="32">
        <v>95.9</v>
      </c>
      <c r="O135" s="32">
        <v>166.1</v>
      </c>
      <c r="P135" s="32">
        <v>201.7</v>
      </c>
      <c r="Q135" s="32">
        <v>129.69999999999999</v>
      </c>
      <c r="R135" s="32">
        <v>87.6</v>
      </c>
      <c r="S135" s="32">
        <v>123.9</v>
      </c>
      <c r="T135" s="32">
        <v>86.8</v>
      </c>
      <c r="U135" s="32">
        <v>69.8</v>
      </c>
      <c r="V135" s="32">
        <v>123.7</v>
      </c>
      <c r="W135" s="32">
        <v>60.9</v>
      </c>
      <c r="X135" s="32">
        <v>53.7</v>
      </c>
      <c r="Y135" s="32">
        <v>64.7</v>
      </c>
      <c r="Z135" s="32">
        <v>94.3</v>
      </c>
      <c r="AA135" s="32">
        <v>116.5</v>
      </c>
      <c r="AB135" s="32">
        <v>113.7</v>
      </c>
      <c r="AC135" s="32">
        <v>101.4</v>
      </c>
      <c r="AD135" s="32">
        <v>139.19999999999999</v>
      </c>
      <c r="AE135" s="32">
        <v>75.8</v>
      </c>
      <c r="AF135" s="32">
        <v>75.8</v>
      </c>
      <c r="AG135" s="32">
        <v>75.3</v>
      </c>
      <c r="AH135" s="32">
        <v>75.3</v>
      </c>
      <c r="AI135" s="32">
        <v>240.1</v>
      </c>
      <c r="AJ135" s="32">
        <v>51.1</v>
      </c>
      <c r="AK135" s="32">
        <v>31.3</v>
      </c>
      <c r="AL135" s="32">
        <v>111.5</v>
      </c>
      <c r="AM135" s="32">
        <v>52.1</v>
      </c>
      <c r="AN135" s="32">
        <v>235.2</v>
      </c>
      <c r="AO135" s="32">
        <v>108.2</v>
      </c>
      <c r="AP135" s="32">
        <v>108.2</v>
      </c>
      <c r="AQ135" s="32">
        <v>107</v>
      </c>
      <c r="AR135" s="32">
        <v>103.7</v>
      </c>
      <c r="AS135" s="32">
        <v>114.2</v>
      </c>
      <c r="AT135" s="32">
        <v>106</v>
      </c>
      <c r="AU135" s="32">
        <v>120.2</v>
      </c>
      <c r="AV135" s="32">
        <v>103.8</v>
      </c>
      <c r="AW135" s="32">
        <v>168.7</v>
      </c>
      <c r="AX135" s="32">
        <v>178.8</v>
      </c>
      <c r="AY135" s="32">
        <v>255.9</v>
      </c>
      <c r="AZ135" s="32">
        <v>94</v>
      </c>
      <c r="BA135" s="32">
        <v>71.3</v>
      </c>
      <c r="BB135" s="32">
        <v>71.3</v>
      </c>
      <c r="BC135" s="32">
        <v>136.80000000000001</v>
      </c>
      <c r="BD135" s="32">
        <v>136.80000000000001</v>
      </c>
      <c r="BE135" s="32">
        <v>120.7</v>
      </c>
      <c r="BF135" s="32">
        <v>120.7</v>
      </c>
      <c r="BG135" s="32">
        <v>100.6</v>
      </c>
      <c r="BH135" s="32">
        <v>82.6</v>
      </c>
      <c r="BI135" s="32">
        <v>117.9</v>
      </c>
      <c r="BJ135" s="32">
        <v>48</v>
      </c>
      <c r="BK135" s="32">
        <v>159.9</v>
      </c>
      <c r="BL135" s="32">
        <v>56.1</v>
      </c>
      <c r="BM135" s="32">
        <v>99.4</v>
      </c>
      <c r="BN135" s="32">
        <v>113.7</v>
      </c>
      <c r="BO135" s="32">
        <v>100.2</v>
      </c>
      <c r="BP135" s="32">
        <v>126.1</v>
      </c>
      <c r="BQ135" s="32">
        <v>84.3</v>
      </c>
      <c r="BR135" s="32">
        <v>81.400000000000006</v>
      </c>
      <c r="BS135" s="32">
        <v>185.9</v>
      </c>
      <c r="BT135" s="32">
        <v>62.7</v>
      </c>
      <c r="BU135" s="32">
        <v>121.6</v>
      </c>
      <c r="BV135" s="32">
        <v>121.6</v>
      </c>
      <c r="BW135" s="32">
        <v>179</v>
      </c>
      <c r="BX135" s="32">
        <v>41.2</v>
      </c>
      <c r="BY135" s="32">
        <v>95</v>
      </c>
      <c r="BZ135" s="32">
        <v>92.8</v>
      </c>
      <c r="CA135" s="32">
        <v>96.2</v>
      </c>
      <c r="CB135" s="32">
        <v>110.7</v>
      </c>
      <c r="CC135" s="32">
        <v>89.6</v>
      </c>
      <c r="CD135" s="32">
        <v>20.3</v>
      </c>
      <c r="CE135" s="32">
        <v>91.4</v>
      </c>
      <c r="CF135" s="32">
        <v>80.7</v>
      </c>
      <c r="CG135" s="32">
        <v>98.2</v>
      </c>
      <c r="CH135" s="32">
        <v>99.6</v>
      </c>
      <c r="CI135" s="32">
        <v>112.4</v>
      </c>
      <c r="CJ135" s="32">
        <v>91.8</v>
      </c>
      <c r="CK135" s="32">
        <v>103.6</v>
      </c>
      <c r="CL135" s="32">
        <v>97.9</v>
      </c>
      <c r="CM135" s="32">
        <v>116.2</v>
      </c>
      <c r="CN135" s="32">
        <v>99</v>
      </c>
      <c r="CO135" s="32">
        <v>115.5</v>
      </c>
      <c r="CP135" s="32">
        <v>103.6</v>
      </c>
      <c r="CQ135" s="32">
        <v>89.3</v>
      </c>
      <c r="CR135" s="32">
        <v>100</v>
      </c>
      <c r="CS135" s="32">
        <v>118.3</v>
      </c>
      <c r="CT135" s="32">
        <v>92.8</v>
      </c>
      <c r="CU135" s="32">
        <v>74.599999999999994</v>
      </c>
      <c r="CV135" s="32">
        <v>100.7</v>
      </c>
      <c r="CW135" s="32">
        <v>34.299999999999997</v>
      </c>
      <c r="CX135" s="32">
        <v>91.6</v>
      </c>
      <c r="CY135" s="32">
        <v>113.2</v>
      </c>
      <c r="CZ135" s="32">
        <v>80</v>
      </c>
      <c r="DA135" s="32">
        <v>66.3</v>
      </c>
      <c r="DB135" s="32">
        <v>108.1</v>
      </c>
      <c r="DC135" s="32">
        <v>5.9</v>
      </c>
      <c r="DD135" s="32">
        <v>5.9</v>
      </c>
      <c r="DE135" s="32">
        <v>68.7</v>
      </c>
      <c r="DF135" s="32">
        <v>65.2</v>
      </c>
      <c r="DG135" s="32">
        <v>88.7</v>
      </c>
      <c r="DH135" s="32">
        <v>115.7</v>
      </c>
      <c r="DI135" s="32">
        <v>212.8</v>
      </c>
      <c r="DJ135" s="32">
        <v>81</v>
      </c>
      <c r="DK135" s="32">
        <v>81</v>
      </c>
      <c r="DL135" s="32">
        <v>36.1</v>
      </c>
      <c r="DM135" s="32">
        <v>72</v>
      </c>
      <c r="DN135" s="32">
        <v>52.3</v>
      </c>
      <c r="DO135" s="32">
        <v>80.7</v>
      </c>
      <c r="DP135" s="32">
        <v>53.8</v>
      </c>
      <c r="DQ135" s="32">
        <v>72.2</v>
      </c>
      <c r="DR135" s="32">
        <v>76</v>
      </c>
      <c r="DS135" s="32">
        <v>71.8</v>
      </c>
      <c r="DT135" s="32">
        <v>67.599999999999994</v>
      </c>
      <c r="DU135" s="32">
        <v>69.099999999999994</v>
      </c>
      <c r="DV135" s="32">
        <v>80.3</v>
      </c>
      <c r="DW135" s="32">
        <v>57.7</v>
      </c>
      <c r="DX135" s="32">
        <v>64.5</v>
      </c>
      <c r="DY135" s="32">
        <v>87.1</v>
      </c>
      <c r="DZ135" s="32">
        <v>121.3</v>
      </c>
      <c r="EA135" s="32">
        <v>121.3</v>
      </c>
      <c r="EB135" s="32">
        <v>74.099999999999994</v>
      </c>
      <c r="EC135" s="32">
        <v>78.5</v>
      </c>
      <c r="ED135" s="32">
        <v>68.099999999999994</v>
      </c>
      <c r="EE135" s="32">
        <v>74.099999999999994</v>
      </c>
      <c r="EF135" s="32">
        <v>55.2</v>
      </c>
      <c r="EG135" s="32">
        <v>66.3</v>
      </c>
      <c r="EH135" s="32">
        <v>92.9</v>
      </c>
      <c r="EI135" s="32">
        <v>59.8</v>
      </c>
      <c r="EJ135" s="32">
        <v>95</v>
      </c>
      <c r="EK135" s="32">
        <v>55.1</v>
      </c>
      <c r="EL135" s="32">
        <v>70.8</v>
      </c>
      <c r="EM135" s="32">
        <v>48.3</v>
      </c>
      <c r="EN135" s="32">
        <v>57.2</v>
      </c>
      <c r="EO135" s="32">
        <v>88.4</v>
      </c>
      <c r="EP135" s="32">
        <v>88.9</v>
      </c>
      <c r="EQ135" s="32">
        <v>88.9</v>
      </c>
      <c r="ER135" s="32">
        <v>83.4</v>
      </c>
      <c r="ES135" s="32">
        <v>83.4</v>
      </c>
      <c r="ET135" s="32">
        <v>94.4</v>
      </c>
      <c r="EU135" s="32">
        <v>105.9</v>
      </c>
      <c r="EV135" s="32">
        <v>105.9</v>
      </c>
      <c r="EW135" s="32">
        <v>81.599999999999994</v>
      </c>
      <c r="EX135" s="32">
        <v>90.6</v>
      </c>
      <c r="EY135" s="32">
        <v>74.5</v>
      </c>
      <c r="EZ135" s="32">
        <v>95.7</v>
      </c>
      <c r="FA135" s="32">
        <v>110.8</v>
      </c>
      <c r="FB135" s="32">
        <v>131</v>
      </c>
      <c r="FC135" s="32">
        <v>114</v>
      </c>
      <c r="FD135" s="32">
        <v>110.9</v>
      </c>
      <c r="FE135" s="32">
        <v>172.9</v>
      </c>
      <c r="FF135" s="32">
        <v>88.3</v>
      </c>
      <c r="FG135" s="32">
        <v>83.5</v>
      </c>
      <c r="FH135" s="32">
        <v>87.5</v>
      </c>
      <c r="FI135" s="32">
        <v>73.400000000000006</v>
      </c>
      <c r="FJ135" s="32">
        <v>82.9</v>
      </c>
      <c r="FK135" s="32">
        <v>115.2</v>
      </c>
      <c r="FL135" s="32">
        <v>115.2</v>
      </c>
    </row>
    <row r="136" spans="1:168" x14ac:dyDescent="0.2">
      <c r="A136" s="34" t="s">
        <v>1116</v>
      </c>
      <c r="B136" s="32">
        <v>84.8</v>
      </c>
      <c r="C136" s="32">
        <v>81.8</v>
      </c>
      <c r="D136" s="32">
        <v>102.1</v>
      </c>
      <c r="E136" s="32">
        <v>107.1</v>
      </c>
      <c r="F136" s="32">
        <v>226.5</v>
      </c>
      <c r="G136" s="32">
        <v>1552.1</v>
      </c>
      <c r="H136" s="32">
        <v>273.3</v>
      </c>
      <c r="I136" s="32">
        <v>73.7</v>
      </c>
      <c r="J136" s="32">
        <v>97.1</v>
      </c>
      <c r="K136" s="32">
        <v>99.9</v>
      </c>
      <c r="L136" s="32">
        <v>97.6</v>
      </c>
      <c r="M136" s="32">
        <v>92.3</v>
      </c>
      <c r="N136" s="32">
        <v>101.3</v>
      </c>
      <c r="O136" s="32">
        <v>179.9</v>
      </c>
      <c r="P136" s="32">
        <v>208.9</v>
      </c>
      <c r="Q136" s="32">
        <v>120.7</v>
      </c>
      <c r="R136" s="32">
        <v>86.4</v>
      </c>
      <c r="S136" s="32">
        <v>125.3</v>
      </c>
      <c r="T136" s="32">
        <v>87.4</v>
      </c>
      <c r="U136" s="32">
        <v>71.099999999999994</v>
      </c>
      <c r="V136" s="32">
        <v>124.4</v>
      </c>
      <c r="W136" s="32">
        <v>58</v>
      </c>
      <c r="X136" s="32">
        <v>50.9</v>
      </c>
      <c r="Y136" s="32">
        <v>60.9</v>
      </c>
      <c r="Z136" s="32">
        <v>98.6</v>
      </c>
      <c r="AA136" s="32">
        <v>117</v>
      </c>
      <c r="AB136" s="32">
        <v>114.9</v>
      </c>
      <c r="AC136" s="32">
        <v>100.2</v>
      </c>
      <c r="AD136" s="32">
        <v>140.4</v>
      </c>
      <c r="AE136" s="32">
        <v>74.400000000000006</v>
      </c>
      <c r="AF136" s="32">
        <v>74.400000000000006</v>
      </c>
      <c r="AG136" s="32">
        <v>75.400000000000006</v>
      </c>
      <c r="AH136" s="32">
        <v>75.400000000000006</v>
      </c>
      <c r="AI136" s="32">
        <v>225.6</v>
      </c>
      <c r="AJ136" s="32">
        <v>56.1</v>
      </c>
      <c r="AK136" s="32">
        <v>31.4</v>
      </c>
      <c r="AL136" s="32">
        <v>106.5</v>
      </c>
      <c r="AM136" s="32">
        <v>50.9</v>
      </c>
      <c r="AN136" s="32">
        <v>236.1</v>
      </c>
      <c r="AO136" s="32">
        <v>113.3</v>
      </c>
      <c r="AP136" s="32">
        <v>113.3</v>
      </c>
      <c r="AQ136" s="32">
        <v>106.1</v>
      </c>
      <c r="AR136" s="32">
        <v>103.8</v>
      </c>
      <c r="AS136" s="32">
        <v>111.8</v>
      </c>
      <c r="AT136" s="32">
        <v>104.6</v>
      </c>
      <c r="AU136" s="32">
        <v>117</v>
      </c>
      <c r="AV136" s="32">
        <v>104</v>
      </c>
      <c r="AW136" s="32">
        <v>165</v>
      </c>
      <c r="AX136" s="32">
        <v>158.9</v>
      </c>
      <c r="AY136" s="32">
        <v>266.5</v>
      </c>
      <c r="AZ136" s="32">
        <v>95</v>
      </c>
      <c r="BA136" s="32">
        <v>65.7</v>
      </c>
      <c r="BB136" s="32">
        <v>65.7</v>
      </c>
      <c r="BC136" s="32">
        <v>141.69999999999999</v>
      </c>
      <c r="BD136" s="32">
        <v>141.69999999999999</v>
      </c>
      <c r="BE136" s="32">
        <v>124.7</v>
      </c>
      <c r="BF136" s="32">
        <v>124.7</v>
      </c>
      <c r="BG136" s="32">
        <v>103.7</v>
      </c>
      <c r="BH136" s="32">
        <v>87.5</v>
      </c>
      <c r="BI136" s="32">
        <v>118.9</v>
      </c>
      <c r="BJ136" s="32">
        <v>47.8</v>
      </c>
      <c r="BK136" s="32">
        <v>161.1</v>
      </c>
      <c r="BL136" s="32">
        <v>59.5</v>
      </c>
      <c r="BM136" s="32">
        <v>101.1</v>
      </c>
      <c r="BN136" s="32">
        <v>118.3</v>
      </c>
      <c r="BO136" s="32">
        <v>106.7</v>
      </c>
      <c r="BP136" s="32">
        <v>128.30000000000001</v>
      </c>
      <c r="BQ136" s="32">
        <v>82.7</v>
      </c>
      <c r="BR136" s="32">
        <v>87.6</v>
      </c>
      <c r="BS136" s="32">
        <v>170.5</v>
      </c>
      <c r="BT136" s="32">
        <v>62.5</v>
      </c>
      <c r="BU136" s="32">
        <v>122.5</v>
      </c>
      <c r="BV136" s="32">
        <v>122.5</v>
      </c>
      <c r="BW136" s="32">
        <v>181.8</v>
      </c>
      <c r="BX136" s="32">
        <v>40.299999999999997</v>
      </c>
      <c r="BY136" s="32">
        <v>94.3</v>
      </c>
      <c r="BZ136" s="32">
        <v>94.2</v>
      </c>
      <c r="CA136" s="32">
        <v>94.4</v>
      </c>
      <c r="CB136" s="32">
        <v>110.9</v>
      </c>
      <c r="CC136" s="32">
        <v>86</v>
      </c>
      <c r="CD136" s="32">
        <v>19.5</v>
      </c>
      <c r="CE136" s="32">
        <v>91.8</v>
      </c>
      <c r="CF136" s="32">
        <v>81.2</v>
      </c>
      <c r="CG136" s="32">
        <v>98.7</v>
      </c>
      <c r="CH136" s="32">
        <v>100</v>
      </c>
      <c r="CI136" s="32">
        <v>114.8</v>
      </c>
      <c r="CJ136" s="32">
        <v>91.9</v>
      </c>
      <c r="CK136" s="32">
        <v>103.7</v>
      </c>
      <c r="CL136" s="32">
        <v>99.2</v>
      </c>
      <c r="CM136" s="32">
        <v>116.2</v>
      </c>
      <c r="CN136" s="32">
        <v>100.3</v>
      </c>
      <c r="CO136" s="32">
        <v>115.2</v>
      </c>
      <c r="CP136" s="32">
        <v>108.4</v>
      </c>
      <c r="CQ136" s="32">
        <v>87.3</v>
      </c>
      <c r="CR136" s="32">
        <v>102.9</v>
      </c>
      <c r="CS136" s="32">
        <v>121.6</v>
      </c>
      <c r="CT136" s="32">
        <v>92.8</v>
      </c>
      <c r="CU136" s="32">
        <v>73.8</v>
      </c>
      <c r="CV136" s="32">
        <v>101</v>
      </c>
      <c r="CW136" s="32">
        <v>34.700000000000003</v>
      </c>
      <c r="CX136" s="32">
        <v>90.1</v>
      </c>
      <c r="CY136" s="32">
        <v>113.2</v>
      </c>
      <c r="CZ136" s="32">
        <v>77.599999999999994</v>
      </c>
      <c r="DA136" s="32">
        <v>62.7</v>
      </c>
      <c r="DB136" s="32">
        <v>108.5</v>
      </c>
      <c r="DC136" s="32">
        <v>6.1</v>
      </c>
      <c r="DD136" s="32">
        <v>6.1</v>
      </c>
      <c r="DE136" s="32">
        <v>70.099999999999994</v>
      </c>
      <c r="DF136" s="32">
        <v>67.5</v>
      </c>
      <c r="DG136" s="32">
        <v>84.4</v>
      </c>
      <c r="DH136" s="32">
        <v>117.9</v>
      </c>
      <c r="DI136" s="32">
        <v>214.1</v>
      </c>
      <c r="DJ136" s="32">
        <v>81.099999999999994</v>
      </c>
      <c r="DK136" s="32">
        <v>81.099999999999994</v>
      </c>
      <c r="DL136" s="32">
        <v>40.799999999999997</v>
      </c>
      <c r="DM136" s="32">
        <v>72.2</v>
      </c>
      <c r="DN136" s="32">
        <v>53</v>
      </c>
      <c r="DO136" s="32">
        <v>80.8</v>
      </c>
      <c r="DP136" s="32">
        <v>52</v>
      </c>
      <c r="DQ136" s="32">
        <v>72.2</v>
      </c>
      <c r="DR136" s="32">
        <v>75.400000000000006</v>
      </c>
      <c r="DS136" s="32">
        <v>73.8</v>
      </c>
      <c r="DT136" s="32">
        <v>69.400000000000006</v>
      </c>
      <c r="DU136" s="32">
        <v>71.5</v>
      </c>
      <c r="DV136" s="32">
        <v>82.7</v>
      </c>
      <c r="DW136" s="32">
        <v>60.2</v>
      </c>
      <c r="DX136" s="32">
        <v>65</v>
      </c>
      <c r="DY136" s="32">
        <v>89.5</v>
      </c>
      <c r="DZ136" s="32">
        <v>105.5</v>
      </c>
      <c r="EA136" s="32">
        <v>105.5</v>
      </c>
      <c r="EB136" s="32">
        <v>70.900000000000006</v>
      </c>
      <c r="EC136" s="32">
        <v>73.7</v>
      </c>
      <c r="ED136" s="32">
        <v>67.2</v>
      </c>
      <c r="EE136" s="32">
        <v>72.8</v>
      </c>
      <c r="EF136" s="32">
        <v>54.8</v>
      </c>
      <c r="EG136" s="32">
        <v>67.400000000000006</v>
      </c>
      <c r="EH136" s="32">
        <v>92.7</v>
      </c>
      <c r="EI136" s="32">
        <v>62.1</v>
      </c>
      <c r="EJ136" s="32">
        <v>95.1</v>
      </c>
      <c r="EK136" s="32">
        <v>55.9</v>
      </c>
      <c r="EL136" s="32">
        <v>80.400000000000006</v>
      </c>
      <c r="EM136" s="32">
        <v>50.5</v>
      </c>
      <c r="EN136" s="32">
        <v>55.3</v>
      </c>
      <c r="EO136" s="32">
        <v>88.4</v>
      </c>
      <c r="EP136" s="32">
        <v>89.1</v>
      </c>
      <c r="EQ136" s="32">
        <v>89.1</v>
      </c>
      <c r="ER136" s="32">
        <v>83</v>
      </c>
      <c r="ES136" s="32">
        <v>83</v>
      </c>
      <c r="ET136" s="32">
        <v>94.6</v>
      </c>
      <c r="EU136" s="32">
        <v>106.1</v>
      </c>
      <c r="EV136" s="32">
        <v>106.1</v>
      </c>
      <c r="EW136" s="32">
        <v>81.900000000000006</v>
      </c>
      <c r="EX136" s="32">
        <v>91</v>
      </c>
      <c r="EY136" s="32">
        <v>74.8</v>
      </c>
      <c r="EZ136" s="32">
        <v>98</v>
      </c>
      <c r="FA136" s="32">
        <v>112</v>
      </c>
      <c r="FB136" s="32">
        <v>131.69999999999999</v>
      </c>
      <c r="FC136" s="32">
        <v>113.2</v>
      </c>
      <c r="FD136" s="32">
        <v>111.9</v>
      </c>
      <c r="FE136" s="32">
        <v>176.2</v>
      </c>
      <c r="FF136" s="32">
        <v>90</v>
      </c>
      <c r="FG136" s="32">
        <v>87.1</v>
      </c>
      <c r="FH136" s="32">
        <v>88.2</v>
      </c>
      <c r="FI136" s="32">
        <v>77.599999999999994</v>
      </c>
      <c r="FJ136" s="32">
        <v>87.6</v>
      </c>
      <c r="FK136" s="32">
        <v>108.5</v>
      </c>
      <c r="FL136" s="32">
        <v>108.5</v>
      </c>
    </row>
    <row r="137" spans="1:168" x14ac:dyDescent="0.2">
      <c r="A137" s="34" t="s">
        <v>1117</v>
      </c>
      <c r="B137" s="32">
        <v>85.2</v>
      </c>
      <c r="C137" s="32">
        <v>87.2</v>
      </c>
      <c r="D137" s="32">
        <v>102.4</v>
      </c>
      <c r="E137" s="32">
        <v>107.3</v>
      </c>
      <c r="F137" s="32">
        <v>228.7</v>
      </c>
      <c r="G137" s="32">
        <v>2397.5</v>
      </c>
      <c r="H137" s="32">
        <v>274.89999999999998</v>
      </c>
      <c r="I137" s="32">
        <v>75.099999999999994</v>
      </c>
      <c r="J137" s="32">
        <v>97.7</v>
      </c>
      <c r="K137" s="32">
        <v>98.9</v>
      </c>
      <c r="L137" s="32">
        <v>96.1</v>
      </c>
      <c r="M137" s="32">
        <v>84.3</v>
      </c>
      <c r="N137" s="32">
        <v>97.2</v>
      </c>
      <c r="O137" s="32">
        <v>168.6</v>
      </c>
      <c r="P137" s="32">
        <v>212.1</v>
      </c>
      <c r="Q137" s="32">
        <v>134.69999999999999</v>
      </c>
      <c r="R137" s="32">
        <v>86.1</v>
      </c>
      <c r="S137" s="32">
        <v>123.5</v>
      </c>
      <c r="T137" s="32">
        <v>88.9</v>
      </c>
      <c r="U137" s="32">
        <v>71</v>
      </c>
      <c r="V137" s="32">
        <v>125</v>
      </c>
      <c r="W137" s="32">
        <v>56.2</v>
      </c>
      <c r="X137" s="32">
        <v>49.8</v>
      </c>
      <c r="Y137" s="32">
        <v>57.3</v>
      </c>
      <c r="Z137" s="32">
        <v>101.9</v>
      </c>
      <c r="AA137" s="32">
        <v>118.4</v>
      </c>
      <c r="AB137" s="32">
        <v>132.4</v>
      </c>
      <c r="AC137" s="32">
        <v>94.7</v>
      </c>
      <c r="AD137" s="32">
        <v>137.30000000000001</v>
      </c>
      <c r="AE137" s="32">
        <v>70.7</v>
      </c>
      <c r="AF137" s="32">
        <v>70.7</v>
      </c>
      <c r="AG137" s="32">
        <v>76.7</v>
      </c>
      <c r="AH137" s="32">
        <v>76.7</v>
      </c>
      <c r="AI137" s="32">
        <v>201</v>
      </c>
      <c r="AJ137" s="32">
        <v>68.400000000000006</v>
      </c>
      <c r="AK137" s="32">
        <v>27.7</v>
      </c>
      <c r="AL137" s="32">
        <v>104.5</v>
      </c>
      <c r="AM137" s="32">
        <v>52</v>
      </c>
      <c r="AN137" s="32">
        <v>216.7</v>
      </c>
      <c r="AO137" s="32">
        <v>115</v>
      </c>
      <c r="AP137" s="32">
        <v>115</v>
      </c>
      <c r="AQ137" s="32">
        <v>104</v>
      </c>
      <c r="AR137" s="32">
        <v>101.8</v>
      </c>
      <c r="AS137" s="32">
        <v>109.7</v>
      </c>
      <c r="AT137" s="32">
        <v>100.8</v>
      </c>
      <c r="AU137" s="32">
        <v>116.7</v>
      </c>
      <c r="AV137" s="32">
        <v>104.8</v>
      </c>
      <c r="AW137" s="32">
        <v>167.8</v>
      </c>
      <c r="AX137" s="32">
        <v>166.4</v>
      </c>
      <c r="AY137" s="32">
        <v>266.8</v>
      </c>
      <c r="AZ137" s="32">
        <v>95.4</v>
      </c>
      <c r="BA137" s="32">
        <v>74</v>
      </c>
      <c r="BB137" s="32">
        <v>74</v>
      </c>
      <c r="BC137" s="32">
        <v>139.9</v>
      </c>
      <c r="BD137" s="32">
        <v>139.9</v>
      </c>
      <c r="BE137" s="32">
        <v>121.5</v>
      </c>
      <c r="BF137" s="32">
        <v>121.5</v>
      </c>
      <c r="BG137" s="32">
        <v>107.8</v>
      </c>
      <c r="BH137" s="32">
        <v>94.9</v>
      </c>
      <c r="BI137" s="32">
        <v>119.2</v>
      </c>
      <c r="BJ137" s="32">
        <v>47.7</v>
      </c>
      <c r="BK137" s="32">
        <v>161</v>
      </c>
      <c r="BL137" s="32">
        <v>63.1</v>
      </c>
      <c r="BM137" s="32">
        <v>98.5</v>
      </c>
      <c r="BN137" s="32">
        <v>114.7</v>
      </c>
      <c r="BO137" s="32">
        <v>99.9</v>
      </c>
      <c r="BP137" s="32">
        <v>128.69999999999999</v>
      </c>
      <c r="BQ137" s="32">
        <v>81.099999999999994</v>
      </c>
      <c r="BR137" s="32">
        <v>95.5</v>
      </c>
      <c r="BS137" s="32">
        <v>159.9</v>
      </c>
      <c r="BT137" s="32">
        <v>61.3</v>
      </c>
      <c r="BU137" s="32">
        <v>120</v>
      </c>
      <c r="BV137" s="32">
        <v>120</v>
      </c>
      <c r="BW137" s="32">
        <v>178.2</v>
      </c>
      <c r="BX137" s="32">
        <v>39.299999999999997</v>
      </c>
      <c r="BY137" s="32">
        <v>92.8</v>
      </c>
      <c r="BZ137" s="32">
        <v>93.6</v>
      </c>
      <c r="CA137" s="32">
        <v>92.5</v>
      </c>
      <c r="CB137" s="32">
        <v>105.3</v>
      </c>
      <c r="CC137" s="32">
        <v>87.2</v>
      </c>
      <c r="CD137" s="32">
        <v>18.399999999999999</v>
      </c>
      <c r="CE137" s="32">
        <v>92</v>
      </c>
      <c r="CF137" s="32">
        <v>81.599999999999994</v>
      </c>
      <c r="CG137" s="32">
        <v>98.8</v>
      </c>
      <c r="CH137" s="32">
        <v>100.2</v>
      </c>
      <c r="CI137" s="32">
        <v>113.8</v>
      </c>
      <c r="CJ137" s="32">
        <v>92.1</v>
      </c>
      <c r="CK137" s="32">
        <v>104.3</v>
      </c>
      <c r="CL137" s="32">
        <v>100.2</v>
      </c>
      <c r="CM137" s="32">
        <v>116.1</v>
      </c>
      <c r="CN137" s="32">
        <v>99</v>
      </c>
      <c r="CO137" s="32">
        <v>115.4</v>
      </c>
      <c r="CP137" s="32">
        <v>127.1</v>
      </c>
      <c r="CQ137" s="32">
        <v>85.3</v>
      </c>
      <c r="CR137" s="32">
        <v>103.9</v>
      </c>
      <c r="CS137" s="32">
        <v>119.9</v>
      </c>
      <c r="CT137" s="32">
        <v>91.3</v>
      </c>
      <c r="CU137" s="32">
        <v>73.400000000000006</v>
      </c>
      <c r="CV137" s="32">
        <v>99.1</v>
      </c>
      <c r="CW137" s="32">
        <v>35.4</v>
      </c>
      <c r="CX137" s="32">
        <v>90.7</v>
      </c>
      <c r="CY137" s="32">
        <v>109.9</v>
      </c>
      <c r="CZ137" s="32">
        <v>80.5</v>
      </c>
      <c r="DA137" s="32">
        <v>66.2</v>
      </c>
      <c r="DB137" s="32">
        <v>109.9</v>
      </c>
      <c r="DC137" s="32">
        <v>6.2</v>
      </c>
      <c r="DD137" s="32">
        <v>6.2</v>
      </c>
      <c r="DE137" s="32">
        <v>71.5</v>
      </c>
      <c r="DF137" s="32">
        <v>68.2</v>
      </c>
      <c r="DG137" s="32">
        <v>90.3</v>
      </c>
      <c r="DH137" s="32">
        <v>119.1</v>
      </c>
      <c r="DI137" s="32">
        <v>212.9</v>
      </c>
      <c r="DJ137" s="32">
        <v>80.2</v>
      </c>
      <c r="DK137" s="32">
        <v>80.2</v>
      </c>
      <c r="DL137" s="32">
        <v>46</v>
      </c>
      <c r="DM137" s="32">
        <v>72.5</v>
      </c>
      <c r="DN137" s="32">
        <v>53.5</v>
      </c>
      <c r="DO137" s="32">
        <v>81</v>
      </c>
      <c r="DP137" s="32">
        <v>50.8</v>
      </c>
      <c r="DQ137" s="32">
        <v>73.599999999999994</v>
      </c>
      <c r="DR137" s="32">
        <v>78</v>
      </c>
      <c r="DS137" s="32">
        <v>74.5</v>
      </c>
      <c r="DT137" s="32">
        <v>70.3</v>
      </c>
      <c r="DU137" s="32">
        <v>72.2</v>
      </c>
      <c r="DV137" s="32">
        <v>81.099999999999994</v>
      </c>
      <c r="DW137" s="32">
        <v>63</v>
      </c>
      <c r="DX137" s="32">
        <v>66.400000000000006</v>
      </c>
      <c r="DY137" s="32">
        <v>89.8</v>
      </c>
      <c r="DZ137" s="32">
        <v>132</v>
      </c>
      <c r="EA137" s="32">
        <v>132</v>
      </c>
      <c r="EB137" s="32">
        <v>71.2</v>
      </c>
      <c r="EC137" s="32">
        <v>74.5</v>
      </c>
      <c r="ED137" s="32">
        <v>66.900000000000006</v>
      </c>
      <c r="EE137" s="32">
        <v>72.5</v>
      </c>
      <c r="EF137" s="32">
        <v>54.7</v>
      </c>
      <c r="EG137" s="32">
        <v>67</v>
      </c>
      <c r="EH137" s="32">
        <v>89</v>
      </c>
      <c r="EI137" s="32">
        <v>61.7</v>
      </c>
      <c r="EJ137" s="32">
        <v>94.3</v>
      </c>
      <c r="EK137" s="32">
        <v>57</v>
      </c>
      <c r="EL137" s="32">
        <v>73.400000000000006</v>
      </c>
      <c r="EM137" s="32">
        <v>51.1</v>
      </c>
      <c r="EN137" s="32">
        <v>58.3</v>
      </c>
      <c r="EO137" s="32">
        <v>88.2</v>
      </c>
      <c r="EP137" s="32">
        <v>90.5</v>
      </c>
      <c r="EQ137" s="32">
        <v>90.5</v>
      </c>
      <c r="ER137" s="32">
        <v>81.099999999999994</v>
      </c>
      <c r="ES137" s="32">
        <v>81.099999999999994</v>
      </c>
      <c r="ET137" s="32">
        <v>94.6</v>
      </c>
      <c r="EU137" s="32">
        <v>105.9</v>
      </c>
      <c r="EV137" s="32">
        <v>105.9</v>
      </c>
      <c r="EW137" s="32">
        <v>82.2</v>
      </c>
      <c r="EX137" s="32">
        <v>91.3</v>
      </c>
      <c r="EY137" s="32">
        <v>74.900000000000006</v>
      </c>
      <c r="EZ137" s="32">
        <v>98.1</v>
      </c>
      <c r="FA137" s="32">
        <v>110.9</v>
      </c>
      <c r="FB137" s="32">
        <v>130.6</v>
      </c>
      <c r="FC137" s="32">
        <v>108.6</v>
      </c>
      <c r="FD137" s="32">
        <v>114.5</v>
      </c>
      <c r="FE137" s="32">
        <v>179.6</v>
      </c>
      <c r="FF137" s="32">
        <v>89</v>
      </c>
      <c r="FG137" s="32">
        <v>88.7</v>
      </c>
      <c r="FH137" s="32">
        <v>90</v>
      </c>
      <c r="FI137" s="32">
        <v>78.099999999999994</v>
      </c>
      <c r="FJ137" s="32">
        <v>89.3</v>
      </c>
      <c r="FK137" s="32">
        <v>99.9</v>
      </c>
      <c r="FL137" s="32">
        <v>99.9</v>
      </c>
    </row>
    <row r="138" spans="1:168" x14ac:dyDescent="0.2">
      <c r="A138" s="34" t="s">
        <v>1118</v>
      </c>
      <c r="B138" s="32">
        <v>85.2</v>
      </c>
      <c r="C138" s="32">
        <v>93.1</v>
      </c>
      <c r="D138" s="32">
        <v>101.8</v>
      </c>
      <c r="E138" s="32">
        <v>106.6</v>
      </c>
      <c r="F138" s="32">
        <v>216.8</v>
      </c>
      <c r="G138" s="32">
        <v>2695.7</v>
      </c>
      <c r="H138" s="32">
        <v>257.89999999999998</v>
      </c>
      <c r="I138" s="32">
        <v>75.3</v>
      </c>
      <c r="J138" s="32">
        <v>97.7</v>
      </c>
      <c r="K138" s="32">
        <v>99.1</v>
      </c>
      <c r="L138" s="32">
        <v>97.4</v>
      </c>
      <c r="M138" s="32">
        <v>93.4</v>
      </c>
      <c r="N138" s="32">
        <v>93.4</v>
      </c>
      <c r="O138" s="32">
        <v>168.4</v>
      </c>
      <c r="P138" s="32">
        <v>205.1</v>
      </c>
      <c r="Q138" s="32">
        <v>130.69999999999999</v>
      </c>
      <c r="R138" s="32">
        <v>88</v>
      </c>
      <c r="S138" s="32">
        <v>125.1</v>
      </c>
      <c r="T138" s="32">
        <v>89.1</v>
      </c>
      <c r="U138" s="32">
        <v>67.599999999999994</v>
      </c>
      <c r="V138" s="32">
        <v>121.4</v>
      </c>
      <c r="W138" s="32">
        <v>54.8</v>
      </c>
      <c r="X138" s="32">
        <v>48.8</v>
      </c>
      <c r="Y138" s="32">
        <v>54.2</v>
      </c>
      <c r="Z138" s="32">
        <v>108</v>
      </c>
      <c r="AA138" s="32">
        <v>110.3</v>
      </c>
      <c r="AB138" s="32">
        <v>95.6</v>
      </c>
      <c r="AC138" s="32">
        <v>97.2</v>
      </c>
      <c r="AD138" s="32">
        <v>137.5</v>
      </c>
      <c r="AE138" s="32">
        <v>72.5</v>
      </c>
      <c r="AF138" s="32">
        <v>72.5</v>
      </c>
      <c r="AG138" s="32">
        <v>77.3</v>
      </c>
      <c r="AH138" s="32">
        <v>77.3</v>
      </c>
      <c r="AI138" s="32">
        <v>173.5</v>
      </c>
      <c r="AJ138" s="32">
        <v>60.6</v>
      </c>
      <c r="AK138" s="32">
        <v>36.1</v>
      </c>
      <c r="AL138" s="32">
        <v>108.3</v>
      </c>
      <c r="AM138" s="32">
        <v>59.4</v>
      </c>
      <c r="AN138" s="32">
        <v>224.5</v>
      </c>
      <c r="AO138" s="32">
        <v>116.7</v>
      </c>
      <c r="AP138" s="32">
        <v>116.7</v>
      </c>
      <c r="AQ138" s="32">
        <v>103</v>
      </c>
      <c r="AR138" s="32">
        <v>102</v>
      </c>
      <c r="AS138" s="32">
        <v>106.9</v>
      </c>
      <c r="AT138" s="32">
        <v>99.8</v>
      </c>
      <c r="AU138" s="32">
        <v>112.1</v>
      </c>
      <c r="AV138" s="32">
        <v>104.4</v>
      </c>
      <c r="AW138" s="32">
        <v>160.4</v>
      </c>
      <c r="AX138" s="32">
        <v>144.69999999999999</v>
      </c>
      <c r="AY138" s="32">
        <v>269.39999999999998</v>
      </c>
      <c r="AZ138" s="32">
        <v>96.4</v>
      </c>
      <c r="BA138" s="32">
        <v>73.2</v>
      </c>
      <c r="BB138" s="32">
        <v>73.2</v>
      </c>
      <c r="BC138" s="32">
        <v>141.80000000000001</v>
      </c>
      <c r="BD138" s="32">
        <v>141.80000000000001</v>
      </c>
      <c r="BE138" s="32">
        <v>123.6</v>
      </c>
      <c r="BF138" s="32">
        <v>123.6</v>
      </c>
      <c r="BG138" s="32">
        <v>109.4</v>
      </c>
      <c r="BH138" s="32">
        <v>97.7</v>
      </c>
      <c r="BI138" s="32">
        <v>119.5</v>
      </c>
      <c r="BJ138" s="32">
        <v>46.6</v>
      </c>
      <c r="BK138" s="32">
        <v>161.69999999999999</v>
      </c>
      <c r="BL138" s="32">
        <v>64.7</v>
      </c>
      <c r="BM138" s="32">
        <v>101.1</v>
      </c>
      <c r="BN138" s="32">
        <v>120.5</v>
      </c>
      <c r="BO138" s="32">
        <v>103</v>
      </c>
      <c r="BP138" s="32">
        <v>137.30000000000001</v>
      </c>
      <c r="BQ138" s="32">
        <v>80</v>
      </c>
      <c r="BR138" s="32">
        <v>78.3</v>
      </c>
      <c r="BS138" s="32">
        <v>138.19999999999999</v>
      </c>
      <c r="BT138" s="32">
        <v>65.7</v>
      </c>
      <c r="BU138" s="32">
        <v>116.7</v>
      </c>
      <c r="BV138" s="32">
        <v>116.7</v>
      </c>
      <c r="BW138" s="32">
        <v>173.6</v>
      </c>
      <c r="BX138" s="32">
        <v>37.9</v>
      </c>
      <c r="BY138" s="32">
        <v>95</v>
      </c>
      <c r="BZ138" s="32">
        <v>94.9</v>
      </c>
      <c r="CA138" s="32">
        <v>95.1</v>
      </c>
      <c r="CB138" s="32">
        <v>110.5</v>
      </c>
      <c r="CC138" s="32">
        <v>87.8</v>
      </c>
      <c r="CD138" s="32">
        <v>18.399999999999999</v>
      </c>
      <c r="CE138" s="32">
        <v>91.8</v>
      </c>
      <c r="CF138" s="32">
        <v>81.7</v>
      </c>
      <c r="CG138" s="32">
        <v>99</v>
      </c>
      <c r="CH138" s="32">
        <v>99.6</v>
      </c>
      <c r="CI138" s="32">
        <v>115.3</v>
      </c>
      <c r="CJ138" s="32">
        <v>90.1</v>
      </c>
      <c r="CK138" s="32">
        <v>104.2</v>
      </c>
      <c r="CL138" s="32">
        <v>101.2</v>
      </c>
      <c r="CM138" s="32">
        <v>117.1</v>
      </c>
      <c r="CN138" s="32">
        <v>97</v>
      </c>
      <c r="CO138" s="32">
        <v>117</v>
      </c>
      <c r="CP138" s="32">
        <v>151.19999999999999</v>
      </c>
      <c r="CQ138" s="32">
        <v>82.8</v>
      </c>
      <c r="CR138" s="32">
        <v>103.1</v>
      </c>
      <c r="CS138" s="32">
        <v>117.8</v>
      </c>
      <c r="CT138" s="32">
        <v>93.7</v>
      </c>
      <c r="CU138" s="32">
        <v>72.599999999999994</v>
      </c>
      <c r="CV138" s="32">
        <v>102.8</v>
      </c>
      <c r="CW138" s="32">
        <v>33.6</v>
      </c>
      <c r="CX138" s="32">
        <v>93.9</v>
      </c>
      <c r="CY138" s="32">
        <v>109.9</v>
      </c>
      <c r="CZ138" s="32">
        <v>85.5</v>
      </c>
      <c r="DA138" s="32">
        <v>70.900000000000006</v>
      </c>
      <c r="DB138" s="32">
        <v>115.4</v>
      </c>
      <c r="DC138" s="32">
        <v>5.5</v>
      </c>
      <c r="DD138" s="32">
        <v>5.5</v>
      </c>
      <c r="DE138" s="32">
        <v>68.5</v>
      </c>
      <c r="DF138" s="32">
        <v>65.8</v>
      </c>
      <c r="DG138" s="32">
        <v>83.1</v>
      </c>
      <c r="DH138" s="32">
        <v>122.6</v>
      </c>
      <c r="DI138" s="32">
        <v>204.2</v>
      </c>
      <c r="DJ138" s="32">
        <v>83.3</v>
      </c>
      <c r="DK138" s="32">
        <v>83.3</v>
      </c>
      <c r="DL138" s="32">
        <v>60</v>
      </c>
      <c r="DM138" s="32">
        <v>72.3</v>
      </c>
      <c r="DN138" s="32">
        <v>53.4</v>
      </c>
      <c r="DO138" s="32">
        <v>80.8</v>
      </c>
      <c r="DP138" s="32">
        <v>51.7</v>
      </c>
      <c r="DQ138" s="32">
        <v>74.2</v>
      </c>
      <c r="DR138" s="32">
        <v>77.599999999999994</v>
      </c>
      <c r="DS138" s="32">
        <v>74</v>
      </c>
      <c r="DT138" s="32">
        <v>70.2</v>
      </c>
      <c r="DU138" s="32">
        <v>72.7</v>
      </c>
      <c r="DV138" s="32">
        <v>82.4</v>
      </c>
      <c r="DW138" s="32">
        <v>62.6</v>
      </c>
      <c r="DX138" s="32">
        <v>65.3</v>
      </c>
      <c r="DY138" s="32">
        <v>87.7</v>
      </c>
      <c r="DZ138" s="32">
        <v>128.5</v>
      </c>
      <c r="EA138" s="32">
        <v>128.5</v>
      </c>
      <c r="EB138" s="32">
        <v>72.099999999999994</v>
      </c>
      <c r="EC138" s="32">
        <v>74</v>
      </c>
      <c r="ED138" s="32">
        <v>69.7</v>
      </c>
      <c r="EE138" s="32">
        <v>77.5</v>
      </c>
      <c r="EF138" s="32">
        <v>52.8</v>
      </c>
      <c r="EG138" s="32">
        <v>69.099999999999994</v>
      </c>
      <c r="EH138" s="32">
        <v>92</v>
      </c>
      <c r="EI138" s="32">
        <v>64.7</v>
      </c>
      <c r="EJ138" s="32">
        <v>94.9</v>
      </c>
      <c r="EK138" s="32">
        <v>58.2</v>
      </c>
      <c r="EL138" s="32">
        <v>75.900000000000006</v>
      </c>
      <c r="EM138" s="32">
        <v>52.2</v>
      </c>
      <c r="EN138" s="32">
        <v>59.4</v>
      </c>
      <c r="EO138" s="32">
        <v>88.8</v>
      </c>
      <c r="EP138" s="32">
        <v>89</v>
      </c>
      <c r="EQ138" s="32">
        <v>89</v>
      </c>
      <c r="ER138" s="32">
        <v>84.3</v>
      </c>
      <c r="ES138" s="32">
        <v>84.3</v>
      </c>
      <c r="ET138" s="32">
        <v>94.4</v>
      </c>
      <c r="EU138" s="32">
        <v>105.5</v>
      </c>
      <c r="EV138" s="32">
        <v>105.5</v>
      </c>
      <c r="EW138" s="32">
        <v>82.3</v>
      </c>
      <c r="EX138" s="32">
        <v>91.6</v>
      </c>
      <c r="EY138" s="32">
        <v>74.900000000000006</v>
      </c>
      <c r="EZ138" s="32">
        <v>95.8</v>
      </c>
      <c r="FA138" s="32">
        <v>110.2</v>
      </c>
      <c r="FB138" s="32">
        <v>126.2</v>
      </c>
      <c r="FC138" s="32">
        <v>99.8</v>
      </c>
      <c r="FD138" s="32">
        <v>113.4</v>
      </c>
      <c r="FE138" s="32">
        <v>181.8</v>
      </c>
      <c r="FF138" s="32">
        <v>92.4</v>
      </c>
      <c r="FG138" s="32">
        <v>85.7</v>
      </c>
      <c r="FH138" s="32">
        <v>88.6</v>
      </c>
      <c r="FI138" s="32">
        <v>82.4</v>
      </c>
      <c r="FJ138" s="32">
        <v>84.7</v>
      </c>
      <c r="FK138" s="32">
        <v>91.7</v>
      </c>
      <c r="FL138" s="32">
        <v>91.7</v>
      </c>
    </row>
    <row r="139" spans="1:168" x14ac:dyDescent="0.2">
      <c r="A139" s="34" t="s">
        <v>1119</v>
      </c>
      <c r="B139" s="32">
        <v>85.7</v>
      </c>
      <c r="C139" s="32">
        <v>98.5</v>
      </c>
      <c r="D139" s="32">
        <v>102.5</v>
      </c>
      <c r="E139" s="32">
        <v>107.7</v>
      </c>
      <c r="F139" s="32">
        <v>218.4</v>
      </c>
      <c r="G139" s="32">
        <v>2798.3</v>
      </c>
      <c r="H139" s="32">
        <v>259</v>
      </c>
      <c r="I139" s="32">
        <v>77.099999999999994</v>
      </c>
      <c r="J139" s="32">
        <v>99.5</v>
      </c>
      <c r="K139" s="32">
        <v>98.2</v>
      </c>
      <c r="L139" s="32">
        <v>94.9</v>
      </c>
      <c r="M139" s="32">
        <v>87.5</v>
      </c>
      <c r="N139" s="32">
        <v>91.3</v>
      </c>
      <c r="O139" s="32">
        <v>172.5</v>
      </c>
      <c r="P139" s="32">
        <v>202.4</v>
      </c>
      <c r="Q139" s="32">
        <v>126.8</v>
      </c>
      <c r="R139" s="32">
        <v>87.3</v>
      </c>
      <c r="S139" s="32">
        <v>121.6</v>
      </c>
      <c r="T139" s="32">
        <v>89.3</v>
      </c>
      <c r="U139" s="32">
        <v>70</v>
      </c>
      <c r="V139" s="32">
        <v>127.3</v>
      </c>
      <c r="W139" s="32">
        <v>53.9</v>
      </c>
      <c r="X139" s="32">
        <v>48.7</v>
      </c>
      <c r="Y139" s="32">
        <v>49</v>
      </c>
      <c r="Z139" s="32">
        <v>128.80000000000001</v>
      </c>
      <c r="AA139" s="32">
        <v>111.7</v>
      </c>
      <c r="AB139" s="32">
        <v>103.4</v>
      </c>
      <c r="AC139" s="32">
        <v>94.1</v>
      </c>
      <c r="AD139" s="32">
        <v>138.19999999999999</v>
      </c>
      <c r="AE139" s="32">
        <v>76.900000000000006</v>
      </c>
      <c r="AF139" s="32">
        <v>76.900000000000006</v>
      </c>
      <c r="AG139" s="32">
        <v>76.5</v>
      </c>
      <c r="AH139" s="32">
        <v>76.5</v>
      </c>
      <c r="AI139" s="32">
        <v>144.1</v>
      </c>
      <c r="AJ139" s="32">
        <v>67.400000000000006</v>
      </c>
      <c r="AK139" s="32">
        <v>41.6</v>
      </c>
      <c r="AL139" s="32">
        <v>104.4</v>
      </c>
      <c r="AM139" s="32">
        <v>56.7</v>
      </c>
      <c r="AN139" s="32">
        <v>218.9</v>
      </c>
      <c r="AO139" s="32">
        <v>120.4</v>
      </c>
      <c r="AP139" s="32">
        <v>120.4</v>
      </c>
      <c r="AQ139" s="32">
        <v>104.2</v>
      </c>
      <c r="AR139" s="32">
        <v>101.6</v>
      </c>
      <c r="AS139" s="32">
        <v>110.2</v>
      </c>
      <c r="AT139" s="32">
        <v>102.5</v>
      </c>
      <c r="AU139" s="32">
        <v>115.9</v>
      </c>
      <c r="AV139" s="32">
        <v>108.8</v>
      </c>
      <c r="AW139" s="32">
        <v>154.19999999999999</v>
      </c>
      <c r="AX139" s="32">
        <v>131.4</v>
      </c>
      <c r="AY139" s="32">
        <v>267.39999999999998</v>
      </c>
      <c r="AZ139" s="32">
        <v>103.2</v>
      </c>
      <c r="BA139" s="32">
        <v>73.7</v>
      </c>
      <c r="BB139" s="32">
        <v>73.7</v>
      </c>
      <c r="BC139" s="32">
        <v>144.4</v>
      </c>
      <c r="BD139" s="32">
        <v>144.4</v>
      </c>
      <c r="BE139" s="32">
        <v>121.4</v>
      </c>
      <c r="BF139" s="32">
        <v>121.4</v>
      </c>
      <c r="BG139" s="32">
        <v>118.6</v>
      </c>
      <c r="BH139" s="32">
        <v>113.8</v>
      </c>
      <c r="BI139" s="32">
        <v>120.7</v>
      </c>
      <c r="BJ139" s="32">
        <v>46.7</v>
      </c>
      <c r="BK139" s="32">
        <v>162.9</v>
      </c>
      <c r="BL139" s="32">
        <v>68.900000000000006</v>
      </c>
      <c r="BM139" s="32">
        <v>102.5</v>
      </c>
      <c r="BN139" s="32">
        <v>122.7</v>
      </c>
      <c r="BO139" s="32">
        <v>108.2</v>
      </c>
      <c r="BP139" s="32">
        <v>136.1</v>
      </c>
      <c r="BQ139" s="32">
        <v>80.400000000000006</v>
      </c>
      <c r="BR139" s="32">
        <v>85.9</v>
      </c>
      <c r="BS139" s="32">
        <v>135</v>
      </c>
      <c r="BT139" s="32">
        <v>65.7</v>
      </c>
      <c r="BU139" s="32">
        <v>113.5</v>
      </c>
      <c r="BV139" s="32">
        <v>113.5</v>
      </c>
      <c r="BW139" s="32">
        <v>167.2</v>
      </c>
      <c r="BX139" s="32">
        <v>38.200000000000003</v>
      </c>
      <c r="BY139" s="32">
        <v>94.4</v>
      </c>
      <c r="BZ139" s="32">
        <v>95.6</v>
      </c>
      <c r="CA139" s="32">
        <v>93.9</v>
      </c>
      <c r="CB139" s="32">
        <v>107.4</v>
      </c>
      <c r="CC139" s="32">
        <v>88.3</v>
      </c>
      <c r="CD139" s="32">
        <v>17.100000000000001</v>
      </c>
      <c r="CE139" s="32">
        <v>91.7</v>
      </c>
      <c r="CF139" s="32">
        <v>82</v>
      </c>
      <c r="CG139" s="32">
        <v>100.5</v>
      </c>
      <c r="CH139" s="32">
        <v>101.6</v>
      </c>
      <c r="CI139" s="32">
        <v>117.3</v>
      </c>
      <c r="CJ139" s="32">
        <v>92.6</v>
      </c>
      <c r="CK139" s="32">
        <v>105.7</v>
      </c>
      <c r="CL139" s="32">
        <v>102</v>
      </c>
      <c r="CM139" s="32">
        <v>115.2</v>
      </c>
      <c r="CN139" s="32">
        <v>95.9</v>
      </c>
      <c r="CO139" s="32">
        <v>114.9</v>
      </c>
      <c r="CP139" s="32">
        <v>169.8</v>
      </c>
      <c r="CQ139" s="32">
        <v>82.8</v>
      </c>
      <c r="CR139" s="32">
        <v>105.4</v>
      </c>
      <c r="CS139" s="32">
        <v>117</v>
      </c>
      <c r="CT139" s="32">
        <v>93.8</v>
      </c>
      <c r="CU139" s="32">
        <v>73</v>
      </c>
      <c r="CV139" s="32">
        <v>102.8</v>
      </c>
      <c r="CW139" s="32">
        <v>34.4</v>
      </c>
      <c r="CX139" s="32">
        <v>99.2</v>
      </c>
      <c r="CY139" s="32">
        <v>112.3</v>
      </c>
      <c r="CZ139" s="32">
        <v>92.4</v>
      </c>
      <c r="DA139" s="32">
        <v>80</v>
      </c>
      <c r="DB139" s="32">
        <v>117</v>
      </c>
      <c r="DC139" s="32">
        <v>5.5</v>
      </c>
      <c r="DD139" s="32">
        <v>5.5</v>
      </c>
      <c r="DE139" s="32">
        <v>69.5</v>
      </c>
      <c r="DF139" s="32">
        <v>66.3</v>
      </c>
      <c r="DG139" s="32">
        <v>87.2</v>
      </c>
      <c r="DH139" s="32">
        <v>118.2</v>
      </c>
      <c r="DI139" s="32">
        <v>203.7</v>
      </c>
      <c r="DJ139" s="32">
        <v>82.2</v>
      </c>
      <c r="DK139" s="32">
        <v>82.2</v>
      </c>
      <c r="DL139" s="32">
        <v>50.5</v>
      </c>
      <c r="DM139" s="32">
        <v>72.7</v>
      </c>
      <c r="DN139" s="32">
        <v>55.4</v>
      </c>
      <c r="DO139" s="32">
        <v>80.8</v>
      </c>
      <c r="DP139" s="32">
        <v>47.6</v>
      </c>
      <c r="DQ139" s="32">
        <v>73.599999999999994</v>
      </c>
      <c r="DR139" s="32">
        <v>75.400000000000006</v>
      </c>
      <c r="DS139" s="32">
        <v>74.2</v>
      </c>
      <c r="DT139" s="32">
        <v>70.3</v>
      </c>
      <c r="DU139" s="32">
        <v>71.099999999999994</v>
      </c>
      <c r="DV139" s="32">
        <v>81</v>
      </c>
      <c r="DW139" s="32">
        <v>60.9</v>
      </c>
      <c r="DX139" s="32">
        <v>68.8</v>
      </c>
      <c r="DY139" s="32">
        <v>88.5</v>
      </c>
      <c r="DZ139" s="32">
        <v>106</v>
      </c>
      <c r="EA139" s="32">
        <v>106</v>
      </c>
      <c r="EB139" s="32">
        <v>69.400000000000006</v>
      </c>
      <c r="EC139" s="32">
        <v>68.099999999999994</v>
      </c>
      <c r="ED139" s="32">
        <v>71.599999999999994</v>
      </c>
      <c r="EE139" s="32">
        <v>79.599999999999994</v>
      </c>
      <c r="EF139" s="32">
        <v>54.1</v>
      </c>
      <c r="EG139" s="32">
        <v>70.599999999999994</v>
      </c>
      <c r="EH139" s="32">
        <v>88.9</v>
      </c>
      <c r="EI139" s="32">
        <v>67.400000000000006</v>
      </c>
      <c r="EJ139" s="32">
        <v>104.7</v>
      </c>
      <c r="EK139" s="32">
        <v>59.8</v>
      </c>
      <c r="EL139" s="32">
        <v>74.400000000000006</v>
      </c>
      <c r="EM139" s="32">
        <v>48.8</v>
      </c>
      <c r="EN139" s="32">
        <v>65.3</v>
      </c>
      <c r="EO139" s="32">
        <v>90.1</v>
      </c>
      <c r="EP139" s="32">
        <v>90.7</v>
      </c>
      <c r="EQ139" s="32">
        <v>90.7</v>
      </c>
      <c r="ER139" s="32">
        <v>86.4</v>
      </c>
      <c r="ES139" s="32">
        <v>86.4</v>
      </c>
      <c r="ET139" s="32">
        <v>94.7</v>
      </c>
      <c r="EU139" s="32">
        <v>105.8</v>
      </c>
      <c r="EV139" s="32">
        <v>105.8</v>
      </c>
      <c r="EW139" s="32">
        <v>82.9</v>
      </c>
      <c r="EX139" s="32">
        <v>92.1</v>
      </c>
      <c r="EY139" s="32">
        <v>75.599999999999994</v>
      </c>
      <c r="EZ139" s="32">
        <v>96.1</v>
      </c>
      <c r="FA139" s="32">
        <v>110.5</v>
      </c>
      <c r="FB139" s="32">
        <v>126.4</v>
      </c>
      <c r="FC139" s="32">
        <v>98.4</v>
      </c>
      <c r="FD139" s="32">
        <v>115.9</v>
      </c>
      <c r="FE139" s="32">
        <v>183.9</v>
      </c>
      <c r="FF139" s="32">
        <v>92.7</v>
      </c>
      <c r="FG139" s="32">
        <v>86.1</v>
      </c>
      <c r="FH139" s="32">
        <v>90.1</v>
      </c>
      <c r="FI139" s="32">
        <v>86.4</v>
      </c>
      <c r="FJ139" s="32">
        <v>84.2</v>
      </c>
      <c r="FK139" s="32">
        <v>88.6</v>
      </c>
      <c r="FL139" s="32">
        <v>88.6</v>
      </c>
    </row>
    <row r="140" spans="1:168" x14ac:dyDescent="0.2">
      <c r="A140" s="34" t="s">
        <v>1120</v>
      </c>
      <c r="B140" s="32">
        <v>85</v>
      </c>
      <c r="C140" s="32">
        <v>101</v>
      </c>
      <c r="D140" s="32">
        <v>100.5</v>
      </c>
      <c r="E140" s="32">
        <v>104.9</v>
      </c>
      <c r="F140" s="32">
        <v>212.4</v>
      </c>
      <c r="G140" s="32">
        <v>2433.1999999999998</v>
      </c>
      <c r="H140" s="32">
        <v>251.8</v>
      </c>
      <c r="I140" s="32">
        <v>75.7</v>
      </c>
      <c r="J140" s="32">
        <v>96.1</v>
      </c>
      <c r="K140" s="32">
        <v>94.8</v>
      </c>
      <c r="L140" s="32">
        <v>90.1</v>
      </c>
      <c r="M140" s="32">
        <v>78.900000000000006</v>
      </c>
      <c r="N140" s="32">
        <v>88.2</v>
      </c>
      <c r="O140" s="32">
        <v>129.80000000000001</v>
      </c>
      <c r="P140" s="32">
        <v>209.5</v>
      </c>
      <c r="Q140" s="32">
        <v>122.4</v>
      </c>
      <c r="R140" s="32">
        <v>85.3</v>
      </c>
      <c r="S140" s="32">
        <v>111.9</v>
      </c>
      <c r="T140" s="32">
        <v>91.6</v>
      </c>
      <c r="U140" s="32">
        <v>70.2</v>
      </c>
      <c r="V140" s="32">
        <v>128.80000000000001</v>
      </c>
      <c r="W140" s="32">
        <v>52.2</v>
      </c>
      <c r="X140" s="32">
        <v>47.4</v>
      </c>
      <c r="Y140" s="32">
        <v>47.6</v>
      </c>
      <c r="Z140" s="32">
        <v>118.2</v>
      </c>
      <c r="AA140" s="32">
        <v>109.8</v>
      </c>
      <c r="AB140" s="32">
        <v>101.2</v>
      </c>
      <c r="AC140" s="32">
        <v>91.1</v>
      </c>
      <c r="AD140" s="32">
        <v>137</v>
      </c>
      <c r="AE140" s="32">
        <v>77.3</v>
      </c>
      <c r="AF140" s="32">
        <v>77.3</v>
      </c>
      <c r="AG140" s="32">
        <v>73.900000000000006</v>
      </c>
      <c r="AH140" s="32">
        <v>73.900000000000006</v>
      </c>
      <c r="AI140" s="32">
        <v>127.9</v>
      </c>
      <c r="AJ140" s="32">
        <v>66.400000000000006</v>
      </c>
      <c r="AK140" s="32">
        <v>39.700000000000003</v>
      </c>
      <c r="AL140" s="32">
        <v>101.4</v>
      </c>
      <c r="AM140" s="32">
        <v>54.2</v>
      </c>
      <c r="AN140" s="32">
        <v>217.3</v>
      </c>
      <c r="AO140" s="32">
        <v>112.6</v>
      </c>
      <c r="AP140" s="32">
        <v>112.6</v>
      </c>
      <c r="AQ140" s="32">
        <v>96</v>
      </c>
      <c r="AR140" s="32">
        <v>93.4</v>
      </c>
      <c r="AS140" s="32">
        <v>102</v>
      </c>
      <c r="AT140" s="32">
        <v>94.9</v>
      </c>
      <c r="AU140" s="32">
        <v>107.2</v>
      </c>
      <c r="AV140" s="32">
        <v>104.5</v>
      </c>
      <c r="AW140" s="32">
        <v>156.80000000000001</v>
      </c>
      <c r="AX140" s="32">
        <v>126.7</v>
      </c>
      <c r="AY140" s="32">
        <v>279.10000000000002</v>
      </c>
      <c r="AZ140" s="32">
        <v>97.4</v>
      </c>
      <c r="BA140" s="32">
        <v>75.3</v>
      </c>
      <c r="BB140" s="32">
        <v>75.3</v>
      </c>
      <c r="BC140" s="32">
        <v>141.4</v>
      </c>
      <c r="BD140" s="32">
        <v>141.4</v>
      </c>
      <c r="BE140" s="32">
        <v>118.2</v>
      </c>
      <c r="BF140" s="32">
        <v>118.2</v>
      </c>
      <c r="BG140" s="32">
        <v>115.9</v>
      </c>
      <c r="BH140" s="32">
        <v>107.7</v>
      </c>
      <c r="BI140" s="32">
        <v>121.9</v>
      </c>
      <c r="BJ140" s="32">
        <v>47.3</v>
      </c>
      <c r="BK140" s="32">
        <v>163.6</v>
      </c>
      <c r="BL140" s="32">
        <v>73.599999999999994</v>
      </c>
      <c r="BM140" s="32">
        <v>97.8</v>
      </c>
      <c r="BN140" s="32">
        <v>117.7</v>
      </c>
      <c r="BO140" s="32">
        <v>100.7</v>
      </c>
      <c r="BP140" s="32">
        <v>134.1</v>
      </c>
      <c r="BQ140" s="32">
        <v>76</v>
      </c>
      <c r="BR140" s="32">
        <v>70.5</v>
      </c>
      <c r="BS140" s="32">
        <v>113.9</v>
      </c>
      <c r="BT140" s="32">
        <v>65.8</v>
      </c>
      <c r="BU140" s="32">
        <v>117.5</v>
      </c>
      <c r="BV140" s="32">
        <v>117.5</v>
      </c>
      <c r="BW140" s="32">
        <v>173.4</v>
      </c>
      <c r="BX140" s="32">
        <v>39.299999999999997</v>
      </c>
      <c r="BY140" s="32">
        <v>91.8</v>
      </c>
      <c r="BZ140" s="32">
        <v>96.1</v>
      </c>
      <c r="CA140" s="32">
        <v>89.9</v>
      </c>
      <c r="CB140" s="32">
        <v>105.3</v>
      </c>
      <c r="CC140" s="32">
        <v>82.4</v>
      </c>
      <c r="CD140" s="32">
        <v>16.5</v>
      </c>
      <c r="CE140" s="32">
        <v>91.3</v>
      </c>
      <c r="CF140" s="32">
        <v>81.7</v>
      </c>
      <c r="CG140" s="32">
        <v>100.2</v>
      </c>
      <c r="CH140" s="32">
        <v>101.5</v>
      </c>
      <c r="CI140" s="32">
        <v>120.1</v>
      </c>
      <c r="CJ140" s="32">
        <v>93.6</v>
      </c>
      <c r="CK140" s="32">
        <v>103.9</v>
      </c>
      <c r="CL140" s="32">
        <v>101.7</v>
      </c>
      <c r="CM140" s="32">
        <v>115.2</v>
      </c>
      <c r="CN140" s="32">
        <v>96.7</v>
      </c>
      <c r="CO140" s="32">
        <v>114.8</v>
      </c>
      <c r="CP140" s="32">
        <v>173.6</v>
      </c>
      <c r="CQ140" s="32">
        <v>79.400000000000006</v>
      </c>
      <c r="CR140" s="32">
        <v>102.3</v>
      </c>
      <c r="CS140" s="32">
        <v>121</v>
      </c>
      <c r="CT140" s="32">
        <v>92.7</v>
      </c>
      <c r="CU140" s="32">
        <v>72.400000000000006</v>
      </c>
      <c r="CV140" s="32">
        <v>101.5</v>
      </c>
      <c r="CW140" s="32">
        <v>34.1</v>
      </c>
      <c r="CX140" s="32">
        <v>94.2</v>
      </c>
      <c r="CY140" s="32">
        <v>102.8</v>
      </c>
      <c r="CZ140" s="32">
        <v>90</v>
      </c>
      <c r="DA140" s="32">
        <v>75.400000000000006</v>
      </c>
      <c r="DB140" s="32">
        <v>119.7</v>
      </c>
      <c r="DC140" s="32">
        <v>5.9</v>
      </c>
      <c r="DD140" s="32">
        <v>5.9</v>
      </c>
      <c r="DE140" s="32">
        <v>66.7</v>
      </c>
      <c r="DF140" s="32">
        <v>64.5</v>
      </c>
      <c r="DG140" s="32">
        <v>78.8</v>
      </c>
      <c r="DH140" s="32">
        <v>117.2</v>
      </c>
      <c r="DI140" s="32">
        <v>202.3</v>
      </c>
      <c r="DJ140" s="32">
        <v>81.5</v>
      </c>
      <c r="DK140" s="32">
        <v>81.5</v>
      </c>
      <c r="DL140" s="32">
        <v>50</v>
      </c>
      <c r="DM140" s="32">
        <v>72.7</v>
      </c>
      <c r="DN140" s="32">
        <v>56.1</v>
      </c>
      <c r="DO140" s="32">
        <v>80.7</v>
      </c>
      <c r="DP140" s="32">
        <v>46</v>
      </c>
      <c r="DQ140" s="32">
        <v>74</v>
      </c>
      <c r="DR140" s="32">
        <v>77.400000000000006</v>
      </c>
      <c r="DS140" s="32">
        <v>75.5</v>
      </c>
      <c r="DT140" s="32">
        <v>71.8</v>
      </c>
      <c r="DU140" s="32">
        <v>72.5</v>
      </c>
      <c r="DV140" s="32">
        <v>85.4</v>
      </c>
      <c r="DW140" s="32">
        <v>59.5</v>
      </c>
      <c r="DX140" s="32">
        <v>70.599999999999994</v>
      </c>
      <c r="DY140" s="32">
        <v>88.7</v>
      </c>
      <c r="DZ140" s="32">
        <v>120.5</v>
      </c>
      <c r="EA140" s="32">
        <v>120.5</v>
      </c>
      <c r="EB140" s="32">
        <v>69.3</v>
      </c>
      <c r="EC140" s="32">
        <v>67.3</v>
      </c>
      <c r="ED140" s="32">
        <v>72.5</v>
      </c>
      <c r="EE140" s="32">
        <v>79.7</v>
      </c>
      <c r="EF140" s="32">
        <v>56.7</v>
      </c>
      <c r="EG140" s="32">
        <v>68.900000000000006</v>
      </c>
      <c r="EH140" s="32">
        <v>87.6</v>
      </c>
      <c r="EI140" s="32">
        <v>65.3</v>
      </c>
      <c r="EJ140" s="32">
        <v>99.1</v>
      </c>
      <c r="EK140" s="32">
        <v>58.8</v>
      </c>
      <c r="EL140" s="32">
        <v>72.900000000000006</v>
      </c>
      <c r="EM140" s="32">
        <v>49.4</v>
      </c>
      <c r="EN140" s="32">
        <v>63.2</v>
      </c>
      <c r="EO140" s="32">
        <v>89.3</v>
      </c>
      <c r="EP140" s="32">
        <v>90.9</v>
      </c>
      <c r="EQ140" s="32">
        <v>90.9</v>
      </c>
      <c r="ER140" s="32">
        <v>83.5</v>
      </c>
      <c r="ES140" s="32">
        <v>83.5</v>
      </c>
      <c r="ET140" s="32">
        <v>95.2</v>
      </c>
      <c r="EU140" s="32">
        <v>106</v>
      </c>
      <c r="EV140" s="32">
        <v>106</v>
      </c>
      <c r="EW140" s="32">
        <v>83.8</v>
      </c>
      <c r="EX140" s="32">
        <v>92.8</v>
      </c>
      <c r="EY140" s="32">
        <v>76.7</v>
      </c>
      <c r="EZ140" s="32">
        <v>94.7</v>
      </c>
      <c r="FA140" s="32">
        <v>108.8</v>
      </c>
      <c r="FB140" s="32">
        <v>122.9</v>
      </c>
      <c r="FC140" s="32">
        <v>91.3</v>
      </c>
      <c r="FD140" s="32">
        <v>116.4</v>
      </c>
      <c r="FE140" s="32">
        <v>184.9</v>
      </c>
      <c r="FF140" s="32">
        <v>93</v>
      </c>
      <c r="FG140" s="32">
        <v>84.6</v>
      </c>
      <c r="FH140" s="32">
        <v>87.8</v>
      </c>
      <c r="FI140" s="32">
        <v>84.1</v>
      </c>
      <c r="FJ140" s="32">
        <v>83.2</v>
      </c>
      <c r="FK140" s="32">
        <v>91.5</v>
      </c>
      <c r="FL140" s="32">
        <v>91.5</v>
      </c>
    </row>
    <row r="141" spans="1:168" x14ac:dyDescent="0.2">
      <c r="A141" s="34" t="s">
        <v>1121</v>
      </c>
      <c r="B141" s="32">
        <v>85.6</v>
      </c>
      <c r="C141" s="32">
        <v>101</v>
      </c>
      <c r="D141" s="32">
        <v>101.3</v>
      </c>
      <c r="E141" s="32">
        <v>106.6</v>
      </c>
      <c r="F141" s="32">
        <v>209.8</v>
      </c>
      <c r="G141" s="32">
        <v>900.5</v>
      </c>
      <c r="H141" s="32">
        <v>249.2</v>
      </c>
      <c r="I141" s="32">
        <v>75.900000000000006</v>
      </c>
      <c r="J141" s="32">
        <v>97.7</v>
      </c>
      <c r="K141" s="32">
        <v>95.2</v>
      </c>
      <c r="L141" s="32">
        <v>91.3</v>
      </c>
      <c r="M141" s="32">
        <v>81</v>
      </c>
      <c r="N141" s="32">
        <v>80.099999999999994</v>
      </c>
      <c r="O141" s="32">
        <v>127</v>
      </c>
      <c r="P141" s="32">
        <v>204.4</v>
      </c>
      <c r="Q141" s="32">
        <v>124.3</v>
      </c>
      <c r="R141" s="32">
        <v>86.7</v>
      </c>
      <c r="S141" s="32">
        <v>117.4</v>
      </c>
      <c r="T141" s="32">
        <v>94.9</v>
      </c>
      <c r="U141" s="32">
        <v>64.900000000000006</v>
      </c>
      <c r="V141" s="32">
        <v>127.7</v>
      </c>
      <c r="W141" s="32">
        <v>54.7</v>
      </c>
      <c r="X141" s="32">
        <v>49.8</v>
      </c>
      <c r="Y141" s="32">
        <v>49.1</v>
      </c>
      <c r="Z141" s="32">
        <v>129.4</v>
      </c>
      <c r="AA141" s="32">
        <v>112.2</v>
      </c>
      <c r="AB141" s="32">
        <v>105.2</v>
      </c>
      <c r="AC141" s="32">
        <v>91.7</v>
      </c>
      <c r="AD141" s="32">
        <v>139.80000000000001</v>
      </c>
      <c r="AE141" s="32">
        <v>78.2</v>
      </c>
      <c r="AF141" s="32">
        <v>78.2</v>
      </c>
      <c r="AG141" s="32">
        <v>74</v>
      </c>
      <c r="AH141" s="32">
        <v>74</v>
      </c>
      <c r="AI141" s="32">
        <v>107</v>
      </c>
      <c r="AJ141" s="32">
        <v>70.599999999999994</v>
      </c>
      <c r="AK141" s="32">
        <v>42.6</v>
      </c>
      <c r="AL141" s="32">
        <v>95.8</v>
      </c>
      <c r="AM141" s="32">
        <v>55.1</v>
      </c>
      <c r="AN141" s="32">
        <v>210.3</v>
      </c>
      <c r="AO141" s="32">
        <v>117.5</v>
      </c>
      <c r="AP141" s="32">
        <v>117.5</v>
      </c>
      <c r="AQ141" s="32">
        <v>97.6</v>
      </c>
      <c r="AR141" s="32">
        <v>95.5</v>
      </c>
      <c r="AS141" s="32">
        <v>102.7</v>
      </c>
      <c r="AT141" s="32">
        <v>98.7</v>
      </c>
      <c r="AU141" s="32">
        <v>104.6</v>
      </c>
      <c r="AV141" s="32">
        <v>107.5</v>
      </c>
      <c r="AW141" s="32">
        <v>157.9</v>
      </c>
      <c r="AX141" s="32">
        <v>125.5</v>
      </c>
      <c r="AY141" s="32">
        <v>283.60000000000002</v>
      </c>
      <c r="AZ141" s="32">
        <v>100.8</v>
      </c>
      <c r="BA141" s="32">
        <v>76.2</v>
      </c>
      <c r="BB141" s="32">
        <v>76.2</v>
      </c>
      <c r="BC141" s="32">
        <v>143.6</v>
      </c>
      <c r="BD141" s="32">
        <v>143.6</v>
      </c>
      <c r="BE141" s="32">
        <v>120.3</v>
      </c>
      <c r="BF141" s="32">
        <v>120.3</v>
      </c>
      <c r="BG141" s="32">
        <v>116.7</v>
      </c>
      <c r="BH141" s="32">
        <v>110.5</v>
      </c>
      <c r="BI141" s="32">
        <v>120.5</v>
      </c>
      <c r="BJ141" s="32">
        <v>47.5</v>
      </c>
      <c r="BK141" s="32">
        <v>160.9</v>
      </c>
      <c r="BL141" s="32">
        <v>74.599999999999994</v>
      </c>
      <c r="BM141" s="32">
        <v>99.5</v>
      </c>
      <c r="BN141" s="32">
        <v>115.7</v>
      </c>
      <c r="BO141" s="32">
        <v>98.5</v>
      </c>
      <c r="BP141" s="32">
        <v>132.5</v>
      </c>
      <c r="BQ141" s="32">
        <v>82.2</v>
      </c>
      <c r="BR141" s="32">
        <v>67.099999999999994</v>
      </c>
      <c r="BS141" s="32">
        <v>136.5</v>
      </c>
      <c r="BT141" s="32">
        <v>70.099999999999994</v>
      </c>
      <c r="BU141" s="32">
        <v>121.5</v>
      </c>
      <c r="BV141" s="32">
        <v>121.5</v>
      </c>
      <c r="BW141" s="32">
        <v>174.7</v>
      </c>
      <c r="BX141" s="32">
        <v>44.3</v>
      </c>
      <c r="BY141" s="32">
        <v>94.1</v>
      </c>
      <c r="BZ141" s="32">
        <v>99.5</v>
      </c>
      <c r="CA141" s="32">
        <v>91.6</v>
      </c>
      <c r="CB141" s="32">
        <v>110.8</v>
      </c>
      <c r="CC141" s="32">
        <v>81</v>
      </c>
      <c r="CD141" s="32">
        <v>15.9</v>
      </c>
      <c r="CE141" s="32">
        <v>90.2</v>
      </c>
      <c r="CF141" s="32">
        <v>82.1</v>
      </c>
      <c r="CG141" s="32">
        <v>101.1</v>
      </c>
      <c r="CH141" s="32">
        <v>102.8</v>
      </c>
      <c r="CI141" s="32">
        <v>119.6</v>
      </c>
      <c r="CJ141" s="32">
        <v>98.2</v>
      </c>
      <c r="CK141" s="32">
        <v>102.9</v>
      </c>
      <c r="CL141" s="32">
        <v>104</v>
      </c>
      <c r="CM141" s="32">
        <v>118.1</v>
      </c>
      <c r="CN141" s="32">
        <v>97.8</v>
      </c>
      <c r="CO141" s="32">
        <v>118</v>
      </c>
      <c r="CP141" s="32">
        <v>166.7</v>
      </c>
      <c r="CQ141" s="32">
        <v>74.900000000000006</v>
      </c>
      <c r="CR141" s="32">
        <v>110.1</v>
      </c>
      <c r="CS141" s="32">
        <v>120.5</v>
      </c>
      <c r="CT141" s="32">
        <v>90.2</v>
      </c>
      <c r="CU141" s="32">
        <v>70.8</v>
      </c>
      <c r="CV141" s="32">
        <v>98.6</v>
      </c>
      <c r="CW141" s="32">
        <v>35.200000000000003</v>
      </c>
      <c r="CX141" s="32">
        <v>98.1</v>
      </c>
      <c r="CY141" s="32">
        <v>105.9</v>
      </c>
      <c r="CZ141" s="32">
        <v>94.3</v>
      </c>
      <c r="DA141" s="32">
        <v>80.8</v>
      </c>
      <c r="DB141" s="32">
        <v>121.3</v>
      </c>
      <c r="DC141" s="32">
        <v>6</v>
      </c>
      <c r="DD141" s="32">
        <v>6</v>
      </c>
      <c r="DE141" s="32">
        <v>68.900000000000006</v>
      </c>
      <c r="DF141" s="32">
        <v>65.8</v>
      </c>
      <c r="DG141" s="32">
        <v>85.6</v>
      </c>
      <c r="DH141" s="32">
        <v>117</v>
      </c>
      <c r="DI141" s="32">
        <v>200.5</v>
      </c>
      <c r="DJ141" s="32">
        <v>80.099999999999994</v>
      </c>
      <c r="DK141" s="32">
        <v>80.099999999999994</v>
      </c>
      <c r="DL141" s="32">
        <v>52.5</v>
      </c>
      <c r="DM141" s="32">
        <v>72.8</v>
      </c>
      <c r="DN141" s="32">
        <v>56.6</v>
      </c>
      <c r="DO141" s="32">
        <v>80.7</v>
      </c>
      <c r="DP141" s="32">
        <v>44.9</v>
      </c>
      <c r="DQ141" s="32">
        <v>74</v>
      </c>
      <c r="DR141" s="32">
        <v>76.8</v>
      </c>
      <c r="DS141" s="32">
        <v>75</v>
      </c>
      <c r="DT141" s="32">
        <v>70.599999999999994</v>
      </c>
      <c r="DU141" s="32">
        <v>71.7</v>
      </c>
      <c r="DV141" s="32">
        <v>81.400000000000006</v>
      </c>
      <c r="DW141" s="32">
        <v>61.6</v>
      </c>
      <c r="DX141" s="32">
        <v>68.5</v>
      </c>
      <c r="DY141" s="32">
        <v>90.7</v>
      </c>
      <c r="DZ141" s="32">
        <v>119.8</v>
      </c>
      <c r="EA141" s="32">
        <v>119.8</v>
      </c>
      <c r="EB141" s="32">
        <v>68.3</v>
      </c>
      <c r="EC141" s="32">
        <v>66.099999999999994</v>
      </c>
      <c r="ED141" s="32">
        <v>71.599999999999994</v>
      </c>
      <c r="EE141" s="32">
        <v>79</v>
      </c>
      <c r="EF141" s="32">
        <v>55.6</v>
      </c>
      <c r="EG141" s="32">
        <v>69.8</v>
      </c>
      <c r="EH141" s="32">
        <v>86.9</v>
      </c>
      <c r="EI141" s="32">
        <v>68.2</v>
      </c>
      <c r="EJ141" s="32">
        <v>96</v>
      </c>
      <c r="EK141" s="32">
        <v>59.5</v>
      </c>
      <c r="EL141" s="32">
        <v>74.400000000000006</v>
      </c>
      <c r="EM141" s="32">
        <v>52.1</v>
      </c>
      <c r="EN141" s="32">
        <v>62.1</v>
      </c>
      <c r="EO141" s="32">
        <v>89.4</v>
      </c>
      <c r="EP141" s="32">
        <v>90.4</v>
      </c>
      <c r="EQ141" s="32">
        <v>90.4</v>
      </c>
      <c r="ER141" s="32">
        <v>83.2</v>
      </c>
      <c r="ES141" s="32">
        <v>83.2</v>
      </c>
      <c r="ET141" s="32">
        <v>96</v>
      </c>
      <c r="EU141" s="32">
        <v>106.9</v>
      </c>
      <c r="EV141" s="32">
        <v>106.9</v>
      </c>
      <c r="EW141" s="32">
        <v>84.7</v>
      </c>
      <c r="EX141" s="32">
        <v>93.2</v>
      </c>
      <c r="EY141" s="32">
        <v>77.900000000000006</v>
      </c>
      <c r="EZ141" s="32">
        <v>98</v>
      </c>
      <c r="FA141" s="32">
        <v>113.3</v>
      </c>
      <c r="FB141" s="32">
        <v>131.19999999999999</v>
      </c>
      <c r="FC141" s="32">
        <v>107</v>
      </c>
      <c r="FD141" s="32">
        <v>116.6</v>
      </c>
      <c r="FE141" s="32">
        <v>183.5</v>
      </c>
      <c r="FF141" s="32">
        <v>93.3</v>
      </c>
      <c r="FG141" s="32">
        <v>86.6</v>
      </c>
      <c r="FH141" s="32">
        <v>85.4</v>
      </c>
      <c r="FI141" s="32">
        <v>94.4</v>
      </c>
      <c r="FJ141" s="32">
        <v>86.1</v>
      </c>
      <c r="FK141" s="32">
        <v>103.7</v>
      </c>
      <c r="FL141" s="32">
        <v>103.7</v>
      </c>
    </row>
    <row r="142" spans="1:168" x14ac:dyDescent="0.2">
      <c r="A142" s="34" t="s">
        <v>1122</v>
      </c>
      <c r="B142" s="32">
        <v>84.8</v>
      </c>
      <c r="C142" s="32">
        <v>100.7</v>
      </c>
      <c r="D142" s="32">
        <v>100.3</v>
      </c>
      <c r="E142" s="32">
        <v>105.6</v>
      </c>
      <c r="F142" s="32">
        <v>215.8</v>
      </c>
      <c r="G142" s="32">
        <v>821.4</v>
      </c>
      <c r="H142" s="32">
        <v>257.39999999999998</v>
      </c>
      <c r="I142" s="32">
        <v>76.400000000000006</v>
      </c>
      <c r="J142" s="32">
        <v>97.5</v>
      </c>
      <c r="K142" s="32">
        <v>96.3</v>
      </c>
      <c r="L142" s="32">
        <v>90.7</v>
      </c>
      <c r="M142" s="32">
        <v>72.400000000000006</v>
      </c>
      <c r="N142" s="32">
        <v>81.7</v>
      </c>
      <c r="O142" s="32">
        <v>118.1</v>
      </c>
      <c r="P142" s="32">
        <v>208.9</v>
      </c>
      <c r="Q142" s="32">
        <v>126.4</v>
      </c>
      <c r="R142" s="32">
        <v>86.5</v>
      </c>
      <c r="S142" s="32">
        <v>118.8</v>
      </c>
      <c r="T142" s="32">
        <v>89.8</v>
      </c>
      <c r="U142" s="32">
        <v>73.7</v>
      </c>
      <c r="V142" s="32">
        <v>134.30000000000001</v>
      </c>
      <c r="W142" s="32">
        <v>51.7</v>
      </c>
      <c r="X142" s="32">
        <v>46.5</v>
      </c>
      <c r="Y142" s="32">
        <v>47.2</v>
      </c>
      <c r="Z142" s="32">
        <v>126.9</v>
      </c>
      <c r="AA142" s="32">
        <v>114.6</v>
      </c>
      <c r="AB142" s="32">
        <v>110.1</v>
      </c>
      <c r="AC142" s="32">
        <v>89.2</v>
      </c>
      <c r="AD142" s="32">
        <v>144.4</v>
      </c>
      <c r="AE142" s="32">
        <v>79.400000000000006</v>
      </c>
      <c r="AF142" s="32">
        <v>79.400000000000006</v>
      </c>
      <c r="AG142" s="32">
        <v>76.400000000000006</v>
      </c>
      <c r="AH142" s="32">
        <v>76.400000000000006</v>
      </c>
      <c r="AI142" s="32">
        <v>102.1</v>
      </c>
      <c r="AJ142" s="32">
        <v>76.900000000000006</v>
      </c>
      <c r="AK142" s="32">
        <v>47.9</v>
      </c>
      <c r="AL142" s="32">
        <v>98.9</v>
      </c>
      <c r="AM142" s="32">
        <v>56.3</v>
      </c>
      <c r="AN142" s="32">
        <v>205.9</v>
      </c>
      <c r="AO142" s="32">
        <v>118.3</v>
      </c>
      <c r="AP142" s="32">
        <v>118.3</v>
      </c>
      <c r="AQ142" s="32">
        <v>93.8</v>
      </c>
      <c r="AR142" s="32">
        <v>92.6</v>
      </c>
      <c r="AS142" s="32">
        <v>97.7</v>
      </c>
      <c r="AT142" s="32">
        <v>94.7</v>
      </c>
      <c r="AU142" s="32">
        <v>98.7</v>
      </c>
      <c r="AV142" s="32">
        <v>104.4</v>
      </c>
      <c r="AW142" s="32">
        <v>149.19999999999999</v>
      </c>
      <c r="AX142" s="32">
        <v>115.7</v>
      </c>
      <c r="AY142" s="32">
        <v>271.39999999999998</v>
      </c>
      <c r="AZ142" s="32">
        <v>98.7</v>
      </c>
      <c r="BA142" s="32">
        <v>80.400000000000006</v>
      </c>
      <c r="BB142" s="32">
        <v>80.400000000000006</v>
      </c>
      <c r="BC142" s="32">
        <v>139.4</v>
      </c>
      <c r="BD142" s="32">
        <v>139.4</v>
      </c>
      <c r="BE142" s="32">
        <v>116.8</v>
      </c>
      <c r="BF142" s="32">
        <v>116.8</v>
      </c>
      <c r="BG142" s="32">
        <v>118.1</v>
      </c>
      <c r="BH142" s="32">
        <v>111</v>
      </c>
      <c r="BI142" s="32">
        <v>123</v>
      </c>
      <c r="BJ142" s="32">
        <v>48</v>
      </c>
      <c r="BK142" s="32">
        <v>164.2</v>
      </c>
      <c r="BL142" s="32">
        <v>78.2</v>
      </c>
      <c r="BM142" s="32">
        <v>95.9</v>
      </c>
      <c r="BN142" s="32">
        <v>113.3</v>
      </c>
      <c r="BO142" s="32">
        <v>99.1</v>
      </c>
      <c r="BP142" s="32">
        <v>126.6</v>
      </c>
      <c r="BQ142" s="32">
        <v>77.2</v>
      </c>
      <c r="BR142" s="32">
        <v>74.099999999999994</v>
      </c>
      <c r="BS142" s="32">
        <v>111.5</v>
      </c>
      <c r="BT142" s="32">
        <v>67.2</v>
      </c>
      <c r="BU142" s="32">
        <v>110.8</v>
      </c>
      <c r="BV142" s="32">
        <v>110.8</v>
      </c>
      <c r="BW142" s="32">
        <v>165.3</v>
      </c>
      <c r="BX142" s="32">
        <v>35.6</v>
      </c>
      <c r="BY142" s="32">
        <v>92.1</v>
      </c>
      <c r="BZ142" s="32">
        <v>100.3</v>
      </c>
      <c r="CA142" s="32">
        <v>88.2</v>
      </c>
      <c r="CB142" s="32">
        <v>105</v>
      </c>
      <c r="CC142" s="32">
        <v>79.599999999999994</v>
      </c>
      <c r="CD142" s="32">
        <v>14.8</v>
      </c>
      <c r="CE142" s="32">
        <v>89.4</v>
      </c>
      <c r="CF142" s="32">
        <v>81.400000000000006</v>
      </c>
      <c r="CG142" s="32">
        <v>99.7</v>
      </c>
      <c r="CH142" s="32">
        <v>101.3</v>
      </c>
      <c r="CI142" s="32">
        <v>115.9</v>
      </c>
      <c r="CJ142" s="32">
        <v>93.4</v>
      </c>
      <c r="CK142" s="32">
        <v>104.9</v>
      </c>
      <c r="CL142" s="32">
        <v>101.4</v>
      </c>
      <c r="CM142" s="32">
        <v>116.2</v>
      </c>
      <c r="CN142" s="32">
        <v>99.6</v>
      </c>
      <c r="CO142" s="32">
        <v>115.4</v>
      </c>
      <c r="CP142" s="32">
        <v>160.1</v>
      </c>
      <c r="CQ142" s="32">
        <v>70.2</v>
      </c>
      <c r="CR142" s="32">
        <v>107</v>
      </c>
      <c r="CS142" s="32">
        <v>117.9</v>
      </c>
      <c r="CT142" s="32">
        <v>90.8</v>
      </c>
      <c r="CU142" s="32">
        <v>70</v>
      </c>
      <c r="CV142" s="32">
        <v>99.9</v>
      </c>
      <c r="CW142" s="32">
        <v>34.9</v>
      </c>
      <c r="CX142" s="32">
        <v>94.2</v>
      </c>
      <c r="CY142" s="32">
        <v>102.4</v>
      </c>
      <c r="CZ142" s="32">
        <v>90.1</v>
      </c>
      <c r="DA142" s="32">
        <v>75.099999999999994</v>
      </c>
      <c r="DB142" s="32">
        <v>120.6</v>
      </c>
      <c r="DC142" s="32">
        <v>6.1</v>
      </c>
      <c r="DD142" s="32">
        <v>6.1</v>
      </c>
      <c r="DE142" s="32">
        <v>68.7</v>
      </c>
      <c r="DF142" s="32">
        <v>66.400000000000006</v>
      </c>
      <c r="DG142" s="32">
        <v>81.3</v>
      </c>
      <c r="DH142" s="32">
        <v>116.9</v>
      </c>
      <c r="DI142" s="32">
        <v>201.5</v>
      </c>
      <c r="DJ142" s="32">
        <v>79.7</v>
      </c>
      <c r="DK142" s="32">
        <v>79.7</v>
      </c>
      <c r="DL142" s="32">
        <v>51.9</v>
      </c>
      <c r="DM142" s="32">
        <v>72.599999999999994</v>
      </c>
      <c r="DN142" s="32">
        <v>56.4</v>
      </c>
      <c r="DO142" s="32">
        <v>80.7</v>
      </c>
      <c r="DP142" s="32">
        <v>43.1</v>
      </c>
      <c r="DQ142" s="32">
        <v>73</v>
      </c>
      <c r="DR142" s="32">
        <v>75.599999999999994</v>
      </c>
      <c r="DS142" s="32">
        <v>74</v>
      </c>
      <c r="DT142" s="32">
        <v>68.599999999999994</v>
      </c>
      <c r="DU142" s="32">
        <v>69.599999999999994</v>
      </c>
      <c r="DV142" s="32">
        <v>79.2</v>
      </c>
      <c r="DW142" s="32">
        <v>59.7</v>
      </c>
      <c r="DX142" s="32">
        <v>66.599999999999994</v>
      </c>
      <c r="DY142" s="32">
        <v>93</v>
      </c>
      <c r="DZ142" s="32">
        <v>116.1</v>
      </c>
      <c r="EA142" s="32">
        <v>116.1</v>
      </c>
      <c r="EB142" s="32">
        <v>67.400000000000006</v>
      </c>
      <c r="EC142" s="32">
        <v>65.2</v>
      </c>
      <c r="ED142" s="32">
        <v>70.7</v>
      </c>
      <c r="EE142" s="32">
        <v>77.7</v>
      </c>
      <c r="EF142" s="32">
        <v>55.4</v>
      </c>
      <c r="EG142" s="32">
        <v>69.099999999999994</v>
      </c>
      <c r="EH142" s="32">
        <v>82.7</v>
      </c>
      <c r="EI142" s="32">
        <v>68.5</v>
      </c>
      <c r="EJ142" s="32">
        <v>97.4</v>
      </c>
      <c r="EK142" s="32">
        <v>59.2</v>
      </c>
      <c r="EL142" s="32">
        <v>74.599999999999994</v>
      </c>
      <c r="EM142" s="32">
        <v>51.7</v>
      </c>
      <c r="EN142" s="32">
        <v>61.7</v>
      </c>
      <c r="EO142" s="32">
        <v>88.7</v>
      </c>
      <c r="EP142" s="32">
        <v>89.7</v>
      </c>
      <c r="EQ142" s="32">
        <v>89.7</v>
      </c>
      <c r="ER142" s="32">
        <v>81.400000000000006</v>
      </c>
      <c r="ES142" s="32">
        <v>81.400000000000006</v>
      </c>
      <c r="ET142" s="32">
        <v>96.4</v>
      </c>
      <c r="EU142" s="32">
        <v>107.1</v>
      </c>
      <c r="EV142" s="32">
        <v>107.1</v>
      </c>
      <c r="EW142" s="32">
        <v>85.3</v>
      </c>
      <c r="EX142" s="32">
        <v>93.6</v>
      </c>
      <c r="EY142" s="32">
        <v>78.7</v>
      </c>
      <c r="EZ142" s="32">
        <v>94.7</v>
      </c>
      <c r="FA142" s="32">
        <v>107.7</v>
      </c>
      <c r="FB142" s="32">
        <v>120.7</v>
      </c>
      <c r="FC142" s="32">
        <v>89.8</v>
      </c>
      <c r="FD142" s="32">
        <v>116.2</v>
      </c>
      <c r="FE142" s="32">
        <v>180.2</v>
      </c>
      <c r="FF142" s="32">
        <v>93.1</v>
      </c>
      <c r="FG142" s="32">
        <v>84.1</v>
      </c>
      <c r="FH142" s="32">
        <v>82.7</v>
      </c>
      <c r="FI142" s="32">
        <v>92.7</v>
      </c>
      <c r="FJ142" s="32">
        <v>83.6</v>
      </c>
      <c r="FK142" s="32">
        <v>112.5</v>
      </c>
      <c r="FL142" s="32">
        <v>112.5</v>
      </c>
    </row>
    <row r="143" spans="1:168" x14ac:dyDescent="0.2">
      <c r="A143" s="34" t="s">
        <v>1123</v>
      </c>
      <c r="B143" s="32">
        <v>84.6</v>
      </c>
      <c r="C143" s="32">
        <v>101</v>
      </c>
      <c r="D143" s="32">
        <v>99.7</v>
      </c>
      <c r="E143" s="32">
        <v>105.1</v>
      </c>
      <c r="F143" s="32">
        <v>215.4</v>
      </c>
      <c r="G143" s="32">
        <v>1490.5</v>
      </c>
      <c r="H143" s="32">
        <v>256.10000000000002</v>
      </c>
      <c r="I143" s="32">
        <v>76.900000000000006</v>
      </c>
      <c r="J143" s="32">
        <v>96.6</v>
      </c>
      <c r="K143" s="32">
        <v>94.7</v>
      </c>
      <c r="L143" s="32">
        <v>90.6</v>
      </c>
      <c r="M143" s="32">
        <v>72.2</v>
      </c>
      <c r="N143" s="32">
        <v>78.3</v>
      </c>
      <c r="O143" s="32">
        <v>117.3</v>
      </c>
      <c r="P143" s="32">
        <v>206.6</v>
      </c>
      <c r="Q143" s="32">
        <v>132.80000000000001</v>
      </c>
      <c r="R143" s="32">
        <v>87.7</v>
      </c>
      <c r="S143" s="32">
        <v>118.1</v>
      </c>
      <c r="T143" s="32">
        <v>91</v>
      </c>
      <c r="U143" s="32">
        <v>64.8</v>
      </c>
      <c r="V143" s="32">
        <v>127.9</v>
      </c>
      <c r="W143" s="32">
        <v>51.7</v>
      </c>
      <c r="X143" s="32">
        <v>47.5</v>
      </c>
      <c r="Y143" s="32">
        <v>45.4</v>
      </c>
      <c r="Z143" s="32">
        <v>124.5</v>
      </c>
      <c r="AA143" s="32">
        <v>110.3</v>
      </c>
      <c r="AB143" s="32">
        <v>101.2</v>
      </c>
      <c r="AC143" s="32">
        <v>84.6</v>
      </c>
      <c r="AD143" s="32">
        <v>142.4</v>
      </c>
      <c r="AE143" s="32">
        <v>87.5</v>
      </c>
      <c r="AF143" s="32">
        <v>87.5</v>
      </c>
      <c r="AG143" s="32">
        <v>75.7</v>
      </c>
      <c r="AH143" s="32">
        <v>75.7</v>
      </c>
      <c r="AI143" s="32">
        <v>99.1</v>
      </c>
      <c r="AJ143" s="32">
        <v>77.5</v>
      </c>
      <c r="AK143" s="32">
        <v>53.7</v>
      </c>
      <c r="AL143" s="32">
        <v>103.6</v>
      </c>
      <c r="AM143" s="32">
        <v>53.5</v>
      </c>
      <c r="AN143" s="32">
        <v>201.4</v>
      </c>
      <c r="AO143" s="32">
        <v>117</v>
      </c>
      <c r="AP143" s="32">
        <v>117</v>
      </c>
      <c r="AQ143" s="32">
        <v>94.1</v>
      </c>
      <c r="AR143" s="32">
        <v>92.5</v>
      </c>
      <c r="AS143" s="32">
        <v>98.6</v>
      </c>
      <c r="AT143" s="32">
        <v>93.6</v>
      </c>
      <c r="AU143" s="32">
        <v>101.6</v>
      </c>
      <c r="AV143" s="32">
        <v>105.3</v>
      </c>
      <c r="AW143" s="32">
        <v>153.69999999999999</v>
      </c>
      <c r="AX143" s="32">
        <v>121.2</v>
      </c>
      <c r="AY143" s="32">
        <v>277.7</v>
      </c>
      <c r="AZ143" s="32">
        <v>99</v>
      </c>
      <c r="BA143" s="32">
        <v>79</v>
      </c>
      <c r="BB143" s="32">
        <v>79</v>
      </c>
      <c r="BC143" s="32">
        <v>143.30000000000001</v>
      </c>
      <c r="BD143" s="32">
        <v>143.30000000000001</v>
      </c>
      <c r="BE143" s="32">
        <v>114.1</v>
      </c>
      <c r="BF143" s="32">
        <v>114.1</v>
      </c>
      <c r="BG143" s="32">
        <v>117.3</v>
      </c>
      <c r="BH143" s="32">
        <v>109.8</v>
      </c>
      <c r="BI143" s="32">
        <v>122.5</v>
      </c>
      <c r="BJ143" s="32">
        <v>48.6</v>
      </c>
      <c r="BK143" s="32">
        <v>162.30000000000001</v>
      </c>
      <c r="BL143" s="32">
        <v>81.3</v>
      </c>
      <c r="BM143" s="32">
        <v>95.8</v>
      </c>
      <c r="BN143" s="32">
        <v>111.8</v>
      </c>
      <c r="BO143" s="32">
        <v>95.3</v>
      </c>
      <c r="BP143" s="32">
        <v>127.8</v>
      </c>
      <c r="BQ143" s="32">
        <v>78.599999999999994</v>
      </c>
      <c r="BR143" s="32">
        <v>80.5</v>
      </c>
      <c r="BS143" s="32">
        <v>107.6</v>
      </c>
      <c r="BT143" s="32">
        <v>68.8</v>
      </c>
      <c r="BU143" s="32">
        <v>112.2</v>
      </c>
      <c r="BV143" s="32">
        <v>112.2</v>
      </c>
      <c r="BW143" s="32">
        <v>164.7</v>
      </c>
      <c r="BX143" s="32">
        <v>38.200000000000003</v>
      </c>
      <c r="BY143" s="32">
        <v>93.4</v>
      </c>
      <c r="BZ143" s="32">
        <v>97</v>
      </c>
      <c r="CA143" s="32">
        <v>91.7</v>
      </c>
      <c r="CB143" s="32">
        <v>107.4</v>
      </c>
      <c r="CC143" s="32">
        <v>84.2</v>
      </c>
      <c r="CD143" s="32">
        <v>14.7</v>
      </c>
      <c r="CE143" s="32">
        <v>88.5</v>
      </c>
      <c r="CF143" s="32">
        <v>81.3</v>
      </c>
      <c r="CG143" s="32">
        <v>98.8</v>
      </c>
      <c r="CH143" s="32">
        <v>100.1</v>
      </c>
      <c r="CI143" s="32">
        <v>113.4</v>
      </c>
      <c r="CJ143" s="32">
        <v>96.5</v>
      </c>
      <c r="CK143" s="32">
        <v>100.5</v>
      </c>
      <c r="CL143" s="32">
        <v>101</v>
      </c>
      <c r="CM143" s="32">
        <v>114</v>
      </c>
      <c r="CN143" s="32">
        <v>100.2</v>
      </c>
      <c r="CO143" s="32">
        <v>112.7</v>
      </c>
      <c r="CP143" s="32">
        <v>158.6</v>
      </c>
      <c r="CQ143" s="32">
        <v>72.099999999999994</v>
      </c>
      <c r="CR143" s="32">
        <v>106.7</v>
      </c>
      <c r="CS143" s="32">
        <v>120.9</v>
      </c>
      <c r="CT143" s="32">
        <v>90</v>
      </c>
      <c r="CU143" s="32">
        <v>68.7</v>
      </c>
      <c r="CV143" s="32">
        <v>99.3</v>
      </c>
      <c r="CW143" s="32">
        <v>35.200000000000003</v>
      </c>
      <c r="CX143" s="32">
        <v>96.9</v>
      </c>
      <c r="CY143" s="32">
        <v>104.6</v>
      </c>
      <c r="CZ143" s="32">
        <v>93.1</v>
      </c>
      <c r="DA143" s="32">
        <v>78.7</v>
      </c>
      <c r="DB143" s="32">
        <v>122.2</v>
      </c>
      <c r="DC143" s="32">
        <v>6.3</v>
      </c>
      <c r="DD143" s="32">
        <v>6.3</v>
      </c>
      <c r="DE143" s="32">
        <v>66.900000000000006</v>
      </c>
      <c r="DF143" s="32">
        <v>64.8</v>
      </c>
      <c r="DG143" s="32">
        <v>78.099999999999994</v>
      </c>
      <c r="DH143" s="32">
        <v>119.2</v>
      </c>
      <c r="DI143" s="32">
        <v>206.1</v>
      </c>
      <c r="DJ143" s="32">
        <v>79.099999999999994</v>
      </c>
      <c r="DK143" s="32">
        <v>79.099999999999994</v>
      </c>
      <c r="DL143" s="32">
        <v>54.3</v>
      </c>
      <c r="DM143" s="32">
        <v>73.099999999999994</v>
      </c>
      <c r="DN143" s="32">
        <v>58</v>
      </c>
      <c r="DO143" s="32">
        <v>80.8</v>
      </c>
      <c r="DP143" s="32">
        <v>43.3</v>
      </c>
      <c r="DQ143" s="32">
        <v>71.8</v>
      </c>
      <c r="DR143" s="32">
        <v>74.599999999999994</v>
      </c>
      <c r="DS143" s="32">
        <v>73.599999999999994</v>
      </c>
      <c r="DT143" s="32">
        <v>68.5</v>
      </c>
      <c r="DU143" s="32">
        <v>70.099999999999994</v>
      </c>
      <c r="DV143" s="32">
        <v>82.2</v>
      </c>
      <c r="DW143" s="32">
        <v>58</v>
      </c>
      <c r="DX143" s="32">
        <v>65.400000000000006</v>
      </c>
      <c r="DY143" s="32">
        <v>91.5</v>
      </c>
      <c r="DZ143" s="32">
        <v>108.1</v>
      </c>
      <c r="EA143" s="32">
        <v>108.1</v>
      </c>
      <c r="EB143" s="32">
        <v>67.2</v>
      </c>
      <c r="EC143" s="32">
        <v>65.5</v>
      </c>
      <c r="ED143" s="32">
        <v>69.8</v>
      </c>
      <c r="EE143" s="32">
        <v>76.400000000000006</v>
      </c>
      <c r="EF143" s="32">
        <v>55.5</v>
      </c>
      <c r="EG143" s="32">
        <v>67.5</v>
      </c>
      <c r="EH143" s="32">
        <v>80.5</v>
      </c>
      <c r="EI143" s="32">
        <v>67.099999999999994</v>
      </c>
      <c r="EJ143" s="32">
        <v>85.1</v>
      </c>
      <c r="EK143" s="32">
        <v>59.4</v>
      </c>
      <c r="EL143" s="32">
        <v>72.8</v>
      </c>
      <c r="EM143" s="32">
        <v>53.1</v>
      </c>
      <c r="EN143" s="32">
        <v>61.5</v>
      </c>
      <c r="EO143" s="32">
        <v>88.7</v>
      </c>
      <c r="EP143" s="32">
        <v>89.4</v>
      </c>
      <c r="EQ143" s="32">
        <v>89.4</v>
      </c>
      <c r="ER143" s="32">
        <v>81.8</v>
      </c>
      <c r="ES143" s="32">
        <v>81.8</v>
      </c>
      <c r="ET143" s="32">
        <v>96.2</v>
      </c>
      <c r="EU143" s="32">
        <v>106.9</v>
      </c>
      <c r="EV143" s="32">
        <v>106.9</v>
      </c>
      <c r="EW143" s="32">
        <v>85.4</v>
      </c>
      <c r="EX143" s="32">
        <v>93.8</v>
      </c>
      <c r="EY143" s="32">
        <v>78.7</v>
      </c>
      <c r="EZ143" s="32">
        <v>94</v>
      </c>
      <c r="FA143" s="32">
        <v>105.4</v>
      </c>
      <c r="FB143" s="32">
        <v>114.1</v>
      </c>
      <c r="FC143" s="32">
        <v>80.900000000000006</v>
      </c>
      <c r="FD143" s="32">
        <v>115.5</v>
      </c>
      <c r="FE143" s="32">
        <v>174.4</v>
      </c>
      <c r="FF143" s="32">
        <v>95.7</v>
      </c>
      <c r="FG143" s="32">
        <v>83.9</v>
      </c>
      <c r="FH143" s="32">
        <v>78.7</v>
      </c>
      <c r="FI143" s="32">
        <v>88</v>
      </c>
      <c r="FJ143" s="32">
        <v>85.6</v>
      </c>
      <c r="FK143" s="32">
        <v>122.3</v>
      </c>
      <c r="FL143" s="32">
        <v>122.3</v>
      </c>
    </row>
    <row r="144" spans="1:168" x14ac:dyDescent="0.2">
      <c r="A144" s="34" t="s">
        <v>1124</v>
      </c>
      <c r="B144" s="32">
        <v>84.2</v>
      </c>
      <c r="C144" s="32">
        <v>101.9</v>
      </c>
      <c r="D144" s="32">
        <v>100</v>
      </c>
      <c r="E144" s="32">
        <v>105.9</v>
      </c>
      <c r="F144" s="32">
        <v>206.4</v>
      </c>
      <c r="G144" s="32">
        <v>2256.9</v>
      </c>
      <c r="H144" s="32">
        <v>242.1</v>
      </c>
      <c r="I144" s="32">
        <v>77.900000000000006</v>
      </c>
      <c r="J144" s="32">
        <v>97.5</v>
      </c>
      <c r="K144" s="32">
        <v>94.1</v>
      </c>
      <c r="L144" s="32">
        <v>90.9</v>
      </c>
      <c r="M144" s="32">
        <v>73.5</v>
      </c>
      <c r="N144" s="32">
        <v>78.900000000000006</v>
      </c>
      <c r="O144" s="32">
        <v>143.80000000000001</v>
      </c>
      <c r="P144" s="32">
        <v>212.4</v>
      </c>
      <c r="Q144" s="32">
        <v>129.1</v>
      </c>
      <c r="R144" s="32">
        <v>86.7</v>
      </c>
      <c r="S144" s="32">
        <v>118.5</v>
      </c>
      <c r="T144" s="32">
        <v>89.5</v>
      </c>
      <c r="U144" s="32">
        <v>60.7</v>
      </c>
      <c r="V144" s="32">
        <v>124.3</v>
      </c>
      <c r="W144" s="32">
        <v>52</v>
      </c>
      <c r="X144" s="32">
        <v>48.1</v>
      </c>
      <c r="Y144" s="32">
        <v>45.9</v>
      </c>
      <c r="Z144" s="32">
        <v>115.5</v>
      </c>
      <c r="AA144" s="32">
        <v>109.9</v>
      </c>
      <c r="AB144" s="32">
        <v>102.9</v>
      </c>
      <c r="AC144" s="32">
        <v>86.9</v>
      </c>
      <c r="AD144" s="32">
        <v>139</v>
      </c>
      <c r="AE144" s="32">
        <v>84.5</v>
      </c>
      <c r="AF144" s="32">
        <v>84.5</v>
      </c>
      <c r="AG144" s="32">
        <v>80.2</v>
      </c>
      <c r="AH144" s="32">
        <v>80.2</v>
      </c>
      <c r="AI144" s="32">
        <v>94.7</v>
      </c>
      <c r="AJ144" s="32">
        <v>89.6</v>
      </c>
      <c r="AK144" s="32">
        <v>62.1</v>
      </c>
      <c r="AL144" s="32">
        <v>97.8</v>
      </c>
      <c r="AM144" s="32">
        <v>57.1</v>
      </c>
      <c r="AN144" s="32">
        <v>192.2</v>
      </c>
      <c r="AO144" s="32">
        <v>119.3</v>
      </c>
      <c r="AP144" s="32">
        <v>119.3</v>
      </c>
      <c r="AQ144" s="32">
        <v>91.5</v>
      </c>
      <c r="AR144" s="32">
        <v>92.1</v>
      </c>
      <c r="AS144" s="32">
        <v>92.9</v>
      </c>
      <c r="AT144" s="32">
        <v>88.8</v>
      </c>
      <c r="AU144" s="32">
        <v>95</v>
      </c>
      <c r="AV144" s="32">
        <v>107.2</v>
      </c>
      <c r="AW144" s="32">
        <v>154.4</v>
      </c>
      <c r="AX144" s="32">
        <v>134.30000000000001</v>
      </c>
      <c r="AY144" s="32">
        <v>266.60000000000002</v>
      </c>
      <c r="AZ144" s="32">
        <v>101.2</v>
      </c>
      <c r="BA144" s="32">
        <v>79</v>
      </c>
      <c r="BB144" s="32">
        <v>79</v>
      </c>
      <c r="BC144" s="32">
        <v>143.6</v>
      </c>
      <c r="BD144" s="32">
        <v>143.6</v>
      </c>
      <c r="BE144" s="32">
        <v>113.8</v>
      </c>
      <c r="BF144" s="32">
        <v>113.8</v>
      </c>
      <c r="BG144" s="32">
        <v>121.2</v>
      </c>
      <c r="BH144" s="32">
        <v>115.4</v>
      </c>
      <c r="BI144" s="32">
        <v>124.3</v>
      </c>
      <c r="BJ144" s="32">
        <v>49.6</v>
      </c>
      <c r="BK144" s="32">
        <v>164.2</v>
      </c>
      <c r="BL144" s="32">
        <v>84</v>
      </c>
      <c r="BM144" s="32">
        <v>97.4</v>
      </c>
      <c r="BN144" s="32">
        <v>112.1</v>
      </c>
      <c r="BO144" s="32">
        <v>92.6</v>
      </c>
      <c r="BP144" s="32">
        <v>131.6</v>
      </c>
      <c r="BQ144" s="32">
        <v>81.900000000000006</v>
      </c>
      <c r="BR144" s="32">
        <v>65.5</v>
      </c>
      <c r="BS144" s="32">
        <v>124.3</v>
      </c>
      <c r="BT144" s="32">
        <v>71.900000000000006</v>
      </c>
      <c r="BU144" s="32">
        <v>115</v>
      </c>
      <c r="BV144" s="32">
        <v>115</v>
      </c>
      <c r="BW144" s="32">
        <v>166.2</v>
      </c>
      <c r="BX144" s="32">
        <v>41.2</v>
      </c>
      <c r="BY144" s="32">
        <v>96.6</v>
      </c>
      <c r="BZ144" s="32">
        <v>99.1</v>
      </c>
      <c r="CA144" s="32">
        <v>95.5</v>
      </c>
      <c r="CB144" s="32">
        <v>110.4</v>
      </c>
      <c r="CC144" s="32">
        <v>88.9</v>
      </c>
      <c r="CD144" s="32">
        <v>15.3</v>
      </c>
      <c r="CE144" s="32">
        <v>87.6</v>
      </c>
      <c r="CF144" s="32">
        <v>80.7</v>
      </c>
      <c r="CG144" s="32">
        <v>96.9</v>
      </c>
      <c r="CH144" s="32">
        <v>98</v>
      </c>
      <c r="CI144" s="32">
        <v>105.8</v>
      </c>
      <c r="CJ144" s="32">
        <v>94.4</v>
      </c>
      <c r="CK144" s="32">
        <v>99.9</v>
      </c>
      <c r="CL144" s="32">
        <v>99.1</v>
      </c>
      <c r="CM144" s="32">
        <v>112</v>
      </c>
      <c r="CN144" s="32">
        <v>99.7</v>
      </c>
      <c r="CO144" s="32">
        <v>110.6</v>
      </c>
      <c r="CP144" s="32">
        <v>160.30000000000001</v>
      </c>
      <c r="CQ144" s="32">
        <v>67.2</v>
      </c>
      <c r="CR144" s="32">
        <v>103</v>
      </c>
      <c r="CS144" s="32">
        <v>121.6</v>
      </c>
      <c r="CT144" s="32">
        <v>89.1</v>
      </c>
      <c r="CU144" s="32">
        <v>67.5</v>
      </c>
      <c r="CV144" s="32">
        <v>98.5</v>
      </c>
      <c r="CW144" s="32">
        <v>35.299999999999997</v>
      </c>
      <c r="CX144" s="32">
        <v>94.4</v>
      </c>
      <c r="CY144" s="32">
        <v>101.1</v>
      </c>
      <c r="CZ144" s="32">
        <v>91.2</v>
      </c>
      <c r="DA144" s="32">
        <v>75.900000000000006</v>
      </c>
      <c r="DB144" s="32">
        <v>122.7</v>
      </c>
      <c r="DC144" s="32">
        <v>6.5</v>
      </c>
      <c r="DD144" s="32">
        <v>6.5</v>
      </c>
      <c r="DE144" s="32">
        <v>67.2</v>
      </c>
      <c r="DF144" s="32">
        <v>64.8</v>
      </c>
      <c r="DG144" s="32">
        <v>80.3</v>
      </c>
      <c r="DH144" s="32">
        <v>116.4</v>
      </c>
      <c r="DI144" s="32">
        <v>199.4</v>
      </c>
      <c r="DJ144" s="32">
        <v>77.900000000000006</v>
      </c>
      <c r="DK144" s="32">
        <v>77.900000000000006</v>
      </c>
      <c r="DL144" s="32">
        <v>54.1</v>
      </c>
      <c r="DM144" s="32">
        <v>72.7</v>
      </c>
      <c r="DN144" s="32">
        <v>57.7</v>
      </c>
      <c r="DO144" s="32">
        <v>80.5</v>
      </c>
      <c r="DP144" s="32">
        <v>41.2</v>
      </c>
      <c r="DQ144" s="32">
        <v>71.900000000000006</v>
      </c>
      <c r="DR144" s="32">
        <v>74.099999999999994</v>
      </c>
      <c r="DS144" s="32">
        <v>73</v>
      </c>
      <c r="DT144" s="32">
        <v>68.5</v>
      </c>
      <c r="DU144" s="32">
        <v>68.8</v>
      </c>
      <c r="DV144" s="32">
        <v>81.3</v>
      </c>
      <c r="DW144" s="32">
        <v>56.3</v>
      </c>
      <c r="DX144" s="32">
        <v>68.2</v>
      </c>
      <c r="DY144" s="32">
        <v>89</v>
      </c>
      <c r="DZ144" s="32">
        <v>111</v>
      </c>
      <c r="EA144" s="32">
        <v>111</v>
      </c>
      <c r="EB144" s="32">
        <v>65.599999999999994</v>
      </c>
      <c r="EC144" s="32">
        <v>64.599999999999994</v>
      </c>
      <c r="ED144" s="32">
        <v>67.3</v>
      </c>
      <c r="EE144" s="32">
        <v>73.2</v>
      </c>
      <c r="EF144" s="32">
        <v>54.5</v>
      </c>
      <c r="EG144" s="32">
        <v>68.5</v>
      </c>
      <c r="EH144" s="32">
        <v>87.4</v>
      </c>
      <c r="EI144" s="32">
        <v>67.3</v>
      </c>
      <c r="EJ144" s="32">
        <v>89.3</v>
      </c>
      <c r="EK144" s="32">
        <v>57.9</v>
      </c>
      <c r="EL144" s="32">
        <v>70.900000000000006</v>
      </c>
      <c r="EM144" s="32">
        <v>52.6</v>
      </c>
      <c r="EN144" s="32">
        <v>59.3</v>
      </c>
      <c r="EO144" s="32">
        <v>88.5</v>
      </c>
      <c r="EP144" s="32">
        <v>89.3</v>
      </c>
      <c r="EQ144" s="32">
        <v>89.3</v>
      </c>
      <c r="ER144" s="32">
        <v>82</v>
      </c>
      <c r="ES144" s="32">
        <v>82</v>
      </c>
      <c r="ET144" s="32">
        <v>95.7</v>
      </c>
      <c r="EU144" s="32">
        <v>106.1</v>
      </c>
      <c r="EV144" s="32">
        <v>106.1</v>
      </c>
      <c r="EW144" s="32">
        <v>85</v>
      </c>
      <c r="EX144" s="32">
        <v>93.9</v>
      </c>
      <c r="EY144" s="32">
        <v>78</v>
      </c>
      <c r="EZ144" s="32">
        <v>95.2</v>
      </c>
      <c r="FA144" s="32">
        <v>108.4</v>
      </c>
      <c r="FB144" s="32">
        <v>120.5</v>
      </c>
      <c r="FC144" s="32">
        <v>95.4</v>
      </c>
      <c r="FD144" s="32">
        <v>117</v>
      </c>
      <c r="FE144" s="32">
        <v>167.9</v>
      </c>
      <c r="FF144" s="32">
        <v>95</v>
      </c>
      <c r="FG144" s="32">
        <v>84.5</v>
      </c>
      <c r="FH144" s="32">
        <v>80.599999999999994</v>
      </c>
      <c r="FI144" s="32">
        <v>89.6</v>
      </c>
      <c r="FJ144" s="32">
        <v>85.5</v>
      </c>
      <c r="FK144" s="32">
        <v>111.9</v>
      </c>
      <c r="FL144" s="32">
        <v>111.9</v>
      </c>
    </row>
    <row r="145" spans="1:168" x14ac:dyDescent="0.2">
      <c r="A145" s="34" t="s">
        <v>1125</v>
      </c>
      <c r="B145" s="32">
        <v>83.9</v>
      </c>
      <c r="C145" s="32">
        <v>102.4</v>
      </c>
      <c r="D145" s="32">
        <v>99.2</v>
      </c>
      <c r="E145" s="32">
        <v>105.4</v>
      </c>
      <c r="F145" s="32">
        <v>207.9</v>
      </c>
      <c r="G145" s="32">
        <v>4261.8999999999996</v>
      </c>
      <c r="H145" s="32">
        <v>243.3</v>
      </c>
      <c r="I145" s="32">
        <v>76.2</v>
      </c>
      <c r="J145" s="32">
        <v>96.1</v>
      </c>
      <c r="K145" s="32">
        <v>95.4</v>
      </c>
      <c r="L145" s="32">
        <v>90.3</v>
      </c>
      <c r="M145" s="32">
        <v>73.900000000000006</v>
      </c>
      <c r="N145" s="32">
        <v>79</v>
      </c>
      <c r="O145" s="32">
        <v>147.6</v>
      </c>
      <c r="P145" s="32">
        <v>223.9</v>
      </c>
      <c r="Q145" s="32">
        <v>138.4</v>
      </c>
      <c r="R145" s="32">
        <v>85.6</v>
      </c>
      <c r="S145" s="32">
        <v>114.1</v>
      </c>
      <c r="T145" s="32">
        <v>90.8</v>
      </c>
      <c r="U145" s="32">
        <v>66.099999999999994</v>
      </c>
      <c r="V145" s="32">
        <v>133.19999999999999</v>
      </c>
      <c r="W145" s="32">
        <v>52.3</v>
      </c>
      <c r="X145" s="32">
        <v>47.1</v>
      </c>
      <c r="Y145" s="32">
        <v>48.9</v>
      </c>
      <c r="Z145" s="32">
        <v>116.6</v>
      </c>
      <c r="AA145" s="32">
        <v>108.6</v>
      </c>
      <c r="AB145" s="32">
        <v>101.9</v>
      </c>
      <c r="AC145" s="32">
        <v>86.4</v>
      </c>
      <c r="AD145" s="32">
        <v>136.9</v>
      </c>
      <c r="AE145" s="32">
        <v>87.7</v>
      </c>
      <c r="AF145" s="32">
        <v>87.7</v>
      </c>
      <c r="AG145" s="32">
        <v>79.099999999999994</v>
      </c>
      <c r="AH145" s="32">
        <v>79.099999999999994</v>
      </c>
      <c r="AI145" s="32">
        <v>90.2</v>
      </c>
      <c r="AJ145" s="32">
        <v>89.8</v>
      </c>
      <c r="AK145" s="32">
        <v>69.5</v>
      </c>
      <c r="AL145" s="32">
        <v>100.8</v>
      </c>
      <c r="AM145" s="32">
        <v>55.8</v>
      </c>
      <c r="AN145" s="32">
        <v>179.8</v>
      </c>
      <c r="AO145" s="32">
        <v>114.9</v>
      </c>
      <c r="AP145" s="32">
        <v>114.9</v>
      </c>
      <c r="AQ145" s="32">
        <v>89.4</v>
      </c>
      <c r="AR145" s="32">
        <v>90.7</v>
      </c>
      <c r="AS145" s="32">
        <v>89.8</v>
      </c>
      <c r="AT145" s="32">
        <v>84.3</v>
      </c>
      <c r="AU145" s="32">
        <v>93.4</v>
      </c>
      <c r="AV145" s="32">
        <v>103.2</v>
      </c>
      <c r="AW145" s="32">
        <v>144.1</v>
      </c>
      <c r="AX145" s="32">
        <v>117.9</v>
      </c>
      <c r="AY145" s="32">
        <v>256.5</v>
      </c>
      <c r="AZ145" s="32">
        <v>98.3</v>
      </c>
      <c r="BA145" s="32">
        <v>80.599999999999994</v>
      </c>
      <c r="BB145" s="32">
        <v>80.599999999999994</v>
      </c>
      <c r="BC145" s="32">
        <v>146.69999999999999</v>
      </c>
      <c r="BD145" s="32">
        <v>146.69999999999999</v>
      </c>
      <c r="BE145" s="32">
        <v>110.9</v>
      </c>
      <c r="BF145" s="32">
        <v>110.9</v>
      </c>
      <c r="BG145" s="32">
        <v>117.1</v>
      </c>
      <c r="BH145" s="32">
        <v>108.4</v>
      </c>
      <c r="BI145" s="32">
        <v>123.5</v>
      </c>
      <c r="BJ145" s="32">
        <v>50.9</v>
      </c>
      <c r="BK145" s="32">
        <v>161.5</v>
      </c>
      <c r="BL145" s="32">
        <v>87.2</v>
      </c>
      <c r="BM145" s="32">
        <v>95</v>
      </c>
      <c r="BN145" s="32">
        <v>110.8</v>
      </c>
      <c r="BO145" s="32">
        <v>91.2</v>
      </c>
      <c r="BP145" s="32">
        <v>130.5</v>
      </c>
      <c r="BQ145" s="32">
        <v>78.099999999999994</v>
      </c>
      <c r="BR145" s="32">
        <v>76.900000000000006</v>
      </c>
      <c r="BS145" s="32">
        <v>103.6</v>
      </c>
      <c r="BT145" s="32">
        <v>69.3</v>
      </c>
      <c r="BU145" s="32">
        <v>114.4</v>
      </c>
      <c r="BV145" s="32">
        <v>114.4</v>
      </c>
      <c r="BW145" s="32">
        <v>166.3</v>
      </c>
      <c r="BX145" s="32">
        <v>40.299999999999997</v>
      </c>
      <c r="BY145" s="32">
        <v>102.9</v>
      </c>
      <c r="BZ145" s="32">
        <v>96.4</v>
      </c>
      <c r="CA145" s="32">
        <v>105.9</v>
      </c>
      <c r="CB145" s="32">
        <v>122.4</v>
      </c>
      <c r="CC145" s="32">
        <v>98.6</v>
      </c>
      <c r="CD145" s="32">
        <v>17.2</v>
      </c>
      <c r="CE145" s="32">
        <v>86.3</v>
      </c>
      <c r="CF145" s="32">
        <v>80.599999999999994</v>
      </c>
      <c r="CG145" s="32">
        <v>96.5</v>
      </c>
      <c r="CH145" s="32">
        <v>97.2</v>
      </c>
      <c r="CI145" s="32">
        <v>103.8</v>
      </c>
      <c r="CJ145" s="32">
        <v>94</v>
      </c>
      <c r="CK145" s="32">
        <v>99</v>
      </c>
      <c r="CL145" s="32">
        <v>98.9</v>
      </c>
      <c r="CM145" s="32">
        <v>110.5</v>
      </c>
      <c r="CN145" s="32">
        <v>98.7</v>
      </c>
      <c r="CO145" s="32">
        <v>109</v>
      </c>
      <c r="CP145" s="32">
        <v>162.9</v>
      </c>
      <c r="CQ145" s="32">
        <v>66</v>
      </c>
      <c r="CR145" s="32">
        <v>103.2</v>
      </c>
      <c r="CS145" s="32">
        <v>123.6</v>
      </c>
      <c r="CT145" s="32">
        <v>90.3</v>
      </c>
      <c r="CU145" s="32">
        <v>67.3</v>
      </c>
      <c r="CV145" s="32">
        <v>100.4</v>
      </c>
      <c r="CW145" s="32">
        <v>35.799999999999997</v>
      </c>
      <c r="CX145" s="32">
        <v>96.4</v>
      </c>
      <c r="CY145" s="32">
        <v>102.5</v>
      </c>
      <c r="CZ145" s="32">
        <v>93.6</v>
      </c>
      <c r="DA145" s="32">
        <v>77.3</v>
      </c>
      <c r="DB145" s="32">
        <v>127</v>
      </c>
      <c r="DC145" s="32">
        <v>6.7</v>
      </c>
      <c r="DD145" s="32">
        <v>6.7</v>
      </c>
      <c r="DE145" s="32">
        <v>66.900000000000006</v>
      </c>
      <c r="DF145" s="32">
        <v>64.900000000000006</v>
      </c>
      <c r="DG145" s="32">
        <v>77.2</v>
      </c>
      <c r="DH145" s="32">
        <v>114.9</v>
      </c>
      <c r="DI145" s="32">
        <v>198.3</v>
      </c>
      <c r="DJ145" s="32">
        <v>75.7</v>
      </c>
      <c r="DK145" s="32">
        <v>75.7</v>
      </c>
      <c r="DL145" s="32">
        <v>53.1</v>
      </c>
      <c r="DM145" s="32">
        <v>73.2</v>
      </c>
      <c r="DN145" s="32">
        <v>58.2</v>
      </c>
      <c r="DO145" s="32">
        <v>81</v>
      </c>
      <c r="DP145" s="32">
        <v>41.4</v>
      </c>
      <c r="DQ145" s="32">
        <v>71.7</v>
      </c>
      <c r="DR145" s="32">
        <v>73.8</v>
      </c>
      <c r="DS145" s="32">
        <v>73.599999999999994</v>
      </c>
      <c r="DT145" s="32">
        <v>68.099999999999994</v>
      </c>
      <c r="DU145" s="32">
        <v>68.3</v>
      </c>
      <c r="DV145" s="32">
        <v>79.7</v>
      </c>
      <c r="DW145" s="32">
        <v>56.9</v>
      </c>
      <c r="DX145" s="32">
        <v>67.900000000000006</v>
      </c>
      <c r="DY145" s="32">
        <v>92.7</v>
      </c>
      <c r="DZ145" s="32">
        <v>107.1</v>
      </c>
      <c r="EA145" s="32">
        <v>107.1</v>
      </c>
      <c r="EB145" s="32">
        <v>63.8</v>
      </c>
      <c r="EC145" s="32">
        <v>62.6</v>
      </c>
      <c r="ED145" s="32">
        <v>65.7</v>
      </c>
      <c r="EE145" s="32">
        <v>70.099999999999994</v>
      </c>
      <c r="EF145" s="32">
        <v>56.1</v>
      </c>
      <c r="EG145" s="32">
        <v>68.400000000000006</v>
      </c>
      <c r="EH145" s="32">
        <v>85.7</v>
      </c>
      <c r="EI145" s="32">
        <v>67.8</v>
      </c>
      <c r="EJ145" s="32">
        <v>91.7</v>
      </c>
      <c r="EK145" s="32">
        <v>57.6</v>
      </c>
      <c r="EL145" s="32">
        <v>74</v>
      </c>
      <c r="EM145" s="32">
        <v>55.3</v>
      </c>
      <c r="EN145" s="32">
        <v>56</v>
      </c>
      <c r="EO145" s="32">
        <v>88.3</v>
      </c>
      <c r="EP145" s="32">
        <v>89.7</v>
      </c>
      <c r="EQ145" s="32">
        <v>89.7</v>
      </c>
      <c r="ER145" s="32">
        <v>81.5</v>
      </c>
      <c r="ES145" s="32">
        <v>81.5</v>
      </c>
      <c r="ET145" s="32">
        <v>95.2</v>
      </c>
      <c r="EU145" s="32">
        <v>105.6</v>
      </c>
      <c r="EV145" s="32">
        <v>105.6</v>
      </c>
      <c r="EW145" s="32">
        <v>84.6</v>
      </c>
      <c r="EX145" s="32">
        <v>93.8</v>
      </c>
      <c r="EY145" s="32">
        <v>77.2</v>
      </c>
      <c r="EZ145" s="32">
        <v>94.1</v>
      </c>
      <c r="FA145" s="32">
        <v>107</v>
      </c>
      <c r="FB145" s="32">
        <v>118.2</v>
      </c>
      <c r="FC145" s="32">
        <v>94</v>
      </c>
      <c r="FD145" s="32">
        <v>117.3</v>
      </c>
      <c r="FE145" s="32">
        <v>162.4</v>
      </c>
      <c r="FF145" s="32">
        <v>94.4</v>
      </c>
      <c r="FG145" s="32">
        <v>83.4</v>
      </c>
      <c r="FH145" s="32">
        <v>81.7</v>
      </c>
      <c r="FI145" s="32">
        <v>83.6</v>
      </c>
      <c r="FJ145" s="32">
        <v>84</v>
      </c>
      <c r="FK145" s="32">
        <v>115.6</v>
      </c>
      <c r="FL145" s="32">
        <v>115.6</v>
      </c>
    </row>
    <row r="146" spans="1:168" x14ac:dyDescent="0.2">
      <c r="A146" s="34" t="s">
        <v>1126</v>
      </c>
      <c r="B146" s="32">
        <v>82.9</v>
      </c>
      <c r="C146" s="32">
        <v>102.2</v>
      </c>
      <c r="D146" s="32">
        <v>98.2</v>
      </c>
      <c r="E146" s="32">
        <v>104.8</v>
      </c>
      <c r="F146" s="32">
        <v>219.7</v>
      </c>
      <c r="G146" s="32">
        <v>3325.3</v>
      </c>
      <c r="H146" s="32">
        <v>261.60000000000002</v>
      </c>
      <c r="I146" s="32">
        <v>74.7</v>
      </c>
      <c r="J146" s="32">
        <v>95.5</v>
      </c>
      <c r="K146" s="32">
        <v>96.6</v>
      </c>
      <c r="L146" s="32">
        <v>91.5</v>
      </c>
      <c r="M146" s="32">
        <v>77.900000000000006</v>
      </c>
      <c r="N146" s="32">
        <v>79.3</v>
      </c>
      <c r="O146" s="32">
        <v>153.69999999999999</v>
      </c>
      <c r="P146" s="32">
        <v>222.6</v>
      </c>
      <c r="Q146" s="32">
        <v>146.9</v>
      </c>
      <c r="R146" s="32">
        <v>84.9</v>
      </c>
      <c r="S146" s="32">
        <v>114.9</v>
      </c>
      <c r="T146" s="32">
        <v>94</v>
      </c>
      <c r="U146" s="32">
        <v>64.599999999999994</v>
      </c>
      <c r="V146" s="32">
        <v>135.6</v>
      </c>
      <c r="W146" s="32">
        <v>53</v>
      </c>
      <c r="X146" s="32">
        <v>48.3</v>
      </c>
      <c r="Y146" s="32">
        <v>48.4</v>
      </c>
      <c r="Z146" s="32">
        <v>118.5</v>
      </c>
      <c r="AA146" s="32">
        <v>108.7</v>
      </c>
      <c r="AB146" s="32">
        <v>97.1</v>
      </c>
      <c r="AC146" s="32">
        <v>86.8</v>
      </c>
      <c r="AD146" s="32">
        <v>139.6</v>
      </c>
      <c r="AE146" s="32">
        <v>92.7</v>
      </c>
      <c r="AF146" s="32">
        <v>92.7</v>
      </c>
      <c r="AG146" s="32">
        <v>79.099999999999994</v>
      </c>
      <c r="AH146" s="32">
        <v>79.099999999999994</v>
      </c>
      <c r="AI146" s="32">
        <v>90.3</v>
      </c>
      <c r="AJ146" s="32">
        <v>90.4</v>
      </c>
      <c r="AK146" s="32">
        <v>77.8</v>
      </c>
      <c r="AL146" s="32">
        <v>97</v>
      </c>
      <c r="AM146" s="32">
        <v>55.8</v>
      </c>
      <c r="AN146" s="32">
        <v>177.5</v>
      </c>
      <c r="AO146" s="32">
        <v>112.3</v>
      </c>
      <c r="AP146" s="32">
        <v>112.3</v>
      </c>
      <c r="AQ146" s="32">
        <v>88.4</v>
      </c>
      <c r="AR146" s="32">
        <v>89.9</v>
      </c>
      <c r="AS146" s="32">
        <v>88.5</v>
      </c>
      <c r="AT146" s="32">
        <v>84.2</v>
      </c>
      <c r="AU146" s="32">
        <v>91</v>
      </c>
      <c r="AV146" s="32">
        <v>102.8</v>
      </c>
      <c r="AW146" s="32">
        <v>143.30000000000001</v>
      </c>
      <c r="AX146" s="32">
        <v>131.69999999999999</v>
      </c>
      <c r="AY146" s="32">
        <v>240.6</v>
      </c>
      <c r="AZ146" s="32">
        <v>98</v>
      </c>
      <c r="BA146" s="32">
        <v>77.900000000000006</v>
      </c>
      <c r="BB146" s="32">
        <v>77.900000000000006</v>
      </c>
      <c r="BC146" s="32">
        <v>145.30000000000001</v>
      </c>
      <c r="BD146" s="32">
        <v>145.30000000000001</v>
      </c>
      <c r="BE146" s="32">
        <v>109.1</v>
      </c>
      <c r="BF146" s="32">
        <v>109.1</v>
      </c>
      <c r="BG146" s="32">
        <v>114.1</v>
      </c>
      <c r="BH146" s="32">
        <v>103.4</v>
      </c>
      <c r="BI146" s="32">
        <v>122.9</v>
      </c>
      <c r="BJ146" s="32">
        <v>51</v>
      </c>
      <c r="BK146" s="32">
        <v>160.30000000000001</v>
      </c>
      <c r="BL146" s="32">
        <v>87.4</v>
      </c>
      <c r="BM146" s="32">
        <v>96.9</v>
      </c>
      <c r="BN146" s="32">
        <v>111.7</v>
      </c>
      <c r="BO146" s="32">
        <v>91.8</v>
      </c>
      <c r="BP146" s="32">
        <v>131.6</v>
      </c>
      <c r="BQ146" s="32">
        <v>81.2</v>
      </c>
      <c r="BR146" s="32">
        <v>81.3</v>
      </c>
      <c r="BS146" s="32">
        <v>103.2</v>
      </c>
      <c r="BT146" s="32">
        <v>72.7</v>
      </c>
      <c r="BU146" s="32">
        <v>110.8</v>
      </c>
      <c r="BV146" s="32">
        <v>110.8</v>
      </c>
      <c r="BW146" s="32">
        <v>159.6</v>
      </c>
      <c r="BX146" s="32">
        <v>40.200000000000003</v>
      </c>
      <c r="BY146" s="32">
        <v>97.2</v>
      </c>
      <c r="BZ146" s="32">
        <v>94</v>
      </c>
      <c r="CA146" s="32">
        <v>98.8</v>
      </c>
      <c r="CB146" s="32">
        <v>115</v>
      </c>
      <c r="CC146" s="32">
        <v>91.2</v>
      </c>
      <c r="CD146" s="32">
        <v>16.600000000000001</v>
      </c>
      <c r="CE146" s="32">
        <v>84.6</v>
      </c>
      <c r="CF146" s="32">
        <v>79.5</v>
      </c>
      <c r="CG146" s="32">
        <v>93.9</v>
      </c>
      <c r="CH146" s="32">
        <v>93.5</v>
      </c>
      <c r="CI146" s="32">
        <v>94</v>
      </c>
      <c r="CJ146" s="32">
        <v>89.2</v>
      </c>
      <c r="CK146" s="32">
        <v>98.2</v>
      </c>
      <c r="CL146" s="32">
        <v>97.8</v>
      </c>
      <c r="CM146" s="32">
        <v>108</v>
      </c>
      <c r="CN146" s="32">
        <v>96.7</v>
      </c>
      <c r="CO146" s="32">
        <v>106.5</v>
      </c>
      <c r="CP146" s="32">
        <v>161.30000000000001</v>
      </c>
      <c r="CQ146" s="32">
        <v>64.2</v>
      </c>
      <c r="CR146" s="32">
        <v>102.8</v>
      </c>
      <c r="CS146" s="32">
        <v>124.4</v>
      </c>
      <c r="CT146" s="32">
        <v>89.2</v>
      </c>
      <c r="CU146" s="32">
        <v>66.900000000000006</v>
      </c>
      <c r="CV146" s="32">
        <v>99</v>
      </c>
      <c r="CW146" s="32">
        <v>35.200000000000003</v>
      </c>
      <c r="CX146" s="32">
        <v>90.7</v>
      </c>
      <c r="CY146" s="32">
        <v>102.7</v>
      </c>
      <c r="CZ146" s="32">
        <v>84.4</v>
      </c>
      <c r="DA146" s="32">
        <v>67</v>
      </c>
      <c r="DB146" s="32">
        <v>120.9</v>
      </c>
      <c r="DC146" s="32">
        <v>6.8</v>
      </c>
      <c r="DD146" s="32">
        <v>6.8</v>
      </c>
      <c r="DE146" s="32">
        <v>66.099999999999994</v>
      </c>
      <c r="DF146" s="32">
        <v>63.9</v>
      </c>
      <c r="DG146" s="32">
        <v>78.400000000000006</v>
      </c>
      <c r="DH146" s="32">
        <v>112.4</v>
      </c>
      <c r="DI146" s="32">
        <v>193.8</v>
      </c>
      <c r="DJ146" s="32">
        <v>72.7</v>
      </c>
      <c r="DK146" s="32">
        <v>72.7</v>
      </c>
      <c r="DL146" s="32">
        <v>53.5</v>
      </c>
      <c r="DM146" s="32">
        <v>73.099999999999994</v>
      </c>
      <c r="DN146" s="32">
        <v>58.6</v>
      </c>
      <c r="DO146" s="32">
        <v>80.7</v>
      </c>
      <c r="DP146" s="32">
        <v>41.2</v>
      </c>
      <c r="DQ146" s="32">
        <v>71</v>
      </c>
      <c r="DR146" s="32">
        <v>73.099999999999994</v>
      </c>
      <c r="DS146" s="32">
        <v>72.3</v>
      </c>
      <c r="DT146" s="32">
        <v>68</v>
      </c>
      <c r="DU146" s="32">
        <v>68.3</v>
      </c>
      <c r="DV146" s="32">
        <v>82.5</v>
      </c>
      <c r="DW146" s="32">
        <v>54.3</v>
      </c>
      <c r="DX146" s="32">
        <v>67.3</v>
      </c>
      <c r="DY146" s="32">
        <v>87.9</v>
      </c>
      <c r="DZ146" s="32">
        <v>111.4</v>
      </c>
      <c r="EA146" s="32">
        <v>111.4</v>
      </c>
      <c r="EB146" s="32">
        <v>63.3</v>
      </c>
      <c r="EC146" s="32">
        <v>60.8</v>
      </c>
      <c r="ED146" s="32">
        <v>67.099999999999994</v>
      </c>
      <c r="EE146" s="32">
        <v>72.7</v>
      </c>
      <c r="EF146" s="32">
        <v>54.9</v>
      </c>
      <c r="EG146" s="32">
        <v>67.7</v>
      </c>
      <c r="EH146" s="32">
        <v>85.7</v>
      </c>
      <c r="EI146" s="32">
        <v>67.5</v>
      </c>
      <c r="EJ146" s="32">
        <v>86.3</v>
      </c>
      <c r="EK146" s="32">
        <v>57.1</v>
      </c>
      <c r="EL146" s="32">
        <v>69.099999999999994</v>
      </c>
      <c r="EM146" s="32">
        <v>53</v>
      </c>
      <c r="EN146" s="32">
        <v>57.8</v>
      </c>
      <c r="EO146" s="32">
        <v>88</v>
      </c>
      <c r="EP146" s="32">
        <v>89.6</v>
      </c>
      <c r="EQ146" s="32">
        <v>89.6</v>
      </c>
      <c r="ER146" s="32">
        <v>81</v>
      </c>
      <c r="ES146" s="32">
        <v>81</v>
      </c>
      <c r="ET146" s="32">
        <v>95</v>
      </c>
      <c r="EU146" s="32">
        <v>105.5</v>
      </c>
      <c r="EV146" s="32">
        <v>105.5</v>
      </c>
      <c r="EW146" s="32">
        <v>84.3</v>
      </c>
      <c r="EX146" s="32">
        <v>93.8</v>
      </c>
      <c r="EY146" s="32">
        <v>76.7</v>
      </c>
      <c r="EZ146" s="32">
        <v>92.7</v>
      </c>
      <c r="FA146" s="32">
        <v>104.2</v>
      </c>
      <c r="FB146" s="32">
        <v>113.4</v>
      </c>
      <c r="FC146" s="32">
        <v>87</v>
      </c>
      <c r="FD146" s="32">
        <v>116.1</v>
      </c>
      <c r="FE146" s="32">
        <v>159.80000000000001</v>
      </c>
      <c r="FF146" s="32">
        <v>93.8</v>
      </c>
      <c r="FG146" s="32">
        <v>82.9</v>
      </c>
      <c r="FH146" s="32">
        <v>82.8</v>
      </c>
      <c r="FI146" s="32">
        <v>84.5</v>
      </c>
      <c r="FJ146" s="32">
        <v>82.7</v>
      </c>
      <c r="FK146" s="32">
        <v>114.4</v>
      </c>
      <c r="FL146" s="32">
        <v>114.4</v>
      </c>
    </row>
    <row r="147" spans="1:168" x14ac:dyDescent="0.2">
      <c r="A147" s="34" t="s">
        <v>1127</v>
      </c>
      <c r="B147" s="32">
        <v>82.7</v>
      </c>
      <c r="C147" s="32">
        <v>102.1</v>
      </c>
      <c r="D147" s="32">
        <v>97.7</v>
      </c>
      <c r="E147" s="32">
        <v>104.7</v>
      </c>
      <c r="F147" s="32">
        <v>206</v>
      </c>
      <c r="G147" s="32">
        <v>2336.4</v>
      </c>
      <c r="H147" s="32">
        <v>240.9</v>
      </c>
      <c r="I147" s="32">
        <v>75.599999999999994</v>
      </c>
      <c r="J147" s="32">
        <v>95.9</v>
      </c>
      <c r="K147" s="32">
        <v>98.5</v>
      </c>
      <c r="L147" s="32">
        <v>92.8</v>
      </c>
      <c r="M147" s="32">
        <v>79.900000000000006</v>
      </c>
      <c r="N147" s="32">
        <v>80.5</v>
      </c>
      <c r="O147" s="32">
        <v>172.1</v>
      </c>
      <c r="P147" s="32">
        <v>236.2</v>
      </c>
      <c r="Q147" s="32">
        <v>151.4</v>
      </c>
      <c r="R147" s="32">
        <v>87.7</v>
      </c>
      <c r="S147" s="32">
        <v>113.1</v>
      </c>
      <c r="T147" s="32">
        <v>95.2</v>
      </c>
      <c r="U147" s="32">
        <v>68.7</v>
      </c>
      <c r="V147" s="32">
        <v>139.69999999999999</v>
      </c>
      <c r="W147" s="32">
        <v>53.2</v>
      </c>
      <c r="X147" s="32">
        <v>48</v>
      </c>
      <c r="Y147" s="32">
        <v>49.9</v>
      </c>
      <c r="Z147" s="32">
        <v>114.8</v>
      </c>
      <c r="AA147" s="32">
        <v>105.3</v>
      </c>
      <c r="AB147" s="32">
        <v>97.5</v>
      </c>
      <c r="AC147" s="32">
        <v>84.2</v>
      </c>
      <c r="AD147" s="32">
        <v>133.19999999999999</v>
      </c>
      <c r="AE147" s="32">
        <v>99.9</v>
      </c>
      <c r="AF147" s="32">
        <v>99.9</v>
      </c>
      <c r="AG147" s="32">
        <v>72.7</v>
      </c>
      <c r="AH147" s="32">
        <v>72.7</v>
      </c>
      <c r="AI147" s="32">
        <v>92.8</v>
      </c>
      <c r="AJ147" s="32">
        <v>77.099999999999994</v>
      </c>
      <c r="AK147" s="32">
        <v>75.5</v>
      </c>
      <c r="AL147" s="32">
        <v>96</v>
      </c>
      <c r="AM147" s="32">
        <v>54.8</v>
      </c>
      <c r="AN147" s="32">
        <v>164.5</v>
      </c>
      <c r="AO147" s="32">
        <v>118.6</v>
      </c>
      <c r="AP147" s="32">
        <v>118.6</v>
      </c>
      <c r="AQ147" s="32">
        <v>90.1</v>
      </c>
      <c r="AR147" s="32">
        <v>93.4</v>
      </c>
      <c r="AS147" s="32">
        <v>87.6</v>
      </c>
      <c r="AT147" s="32">
        <v>81.900000000000006</v>
      </c>
      <c r="AU147" s="32">
        <v>91.6</v>
      </c>
      <c r="AV147" s="32">
        <v>100.1</v>
      </c>
      <c r="AW147" s="32">
        <v>140.19999999999999</v>
      </c>
      <c r="AX147" s="32">
        <v>134.69999999999999</v>
      </c>
      <c r="AY147" s="32">
        <v>225.5</v>
      </c>
      <c r="AZ147" s="32">
        <v>95</v>
      </c>
      <c r="BA147" s="32">
        <v>79.5</v>
      </c>
      <c r="BB147" s="32">
        <v>79.5</v>
      </c>
      <c r="BC147" s="32">
        <v>151.9</v>
      </c>
      <c r="BD147" s="32">
        <v>151.9</v>
      </c>
      <c r="BE147" s="32">
        <v>112.5</v>
      </c>
      <c r="BF147" s="32">
        <v>112.5</v>
      </c>
      <c r="BG147" s="32">
        <v>110.8</v>
      </c>
      <c r="BH147" s="32">
        <v>96.8</v>
      </c>
      <c r="BI147" s="32">
        <v>124</v>
      </c>
      <c r="BJ147" s="32">
        <v>52.3</v>
      </c>
      <c r="BK147" s="32">
        <v>161.5</v>
      </c>
      <c r="BL147" s="32">
        <v>87.3</v>
      </c>
      <c r="BM147" s="32">
        <v>98.7</v>
      </c>
      <c r="BN147" s="32">
        <v>111.6</v>
      </c>
      <c r="BO147" s="32">
        <v>87.6</v>
      </c>
      <c r="BP147" s="32">
        <v>136.30000000000001</v>
      </c>
      <c r="BQ147" s="32">
        <v>85.3</v>
      </c>
      <c r="BR147" s="32">
        <v>85.6</v>
      </c>
      <c r="BS147" s="32">
        <v>115</v>
      </c>
      <c r="BT147" s="32">
        <v>75.2</v>
      </c>
      <c r="BU147" s="32">
        <v>120.6</v>
      </c>
      <c r="BV147" s="32">
        <v>120.6</v>
      </c>
      <c r="BW147" s="32">
        <v>173.3</v>
      </c>
      <c r="BX147" s="32">
        <v>43.8</v>
      </c>
      <c r="BY147" s="32">
        <v>93.8</v>
      </c>
      <c r="BZ147" s="32">
        <v>97.9</v>
      </c>
      <c r="CA147" s="32">
        <v>91.9</v>
      </c>
      <c r="CB147" s="32">
        <v>111.2</v>
      </c>
      <c r="CC147" s="32">
        <v>81.2</v>
      </c>
      <c r="CD147" s="32">
        <v>16.5</v>
      </c>
      <c r="CE147" s="32">
        <v>83.3</v>
      </c>
      <c r="CF147" s="32">
        <v>79.400000000000006</v>
      </c>
      <c r="CG147" s="32">
        <v>92.3</v>
      </c>
      <c r="CH147" s="32">
        <v>91.8</v>
      </c>
      <c r="CI147" s="32">
        <v>92.7</v>
      </c>
      <c r="CJ147" s="32">
        <v>87.2</v>
      </c>
      <c r="CK147" s="32">
        <v>96.5</v>
      </c>
      <c r="CL147" s="32">
        <v>95.9</v>
      </c>
      <c r="CM147" s="32">
        <v>103.4</v>
      </c>
      <c r="CN147" s="32">
        <v>94.9</v>
      </c>
      <c r="CO147" s="32">
        <v>101.6</v>
      </c>
      <c r="CP147" s="32">
        <v>159</v>
      </c>
      <c r="CQ147" s="32">
        <v>62.1</v>
      </c>
      <c r="CR147" s="32">
        <v>102.8</v>
      </c>
      <c r="CS147" s="32">
        <v>124.8</v>
      </c>
      <c r="CT147" s="32">
        <v>88.5</v>
      </c>
      <c r="CU147" s="32">
        <v>66.8</v>
      </c>
      <c r="CV147" s="32">
        <v>97.9</v>
      </c>
      <c r="CW147" s="32">
        <v>35.9</v>
      </c>
      <c r="CX147" s="32">
        <v>91.1</v>
      </c>
      <c r="CY147" s="32">
        <v>101.5</v>
      </c>
      <c r="CZ147" s="32">
        <v>85.7</v>
      </c>
      <c r="DA147" s="32">
        <v>68.599999999999994</v>
      </c>
      <c r="DB147" s="32">
        <v>121.3</v>
      </c>
      <c r="DC147" s="32">
        <v>7</v>
      </c>
      <c r="DD147" s="32">
        <v>7</v>
      </c>
      <c r="DE147" s="32">
        <v>67.2</v>
      </c>
      <c r="DF147" s="32">
        <v>65.599999999999994</v>
      </c>
      <c r="DG147" s="32">
        <v>75.099999999999994</v>
      </c>
      <c r="DH147" s="32">
        <v>109.7</v>
      </c>
      <c r="DI147" s="32">
        <v>193.5</v>
      </c>
      <c r="DJ147" s="32">
        <v>69.7</v>
      </c>
      <c r="DK147" s="32">
        <v>69.7</v>
      </c>
      <c r="DL147" s="32">
        <v>49.5</v>
      </c>
      <c r="DM147" s="32">
        <v>72.7</v>
      </c>
      <c r="DN147" s="32">
        <v>57.8</v>
      </c>
      <c r="DO147" s="32">
        <v>80.3</v>
      </c>
      <c r="DP147" s="32">
        <v>41.6</v>
      </c>
      <c r="DQ147" s="32">
        <v>72.3</v>
      </c>
      <c r="DR147" s="32">
        <v>74.8</v>
      </c>
      <c r="DS147" s="32">
        <v>74.400000000000006</v>
      </c>
      <c r="DT147" s="32">
        <v>69.7</v>
      </c>
      <c r="DU147" s="32">
        <v>70</v>
      </c>
      <c r="DV147" s="32">
        <v>83.7</v>
      </c>
      <c r="DW147" s="32">
        <v>56.4</v>
      </c>
      <c r="DX147" s="32">
        <v>69</v>
      </c>
      <c r="DY147" s="32">
        <v>91.5</v>
      </c>
      <c r="DZ147" s="32">
        <v>115.5</v>
      </c>
      <c r="EA147" s="32">
        <v>115.5</v>
      </c>
      <c r="EB147" s="32">
        <v>62.9</v>
      </c>
      <c r="EC147" s="32">
        <v>60.1</v>
      </c>
      <c r="ED147" s="32">
        <v>67</v>
      </c>
      <c r="EE147" s="32">
        <v>72.5</v>
      </c>
      <c r="EF147" s="32">
        <v>55.1</v>
      </c>
      <c r="EG147" s="32">
        <v>68.5</v>
      </c>
      <c r="EH147" s="32">
        <v>88.4</v>
      </c>
      <c r="EI147" s="32">
        <v>69.900000000000006</v>
      </c>
      <c r="EJ147" s="32">
        <v>83.3</v>
      </c>
      <c r="EK147" s="32">
        <v>56.4</v>
      </c>
      <c r="EL147" s="32">
        <v>68.900000000000006</v>
      </c>
      <c r="EM147" s="32">
        <v>52.6</v>
      </c>
      <c r="EN147" s="32">
        <v>56.8</v>
      </c>
      <c r="EO147" s="32">
        <v>88.5</v>
      </c>
      <c r="EP147" s="32">
        <v>90</v>
      </c>
      <c r="EQ147" s="32">
        <v>90</v>
      </c>
      <c r="ER147" s="32">
        <v>81.599999999999994</v>
      </c>
      <c r="ES147" s="32">
        <v>81.599999999999994</v>
      </c>
      <c r="ET147" s="32">
        <v>95.6</v>
      </c>
      <c r="EU147" s="32">
        <v>106.3</v>
      </c>
      <c r="EV147" s="32">
        <v>106.3</v>
      </c>
      <c r="EW147" s="32">
        <v>84.5</v>
      </c>
      <c r="EX147" s="32">
        <v>94.3</v>
      </c>
      <c r="EY147" s="32">
        <v>76.7</v>
      </c>
      <c r="EZ147" s="32">
        <v>92.3</v>
      </c>
      <c r="FA147" s="32">
        <v>103.9</v>
      </c>
      <c r="FB147" s="32">
        <v>111.8</v>
      </c>
      <c r="FC147" s="32">
        <v>83.4</v>
      </c>
      <c r="FD147" s="32">
        <v>116.7</v>
      </c>
      <c r="FE147" s="32">
        <v>160.5</v>
      </c>
      <c r="FF147" s="32">
        <v>95.1</v>
      </c>
      <c r="FG147" s="32">
        <v>82.2</v>
      </c>
      <c r="FH147" s="32">
        <v>82.3</v>
      </c>
      <c r="FI147" s="32">
        <v>85.4</v>
      </c>
      <c r="FJ147" s="32">
        <v>81.599999999999994</v>
      </c>
      <c r="FK147" s="32">
        <v>118.6</v>
      </c>
      <c r="FL147" s="32">
        <v>118.6</v>
      </c>
    </row>
    <row r="148" spans="1:168" x14ac:dyDescent="0.2">
      <c r="A148" s="34" t="s">
        <v>1128</v>
      </c>
      <c r="B148" s="32">
        <v>81.599999999999994</v>
      </c>
      <c r="C148" s="32">
        <v>101.2</v>
      </c>
      <c r="D148" s="32">
        <v>94.3</v>
      </c>
      <c r="E148" s="32">
        <v>100.7</v>
      </c>
      <c r="F148" s="32">
        <v>200.8</v>
      </c>
      <c r="G148" s="32">
        <v>5044.1000000000004</v>
      </c>
      <c r="H148" s="32">
        <v>237</v>
      </c>
      <c r="I148" s="32">
        <v>67.2</v>
      </c>
      <c r="J148" s="32">
        <v>91.7</v>
      </c>
      <c r="K148" s="32">
        <v>98.4</v>
      </c>
      <c r="L148" s="32">
        <v>92.4</v>
      </c>
      <c r="M148" s="32">
        <v>83.4</v>
      </c>
      <c r="N148" s="32">
        <v>80.8</v>
      </c>
      <c r="O148" s="32">
        <v>194</v>
      </c>
      <c r="P148" s="32">
        <v>247.8</v>
      </c>
      <c r="Q148" s="32">
        <v>150.30000000000001</v>
      </c>
      <c r="R148" s="32">
        <v>87.3</v>
      </c>
      <c r="S148" s="32">
        <v>107.7</v>
      </c>
      <c r="T148" s="32">
        <v>98.3</v>
      </c>
      <c r="U148" s="32">
        <v>67.3</v>
      </c>
      <c r="V148" s="32">
        <v>141.4</v>
      </c>
      <c r="W148" s="32">
        <v>54.8</v>
      </c>
      <c r="X148" s="32">
        <v>48.6</v>
      </c>
      <c r="Y148" s="32">
        <v>54.2</v>
      </c>
      <c r="Z148" s="32">
        <v>114.1</v>
      </c>
      <c r="AA148" s="32">
        <v>102.4</v>
      </c>
      <c r="AB148" s="32">
        <v>88.8</v>
      </c>
      <c r="AC148" s="32">
        <v>81.099999999999994</v>
      </c>
      <c r="AD148" s="32">
        <v>133.4</v>
      </c>
      <c r="AE148" s="32">
        <v>99.8</v>
      </c>
      <c r="AF148" s="32">
        <v>99.8</v>
      </c>
      <c r="AG148" s="32">
        <v>66.5</v>
      </c>
      <c r="AH148" s="32">
        <v>66.5</v>
      </c>
      <c r="AI148" s="32">
        <v>96.1</v>
      </c>
      <c r="AJ148" s="32">
        <v>65.2</v>
      </c>
      <c r="AK148" s="32">
        <v>99.9</v>
      </c>
      <c r="AL148" s="32">
        <v>87.2</v>
      </c>
      <c r="AM148" s="32">
        <v>49.6</v>
      </c>
      <c r="AN148" s="32">
        <v>142.5</v>
      </c>
      <c r="AO148" s="32">
        <v>105.5</v>
      </c>
      <c r="AP148" s="32">
        <v>105.5</v>
      </c>
      <c r="AQ148" s="32">
        <v>88.4</v>
      </c>
      <c r="AR148" s="32">
        <v>89.6</v>
      </c>
      <c r="AS148" s="32">
        <v>88.9</v>
      </c>
      <c r="AT148" s="32">
        <v>76.599999999999994</v>
      </c>
      <c r="AU148" s="32">
        <v>99.9</v>
      </c>
      <c r="AV148" s="32">
        <v>92.3</v>
      </c>
      <c r="AW148" s="32">
        <v>119.6</v>
      </c>
      <c r="AX148" s="32">
        <v>105.9</v>
      </c>
      <c r="AY148" s="32">
        <v>204.5</v>
      </c>
      <c r="AZ148" s="32">
        <v>89.9</v>
      </c>
      <c r="BA148" s="32">
        <v>78</v>
      </c>
      <c r="BB148" s="32">
        <v>78</v>
      </c>
      <c r="BC148" s="32">
        <v>146</v>
      </c>
      <c r="BD148" s="32">
        <v>146</v>
      </c>
      <c r="BE148" s="32">
        <v>107.3</v>
      </c>
      <c r="BF148" s="32">
        <v>107.3</v>
      </c>
      <c r="BG148" s="32">
        <v>102.8</v>
      </c>
      <c r="BH148" s="32">
        <v>85.9</v>
      </c>
      <c r="BI148" s="32">
        <v>118.5</v>
      </c>
      <c r="BJ148" s="32">
        <v>52</v>
      </c>
      <c r="BK148" s="32">
        <v>153.30000000000001</v>
      </c>
      <c r="BL148" s="32">
        <v>82.3</v>
      </c>
      <c r="BM148" s="32">
        <v>95.8</v>
      </c>
      <c r="BN148" s="32">
        <v>105.8</v>
      </c>
      <c r="BO148" s="32">
        <v>85</v>
      </c>
      <c r="BP148" s="32">
        <v>126.9</v>
      </c>
      <c r="BQ148" s="32">
        <v>85.6</v>
      </c>
      <c r="BR148" s="32">
        <v>91.8</v>
      </c>
      <c r="BS148" s="32">
        <v>111.6</v>
      </c>
      <c r="BT148" s="32">
        <v>75.5</v>
      </c>
      <c r="BU148" s="32">
        <v>117.8</v>
      </c>
      <c r="BV148" s="32">
        <v>117.8</v>
      </c>
      <c r="BW148" s="32">
        <v>171.8</v>
      </c>
      <c r="BX148" s="32">
        <v>41</v>
      </c>
      <c r="BY148" s="32">
        <v>90.7</v>
      </c>
      <c r="BZ148" s="32">
        <v>95.8</v>
      </c>
      <c r="CA148" s="32">
        <v>88.4</v>
      </c>
      <c r="CB148" s="32">
        <v>107</v>
      </c>
      <c r="CC148" s="32">
        <v>78</v>
      </c>
      <c r="CD148" s="32">
        <v>16.3</v>
      </c>
      <c r="CE148" s="32">
        <v>81</v>
      </c>
      <c r="CF148" s="32">
        <v>78.8</v>
      </c>
      <c r="CG148" s="32">
        <v>90.5</v>
      </c>
      <c r="CH148" s="32">
        <v>89.8</v>
      </c>
      <c r="CI148" s="32">
        <v>86.7</v>
      </c>
      <c r="CJ148" s="32">
        <v>85.5</v>
      </c>
      <c r="CK148" s="32">
        <v>95.5</v>
      </c>
      <c r="CL148" s="32">
        <v>94</v>
      </c>
      <c r="CM148" s="32">
        <v>101.8</v>
      </c>
      <c r="CN148" s="32">
        <v>95.2</v>
      </c>
      <c r="CO148" s="32">
        <v>99.7</v>
      </c>
      <c r="CP148" s="32">
        <v>153.19999999999999</v>
      </c>
      <c r="CQ148" s="32">
        <v>61.5</v>
      </c>
      <c r="CR148" s="32">
        <v>100.5</v>
      </c>
      <c r="CS148" s="32">
        <v>122.5</v>
      </c>
      <c r="CT148" s="32">
        <v>87.6</v>
      </c>
      <c r="CU148" s="32">
        <v>67.900000000000006</v>
      </c>
      <c r="CV148" s="32">
        <v>96.2</v>
      </c>
      <c r="CW148" s="32">
        <v>37</v>
      </c>
      <c r="CX148" s="32">
        <v>93.7</v>
      </c>
      <c r="CY148" s="32">
        <v>103.1</v>
      </c>
      <c r="CZ148" s="32">
        <v>89</v>
      </c>
      <c r="DA148" s="32">
        <v>73.8</v>
      </c>
      <c r="DB148" s="32">
        <v>120</v>
      </c>
      <c r="DC148" s="32">
        <v>7.2</v>
      </c>
      <c r="DD148" s="32">
        <v>7.2</v>
      </c>
      <c r="DE148" s="32">
        <v>69.2</v>
      </c>
      <c r="DF148" s="32">
        <v>67.900000000000006</v>
      </c>
      <c r="DG148" s="32">
        <v>75.8</v>
      </c>
      <c r="DH148" s="32">
        <v>106.1</v>
      </c>
      <c r="DI148" s="32">
        <v>190.1</v>
      </c>
      <c r="DJ148" s="32">
        <v>67.7</v>
      </c>
      <c r="DK148" s="32">
        <v>67.7</v>
      </c>
      <c r="DL148" s="32">
        <v>45.1</v>
      </c>
      <c r="DM148" s="32">
        <v>73.2</v>
      </c>
      <c r="DN148" s="32">
        <v>58.9</v>
      </c>
      <c r="DO148" s="32">
        <v>80.5</v>
      </c>
      <c r="DP148" s="32">
        <v>43.6</v>
      </c>
      <c r="DQ148" s="32">
        <v>71.099999999999994</v>
      </c>
      <c r="DR148" s="32">
        <v>73.7</v>
      </c>
      <c r="DS148" s="32">
        <v>72.5</v>
      </c>
      <c r="DT148" s="32">
        <v>68.2</v>
      </c>
      <c r="DU148" s="32">
        <v>67.7</v>
      </c>
      <c r="DV148" s="32">
        <v>80.400000000000006</v>
      </c>
      <c r="DW148" s="32">
        <v>54.9</v>
      </c>
      <c r="DX148" s="32">
        <v>69.400000000000006</v>
      </c>
      <c r="DY148" s="32">
        <v>87.8</v>
      </c>
      <c r="DZ148" s="32">
        <v>118</v>
      </c>
      <c r="EA148" s="32">
        <v>118</v>
      </c>
      <c r="EB148" s="32">
        <v>63</v>
      </c>
      <c r="EC148" s="32">
        <v>60.9</v>
      </c>
      <c r="ED148" s="32">
        <v>66</v>
      </c>
      <c r="EE148" s="32">
        <v>69.599999999999994</v>
      </c>
      <c r="EF148" s="32">
        <v>58.3</v>
      </c>
      <c r="EG148" s="32">
        <v>67</v>
      </c>
      <c r="EH148" s="32">
        <v>86.8</v>
      </c>
      <c r="EI148" s="32">
        <v>69.3</v>
      </c>
      <c r="EJ148" s="32">
        <v>80</v>
      </c>
      <c r="EK148" s="32">
        <v>54.6</v>
      </c>
      <c r="EL148" s="32">
        <v>67.099999999999994</v>
      </c>
      <c r="EM148" s="32">
        <v>51.9</v>
      </c>
      <c r="EN148" s="32">
        <v>54.3</v>
      </c>
      <c r="EO148" s="32">
        <v>88.4</v>
      </c>
      <c r="EP148" s="32">
        <v>90.7</v>
      </c>
      <c r="EQ148" s="32">
        <v>90.7</v>
      </c>
      <c r="ER148" s="32">
        <v>80.900000000000006</v>
      </c>
      <c r="ES148" s="32">
        <v>80.900000000000006</v>
      </c>
      <c r="ET148" s="32">
        <v>95.2</v>
      </c>
      <c r="EU148" s="32">
        <v>105.8</v>
      </c>
      <c r="EV148" s="32">
        <v>105.8</v>
      </c>
      <c r="EW148" s="32">
        <v>84.2</v>
      </c>
      <c r="EX148" s="32">
        <v>94.3</v>
      </c>
      <c r="EY148" s="32">
        <v>76.099999999999994</v>
      </c>
      <c r="EZ148" s="32">
        <v>91.4</v>
      </c>
      <c r="FA148" s="32">
        <v>102.2</v>
      </c>
      <c r="FB148" s="32">
        <v>109.5</v>
      </c>
      <c r="FC148" s="32">
        <v>79.7</v>
      </c>
      <c r="FD148" s="32">
        <v>114.9</v>
      </c>
      <c r="FE148" s="32">
        <v>161.19999999999999</v>
      </c>
      <c r="FF148" s="32">
        <v>94</v>
      </c>
      <c r="FG148" s="32">
        <v>82.2</v>
      </c>
      <c r="FH148" s="32">
        <v>84.6</v>
      </c>
      <c r="FI148" s="32">
        <v>83.7</v>
      </c>
      <c r="FJ148" s="32">
        <v>80.8</v>
      </c>
      <c r="FK148" s="32">
        <v>112.9</v>
      </c>
      <c r="FL148" s="32">
        <v>112.9</v>
      </c>
    </row>
    <row r="149" spans="1:168" x14ac:dyDescent="0.2">
      <c r="A149" s="34" t="s">
        <v>1129</v>
      </c>
      <c r="B149" s="32">
        <v>81.3</v>
      </c>
      <c r="C149" s="32">
        <v>100.5</v>
      </c>
      <c r="D149" s="32">
        <v>93.4</v>
      </c>
      <c r="E149" s="32">
        <v>100.7</v>
      </c>
      <c r="F149" s="32">
        <v>200.4</v>
      </c>
      <c r="G149" s="32">
        <v>7407.3</v>
      </c>
      <c r="H149" s="32">
        <v>235.6</v>
      </c>
      <c r="I149" s="32">
        <v>66.400000000000006</v>
      </c>
      <c r="J149" s="32">
        <v>91.3</v>
      </c>
      <c r="K149" s="32">
        <v>95.8</v>
      </c>
      <c r="L149" s="32">
        <v>92.7</v>
      </c>
      <c r="M149" s="32">
        <v>86.5</v>
      </c>
      <c r="N149" s="32">
        <v>81.2</v>
      </c>
      <c r="O149" s="32">
        <v>183.7</v>
      </c>
      <c r="P149" s="32">
        <v>244.5</v>
      </c>
      <c r="Q149" s="32">
        <v>154.4</v>
      </c>
      <c r="R149" s="32">
        <v>88.9</v>
      </c>
      <c r="S149" s="32">
        <v>105.4</v>
      </c>
      <c r="T149" s="32">
        <v>100.3</v>
      </c>
      <c r="U149" s="32">
        <v>66.599999999999994</v>
      </c>
      <c r="V149" s="32">
        <v>124.2</v>
      </c>
      <c r="W149" s="32">
        <v>55.8</v>
      </c>
      <c r="X149" s="32">
        <v>50.8</v>
      </c>
      <c r="Y149" s="32">
        <v>54.1</v>
      </c>
      <c r="Z149" s="32">
        <v>100.2</v>
      </c>
      <c r="AA149" s="32">
        <v>107.5</v>
      </c>
      <c r="AB149" s="32">
        <v>100.9</v>
      </c>
      <c r="AC149" s="32">
        <v>83.4</v>
      </c>
      <c r="AD149" s="32">
        <v>137.1</v>
      </c>
      <c r="AE149" s="32">
        <v>108.3</v>
      </c>
      <c r="AF149" s="32">
        <v>108.3</v>
      </c>
      <c r="AG149" s="32">
        <v>66.3</v>
      </c>
      <c r="AH149" s="32">
        <v>66.3</v>
      </c>
      <c r="AI149" s="32">
        <v>94.7</v>
      </c>
      <c r="AJ149" s="32">
        <v>65.5</v>
      </c>
      <c r="AK149" s="32">
        <v>108.2</v>
      </c>
      <c r="AL149" s="32">
        <v>84.3</v>
      </c>
      <c r="AM149" s="32">
        <v>50.1</v>
      </c>
      <c r="AN149" s="32">
        <v>135</v>
      </c>
      <c r="AO149" s="32">
        <v>120.9</v>
      </c>
      <c r="AP149" s="32">
        <v>120.9</v>
      </c>
      <c r="AQ149" s="32">
        <v>86.8</v>
      </c>
      <c r="AR149" s="32">
        <v>86.7</v>
      </c>
      <c r="AS149" s="32">
        <v>88.9</v>
      </c>
      <c r="AT149" s="32">
        <v>77.2</v>
      </c>
      <c r="AU149" s="32">
        <v>99.4</v>
      </c>
      <c r="AV149" s="32">
        <v>85.9</v>
      </c>
      <c r="AW149" s="32">
        <v>98.4</v>
      </c>
      <c r="AX149" s="32">
        <v>75.599999999999994</v>
      </c>
      <c r="AY149" s="32">
        <v>183.6</v>
      </c>
      <c r="AZ149" s="32">
        <v>86.6</v>
      </c>
      <c r="BA149" s="32">
        <v>79.900000000000006</v>
      </c>
      <c r="BB149" s="32">
        <v>79.900000000000006</v>
      </c>
      <c r="BC149" s="32">
        <v>145.1</v>
      </c>
      <c r="BD149" s="32">
        <v>145.1</v>
      </c>
      <c r="BE149" s="32">
        <v>105</v>
      </c>
      <c r="BF149" s="32">
        <v>105</v>
      </c>
      <c r="BG149" s="32">
        <v>98.9</v>
      </c>
      <c r="BH149" s="32">
        <v>80.2</v>
      </c>
      <c r="BI149" s="32">
        <v>116</v>
      </c>
      <c r="BJ149" s="32">
        <v>53</v>
      </c>
      <c r="BK149" s="32">
        <v>149.19999999999999</v>
      </c>
      <c r="BL149" s="32">
        <v>77.599999999999994</v>
      </c>
      <c r="BM149" s="32">
        <v>91.3</v>
      </c>
      <c r="BN149" s="32">
        <v>101.9</v>
      </c>
      <c r="BO149" s="32">
        <v>77.599999999999994</v>
      </c>
      <c r="BP149" s="32">
        <v>127.1</v>
      </c>
      <c r="BQ149" s="32">
        <v>80.5</v>
      </c>
      <c r="BR149" s="32">
        <v>83.2</v>
      </c>
      <c r="BS149" s="32">
        <v>107.1</v>
      </c>
      <c r="BT149" s="32">
        <v>71</v>
      </c>
      <c r="BU149" s="32">
        <v>118.3</v>
      </c>
      <c r="BV149" s="32">
        <v>118.3</v>
      </c>
      <c r="BW149" s="32">
        <v>172.9</v>
      </c>
      <c r="BX149" s="32">
        <v>40.9</v>
      </c>
      <c r="BY149" s="32">
        <v>93.5</v>
      </c>
      <c r="BZ149" s="32">
        <v>95.2</v>
      </c>
      <c r="CA149" s="32">
        <v>92.7</v>
      </c>
      <c r="CB149" s="32">
        <v>108</v>
      </c>
      <c r="CC149" s="32">
        <v>85.4</v>
      </c>
      <c r="CD149" s="32">
        <v>16.899999999999999</v>
      </c>
      <c r="CE149" s="32">
        <v>78.400000000000006</v>
      </c>
      <c r="CF149" s="32">
        <v>78.599999999999994</v>
      </c>
      <c r="CG149" s="32">
        <v>88.8</v>
      </c>
      <c r="CH149" s="32">
        <v>87.8</v>
      </c>
      <c r="CI149" s="32">
        <v>87.1</v>
      </c>
      <c r="CJ149" s="32">
        <v>82.3</v>
      </c>
      <c r="CK149" s="32">
        <v>93.7</v>
      </c>
      <c r="CL149" s="32">
        <v>92.2</v>
      </c>
      <c r="CM149" s="32">
        <v>97</v>
      </c>
      <c r="CN149" s="32">
        <v>93.4</v>
      </c>
      <c r="CO149" s="32">
        <v>94.5</v>
      </c>
      <c r="CP149" s="32">
        <v>146</v>
      </c>
      <c r="CQ149" s="32">
        <v>61.2</v>
      </c>
      <c r="CR149" s="32">
        <v>100</v>
      </c>
      <c r="CS149" s="32">
        <v>125.3</v>
      </c>
      <c r="CT149" s="32">
        <v>87.2</v>
      </c>
      <c r="CU149" s="32">
        <v>66.599999999999994</v>
      </c>
      <c r="CV149" s="32">
        <v>96.1</v>
      </c>
      <c r="CW149" s="32">
        <v>37.1</v>
      </c>
      <c r="CX149" s="32">
        <v>95.4</v>
      </c>
      <c r="CY149" s="32">
        <v>102</v>
      </c>
      <c r="CZ149" s="32">
        <v>92.3</v>
      </c>
      <c r="DA149" s="32">
        <v>76.099999999999994</v>
      </c>
      <c r="DB149" s="32">
        <v>125.5</v>
      </c>
      <c r="DC149" s="32">
        <v>7.7</v>
      </c>
      <c r="DD149" s="32">
        <v>7.7</v>
      </c>
      <c r="DE149" s="32">
        <v>65.599999999999994</v>
      </c>
      <c r="DF149" s="32">
        <v>63.7</v>
      </c>
      <c r="DG149" s="32">
        <v>75.599999999999994</v>
      </c>
      <c r="DH149" s="32">
        <v>108.2</v>
      </c>
      <c r="DI149" s="32">
        <v>194.2</v>
      </c>
      <c r="DJ149" s="32">
        <v>67.900000000000006</v>
      </c>
      <c r="DK149" s="32">
        <v>67.900000000000006</v>
      </c>
      <c r="DL149" s="32">
        <v>46.4</v>
      </c>
      <c r="DM149" s="32">
        <v>73.3</v>
      </c>
      <c r="DN149" s="32">
        <v>59.6</v>
      </c>
      <c r="DO149" s="32">
        <v>80.400000000000006</v>
      </c>
      <c r="DP149" s="32">
        <v>44.2</v>
      </c>
      <c r="DQ149" s="32">
        <v>70.900000000000006</v>
      </c>
      <c r="DR149" s="32">
        <v>73.599999999999994</v>
      </c>
      <c r="DS149" s="32">
        <v>71.400000000000006</v>
      </c>
      <c r="DT149" s="32">
        <v>67.5</v>
      </c>
      <c r="DU149" s="32">
        <v>66.099999999999994</v>
      </c>
      <c r="DV149" s="32">
        <v>80.400000000000006</v>
      </c>
      <c r="DW149" s="32">
        <v>52</v>
      </c>
      <c r="DX149" s="32">
        <v>70.400000000000006</v>
      </c>
      <c r="DY149" s="32">
        <v>85.4</v>
      </c>
      <c r="DZ149" s="32">
        <v>130.19999999999999</v>
      </c>
      <c r="EA149" s="32">
        <v>130.19999999999999</v>
      </c>
      <c r="EB149" s="32">
        <v>61.5</v>
      </c>
      <c r="EC149" s="32">
        <v>58.4</v>
      </c>
      <c r="ED149" s="32">
        <v>66.2</v>
      </c>
      <c r="EE149" s="32">
        <v>70.5</v>
      </c>
      <c r="EF149" s="32">
        <v>56.8</v>
      </c>
      <c r="EG149" s="32">
        <v>66.8</v>
      </c>
      <c r="EH149" s="32">
        <v>85.6</v>
      </c>
      <c r="EI149" s="32">
        <v>67.5</v>
      </c>
      <c r="EJ149" s="32">
        <v>81.8</v>
      </c>
      <c r="EK149" s="32">
        <v>55.7</v>
      </c>
      <c r="EL149" s="32">
        <v>68.900000000000006</v>
      </c>
      <c r="EM149" s="32">
        <v>51.5</v>
      </c>
      <c r="EN149" s="32">
        <v>56.3</v>
      </c>
      <c r="EO149" s="32">
        <v>88.3</v>
      </c>
      <c r="EP149" s="32">
        <v>91</v>
      </c>
      <c r="EQ149" s="32">
        <v>91</v>
      </c>
      <c r="ER149" s="32">
        <v>81</v>
      </c>
      <c r="ES149" s="32">
        <v>81</v>
      </c>
      <c r="ET149" s="32">
        <v>94.7</v>
      </c>
      <c r="EU149" s="32">
        <v>105.3</v>
      </c>
      <c r="EV149" s="32">
        <v>105.3</v>
      </c>
      <c r="EW149" s="32">
        <v>83.6</v>
      </c>
      <c r="EX149" s="32">
        <v>94.4</v>
      </c>
      <c r="EY149" s="32">
        <v>75.099999999999994</v>
      </c>
      <c r="EZ149" s="32">
        <v>91.2</v>
      </c>
      <c r="FA149" s="32">
        <v>102</v>
      </c>
      <c r="FB149" s="32">
        <v>110.5</v>
      </c>
      <c r="FC149" s="32">
        <v>81</v>
      </c>
      <c r="FD149" s="32">
        <v>114.7</v>
      </c>
      <c r="FE149" s="32">
        <v>162</v>
      </c>
      <c r="FF149" s="32">
        <v>92.5</v>
      </c>
      <c r="FG149" s="32">
        <v>82.5</v>
      </c>
      <c r="FH149" s="32">
        <v>84.9</v>
      </c>
      <c r="FI149" s="32">
        <v>75</v>
      </c>
      <c r="FJ149" s="32">
        <v>82.2</v>
      </c>
      <c r="FK149" s="32">
        <v>103.6</v>
      </c>
      <c r="FL149" s="32">
        <v>103.6</v>
      </c>
    </row>
    <row r="150" spans="1:168" x14ac:dyDescent="0.2">
      <c r="A150" s="34" t="s">
        <v>1130</v>
      </c>
      <c r="B150" s="32">
        <v>80.5</v>
      </c>
      <c r="C150" s="32">
        <v>100.2</v>
      </c>
      <c r="D150" s="32">
        <v>90.6</v>
      </c>
      <c r="E150" s="32">
        <v>97.8</v>
      </c>
      <c r="F150" s="32">
        <v>201.2</v>
      </c>
      <c r="G150" s="32">
        <v>5042.7</v>
      </c>
      <c r="H150" s="32">
        <v>238.4</v>
      </c>
      <c r="I150" s="32">
        <v>66.5</v>
      </c>
      <c r="J150" s="32">
        <v>87.6</v>
      </c>
      <c r="K150" s="32">
        <v>99.7</v>
      </c>
      <c r="L150" s="32">
        <v>94.9</v>
      </c>
      <c r="M150" s="32">
        <v>91.8</v>
      </c>
      <c r="N150" s="32">
        <v>71.3</v>
      </c>
      <c r="O150" s="32">
        <v>174.5</v>
      </c>
      <c r="P150" s="32">
        <v>249.3</v>
      </c>
      <c r="Q150" s="32">
        <v>157.1</v>
      </c>
      <c r="R150" s="32">
        <v>98.6</v>
      </c>
      <c r="S150" s="32">
        <v>104.3</v>
      </c>
      <c r="T150" s="32">
        <v>113.2</v>
      </c>
      <c r="U150" s="32">
        <v>71.400000000000006</v>
      </c>
      <c r="V150" s="32">
        <v>136.4</v>
      </c>
      <c r="W150" s="32">
        <v>57.5</v>
      </c>
      <c r="X150" s="32">
        <v>51.7</v>
      </c>
      <c r="Y150" s="32">
        <v>55.6</v>
      </c>
      <c r="Z150" s="32">
        <v>117.9</v>
      </c>
      <c r="AA150" s="32">
        <v>104.5</v>
      </c>
      <c r="AB150" s="32">
        <v>84.9</v>
      </c>
      <c r="AC150" s="32">
        <v>75.599999999999994</v>
      </c>
      <c r="AD150" s="32">
        <v>145.30000000000001</v>
      </c>
      <c r="AE150" s="32">
        <v>106.6</v>
      </c>
      <c r="AF150" s="32">
        <v>106.6</v>
      </c>
      <c r="AG150" s="32">
        <v>67.5</v>
      </c>
      <c r="AH150" s="32">
        <v>67.5</v>
      </c>
      <c r="AI150" s="32">
        <v>99.1</v>
      </c>
      <c r="AJ150" s="32">
        <v>70.3</v>
      </c>
      <c r="AK150" s="32">
        <v>123.8</v>
      </c>
      <c r="AL150" s="32">
        <v>76.2</v>
      </c>
      <c r="AM150" s="32">
        <v>48.8</v>
      </c>
      <c r="AN150" s="32">
        <v>126.6</v>
      </c>
      <c r="AO150" s="32">
        <v>99.1</v>
      </c>
      <c r="AP150" s="32">
        <v>99.1</v>
      </c>
      <c r="AQ150" s="32">
        <v>82.1</v>
      </c>
      <c r="AR150" s="32">
        <v>84</v>
      </c>
      <c r="AS150" s="32">
        <v>81.599999999999994</v>
      </c>
      <c r="AT150" s="32">
        <v>72.7</v>
      </c>
      <c r="AU150" s="32">
        <v>89.1</v>
      </c>
      <c r="AV150" s="32">
        <v>84.4</v>
      </c>
      <c r="AW150" s="32">
        <v>95.4</v>
      </c>
      <c r="AX150" s="32">
        <v>95.8</v>
      </c>
      <c r="AY150" s="32">
        <v>146.5</v>
      </c>
      <c r="AZ150" s="32">
        <v>85.4</v>
      </c>
      <c r="BA150" s="32">
        <v>79.599999999999994</v>
      </c>
      <c r="BB150" s="32">
        <v>79.599999999999994</v>
      </c>
      <c r="BC150" s="32">
        <v>116.7</v>
      </c>
      <c r="BD150" s="32">
        <v>116.7</v>
      </c>
      <c r="BE150" s="32">
        <v>93.2</v>
      </c>
      <c r="BF150" s="32">
        <v>93.2</v>
      </c>
      <c r="BG150" s="32">
        <v>90.9</v>
      </c>
      <c r="BH150" s="32">
        <v>67.5</v>
      </c>
      <c r="BI150" s="32">
        <v>111.9</v>
      </c>
      <c r="BJ150" s="32">
        <v>51.6</v>
      </c>
      <c r="BK150" s="32">
        <v>145</v>
      </c>
      <c r="BL150" s="32">
        <v>67</v>
      </c>
      <c r="BM150" s="32">
        <v>92.5</v>
      </c>
      <c r="BN150" s="32">
        <v>102.8</v>
      </c>
      <c r="BO150" s="32">
        <v>82.7</v>
      </c>
      <c r="BP150" s="32">
        <v>123.3</v>
      </c>
      <c r="BQ150" s="32">
        <v>81.900000000000006</v>
      </c>
      <c r="BR150" s="32">
        <v>71.5</v>
      </c>
      <c r="BS150" s="32">
        <v>105.2</v>
      </c>
      <c r="BT150" s="32">
        <v>74.7</v>
      </c>
      <c r="BU150" s="32">
        <v>117.8</v>
      </c>
      <c r="BV150" s="32">
        <v>117.8</v>
      </c>
      <c r="BW150" s="32">
        <v>170</v>
      </c>
      <c r="BX150" s="32">
        <v>42.2</v>
      </c>
      <c r="BY150" s="32">
        <v>90.9</v>
      </c>
      <c r="BZ150" s="32">
        <v>93.7</v>
      </c>
      <c r="CA150" s="32">
        <v>89.6</v>
      </c>
      <c r="CB150" s="32">
        <v>105.3</v>
      </c>
      <c r="CC150" s="32">
        <v>81.8</v>
      </c>
      <c r="CD150" s="32">
        <v>16.399999999999999</v>
      </c>
      <c r="CE150" s="32">
        <v>75.8</v>
      </c>
      <c r="CF150" s="32">
        <v>78.3</v>
      </c>
      <c r="CG150" s="32">
        <v>89</v>
      </c>
      <c r="CH150" s="32">
        <v>88.8</v>
      </c>
      <c r="CI150" s="32">
        <v>87.3</v>
      </c>
      <c r="CJ150" s="32">
        <v>85.6</v>
      </c>
      <c r="CK150" s="32">
        <v>93</v>
      </c>
      <c r="CL150" s="32">
        <v>92.3</v>
      </c>
      <c r="CM150" s="32">
        <v>100.4</v>
      </c>
      <c r="CN150" s="32">
        <v>94.8</v>
      </c>
      <c r="CO150" s="32">
        <v>98.1</v>
      </c>
      <c r="CP150" s="32">
        <v>138.80000000000001</v>
      </c>
      <c r="CQ150" s="32">
        <v>54.8</v>
      </c>
      <c r="CR150" s="32">
        <v>97.6</v>
      </c>
      <c r="CS150" s="32">
        <v>129.5</v>
      </c>
      <c r="CT150" s="32">
        <v>84.5</v>
      </c>
      <c r="CU150" s="32">
        <v>65.2</v>
      </c>
      <c r="CV150" s="32">
        <v>93</v>
      </c>
      <c r="CW150" s="32">
        <v>36.6</v>
      </c>
      <c r="CX150" s="32">
        <v>95.5</v>
      </c>
      <c r="CY150" s="32">
        <v>100.8</v>
      </c>
      <c r="CZ150" s="32">
        <v>93.2</v>
      </c>
      <c r="DA150" s="32">
        <v>79.8</v>
      </c>
      <c r="DB150" s="32">
        <v>119.7</v>
      </c>
      <c r="DC150" s="32">
        <v>7.5</v>
      </c>
      <c r="DD150" s="32">
        <v>7.5</v>
      </c>
      <c r="DE150" s="32">
        <v>64.5</v>
      </c>
      <c r="DF150" s="32">
        <v>63.7</v>
      </c>
      <c r="DG150" s="32">
        <v>68.099999999999994</v>
      </c>
      <c r="DH150" s="32">
        <v>106.1</v>
      </c>
      <c r="DI150" s="32">
        <v>178.2</v>
      </c>
      <c r="DJ150" s="32">
        <v>70.400000000000006</v>
      </c>
      <c r="DK150" s="32">
        <v>70.400000000000006</v>
      </c>
      <c r="DL150" s="32">
        <v>53.5</v>
      </c>
      <c r="DM150" s="32">
        <v>74.3</v>
      </c>
      <c r="DN150" s="32">
        <v>60.4</v>
      </c>
      <c r="DO150" s="32">
        <v>81.400000000000006</v>
      </c>
      <c r="DP150" s="32">
        <v>46.6</v>
      </c>
      <c r="DQ150" s="32">
        <v>69</v>
      </c>
      <c r="DR150" s="32">
        <v>71.900000000000006</v>
      </c>
      <c r="DS150" s="32">
        <v>72.3</v>
      </c>
      <c r="DT150" s="32">
        <v>68</v>
      </c>
      <c r="DU150" s="32">
        <v>67.599999999999994</v>
      </c>
      <c r="DV150" s="32">
        <v>79.8</v>
      </c>
      <c r="DW150" s="32">
        <v>55.3</v>
      </c>
      <c r="DX150" s="32">
        <v>69</v>
      </c>
      <c r="DY150" s="32">
        <v>87.8</v>
      </c>
      <c r="DZ150" s="32">
        <v>104.8</v>
      </c>
      <c r="EA150" s="32">
        <v>104.8</v>
      </c>
      <c r="EB150" s="32">
        <v>60.2</v>
      </c>
      <c r="EC150" s="32">
        <v>57.7</v>
      </c>
      <c r="ED150" s="32">
        <v>63.8</v>
      </c>
      <c r="EE150" s="32">
        <v>68.099999999999994</v>
      </c>
      <c r="EF150" s="32">
        <v>54.5</v>
      </c>
      <c r="EG150" s="32">
        <v>64.599999999999994</v>
      </c>
      <c r="EH150" s="32">
        <v>85</v>
      </c>
      <c r="EI150" s="32">
        <v>63.5</v>
      </c>
      <c r="EJ150" s="32">
        <v>74.099999999999994</v>
      </c>
      <c r="EK150" s="32">
        <v>55</v>
      </c>
      <c r="EL150" s="32">
        <v>68.3</v>
      </c>
      <c r="EM150" s="32">
        <v>52.8</v>
      </c>
      <c r="EN150" s="32">
        <v>54.1</v>
      </c>
      <c r="EO150" s="32">
        <v>88</v>
      </c>
      <c r="EP150" s="32">
        <v>91.4</v>
      </c>
      <c r="EQ150" s="32">
        <v>91.4</v>
      </c>
      <c r="ER150" s="32">
        <v>81</v>
      </c>
      <c r="ES150" s="32">
        <v>81</v>
      </c>
      <c r="ET150" s="32">
        <v>93.6</v>
      </c>
      <c r="EU150" s="32">
        <v>104</v>
      </c>
      <c r="EV150" s="32">
        <v>104</v>
      </c>
      <c r="EW150" s="32">
        <v>82.7</v>
      </c>
      <c r="EX150" s="32">
        <v>94.2</v>
      </c>
      <c r="EY150" s="32">
        <v>73.599999999999994</v>
      </c>
      <c r="EZ150" s="32">
        <v>93.8</v>
      </c>
      <c r="FA150" s="32">
        <v>104.9</v>
      </c>
      <c r="FB150" s="32">
        <v>115.1</v>
      </c>
      <c r="FC150" s="32">
        <v>89.2</v>
      </c>
      <c r="FD150" s="32">
        <v>115.3</v>
      </c>
      <c r="FE150" s="32">
        <v>161.69999999999999</v>
      </c>
      <c r="FF150" s="32">
        <v>93.6</v>
      </c>
      <c r="FG150" s="32">
        <v>85.3</v>
      </c>
      <c r="FH150" s="32">
        <v>87.2</v>
      </c>
      <c r="FI150" s="32">
        <v>83.4</v>
      </c>
      <c r="FJ150" s="32">
        <v>84.6</v>
      </c>
      <c r="FK150" s="32">
        <v>98</v>
      </c>
      <c r="FL150" s="32">
        <v>98</v>
      </c>
    </row>
    <row r="151" spans="1:168" x14ac:dyDescent="0.2">
      <c r="A151" s="34" t="s">
        <v>1131</v>
      </c>
      <c r="B151" s="32">
        <v>80.5</v>
      </c>
      <c r="C151" s="32">
        <v>99.6</v>
      </c>
      <c r="D151" s="32">
        <v>90.1</v>
      </c>
      <c r="E151" s="32">
        <v>98</v>
      </c>
      <c r="F151" s="32">
        <v>200.8</v>
      </c>
      <c r="G151" s="32">
        <v>5427.3</v>
      </c>
      <c r="H151" s="32">
        <v>238.8</v>
      </c>
      <c r="I151" s="32">
        <v>65.099999999999994</v>
      </c>
      <c r="J151" s="32">
        <v>87.8</v>
      </c>
      <c r="K151" s="32">
        <v>99.6</v>
      </c>
      <c r="L151" s="32">
        <v>95.8</v>
      </c>
      <c r="M151" s="32">
        <v>93.8</v>
      </c>
      <c r="N151" s="32">
        <v>73.5</v>
      </c>
      <c r="O151" s="32">
        <v>203.6</v>
      </c>
      <c r="P151" s="32">
        <v>251.6</v>
      </c>
      <c r="Q151" s="32">
        <v>164.5</v>
      </c>
      <c r="R151" s="32">
        <v>96.9</v>
      </c>
      <c r="S151" s="32">
        <v>106.1</v>
      </c>
      <c r="T151" s="32">
        <v>105.7</v>
      </c>
      <c r="U151" s="32">
        <v>69.2</v>
      </c>
      <c r="V151" s="32">
        <v>131.6</v>
      </c>
      <c r="W151" s="32">
        <v>59.5</v>
      </c>
      <c r="X151" s="32">
        <v>54.5</v>
      </c>
      <c r="Y151" s="32">
        <v>55.8</v>
      </c>
      <c r="Z151" s="32">
        <v>116.3</v>
      </c>
      <c r="AA151" s="32">
        <v>101.6</v>
      </c>
      <c r="AB151" s="32">
        <v>83.2</v>
      </c>
      <c r="AC151" s="32">
        <v>80</v>
      </c>
      <c r="AD151" s="32">
        <v>135.80000000000001</v>
      </c>
      <c r="AE151" s="32">
        <v>121.3</v>
      </c>
      <c r="AF151" s="32">
        <v>121.3</v>
      </c>
      <c r="AG151" s="32">
        <v>67.8</v>
      </c>
      <c r="AH151" s="32">
        <v>67.8</v>
      </c>
      <c r="AI151" s="32">
        <v>113.1</v>
      </c>
      <c r="AJ151" s="32">
        <v>71.099999999999994</v>
      </c>
      <c r="AK151" s="32">
        <v>131.6</v>
      </c>
      <c r="AL151" s="32">
        <v>72.599999999999994</v>
      </c>
      <c r="AM151" s="32">
        <v>47.7</v>
      </c>
      <c r="AN151" s="32">
        <v>117.4</v>
      </c>
      <c r="AO151" s="32">
        <v>109.1</v>
      </c>
      <c r="AP151" s="32">
        <v>109.1</v>
      </c>
      <c r="AQ151" s="32">
        <v>80.099999999999994</v>
      </c>
      <c r="AR151" s="32">
        <v>83.4</v>
      </c>
      <c r="AS151" s="32">
        <v>77.5</v>
      </c>
      <c r="AT151" s="32">
        <v>71.3</v>
      </c>
      <c r="AU151" s="32">
        <v>82.3</v>
      </c>
      <c r="AV151" s="32">
        <v>81.099999999999994</v>
      </c>
      <c r="AW151" s="32">
        <v>91.4</v>
      </c>
      <c r="AX151" s="32">
        <v>95</v>
      </c>
      <c r="AY151" s="32">
        <v>135.1</v>
      </c>
      <c r="AZ151" s="32">
        <v>82.2</v>
      </c>
      <c r="BA151" s="32">
        <v>79</v>
      </c>
      <c r="BB151" s="32">
        <v>79</v>
      </c>
      <c r="BC151" s="32">
        <v>119.8</v>
      </c>
      <c r="BD151" s="32">
        <v>119.8</v>
      </c>
      <c r="BE151" s="32">
        <v>89.9</v>
      </c>
      <c r="BF151" s="32">
        <v>89.9</v>
      </c>
      <c r="BG151" s="32">
        <v>89.3</v>
      </c>
      <c r="BH151" s="32">
        <v>65.400000000000006</v>
      </c>
      <c r="BI151" s="32">
        <v>110.6</v>
      </c>
      <c r="BJ151" s="32">
        <v>50.9</v>
      </c>
      <c r="BK151" s="32">
        <v>144</v>
      </c>
      <c r="BL151" s="32">
        <v>62.3</v>
      </c>
      <c r="BM151" s="32">
        <v>94.2</v>
      </c>
      <c r="BN151" s="32">
        <v>105.1</v>
      </c>
      <c r="BO151" s="32">
        <v>86.3</v>
      </c>
      <c r="BP151" s="32">
        <v>123.8</v>
      </c>
      <c r="BQ151" s="32">
        <v>82.9</v>
      </c>
      <c r="BR151" s="32">
        <v>66.099999999999994</v>
      </c>
      <c r="BS151" s="32">
        <v>108.7</v>
      </c>
      <c r="BT151" s="32">
        <v>76.099999999999994</v>
      </c>
      <c r="BU151" s="32">
        <v>117</v>
      </c>
      <c r="BV151" s="32">
        <v>117</v>
      </c>
      <c r="BW151" s="32">
        <v>169</v>
      </c>
      <c r="BX151" s="32">
        <v>41.8</v>
      </c>
      <c r="BY151" s="32">
        <v>92.9</v>
      </c>
      <c r="BZ151" s="32">
        <v>92.1</v>
      </c>
      <c r="CA151" s="32">
        <v>93.3</v>
      </c>
      <c r="CB151" s="32">
        <v>104.7</v>
      </c>
      <c r="CC151" s="32">
        <v>89.6</v>
      </c>
      <c r="CD151" s="32">
        <v>16.7</v>
      </c>
      <c r="CE151" s="32">
        <v>73.8</v>
      </c>
      <c r="CF151" s="32">
        <v>78.400000000000006</v>
      </c>
      <c r="CG151" s="32">
        <v>87.4</v>
      </c>
      <c r="CH151" s="32">
        <v>87.4</v>
      </c>
      <c r="CI151" s="32">
        <v>88.5</v>
      </c>
      <c r="CJ151" s="32">
        <v>85.6</v>
      </c>
      <c r="CK151" s="32">
        <v>89.6</v>
      </c>
      <c r="CL151" s="32">
        <v>89.6</v>
      </c>
      <c r="CM151" s="32">
        <v>97.4</v>
      </c>
      <c r="CN151" s="32">
        <v>93.7</v>
      </c>
      <c r="CO151" s="32">
        <v>94.9</v>
      </c>
      <c r="CP151" s="32">
        <v>129.19999999999999</v>
      </c>
      <c r="CQ151" s="32">
        <v>51.8</v>
      </c>
      <c r="CR151" s="32">
        <v>94.3</v>
      </c>
      <c r="CS151" s="32">
        <v>129.1</v>
      </c>
      <c r="CT151" s="32">
        <v>84.4</v>
      </c>
      <c r="CU151" s="32">
        <v>62.6</v>
      </c>
      <c r="CV151" s="32">
        <v>93.9</v>
      </c>
      <c r="CW151" s="32">
        <v>36.799999999999997</v>
      </c>
      <c r="CX151" s="32">
        <v>95.3</v>
      </c>
      <c r="CY151" s="32">
        <v>107.3</v>
      </c>
      <c r="CZ151" s="32">
        <v>89</v>
      </c>
      <c r="DA151" s="32">
        <v>74.599999999999994</v>
      </c>
      <c r="DB151" s="32">
        <v>118.3</v>
      </c>
      <c r="DC151" s="32">
        <v>7.7</v>
      </c>
      <c r="DD151" s="32">
        <v>7.7</v>
      </c>
      <c r="DE151" s="32">
        <v>64.400000000000006</v>
      </c>
      <c r="DF151" s="32">
        <v>62.9</v>
      </c>
      <c r="DG151" s="32">
        <v>72.2</v>
      </c>
      <c r="DH151" s="32">
        <v>111.5</v>
      </c>
      <c r="DI151" s="32">
        <v>181.7</v>
      </c>
      <c r="DJ151" s="32">
        <v>70.900000000000006</v>
      </c>
      <c r="DK151" s="32">
        <v>70.900000000000006</v>
      </c>
      <c r="DL151" s="32">
        <v>63.8</v>
      </c>
      <c r="DM151" s="32">
        <v>74.2</v>
      </c>
      <c r="DN151" s="32">
        <v>60.3</v>
      </c>
      <c r="DO151" s="32">
        <v>81.099999999999994</v>
      </c>
      <c r="DP151" s="32">
        <v>48.7</v>
      </c>
      <c r="DQ151" s="32">
        <v>69</v>
      </c>
      <c r="DR151" s="32">
        <v>72</v>
      </c>
      <c r="DS151" s="32">
        <v>71.7</v>
      </c>
      <c r="DT151" s="32">
        <v>67.2</v>
      </c>
      <c r="DU151" s="32">
        <v>67.400000000000006</v>
      </c>
      <c r="DV151" s="32">
        <v>79.599999999999994</v>
      </c>
      <c r="DW151" s="32">
        <v>55.1</v>
      </c>
      <c r="DX151" s="32">
        <v>66.900000000000006</v>
      </c>
      <c r="DY151" s="32">
        <v>87.8</v>
      </c>
      <c r="DZ151" s="32">
        <v>111.3</v>
      </c>
      <c r="EA151" s="32">
        <v>111.3</v>
      </c>
      <c r="EB151" s="32">
        <v>60.3</v>
      </c>
      <c r="EC151" s="32">
        <v>58.1</v>
      </c>
      <c r="ED151" s="32">
        <v>63.5</v>
      </c>
      <c r="EE151" s="32">
        <v>66.900000000000006</v>
      </c>
      <c r="EF151" s="32">
        <v>56.3</v>
      </c>
      <c r="EG151" s="32">
        <v>64.2</v>
      </c>
      <c r="EH151" s="32">
        <v>84.8</v>
      </c>
      <c r="EI151" s="32">
        <v>62</v>
      </c>
      <c r="EJ151" s="32">
        <v>72.5</v>
      </c>
      <c r="EK151" s="32">
        <v>55.5</v>
      </c>
      <c r="EL151" s="32">
        <v>71.599999999999994</v>
      </c>
      <c r="EM151" s="32">
        <v>53.5</v>
      </c>
      <c r="EN151" s="32">
        <v>54</v>
      </c>
      <c r="EO151" s="32">
        <v>87.8</v>
      </c>
      <c r="EP151" s="32">
        <v>91.5</v>
      </c>
      <c r="EQ151" s="32">
        <v>91.5</v>
      </c>
      <c r="ER151" s="32">
        <v>80.8</v>
      </c>
      <c r="ES151" s="32">
        <v>80.8</v>
      </c>
      <c r="ET151" s="32">
        <v>93</v>
      </c>
      <c r="EU151" s="32">
        <v>103.4</v>
      </c>
      <c r="EV151" s="32">
        <v>103.4</v>
      </c>
      <c r="EW151" s="32">
        <v>82.2</v>
      </c>
      <c r="EX151" s="32">
        <v>94.1</v>
      </c>
      <c r="EY151" s="32">
        <v>72.7</v>
      </c>
      <c r="EZ151" s="32">
        <v>93.8</v>
      </c>
      <c r="FA151" s="32">
        <v>105.1</v>
      </c>
      <c r="FB151" s="32">
        <v>118.1</v>
      </c>
      <c r="FC151" s="32">
        <v>94.7</v>
      </c>
      <c r="FD151" s="32">
        <v>116.2</v>
      </c>
      <c r="FE151" s="32">
        <v>160.6</v>
      </c>
      <c r="FF151" s="32">
        <v>90.6</v>
      </c>
      <c r="FG151" s="32">
        <v>85.6</v>
      </c>
      <c r="FH151" s="32">
        <v>86.1</v>
      </c>
      <c r="FI151" s="32">
        <v>84.5</v>
      </c>
      <c r="FJ151" s="32">
        <v>85.4</v>
      </c>
      <c r="FK151" s="32">
        <v>91.7</v>
      </c>
      <c r="FL151" s="32">
        <v>91.7</v>
      </c>
    </row>
    <row r="152" spans="1:168" x14ac:dyDescent="0.2">
      <c r="A152" s="34" t="s">
        <v>1132</v>
      </c>
      <c r="B152" s="32">
        <v>79.7</v>
      </c>
      <c r="C152" s="32">
        <v>98.7</v>
      </c>
      <c r="D152" s="32">
        <v>89.3</v>
      </c>
      <c r="E152" s="32">
        <v>97.4</v>
      </c>
      <c r="F152" s="32">
        <v>193.5</v>
      </c>
      <c r="G152" s="32">
        <v>6411.5</v>
      </c>
      <c r="H152" s="32">
        <v>228.3</v>
      </c>
      <c r="I152" s="32">
        <v>65.5</v>
      </c>
      <c r="J152" s="32">
        <v>87.5</v>
      </c>
      <c r="K152" s="32">
        <v>100.9</v>
      </c>
      <c r="L152" s="32">
        <v>97.4</v>
      </c>
      <c r="M152" s="32">
        <v>99.4</v>
      </c>
      <c r="N152" s="32">
        <v>75.400000000000006</v>
      </c>
      <c r="O152" s="32">
        <v>234.1</v>
      </c>
      <c r="P152" s="32">
        <v>251.4</v>
      </c>
      <c r="Q152" s="32">
        <v>180</v>
      </c>
      <c r="R152" s="32">
        <v>96</v>
      </c>
      <c r="S152" s="32">
        <v>105.9</v>
      </c>
      <c r="T152" s="32">
        <v>106.7</v>
      </c>
      <c r="U152" s="32">
        <v>70.7</v>
      </c>
      <c r="V152" s="32">
        <v>131.5</v>
      </c>
      <c r="W152" s="32">
        <v>58.8</v>
      </c>
      <c r="X152" s="32">
        <v>55.1</v>
      </c>
      <c r="Y152" s="32">
        <v>52</v>
      </c>
      <c r="Z152" s="32">
        <v>115.3</v>
      </c>
      <c r="AA152" s="32">
        <v>101.8</v>
      </c>
      <c r="AB152" s="32">
        <v>77.900000000000006</v>
      </c>
      <c r="AC152" s="32">
        <v>77.900000000000006</v>
      </c>
      <c r="AD152" s="32">
        <v>140.9</v>
      </c>
      <c r="AE152" s="32">
        <v>113.7</v>
      </c>
      <c r="AF152" s="32">
        <v>113.7</v>
      </c>
      <c r="AG152" s="32">
        <v>69.3</v>
      </c>
      <c r="AH152" s="32">
        <v>69.3</v>
      </c>
      <c r="AI152" s="32">
        <v>134.1</v>
      </c>
      <c r="AJ152" s="32">
        <v>72.2</v>
      </c>
      <c r="AK152" s="32">
        <v>142.4</v>
      </c>
      <c r="AL152" s="32">
        <v>72.7</v>
      </c>
      <c r="AM152" s="32">
        <v>47.8</v>
      </c>
      <c r="AN152" s="32">
        <v>102.6</v>
      </c>
      <c r="AO152" s="32">
        <v>106.5</v>
      </c>
      <c r="AP152" s="32">
        <v>106.5</v>
      </c>
      <c r="AQ152" s="32">
        <v>79</v>
      </c>
      <c r="AR152" s="32">
        <v>80.099999999999994</v>
      </c>
      <c r="AS152" s="32">
        <v>79.400000000000006</v>
      </c>
      <c r="AT152" s="32">
        <v>70.5</v>
      </c>
      <c r="AU152" s="32">
        <v>87.1</v>
      </c>
      <c r="AV152" s="32">
        <v>79.900000000000006</v>
      </c>
      <c r="AW152" s="32">
        <v>89.7</v>
      </c>
      <c r="AX152" s="32">
        <v>100.8</v>
      </c>
      <c r="AY152" s="32">
        <v>122</v>
      </c>
      <c r="AZ152" s="32">
        <v>81</v>
      </c>
      <c r="BA152" s="32">
        <v>79</v>
      </c>
      <c r="BB152" s="32">
        <v>79</v>
      </c>
      <c r="BC152" s="32">
        <v>117.1</v>
      </c>
      <c r="BD152" s="32">
        <v>117.1</v>
      </c>
      <c r="BE152" s="32">
        <v>89.3</v>
      </c>
      <c r="BF152" s="32">
        <v>89.3</v>
      </c>
      <c r="BG152" s="32">
        <v>89.4</v>
      </c>
      <c r="BH152" s="32">
        <v>69.599999999999994</v>
      </c>
      <c r="BI152" s="32">
        <v>106.8</v>
      </c>
      <c r="BJ152" s="32">
        <v>49.3</v>
      </c>
      <c r="BK152" s="32">
        <v>139.80000000000001</v>
      </c>
      <c r="BL152" s="32">
        <v>54.8</v>
      </c>
      <c r="BM152" s="32">
        <v>94.2</v>
      </c>
      <c r="BN152" s="32">
        <v>104.5</v>
      </c>
      <c r="BO152" s="32">
        <v>80.3</v>
      </c>
      <c r="BP152" s="32">
        <v>129.4</v>
      </c>
      <c r="BQ152" s="32">
        <v>83.7</v>
      </c>
      <c r="BR152" s="32">
        <v>75.3</v>
      </c>
      <c r="BS152" s="32">
        <v>121.4</v>
      </c>
      <c r="BT152" s="32">
        <v>73.599999999999994</v>
      </c>
      <c r="BU152" s="32">
        <v>116.5</v>
      </c>
      <c r="BV152" s="32">
        <v>116.5</v>
      </c>
      <c r="BW152" s="32">
        <v>170.6</v>
      </c>
      <c r="BX152" s="32">
        <v>40</v>
      </c>
      <c r="BY152" s="32">
        <v>94.3</v>
      </c>
      <c r="BZ152" s="32">
        <v>88.4</v>
      </c>
      <c r="CA152" s="32">
        <v>97.1</v>
      </c>
      <c r="CB152" s="32">
        <v>107.1</v>
      </c>
      <c r="CC152" s="32">
        <v>94.8</v>
      </c>
      <c r="CD152" s="32">
        <v>17.3</v>
      </c>
      <c r="CE152" s="32">
        <v>72.599999999999994</v>
      </c>
      <c r="CF152" s="32">
        <v>77.7</v>
      </c>
      <c r="CG152" s="32">
        <v>85.2</v>
      </c>
      <c r="CH152" s="32">
        <v>84.5</v>
      </c>
      <c r="CI152" s="32">
        <v>78.8</v>
      </c>
      <c r="CJ152" s="32">
        <v>82.1</v>
      </c>
      <c r="CK152" s="32">
        <v>89.3</v>
      </c>
      <c r="CL152" s="32">
        <v>86.8</v>
      </c>
      <c r="CM152" s="32">
        <v>94.4</v>
      </c>
      <c r="CN152" s="32">
        <v>94.2</v>
      </c>
      <c r="CO152" s="32">
        <v>91.5</v>
      </c>
      <c r="CP152" s="32">
        <v>118</v>
      </c>
      <c r="CQ152" s="32">
        <v>51.4</v>
      </c>
      <c r="CR152" s="32">
        <v>92</v>
      </c>
      <c r="CS152" s="32">
        <v>125.3</v>
      </c>
      <c r="CT152" s="32">
        <v>85.3</v>
      </c>
      <c r="CU152" s="32">
        <v>63.6</v>
      </c>
      <c r="CV152" s="32">
        <v>94.8</v>
      </c>
      <c r="CW152" s="32">
        <v>36.799999999999997</v>
      </c>
      <c r="CX152" s="32">
        <v>94.9</v>
      </c>
      <c r="CY152" s="32">
        <v>107.4</v>
      </c>
      <c r="CZ152" s="32">
        <v>88.3</v>
      </c>
      <c r="DA152" s="32">
        <v>73.599999999999994</v>
      </c>
      <c r="DB152" s="32">
        <v>118.4</v>
      </c>
      <c r="DC152" s="32">
        <v>7.9</v>
      </c>
      <c r="DD152" s="32">
        <v>7.9</v>
      </c>
      <c r="DE152" s="32">
        <v>63.1</v>
      </c>
      <c r="DF152" s="32">
        <v>61.5</v>
      </c>
      <c r="DG152" s="32">
        <v>71.5</v>
      </c>
      <c r="DH152" s="32">
        <v>110.5</v>
      </c>
      <c r="DI152" s="32">
        <v>178.2</v>
      </c>
      <c r="DJ152" s="32">
        <v>70.099999999999994</v>
      </c>
      <c r="DK152" s="32">
        <v>70.099999999999994</v>
      </c>
      <c r="DL152" s="32">
        <v>65.099999999999994</v>
      </c>
      <c r="DM152" s="32">
        <v>73.8</v>
      </c>
      <c r="DN152" s="32">
        <v>60.1</v>
      </c>
      <c r="DO152" s="32">
        <v>80.599999999999994</v>
      </c>
      <c r="DP152" s="32">
        <v>49.7</v>
      </c>
      <c r="DQ152" s="32">
        <v>67.599999999999994</v>
      </c>
      <c r="DR152" s="32">
        <v>70.3</v>
      </c>
      <c r="DS152" s="32">
        <v>70.2</v>
      </c>
      <c r="DT152" s="32">
        <v>66.7</v>
      </c>
      <c r="DU152" s="32">
        <v>67.3</v>
      </c>
      <c r="DV152" s="32">
        <v>80.400000000000006</v>
      </c>
      <c r="DW152" s="32">
        <v>54.2</v>
      </c>
      <c r="DX152" s="32">
        <v>65.5</v>
      </c>
      <c r="DY152" s="32">
        <v>83.2</v>
      </c>
      <c r="DZ152" s="32">
        <v>104.2</v>
      </c>
      <c r="EA152" s="32">
        <v>104.2</v>
      </c>
      <c r="EB152" s="32">
        <v>59.6</v>
      </c>
      <c r="EC152" s="32">
        <v>56.5</v>
      </c>
      <c r="ED152" s="32">
        <v>64</v>
      </c>
      <c r="EE152" s="32">
        <v>67.8</v>
      </c>
      <c r="EF152" s="32">
        <v>55.8</v>
      </c>
      <c r="EG152" s="32">
        <v>63.4</v>
      </c>
      <c r="EH152" s="32">
        <v>84.3</v>
      </c>
      <c r="EI152" s="32">
        <v>61.9</v>
      </c>
      <c r="EJ152" s="32">
        <v>67.400000000000006</v>
      </c>
      <c r="EK152" s="32">
        <v>54.7</v>
      </c>
      <c r="EL152" s="32">
        <v>69.599999999999994</v>
      </c>
      <c r="EM152" s="32">
        <v>51.6</v>
      </c>
      <c r="EN152" s="32">
        <v>54.2</v>
      </c>
      <c r="EO152" s="32">
        <v>88.4</v>
      </c>
      <c r="EP152" s="32">
        <v>91.5</v>
      </c>
      <c r="EQ152" s="32">
        <v>91.5</v>
      </c>
      <c r="ER152" s="32">
        <v>83.1</v>
      </c>
      <c r="ES152" s="32">
        <v>83.1</v>
      </c>
      <c r="ET152" s="32">
        <v>92.4</v>
      </c>
      <c r="EU152" s="32">
        <v>102.7</v>
      </c>
      <c r="EV152" s="32">
        <v>102.7</v>
      </c>
      <c r="EW152" s="32">
        <v>81.900000000000006</v>
      </c>
      <c r="EX152" s="32">
        <v>93.9</v>
      </c>
      <c r="EY152" s="32">
        <v>72.3</v>
      </c>
      <c r="EZ152" s="32">
        <v>91.3</v>
      </c>
      <c r="FA152" s="32">
        <v>100.9</v>
      </c>
      <c r="FB152" s="32">
        <v>111.7</v>
      </c>
      <c r="FC152" s="32">
        <v>84.7</v>
      </c>
      <c r="FD152" s="32">
        <v>115.9</v>
      </c>
      <c r="FE152" s="32">
        <v>158.19999999999999</v>
      </c>
      <c r="FF152" s="32">
        <v>88.9</v>
      </c>
      <c r="FG152" s="32">
        <v>84</v>
      </c>
      <c r="FH152" s="32">
        <v>84.9</v>
      </c>
      <c r="FI152" s="32">
        <v>83.1</v>
      </c>
      <c r="FJ152" s="32">
        <v>83.5</v>
      </c>
      <c r="FK152" s="32">
        <v>94</v>
      </c>
      <c r="FL152" s="32">
        <v>94</v>
      </c>
    </row>
    <row r="153" spans="1:168" x14ac:dyDescent="0.2">
      <c r="A153" s="34" t="s">
        <v>1133</v>
      </c>
      <c r="B153" s="32">
        <v>80.400000000000006</v>
      </c>
      <c r="C153" s="32">
        <v>97.8</v>
      </c>
      <c r="D153" s="32">
        <v>90.3</v>
      </c>
      <c r="E153" s="32">
        <v>99</v>
      </c>
      <c r="F153" s="32">
        <v>200.7</v>
      </c>
      <c r="G153" s="32">
        <v>6171</v>
      </c>
      <c r="H153" s="32">
        <v>238.1</v>
      </c>
      <c r="I153" s="32">
        <v>66.599999999999994</v>
      </c>
      <c r="J153" s="32">
        <v>88.7</v>
      </c>
      <c r="K153" s="32">
        <v>100.2</v>
      </c>
      <c r="L153" s="32">
        <v>94.8</v>
      </c>
      <c r="M153" s="32">
        <v>102.1</v>
      </c>
      <c r="N153" s="32">
        <v>75.7</v>
      </c>
      <c r="O153" s="32">
        <v>281.10000000000002</v>
      </c>
      <c r="P153" s="32">
        <v>254.9</v>
      </c>
      <c r="Q153" s="32">
        <v>183.8</v>
      </c>
      <c r="R153" s="32">
        <v>91.3</v>
      </c>
      <c r="S153" s="32">
        <v>97.7</v>
      </c>
      <c r="T153" s="32">
        <v>104.3</v>
      </c>
      <c r="U153" s="32">
        <v>73.599999999999994</v>
      </c>
      <c r="V153" s="32">
        <v>138.69999999999999</v>
      </c>
      <c r="W153" s="32">
        <v>61.9</v>
      </c>
      <c r="X153" s="32">
        <v>59.6</v>
      </c>
      <c r="Y153" s="32">
        <v>51.2</v>
      </c>
      <c r="Z153" s="32">
        <v>118.4</v>
      </c>
      <c r="AA153" s="32">
        <v>102</v>
      </c>
      <c r="AB153" s="32">
        <v>75.599999999999994</v>
      </c>
      <c r="AC153" s="32">
        <v>80.2</v>
      </c>
      <c r="AD153" s="32">
        <v>141.19999999999999</v>
      </c>
      <c r="AE153" s="32">
        <v>106.2</v>
      </c>
      <c r="AF153" s="32">
        <v>106.2</v>
      </c>
      <c r="AG153" s="32">
        <v>70</v>
      </c>
      <c r="AH153" s="32">
        <v>70</v>
      </c>
      <c r="AI153" s="32">
        <v>134.4</v>
      </c>
      <c r="AJ153" s="32">
        <v>72</v>
      </c>
      <c r="AK153" s="32">
        <v>144.1</v>
      </c>
      <c r="AL153" s="32">
        <v>76.8</v>
      </c>
      <c r="AM153" s="32">
        <v>48.3</v>
      </c>
      <c r="AN153" s="32">
        <v>103.2</v>
      </c>
      <c r="AO153" s="32">
        <v>114.6</v>
      </c>
      <c r="AP153" s="32">
        <v>114.6</v>
      </c>
      <c r="AQ153" s="32">
        <v>83</v>
      </c>
      <c r="AR153" s="32">
        <v>85.1</v>
      </c>
      <c r="AS153" s="32">
        <v>82</v>
      </c>
      <c r="AT153" s="32">
        <v>74.400000000000006</v>
      </c>
      <c r="AU153" s="32">
        <v>88.2</v>
      </c>
      <c r="AV153" s="32">
        <v>78</v>
      </c>
      <c r="AW153" s="32">
        <v>89</v>
      </c>
      <c r="AX153" s="32">
        <v>104</v>
      </c>
      <c r="AY153" s="32">
        <v>115.1</v>
      </c>
      <c r="AZ153" s="32">
        <v>78.900000000000006</v>
      </c>
      <c r="BA153" s="32">
        <v>83.9</v>
      </c>
      <c r="BB153" s="32">
        <v>83.9</v>
      </c>
      <c r="BC153" s="32">
        <v>123.7</v>
      </c>
      <c r="BD153" s="32">
        <v>123.7</v>
      </c>
      <c r="BE153" s="32">
        <v>86.3</v>
      </c>
      <c r="BF153" s="32">
        <v>86.3</v>
      </c>
      <c r="BG153" s="32">
        <v>91.2</v>
      </c>
      <c r="BH153" s="32">
        <v>75.2</v>
      </c>
      <c r="BI153" s="32">
        <v>104.8</v>
      </c>
      <c r="BJ153" s="32">
        <v>46.9</v>
      </c>
      <c r="BK153" s="32">
        <v>138.69999999999999</v>
      </c>
      <c r="BL153" s="32">
        <v>50.7</v>
      </c>
      <c r="BM153" s="32">
        <v>94.2</v>
      </c>
      <c r="BN153" s="32">
        <v>103.2</v>
      </c>
      <c r="BO153" s="32">
        <v>83.4</v>
      </c>
      <c r="BP153" s="32">
        <v>123.3</v>
      </c>
      <c r="BQ153" s="32">
        <v>85.1</v>
      </c>
      <c r="BR153" s="32">
        <v>68</v>
      </c>
      <c r="BS153" s="32">
        <v>132.6</v>
      </c>
      <c r="BT153" s="32">
        <v>74.3</v>
      </c>
      <c r="BU153" s="32">
        <v>116.9</v>
      </c>
      <c r="BV153" s="32">
        <v>116.9</v>
      </c>
      <c r="BW153" s="32">
        <v>171</v>
      </c>
      <c r="BX153" s="32">
        <v>40.200000000000003</v>
      </c>
      <c r="BY153" s="32">
        <v>96.1</v>
      </c>
      <c r="BZ153" s="32">
        <v>90</v>
      </c>
      <c r="CA153" s="32">
        <v>99</v>
      </c>
      <c r="CB153" s="32">
        <v>107.5</v>
      </c>
      <c r="CC153" s="32">
        <v>98</v>
      </c>
      <c r="CD153" s="32">
        <v>18.399999999999999</v>
      </c>
      <c r="CE153" s="32">
        <v>72.400000000000006</v>
      </c>
      <c r="CF153" s="32">
        <v>78.3</v>
      </c>
      <c r="CG153" s="32">
        <v>85.6</v>
      </c>
      <c r="CH153" s="32">
        <v>85.5</v>
      </c>
      <c r="CI153" s="32">
        <v>80.599999999999994</v>
      </c>
      <c r="CJ153" s="32">
        <v>84.4</v>
      </c>
      <c r="CK153" s="32">
        <v>89</v>
      </c>
      <c r="CL153" s="32">
        <v>85.6</v>
      </c>
      <c r="CM153" s="32">
        <v>96</v>
      </c>
      <c r="CN153" s="32">
        <v>96.4</v>
      </c>
      <c r="CO153" s="32">
        <v>93</v>
      </c>
      <c r="CP153" s="32">
        <v>108.6</v>
      </c>
      <c r="CQ153" s="32">
        <v>53.5</v>
      </c>
      <c r="CR153" s="32">
        <v>94.7</v>
      </c>
      <c r="CS153" s="32">
        <v>109.9</v>
      </c>
      <c r="CT153" s="32">
        <v>85.7</v>
      </c>
      <c r="CU153" s="32">
        <v>62.2</v>
      </c>
      <c r="CV153" s="32">
        <v>96</v>
      </c>
      <c r="CW153" s="32">
        <v>36.799999999999997</v>
      </c>
      <c r="CX153" s="32">
        <v>97.2</v>
      </c>
      <c r="CY153" s="32">
        <v>110.5</v>
      </c>
      <c r="CZ153" s="32">
        <v>90.3</v>
      </c>
      <c r="DA153" s="32">
        <v>75.5</v>
      </c>
      <c r="DB153" s="32">
        <v>120.2</v>
      </c>
      <c r="DC153" s="32">
        <v>7.8</v>
      </c>
      <c r="DD153" s="32">
        <v>7.8</v>
      </c>
      <c r="DE153" s="32">
        <v>62.7</v>
      </c>
      <c r="DF153" s="32">
        <v>60.7</v>
      </c>
      <c r="DG153" s="32">
        <v>73.5</v>
      </c>
      <c r="DH153" s="32">
        <v>110.4</v>
      </c>
      <c r="DI153" s="32">
        <v>180.9</v>
      </c>
      <c r="DJ153" s="32">
        <v>69.2</v>
      </c>
      <c r="DK153" s="32">
        <v>69.2</v>
      </c>
      <c r="DL153" s="32">
        <v>62.9</v>
      </c>
      <c r="DM153" s="32">
        <v>74.900000000000006</v>
      </c>
      <c r="DN153" s="32">
        <v>61.8</v>
      </c>
      <c r="DO153" s="32">
        <v>81.3</v>
      </c>
      <c r="DP153" s="32">
        <v>53.2</v>
      </c>
      <c r="DQ153" s="32">
        <v>69.5</v>
      </c>
      <c r="DR153" s="32">
        <v>71.599999999999994</v>
      </c>
      <c r="DS153" s="32">
        <v>71</v>
      </c>
      <c r="DT153" s="32">
        <v>66.900000000000006</v>
      </c>
      <c r="DU153" s="32">
        <v>68.3</v>
      </c>
      <c r="DV153" s="32">
        <v>78.099999999999994</v>
      </c>
      <c r="DW153" s="32">
        <v>58.3</v>
      </c>
      <c r="DX153" s="32">
        <v>64.099999999999994</v>
      </c>
      <c r="DY153" s="32">
        <v>85.8</v>
      </c>
      <c r="DZ153" s="32">
        <v>108.3</v>
      </c>
      <c r="EA153" s="32">
        <v>108.3</v>
      </c>
      <c r="EB153" s="32">
        <v>61.5</v>
      </c>
      <c r="EC153" s="32">
        <v>57.6</v>
      </c>
      <c r="ED153" s="32">
        <v>67.2</v>
      </c>
      <c r="EE153" s="32">
        <v>72.3</v>
      </c>
      <c r="EF153" s="32">
        <v>56.2</v>
      </c>
      <c r="EG153" s="32">
        <v>66.2</v>
      </c>
      <c r="EH153" s="32">
        <v>89.1</v>
      </c>
      <c r="EI153" s="32">
        <v>63.4</v>
      </c>
      <c r="EJ153" s="32">
        <v>76.3</v>
      </c>
      <c r="EK153" s="32">
        <v>56.5</v>
      </c>
      <c r="EL153" s="32">
        <v>70.5</v>
      </c>
      <c r="EM153" s="32">
        <v>54</v>
      </c>
      <c r="EN153" s="32">
        <v>55.8</v>
      </c>
      <c r="EO153" s="32">
        <v>88.2</v>
      </c>
      <c r="EP153" s="32">
        <v>93</v>
      </c>
      <c r="EQ153" s="32">
        <v>93</v>
      </c>
      <c r="ER153" s="32">
        <v>80.7</v>
      </c>
      <c r="ES153" s="32">
        <v>80.7</v>
      </c>
      <c r="ET153" s="32">
        <v>93</v>
      </c>
      <c r="EU153" s="32">
        <v>103.6</v>
      </c>
      <c r="EV153" s="32">
        <v>103.6</v>
      </c>
      <c r="EW153" s="32">
        <v>82</v>
      </c>
      <c r="EX153" s="32">
        <v>93.8</v>
      </c>
      <c r="EY153" s="32">
        <v>72.5</v>
      </c>
      <c r="EZ153" s="32">
        <v>94.6</v>
      </c>
      <c r="FA153" s="32">
        <v>107</v>
      </c>
      <c r="FB153" s="32">
        <v>123.5</v>
      </c>
      <c r="FC153" s="32">
        <v>106.5</v>
      </c>
      <c r="FD153" s="32">
        <v>117.1</v>
      </c>
      <c r="FE153" s="32">
        <v>155.6</v>
      </c>
      <c r="FF153" s="32">
        <v>88.6</v>
      </c>
      <c r="FG153" s="32">
        <v>85.1</v>
      </c>
      <c r="FH153" s="32">
        <v>86.9</v>
      </c>
      <c r="FI153" s="32">
        <v>76.400000000000006</v>
      </c>
      <c r="FJ153" s="32">
        <v>85.2</v>
      </c>
      <c r="FK153" s="32">
        <v>101.4</v>
      </c>
      <c r="FL153" s="32">
        <v>101.4</v>
      </c>
    </row>
    <row r="154" spans="1:168" x14ac:dyDescent="0.2">
      <c r="A154" s="34" t="s">
        <v>1134</v>
      </c>
      <c r="B154" s="32">
        <v>79.5</v>
      </c>
      <c r="C154" s="32">
        <v>96.3</v>
      </c>
      <c r="D154" s="32">
        <v>89.2</v>
      </c>
      <c r="E154" s="32">
        <v>97.2</v>
      </c>
      <c r="F154" s="32">
        <v>198.5</v>
      </c>
      <c r="G154" s="32">
        <v>5963.6</v>
      </c>
      <c r="H154" s="32">
        <v>237.1</v>
      </c>
      <c r="I154" s="32">
        <v>63.5</v>
      </c>
      <c r="J154" s="32">
        <v>86.4</v>
      </c>
      <c r="K154" s="32">
        <v>99.6</v>
      </c>
      <c r="L154" s="32">
        <v>95.3</v>
      </c>
      <c r="M154" s="32">
        <v>105</v>
      </c>
      <c r="N154" s="32">
        <v>74</v>
      </c>
      <c r="O154" s="32">
        <v>281.10000000000002</v>
      </c>
      <c r="P154" s="32">
        <v>252.7</v>
      </c>
      <c r="Q154" s="32">
        <v>189.3</v>
      </c>
      <c r="R154" s="32">
        <v>92.9</v>
      </c>
      <c r="S154" s="32">
        <v>94.9</v>
      </c>
      <c r="T154" s="32">
        <v>120.3</v>
      </c>
      <c r="U154" s="32">
        <v>74.599999999999994</v>
      </c>
      <c r="V154" s="32">
        <v>132.1</v>
      </c>
      <c r="W154" s="32">
        <v>61.6</v>
      </c>
      <c r="X154" s="32">
        <v>58.6</v>
      </c>
      <c r="Y154" s="32">
        <v>52.5</v>
      </c>
      <c r="Z154" s="32">
        <v>119.4</v>
      </c>
      <c r="AA154" s="32">
        <v>96.9</v>
      </c>
      <c r="AB154" s="32">
        <v>73.400000000000006</v>
      </c>
      <c r="AC154" s="32">
        <v>78.5</v>
      </c>
      <c r="AD154" s="32">
        <v>131.30000000000001</v>
      </c>
      <c r="AE154" s="32">
        <v>112.9</v>
      </c>
      <c r="AF154" s="32">
        <v>112.9</v>
      </c>
      <c r="AG154" s="32">
        <v>70.5</v>
      </c>
      <c r="AH154" s="32">
        <v>70.5</v>
      </c>
      <c r="AI154" s="32">
        <v>134.69999999999999</v>
      </c>
      <c r="AJ154" s="32">
        <v>76.2</v>
      </c>
      <c r="AK154" s="32">
        <v>147.4</v>
      </c>
      <c r="AL154" s="32">
        <v>72.5</v>
      </c>
      <c r="AM154" s="32">
        <v>46.8</v>
      </c>
      <c r="AN154" s="32">
        <v>99.1</v>
      </c>
      <c r="AO154" s="32">
        <v>101.5</v>
      </c>
      <c r="AP154" s="32">
        <v>101.5</v>
      </c>
      <c r="AQ154" s="32">
        <v>83.9</v>
      </c>
      <c r="AR154" s="32">
        <v>87.8</v>
      </c>
      <c r="AS154" s="32">
        <v>80.5</v>
      </c>
      <c r="AT154" s="32">
        <v>72.5</v>
      </c>
      <c r="AU154" s="32">
        <v>87.3</v>
      </c>
      <c r="AV154" s="32">
        <v>76.8</v>
      </c>
      <c r="AW154" s="32">
        <v>88</v>
      </c>
      <c r="AX154" s="32">
        <v>110.4</v>
      </c>
      <c r="AY154" s="32">
        <v>102.8</v>
      </c>
      <c r="AZ154" s="32">
        <v>77.599999999999994</v>
      </c>
      <c r="BA154" s="32">
        <v>80.2</v>
      </c>
      <c r="BB154" s="32">
        <v>80.2</v>
      </c>
      <c r="BC154" s="32">
        <v>112.8</v>
      </c>
      <c r="BD154" s="32">
        <v>112.8</v>
      </c>
      <c r="BE154" s="32">
        <v>82.8</v>
      </c>
      <c r="BF154" s="32">
        <v>82.8</v>
      </c>
      <c r="BG154" s="32">
        <v>89.3</v>
      </c>
      <c r="BH154" s="32">
        <v>73.8</v>
      </c>
      <c r="BI154" s="32">
        <v>102.6</v>
      </c>
      <c r="BJ154" s="32">
        <v>48.2</v>
      </c>
      <c r="BK154" s="32">
        <v>135</v>
      </c>
      <c r="BL154" s="32">
        <v>46.4</v>
      </c>
      <c r="BM154" s="32">
        <v>94.6</v>
      </c>
      <c r="BN154" s="32">
        <v>107.6</v>
      </c>
      <c r="BO154" s="32">
        <v>88.5</v>
      </c>
      <c r="BP154" s="32">
        <v>126.7</v>
      </c>
      <c r="BQ154" s="32">
        <v>81.099999999999994</v>
      </c>
      <c r="BR154" s="32">
        <v>58.3</v>
      </c>
      <c r="BS154" s="32">
        <v>136.1</v>
      </c>
      <c r="BT154" s="32">
        <v>69.8</v>
      </c>
      <c r="BU154" s="32">
        <v>118</v>
      </c>
      <c r="BV154" s="32">
        <v>118</v>
      </c>
      <c r="BW154" s="32">
        <v>171</v>
      </c>
      <c r="BX154" s="32">
        <v>41.8</v>
      </c>
      <c r="BY154" s="32">
        <v>95.8</v>
      </c>
      <c r="BZ154" s="32">
        <v>88.6</v>
      </c>
      <c r="CA154" s="32">
        <v>99.3</v>
      </c>
      <c r="CB154" s="32">
        <v>108.3</v>
      </c>
      <c r="CC154" s="32">
        <v>97.9</v>
      </c>
      <c r="CD154" s="32">
        <v>18.8</v>
      </c>
      <c r="CE154" s="32">
        <v>72.599999999999994</v>
      </c>
      <c r="CF154" s="32">
        <v>77.5</v>
      </c>
      <c r="CG154" s="32">
        <v>84.6</v>
      </c>
      <c r="CH154" s="32">
        <v>84.4</v>
      </c>
      <c r="CI154" s="32">
        <v>77.3</v>
      </c>
      <c r="CJ154" s="32">
        <v>83.9</v>
      </c>
      <c r="CK154" s="32">
        <v>87.9</v>
      </c>
      <c r="CL154" s="32">
        <v>83.7</v>
      </c>
      <c r="CM154" s="32">
        <v>94.3</v>
      </c>
      <c r="CN154" s="32">
        <v>97.9</v>
      </c>
      <c r="CO154" s="32">
        <v>90.8</v>
      </c>
      <c r="CP154" s="32">
        <v>99.5</v>
      </c>
      <c r="CQ154" s="32">
        <v>54</v>
      </c>
      <c r="CR154" s="32">
        <v>92.5</v>
      </c>
      <c r="CS154" s="32">
        <v>107.7</v>
      </c>
      <c r="CT154" s="32">
        <v>86.3</v>
      </c>
      <c r="CU154" s="32">
        <v>61.9</v>
      </c>
      <c r="CV154" s="32">
        <v>97.1</v>
      </c>
      <c r="CW154" s="32">
        <v>36.299999999999997</v>
      </c>
      <c r="CX154" s="32">
        <v>96.6</v>
      </c>
      <c r="CY154" s="32">
        <v>111.1</v>
      </c>
      <c r="CZ154" s="32">
        <v>88.8</v>
      </c>
      <c r="DA154" s="32">
        <v>74</v>
      </c>
      <c r="DB154" s="32">
        <v>119.2</v>
      </c>
      <c r="DC154" s="32">
        <v>7.7</v>
      </c>
      <c r="DD154" s="32">
        <v>7.7</v>
      </c>
      <c r="DE154" s="32">
        <v>62.3</v>
      </c>
      <c r="DF154" s="32">
        <v>60.4</v>
      </c>
      <c r="DG154" s="32">
        <v>72.5</v>
      </c>
      <c r="DH154" s="32">
        <v>107</v>
      </c>
      <c r="DI154" s="32">
        <v>175.2</v>
      </c>
      <c r="DJ154" s="32">
        <v>69</v>
      </c>
      <c r="DK154" s="32">
        <v>69</v>
      </c>
      <c r="DL154" s="32">
        <v>59.4</v>
      </c>
      <c r="DM154" s="32">
        <v>74.400000000000006</v>
      </c>
      <c r="DN154" s="32">
        <v>60.2</v>
      </c>
      <c r="DO154" s="32">
        <v>81</v>
      </c>
      <c r="DP154" s="32">
        <v>56.2</v>
      </c>
      <c r="DQ154" s="32">
        <v>68.900000000000006</v>
      </c>
      <c r="DR154" s="32">
        <v>70.8</v>
      </c>
      <c r="DS154" s="32">
        <v>70.3</v>
      </c>
      <c r="DT154" s="32">
        <v>66.5</v>
      </c>
      <c r="DU154" s="32">
        <v>68.900000000000006</v>
      </c>
      <c r="DV154" s="32">
        <v>83</v>
      </c>
      <c r="DW154" s="32">
        <v>54.9</v>
      </c>
      <c r="DX154" s="32">
        <v>61.7</v>
      </c>
      <c r="DY154" s="32">
        <v>84</v>
      </c>
      <c r="DZ154" s="32">
        <v>110.3</v>
      </c>
      <c r="EA154" s="32">
        <v>110.3</v>
      </c>
      <c r="EB154" s="32">
        <v>59.6</v>
      </c>
      <c r="EC154" s="32">
        <v>54.5</v>
      </c>
      <c r="ED154" s="32">
        <v>67</v>
      </c>
      <c r="EE154" s="32">
        <v>71</v>
      </c>
      <c r="EF154" s="32">
        <v>58.2</v>
      </c>
      <c r="EG154" s="32">
        <v>66</v>
      </c>
      <c r="EH154" s="32">
        <v>91</v>
      </c>
      <c r="EI154" s="32">
        <v>62.4</v>
      </c>
      <c r="EJ154" s="32">
        <v>73.2</v>
      </c>
      <c r="EK154" s="32">
        <v>56.4</v>
      </c>
      <c r="EL154" s="32">
        <v>74.900000000000006</v>
      </c>
      <c r="EM154" s="32">
        <v>53.2</v>
      </c>
      <c r="EN154" s="32">
        <v>55.4</v>
      </c>
      <c r="EO154" s="32">
        <v>88.1</v>
      </c>
      <c r="EP154" s="32">
        <v>93.2</v>
      </c>
      <c r="EQ154" s="32">
        <v>93.2</v>
      </c>
      <c r="ER154" s="32">
        <v>80.3</v>
      </c>
      <c r="ES154" s="32">
        <v>80.3</v>
      </c>
      <c r="ET154" s="32">
        <v>93</v>
      </c>
      <c r="EU154" s="32">
        <v>103.4</v>
      </c>
      <c r="EV154" s="32">
        <v>103.4</v>
      </c>
      <c r="EW154" s="32">
        <v>82.1</v>
      </c>
      <c r="EX154" s="32">
        <v>93.5</v>
      </c>
      <c r="EY154" s="32">
        <v>72.900000000000006</v>
      </c>
      <c r="EZ154" s="32">
        <v>91.5</v>
      </c>
      <c r="FA154" s="32">
        <v>98.6</v>
      </c>
      <c r="FB154" s="32">
        <v>109</v>
      </c>
      <c r="FC154" s="32">
        <v>82.1</v>
      </c>
      <c r="FD154" s="32">
        <v>116.9</v>
      </c>
      <c r="FE154" s="32">
        <v>153</v>
      </c>
      <c r="FF154" s="32">
        <v>87.1</v>
      </c>
      <c r="FG154" s="32">
        <v>85.3</v>
      </c>
      <c r="FH154" s="32">
        <v>87.6</v>
      </c>
      <c r="FI154" s="32">
        <v>74.099999999999994</v>
      </c>
      <c r="FJ154" s="32">
        <v>85.5</v>
      </c>
      <c r="FK154" s="32">
        <v>103.4</v>
      </c>
      <c r="FL154" s="32">
        <v>103.4</v>
      </c>
    </row>
    <row r="155" spans="1:168" x14ac:dyDescent="0.2">
      <c r="A155" s="34" t="s">
        <v>1135</v>
      </c>
      <c r="B155" s="32">
        <v>79.7</v>
      </c>
      <c r="C155" s="32">
        <v>94.6</v>
      </c>
      <c r="D155" s="32">
        <v>89.9</v>
      </c>
      <c r="E155" s="32">
        <v>98.1</v>
      </c>
      <c r="F155" s="32">
        <v>201.8</v>
      </c>
      <c r="G155" s="32">
        <v>5936.4</v>
      </c>
      <c r="H155" s="32">
        <v>240.5</v>
      </c>
      <c r="I155" s="32">
        <v>65.900000000000006</v>
      </c>
      <c r="J155" s="32">
        <v>86.7</v>
      </c>
      <c r="K155" s="32">
        <v>99.1</v>
      </c>
      <c r="L155" s="32">
        <v>93.8</v>
      </c>
      <c r="M155" s="32">
        <v>106.8</v>
      </c>
      <c r="N155" s="32">
        <v>74.7</v>
      </c>
      <c r="O155" s="32">
        <v>256.7</v>
      </c>
      <c r="P155" s="32">
        <v>252.1</v>
      </c>
      <c r="Q155" s="32">
        <v>186.8</v>
      </c>
      <c r="R155" s="32">
        <v>89.2</v>
      </c>
      <c r="S155" s="32">
        <v>90.4</v>
      </c>
      <c r="T155" s="32">
        <v>132.69999999999999</v>
      </c>
      <c r="U155" s="32">
        <v>78.5</v>
      </c>
      <c r="V155" s="32">
        <v>135.4</v>
      </c>
      <c r="W155" s="32">
        <v>63.7</v>
      </c>
      <c r="X155" s="32">
        <v>59.9</v>
      </c>
      <c r="Y155" s="32">
        <v>54.9</v>
      </c>
      <c r="Z155" s="32">
        <v>129.19999999999999</v>
      </c>
      <c r="AA155" s="32">
        <v>99.1</v>
      </c>
      <c r="AB155" s="32">
        <v>75</v>
      </c>
      <c r="AC155" s="32">
        <v>81.2</v>
      </c>
      <c r="AD155" s="32">
        <v>133.80000000000001</v>
      </c>
      <c r="AE155" s="32">
        <v>113.5</v>
      </c>
      <c r="AF155" s="32">
        <v>113.5</v>
      </c>
      <c r="AG155" s="32">
        <v>73.3</v>
      </c>
      <c r="AH155" s="32">
        <v>73.3</v>
      </c>
      <c r="AI155" s="32">
        <v>147.30000000000001</v>
      </c>
      <c r="AJ155" s="32">
        <v>81.3</v>
      </c>
      <c r="AK155" s="32">
        <v>152.69999999999999</v>
      </c>
      <c r="AL155" s="32">
        <v>74.2</v>
      </c>
      <c r="AM155" s="32">
        <v>46.3</v>
      </c>
      <c r="AN155" s="32">
        <v>98.2</v>
      </c>
      <c r="AO155" s="32">
        <v>97.2</v>
      </c>
      <c r="AP155" s="32">
        <v>97.2</v>
      </c>
      <c r="AQ155" s="32">
        <v>84.7</v>
      </c>
      <c r="AR155" s="32">
        <v>87.9</v>
      </c>
      <c r="AS155" s="32">
        <v>82.2</v>
      </c>
      <c r="AT155" s="32">
        <v>73.8</v>
      </c>
      <c r="AU155" s="32">
        <v>89.1</v>
      </c>
      <c r="AV155" s="32">
        <v>75.3</v>
      </c>
      <c r="AW155" s="32">
        <v>90.1</v>
      </c>
      <c r="AX155" s="32">
        <v>118</v>
      </c>
      <c r="AY155" s="32">
        <v>97.9</v>
      </c>
      <c r="AZ155" s="32">
        <v>75.2</v>
      </c>
      <c r="BA155" s="32">
        <v>83.2</v>
      </c>
      <c r="BB155" s="32">
        <v>83.2</v>
      </c>
      <c r="BC155" s="32">
        <v>117.9</v>
      </c>
      <c r="BD155" s="32">
        <v>117.9</v>
      </c>
      <c r="BE155" s="32">
        <v>84.7</v>
      </c>
      <c r="BF155" s="32">
        <v>84.7</v>
      </c>
      <c r="BG155" s="32">
        <v>89.1</v>
      </c>
      <c r="BH155" s="32">
        <v>78</v>
      </c>
      <c r="BI155" s="32">
        <v>98.2</v>
      </c>
      <c r="BJ155" s="32">
        <v>47.4</v>
      </c>
      <c r="BK155" s="32">
        <v>129.1</v>
      </c>
      <c r="BL155" s="32">
        <v>41.4</v>
      </c>
      <c r="BM155" s="32">
        <v>93.3</v>
      </c>
      <c r="BN155" s="32">
        <v>104</v>
      </c>
      <c r="BO155" s="32">
        <v>81.400000000000006</v>
      </c>
      <c r="BP155" s="32">
        <v>127.3</v>
      </c>
      <c r="BQ155" s="32">
        <v>82.3</v>
      </c>
      <c r="BR155" s="32">
        <v>57.2</v>
      </c>
      <c r="BS155" s="32">
        <v>145.6</v>
      </c>
      <c r="BT155" s="32">
        <v>69.8</v>
      </c>
      <c r="BU155" s="32">
        <v>121</v>
      </c>
      <c r="BV155" s="32">
        <v>121</v>
      </c>
      <c r="BW155" s="32">
        <v>175.1</v>
      </c>
      <c r="BX155" s="32">
        <v>43</v>
      </c>
      <c r="BY155" s="32">
        <v>97.8</v>
      </c>
      <c r="BZ155" s="32">
        <v>87.9</v>
      </c>
      <c r="CA155" s="32">
        <v>102.5</v>
      </c>
      <c r="CB155" s="32">
        <v>111.7</v>
      </c>
      <c r="CC155" s="32">
        <v>101.1</v>
      </c>
      <c r="CD155" s="32">
        <v>19.7</v>
      </c>
      <c r="CE155" s="32">
        <v>73.099999999999994</v>
      </c>
      <c r="CF155" s="32">
        <v>77.599999999999994</v>
      </c>
      <c r="CG155" s="32">
        <v>84.4</v>
      </c>
      <c r="CH155" s="32">
        <v>84.3</v>
      </c>
      <c r="CI155" s="32">
        <v>79.2</v>
      </c>
      <c r="CJ155" s="32">
        <v>82.6</v>
      </c>
      <c r="CK155" s="32">
        <v>88.2</v>
      </c>
      <c r="CL155" s="32">
        <v>84.7</v>
      </c>
      <c r="CM155" s="32">
        <v>96.8</v>
      </c>
      <c r="CN155" s="32">
        <v>99.8</v>
      </c>
      <c r="CO155" s="32">
        <v>93.3</v>
      </c>
      <c r="CP155" s="32">
        <v>94.2</v>
      </c>
      <c r="CQ155" s="32">
        <v>55.5</v>
      </c>
      <c r="CR155" s="32">
        <v>93.6</v>
      </c>
      <c r="CS155" s="32">
        <v>107.8</v>
      </c>
      <c r="CT155" s="32">
        <v>83.9</v>
      </c>
      <c r="CU155" s="32">
        <v>61.9</v>
      </c>
      <c r="CV155" s="32">
        <v>93.6</v>
      </c>
      <c r="CW155" s="32">
        <v>36.4</v>
      </c>
      <c r="CX155" s="32">
        <v>97.1</v>
      </c>
      <c r="CY155" s="32">
        <v>112.3</v>
      </c>
      <c r="CZ155" s="32">
        <v>88.9</v>
      </c>
      <c r="DA155" s="32">
        <v>73.900000000000006</v>
      </c>
      <c r="DB155" s="32">
        <v>119.7</v>
      </c>
      <c r="DC155" s="32">
        <v>7.9</v>
      </c>
      <c r="DD155" s="32">
        <v>7.9</v>
      </c>
      <c r="DE155" s="32">
        <v>60.7</v>
      </c>
      <c r="DF155" s="32">
        <v>58.9</v>
      </c>
      <c r="DG155" s="32">
        <v>70.599999999999994</v>
      </c>
      <c r="DH155" s="32">
        <v>105.6</v>
      </c>
      <c r="DI155" s="32">
        <v>172.1</v>
      </c>
      <c r="DJ155" s="32">
        <v>69.5</v>
      </c>
      <c r="DK155" s="32">
        <v>69.5</v>
      </c>
      <c r="DL155" s="32">
        <v>58.1</v>
      </c>
      <c r="DM155" s="32">
        <v>74.3</v>
      </c>
      <c r="DN155" s="32">
        <v>60.3</v>
      </c>
      <c r="DO155" s="32">
        <v>80.8</v>
      </c>
      <c r="DP155" s="32">
        <v>55.8</v>
      </c>
      <c r="DQ155" s="32">
        <v>70</v>
      </c>
      <c r="DR155" s="32">
        <v>72.900000000000006</v>
      </c>
      <c r="DS155" s="32">
        <v>72.400000000000006</v>
      </c>
      <c r="DT155" s="32">
        <v>69.400000000000006</v>
      </c>
      <c r="DU155" s="32">
        <v>69.099999999999994</v>
      </c>
      <c r="DV155" s="32">
        <v>81.900000000000006</v>
      </c>
      <c r="DW155" s="32">
        <v>56.3</v>
      </c>
      <c r="DX155" s="32">
        <v>70.099999999999994</v>
      </c>
      <c r="DY155" s="32">
        <v>83.3</v>
      </c>
      <c r="DZ155" s="32">
        <v>119.9</v>
      </c>
      <c r="EA155" s="32">
        <v>119.9</v>
      </c>
      <c r="EB155" s="32">
        <v>59.3</v>
      </c>
      <c r="EC155" s="32">
        <v>54.1</v>
      </c>
      <c r="ED155" s="32">
        <v>66.7</v>
      </c>
      <c r="EE155" s="32">
        <v>70.900000000000006</v>
      </c>
      <c r="EF155" s="32">
        <v>57.7</v>
      </c>
      <c r="EG155" s="32">
        <v>65.400000000000006</v>
      </c>
      <c r="EH155" s="32">
        <v>89.8</v>
      </c>
      <c r="EI155" s="32">
        <v>62.3</v>
      </c>
      <c r="EJ155" s="32">
        <v>74.7</v>
      </c>
      <c r="EK155" s="32">
        <v>55.5</v>
      </c>
      <c r="EL155" s="32">
        <v>67.599999999999994</v>
      </c>
      <c r="EM155" s="32">
        <v>52.9</v>
      </c>
      <c r="EN155" s="32">
        <v>55.2</v>
      </c>
      <c r="EO155" s="32">
        <v>88.8</v>
      </c>
      <c r="EP155" s="32">
        <v>93.6</v>
      </c>
      <c r="EQ155" s="32">
        <v>93.6</v>
      </c>
      <c r="ER155" s="32">
        <v>82.1</v>
      </c>
      <c r="ES155" s="32">
        <v>82.1</v>
      </c>
      <c r="ET155" s="32">
        <v>92.9</v>
      </c>
      <c r="EU155" s="32">
        <v>103.3</v>
      </c>
      <c r="EV155" s="32">
        <v>103.3</v>
      </c>
      <c r="EW155" s="32">
        <v>82.2</v>
      </c>
      <c r="EX155" s="32">
        <v>93.3</v>
      </c>
      <c r="EY155" s="32">
        <v>73.5</v>
      </c>
      <c r="EZ155" s="32">
        <v>89.8</v>
      </c>
      <c r="FA155" s="32">
        <v>97.8</v>
      </c>
      <c r="FB155" s="32">
        <v>108.3</v>
      </c>
      <c r="FC155" s="32">
        <v>81.7</v>
      </c>
      <c r="FD155" s="32">
        <v>116.7</v>
      </c>
      <c r="FE155" s="32">
        <v>151.6</v>
      </c>
      <c r="FF155" s="32">
        <v>86.2</v>
      </c>
      <c r="FG155" s="32">
        <v>83.3</v>
      </c>
      <c r="FH155" s="32">
        <v>88.4</v>
      </c>
      <c r="FI155" s="32">
        <v>76.7</v>
      </c>
      <c r="FJ155" s="32">
        <v>81.7</v>
      </c>
      <c r="FK155" s="32">
        <v>97.7</v>
      </c>
      <c r="FL155" s="32">
        <v>97.7</v>
      </c>
    </row>
    <row r="156" spans="1:168" x14ac:dyDescent="0.2">
      <c r="A156" s="34" t="s">
        <v>1136</v>
      </c>
      <c r="B156" s="32">
        <v>80.2</v>
      </c>
      <c r="C156" s="32">
        <v>92.9</v>
      </c>
      <c r="D156" s="32">
        <v>90.7</v>
      </c>
      <c r="E156" s="32">
        <v>98.9</v>
      </c>
      <c r="F156" s="32">
        <v>206.1</v>
      </c>
      <c r="G156" s="32">
        <v>5580.9</v>
      </c>
      <c r="H156" s="32">
        <v>246.5</v>
      </c>
      <c r="I156" s="32">
        <v>66.5</v>
      </c>
      <c r="J156" s="32">
        <v>86.6</v>
      </c>
      <c r="K156" s="32">
        <v>100</v>
      </c>
      <c r="L156" s="32">
        <v>94.3</v>
      </c>
      <c r="M156" s="32">
        <v>107.2</v>
      </c>
      <c r="N156" s="32">
        <v>76.3</v>
      </c>
      <c r="O156" s="32">
        <v>269.3</v>
      </c>
      <c r="P156" s="32">
        <v>242.5</v>
      </c>
      <c r="Q156" s="32">
        <v>192.2</v>
      </c>
      <c r="R156" s="32">
        <v>89</v>
      </c>
      <c r="S156" s="32">
        <v>91.8</v>
      </c>
      <c r="T156" s="32">
        <v>133.1</v>
      </c>
      <c r="U156" s="32">
        <v>77.2</v>
      </c>
      <c r="V156" s="32">
        <v>139</v>
      </c>
      <c r="W156" s="32">
        <v>64.7</v>
      </c>
      <c r="X156" s="32">
        <v>61</v>
      </c>
      <c r="Y156" s="32">
        <v>55</v>
      </c>
      <c r="Z156" s="32">
        <v>134.80000000000001</v>
      </c>
      <c r="AA156" s="32">
        <v>97.6</v>
      </c>
      <c r="AB156" s="32">
        <v>74.599999999999994</v>
      </c>
      <c r="AC156" s="32">
        <v>82.8</v>
      </c>
      <c r="AD156" s="32">
        <v>129.1</v>
      </c>
      <c r="AE156" s="32">
        <v>123.8</v>
      </c>
      <c r="AF156" s="32">
        <v>123.8</v>
      </c>
      <c r="AG156" s="32">
        <v>74</v>
      </c>
      <c r="AH156" s="32">
        <v>74</v>
      </c>
      <c r="AI156" s="32">
        <v>146.19999999999999</v>
      </c>
      <c r="AJ156" s="32">
        <v>79.400000000000006</v>
      </c>
      <c r="AK156" s="32">
        <v>141.80000000000001</v>
      </c>
      <c r="AL156" s="32">
        <v>76.8</v>
      </c>
      <c r="AM156" s="32">
        <v>48.1</v>
      </c>
      <c r="AN156" s="32">
        <v>110.2</v>
      </c>
      <c r="AO156" s="32">
        <v>95.7</v>
      </c>
      <c r="AP156" s="32">
        <v>95.7</v>
      </c>
      <c r="AQ156" s="32">
        <v>86.4</v>
      </c>
      <c r="AR156" s="32">
        <v>89.4</v>
      </c>
      <c r="AS156" s="32">
        <v>84.4</v>
      </c>
      <c r="AT156" s="32">
        <v>79.7</v>
      </c>
      <c r="AU156" s="32">
        <v>87.5</v>
      </c>
      <c r="AV156" s="32">
        <v>76.400000000000006</v>
      </c>
      <c r="AW156" s="32">
        <v>96.7</v>
      </c>
      <c r="AX156" s="32">
        <v>134.69999999999999</v>
      </c>
      <c r="AY156" s="32">
        <v>93.6</v>
      </c>
      <c r="AZ156" s="32">
        <v>75.099999999999994</v>
      </c>
      <c r="BA156" s="32">
        <v>81.5</v>
      </c>
      <c r="BB156" s="32">
        <v>81.5</v>
      </c>
      <c r="BC156" s="32">
        <v>113.2</v>
      </c>
      <c r="BD156" s="32">
        <v>113.2</v>
      </c>
      <c r="BE156" s="32">
        <v>83</v>
      </c>
      <c r="BF156" s="32">
        <v>83</v>
      </c>
      <c r="BG156" s="32">
        <v>88.1</v>
      </c>
      <c r="BH156" s="32">
        <v>80.3</v>
      </c>
      <c r="BI156" s="32">
        <v>94.3</v>
      </c>
      <c r="BJ156" s="32">
        <v>47.4</v>
      </c>
      <c r="BK156" s="32">
        <v>123</v>
      </c>
      <c r="BL156" s="32">
        <v>39</v>
      </c>
      <c r="BM156" s="32">
        <v>93.3</v>
      </c>
      <c r="BN156" s="32">
        <v>102.9</v>
      </c>
      <c r="BO156" s="32">
        <v>81.7</v>
      </c>
      <c r="BP156" s="32">
        <v>124.5</v>
      </c>
      <c r="BQ156" s="32">
        <v>83.6</v>
      </c>
      <c r="BR156" s="32">
        <v>70.400000000000006</v>
      </c>
      <c r="BS156" s="32">
        <v>144.9</v>
      </c>
      <c r="BT156" s="32">
        <v>69.8</v>
      </c>
      <c r="BU156" s="32">
        <v>125.3</v>
      </c>
      <c r="BV156" s="32">
        <v>125.3</v>
      </c>
      <c r="BW156" s="32">
        <v>184.1</v>
      </c>
      <c r="BX156" s="32">
        <v>42.7</v>
      </c>
      <c r="BY156" s="32">
        <v>99.2</v>
      </c>
      <c r="BZ156" s="32">
        <v>87.5</v>
      </c>
      <c r="CA156" s="32">
        <v>104.8</v>
      </c>
      <c r="CB156" s="32">
        <v>112.5</v>
      </c>
      <c r="CC156" s="32">
        <v>104.8</v>
      </c>
      <c r="CD156" s="32">
        <v>20.9</v>
      </c>
      <c r="CE156" s="32">
        <v>73.8</v>
      </c>
      <c r="CF156" s="32">
        <v>78</v>
      </c>
      <c r="CG156" s="32">
        <v>84.9</v>
      </c>
      <c r="CH156" s="32">
        <v>84.8</v>
      </c>
      <c r="CI156" s="32">
        <v>83.1</v>
      </c>
      <c r="CJ156" s="32">
        <v>82.6</v>
      </c>
      <c r="CK156" s="32">
        <v>88.2</v>
      </c>
      <c r="CL156" s="32">
        <v>86.3</v>
      </c>
      <c r="CM156" s="32">
        <v>97.7</v>
      </c>
      <c r="CN156" s="32">
        <v>102.1</v>
      </c>
      <c r="CO156" s="32">
        <v>94</v>
      </c>
      <c r="CP156" s="32">
        <v>91.5</v>
      </c>
      <c r="CQ156" s="32">
        <v>55.5</v>
      </c>
      <c r="CR156" s="32">
        <v>96.6</v>
      </c>
      <c r="CS156" s="32">
        <v>111.4</v>
      </c>
      <c r="CT156" s="32">
        <v>82.7</v>
      </c>
      <c r="CU156" s="32">
        <v>59.1</v>
      </c>
      <c r="CV156" s="32">
        <v>93.2</v>
      </c>
      <c r="CW156" s="32">
        <v>37</v>
      </c>
      <c r="CX156" s="32">
        <v>98.7</v>
      </c>
      <c r="CY156" s="32">
        <v>112.4</v>
      </c>
      <c r="CZ156" s="32">
        <v>91.5</v>
      </c>
      <c r="DA156" s="32">
        <v>76.599999999999994</v>
      </c>
      <c r="DB156" s="32">
        <v>121.8</v>
      </c>
      <c r="DC156" s="32">
        <v>8</v>
      </c>
      <c r="DD156" s="32">
        <v>8</v>
      </c>
      <c r="DE156" s="32">
        <v>62</v>
      </c>
      <c r="DF156" s="32">
        <v>60.4</v>
      </c>
      <c r="DG156" s="32">
        <v>70.3</v>
      </c>
      <c r="DH156" s="32">
        <v>106.5</v>
      </c>
      <c r="DI156" s="32">
        <v>171.5</v>
      </c>
      <c r="DJ156" s="32">
        <v>70.8</v>
      </c>
      <c r="DK156" s="32">
        <v>70.8</v>
      </c>
      <c r="DL156" s="32">
        <v>60.1</v>
      </c>
      <c r="DM156" s="32">
        <v>74.599999999999994</v>
      </c>
      <c r="DN156" s="32">
        <v>61.2</v>
      </c>
      <c r="DO156" s="32">
        <v>81</v>
      </c>
      <c r="DP156" s="32">
        <v>56.5</v>
      </c>
      <c r="DQ156" s="32">
        <v>69.900000000000006</v>
      </c>
      <c r="DR156" s="32">
        <v>72.900000000000006</v>
      </c>
      <c r="DS156" s="32">
        <v>73.599999999999994</v>
      </c>
      <c r="DT156" s="32">
        <v>70.5</v>
      </c>
      <c r="DU156" s="32">
        <v>69.5</v>
      </c>
      <c r="DV156" s="32">
        <v>82.7</v>
      </c>
      <c r="DW156" s="32">
        <v>56.3</v>
      </c>
      <c r="DX156" s="32">
        <v>72.5</v>
      </c>
      <c r="DY156" s="32">
        <v>85.1</v>
      </c>
      <c r="DZ156" s="32">
        <v>110.6</v>
      </c>
      <c r="EA156" s="32">
        <v>110.6</v>
      </c>
      <c r="EB156" s="32">
        <v>58.8</v>
      </c>
      <c r="EC156" s="32">
        <v>55.4</v>
      </c>
      <c r="ED156" s="32">
        <v>63.8</v>
      </c>
      <c r="EE156" s="32">
        <v>66.7</v>
      </c>
      <c r="EF156" s="32">
        <v>57.4</v>
      </c>
      <c r="EG156" s="32">
        <v>65.2</v>
      </c>
      <c r="EH156" s="32">
        <v>88.4</v>
      </c>
      <c r="EI156" s="32">
        <v>63.8</v>
      </c>
      <c r="EJ156" s="32">
        <v>75.2</v>
      </c>
      <c r="EK156" s="32">
        <v>54.6</v>
      </c>
      <c r="EL156" s="32">
        <v>67.900000000000006</v>
      </c>
      <c r="EM156" s="32">
        <v>52.6</v>
      </c>
      <c r="EN156" s="32">
        <v>53.6</v>
      </c>
      <c r="EO156" s="32">
        <v>88.6</v>
      </c>
      <c r="EP156" s="32">
        <v>94.3</v>
      </c>
      <c r="EQ156" s="32">
        <v>94.3</v>
      </c>
      <c r="ER156" s="32">
        <v>81.3</v>
      </c>
      <c r="ES156" s="32">
        <v>81.3</v>
      </c>
      <c r="ET156" s="32">
        <v>92.6</v>
      </c>
      <c r="EU156" s="32">
        <v>102.6</v>
      </c>
      <c r="EV156" s="32">
        <v>102.6</v>
      </c>
      <c r="EW156" s="32">
        <v>82.5</v>
      </c>
      <c r="EX156" s="32">
        <v>93.1</v>
      </c>
      <c r="EY156" s="32">
        <v>74.099999999999994</v>
      </c>
      <c r="EZ156" s="32">
        <v>93.3</v>
      </c>
      <c r="FA156" s="32">
        <v>103.2</v>
      </c>
      <c r="FB156" s="32">
        <v>118.4</v>
      </c>
      <c r="FC156" s="32">
        <v>99.4</v>
      </c>
      <c r="FD156" s="32">
        <v>118.9</v>
      </c>
      <c r="FE156" s="32">
        <v>150.5</v>
      </c>
      <c r="FF156" s="32">
        <v>86.4</v>
      </c>
      <c r="FG156" s="32">
        <v>85.6</v>
      </c>
      <c r="FH156" s="32">
        <v>91</v>
      </c>
      <c r="FI156" s="32">
        <v>73.7</v>
      </c>
      <c r="FJ156" s="32">
        <v>84.5</v>
      </c>
      <c r="FK156" s="32">
        <v>98.7</v>
      </c>
      <c r="FL156" s="32">
        <v>98.7</v>
      </c>
    </row>
    <row r="157" spans="1:168" x14ac:dyDescent="0.2">
      <c r="A157" s="34" t="s">
        <v>1137</v>
      </c>
      <c r="B157" s="32">
        <v>79.8</v>
      </c>
      <c r="C157" s="32">
        <v>91.2</v>
      </c>
      <c r="D157" s="32">
        <v>89.2</v>
      </c>
      <c r="E157" s="32">
        <v>96.7</v>
      </c>
      <c r="F157" s="32">
        <v>184.4</v>
      </c>
      <c r="G157" s="32">
        <v>5555.7</v>
      </c>
      <c r="H157" s="32">
        <v>215.8</v>
      </c>
      <c r="I157" s="32">
        <v>67.8</v>
      </c>
      <c r="J157" s="32">
        <v>86.2</v>
      </c>
      <c r="K157" s="32">
        <v>96.6</v>
      </c>
      <c r="L157" s="32">
        <v>92.6</v>
      </c>
      <c r="M157" s="32">
        <v>103.7</v>
      </c>
      <c r="N157" s="32">
        <v>77.3</v>
      </c>
      <c r="O157" s="32">
        <v>293.8</v>
      </c>
      <c r="P157" s="32">
        <v>230.3</v>
      </c>
      <c r="Q157" s="32">
        <v>198.4</v>
      </c>
      <c r="R157" s="32">
        <v>89.8</v>
      </c>
      <c r="S157" s="32">
        <v>87.6</v>
      </c>
      <c r="T157" s="32">
        <v>131.4</v>
      </c>
      <c r="U157" s="32">
        <v>79.8</v>
      </c>
      <c r="V157" s="32">
        <v>125.2</v>
      </c>
      <c r="W157" s="32">
        <v>68</v>
      </c>
      <c r="X157" s="32">
        <v>64.400000000000006</v>
      </c>
      <c r="Y157" s="32">
        <v>58.6</v>
      </c>
      <c r="Z157" s="32">
        <v>130.9</v>
      </c>
      <c r="AA157" s="32">
        <v>98.5</v>
      </c>
      <c r="AB157" s="32">
        <v>77.2</v>
      </c>
      <c r="AC157" s="32">
        <v>84.3</v>
      </c>
      <c r="AD157" s="32">
        <v>128.5</v>
      </c>
      <c r="AE157" s="32">
        <v>121.2</v>
      </c>
      <c r="AF157" s="32">
        <v>121.2</v>
      </c>
      <c r="AG157" s="32">
        <v>74.599999999999994</v>
      </c>
      <c r="AH157" s="32">
        <v>74.599999999999994</v>
      </c>
      <c r="AI157" s="32">
        <v>164.2</v>
      </c>
      <c r="AJ157" s="32">
        <v>79.2</v>
      </c>
      <c r="AK157" s="32">
        <v>131.30000000000001</v>
      </c>
      <c r="AL157" s="32">
        <v>80.3</v>
      </c>
      <c r="AM157" s="32">
        <v>47.7</v>
      </c>
      <c r="AN157" s="32">
        <v>108.1</v>
      </c>
      <c r="AO157" s="32">
        <v>91</v>
      </c>
      <c r="AP157" s="32">
        <v>91</v>
      </c>
      <c r="AQ157" s="32">
        <v>86.4</v>
      </c>
      <c r="AR157" s="32">
        <v>89.5</v>
      </c>
      <c r="AS157" s="32">
        <v>84.2</v>
      </c>
      <c r="AT157" s="32">
        <v>78.8</v>
      </c>
      <c r="AU157" s="32">
        <v>87.9</v>
      </c>
      <c r="AV157" s="32">
        <v>77.8</v>
      </c>
      <c r="AW157" s="32">
        <v>96</v>
      </c>
      <c r="AX157" s="32">
        <v>131.5</v>
      </c>
      <c r="AY157" s="32">
        <v>96</v>
      </c>
      <c r="AZ157" s="32">
        <v>77.099999999999994</v>
      </c>
      <c r="BA157" s="32">
        <v>80.900000000000006</v>
      </c>
      <c r="BB157" s="32">
        <v>80.900000000000006</v>
      </c>
      <c r="BC157" s="32">
        <v>111.2</v>
      </c>
      <c r="BD157" s="32">
        <v>111.2</v>
      </c>
      <c r="BE157" s="32">
        <v>85.4</v>
      </c>
      <c r="BF157" s="32">
        <v>85.4</v>
      </c>
      <c r="BG157" s="32">
        <v>87.1</v>
      </c>
      <c r="BH157" s="32">
        <v>82.5</v>
      </c>
      <c r="BI157" s="32">
        <v>90.3</v>
      </c>
      <c r="BJ157" s="32">
        <v>47.7</v>
      </c>
      <c r="BK157" s="32">
        <v>116.9</v>
      </c>
      <c r="BL157" s="32">
        <v>36.299999999999997</v>
      </c>
      <c r="BM157" s="32">
        <v>94.8</v>
      </c>
      <c r="BN157" s="32">
        <v>103.3</v>
      </c>
      <c r="BO157" s="32">
        <v>81.900000000000006</v>
      </c>
      <c r="BP157" s="32">
        <v>125.2</v>
      </c>
      <c r="BQ157" s="32">
        <v>86.3</v>
      </c>
      <c r="BR157" s="32">
        <v>61.4</v>
      </c>
      <c r="BS157" s="32">
        <v>152.9</v>
      </c>
      <c r="BT157" s="32">
        <v>72.8</v>
      </c>
      <c r="BU157" s="32">
        <v>121.3</v>
      </c>
      <c r="BV157" s="32">
        <v>121.3</v>
      </c>
      <c r="BW157" s="32">
        <v>173.3</v>
      </c>
      <c r="BX157" s="32">
        <v>44.7</v>
      </c>
      <c r="BY157" s="32">
        <v>97.8</v>
      </c>
      <c r="BZ157" s="32">
        <v>88.5</v>
      </c>
      <c r="CA157" s="32">
        <v>102.2</v>
      </c>
      <c r="CB157" s="32">
        <v>106.9</v>
      </c>
      <c r="CC157" s="32">
        <v>104.7</v>
      </c>
      <c r="CD157" s="32">
        <v>20.5</v>
      </c>
      <c r="CE157" s="32">
        <v>73.900000000000006</v>
      </c>
      <c r="CF157" s="32">
        <v>77.8</v>
      </c>
      <c r="CG157" s="32">
        <v>85.1</v>
      </c>
      <c r="CH157" s="32">
        <v>85.3</v>
      </c>
      <c r="CI157" s="32">
        <v>82.6</v>
      </c>
      <c r="CJ157" s="32">
        <v>83.7</v>
      </c>
      <c r="CK157" s="32">
        <v>88.5</v>
      </c>
      <c r="CL157" s="32">
        <v>86.8</v>
      </c>
      <c r="CM157" s="32">
        <v>97.5</v>
      </c>
      <c r="CN157" s="32">
        <v>105.1</v>
      </c>
      <c r="CO157" s="32">
        <v>93.2</v>
      </c>
      <c r="CP157" s="32">
        <v>90.1</v>
      </c>
      <c r="CQ157" s="32">
        <v>56.5</v>
      </c>
      <c r="CR157" s="32">
        <v>97.4</v>
      </c>
      <c r="CS157" s="32">
        <v>113.9</v>
      </c>
      <c r="CT157" s="32">
        <v>81.400000000000006</v>
      </c>
      <c r="CU157" s="32">
        <v>59.5</v>
      </c>
      <c r="CV157" s="32">
        <v>91</v>
      </c>
      <c r="CW157" s="32">
        <v>36.799999999999997</v>
      </c>
      <c r="CX157" s="32">
        <v>95.9</v>
      </c>
      <c r="CY157" s="32">
        <v>111.9</v>
      </c>
      <c r="CZ157" s="32">
        <v>87.3</v>
      </c>
      <c r="DA157" s="32">
        <v>71.400000000000006</v>
      </c>
      <c r="DB157" s="32">
        <v>120.1</v>
      </c>
      <c r="DC157" s="32">
        <v>7.9</v>
      </c>
      <c r="DD157" s="32">
        <v>7.9</v>
      </c>
      <c r="DE157" s="32">
        <v>62.5</v>
      </c>
      <c r="DF157" s="32">
        <v>60.8</v>
      </c>
      <c r="DG157" s="32">
        <v>71.8</v>
      </c>
      <c r="DH157" s="32">
        <v>106.3</v>
      </c>
      <c r="DI157" s="32">
        <v>168.5</v>
      </c>
      <c r="DJ157" s="32">
        <v>72.5</v>
      </c>
      <c r="DK157" s="32">
        <v>72.5</v>
      </c>
      <c r="DL157" s="32">
        <v>60.8</v>
      </c>
      <c r="DM157" s="32">
        <v>74.599999999999994</v>
      </c>
      <c r="DN157" s="32">
        <v>61.2</v>
      </c>
      <c r="DO157" s="32">
        <v>80.900000000000006</v>
      </c>
      <c r="DP157" s="32">
        <v>57.1</v>
      </c>
      <c r="DQ157" s="32">
        <v>68.7</v>
      </c>
      <c r="DR157" s="32">
        <v>71.5</v>
      </c>
      <c r="DS157" s="32">
        <v>72.2</v>
      </c>
      <c r="DT157" s="32">
        <v>68.8</v>
      </c>
      <c r="DU157" s="32">
        <v>70.3</v>
      </c>
      <c r="DV157" s="32">
        <v>84.8</v>
      </c>
      <c r="DW157" s="32">
        <v>55.8</v>
      </c>
      <c r="DX157" s="32">
        <v>65.8</v>
      </c>
      <c r="DY157" s="32">
        <v>84.6</v>
      </c>
      <c r="DZ157" s="32">
        <v>106.8</v>
      </c>
      <c r="EA157" s="32">
        <v>106.8</v>
      </c>
      <c r="EB157" s="32">
        <v>58.3</v>
      </c>
      <c r="EC157" s="32">
        <v>55</v>
      </c>
      <c r="ED157" s="32">
        <v>63.2</v>
      </c>
      <c r="EE157" s="32">
        <v>65</v>
      </c>
      <c r="EF157" s="32">
        <v>59.5</v>
      </c>
      <c r="EG157" s="32">
        <v>64.3</v>
      </c>
      <c r="EH157" s="32">
        <v>88.3</v>
      </c>
      <c r="EI157" s="32">
        <v>62.6</v>
      </c>
      <c r="EJ157" s="32">
        <v>71.3</v>
      </c>
      <c r="EK157" s="32">
        <v>54</v>
      </c>
      <c r="EL157" s="32">
        <v>68.2</v>
      </c>
      <c r="EM157" s="32">
        <v>51.3</v>
      </c>
      <c r="EN157" s="32">
        <v>53.3</v>
      </c>
      <c r="EO157" s="32">
        <v>88.7</v>
      </c>
      <c r="EP157" s="32">
        <v>94.5</v>
      </c>
      <c r="EQ157" s="32">
        <v>94.5</v>
      </c>
      <c r="ER157" s="32">
        <v>81.5</v>
      </c>
      <c r="ES157" s="32">
        <v>81.5</v>
      </c>
      <c r="ET157" s="32">
        <v>92.5</v>
      </c>
      <c r="EU157" s="32">
        <v>102.4</v>
      </c>
      <c r="EV157" s="32">
        <v>102.4</v>
      </c>
      <c r="EW157" s="32">
        <v>82.8</v>
      </c>
      <c r="EX157" s="32">
        <v>92.9</v>
      </c>
      <c r="EY157" s="32">
        <v>74.8</v>
      </c>
      <c r="EZ157" s="32">
        <v>92.6</v>
      </c>
      <c r="FA157" s="32">
        <v>99.7</v>
      </c>
      <c r="FB157" s="32">
        <v>110.7</v>
      </c>
      <c r="FC157" s="32">
        <v>86.9</v>
      </c>
      <c r="FD157" s="32">
        <v>118.9</v>
      </c>
      <c r="FE157" s="32">
        <v>148.4</v>
      </c>
      <c r="FF157" s="32">
        <v>87.5</v>
      </c>
      <c r="FG157" s="32">
        <v>87.6</v>
      </c>
      <c r="FH157" s="32">
        <v>92</v>
      </c>
      <c r="FI157" s="32">
        <v>81.5</v>
      </c>
      <c r="FJ157" s="32">
        <v>86.3</v>
      </c>
      <c r="FK157" s="32">
        <v>87.3</v>
      </c>
      <c r="FL157" s="32">
        <v>87.3</v>
      </c>
    </row>
    <row r="158" spans="1:168" x14ac:dyDescent="0.2">
      <c r="A158" s="34" t="s">
        <v>1138</v>
      </c>
      <c r="B158" s="32">
        <v>79.900000000000006</v>
      </c>
      <c r="C158" s="32">
        <v>89.7</v>
      </c>
      <c r="D158" s="32">
        <v>89.3</v>
      </c>
      <c r="E158" s="32">
        <v>97</v>
      </c>
      <c r="F158" s="32">
        <v>178.9</v>
      </c>
      <c r="G158" s="32">
        <v>5423.9</v>
      </c>
      <c r="H158" s="32">
        <v>208.3</v>
      </c>
      <c r="I158" s="32">
        <v>67.7</v>
      </c>
      <c r="J158" s="32">
        <v>87</v>
      </c>
      <c r="K158" s="32">
        <v>98.4</v>
      </c>
      <c r="L158" s="32">
        <v>93.8</v>
      </c>
      <c r="M158" s="32">
        <v>107.2</v>
      </c>
      <c r="N158" s="32">
        <v>75.3</v>
      </c>
      <c r="O158" s="32">
        <v>286</v>
      </c>
      <c r="P158" s="32">
        <v>221.6</v>
      </c>
      <c r="Q158" s="32">
        <v>207.4</v>
      </c>
      <c r="R158" s="32">
        <v>89.3</v>
      </c>
      <c r="S158" s="32">
        <v>90.3</v>
      </c>
      <c r="T158" s="32">
        <v>136.4</v>
      </c>
      <c r="U158" s="32">
        <v>83.8</v>
      </c>
      <c r="V158" s="32">
        <v>129.80000000000001</v>
      </c>
      <c r="W158" s="32">
        <v>71.599999999999994</v>
      </c>
      <c r="X158" s="32">
        <v>65.7</v>
      </c>
      <c r="Y158" s="32">
        <v>68.2</v>
      </c>
      <c r="Z158" s="32">
        <v>126.7</v>
      </c>
      <c r="AA158" s="32">
        <v>99.9</v>
      </c>
      <c r="AB158" s="32">
        <v>72</v>
      </c>
      <c r="AC158" s="32">
        <v>86.9</v>
      </c>
      <c r="AD158" s="32">
        <v>132.69999999999999</v>
      </c>
      <c r="AE158" s="32">
        <v>122.4</v>
      </c>
      <c r="AF158" s="32">
        <v>122.4</v>
      </c>
      <c r="AG158" s="32">
        <v>74.8</v>
      </c>
      <c r="AH158" s="32">
        <v>74.8</v>
      </c>
      <c r="AI158" s="32">
        <v>158.5</v>
      </c>
      <c r="AJ158" s="32">
        <v>78.900000000000006</v>
      </c>
      <c r="AK158" s="32">
        <v>131.9</v>
      </c>
      <c r="AL158" s="32">
        <v>85.6</v>
      </c>
      <c r="AM158" s="32">
        <v>47.4</v>
      </c>
      <c r="AN158" s="32">
        <v>109.4</v>
      </c>
      <c r="AO158" s="32">
        <v>93.1</v>
      </c>
      <c r="AP158" s="32">
        <v>93.1</v>
      </c>
      <c r="AQ158" s="32">
        <v>86.1</v>
      </c>
      <c r="AR158" s="32">
        <v>89.3</v>
      </c>
      <c r="AS158" s="32">
        <v>83.7</v>
      </c>
      <c r="AT158" s="32">
        <v>78</v>
      </c>
      <c r="AU158" s="32">
        <v>87.9</v>
      </c>
      <c r="AV158" s="32">
        <v>77</v>
      </c>
      <c r="AW158" s="32">
        <v>101.4</v>
      </c>
      <c r="AX158" s="32">
        <v>149.1</v>
      </c>
      <c r="AY158" s="32">
        <v>87.9</v>
      </c>
      <c r="AZ158" s="32">
        <v>74.900000000000006</v>
      </c>
      <c r="BA158" s="32">
        <v>86.1</v>
      </c>
      <c r="BB158" s="32">
        <v>86.1</v>
      </c>
      <c r="BC158" s="32">
        <v>116.5</v>
      </c>
      <c r="BD158" s="32">
        <v>116.5</v>
      </c>
      <c r="BE158" s="32">
        <v>81.2</v>
      </c>
      <c r="BF158" s="32">
        <v>81.2</v>
      </c>
      <c r="BG158" s="32">
        <v>84.3</v>
      </c>
      <c r="BH158" s="32">
        <v>80.7</v>
      </c>
      <c r="BI158" s="32">
        <v>86.6</v>
      </c>
      <c r="BJ158" s="32">
        <v>48.9</v>
      </c>
      <c r="BK158" s="32">
        <v>110.4</v>
      </c>
      <c r="BL158" s="32">
        <v>34.299999999999997</v>
      </c>
      <c r="BM158" s="32">
        <v>97.7</v>
      </c>
      <c r="BN158" s="32">
        <v>109</v>
      </c>
      <c r="BO158" s="32">
        <v>90.4</v>
      </c>
      <c r="BP158" s="32">
        <v>127.4</v>
      </c>
      <c r="BQ158" s="32">
        <v>86</v>
      </c>
      <c r="BR158" s="32">
        <v>75.7</v>
      </c>
      <c r="BS158" s="32">
        <v>147.19999999999999</v>
      </c>
      <c r="BT158" s="32">
        <v>71.599999999999994</v>
      </c>
      <c r="BU158" s="32">
        <v>120.2</v>
      </c>
      <c r="BV158" s="32">
        <v>120.2</v>
      </c>
      <c r="BW158" s="32">
        <v>170.5</v>
      </c>
      <c r="BX158" s="32">
        <v>45.2</v>
      </c>
      <c r="BY158" s="32">
        <v>99.6</v>
      </c>
      <c r="BZ158" s="32">
        <v>89.4</v>
      </c>
      <c r="CA158" s="32">
        <v>104.4</v>
      </c>
      <c r="CB158" s="32">
        <v>109.2</v>
      </c>
      <c r="CC158" s="32">
        <v>106.9</v>
      </c>
      <c r="CD158" s="32">
        <v>21.5</v>
      </c>
      <c r="CE158" s="32">
        <v>73.3</v>
      </c>
      <c r="CF158" s="32">
        <v>78</v>
      </c>
      <c r="CG158" s="32">
        <v>86.3</v>
      </c>
      <c r="CH158" s="32">
        <v>86.6</v>
      </c>
      <c r="CI158" s="32">
        <v>87.3</v>
      </c>
      <c r="CJ158" s="32">
        <v>85.1</v>
      </c>
      <c r="CK158" s="32">
        <v>88.7</v>
      </c>
      <c r="CL158" s="32">
        <v>88.9</v>
      </c>
      <c r="CM158" s="32">
        <v>99.1</v>
      </c>
      <c r="CN158" s="32">
        <v>108.7</v>
      </c>
      <c r="CO158" s="32">
        <v>94.5</v>
      </c>
      <c r="CP158" s="32">
        <v>88.8</v>
      </c>
      <c r="CQ158" s="32">
        <v>56.7</v>
      </c>
      <c r="CR158" s="32">
        <v>101.7</v>
      </c>
      <c r="CS158" s="32">
        <v>116.8</v>
      </c>
      <c r="CT158" s="32">
        <v>81.2</v>
      </c>
      <c r="CU158" s="32">
        <v>59.1</v>
      </c>
      <c r="CV158" s="32">
        <v>90.9</v>
      </c>
      <c r="CW158" s="32">
        <v>36.9</v>
      </c>
      <c r="CX158" s="32">
        <v>97.9</v>
      </c>
      <c r="CY158" s="32">
        <v>114.6</v>
      </c>
      <c r="CZ158" s="32">
        <v>88.9</v>
      </c>
      <c r="DA158" s="32">
        <v>73.5</v>
      </c>
      <c r="DB158" s="32">
        <v>120.4</v>
      </c>
      <c r="DC158" s="32">
        <v>8</v>
      </c>
      <c r="DD158" s="32">
        <v>8</v>
      </c>
      <c r="DE158" s="32">
        <v>61.5</v>
      </c>
      <c r="DF158" s="32">
        <v>59.9</v>
      </c>
      <c r="DG158" s="32">
        <v>69.900000000000006</v>
      </c>
      <c r="DH158" s="32">
        <v>107.8</v>
      </c>
      <c r="DI158" s="32">
        <v>170.1</v>
      </c>
      <c r="DJ158" s="32">
        <v>73.8</v>
      </c>
      <c r="DK158" s="32">
        <v>73.8</v>
      </c>
      <c r="DL158" s="32">
        <v>62.1</v>
      </c>
      <c r="DM158" s="32">
        <v>74.7</v>
      </c>
      <c r="DN158" s="32">
        <v>61.3</v>
      </c>
      <c r="DO158" s="32">
        <v>80.900000000000006</v>
      </c>
      <c r="DP158" s="32">
        <v>59.1</v>
      </c>
      <c r="DQ158" s="32">
        <v>67.7</v>
      </c>
      <c r="DR158" s="32">
        <v>69.7</v>
      </c>
      <c r="DS158" s="32">
        <v>69.900000000000006</v>
      </c>
      <c r="DT158" s="32">
        <v>66.3</v>
      </c>
      <c r="DU158" s="32">
        <v>70.7</v>
      </c>
      <c r="DV158" s="32">
        <v>84.1</v>
      </c>
      <c r="DW158" s="32">
        <v>57.3</v>
      </c>
      <c r="DX158" s="32">
        <v>57.5</v>
      </c>
      <c r="DY158" s="32">
        <v>82.9</v>
      </c>
      <c r="DZ158" s="32">
        <v>101.1</v>
      </c>
      <c r="EA158" s="32">
        <v>101.1</v>
      </c>
      <c r="EB158" s="32">
        <v>59.4</v>
      </c>
      <c r="EC158" s="32">
        <v>56.7</v>
      </c>
      <c r="ED158" s="32">
        <v>63.3</v>
      </c>
      <c r="EE158" s="32">
        <v>65.7</v>
      </c>
      <c r="EF158" s="32">
        <v>58.2</v>
      </c>
      <c r="EG158" s="32">
        <v>64.5</v>
      </c>
      <c r="EH158" s="32">
        <v>88.1</v>
      </c>
      <c r="EI158" s="32">
        <v>61.5</v>
      </c>
      <c r="EJ158" s="32">
        <v>74.099999999999994</v>
      </c>
      <c r="EK158" s="32">
        <v>54.8</v>
      </c>
      <c r="EL158" s="32">
        <v>69.400000000000006</v>
      </c>
      <c r="EM158" s="32">
        <v>51.5</v>
      </c>
      <c r="EN158" s="32">
        <v>54.6</v>
      </c>
      <c r="EO158" s="32">
        <v>88.6</v>
      </c>
      <c r="EP158" s="32">
        <v>94.4</v>
      </c>
      <c r="EQ158" s="32">
        <v>94.4</v>
      </c>
      <c r="ER158" s="32">
        <v>81.099999999999994</v>
      </c>
      <c r="ES158" s="32">
        <v>81.099999999999994</v>
      </c>
      <c r="ET158" s="32">
        <v>92.6</v>
      </c>
      <c r="EU158" s="32">
        <v>102.4</v>
      </c>
      <c r="EV158" s="32">
        <v>102.4</v>
      </c>
      <c r="EW158" s="32">
        <v>83.1</v>
      </c>
      <c r="EX158" s="32">
        <v>92.7</v>
      </c>
      <c r="EY158" s="32">
        <v>75.400000000000006</v>
      </c>
      <c r="EZ158" s="32">
        <v>92.6</v>
      </c>
      <c r="FA158" s="32">
        <v>97.2</v>
      </c>
      <c r="FB158" s="32">
        <v>106</v>
      </c>
      <c r="FC158" s="32">
        <v>80.900000000000006</v>
      </c>
      <c r="FD158" s="32">
        <v>117.3</v>
      </c>
      <c r="FE158" s="32">
        <v>144.5</v>
      </c>
      <c r="FF158" s="32">
        <v>87.4</v>
      </c>
      <c r="FG158" s="32">
        <v>89.9</v>
      </c>
      <c r="FH158" s="32">
        <v>92.9</v>
      </c>
      <c r="FI158" s="32">
        <v>84.1</v>
      </c>
      <c r="FJ158" s="32">
        <v>89.1</v>
      </c>
      <c r="FK158" s="32">
        <v>79</v>
      </c>
      <c r="FL158" s="32">
        <v>79</v>
      </c>
    </row>
    <row r="159" spans="1:168" x14ac:dyDescent="0.2">
      <c r="A159" s="34" t="s">
        <v>1139</v>
      </c>
      <c r="B159" s="32">
        <v>80.099999999999994</v>
      </c>
      <c r="C159" s="32">
        <v>87.9</v>
      </c>
      <c r="D159" s="32">
        <v>89</v>
      </c>
      <c r="E159" s="32">
        <v>97.1</v>
      </c>
      <c r="F159" s="32">
        <v>189.1</v>
      </c>
      <c r="G159" s="32">
        <v>4889.7</v>
      </c>
      <c r="H159" s="32">
        <v>223.2</v>
      </c>
      <c r="I159" s="32">
        <v>66.599999999999994</v>
      </c>
      <c r="J159" s="32">
        <v>86.9</v>
      </c>
      <c r="K159" s="32">
        <v>96.8</v>
      </c>
      <c r="L159" s="32">
        <v>92.4</v>
      </c>
      <c r="M159" s="32">
        <v>99.3</v>
      </c>
      <c r="N159" s="32">
        <v>80.400000000000006</v>
      </c>
      <c r="O159" s="32">
        <v>287.39999999999998</v>
      </c>
      <c r="P159" s="32">
        <v>207.5</v>
      </c>
      <c r="Q159" s="32">
        <v>217.1</v>
      </c>
      <c r="R159" s="32">
        <v>87.8</v>
      </c>
      <c r="S159" s="32">
        <v>89.7</v>
      </c>
      <c r="T159" s="32">
        <v>132.9</v>
      </c>
      <c r="U159" s="32">
        <v>85.5</v>
      </c>
      <c r="V159" s="32">
        <v>125.9</v>
      </c>
      <c r="W159" s="32">
        <v>71.5</v>
      </c>
      <c r="X159" s="32">
        <v>67.2</v>
      </c>
      <c r="Y159" s="32">
        <v>63</v>
      </c>
      <c r="Z159" s="32">
        <v>134.9</v>
      </c>
      <c r="AA159" s="32">
        <v>96.4</v>
      </c>
      <c r="AB159" s="32">
        <v>67.3</v>
      </c>
      <c r="AC159" s="32">
        <v>88.9</v>
      </c>
      <c r="AD159" s="32">
        <v>125.4</v>
      </c>
      <c r="AE159" s="32">
        <v>115</v>
      </c>
      <c r="AF159" s="32">
        <v>115</v>
      </c>
      <c r="AG159" s="32">
        <v>76.099999999999994</v>
      </c>
      <c r="AH159" s="32">
        <v>76.099999999999994</v>
      </c>
      <c r="AI159" s="32">
        <v>168.3</v>
      </c>
      <c r="AJ159" s="32">
        <v>77.5</v>
      </c>
      <c r="AK159" s="32">
        <v>126.2</v>
      </c>
      <c r="AL159" s="32">
        <v>86</v>
      </c>
      <c r="AM159" s="32">
        <v>49.2</v>
      </c>
      <c r="AN159" s="32">
        <v>121.3</v>
      </c>
      <c r="AO159" s="32">
        <v>88.7</v>
      </c>
      <c r="AP159" s="32">
        <v>88.7</v>
      </c>
      <c r="AQ159" s="32">
        <v>86.4</v>
      </c>
      <c r="AR159" s="32">
        <v>89.5</v>
      </c>
      <c r="AS159" s="32">
        <v>84.1</v>
      </c>
      <c r="AT159" s="32">
        <v>79.5</v>
      </c>
      <c r="AU159" s="32">
        <v>87.1</v>
      </c>
      <c r="AV159" s="32">
        <v>80.7</v>
      </c>
      <c r="AW159" s="32">
        <v>103.4</v>
      </c>
      <c r="AX159" s="32">
        <v>154.30000000000001</v>
      </c>
      <c r="AY159" s="32">
        <v>83.9</v>
      </c>
      <c r="AZ159" s="32">
        <v>79</v>
      </c>
      <c r="BA159" s="32">
        <v>87.2</v>
      </c>
      <c r="BB159" s="32">
        <v>87.2</v>
      </c>
      <c r="BC159" s="32">
        <v>112</v>
      </c>
      <c r="BD159" s="32">
        <v>112</v>
      </c>
      <c r="BE159" s="32">
        <v>82.3</v>
      </c>
      <c r="BF159" s="32">
        <v>82.3</v>
      </c>
      <c r="BG159" s="32">
        <v>83.2</v>
      </c>
      <c r="BH159" s="32">
        <v>81.3</v>
      </c>
      <c r="BI159" s="32">
        <v>84</v>
      </c>
      <c r="BJ159" s="32">
        <v>50.3</v>
      </c>
      <c r="BK159" s="32">
        <v>105.1</v>
      </c>
      <c r="BL159" s="32">
        <v>33.799999999999997</v>
      </c>
      <c r="BM159" s="32">
        <v>101.6</v>
      </c>
      <c r="BN159" s="32">
        <v>111.4</v>
      </c>
      <c r="BO159" s="32">
        <v>90.6</v>
      </c>
      <c r="BP159" s="32">
        <v>132.19999999999999</v>
      </c>
      <c r="BQ159" s="32">
        <v>91.6</v>
      </c>
      <c r="BR159" s="32">
        <v>93</v>
      </c>
      <c r="BS159" s="32">
        <v>178.6</v>
      </c>
      <c r="BT159" s="32">
        <v>70.7</v>
      </c>
      <c r="BU159" s="32">
        <v>115.5</v>
      </c>
      <c r="BV159" s="32">
        <v>115.5</v>
      </c>
      <c r="BW159" s="32">
        <v>163.4</v>
      </c>
      <c r="BX159" s="32">
        <v>43.7</v>
      </c>
      <c r="BY159" s="32">
        <v>99.5</v>
      </c>
      <c r="BZ159" s="32">
        <v>89.9</v>
      </c>
      <c r="CA159" s="32">
        <v>104.1</v>
      </c>
      <c r="CB159" s="32">
        <v>112.4</v>
      </c>
      <c r="CC159" s="32">
        <v>103.8</v>
      </c>
      <c r="CD159" s="32">
        <v>22.6</v>
      </c>
      <c r="CE159" s="32">
        <v>72.3</v>
      </c>
      <c r="CF159" s="32">
        <v>78.3</v>
      </c>
      <c r="CG159" s="32">
        <v>87.1</v>
      </c>
      <c r="CH159" s="32">
        <v>87.4</v>
      </c>
      <c r="CI159" s="32">
        <v>91.6</v>
      </c>
      <c r="CJ159" s="32">
        <v>84.7</v>
      </c>
      <c r="CK159" s="32">
        <v>89.4</v>
      </c>
      <c r="CL159" s="32">
        <v>89.7</v>
      </c>
      <c r="CM159" s="32">
        <v>100.5</v>
      </c>
      <c r="CN159" s="32">
        <v>113.1</v>
      </c>
      <c r="CO159" s="32">
        <v>95.3</v>
      </c>
      <c r="CP159" s="32">
        <v>88</v>
      </c>
      <c r="CQ159" s="32">
        <v>53.3</v>
      </c>
      <c r="CR159" s="32">
        <v>100.2</v>
      </c>
      <c r="CS159" s="32">
        <v>124.5</v>
      </c>
      <c r="CT159" s="32">
        <v>82</v>
      </c>
      <c r="CU159" s="32">
        <v>59.4</v>
      </c>
      <c r="CV159" s="32">
        <v>92</v>
      </c>
      <c r="CW159" s="32">
        <v>37.799999999999997</v>
      </c>
      <c r="CX159" s="32">
        <v>100.5</v>
      </c>
      <c r="CY159" s="32">
        <v>113.4</v>
      </c>
      <c r="CZ159" s="32">
        <v>93.6</v>
      </c>
      <c r="DA159" s="32">
        <v>77.3</v>
      </c>
      <c r="DB159" s="32">
        <v>127</v>
      </c>
      <c r="DC159" s="32">
        <v>8.1</v>
      </c>
      <c r="DD159" s="32">
        <v>8.1</v>
      </c>
      <c r="DE159" s="32">
        <v>64.099999999999994</v>
      </c>
      <c r="DF159" s="32">
        <v>62.7</v>
      </c>
      <c r="DG159" s="32">
        <v>71.2</v>
      </c>
      <c r="DH159" s="32">
        <v>107.1</v>
      </c>
      <c r="DI159" s="32">
        <v>169.2</v>
      </c>
      <c r="DJ159" s="32">
        <v>73.3</v>
      </c>
      <c r="DK159" s="32">
        <v>73.3</v>
      </c>
      <c r="DL159" s="32">
        <v>62.1</v>
      </c>
      <c r="DM159" s="32">
        <v>74.8</v>
      </c>
      <c r="DN159" s="32">
        <v>62.3</v>
      </c>
      <c r="DO159" s="32">
        <v>80.599999999999994</v>
      </c>
      <c r="DP159" s="32">
        <v>59</v>
      </c>
      <c r="DQ159" s="32">
        <v>68.2</v>
      </c>
      <c r="DR159" s="32">
        <v>70.7</v>
      </c>
      <c r="DS159" s="32">
        <v>70.2</v>
      </c>
      <c r="DT159" s="32">
        <v>65.8</v>
      </c>
      <c r="DU159" s="32">
        <v>73.599999999999994</v>
      </c>
      <c r="DV159" s="32">
        <v>87.2</v>
      </c>
      <c r="DW159" s="32">
        <v>60</v>
      </c>
      <c r="DX159" s="32">
        <v>49.9</v>
      </c>
      <c r="DY159" s="32">
        <v>85.8</v>
      </c>
      <c r="DZ159" s="32">
        <v>107.4</v>
      </c>
      <c r="EA159" s="32">
        <v>107.4</v>
      </c>
      <c r="EB159" s="32">
        <v>60.7</v>
      </c>
      <c r="EC159" s="32">
        <v>57.5</v>
      </c>
      <c r="ED159" s="32">
        <v>65.400000000000006</v>
      </c>
      <c r="EE159" s="32">
        <v>68.5</v>
      </c>
      <c r="EF159" s="32">
        <v>58.6</v>
      </c>
      <c r="EG159" s="32">
        <v>64.3</v>
      </c>
      <c r="EH159" s="32">
        <v>87</v>
      </c>
      <c r="EI159" s="32">
        <v>60.9</v>
      </c>
      <c r="EJ159" s="32">
        <v>73.599999999999994</v>
      </c>
      <c r="EK159" s="32">
        <v>55.3</v>
      </c>
      <c r="EL159" s="32">
        <v>69.5</v>
      </c>
      <c r="EM159" s="32">
        <v>51.3</v>
      </c>
      <c r="EN159" s="32">
        <v>55.5</v>
      </c>
      <c r="EO159" s="32">
        <v>88.2</v>
      </c>
      <c r="EP159" s="32">
        <v>93.4</v>
      </c>
      <c r="EQ159" s="32">
        <v>93.4</v>
      </c>
      <c r="ER159" s="32">
        <v>80.8</v>
      </c>
      <c r="ES159" s="32">
        <v>80.8</v>
      </c>
      <c r="ET159" s="32">
        <v>92.8</v>
      </c>
      <c r="EU159" s="32">
        <v>102.7</v>
      </c>
      <c r="EV159" s="32">
        <v>102.7</v>
      </c>
      <c r="EW159" s="32">
        <v>83.2</v>
      </c>
      <c r="EX159" s="32">
        <v>92.4</v>
      </c>
      <c r="EY159" s="32">
        <v>75.900000000000006</v>
      </c>
      <c r="EZ159" s="32">
        <v>93</v>
      </c>
      <c r="FA159" s="32">
        <v>98.4</v>
      </c>
      <c r="FB159" s="32">
        <v>106.3</v>
      </c>
      <c r="FC159" s="32">
        <v>84.1</v>
      </c>
      <c r="FD159" s="32">
        <v>117.4</v>
      </c>
      <c r="FE159" s="32">
        <v>138.9</v>
      </c>
      <c r="FF159" s="32">
        <v>89.6</v>
      </c>
      <c r="FG159" s="32">
        <v>89.7</v>
      </c>
      <c r="FH159" s="32">
        <v>87.7</v>
      </c>
      <c r="FI159" s="32">
        <v>88.3</v>
      </c>
      <c r="FJ159" s="32">
        <v>90.7</v>
      </c>
      <c r="FK159" s="32">
        <v>79.900000000000006</v>
      </c>
      <c r="FL159" s="32">
        <v>79.900000000000006</v>
      </c>
    </row>
    <row r="160" spans="1:168" x14ac:dyDescent="0.2">
      <c r="A160" s="34" t="s">
        <v>1140</v>
      </c>
      <c r="B160" s="32">
        <v>80.099999999999994</v>
      </c>
      <c r="C160" s="32">
        <v>86.2</v>
      </c>
      <c r="D160" s="32">
        <v>88.7</v>
      </c>
      <c r="E160" s="32">
        <v>96.8</v>
      </c>
      <c r="F160" s="32">
        <v>185.6</v>
      </c>
      <c r="G160" s="32">
        <v>4030.4</v>
      </c>
      <c r="H160" s="32">
        <v>221.5</v>
      </c>
      <c r="I160" s="32">
        <v>62.9</v>
      </c>
      <c r="J160" s="32">
        <v>87</v>
      </c>
      <c r="K160" s="32">
        <v>95.2</v>
      </c>
      <c r="L160" s="32">
        <v>90</v>
      </c>
      <c r="M160" s="32">
        <v>95.9</v>
      </c>
      <c r="N160" s="32">
        <v>75</v>
      </c>
      <c r="O160" s="32">
        <v>281</v>
      </c>
      <c r="P160" s="32">
        <v>189.4</v>
      </c>
      <c r="Q160" s="32">
        <v>220.5</v>
      </c>
      <c r="R160" s="32">
        <v>86.6</v>
      </c>
      <c r="S160" s="32">
        <v>89.3</v>
      </c>
      <c r="T160" s="32">
        <v>129</v>
      </c>
      <c r="U160" s="32">
        <v>89.6</v>
      </c>
      <c r="V160" s="32">
        <v>126</v>
      </c>
      <c r="W160" s="32">
        <v>71.2</v>
      </c>
      <c r="X160" s="32">
        <v>64.599999999999994</v>
      </c>
      <c r="Y160" s="32">
        <v>69.5</v>
      </c>
      <c r="Z160" s="32">
        <v>129.4</v>
      </c>
      <c r="AA160" s="32">
        <v>98</v>
      </c>
      <c r="AB160" s="32">
        <v>69.7</v>
      </c>
      <c r="AC160" s="32">
        <v>90.6</v>
      </c>
      <c r="AD160" s="32">
        <v>126.7</v>
      </c>
      <c r="AE160" s="32">
        <v>120</v>
      </c>
      <c r="AF160" s="32">
        <v>120</v>
      </c>
      <c r="AG160" s="32">
        <v>76</v>
      </c>
      <c r="AH160" s="32">
        <v>76</v>
      </c>
      <c r="AI160" s="32">
        <v>166.4</v>
      </c>
      <c r="AJ160" s="32">
        <v>71</v>
      </c>
      <c r="AK160" s="32">
        <v>117.3</v>
      </c>
      <c r="AL160" s="32">
        <v>91.3</v>
      </c>
      <c r="AM160" s="32">
        <v>51.7</v>
      </c>
      <c r="AN160" s="32">
        <v>129.5</v>
      </c>
      <c r="AO160" s="32">
        <v>91.3</v>
      </c>
      <c r="AP160" s="32">
        <v>91.3</v>
      </c>
      <c r="AQ160" s="32">
        <v>86.1</v>
      </c>
      <c r="AR160" s="32">
        <v>88.1</v>
      </c>
      <c r="AS160" s="32">
        <v>85.4</v>
      </c>
      <c r="AT160" s="32">
        <v>81.599999999999994</v>
      </c>
      <c r="AU160" s="32">
        <v>87.4</v>
      </c>
      <c r="AV160" s="32">
        <v>79.400000000000006</v>
      </c>
      <c r="AW160" s="32">
        <v>107.1</v>
      </c>
      <c r="AX160" s="32">
        <v>164.1</v>
      </c>
      <c r="AY160" s="32">
        <v>86.8</v>
      </c>
      <c r="AZ160" s="32">
        <v>76.599999999999994</v>
      </c>
      <c r="BA160" s="32">
        <v>88.3</v>
      </c>
      <c r="BB160" s="32">
        <v>88.3</v>
      </c>
      <c r="BC160" s="32">
        <v>112</v>
      </c>
      <c r="BD160" s="32">
        <v>112</v>
      </c>
      <c r="BE160" s="32">
        <v>84</v>
      </c>
      <c r="BF160" s="32">
        <v>84</v>
      </c>
      <c r="BG160" s="32">
        <v>83.1</v>
      </c>
      <c r="BH160" s="32">
        <v>83.3</v>
      </c>
      <c r="BI160" s="32">
        <v>82</v>
      </c>
      <c r="BJ160" s="32">
        <v>51.2</v>
      </c>
      <c r="BK160" s="32">
        <v>102</v>
      </c>
      <c r="BL160" s="32">
        <v>31.6</v>
      </c>
      <c r="BM160" s="32">
        <v>102.4</v>
      </c>
      <c r="BN160" s="32">
        <v>110.4</v>
      </c>
      <c r="BO160" s="32">
        <v>85.6</v>
      </c>
      <c r="BP160" s="32">
        <v>135.9</v>
      </c>
      <c r="BQ160" s="32">
        <v>94.6</v>
      </c>
      <c r="BR160" s="32">
        <v>67.599999999999994</v>
      </c>
      <c r="BS160" s="32">
        <v>214.4</v>
      </c>
      <c r="BT160" s="32">
        <v>70.599999999999994</v>
      </c>
      <c r="BU160" s="32">
        <v>112.8</v>
      </c>
      <c r="BV160" s="32">
        <v>112.8</v>
      </c>
      <c r="BW160" s="32">
        <v>160.1</v>
      </c>
      <c r="BX160" s="32">
        <v>42.3</v>
      </c>
      <c r="BY160" s="32">
        <v>99.8</v>
      </c>
      <c r="BZ160" s="32">
        <v>90.9</v>
      </c>
      <c r="CA160" s="32">
        <v>104</v>
      </c>
      <c r="CB160" s="32">
        <v>115</v>
      </c>
      <c r="CC160" s="32">
        <v>100.6</v>
      </c>
      <c r="CD160" s="32">
        <v>23.5</v>
      </c>
      <c r="CE160" s="32">
        <v>72.2</v>
      </c>
      <c r="CF160" s="32">
        <v>78.400000000000006</v>
      </c>
      <c r="CG160" s="32">
        <v>88.2</v>
      </c>
      <c r="CH160" s="32">
        <v>88.8</v>
      </c>
      <c r="CI160" s="32">
        <v>93.3</v>
      </c>
      <c r="CJ160" s="32">
        <v>87.3</v>
      </c>
      <c r="CK160" s="32">
        <v>89.9</v>
      </c>
      <c r="CL160" s="32">
        <v>89.7</v>
      </c>
      <c r="CM160" s="32">
        <v>100.5</v>
      </c>
      <c r="CN160" s="32">
        <v>117.6</v>
      </c>
      <c r="CO160" s="32">
        <v>94.6</v>
      </c>
      <c r="CP160" s="32">
        <v>88.3</v>
      </c>
      <c r="CQ160" s="32">
        <v>54.6</v>
      </c>
      <c r="CR160" s="32">
        <v>102.6</v>
      </c>
      <c r="CS160" s="32">
        <v>118.9</v>
      </c>
      <c r="CT160" s="32">
        <v>83.8</v>
      </c>
      <c r="CU160" s="32">
        <v>61.1</v>
      </c>
      <c r="CV160" s="32">
        <v>93.7</v>
      </c>
      <c r="CW160" s="32">
        <v>38.299999999999997</v>
      </c>
      <c r="CX160" s="32">
        <v>99.4</v>
      </c>
      <c r="CY160" s="32">
        <v>113.9</v>
      </c>
      <c r="CZ160" s="32">
        <v>91.7</v>
      </c>
      <c r="DA160" s="32">
        <v>75.099999999999994</v>
      </c>
      <c r="DB160" s="32">
        <v>125.9</v>
      </c>
      <c r="DC160" s="32">
        <v>8.1</v>
      </c>
      <c r="DD160" s="32">
        <v>8.1</v>
      </c>
      <c r="DE160" s="32">
        <v>66.099999999999994</v>
      </c>
      <c r="DF160" s="32">
        <v>64.8</v>
      </c>
      <c r="DG160" s="32">
        <v>72.7</v>
      </c>
      <c r="DH160" s="32">
        <v>106.4</v>
      </c>
      <c r="DI160" s="32">
        <v>168.9</v>
      </c>
      <c r="DJ160" s="32">
        <v>75.2</v>
      </c>
      <c r="DK160" s="32">
        <v>75.2</v>
      </c>
      <c r="DL160" s="32">
        <v>58</v>
      </c>
      <c r="DM160" s="32">
        <v>75.099999999999994</v>
      </c>
      <c r="DN160" s="32">
        <v>62.8</v>
      </c>
      <c r="DO160" s="32">
        <v>80.8</v>
      </c>
      <c r="DP160" s="32">
        <v>61.4</v>
      </c>
      <c r="DQ160" s="32">
        <v>67.400000000000006</v>
      </c>
      <c r="DR160" s="32">
        <v>69.3</v>
      </c>
      <c r="DS160" s="32">
        <v>68.099999999999994</v>
      </c>
      <c r="DT160" s="32">
        <v>62.8</v>
      </c>
      <c r="DU160" s="32">
        <v>72.7</v>
      </c>
      <c r="DV160" s="32">
        <v>87.9</v>
      </c>
      <c r="DW160" s="32">
        <v>57.7</v>
      </c>
      <c r="DX160" s="32">
        <v>42.7</v>
      </c>
      <c r="DY160" s="32">
        <v>87.2</v>
      </c>
      <c r="DZ160" s="32">
        <v>100.8</v>
      </c>
      <c r="EA160" s="32">
        <v>100.8</v>
      </c>
      <c r="EB160" s="32">
        <v>62.9</v>
      </c>
      <c r="EC160" s="32">
        <v>61</v>
      </c>
      <c r="ED160" s="32">
        <v>65.8</v>
      </c>
      <c r="EE160" s="32">
        <v>68.400000000000006</v>
      </c>
      <c r="EF160" s="32">
        <v>60</v>
      </c>
      <c r="EG160" s="32">
        <v>64.3</v>
      </c>
      <c r="EH160" s="32">
        <v>86.2</v>
      </c>
      <c r="EI160" s="32">
        <v>60.7</v>
      </c>
      <c r="EJ160" s="32">
        <v>72.099999999999994</v>
      </c>
      <c r="EK160" s="32">
        <v>56.1</v>
      </c>
      <c r="EL160" s="32">
        <v>66.7</v>
      </c>
      <c r="EM160" s="32">
        <v>52.2</v>
      </c>
      <c r="EN160" s="32">
        <v>56.9</v>
      </c>
      <c r="EO160" s="32">
        <v>88.3</v>
      </c>
      <c r="EP160" s="32">
        <v>93.1</v>
      </c>
      <c r="EQ160" s="32">
        <v>93.1</v>
      </c>
      <c r="ER160" s="32">
        <v>80.900000000000006</v>
      </c>
      <c r="ES160" s="32">
        <v>80.900000000000006</v>
      </c>
      <c r="ET160" s="32">
        <v>92.9</v>
      </c>
      <c r="EU160" s="32">
        <v>102.7</v>
      </c>
      <c r="EV160" s="32">
        <v>102.7</v>
      </c>
      <c r="EW160" s="32">
        <v>83.4</v>
      </c>
      <c r="EX160" s="32">
        <v>92.1</v>
      </c>
      <c r="EY160" s="32">
        <v>76.5</v>
      </c>
      <c r="EZ160" s="32">
        <v>90.5</v>
      </c>
      <c r="FA160" s="32">
        <v>94.4</v>
      </c>
      <c r="FB160" s="32">
        <v>98.4</v>
      </c>
      <c r="FC160" s="32">
        <v>73.099999999999994</v>
      </c>
      <c r="FD160" s="32">
        <v>116.6</v>
      </c>
      <c r="FE160" s="32">
        <v>133.4</v>
      </c>
      <c r="FF160" s="32">
        <v>89.9</v>
      </c>
      <c r="FG160" s="32">
        <v>87.4</v>
      </c>
      <c r="FH160" s="32">
        <v>88.4</v>
      </c>
      <c r="FI160" s="32">
        <v>81.7</v>
      </c>
      <c r="FJ160" s="32">
        <v>87.6</v>
      </c>
      <c r="FK160" s="32">
        <v>88.8</v>
      </c>
      <c r="FL160" s="32">
        <v>88.8</v>
      </c>
    </row>
    <row r="161" spans="1:168" x14ac:dyDescent="0.2">
      <c r="A161" s="34" t="s">
        <v>1141</v>
      </c>
      <c r="B161" s="32">
        <v>80.5</v>
      </c>
      <c r="C161" s="32">
        <v>84.2</v>
      </c>
      <c r="D161" s="32">
        <v>88.9</v>
      </c>
      <c r="E161" s="32">
        <v>96.7</v>
      </c>
      <c r="F161" s="32">
        <v>181.6</v>
      </c>
      <c r="G161" s="32">
        <v>3797.3</v>
      </c>
      <c r="H161" s="32">
        <v>212.6</v>
      </c>
      <c r="I161" s="32">
        <v>67.099999999999994</v>
      </c>
      <c r="J161" s="32">
        <v>87</v>
      </c>
      <c r="K161" s="32">
        <v>93.4</v>
      </c>
      <c r="L161" s="32">
        <v>88.4</v>
      </c>
      <c r="M161" s="32">
        <v>88.2</v>
      </c>
      <c r="N161" s="32">
        <v>75</v>
      </c>
      <c r="O161" s="32">
        <v>277.8</v>
      </c>
      <c r="P161" s="32">
        <v>171.1</v>
      </c>
      <c r="Q161" s="32">
        <v>225.8</v>
      </c>
      <c r="R161" s="32">
        <v>87</v>
      </c>
      <c r="S161" s="32">
        <v>89.5</v>
      </c>
      <c r="T161" s="32">
        <v>125.5</v>
      </c>
      <c r="U161" s="32">
        <v>94.7</v>
      </c>
      <c r="V161" s="32">
        <v>121.5</v>
      </c>
      <c r="W161" s="32">
        <v>75.2</v>
      </c>
      <c r="X161" s="32">
        <v>67.8</v>
      </c>
      <c r="Y161" s="32">
        <v>75.7</v>
      </c>
      <c r="Z161" s="32">
        <v>128</v>
      </c>
      <c r="AA161" s="32">
        <v>97.5</v>
      </c>
      <c r="AB161" s="32">
        <v>73.900000000000006</v>
      </c>
      <c r="AC161" s="32">
        <v>94.5</v>
      </c>
      <c r="AD161" s="32">
        <v>119.3</v>
      </c>
      <c r="AE161" s="32">
        <v>121.9</v>
      </c>
      <c r="AF161" s="32">
        <v>121.9</v>
      </c>
      <c r="AG161" s="32">
        <v>77.900000000000006</v>
      </c>
      <c r="AH161" s="32">
        <v>77.900000000000006</v>
      </c>
      <c r="AI161" s="32">
        <v>164.7</v>
      </c>
      <c r="AJ161" s="32">
        <v>68.7</v>
      </c>
      <c r="AK161" s="32">
        <v>94.6</v>
      </c>
      <c r="AL161" s="32">
        <v>98.9</v>
      </c>
      <c r="AM161" s="32">
        <v>52.9</v>
      </c>
      <c r="AN161" s="32">
        <v>158.9</v>
      </c>
      <c r="AO161" s="32">
        <v>90.7</v>
      </c>
      <c r="AP161" s="32">
        <v>90.7</v>
      </c>
      <c r="AQ161" s="32">
        <v>87.4</v>
      </c>
      <c r="AR161" s="32">
        <v>89.8</v>
      </c>
      <c r="AS161" s="32">
        <v>86.3</v>
      </c>
      <c r="AT161" s="32">
        <v>82.1</v>
      </c>
      <c r="AU161" s="32">
        <v>88.8</v>
      </c>
      <c r="AV161" s="32">
        <v>80.099999999999994</v>
      </c>
      <c r="AW161" s="32">
        <v>118.1</v>
      </c>
      <c r="AX161" s="32">
        <v>191.6</v>
      </c>
      <c r="AY161" s="32">
        <v>93.5</v>
      </c>
      <c r="AZ161" s="32">
        <v>75.2</v>
      </c>
      <c r="BA161" s="32">
        <v>86.9</v>
      </c>
      <c r="BB161" s="32">
        <v>86.9</v>
      </c>
      <c r="BC161" s="32">
        <v>109.1</v>
      </c>
      <c r="BD161" s="32">
        <v>109.1</v>
      </c>
      <c r="BE161" s="32">
        <v>82.9</v>
      </c>
      <c r="BF161" s="32">
        <v>82.9</v>
      </c>
      <c r="BG161" s="32">
        <v>83.8</v>
      </c>
      <c r="BH161" s="32">
        <v>86.4</v>
      </c>
      <c r="BI161" s="32">
        <v>80.5</v>
      </c>
      <c r="BJ161" s="32">
        <v>52.7</v>
      </c>
      <c r="BK161" s="32">
        <v>98.6</v>
      </c>
      <c r="BL161" s="32">
        <v>34</v>
      </c>
      <c r="BM161" s="32">
        <v>103.2</v>
      </c>
      <c r="BN161" s="32">
        <v>115.4</v>
      </c>
      <c r="BO161" s="32">
        <v>85.1</v>
      </c>
      <c r="BP161" s="32">
        <v>147.30000000000001</v>
      </c>
      <c r="BQ161" s="32">
        <v>90.8</v>
      </c>
      <c r="BR161" s="32">
        <v>69.7</v>
      </c>
      <c r="BS161" s="32">
        <v>185</v>
      </c>
      <c r="BT161" s="32">
        <v>71.2</v>
      </c>
      <c r="BU161" s="32">
        <v>113.9</v>
      </c>
      <c r="BV161" s="32">
        <v>113.9</v>
      </c>
      <c r="BW161" s="32">
        <v>155.9</v>
      </c>
      <c r="BX161" s="32">
        <v>46.8</v>
      </c>
      <c r="BY161" s="32">
        <v>100.5</v>
      </c>
      <c r="BZ161" s="32">
        <v>93.8</v>
      </c>
      <c r="CA161" s="32">
        <v>103.5</v>
      </c>
      <c r="CB161" s="32">
        <v>114.8</v>
      </c>
      <c r="CC161" s="32">
        <v>99.8</v>
      </c>
      <c r="CD161" s="32">
        <v>24.9</v>
      </c>
      <c r="CE161" s="32">
        <v>72.8</v>
      </c>
      <c r="CF161" s="32">
        <v>78.8</v>
      </c>
      <c r="CG161" s="32">
        <v>90</v>
      </c>
      <c r="CH161" s="32">
        <v>91.1</v>
      </c>
      <c r="CI161" s="32">
        <v>102.9</v>
      </c>
      <c r="CJ161" s="32">
        <v>89.9</v>
      </c>
      <c r="CK161" s="32">
        <v>90.1</v>
      </c>
      <c r="CL161" s="32">
        <v>91.2</v>
      </c>
      <c r="CM161" s="32">
        <v>102.4</v>
      </c>
      <c r="CN161" s="32">
        <v>122.2</v>
      </c>
      <c r="CO161" s="32">
        <v>95.9</v>
      </c>
      <c r="CP161" s="32">
        <v>90.1</v>
      </c>
      <c r="CQ161" s="32">
        <v>56.7</v>
      </c>
      <c r="CR161" s="32">
        <v>106.1</v>
      </c>
      <c r="CS161" s="32">
        <v>116</v>
      </c>
      <c r="CT161" s="32">
        <v>83.6</v>
      </c>
      <c r="CU161" s="32">
        <v>61.9</v>
      </c>
      <c r="CV161" s="32">
        <v>93.1</v>
      </c>
      <c r="CW161" s="32">
        <v>37.799999999999997</v>
      </c>
      <c r="CX161" s="32">
        <v>99.4</v>
      </c>
      <c r="CY161" s="32">
        <v>114.2</v>
      </c>
      <c r="CZ161" s="32">
        <v>91.7</v>
      </c>
      <c r="DA161" s="32">
        <v>74.099999999999994</v>
      </c>
      <c r="DB161" s="32">
        <v>128.19999999999999</v>
      </c>
      <c r="DC161" s="32">
        <v>8.1999999999999993</v>
      </c>
      <c r="DD161" s="32">
        <v>8.1999999999999993</v>
      </c>
      <c r="DE161" s="32">
        <v>63.5</v>
      </c>
      <c r="DF161" s="32">
        <v>62.7</v>
      </c>
      <c r="DG161" s="32">
        <v>67.400000000000006</v>
      </c>
      <c r="DH161" s="32">
        <v>106.6</v>
      </c>
      <c r="DI161" s="32">
        <v>165.7</v>
      </c>
      <c r="DJ161" s="32">
        <v>77.599999999999994</v>
      </c>
      <c r="DK161" s="32">
        <v>77.599999999999994</v>
      </c>
      <c r="DL161" s="32">
        <v>59.9</v>
      </c>
      <c r="DM161" s="32">
        <v>75.099999999999994</v>
      </c>
      <c r="DN161" s="32">
        <v>62.5</v>
      </c>
      <c r="DO161" s="32">
        <v>80.900000000000006</v>
      </c>
      <c r="DP161" s="32">
        <v>61</v>
      </c>
      <c r="DQ161" s="32">
        <v>68.5</v>
      </c>
      <c r="DR161" s="32">
        <v>71.099999999999994</v>
      </c>
      <c r="DS161" s="32">
        <v>71</v>
      </c>
      <c r="DT161" s="32">
        <v>65.900000000000006</v>
      </c>
      <c r="DU161" s="32">
        <v>73.099999999999994</v>
      </c>
      <c r="DV161" s="32">
        <v>87.8</v>
      </c>
      <c r="DW161" s="32">
        <v>58.3</v>
      </c>
      <c r="DX161" s="32">
        <v>51.3</v>
      </c>
      <c r="DY161" s="32">
        <v>89.2</v>
      </c>
      <c r="DZ161" s="32">
        <v>98.3</v>
      </c>
      <c r="EA161" s="32">
        <v>98.3</v>
      </c>
      <c r="EB161" s="32">
        <v>62.9</v>
      </c>
      <c r="EC161" s="32">
        <v>62</v>
      </c>
      <c r="ED161" s="32">
        <v>64.599999999999994</v>
      </c>
      <c r="EE161" s="32">
        <v>67.3</v>
      </c>
      <c r="EF161" s="32">
        <v>58.7</v>
      </c>
      <c r="EG161" s="32">
        <v>64.5</v>
      </c>
      <c r="EH161" s="32">
        <v>84.8</v>
      </c>
      <c r="EI161" s="32">
        <v>61</v>
      </c>
      <c r="EJ161" s="32">
        <v>72.900000000000006</v>
      </c>
      <c r="EK161" s="32">
        <v>56.6</v>
      </c>
      <c r="EL161" s="32">
        <v>68.099999999999994</v>
      </c>
      <c r="EM161" s="32">
        <v>53.1</v>
      </c>
      <c r="EN161" s="32">
        <v>57</v>
      </c>
      <c r="EO161" s="32">
        <v>88.2</v>
      </c>
      <c r="EP161" s="32">
        <v>92.6</v>
      </c>
      <c r="EQ161" s="32">
        <v>92.6</v>
      </c>
      <c r="ER161" s="32">
        <v>81.099999999999994</v>
      </c>
      <c r="ES161" s="32">
        <v>81.099999999999994</v>
      </c>
      <c r="ET161" s="32">
        <v>93.1</v>
      </c>
      <c r="EU161" s="32">
        <v>102.9</v>
      </c>
      <c r="EV161" s="32">
        <v>102.9</v>
      </c>
      <c r="EW161" s="32">
        <v>83.5</v>
      </c>
      <c r="EX161" s="32">
        <v>91.8</v>
      </c>
      <c r="EY161" s="32">
        <v>77</v>
      </c>
      <c r="EZ161" s="32">
        <v>90.5</v>
      </c>
      <c r="FA161" s="32">
        <v>92</v>
      </c>
      <c r="FB161" s="32">
        <v>98.6</v>
      </c>
      <c r="FC161" s="32">
        <v>76.599999999999994</v>
      </c>
      <c r="FD161" s="32">
        <v>114.9</v>
      </c>
      <c r="FE161" s="32">
        <v>128.1</v>
      </c>
      <c r="FF161" s="32">
        <v>84.6</v>
      </c>
      <c r="FG161" s="32">
        <v>87.9</v>
      </c>
      <c r="FH161" s="32">
        <v>88.9</v>
      </c>
      <c r="FI161" s="32">
        <v>71.8</v>
      </c>
      <c r="FJ161" s="32">
        <v>89.2</v>
      </c>
      <c r="FK161" s="32">
        <v>109.8</v>
      </c>
      <c r="FL161" s="32">
        <v>109.8</v>
      </c>
    </row>
    <row r="162" spans="1:168" x14ac:dyDescent="0.2">
      <c r="A162" s="34" t="s">
        <v>1142</v>
      </c>
      <c r="B162" s="32">
        <v>80</v>
      </c>
      <c r="C162" s="32">
        <v>82</v>
      </c>
      <c r="D162" s="32">
        <v>88.6</v>
      </c>
      <c r="E162" s="32">
        <v>95.7</v>
      </c>
      <c r="F162" s="32">
        <v>185.7</v>
      </c>
      <c r="G162" s="32">
        <v>2830.6</v>
      </c>
      <c r="H162" s="32">
        <v>218</v>
      </c>
      <c r="I162" s="32">
        <v>69</v>
      </c>
      <c r="J162" s="32">
        <v>85.1</v>
      </c>
      <c r="K162" s="32">
        <v>93</v>
      </c>
      <c r="L162" s="32">
        <v>87.2</v>
      </c>
      <c r="M162" s="32">
        <v>88.1</v>
      </c>
      <c r="N162" s="32">
        <v>73.900000000000006</v>
      </c>
      <c r="O162" s="32">
        <v>267.60000000000002</v>
      </c>
      <c r="P162" s="32">
        <v>152.5</v>
      </c>
      <c r="Q162" s="32">
        <v>217.8</v>
      </c>
      <c r="R162" s="32">
        <v>79.2</v>
      </c>
      <c r="S162" s="32">
        <v>95.3</v>
      </c>
      <c r="T162" s="32">
        <v>113</v>
      </c>
      <c r="U162" s="32">
        <v>107</v>
      </c>
      <c r="V162" s="32">
        <v>121.2</v>
      </c>
      <c r="W162" s="32">
        <v>72.599999999999994</v>
      </c>
      <c r="X162" s="32">
        <v>61.6</v>
      </c>
      <c r="Y162" s="32">
        <v>81.599999999999994</v>
      </c>
      <c r="Z162" s="32">
        <v>130.6</v>
      </c>
      <c r="AA162" s="32">
        <v>97.7</v>
      </c>
      <c r="AB162" s="32">
        <v>66.7</v>
      </c>
      <c r="AC162" s="32">
        <v>95.9</v>
      </c>
      <c r="AD162" s="32">
        <v>122.7</v>
      </c>
      <c r="AE162" s="32">
        <v>112.1</v>
      </c>
      <c r="AF162" s="32">
        <v>112.1</v>
      </c>
      <c r="AG162" s="32">
        <v>77.900000000000006</v>
      </c>
      <c r="AH162" s="32">
        <v>77.900000000000006</v>
      </c>
      <c r="AI162" s="32">
        <v>172.8</v>
      </c>
      <c r="AJ162" s="32">
        <v>61.6</v>
      </c>
      <c r="AK162" s="32">
        <v>77.900000000000006</v>
      </c>
      <c r="AL162" s="32">
        <v>122.8</v>
      </c>
      <c r="AM162" s="32">
        <v>54.9</v>
      </c>
      <c r="AN162" s="32">
        <v>148.5</v>
      </c>
      <c r="AO162" s="32">
        <v>92.8</v>
      </c>
      <c r="AP162" s="32">
        <v>92.8</v>
      </c>
      <c r="AQ162" s="32">
        <v>81.900000000000006</v>
      </c>
      <c r="AR162" s="32">
        <v>86.6</v>
      </c>
      <c r="AS162" s="32">
        <v>77.400000000000006</v>
      </c>
      <c r="AT162" s="32">
        <v>78.400000000000006</v>
      </c>
      <c r="AU162" s="32">
        <v>74.3</v>
      </c>
      <c r="AV162" s="32">
        <v>79</v>
      </c>
      <c r="AW162" s="32">
        <v>107.5</v>
      </c>
      <c r="AX162" s="32">
        <v>167.7</v>
      </c>
      <c r="AY162" s="32">
        <v>93.1</v>
      </c>
      <c r="AZ162" s="32">
        <v>76</v>
      </c>
      <c r="BA162" s="32">
        <v>77.400000000000006</v>
      </c>
      <c r="BB162" s="32">
        <v>77.400000000000006</v>
      </c>
      <c r="BC162" s="32">
        <v>95.8</v>
      </c>
      <c r="BD162" s="32">
        <v>95.8</v>
      </c>
      <c r="BE162" s="32">
        <v>90.7</v>
      </c>
      <c r="BF162" s="32">
        <v>90.7</v>
      </c>
      <c r="BG162" s="32">
        <v>79.5</v>
      </c>
      <c r="BH162" s="32">
        <v>79.5</v>
      </c>
      <c r="BI162" s="32">
        <v>78.599999999999994</v>
      </c>
      <c r="BJ162" s="32">
        <v>53.7</v>
      </c>
      <c r="BK162" s="32">
        <v>94.5</v>
      </c>
      <c r="BL162" s="32">
        <v>38.6</v>
      </c>
      <c r="BM162" s="32">
        <v>101.9</v>
      </c>
      <c r="BN162" s="32">
        <v>104.8</v>
      </c>
      <c r="BO162" s="32">
        <v>86.7</v>
      </c>
      <c r="BP162" s="32">
        <v>122.7</v>
      </c>
      <c r="BQ162" s="32">
        <v>99.4</v>
      </c>
      <c r="BR162" s="32">
        <v>97.8</v>
      </c>
      <c r="BS162" s="32">
        <v>211.8</v>
      </c>
      <c r="BT162" s="32">
        <v>73.099999999999994</v>
      </c>
      <c r="BU162" s="32">
        <v>120.4</v>
      </c>
      <c r="BV162" s="32">
        <v>120.4</v>
      </c>
      <c r="BW162" s="32">
        <v>166.8</v>
      </c>
      <c r="BX162" s="32">
        <v>48</v>
      </c>
      <c r="BY162" s="32">
        <v>94.4</v>
      </c>
      <c r="BZ162" s="32">
        <v>84.4</v>
      </c>
      <c r="CA162" s="32">
        <v>99.1</v>
      </c>
      <c r="CB162" s="32">
        <v>113.5</v>
      </c>
      <c r="CC162" s="32">
        <v>92</v>
      </c>
      <c r="CD162" s="32">
        <v>18.100000000000001</v>
      </c>
      <c r="CE162" s="32">
        <v>73.8</v>
      </c>
      <c r="CF162" s="32">
        <v>78.3</v>
      </c>
      <c r="CG162" s="32">
        <v>88.1</v>
      </c>
      <c r="CH162" s="32">
        <v>89.8</v>
      </c>
      <c r="CI162" s="32">
        <v>99.8</v>
      </c>
      <c r="CJ162" s="32">
        <v>89.1</v>
      </c>
      <c r="CK162" s="32">
        <v>88.9</v>
      </c>
      <c r="CL162" s="32">
        <v>87.6</v>
      </c>
      <c r="CM162" s="32">
        <v>100.6</v>
      </c>
      <c r="CN162" s="32">
        <v>127</v>
      </c>
      <c r="CO162" s="32">
        <v>93.1</v>
      </c>
      <c r="CP162" s="32">
        <v>90.7</v>
      </c>
      <c r="CQ162" s="32">
        <v>65.2</v>
      </c>
      <c r="CR162" s="32">
        <v>94</v>
      </c>
      <c r="CS162" s="32">
        <v>114</v>
      </c>
      <c r="CT162" s="32">
        <v>81.400000000000006</v>
      </c>
      <c r="CU162" s="32">
        <v>63</v>
      </c>
      <c r="CV162" s="32">
        <v>89.4</v>
      </c>
      <c r="CW162" s="32">
        <v>38.200000000000003</v>
      </c>
      <c r="CX162" s="32">
        <v>95.6</v>
      </c>
      <c r="CY162" s="32">
        <v>112.6</v>
      </c>
      <c r="CZ162" s="32">
        <v>86.7</v>
      </c>
      <c r="DA162" s="32">
        <v>73</v>
      </c>
      <c r="DB162" s="32">
        <v>114.6</v>
      </c>
      <c r="DC162" s="32">
        <v>8.5</v>
      </c>
      <c r="DD162" s="32">
        <v>8.5</v>
      </c>
      <c r="DE162" s="32">
        <v>65.400000000000006</v>
      </c>
      <c r="DF162" s="32">
        <v>63.1</v>
      </c>
      <c r="DG162" s="32">
        <v>77.900000000000006</v>
      </c>
      <c r="DH162" s="32">
        <v>103.9</v>
      </c>
      <c r="DI162" s="32">
        <v>155.19999999999999</v>
      </c>
      <c r="DJ162" s="32">
        <v>80.2</v>
      </c>
      <c r="DK162" s="32">
        <v>80.2</v>
      </c>
      <c r="DL162" s="32">
        <v>60.8</v>
      </c>
      <c r="DM162" s="32">
        <v>75.2</v>
      </c>
      <c r="DN162" s="32">
        <v>63.2</v>
      </c>
      <c r="DO162" s="32">
        <v>81</v>
      </c>
      <c r="DP162" s="32">
        <v>58</v>
      </c>
      <c r="DQ162" s="32">
        <v>69.099999999999994</v>
      </c>
      <c r="DR162" s="32">
        <v>70.099999999999994</v>
      </c>
      <c r="DS162" s="32">
        <v>69.099999999999994</v>
      </c>
      <c r="DT162" s="32">
        <v>65.3</v>
      </c>
      <c r="DU162" s="32">
        <v>71.599999999999994</v>
      </c>
      <c r="DV162" s="32">
        <v>85.9</v>
      </c>
      <c r="DW162" s="32">
        <v>57.3</v>
      </c>
      <c r="DX162" s="32">
        <v>52.7</v>
      </c>
      <c r="DY162" s="32">
        <v>82.5</v>
      </c>
      <c r="DZ162" s="32">
        <v>112.9</v>
      </c>
      <c r="EA162" s="32">
        <v>112.9</v>
      </c>
      <c r="EB162" s="32">
        <v>59.5</v>
      </c>
      <c r="EC162" s="32">
        <v>59.3</v>
      </c>
      <c r="ED162" s="32">
        <v>60.2</v>
      </c>
      <c r="EE162" s="32">
        <v>60.9</v>
      </c>
      <c r="EF162" s="32">
        <v>58.7</v>
      </c>
      <c r="EG162" s="32">
        <v>67.5</v>
      </c>
      <c r="EH162" s="32">
        <v>86.3</v>
      </c>
      <c r="EI162" s="32">
        <v>68.7</v>
      </c>
      <c r="EJ162" s="32">
        <v>68.3</v>
      </c>
      <c r="EK162" s="32">
        <v>58.3</v>
      </c>
      <c r="EL162" s="32">
        <v>68.5</v>
      </c>
      <c r="EM162" s="32">
        <v>54</v>
      </c>
      <c r="EN162" s="32">
        <v>59.4</v>
      </c>
      <c r="EO162" s="32">
        <v>88</v>
      </c>
      <c r="EP162" s="32">
        <v>91.2</v>
      </c>
      <c r="EQ162" s="32">
        <v>91.2</v>
      </c>
      <c r="ER162" s="32">
        <v>81.099999999999994</v>
      </c>
      <c r="ES162" s="32">
        <v>81.099999999999994</v>
      </c>
      <c r="ET162" s="32">
        <v>93.4</v>
      </c>
      <c r="EU162" s="32">
        <v>103.2</v>
      </c>
      <c r="EV162" s="32">
        <v>103.2</v>
      </c>
      <c r="EW162" s="32">
        <v>84</v>
      </c>
      <c r="EX162" s="32">
        <v>91.7</v>
      </c>
      <c r="EY162" s="32">
        <v>78</v>
      </c>
      <c r="EZ162" s="32">
        <v>89.4</v>
      </c>
      <c r="FA162" s="32">
        <v>94.2</v>
      </c>
      <c r="FB162" s="32">
        <v>101.2</v>
      </c>
      <c r="FC162" s="32">
        <v>82</v>
      </c>
      <c r="FD162" s="32">
        <v>119.4</v>
      </c>
      <c r="FE162" s="32">
        <v>123.7</v>
      </c>
      <c r="FF162" s="32">
        <v>86.3</v>
      </c>
      <c r="FG162" s="32">
        <v>84.3</v>
      </c>
      <c r="FH162" s="32">
        <v>88</v>
      </c>
      <c r="FI162" s="32">
        <v>87</v>
      </c>
      <c r="FJ162" s="32">
        <v>82.2</v>
      </c>
      <c r="FK162" s="32">
        <v>111.1</v>
      </c>
      <c r="FL162" s="32">
        <v>111.1</v>
      </c>
    </row>
    <row r="163" spans="1:168" x14ac:dyDescent="0.2">
      <c r="A163" s="34" t="s">
        <v>1143</v>
      </c>
      <c r="B163" s="32">
        <v>81.3</v>
      </c>
      <c r="C163" s="32">
        <v>80</v>
      </c>
      <c r="D163" s="32">
        <v>90.5</v>
      </c>
      <c r="E163" s="32">
        <v>97.1</v>
      </c>
      <c r="F163" s="32">
        <v>182.4</v>
      </c>
      <c r="G163" s="32">
        <v>2772.7</v>
      </c>
      <c r="H163" s="32">
        <v>210.7</v>
      </c>
      <c r="I163" s="32">
        <v>72.400000000000006</v>
      </c>
      <c r="J163" s="32">
        <v>87</v>
      </c>
      <c r="K163" s="32">
        <v>91.6</v>
      </c>
      <c r="L163" s="32">
        <v>86.3</v>
      </c>
      <c r="M163" s="32">
        <v>84.2</v>
      </c>
      <c r="N163" s="32">
        <v>72.7</v>
      </c>
      <c r="O163" s="32">
        <v>269.60000000000002</v>
      </c>
      <c r="P163" s="32">
        <v>144.9</v>
      </c>
      <c r="Q163" s="32">
        <v>221.8</v>
      </c>
      <c r="R163" s="32">
        <v>79.099999999999994</v>
      </c>
      <c r="S163" s="32">
        <v>96.6</v>
      </c>
      <c r="T163" s="32">
        <v>100.1</v>
      </c>
      <c r="U163" s="32">
        <v>101.8</v>
      </c>
      <c r="V163" s="32">
        <v>118.8</v>
      </c>
      <c r="W163" s="32">
        <v>81.5</v>
      </c>
      <c r="X163" s="32">
        <v>68</v>
      </c>
      <c r="Y163" s="32">
        <v>96.4</v>
      </c>
      <c r="Z163" s="32">
        <v>133.69999999999999</v>
      </c>
      <c r="AA163" s="32">
        <v>100.8</v>
      </c>
      <c r="AB163" s="32">
        <v>76.2</v>
      </c>
      <c r="AC163" s="32">
        <v>100.3</v>
      </c>
      <c r="AD163" s="32">
        <v>121</v>
      </c>
      <c r="AE163" s="32">
        <v>110.8</v>
      </c>
      <c r="AF163" s="32">
        <v>110.8</v>
      </c>
      <c r="AG163" s="32">
        <v>80</v>
      </c>
      <c r="AH163" s="32">
        <v>80</v>
      </c>
      <c r="AI163" s="32">
        <v>196.5</v>
      </c>
      <c r="AJ163" s="32">
        <v>56.2</v>
      </c>
      <c r="AK163" s="32">
        <v>62.2</v>
      </c>
      <c r="AL163" s="32">
        <v>130</v>
      </c>
      <c r="AM163" s="32">
        <v>57.1</v>
      </c>
      <c r="AN163" s="32">
        <v>162.4</v>
      </c>
      <c r="AO163" s="32">
        <v>95.3</v>
      </c>
      <c r="AP163" s="32">
        <v>95.3</v>
      </c>
      <c r="AQ163" s="32">
        <v>87.4</v>
      </c>
      <c r="AR163" s="32">
        <v>87.6</v>
      </c>
      <c r="AS163" s="32">
        <v>89.2</v>
      </c>
      <c r="AT163" s="32">
        <v>83.2</v>
      </c>
      <c r="AU163" s="32">
        <v>93.6</v>
      </c>
      <c r="AV163" s="32">
        <v>78.8</v>
      </c>
      <c r="AW163" s="32">
        <v>100.7</v>
      </c>
      <c r="AX163" s="32">
        <v>153.4</v>
      </c>
      <c r="AY163" s="32">
        <v>92.6</v>
      </c>
      <c r="AZ163" s="32">
        <v>77.2</v>
      </c>
      <c r="BA163" s="32">
        <v>82.2</v>
      </c>
      <c r="BB163" s="32">
        <v>82.2</v>
      </c>
      <c r="BC163" s="32">
        <v>100.4</v>
      </c>
      <c r="BD163" s="32">
        <v>100.4</v>
      </c>
      <c r="BE163" s="32">
        <v>92.2</v>
      </c>
      <c r="BF163" s="32">
        <v>92.2</v>
      </c>
      <c r="BG163" s="32">
        <v>79.2</v>
      </c>
      <c r="BH163" s="32">
        <v>79</v>
      </c>
      <c r="BI163" s="32">
        <v>78.5</v>
      </c>
      <c r="BJ163" s="32">
        <v>54.3</v>
      </c>
      <c r="BK163" s="32">
        <v>93.7</v>
      </c>
      <c r="BL163" s="32">
        <v>41.1</v>
      </c>
      <c r="BM163" s="32">
        <v>105.3</v>
      </c>
      <c r="BN163" s="32">
        <v>110.2</v>
      </c>
      <c r="BO163" s="32">
        <v>89.4</v>
      </c>
      <c r="BP163" s="32">
        <v>131.1</v>
      </c>
      <c r="BQ163" s="32">
        <v>100.6</v>
      </c>
      <c r="BR163" s="32">
        <v>67.400000000000006</v>
      </c>
      <c r="BS163" s="32">
        <v>226.3</v>
      </c>
      <c r="BT163" s="32">
        <v>75.5</v>
      </c>
      <c r="BU163" s="32">
        <v>117.7</v>
      </c>
      <c r="BV163" s="32">
        <v>117.7</v>
      </c>
      <c r="BW163" s="32">
        <v>163.19999999999999</v>
      </c>
      <c r="BX163" s="32">
        <v>47</v>
      </c>
      <c r="BY163" s="32">
        <v>98.4</v>
      </c>
      <c r="BZ163" s="32">
        <v>82.9</v>
      </c>
      <c r="CA163" s="32">
        <v>106</v>
      </c>
      <c r="CB163" s="32">
        <v>125.7</v>
      </c>
      <c r="CC163" s="32">
        <v>93.6</v>
      </c>
      <c r="CD163" s="32">
        <v>20.7</v>
      </c>
      <c r="CE163" s="32">
        <v>77.099999999999994</v>
      </c>
      <c r="CF163" s="32">
        <v>79.5</v>
      </c>
      <c r="CG163" s="32">
        <v>90.7</v>
      </c>
      <c r="CH163" s="32">
        <v>91.7</v>
      </c>
      <c r="CI163" s="32">
        <v>102.5</v>
      </c>
      <c r="CJ163" s="32">
        <v>88.2</v>
      </c>
      <c r="CK163" s="32">
        <v>92.9</v>
      </c>
      <c r="CL163" s="32">
        <v>90.7</v>
      </c>
      <c r="CM163" s="32">
        <v>103.6</v>
      </c>
      <c r="CN163" s="32">
        <v>131.30000000000001</v>
      </c>
      <c r="CO163" s="32">
        <v>95.8</v>
      </c>
      <c r="CP163" s="32">
        <v>96.6</v>
      </c>
      <c r="CQ163" s="32">
        <v>68.099999999999994</v>
      </c>
      <c r="CR163" s="32">
        <v>98.6</v>
      </c>
      <c r="CS163" s="32">
        <v>116.1</v>
      </c>
      <c r="CT163" s="32">
        <v>86.3</v>
      </c>
      <c r="CU163" s="32">
        <v>69.3</v>
      </c>
      <c r="CV163" s="32">
        <v>93.6</v>
      </c>
      <c r="CW163" s="32">
        <v>38.6</v>
      </c>
      <c r="CX163" s="32">
        <v>94.4</v>
      </c>
      <c r="CY163" s="32">
        <v>110.7</v>
      </c>
      <c r="CZ163" s="32">
        <v>85.9</v>
      </c>
      <c r="DA163" s="32">
        <v>73.5</v>
      </c>
      <c r="DB163" s="32">
        <v>110.8</v>
      </c>
      <c r="DC163" s="32">
        <v>8.6</v>
      </c>
      <c r="DD163" s="32">
        <v>8.6</v>
      </c>
      <c r="DE163" s="32">
        <v>66.599999999999994</v>
      </c>
      <c r="DF163" s="32">
        <v>64.400000000000006</v>
      </c>
      <c r="DG163" s="32">
        <v>78.2</v>
      </c>
      <c r="DH163" s="32">
        <v>105.5</v>
      </c>
      <c r="DI163" s="32">
        <v>158.30000000000001</v>
      </c>
      <c r="DJ163" s="32">
        <v>81.599999999999994</v>
      </c>
      <c r="DK163" s="32">
        <v>81.599999999999994</v>
      </c>
      <c r="DL163" s="32">
        <v>60.8</v>
      </c>
      <c r="DM163" s="32">
        <v>75.400000000000006</v>
      </c>
      <c r="DN163" s="32">
        <v>63.6</v>
      </c>
      <c r="DO163" s="32">
        <v>81.099999999999994</v>
      </c>
      <c r="DP163" s="32">
        <v>57.4</v>
      </c>
      <c r="DQ163" s="32">
        <v>71.5</v>
      </c>
      <c r="DR163" s="32">
        <v>73.900000000000006</v>
      </c>
      <c r="DS163" s="32">
        <v>72.099999999999994</v>
      </c>
      <c r="DT163" s="32">
        <v>67.900000000000006</v>
      </c>
      <c r="DU163" s="32">
        <v>73</v>
      </c>
      <c r="DV163" s="32">
        <v>86.2</v>
      </c>
      <c r="DW163" s="32">
        <v>59.8</v>
      </c>
      <c r="DX163" s="32">
        <v>57.4</v>
      </c>
      <c r="DY163" s="32">
        <v>87.5</v>
      </c>
      <c r="DZ163" s="32">
        <v>127.8</v>
      </c>
      <c r="EA163" s="32">
        <v>127.8</v>
      </c>
      <c r="EB163" s="32">
        <v>61.6</v>
      </c>
      <c r="EC163" s="32">
        <v>60</v>
      </c>
      <c r="ED163" s="32">
        <v>64.2</v>
      </c>
      <c r="EE163" s="32">
        <v>66.599999999999994</v>
      </c>
      <c r="EF163" s="32">
        <v>59.1</v>
      </c>
      <c r="EG163" s="32">
        <v>67.7</v>
      </c>
      <c r="EH163" s="32">
        <v>89.7</v>
      </c>
      <c r="EI163" s="32">
        <v>67.5</v>
      </c>
      <c r="EJ163" s="32">
        <v>69.599999999999994</v>
      </c>
      <c r="EK163" s="32">
        <v>58</v>
      </c>
      <c r="EL163" s="32">
        <v>66.5</v>
      </c>
      <c r="EM163" s="32">
        <v>54.7</v>
      </c>
      <c r="EN163" s="32">
        <v>58.8</v>
      </c>
      <c r="EO163" s="32">
        <v>87.6</v>
      </c>
      <c r="EP163" s="32">
        <v>90.8</v>
      </c>
      <c r="EQ163" s="32">
        <v>90.8</v>
      </c>
      <c r="ER163" s="32">
        <v>80.7</v>
      </c>
      <c r="ES163" s="32">
        <v>80.7</v>
      </c>
      <c r="ET163" s="32">
        <v>93.2</v>
      </c>
      <c r="EU163" s="32">
        <v>102.4</v>
      </c>
      <c r="EV163" s="32">
        <v>102.4</v>
      </c>
      <c r="EW163" s="32">
        <v>84.9</v>
      </c>
      <c r="EX163" s="32">
        <v>92.1</v>
      </c>
      <c r="EY163" s="32">
        <v>79.400000000000006</v>
      </c>
      <c r="EZ163" s="32">
        <v>93.3</v>
      </c>
      <c r="FA163" s="32">
        <v>97.7</v>
      </c>
      <c r="FB163" s="32">
        <v>103.1</v>
      </c>
      <c r="FC163" s="32">
        <v>86.6</v>
      </c>
      <c r="FD163" s="32">
        <v>119.4</v>
      </c>
      <c r="FE163" s="32">
        <v>121</v>
      </c>
      <c r="FF163" s="32">
        <v>91.8</v>
      </c>
      <c r="FG163" s="32">
        <v>87.6</v>
      </c>
      <c r="FH163" s="32">
        <v>87.3</v>
      </c>
      <c r="FI163" s="32">
        <v>86.7</v>
      </c>
      <c r="FJ163" s="32">
        <v>87.8</v>
      </c>
      <c r="FK163" s="32">
        <v>127.4</v>
      </c>
      <c r="FL163" s="32">
        <v>127.4</v>
      </c>
    </row>
    <row r="164" spans="1:168" x14ac:dyDescent="0.2">
      <c r="A164" s="34" t="s">
        <v>1144</v>
      </c>
      <c r="B164" s="32">
        <v>81.900000000000006</v>
      </c>
      <c r="C164" s="32">
        <v>78.2</v>
      </c>
      <c r="D164" s="32">
        <v>91.4</v>
      </c>
      <c r="E164" s="32">
        <v>98.1</v>
      </c>
      <c r="F164" s="32">
        <v>189.9</v>
      </c>
      <c r="G164" s="32">
        <v>2833.5</v>
      </c>
      <c r="H164" s="32">
        <v>221.5</v>
      </c>
      <c r="I164" s="32">
        <v>72.3</v>
      </c>
      <c r="J164" s="32">
        <v>88.4</v>
      </c>
      <c r="K164" s="32">
        <v>92.2</v>
      </c>
      <c r="L164" s="32">
        <v>87.7</v>
      </c>
      <c r="M164" s="32">
        <v>80.2</v>
      </c>
      <c r="N164" s="32">
        <v>83.1</v>
      </c>
      <c r="O164" s="32">
        <v>231.8</v>
      </c>
      <c r="P164" s="32">
        <v>127.3</v>
      </c>
      <c r="Q164" s="32">
        <v>224.2</v>
      </c>
      <c r="R164" s="32">
        <v>81.400000000000006</v>
      </c>
      <c r="S164" s="32">
        <v>97.3</v>
      </c>
      <c r="T164" s="32">
        <v>119.8</v>
      </c>
      <c r="U164" s="32">
        <v>91.1</v>
      </c>
      <c r="V164" s="32">
        <v>118.7</v>
      </c>
      <c r="W164" s="32">
        <v>81.7</v>
      </c>
      <c r="X164" s="32">
        <v>68.8</v>
      </c>
      <c r="Y164" s="32">
        <v>94.6</v>
      </c>
      <c r="Z164" s="32">
        <v>137.6</v>
      </c>
      <c r="AA164" s="32">
        <v>102.5</v>
      </c>
      <c r="AB164" s="32">
        <v>83.2</v>
      </c>
      <c r="AC164" s="32">
        <v>100.4</v>
      </c>
      <c r="AD164" s="32">
        <v>121.2</v>
      </c>
      <c r="AE164" s="32">
        <v>117.9</v>
      </c>
      <c r="AF164" s="32">
        <v>117.9</v>
      </c>
      <c r="AG164" s="32">
        <v>80.5</v>
      </c>
      <c r="AH164" s="32">
        <v>80.5</v>
      </c>
      <c r="AI164" s="32">
        <v>190.4</v>
      </c>
      <c r="AJ164" s="32">
        <v>56</v>
      </c>
      <c r="AK164" s="32">
        <v>59.2</v>
      </c>
      <c r="AL164" s="32">
        <v>126.7</v>
      </c>
      <c r="AM164" s="32">
        <v>57.7</v>
      </c>
      <c r="AN164" s="32">
        <v>178.1</v>
      </c>
      <c r="AO164" s="32">
        <v>99.7</v>
      </c>
      <c r="AP164" s="32">
        <v>99.7</v>
      </c>
      <c r="AQ164" s="32">
        <v>90.2</v>
      </c>
      <c r="AR164" s="32">
        <v>89</v>
      </c>
      <c r="AS164" s="32">
        <v>94.2</v>
      </c>
      <c r="AT164" s="32">
        <v>87.1</v>
      </c>
      <c r="AU164" s="32">
        <v>99.7</v>
      </c>
      <c r="AV164" s="32">
        <v>81.3</v>
      </c>
      <c r="AW164" s="32">
        <v>102.7</v>
      </c>
      <c r="AX164" s="32">
        <v>167.5</v>
      </c>
      <c r="AY164" s="32">
        <v>91.5</v>
      </c>
      <c r="AZ164" s="32">
        <v>79.900000000000006</v>
      </c>
      <c r="BA164" s="32">
        <v>81.7</v>
      </c>
      <c r="BB164" s="32">
        <v>81.7</v>
      </c>
      <c r="BC164" s="32">
        <v>105.4</v>
      </c>
      <c r="BD164" s="32">
        <v>105.4</v>
      </c>
      <c r="BE164" s="32">
        <v>95.4</v>
      </c>
      <c r="BF164" s="32">
        <v>95.4</v>
      </c>
      <c r="BG164" s="32">
        <v>79.400000000000006</v>
      </c>
      <c r="BH164" s="32">
        <v>79</v>
      </c>
      <c r="BI164" s="32">
        <v>78.8</v>
      </c>
      <c r="BJ164" s="32">
        <v>54.3</v>
      </c>
      <c r="BK164" s="32">
        <v>92.2</v>
      </c>
      <c r="BL164" s="32">
        <v>52.9</v>
      </c>
      <c r="BM164" s="32">
        <v>104.8</v>
      </c>
      <c r="BN164" s="32">
        <v>112.6</v>
      </c>
      <c r="BO164" s="32">
        <v>92.1</v>
      </c>
      <c r="BP164" s="32">
        <v>132.9</v>
      </c>
      <c r="BQ164" s="32">
        <v>97.2</v>
      </c>
      <c r="BR164" s="32">
        <v>75.7</v>
      </c>
      <c r="BS164" s="32">
        <v>201.8</v>
      </c>
      <c r="BT164" s="32">
        <v>74.900000000000006</v>
      </c>
      <c r="BU164" s="32">
        <v>113.5</v>
      </c>
      <c r="BV164" s="32">
        <v>113.5</v>
      </c>
      <c r="BW164" s="32">
        <v>158</v>
      </c>
      <c r="BX164" s="32">
        <v>44.8</v>
      </c>
      <c r="BY164" s="32">
        <v>99.6</v>
      </c>
      <c r="BZ164" s="32">
        <v>84</v>
      </c>
      <c r="CA164" s="32">
        <v>107.3</v>
      </c>
      <c r="CB164" s="32">
        <v>129.30000000000001</v>
      </c>
      <c r="CC164" s="32">
        <v>92.4</v>
      </c>
      <c r="CD164" s="32">
        <v>22.2</v>
      </c>
      <c r="CE164" s="32">
        <v>77.599999999999994</v>
      </c>
      <c r="CF164" s="32">
        <v>80.099999999999994</v>
      </c>
      <c r="CG164" s="32">
        <v>92.5</v>
      </c>
      <c r="CH164" s="32">
        <v>93.9</v>
      </c>
      <c r="CI164" s="32">
        <v>110.1</v>
      </c>
      <c r="CJ164" s="32">
        <v>90.5</v>
      </c>
      <c r="CK164" s="32">
        <v>93.7</v>
      </c>
      <c r="CL164" s="32">
        <v>92</v>
      </c>
      <c r="CM164" s="32">
        <v>105.9</v>
      </c>
      <c r="CN164" s="32">
        <v>136.5</v>
      </c>
      <c r="CO164" s="32">
        <v>97.6</v>
      </c>
      <c r="CP164" s="32">
        <v>102.9</v>
      </c>
      <c r="CQ164" s="32">
        <v>68.3</v>
      </c>
      <c r="CR164" s="32">
        <v>100.7</v>
      </c>
      <c r="CS164" s="32">
        <v>112.5</v>
      </c>
      <c r="CT164" s="32">
        <v>87</v>
      </c>
      <c r="CU164" s="32">
        <v>69.5</v>
      </c>
      <c r="CV164" s="32">
        <v>94.5</v>
      </c>
      <c r="CW164" s="32">
        <v>38.9</v>
      </c>
      <c r="CX164" s="32">
        <v>96.3</v>
      </c>
      <c r="CY164" s="32">
        <v>110.6</v>
      </c>
      <c r="CZ164" s="32">
        <v>88.8</v>
      </c>
      <c r="DA164" s="32">
        <v>74.099999999999994</v>
      </c>
      <c r="DB164" s="32">
        <v>118.8</v>
      </c>
      <c r="DC164" s="32">
        <v>8.6999999999999993</v>
      </c>
      <c r="DD164" s="32">
        <v>8.6999999999999993</v>
      </c>
      <c r="DE164" s="32">
        <v>66.400000000000006</v>
      </c>
      <c r="DF164" s="32">
        <v>64.3</v>
      </c>
      <c r="DG164" s="32">
        <v>77.599999999999994</v>
      </c>
      <c r="DH164" s="32">
        <v>105.8</v>
      </c>
      <c r="DI164" s="32">
        <v>158.30000000000001</v>
      </c>
      <c r="DJ164" s="32">
        <v>82.6</v>
      </c>
      <c r="DK164" s="32">
        <v>82.6</v>
      </c>
      <c r="DL164" s="32">
        <v>60.5</v>
      </c>
      <c r="DM164" s="32">
        <v>75.8</v>
      </c>
      <c r="DN164" s="32">
        <v>64</v>
      </c>
      <c r="DO164" s="32">
        <v>81.400000000000006</v>
      </c>
      <c r="DP164" s="32">
        <v>57.9</v>
      </c>
      <c r="DQ164" s="32">
        <v>71.8</v>
      </c>
      <c r="DR164" s="32">
        <v>74.099999999999994</v>
      </c>
      <c r="DS164" s="32">
        <v>69.2</v>
      </c>
      <c r="DT164" s="32">
        <v>63.3</v>
      </c>
      <c r="DU164" s="32">
        <v>69.7</v>
      </c>
      <c r="DV164" s="32">
        <v>79.5</v>
      </c>
      <c r="DW164" s="32">
        <v>59.7</v>
      </c>
      <c r="DX164" s="32">
        <v>50.5</v>
      </c>
      <c r="DY164" s="32">
        <v>90.3</v>
      </c>
      <c r="DZ164" s="32">
        <v>149</v>
      </c>
      <c r="EA164" s="32">
        <v>149</v>
      </c>
      <c r="EB164" s="32">
        <v>64.2</v>
      </c>
      <c r="EC164" s="32">
        <v>64.7</v>
      </c>
      <c r="ED164" s="32">
        <v>63.8</v>
      </c>
      <c r="EE164" s="32">
        <v>66.400000000000006</v>
      </c>
      <c r="EF164" s="32">
        <v>58.1</v>
      </c>
      <c r="EG164" s="32">
        <v>68.099999999999994</v>
      </c>
      <c r="EH164" s="32">
        <v>86.4</v>
      </c>
      <c r="EI164" s="32">
        <v>69.2</v>
      </c>
      <c r="EJ164" s="32">
        <v>67.5</v>
      </c>
      <c r="EK164" s="32">
        <v>59.4</v>
      </c>
      <c r="EL164" s="32">
        <v>66.5</v>
      </c>
      <c r="EM164" s="32">
        <v>56.1</v>
      </c>
      <c r="EN164" s="32">
        <v>60.4</v>
      </c>
      <c r="EO164" s="32">
        <v>87.9</v>
      </c>
      <c r="EP164" s="32">
        <v>90.6</v>
      </c>
      <c r="EQ164" s="32">
        <v>90.6</v>
      </c>
      <c r="ER164" s="32">
        <v>80.400000000000006</v>
      </c>
      <c r="ES164" s="32">
        <v>80.400000000000006</v>
      </c>
      <c r="ET164" s="32">
        <v>94.5</v>
      </c>
      <c r="EU164" s="32">
        <v>103.6</v>
      </c>
      <c r="EV164" s="32">
        <v>103.6</v>
      </c>
      <c r="EW164" s="32">
        <v>86.4</v>
      </c>
      <c r="EX164" s="32">
        <v>93</v>
      </c>
      <c r="EY164" s="32">
        <v>81.5</v>
      </c>
      <c r="EZ164" s="32">
        <v>94.7</v>
      </c>
      <c r="FA164" s="32">
        <v>98.3</v>
      </c>
      <c r="FB164" s="32">
        <v>103.8</v>
      </c>
      <c r="FC164" s="32">
        <v>88.1</v>
      </c>
      <c r="FD164" s="32">
        <v>119.9</v>
      </c>
      <c r="FE164" s="32">
        <v>120.2</v>
      </c>
      <c r="FF164" s="32">
        <v>92.2</v>
      </c>
      <c r="FG164" s="32">
        <v>89.5</v>
      </c>
      <c r="FH164" s="32">
        <v>87</v>
      </c>
      <c r="FI164" s="32">
        <v>85.5</v>
      </c>
      <c r="FJ164" s="32">
        <v>91</v>
      </c>
      <c r="FK164" s="32">
        <v>131.80000000000001</v>
      </c>
      <c r="FL164" s="32">
        <v>131.80000000000001</v>
      </c>
    </row>
    <row r="165" spans="1:168" x14ac:dyDescent="0.2">
      <c r="A165" s="34" t="s">
        <v>1145</v>
      </c>
      <c r="B165" s="32">
        <v>81.599999999999994</v>
      </c>
      <c r="C165" s="32">
        <v>76.8</v>
      </c>
      <c r="D165" s="32">
        <v>90.6</v>
      </c>
      <c r="E165" s="32">
        <v>96.4</v>
      </c>
      <c r="F165" s="32">
        <v>185.2</v>
      </c>
      <c r="G165" s="32">
        <v>2746.9</v>
      </c>
      <c r="H165" s="32">
        <v>215.1</v>
      </c>
      <c r="I165" s="32">
        <v>71.900000000000006</v>
      </c>
      <c r="J165" s="32">
        <v>87.3</v>
      </c>
      <c r="K165" s="32">
        <v>89.5</v>
      </c>
      <c r="L165" s="32">
        <v>84.9</v>
      </c>
      <c r="M165" s="32">
        <v>75.400000000000006</v>
      </c>
      <c r="N165" s="32">
        <v>85.2</v>
      </c>
      <c r="O165" s="32">
        <v>247.3</v>
      </c>
      <c r="P165" s="32">
        <v>113</v>
      </c>
      <c r="Q165" s="32">
        <v>224.8</v>
      </c>
      <c r="R165" s="32">
        <v>74</v>
      </c>
      <c r="S165" s="32">
        <v>96.7</v>
      </c>
      <c r="T165" s="32">
        <v>117.2</v>
      </c>
      <c r="U165" s="32">
        <v>99.5</v>
      </c>
      <c r="V165" s="32">
        <v>113.3</v>
      </c>
      <c r="W165" s="32">
        <v>82.3</v>
      </c>
      <c r="X165" s="32">
        <v>69</v>
      </c>
      <c r="Y165" s="32">
        <v>97</v>
      </c>
      <c r="Z165" s="32">
        <v>131.69999999999999</v>
      </c>
      <c r="AA165" s="32">
        <v>102.7</v>
      </c>
      <c r="AB165" s="32">
        <v>83.6</v>
      </c>
      <c r="AC165" s="32">
        <v>103</v>
      </c>
      <c r="AD165" s="32">
        <v>119.1</v>
      </c>
      <c r="AE165" s="32">
        <v>104</v>
      </c>
      <c r="AF165" s="32">
        <v>104</v>
      </c>
      <c r="AG165" s="32">
        <v>78.7</v>
      </c>
      <c r="AH165" s="32">
        <v>78.7</v>
      </c>
      <c r="AI165" s="32">
        <v>217.6</v>
      </c>
      <c r="AJ165" s="32">
        <v>51</v>
      </c>
      <c r="AK165" s="32">
        <v>46.9</v>
      </c>
      <c r="AL165" s="32">
        <v>131.9</v>
      </c>
      <c r="AM165" s="32">
        <v>55.4</v>
      </c>
      <c r="AN165" s="32">
        <v>164.9</v>
      </c>
      <c r="AO165" s="32">
        <v>100.9</v>
      </c>
      <c r="AP165" s="32">
        <v>100.9</v>
      </c>
      <c r="AQ165" s="32">
        <v>91.1</v>
      </c>
      <c r="AR165" s="32">
        <v>89.8</v>
      </c>
      <c r="AS165" s="32">
        <v>95.3</v>
      </c>
      <c r="AT165" s="32">
        <v>84.9</v>
      </c>
      <c r="AU165" s="32">
        <v>104.2</v>
      </c>
      <c r="AV165" s="32">
        <v>83.1</v>
      </c>
      <c r="AW165" s="32">
        <v>105.9</v>
      </c>
      <c r="AX165" s="32">
        <v>176.7</v>
      </c>
      <c r="AY165" s="32">
        <v>94.6</v>
      </c>
      <c r="AZ165" s="32">
        <v>81.599999999999994</v>
      </c>
      <c r="BA165" s="32">
        <v>77.900000000000006</v>
      </c>
      <c r="BB165" s="32">
        <v>77.900000000000006</v>
      </c>
      <c r="BC165" s="32">
        <v>102</v>
      </c>
      <c r="BD165" s="32">
        <v>102</v>
      </c>
      <c r="BE165" s="32">
        <v>96.1</v>
      </c>
      <c r="BF165" s="32">
        <v>96.1</v>
      </c>
      <c r="BG165" s="32">
        <v>78.599999999999994</v>
      </c>
      <c r="BH165" s="32">
        <v>76.400000000000006</v>
      </c>
      <c r="BI165" s="32">
        <v>79.7</v>
      </c>
      <c r="BJ165" s="32">
        <v>53.8</v>
      </c>
      <c r="BK165" s="32">
        <v>92.8</v>
      </c>
      <c r="BL165" s="32">
        <v>60.3</v>
      </c>
      <c r="BM165" s="32">
        <v>100.2</v>
      </c>
      <c r="BN165" s="32">
        <v>111.6</v>
      </c>
      <c r="BO165" s="32">
        <v>88.9</v>
      </c>
      <c r="BP165" s="32">
        <v>134.80000000000001</v>
      </c>
      <c r="BQ165" s="32">
        <v>88.4</v>
      </c>
      <c r="BR165" s="32">
        <v>75.2</v>
      </c>
      <c r="BS165" s="32">
        <v>148.1</v>
      </c>
      <c r="BT165" s="32">
        <v>74.599999999999994</v>
      </c>
      <c r="BU165" s="32">
        <v>110</v>
      </c>
      <c r="BV165" s="32">
        <v>110</v>
      </c>
      <c r="BW165" s="32">
        <v>153.80000000000001</v>
      </c>
      <c r="BX165" s="32">
        <v>43</v>
      </c>
      <c r="BY165" s="32">
        <v>96.9</v>
      </c>
      <c r="BZ165" s="32">
        <v>79.5</v>
      </c>
      <c r="CA165" s="32">
        <v>105.6</v>
      </c>
      <c r="CB165" s="32">
        <v>126.9</v>
      </c>
      <c r="CC165" s="32">
        <v>91.1</v>
      </c>
      <c r="CD165" s="32">
        <v>23.5</v>
      </c>
      <c r="CE165" s="32">
        <v>78.599999999999994</v>
      </c>
      <c r="CF165" s="32">
        <v>79.900000000000006</v>
      </c>
      <c r="CG165" s="32">
        <v>92</v>
      </c>
      <c r="CH165" s="32">
        <v>92.9</v>
      </c>
      <c r="CI165" s="32">
        <v>105.9</v>
      </c>
      <c r="CJ165" s="32">
        <v>87.4</v>
      </c>
      <c r="CK165" s="32">
        <v>95.1</v>
      </c>
      <c r="CL165" s="32">
        <v>92.1</v>
      </c>
      <c r="CM165" s="32">
        <v>103</v>
      </c>
      <c r="CN165" s="32">
        <v>138.5</v>
      </c>
      <c r="CO165" s="32">
        <v>94</v>
      </c>
      <c r="CP165" s="32">
        <v>106.1</v>
      </c>
      <c r="CQ165" s="32">
        <v>59.6</v>
      </c>
      <c r="CR165" s="32">
        <v>101.1</v>
      </c>
      <c r="CS165" s="32">
        <v>123.5</v>
      </c>
      <c r="CT165" s="32">
        <v>87.6</v>
      </c>
      <c r="CU165" s="32">
        <v>69.2</v>
      </c>
      <c r="CV165" s="32">
        <v>95.6</v>
      </c>
      <c r="CW165" s="32">
        <v>37.9</v>
      </c>
      <c r="CX165" s="32">
        <v>94.8</v>
      </c>
      <c r="CY165" s="32">
        <v>109.8</v>
      </c>
      <c r="CZ165" s="32">
        <v>86.9</v>
      </c>
      <c r="DA165" s="32">
        <v>72.8</v>
      </c>
      <c r="DB165" s="32">
        <v>115.6</v>
      </c>
      <c r="DC165" s="32">
        <v>8.9</v>
      </c>
      <c r="DD165" s="32">
        <v>8.9</v>
      </c>
      <c r="DE165" s="32">
        <v>62.1</v>
      </c>
      <c r="DF165" s="32">
        <v>60.9</v>
      </c>
      <c r="DG165" s="32">
        <v>68.2</v>
      </c>
      <c r="DH165" s="32">
        <v>104</v>
      </c>
      <c r="DI165" s="32">
        <v>155.4</v>
      </c>
      <c r="DJ165" s="32">
        <v>82.6</v>
      </c>
      <c r="DK165" s="32">
        <v>82.6</v>
      </c>
      <c r="DL165" s="32">
        <v>58.2</v>
      </c>
      <c r="DM165" s="32">
        <v>76.599999999999994</v>
      </c>
      <c r="DN165" s="32">
        <v>65.599999999999994</v>
      </c>
      <c r="DO165" s="32">
        <v>82</v>
      </c>
      <c r="DP165" s="32">
        <v>57.9</v>
      </c>
      <c r="DQ165" s="32">
        <v>71.8</v>
      </c>
      <c r="DR165" s="32">
        <v>75.3</v>
      </c>
      <c r="DS165" s="32">
        <v>74.2</v>
      </c>
      <c r="DT165" s="32">
        <v>70.3</v>
      </c>
      <c r="DU165" s="32">
        <v>72.3</v>
      </c>
      <c r="DV165" s="32">
        <v>85.2</v>
      </c>
      <c r="DW165" s="32">
        <v>59.2</v>
      </c>
      <c r="DX165" s="32">
        <v>66.2</v>
      </c>
      <c r="DY165" s="32">
        <v>88.4</v>
      </c>
      <c r="DZ165" s="32">
        <v>129.69999999999999</v>
      </c>
      <c r="EA165" s="32">
        <v>129.69999999999999</v>
      </c>
      <c r="EB165" s="32">
        <v>60.9</v>
      </c>
      <c r="EC165" s="32">
        <v>60.3</v>
      </c>
      <c r="ED165" s="32">
        <v>62.1</v>
      </c>
      <c r="EE165" s="32">
        <v>64.2</v>
      </c>
      <c r="EF165" s="32">
        <v>57.8</v>
      </c>
      <c r="EG165" s="32">
        <v>66.3</v>
      </c>
      <c r="EH165" s="32">
        <v>83.5</v>
      </c>
      <c r="EI165" s="32">
        <v>65.900000000000006</v>
      </c>
      <c r="EJ165" s="32">
        <v>68.5</v>
      </c>
      <c r="EK165" s="32">
        <v>58.6</v>
      </c>
      <c r="EL165" s="32">
        <v>65</v>
      </c>
      <c r="EM165" s="32">
        <v>55.4</v>
      </c>
      <c r="EN165" s="32">
        <v>59.6</v>
      </c>
      <c r="EO165" s="32">
        <v>88.5</v>
      </c>
      <c r="EP165" s="32">
        <v>90.8</v>
      </c>
      <c r="EQ165" s="32">
        <v>90.8</v>
      </c>
      <c r="ER165" s="32">
        <v>81.599999999999994</v>
      </c>
      <c r="ES165" s="32">
        <v>81.599999999999994</v>
      </c>
      <c r="ET165" s="32">
        <v>94.8</v>
      </c>
      <c r="EU165" s="32">
        <v>103.3</v>
      </c>
      <c r="EV165" s="32">
        <v>103.3</v>
      </c>
      <c r="EW165" s="32">
        <v>88.1</v>
      </c>
      <c r="EX165" s="32">
        <v>94</v>
      </c>
      <c r="EY165" s="32">
        <v>83.7</v>
      </c>
      <c r="EZ165" s="32">
        <v>93.5</v>
      </c>
      <c r="FA165" s="32">
        <v>95.9</v>
      </c>
      <c r="FB165" s="32">
        <v>101</v>
      </c>
      <c r="FC165" s="32">
        <v>84.8</v>
      </c>
      <c r="FD165" s="32">
        <v>114.4</v>
      </c>
      <c r="FE165" s="32">
        <v>120.2</v>
      </c>
      <c r="FF165" s="32">
        <v>90.2</v>
      </c>
      <c r="FG165" s="32">
        <v>88.8</v>
      </c>
      <c r="FH165" s="32">
        <v>88.3</v>
      </c>
      <c r="FI165" s="32">
        <v>85.3</v>
      </c>
      <c r="FJ165" s="32">
        <v>89.4</v>
      </c>
      <c r="FK165" s="32">
        <v>134.80000000000001</v>
      </c>
      <c r="FL165" s="32">
        <v>134.80000000000001</v>
      </c>
    </row>
    <row r="166" spans="1:168" x14ac:dyDescent="0.2">
      <c r="A166" s="34" t="s">
        <v>1146</v>
      </c>
      <c r="B166" s="32">
        <v>82.2</v>
      </c>
      <c r="C166" s="32">
        <v>76.2</v>
      </c>
      <c r="D166" s="32">
        <v>91.1</v>
      </c>
      <c r="E166" s="32">
        <v>96.3</v>
      </c>
      <c r="F166" s="32">
        <v>182.3</v>
      </c>
      <c r="G166" s="32">
        <v>2887.5</v>
      </c>
      <c r="H166" s="32">
        <v>211.7</v>
      </c>
      <c r="I166" s="32">
        <v>70.7</v>
      </c>
      <c r="J166" s="32">
        <v>87.7</v>
      </c>
      <c r="K166" s="32">
        <v>89.7</v>
      </c>
      <c r="L166" s="32">
        <v>85.3</v>
      </c>
      <c r="M166" s="32">
        <v>70</v>
      </c>
      <c r="N166" s="32">
        <v>84.1</v>
      </c>
      <c r="O166" s="32">
        <v>225.5</v>
      </c>
      <c r="P166" s="32">
        <v>101.4</v>
      </c>
      <c r="Q166" s="32">
        <v>213.3</v>
      </c>
      <c r="R166" s="32">
        <v>83.3</v>
      </c>
      <c r="S166" s="32">
        <v>98.7</v>
      </c>
      <c r="T166" s="32">
        <v>106.5</v>
      </c>
      <c r="U166" s="32">
        <v>98.1</v>
      </c>
      <c r="V166" s="32">
        <v>113</v>
      </c>
      <c r="W166" s="32">
        <v>85.8</v>
      </c>
      <c r="X166" s="32">
        <v>71.099999999999994</v>
      </c>
      <c r="Y166" s="32">
        <v>103.5</v>
      </c>
      <c r="Z166" s="32">
        <v>137.9</v>
      </c>
      <c r="AA166" s="32">
        <v>103.1</v>
      </c>
      <c r="AB166" s="32">
        <v>84</v>
      </c>
      <c r="AC166" s="32">
        <v>105.5</v>
      </c>
      <c r="AD166" s="32">
        <v>117.5</v>
      </c>
      <c r="AE166" s="32">
        <v>104.5</v>
      </c>
      <c r="AF166" s="32">
        <v>104.5</v>
      </c>
      <c r="AG166" s="32">
        <v>77.3</v>
      </c>
      <c r="AH166" s="32">
        <v>77.3</v>
      </c>
      <c r="AI166" s="32">
        <v>196.9</v>
      </c>
      <c r="AJ166" s="32">
        <v>45.3</v>
      </c>
      <c r="AK166" s="32">
        <v>40.6</v>
      </c>
      <c r="AL166" s="32">
        <v>133.19999999999999</v>
      </c>
      <c r="AM166" s="32">
        <v>58.8</v>
      </c>
      <c r="AN166" s="32">
        <v>180.3</v>
      </c>
      <c r="AO166" s="32">
        <v>94.4</v>
      </c>
      <c r="AP166" s="32">
        <v>94.4</v>
      </c>
      <c r="AQ166" s="32">
        <v>89.7</v>
      </c>
      <c r="AR166" s="32">
        <v>87</v>
      </c>
      <c r="AS166" s="32">
        <v>95.8</v>
      </c>
      <c r="AT166" s="32">
        <v>85.1</v>
      </c>
      <c r="AU166" s="32">
        <v>105.2</v>
      </c>
      <c r="AV166" s="32">
        <v>82.3</v>
      </c>
      <c r="AW166" s="32">
        <v>103.5</v>
      </c>
      <c r="AX166" s="32">
        <v>172.2</v>
      </c>
      <c r="AY166" s="32">
        <v>94.3</v>
      </c>
      <c r="AZ166" s="32">
        <v>81</v>
      </c>
      <c r="BA166" s="32">
        <v>81.099999999999994</v>
      </c>
      <c r="BB166" s="32">
        <v>81.099999999999994</v>
      </c>
      <c r="BC166" s="32">
        <v>104.1</v>
      </c>
      <c r="BD166" s="32">
        <v>104.1</v>
      </c>
      <c r="BE166" s="32">
        <v>94.9</v>
      </c>
      <c r="BF166" s="32">
        <v>94.9</v>
      </c>
      <c r="BG166" s="32">
        <v>80.400000000000006</v>
      </c>
      <c r="BH166" s="32">
        <v>79.099999999999994</v>
      </c>
      <c r="BI166" s="32">
        <v>80.599999999999994</v>
      </c>
      <c r="BJ166" s="32">
        <v>53.2</v>
      </c>
      <c r="BK166" s="32">
        <v>94.7</v>
      </c>
      <c r="BL166" s="32">
        <v>60.1</v>
      </c>
      <c r="BM166" s="32">
        <v>107.5</v>
      </c>
      <c r="BN166" s="32">
        <v>111.4</v>
      </c>
      <c r="BO166" s="32">
        <v>88.7</v>
      </c>
      <c r="BP166" s="32">
        <v>134.4</v>
      </c>
      <c r="BQ166" s="32">
        <v>104</v>
      </c>
      <c r="BR166" s="32">
        <v>88.5</v>
      </c>
      <c r="BS166" s="32">
        <v>186</v>
      </c>
      <c r="BT166" s="32">
        <v>85.3</v>
      </c>
      <c r="BU166" s="32">
        <v>110.3</v>
      </c>
      <c r="BV166" s="32">
        <v>110.3</v>
      </c>
      <c r="BW166" s="32">
        <v>150.1</v>
      </c>
      <c r="BX166" s="32">
        <v>45.9</v>
      </c>
      <c r="BY166" s="32">
        <v>94.5</v>
      </c>
      <c r="BZ166" s="32">
        <v>78.3</v>
      </c>
      <c r="CA166" s="32">
        <v>102.5</v>
      </c>
      <c r="CB166" s="32">
        <v>126</v>
      </c>
      <c r="CC166" s="32">
        <v>85.3</v>
      </c>
      <c r="CD166" s="32">
        <v>22.3</v>
      </c>
      <c r="CE166" s="32">
        <v>80.2</v>
      </c>
      <c r="CF166" s="32">
        <v>80.5</v>
      </c>
      <c r="CG166" s="32">
        <v>93.2</v>
      </c>
      <c r="CH166" s="32">
        <v>94.8</v>
      </c>
      <c r="CI166" s="32">
        <v>113.1</v>
      </c>
      <c r="CJ166" s="32">
        <v>88.6</v>
      </c>
      <c r="CK166" s="32">
        <v>96.3</v>
      </c>
      <c r="CL166" s="32">
        <v>92.9</v>
      </c>
      <c r="CM166" s="32">
        <v>102.3</v>
      </c>
      <c r="CN166" s="32">
        <v>141.6</v>
      </c>
      <c r="CO166" s="32">
        <v>92.7</v>
      </c>
      <c r="CP166" s="32">
        <v>110</v>
      </c>
      <c r="CQ166" s="32">
        <v>72.2</v>
      </c>
      <c r="CR166" s="32">
        <v>101.6</v>
      </c>
      <c r="CS166" s="32">
        <v>121.6</v>
      </c>
      <c r="CT166" s="32">
        <v>86.9</v>
      </c>
      <c r="CU166" s="32">
        <v>68.599999999999994</v>
      </c>
      <c r="CV166" s="32">
        <v>94.8</v>
      </c>
      <c r="CW166" s="32">
        <v>38.5</v>
      </c>
      <c r="CX166" s="32">
        <v>95.3</v>
      </c>
      <c r="CY166" s="32">
        <v>111.4</v>
      </c>
      <c r="CZ166" s="32">
        <v>86.8</v>
      </c>
      <c r="DA166" s="32">
        <v>68.7</v>
      </c>
      <c r="DB166" s="32">
        <v>124.9</v>
      </c>
      <c r="DC166" s="32">
        <v>9.1</v>
      </c>
      <c r="DD166" s="32">
        <v>9.1</v>
      </c>
      <c r="DE166" s="32">
        <v>62.9</v>
      </c>
      <c r="DF166" s="32">
        <v>61.1</v>
      </c>
      <c r="DG166" s="32">
        <v>72.7</v>
      </c>
      <c r="DH166" s="32">
        <v>106.3</v>
      </c>
      <c r="DI166" s="32">
        <v>156.69999999999999</v>
      </c>
      <c r="DJ166" s="32">
        <v>82.4</v>
      </c>
      <c r="DK166" s="32">
        <v>82.4</v>
      </c>
      <c r="DL166" s="32">
        <v>64.3</v>
      </c>
      <c r="DM166" s="32">
        <v>77</v>
      </c>
      <c r="DN166" s="32">
        <v>66.400000000000006</v>
      </c>
      <c r="DO166" s="32">
        <v>82.1</v>
      </c>
      <c r="DP166" s="32">
        <v>59.7</v>
      </c>
      <c r="DQ166" s="32">
        <v>71</v>
      </c>
      <c r="DR166" s="32">
        <v>74</v>
      </c>
      <c r="DS166" s="32">
        <v>71.8</v>
      </c>
      <c r="DT166" s="32">
        <v>67.5</v>
      </c>
      <c r="DU166" s="32">
        <v>70.900000000000006</v>
      </c>
      <c r="DV166" s="32">
        <v>81.599999999999994</v>
      </c>
      <c r="DW166" s="32">
        <v>59.9</v>
      </c>
      <c r="DX166" s="32">
        <v>60.8</v>
      </c>
      <c r="DY166" s="32">
        <v>87.1</v>
      </c>
      <c r="DZ166" s="32">
        <v>131.30000000000001</v>
      </c>
      <c r="EA166" s="32">
        <v>131.30000000000001</v>
      </c>
      <c r="EB166" s="32">
        <v>62.1</v>
      </c>
      <c r="EC166" s="32">
        <v>60.3</v>
      </c>
      <c r="ED166" s="32">
        <v>64.8</v>
      </c>
      <c r="EE166" s="32">
        <v>67.5</v>
      </c>
      <c r="EF166" s="32">
        <v>59.1</v>
      </c>
      <c r="EG166" s="32">
        <v>66.400000000000006</v>
      </c>
      <c r="EH166" s="32">
        <v>85.2</v>
      </c>
      <c r="EI166" s="32">
        <v>66.599999999999994</v>
      </c>
      <c r="EJ166" s="32">
        <v>70.2</v>
      </c>
      <c r="EK166" s="32">
        <v>57.3</v>
      </c>
      <c r="EL166" s="32">
        <v>64.7</v>
      </c>
      <c r="EM166" s="32">
        <v>55.5</v>
      </c>
      <c r="EN166" s="32">
        <v>57.3</v>
      </c>
      <c r="EO166" s="32">
        <v>89</v>
      </c>
      <c r="EP166" s="32">
        <v>90.5</v>
      </c>
      <c r="EQ166" s="32">
        <v>90.5</v>
      </c>
      <c r="ER166" s="32">
        <v>82.1</v>
      </c>
      <c r="ES166" s="32">
        <v>82.1</v>
      </c>
      <c r="ET166" s="32">
        <v>95.8</v>
      </c>
      <c r="EU166" s="32">
        <v>104.1</v>
      </c>
      <c r="EV166" s="32">
        <v>104.1</v>
      </c>
      <c r="EW166" s="32">
        <v>89.6</v>
      </c>
      <c r="EX166" s="32">
        <v>95.2</v>
      </c>
      <c r="EY166" s="32">
        <v>85.4</v>
      </c>
      <c r="EZ166" s="32">
        <v>93.5</v>
      </c>
      <c r="FA166" s="32">
        <v>97.3</v>
      </c>
      <c r="FB166" s="32">
        <v>102.1</v>
      </c>
      <c r="FC166" s="32">
        <v>86.7</v>
      </c>
      <c r="FD166" s="32">
        <v>114.1</v>
      </c>
      <c r="FE166" s="32">
        <v>120.6</v>
      </c>
      <c r="FF166" s="32">
        <v>91.9</v>
      </c>
      <c r="FG166" s="32">
        <v>88.2</v>
      </c>
      <c r="FH166" s="32">
        <v>88.5</v>
      </c>
      <c r="FI166" s="32">
        <v>84.8</v>
      </c>
      <c r="FJ166" s="32">
        <v>88.3</v>
      </c>
      <c r="FK166" s="32">
        <v>130.4</v>
      </c>
      <c r="FL166" s="32">
        <v>130.4</v>
      </c>
    </row>
    <row r="167" spans="1:168" x14ac:dyDescent="0.2">
      <c r="A167" s="34" t="s">
        <v>1147</v>
      </c>
      <c r="B167" s="32">
        <v>82.2</v>
      </c>
      <c r="C167" s="32">
        <v>76.400000000000006</v>
      </c>
      <c r="D167" s="32">
        <v>90.5</v>
      </c>
      <c r="E167" s="32">
        <v>94.9</v>
      </c>
      <c r="F167" s="32">
        <v>163.9</v>
      </c>
      <c r="G167" s="32">
        <v>2948.8</v>
      </c>
      <c r="H167" s="32">
        <v>186.2</v>
      </c>
      <c r="I167" s="32">
        <v>68.900000000000006</v>
      </c>
      <c r="J167" s="32">
        <v>87.6</v>
      </c>
      <c r="K167" s="32">
        <v>92.5</v>
      </c>
      <c r="L167" s="32">
        <v>86.3</v>
      </c>
      <c r="M167" s="32">
        <v>67.400000000000006</v>
      </c>
      <c r="N167" s="32">
        <v>88.2</v>
      </c>
      <c r="O167" s="32">
        <v>232</v>
      </c>
      <c r="P167" s="32">
        <v>92.9</v>
      </c>
      <c r="Q167" s="32">
        <v>216</v>
      </c>
      <c r="R167" s="32">
        <v>81</v>
      </c>
      <c r="S167" s="32">
        <v>104.3</v>
      </c>
      <c r="T167" s="32">
        <v>99.4</v>
      </c>
      <c r="U167" s="32">
        <v>97.3</v>
      </c>
      <c r="V167" s="32">
        <v>125</v>
      </c>
      <c r="W167" s="32">
        <v>83.7</v>
      </c>
      <c r="X167" s="32">
        <v>69.8</v>
      </c>
      <c r="Y167" s="32">
        <v>100.9</v>
      </c>
      <c r="Z167" s="32">
        <v>128</v>
      </c>
      <c r="AA167" s="32">
        <v>103.6</v>
      </c>
      <c r="AB167" s="32">
        <v>87.8</v>
      </c>
      <c r="AC167" s="32">
        <v>105.8</v>
      </c>
      <c r="AD167" s="32">
        <v>116.4</v>
      </c>
      <c r="AE167" s="32">
        <v>103.3</v>
      </c>
      <c r="AF167" s="32">
        <v>103.3</v>
      </c>
      <c r="AG167" s="32">
        <v>74.599999999999994</v>
      </c>
      <c r="AH167" s="32">
        <v>74.599999999999994</v>
      </c>
      <c r="AI167" s="32">
        <v>166.4</v>
      </c>
      <c r="AJ167" s="32">
        <v>44.7</v>
      </c>
      <c r="AK167" s="32">
        <v>39.299999999999997</v>
      </c>
      <c r="AL167" s="32">
        <v>134.19999999999999</v>
      </c>
      <c r="AM167" s="32">
        <v>58.1</v>
      </c>
      <c r="AN167" s="32">
        <v>185.4</v>
      </c>
      <c r="AO167" s="32">
        <v>95</v>
      </c>
      <c r="AP167" s="32">
        <v>95</v>
      </c>
      <c r="AQ167" s="32">
        <v>90.9</v>
      </c>
      <c r="AR167" s="32">
        <v>89</v>
      </c>
      <c r="AS167" s="32">
        <v>96</v>
      </c>
      <c r="AT167" s="32">
        <v>87.1</v>
      </c>
      <c r="AU167" s="32">
        <v>103.2</v>
      </c>
      <c r="AV167" s="32">
        <v>83.9</v>
      </c>
      <c r="AW167" s="32">
        <v>103.2</v>
      </c>
      <c r="AX167" s="32">
        <v>172.8</v>
      </c>
      <c r="AY167" s="32">
        <v>94.9</v>
      </c>
      <c r="AZ167" s="32">
        <v>83.1</v>
      </c>
      <c r="BA167" s="32">
        <v>78.3</v>
      </c>
      <c r="BB167" s="32">
        <v>78.3</v>
      </c>
      <c r="BC167" s="32">
        <v>100.1</v>
      </c>
      <c r="BD167" s="32">
        <v>100.1</v>
      </c>
      <c r="BE167" s="32">
        <v>95.5</v>
      </c>
      <c r="BF167" s="32">
        <v>95.5</v>
      </c>
      <c r="BG167" s="32">
        <v>81</v>
      </c>
      <c r="BH167" s="32">
        <v>78.5</v>
      </c>
      <c r="BI167" s="32">
        <v>82.3</v>
      </c>
      <c r="BJ167" s="32">
        <v>52.1</v>
      </c>
      <c r="BK167" s="32">
        <v>97.3</v>
      </c>
      <c r="BL167" s="32">
        <v>64.099999999999994</v>
      </c>
      <c r="BM167" s="32">
        <v>102.4</v>
      </c>
      <c r="BN167" s="32">
        <v>112.8</v>
      </c>
      <c r="BO167" s="32">
        <v>90.6</v>
      </c>
      <c r="BP167" s="32">
        <v>135.19999999999999</v>
      </c>
      <c r="BQ167" s="32">
        <v>91.9</v>
      </c>
      <c r="BR167" s="32">
        <v>78</v>
      </c>
      <c r="BS167" s="32">
        <v>162.5</v>
      </c>
      <c r="BT167" s="32">
        <v>75.8</v>
      </c>
      <c r="BU167" s="32">
        <v>106</v>
      </c>
      <c r="BV167" s="32">
        <v>106</v>
      </c>
      <c r="BW167" s="32">
        <v>144.80000000000001</v>
      </c>
      <c r="BX167" s="32">
        <v>43.8</v>
      </c>
      <c r="BY167" s="32">
        <v>95</v>
      </c>
      <c r="BZ167" s="32">
        <v>96.3</v>
      </c>
      <c r="CA167" s="32">
        <v>94.1</v>
      </c>
      <c r="CB167" s="32">
        <v>111.7</v>
      </c>
      <c r="CC167" s="32">
        <v>82.4</v>
      </c>
      <c r="CD167" s="32">
        <v>22</v>
      </c>
      <c r="CE167" s="32">
        <v>81.3</v>
      </c>
      <c r="CF167" s="32">
        <v>80.599999999999994</v>
      </c>
      <c r="CG167" s="32">
        <v>94.4</v>
      </c>
      <c r="CH167" s="32">
        <v>96.3</v>
      </c>
      <c r="CI167" s="32">
        <v>111.7</v>
      </c>
      <c r="CJ167" s="32">
        <v>92.4</v>
      </c>
      <c r="CK167" s="32">
        <v>96.8</v>
      </c>
      <c r="CL167" s="32">
        <v>94.5</v>
      </c>
      <c r="CM167" s="32">
        <v>103.2</v>
      </c>
      <c r="CN167" s="32">
        <v>144.4</v>
      </c>
      <c r="CO167" s="32">
        <v>93.3</v>
      </c>
      <c r="CP167" s="32">
        <v>113</v>
      </c>
      <c r="CQ167" s="32">
        <v>74.900000000000006</v>
      </c>
      <c r="CR167" s="32">
        <v>104.6</v>
      </c>
      <c r="CS167" s="32">
        <v>122.5</v>
      </c>
      <c r="CT167" s="32">
        <v>85.6</v>
      </c>
      <c r="CU167" s="32">
        <v>67.099999999999994</v>
      </c>
      <c r="CV167" s="32">
        <v>93.6</v>
      </c>
      <c r="CW167" s="32">
        <v>39.1</v>
      </c>
      <c r="CX167" s="32">
        <v>96.3</v>
      </c>
      <c r="CY167" s="32">
        <v>112.2</v>
      </c>
      <c r="CZ167" s="32">
        <v>88</v>
      </c>
      <c r="DA167" s="32">
        <v>72.7</v>
      </c>
      <c r="DB167" s="32">
        <v>119.4</v>
      </c>
      <c r="DC167" s="32">
        <v>9.1999999999999993</v>
      </c>
      <c r="DD167" s="32">
        <v>9.1999999999999993</v>
      </c>
      <c r="DE167" s="32">
        <v>64.400000000000006</v>
      </c>
      <c r="DF167" s="32">
        <v>62.5</v>
      </c>
      <c r="DG167" s="32">
        <v>74.3</v>
      </c>
      <c r="DH167" s="32">
        <v>106.1</v>
      </c>
      <c r="DI167" s="32">
        <v>162.1</v>
      </c>
      <c r="DJ167" s="32">
        <v>82.7</v>
      </c>
      <c r="DK167" s="32">
        <v>82.7</v>
      </c>
      <c r="DL167" s="32">
        <v>57</v>
      </c>
      <c r="DM167" s="32">
        <v>77.3</v>
      </c>
      <c r="DN167" s="32">
        <v>67.099999999999994</v>
      </c>
      <c r="DO167" s="32">
        <v>82.4</v>
      </c>
      <c r="DP167" s="32">
        <v>58.6</v>
      </c>
      <c r="DQ167" s="32">
        <v>71.099999999999994</v>
      </c>
      <c r="DR167" s="32">
        <v>74</v>
      </c>
      <c r="DS167" s="32">
        <v>72.2</v>
      </c>
      <c r="DT167" s="32">
        <v>68.2</v>
      </c>
      <c r="DU167" s="32">
        <v>71.900000000000006</v>
      </c>
      <c r="DV167" s="32">
        <v>83.3</v>
      </c>
      <c r="DW167" s="32">
        <v>60.2</v>
      </c>
      <c r="DX167" s="32">
        <v>60.8</v>
      </c>
      <c r="DY167" s="32">
        <v>87</v>
      </c>
      <c r="DZ167" s="32">
        <v>124.6</v>
      </c>
      <c r="EA167" s="32">
        <v>124.6</v>
      </c>
      <c r="EB167" s="32">
        <v>62.8</v>
      </c>
      <c r="EC167" s="32">
        <v>60</v>
      </c>
      <c r="ED167" s="32">
        <v>67</v>
      </c>
      <c r="EE167" s="32">
        <v>71.2</v>
      </c>
      <c r="EF167" s="32">
        <v>57.7</v>
      </c>
      <c r="EG167" s="32">
        <v>66.599999999999994</v>
      </c>
      <c r="EH167" s="32">
        <v>84</v>
      </c>
      <c r="EI167" s="32">
        <v>66.2</v>
      </c>
      <c r="EJ167" s="32">
        <v>70.2</v>
      </c>
      <c r="EK167" s="32">
        <v>58.6</v>
      </c>
      <c r="EL167" s="32">
        <v>66</v>
      </c>
      <c r="EM167" s="32">
        <v>55.4</v>
      </c>
      <c r="EN167" s="32">
        <v>59.5</v>
      </c>
      <c r="EO167" s="32">
        <v>87.9</v>
      </c>
      <c r="EP167" s="32">
        <v>90.1</v>
      </c>
      <c r="EQ167" s="32">
        <v>90.1</v>
      </c>
      <c r="ER167" s="32">
        <v>78.900000000000006</v>
      </c>
      <c r="ES167" s="32">
        <v>78.900000000000006</v>
      </c>
      <c r="ET167" s="32">
        <v>96.3</v>
      </c>
      <c r="EU167" s="32">
        <v>104.6</v>
      </c>
      <c r="EV167" s="32">
        <v>104.6</v>
      </c>
      <c r="EW167" s="32">
        <v>90.3</v>
      </c>
      <c r="EX167" s="32">
        <v>95.9</v>
      </c>
      <c r="EY167" s="32">
        <v>86.2</v>
      </c>
      <c r="EZ167" s="32">
        <v>92.4</v>
      </c>
      <c r="FA167" s="32">
        <v>95.9</v>
      </c>
      <c r="FB167" s="32">
        <v>102.6</v>
      </c>
      <c r="FC167" s="32">
        <v>87.6</v>
      </c>
      <c r="FD167" s="32">
        <v>114.4</v>
      </c>
      <c r="FE167" s="32">
        <v>120.5</v>
      </c>
      <c r="FF167" s="32">
        <v>88.4</v>
      </c>
      <c r="FG167" s="32">
        <v>87.1</v>
      </c>
      <c r="FH167" s="32">
        <v>88</v>
      </c>
      <c r="FI167" s="32">
        <v>84.9</v>
      </c>
      <c r="FJ167" s="32">
        <v>86.9</v>
      </c>
      <c r="FK167" s="32">
        <v>132.30000000000001</v>
      </c>
      <c r="FL167" s="32">
        <v>132.30000000000001</v>
      </c>
    </row>
    <row r="168" spans="1:168" x14ac:dyDescent="0.2">
      <c r="A168" s="34" t="s">
        <v>1148</v>
      </c>
      <c r="B168" s="32">
        <v>82.3</v>
      </c>
      <c r="C168" s="32">
        <v>76.7</v>
      </c>
      <c r="D168" s="32">
        <v>89.6</v>
      </c>
      <c r="E168" s="32">
        <v>94.1</v>
      </c>
      <c r="F168" s="32">
        <v>169.3</v>
      </c>
      <c r="G168" s="32">
        <v>2918.6</v>
      </c>
      <c r="H168" s="32">
        <v>194.2</v>
      </c>
      <c r="I168" s="32">
        <v>68.7</v>
      </c>
      <c r="J168" s="32">
        <v>86.7</v>
      </c>
      <c r="K168" s="32">
        <v>84.2</v>
      </c>
      <c r="L168" s="32">
        <v>80.900000000000006</v>
      </c>
      <c r="M168" s="32">
        <v>62.2</v>
      </c>
      <c r="N168" s="32">
        <v>80.2</v>
      </c>
      <c r="O168" s="32">
        <v>230</v>
      </c>
      <c r="P168" s="32">
        <v>86.7</v>
      </c>
      <c r="Q168" s="32">
        <v>196.5</v>
      </c>
      <c r="R168" s="32">
        <v>82.4</v>
      </c>
      <c r="S168" s="32">
        <v>94.8</v>
      </c>
      <c r="T168" s="32">
        <v>105.4</v>
      </c>
      <c r="U168" s="32">
        <v>95.6</v>
      </c>
      <c r="V168" s="32">
        <v>101.1</v>
      </c>
      <c r="W168" s="32">
        <v>89.1</v>
      </c>
      <c r="X168" s="32">
        <v>72.2</v>
      </c>
      <c r="Y168" s="32">
        <v>112.8</v>
      </c>
      <c r="Z168" s="32">
        <v>137</v>
      </c>
      <c r="AA168" s="32">
        <v>102.4</v>
      </c>
      <c r="AB168" s="32">
        <v>86.2</v>
      </c>
      <c r="AC168" s="32">
        <v>105.1</v>
      </c>
      <c r="AD168" s="32">
        <v>114.9</v>
      </c>
      <c r="AE168" s="32">
        <v>102.6</v>
      </c>
      <c r="AF168" s="32">
        <v>102.6</v>
      </c>
      <c r="AG168" s="32">
        <v>74.099999999999994</v>
      </c>
      <c r="AH168" s="32">
        <v>74.099999999999994</v>
      </c>
      <c r="AI168" s="32">
        <v>196.4</v>
      </c>
      <c r="AJ168" s="32">
        <v>43.5</v>
      </c>
      <c r="AK168" s="32">
        <v>38.799999999999997</v>
      </c>
      <c r="AL168" s="32">
        <v>125.5</v>
      </c>
      <c r="AM168" s="32">
        <v>54.8</v>
      </c>
      <c r="AN168" s="32">
        <v>184.8</v>
      </c>
      <c r="AO168" s="32">
        <v>94.8</v>
      </c>
      <c r="AP168" s="32">
        <v>94.8</v>
      </c>
      <c r="AQ168" s="32">
        <v>91.1</v>
      </c>
      <c r="AR168" s="32">
        <v>89.2</v>
      </c>
      <c r="AS168" s="32">
        <v>96.3</v>
      </c>
      <c r="AT168" s="32">
        <v>85.9</v>
      </c>
      <c r="AU168" s="32">
        <v>105.2</v>
      </c>
      <c r="AV168" s="32">
        <v>88.2</v>
      </c>
      <c r="AW168" s="32">
        <v>99.1</v>
      </c>
      <c r="AX168" s="32">
        <v>166.2</v>
      </c>
      <c r="AY168" s="32">
        <v>91.9</v>
      </c>
      <c r="AZ168" s="32">
        <v>89.5</v>
      </c>
      <c r="BA168" s="32">
        <v>77.7</v>
      </c>
      <c r="BB168" s="32">
        <v>77.7</v>
      </c>
      <c r="BC168" s="32">
        <v>106.3</v>
      </c>
      <c r="BD168" s="32">
        <v>106.3</v>
      </c>
      <c r="BE168" s="32">
        <v>96.6</v>
      </c>
      <c r="BF168" s="32">
        <v>96.6</v>
      </c>
      <c r="BG168" s="32">
        <v>77.900000000000006</v>
      </c>
      <c r="BH168" s="32">
        <v>70.400000000000006</v>
      </c>
      <c r="BI168" s="32">
        <v>84</v>
      </c>
      <c r="BJ168" s="32">
        <v>50.8</v>
      </c>
      <c r="BK168" s="32">
        <v>101.1</v>
      </c>
      <c r="BL168" s="32">
        <v>61.2</v>
      </c>
      <c r="BM168" s="32">
        <v>104.1</v>
      </c>
      <c r="BN168" s="32">
        <v>116.1</v>
      </c>
      <c r="BO168" s="32">
        <v>92.9</v>
      </c>
      <c r="BP168" s="32">
        <v>139.69999999999999</v>
      </c>
      <c r="BQ168" s="32">
        <v>91.8</v>
      </c>
      <c r="BR168" s="32">
        <v>85</v>
      </c>
      <c r="BS168" s="32">
        <v>159.5</v>
      </c>
      <c r="BT168" s="32">
        <v>75.400000000000006</v>
      </c>
      <c r="BU168" s="32">
        <v>103.2</v>
      </c>
      <c r="BV168" s="32">
        <v>103.2</v>
      </c>
      <c r="BW168" s="32">
        <v>142</v>
      </c>
      <c r="BX168" s="32">
        <v>41.9</v>
      </c>
      <c r="BY168" s="32">
        <v>93.5</v>
      </c>
      <c r="BZ168" s="32">
        <v>97.9</v>
      </c>
      <c r="CA168" s="32">
        <v>90.9</v>
      </c>
      <c r="CB168" s="32">
        <v>107.3</v>
      </c>
      <c r="CC168" s="32">
        <v>80.2</v>
      </c>
      <c r="CD168" s="32">
        <v>22.2</v>
      </c>
      <c r="CE168" s="32">
        <v>80.3</v>
      </c>
      <c r="CF168" s="32">
        <v>81</v>
      </c>
      <c r="CG168" s="32">
        <v>95.3</v>
      </c>
      <c r="CH168" s="32">
        <v>97.2</v>
      </c>
      <c r="CI168" s="32">
        <v>112.7</v>
      </c>
      <c r="CJ168" s="32">
        <v>93.1</v>
      </c>
      <c r="CK168" s="32">
        <v>97.8</v>
      </c>
      <c r="CL168" s="32">
        <v>95.3</v>
      </c>
      <c r="CM168" s="32">
        <v>105.2</v>
      </c>
      <c r="CN168" s="32">
        <v>146.6</v>
      </c>
      <c r="CO168" s="32">
        <v>95.2</v>
      </c>
      <c r="CP168" s="32">
        <v>115.1</v>
      </c>
      <c r="CQ168" s="32">
        <v>78.3</v>
      </c>
      <c r="CR168" s="32">
        <v>105</v>
      </c>
      <c r="CS168" s="32">
        <v>119.9</v>
      </c>
      <c r="CT168" s="32">
        <v>87</v>
      </c>
      <c r="CU168" s="32">
        <v>68.3</v>
      </c>
      <c r="CV168" s="32">
        <v>95.1</v>
      </c>
      <c r="CW168" s="32">
        <v>39.200000000000003</v>
      </c>
      <c r="CX168" s="32">
        <v>95.2</v>
      </c>
      <c r="CY168" s="32">
        <v>111.9</v>
      </c>
      <c r="CZ168" s="32">
        <v>86.5</v>
      </c>
      <c r="DA168" s="32">
        <v>71.099999999999994</v>
      </c>
      <c r="DB168" s="32">
        <v>118.1</v>
      </c>
      <c r="DC168" s="32">
        <v>9.3000000000000007</v>
      </c>
      <c r="DD168" s="32">
        <v>9.3000000000000007</v>
      </c>
      <c r="DE168" s="32">
        <v>65</v>
      </c>
      <c r="DF168" s="32">
        <v>63.2</v>
      </c>
      <c r="DG168" s="32">
        <v>74.900000000000006</v>
      </c>
      <c r="DH168" s="32">
        <v>105.5</v>
      </c>
      <c r="DI168" s="32">
        <v>163.1</v>
      </c>
      <c r="DJ168" s="32">
        <v>82.3</v>
      </c>
      <c r="DK168" s="32">
        <v>82.3</v>
      </c>
      <c r="DL168" s="32">
        <v>54.3</v>
      </c>
      <c r="DM168" s="32">
        <v>77.900000000000006</v>
      </c>
      <c r="DN168" s="32">
        <v>67.8</v>
      </c>
      <c r="DO168" s="32">
        <v>82.7</v>
      </c>
      <c r="DP168" s="32">
        <v>64.099999999999994</v>
      </c>
      <c r="DQ168" s="32">
        <v>70.8</v>
      </c>
      <c r="DR168" s="32">
        <v>74</v>
      </c>
      <c r="DS168" s="32">
        <v>73.2</v>
      </c>
      <c r="DT168" s="32">
        <v>69</v>
      </c>
      <c r="DU168" s="32">
        <v>71.3</v>
      </c>
      <c r="DV168" s="32">
        <v>83.5</v>
      </c>
      <c r="DW168" s="32">
        <v>59</v>
      </c>
      <c r="DX168" s="32">
        <v>64.5</v>
      </c>
      <c r="DY168" s="32">
        <v>88.4</v>
      </c>
      <c r="DZ168" s="32">
        <v>125.1</v>
      </c>
      <c r="EA168" s="32">
        <v>125.1</v>
      </c>
      <c r="EB168" s="32">
        <v>59.6</v>
      </c>
      <c r="EC168" s="32">
        <v>56.7</v>
      </c>
      <c r="ED168" s="32">
        <v>63.9</v>
      </c>
      <c r="EE168" s="32">
        <v>66.5</v>
      </c>
      <c r="EF168" s="32">
        <v>58.4</v>
      </c>
      <c r="EG168" s="32">
        <v>65.900000000000006</v>
      </c>
      <c r="EH168" s="32">
        <v>84.4</v>
      </c>
      <c r="EI168" s="32">
        <v>63.2</v>
      </c>
      <c r="EJ168" s="32">
        <v>70.8</v>
      </c>
      <c r="EK168" s="32">
        <v>58.8</v>
      </c>
      <c r="EL168" s="32">
        <v>65.5</v>
      </c>
      <c r="EM168" s="32">
        <v>55.7</v>
      </c>
      <c r="EN168" s="32">
        <v>59.7</v>
      </c>
      <c r="EO168" s="32">
        <v>88.3</v>
      </c>
      <c r="EP168" s="32">
        <v>90</v>
      </c>
      <c r="EQ168" s="32">
        <v>90</v>
      </c>
      <c r="ER168" s="32">
        <v>79.400000000000006</v>
      </c>
      <c r="ES168" s="32">
        <v>79.400000000000006</v>
      </c>
      <c r="ET168" s="32">
        <v>96.8</v>
      </c>
      <c r="EU168" s="32">
        <v>105.3</v>
      </c>
      <c r="EV168" s="32">
        <v>105.3</v>
      </c>
      <c r="EW168" s="32">
        <v>90.5</v>
      </c>
      <c r="EX168" s="32">
        <v>96.3</v>
      </c>
      <c r="EY168" s="32">
        <v>86.3</v>
      </c>
      <c r="EZ168" s="32">
        <v>94.7</v>
      </c>
      <c r="FA168" s="32">
        <v>100.1</v>
      </c>
      <c r="FB168" s="32">
        <v>99.6</v>
      </c>
      <c r="FC168" s="32">
        <v>83.1</v>
      </c>
      <c r="FD168" s="32">
        <v>111.7</v>
      </c>
      <c r="FE168" s="32">
        <v>120.4</v>
      </c>
      <c r="FF168" s="32">
        <v>100.6</v>
      </c>
      <c r="FG168" s="32">
        <v>88</v>
      </c>
      <c r="FH168" s="32">
        <v>88.7</v>
      </c>
      <c r="FI168" s="32">
        <v>83.5</v>
      </c>
      <c r="FJ168" s="32">
        <v>88.2</v>
      </c>
      <c r="FK168" s="32">
        <v>133.19999999999999</v>
      </c>
      <c r="FL168" s="32">
        <v>133.19999999999999</v>
      </c>
    </row>
    <row r="169" spans="1:168" x14ac:dyDescent="0.2">
      <c r="A169" s="34" t="s">
        <v>1149</v>
      </c>
      <c r="B169" s="32">
        <v>82.4</v>
      </c>
      <c r="C169" s="32">
        <v>76.599999999999994</v>
      </c>
      <c r="D169" s="32">
        <v>90.6</v>
      </c>
      <c r="E169" s="32">
        <v>94</v>
      </c>
      <c r="F169" s="32">
        <v>167.4</v>
      </c>
      <c r="G169" s="32">
        <v>2799.9</v>
      </c>
      <c r="H169" s="32">
        <v>193.1</v>
      </c>
      <c r="I169" s="32">
        <v>66.5</v>
      </c>
      <c r="J169" s="32">
        <v>87.2</v>
      </c>
      <c r="K169" s="32">
        <v>86.7</v>
      </c>
      <c r="L169" s="32">
        <v>82.6</v>
      </c>
      <c r="M169" s="32">
        <v>61.1</v>
      </c>
      <c r="N169" s="32">
        <v>81.599999999999994</v>
      </c>
      <c r="O169" s="32">
        <v>203.1</v>
      </c>
      <c r="P169" s="32">
        <v>81.8</v>
      </c>
      <c r="Q169" s="32">
        <v>187.4</v>
      </c>
      <c r="R169" s="32">
        <v>86.1</v>
      </c>
      <c r="S169" s="32">
        <v>98.5</v>
      </c>
      <c r="T169" s="32">
        <v>114</v>
      </c>
      <c r="U169" s="32">
        <v>90.9</v>
      </c>
      <c r="V169" s="32">
        <v>109.8</v>
      </c>
      <c r="W169" s="32">
        <v>82.3</v>
      </c>
      <c r="X169" s="32">
        <v>67.400000000000006</v>
      </c>
      <c r="Y169" s="32">
        <v>101</v>
      </c>
      <c r="Z169" s="32">
        <v>134.19999999999999</v>
      </c>
      <c r="AA169" s="32">
        <v>101.5</v>
      </c>
      <c r="AB169" s="32">
        <v>89.5</v>
      </c>
      <c r="AC169" s="32">
        <v>103.8</v>
      </c>
      <c r="AD169" s="32">
        <v>111.9</v>
      </c>
      <c r="AE169" s="32">
        <v>96.8</v>
      </c>
      <c r="AF169" s="32">
        <v>96.8</v>
      </c>
      <c r="AG169" s="32">
        <v>69.400000000000006</v>
      </c>
      <c r="AH169" s="32">
        <v>69.400000000000006</v>
      </c>
      <c r="AI169" s="32">
        <v>185.2</v>
      </c>
      <c r="AJ169" s="32">
        <v>38</v>
      </c>
      <c r="AK169" s="32">
        <v>38.700000000000003</v>
      </c>
      <c r="AL169" s="32">
        <v>115.1</v>
      </c>
      <c r="AM169" s="32">
        <v>53.3</v>
      </c>
      <c r="AN169" s="32">
        <v>177</v>
      </c>
      <c r="AO169" s="32">
        <v>100.7</v>
      </c>
      <c r="AP169" s="32">
        <v>100.7</v>
      </c>
      <c r="AQ169" s="32">
        <v>91.3</v>
      </c>
      <c r="AR169" s="32">
        <v>91.1</v>
      </c>
      <c r="AS169" s="32">
        <v>93.9</v>
      </c>
      <c r="AT169" s="32">
        <v>82.7</v>
      </c>
      <c r="AU169" s="32">
        <v>103.7</v>
      </c>
      <c r="AV169" s="32">
        <v>85.1</v>
      </c>
      <c r="AW169" s="32">
        <v>101.7</v>
      </c>
      <c r="AX169" s="32">
        <v>171.6</v>
      </c>
      <c r="AY169" s="32">
        <v>94.4</v>
      </c>
      <c r="AZ169" s="32">
        <v>85</v>
      </c>
      <c r="BA169" s="32">
        <v>80.400000000000006</v>
      </c>
      <c r="BB169" s="32">
        <v>80.400000000000006</v>
      </c>
      <c r="BC169" s="32">
        <v>102.1</v>
      </c>
      <c r="BD169" s="32">
        <v>102.1</v>
      </c>
      <c r="BE169" s="32">
        <v>98.4</v>
      </c>
      <c r="BF169" s="32">
        <v>98.4</v>
      </c>
      <c r="BG169" s="32">
        <v>82.7</v>
      </c>
      <c r="BH169" s="32">
        <v>77.2</v>
      </c>
      <c r="BI169" s="32">
        <v>86.8</v>
      </c>
      <c r="BJ169" s="32">
        <v>49.2</v>
      </c>
      <c r="BK169" s="32">
        <v>105.2</v>
      </c>
      <c r="BL169" s="32">
        <v>68.599999999999994</v>
      </c>
      <c r="BM169" s="32">
        <v>101.6</v>
      </c>
      <c r="BN169" s="32">
        <v>111.2</v>
      </c>
      <c r="BO169" s="32">
        <v>90</v>
      </c>
      <c r="BP169" s="32">
        <v>132.6</v>
      </c>
      <c r="BQ169" s="32">
        <v>91.8</v>
      </c>
      <c r="BR169" s="32">
        <v>81.3</v>
      </c>
      <c r="BS169" s="32">
        <v>163.80000000000001</v>
      </c>
      <c r="BT169" s="32">
        <v>74.900000000000006</v>
      </c>
      <c r="BU169" s="32">
        <v>102</v>
      </c>
      <c r="BV169" s="32">
        <v>102</v>
      </c>
      <c r="BW169" s="32">
        <v>139</v>
      </c>
      <c r="BX169" s="32">
        <v>42.5</v>
      </c>
      <c r="BY169" s="32">
        <v>91.7</v>
      </c>
      <c r="BZ169" s="32">
        <v>95.2</v>
      </c>
      <c r="CA169" s="32">
        <v>89.7</v>
      </c>
      <c r="CB169" s="32">
        <v>105.4</v>
      </c>
      <c r="CC169" s="32">
        <v>79.5</v>
      </c>
      <c r="CD169" s="32">
        <v>22.6</v>
      </c>
      <c r="CE169" s="32">
        <v>83.5</v>
      </c>
      <c r="CF169" s="32">
        <v>80.900000000000006</v>
      </c>
      <c r="CG169" s="32">
        <v>94.7</v>
      </c>
      <c r="CH169" s="32">
        <v>96.6</v>
      </c>
      <c r="CI169" s="32">
        <v>109.7</v>
      </c>
      <c r="CJ169" s="32">
        <v>91.7</v>
      </c>
      <c r="CK169" s="32">
        <v>98.4</v>
      </c>
      <c r="CL169" s="32">
        <v>94.3</v>
      </c>
      <c r="CM169" s="32">
        <v>103.6</v>
      </c>
      <c r="CN169" s="32">
        <v>148</v>
      </c>
      <c r="CO169" s="32">
        <v>93.1</v>
      </c>
      <c r="CP169" s="32">
        <v>117</v>
      </c>
      <c r="CQ169" s="32">
        <v>79.099999999999994</v>
      </c>
      <c r="CR169" s="32">
        <v>103.1</v>
      </c>
      <c r="CS169" s="32">
        <v>119.3</v>
      </c>
      <c r="CT169" s="32">
        <v>87.2</v>
      </c>
      <c r="CU169" s="32">
        <v>67.3</v>
      </c>
      <c r="CV169" s="32">
        <v>95.8</v>
      </c>
      <c r="CW169" s="32">
        <v>39.200000000000003</v>
      </c>
      <c r="CX169" s="32">
        <v>95.1</v>
      </c>
      <c r="CY169" s="32">
        <v>107.2</v>
      </c>
      <c r="CZ169" s="32">
        <v>88.7</v>
      </c>
      <c r="DA169" s="32">
        <v>73</v>
      </c>
      <c r="DB169" s="32">
        <v>121</v>
      </c>
      <c r="DC169" s="32">
        <v>9.4</v>
      </c>
      <c r="DD169" s="32">
        <v>9.4</v>
      </c>
      <c r="DE169" s="32">
        <v>64.2</v>
      </c>
      <c r="DF169" s="32">
        <v>63.2</v>
      </c>
      <c r="DG169" s="32">
        <v>69.400000000000006</v>
      </c>
      <c r="DH169" s="32">
        <v>105.8</v>
      </c>
      <c r="DI169" s="32">
        <v>162.69999999999999</v>
      </c>
      <c r="DJ169" s="32">
        <v>82.1</v>
      </c>
      <c r="DK169" s="32">
        <v>82.1</v>
      </c>
      <c r="DL169" s="32">
        <v>56.1</v>
      </c>
      <c r="DM169" s="32">
        <v>78.099999999999994</v>
      </c>
      <c r="DN169" s="32">
        <v>68.5</v>
      </c>
      <c r="DO169" s="32">
        <v>82.7</v>
      </c>
      <c r="DP169" s="32">
        <v>62.1</v>
      </c>
      <c r="DQ169" s="32">
        <v>71.599999999999994</v>
      </c>
      <c r="DR169" s="32">
        <v>75.2</v>
      </c>
      <c r="DS169" s="32">
        <v>73.400000000000006</v>
      </c>
      <c r="DT169" s="32">
        <v>69.8</v>
      </c>
      <c r="DU169" s="32">
        <v>71.7</v>
      </c>
      <c r="DV169" s="32">
        <v>84</v>
      </c>
      <c r="DW169" s="32">
        <v>59.3</v>
      </c>
      <c r="DX169" s="32">
        <v>66</v>
      </c>
      <c r="DY169" s="32">
        <v>86.3</v>
      </c>
      <c r="DZ169" s="32">
        <v>132.80000000000001</v>
      </c>
      <c r="EA169" s="32">
        <v>132.80000000000001</v>
      </c>
      <c r="EB169" s="32">
        <v>61.8</v>
      </c>
      <c r="EC169" s="32">
        <v>59.1</v>
      </c>
      <c r="ED169" s="32">
        <v>65.900000000000006</v>
      </c>
      <c r="EE169" s="32">
        <v>69.2</v>
      </c>
      <c r="EF169" s="32">
        <v>58.6</v>
      </c>
      <c r="EG169" s="32">
        <v>66</v>
      </c>
      <c r="EH169" s="32">
        <v>83.5</v>
      </c>
      <c r="EI169" s="32">
        <v>62.9</v>
      </c>
      <c r="EJ169" s="32">
        <v>71.599999999999994</v>
      </c>
      <c r="EK169" s="32">
        <v>59.4</v>
      </c>
      <c r="EL169" s="32">
        <v>65.599999999999994</v>
      </c>
      <c r="EM169" s="32">
        <v>56.6</v>
      </c>
      <c r="EN169" s="32">
        <v>60.2</v>
      </c>
      <c r="EO169" s="32">
        <v>88.1</v>
      </c>
      <c r="EP169" s="32">
        <v>89.7</v>
      </c>
      <c r="EQ169" s="32">
        <v>89.7</v>
      </c>
      <c r="ER169" s="32">
        <v>79.8</v>
      </c>
      <c r="ES169" s="32">
        <v>79.8</v>
      </c>
      <c r="ET169" s="32">
        <v>96.1</v>
      </c>
      <c r="EU169" s="32">
        <v>104.2</v>
      </c>
      <c r="EV169" s="32">
        <v>104.2</v>
      </c>
      <c r="EW169" s="32">
        <v>90.6</v>
      </c>
      <c r="EX169" s="32">
        <v>96.6</v>
      </c>
      <c r="EY169" s="32">
        <v>86.1</v>
      </c>
      <c r="EZ169" s="32">
        <v>92.9</v>
      </c>
      <c r="FA169" s="32">
        <v>97.2</v>
      </c>
      <c r="FB169" s="32">
        <v>100.3</v>
      </c>
      <c r="FC169" s="32">
        <v>83.6</v>
      </c>
      <c r="FD169" s="32">
        <v>112</v>
      </c>
      <c r="FE169" s="32">
        <v>121.9</v>
      </c>
      <c r="FF169" s="32">
        <v>93.6</v>
      </c>
      <c r="FG169" s="32">
        <v>87.3</v>
      </c>
      <c r="FH169" s="32">
        <v>91.2</v>
      </c>
      <c r="FI169" s="32">
        <v>84.5</v>
      </c>
      <c r="FJ169" s="32">
        <v>85.8</v>
      </c>
      <c r="FK169" s="32">
        <v>129.69999999999999</v>
      </c>
      <c r="FL169" s="32">
        <v>129.69999999999999</v>
      </c>
    </row>
    <row r="170" spans="1:168" x14ac:dyDescent="0.2">
      <c r="A170" s="34" t="s">
        <v>1150</v>
      </c>
      <c r="B170" s="32">
        <v>82.6</v>
      </c>
      <c r="C170" s="32">
        <v>75.7</v>
      </c>
      <c r="D170" s="32">
        <v>89.5</v>
      </c>
      <c r="E170" s="32">
        <v>93.2</v>
      </c>
      <c r="F170" s="32">
        <v>162.30000000000001</v>
      </c>
      <c r="G170" s="32">
        <v>3011.8</v>
      </c>
      <c r="H170" s="32">
        <v>184.3</v>
      </c>
      <c r="I170" s="32">
        <v>68.2</v>
      </c>
      <c r="J170" s="32">
        <v>86.6</v>
      </c>
      <c r="K170" s="32">
        <v>85.8</v>
      </c>
      <c r="L170" s="32">
        <v>82.4</v>
      </c>
      <c r="M170" s="32">
        <v>61.3</v>
      </c>
      <c r="N170" s="32">
        <v>85.4</v>
      </c>
      <c r="O170" s="32">
        <v>198.8</v>
      </c>
      <c r="P170" s="32">
        <v>84.2</v>
      </c>
      <c r="Q170" s="32">
        <v>183.4</v>
      </c>
      <c r="R170" s="32">
        <v>86</v>
      </c>
      <c r="S170" s="32">
        <v>96.9</v>
      </c>
      <c r="T170" s="32">
        <v>112.2</v>
      </c>
      <c r="U170" s="32">
        <v>91.9</v>
      </c>
      <c r="V170" s="32">
        <v>104.4</v>
      </c>
      <c r="W170" s="32">
        <v>79.099999999999994</v>
      </c>
      <c r="X170" s="32">
        <v>65</v>
      </c>
      <c r="Y170" s="32">
        <v>97.2</v>
      </c>
      <c r="Z170" s="32">
        <v>124.7</v>
      </c>
      <c r="AA170" s="32">
        <v>100.3</v>
      </c>
      <c r="AB170" s="32">
        <v>87</v>
      </c>
      <c r="AC170" s="32">
        <v>104.4</v>
      </c>
      <c r="AD170" s="32">
        <v>109.8</v>
      </c>
      <c r="AE170" s="32">
        <v>90.6</v>
      </c>
      <c r="AF170" s="32">
        <v>90.6</v>
      </c>
      <c r="AG170" s="32">
        <v>68.2</v>
      </c>
      <c r="AH170" s="32">
        <v>68.2</v>
      </c>
      <c r="AI170" s="32">
        <v>181.1</v>
      </c>
      <c r="AJ170" s="32">
        <v>35</v>
      </c>
      <c r="AK170" s="32">
        <v>40.700000000000003</v>
      </c>
      <c r="AL170" s="32">
        <v>109.8</v>
      </c>
      <c r="AM170" s="32">
        <v>54.6</v>
      </c>
      <c r="AN170" s="32">
        <v>177</v>
      </c>
      <c r="AO170" s="32">
        <v>99.8</v>
      </c>
      <c r="AP170" s="32">
        <v>99.8</v>
      </c>
      <c r="AQ170" s="32">
        <v>89.9</v>
      </c>
      <c r="AR170" s="32">
        <v>88.5</v>
      </c>
      <c r="AS170" s="32">
        <v>94.1</v>
      </c>
      <c r="AT170" s="32">
        <v>83.2</v>
      </c>
      <c r="AU170" s="32">
        <v>103.6</v>
      </c>
      <c r="AV170" s="32">
        <v>85.6</v>
      </c>
      <c r="AW170" s="32">
        <v>106.7</v>
      </c>
      <c r="AX170" s="32">
        <v>188</v>
      </c>
      <c r="AY170" s="32">
        <v>95.3</v>
      </c>
      <c r="AZ170" s="32">
        <v>84.6</v>
      </c>
      <c r="BA170" s="32">
        <v>76.900000000000006</v>
      </c>
      <c r="BB170" s="32">
        <v>76.900000000000006</v>
      </c>
      <c r="BC170" s="32">
        <v>101.6</v>
      </c>
      <c r="BD170" s="32">
        <v>101.6</v>
      </c>
      <c r="BE170" s="32">
        <v>100.7</v>
      </c>
      <c r="BF170" s="32">
        <v>100.7</v>
      </c>
      <c r="BG170" s="32">
        <v>86.4</v>
      </c>
      <c r="BH170" s="32">
        <v>80.5</v>
      </c>
      <c r="BI170" s="32">
        <v>90.8</v>
      </c>
      <c r="BJ170" s="32">
        <v>47.5</v>
      </c>
      <c r="BK170" s="32">
        <v>110.9</v>
      </c>
      <c r="BL170" s="32">
        <v>77.099999999999994</v>
      </c>
      <c r="BM170" s="32">
        <v>98.5</v>
      </c>
      <c r="BN170" s="32">
        <v>110.1</v>
      </c>
      <c r="BO170" s="32">
        <v>90.2</v>
      </c>
      <c r="BP170" s="32">
        <v>130</v>
      </c>
      <c r="BQ170" s="32">
        <v>86.5</v>
      </c>
      <c r="BR170" s="32">
        <v>71.3</v>
      </c>
      <c r="BS170" s="32">
        <v>158.30000000000001</v>
      </c>
      <c r="BT170" s="32">
        <v>70.599999999999994</v>
      </c>
      <c r="BU170" s="32">
        <v>102.1</v>
      </c>
      <c r="BV170" s="32">
        <v>102.1</v>
      </c>
      <c r="BW170" s="32">
        <v>140.6</v>
      </c>
      <c r="BX170" s="32">
        <v>41.5</v>
      </c>
      <c r="BY170" s="32">
        <v>90.6</v>
      </c>
      <c r="BZ170" s="32">
        <v>95.1</v>
      </c>
      <c r="CA170" s="32">
        <v>88</v>
      </c>
      <c r="CB170" s="32">
        <v>104.3</v>
      </c>
      <c r="CC170" s="32">
        <v>77</v>
      </c>
      <c r="CD170" s="32">
        <v>22.2</v>
      </c>
      <c r="CE170" s="32">
        <v>82</v>
      </c>
      <c r="CF170" s="32">
        <v>81.400000000000006</v>
      </c>
      <c r="CG170" s="32">
        <v>95.6</v>
      </c>
      <c r="CH170" s="32">
        <v>96.8</v>
      </c>
      <c r="CI170" s="32">
        <v>113.8</v>
      </c>
      <c r="CJ170" s="32">
        <v>91.8</v>
      </c>
      <c r="CK170" s="32">
        <v>97.7</v>
      </c>
      <c r="CL170" s="32">
        <v>95.7</v>
      </c>
      <c r="CM170" s="32">
        <v>106.2</v>
      </c>
      <c r="CN170" s="32">
        <v>148.4</v>
      </c>
      <c r="CO170" s="32">
        <v>96.1</v>
      </c>
      <c r="CP170" s="32">
        <v>119.3</v>
      </c>
      <c r="CQ170" s="32">
        <v>79.599999999999994</v>
      </c>
      <c r="CR170" s="32">
        <v>104.3</v>
      </c>
      <c r="CS170" s="32">
        <v>119</v>
      </c>
      <c r="CT170" s="32">
        <v>89.8</v>
      </c>
      <c r="CU170" s="32">
        <v>70.5</v>
      </c>
      <c r="CV170" s="32">
        <v>98.2</v>
      </c>
      <c r="CW170" s="32">
        <v>40.1</v>
      </c>
      <c r="CX170" s="32">
        <v>97.8</v>
      </c>
      <c r="CY170" s="32">
        <v>112.2</v>
      </c>
      <c r="CZ170" s="32">
        <v>90.2</v>
      </c>
      <c r="DA170" s="32">
        <v>73.900000000000006</v>
      </c>
      <c r="DB170" s="32">
        <v>124</v>
      </c>
      <c r="DC170" s="32">
        <v>9.6</v>
      </c>
      <c r="DD170" s="32">
        <v>9.6</v>
      </c>
      <c r="DE170" s="32">
        <v>65.5</v>
      </c>
      <c r="DF170" s="32">
        <v>64.8</v>
      </c>
      <c r="DG170" s="32">
        <v>68.900000000000006</v>
      </c>
      <c r="DH170" s="32">
        <v>105.6</v>
      </c>
      <c r="DI170" s="32">
        <v>162.30000000000001</v>
      </c>
      <c r="DJ170" s="32">
        <v>81.599999999999994</v>
      </c>
      <c r="DK170" s="32">
        <v>81.599999999999994</v>
      </c>
      <c r="DL170" s="32">
        <v>56.2</v>
      </c>
      <c r="DM170" s="32">
        <v>78.099999999999994</v>
      </c>
      <c r="DN170" s="32">
        <v>68.7</v>
      </c>
      <c r="DO170" s="32">
        <v>82.8</v>
      </c>
      <c r="DP170" s="32">
        <v>58.9</v>
      </c>
      <c r="DQ170" s="32">
        <v>72.400000000000006</v>
      </c>
      <c r="DR170" s="32">
        <v>76.5</v>
      </c>
      <c r="DS170" s="32">
        <v>74.3</v>
      </c>
      <c r="DT170" s="32">
        <v>70.7</v>
      </c>
      <c r="DU170" s="32">
        <v>72.8</v>
      </c>
      <c r="DV170" s="32">
        <v>84.1</v>
      </c>
      <c r="DW170" s="32">
        <v>61.3</v>
      </c>
      <c r="DX170" s="32">
        <v>66.5</v>
      </c>
      <c r="DY170" s="32">
        <v>87.2</v>
      </c>
      <c r="DZ170" s="32">
        <v>148.30000000000001</v>
      </c>
      <c r="EA170" s="32">
        <v>148.30000000000001</v>
      </c>
      <c r="EB170" s="32">
        <v>59.4</v>
      </c>
      <c r="EC170" s="32">
        <v>56.4</v>
      </c>
      <c r="ED170" s="32">
        <v>63.9</v>
      </c>
      <c r="EE170" s="32">
        <v>66.599999999999994</v>
      </c>
      <c r="EF170" s="32">
        <v>58.1</v>
      </c>
      <c r="EG170" s="32">
        <v>66.2</v>
      </c>
      <c r="EH170" s="32">
        <v>83.5</v>
      </c>
      <c r="EI170" s="32">
        <v>63.4</v>
      </c>
      <c r="EJ170" s="32">
        <v>71.099999999999994</v>
      </c>
      <c r="EK170" s="32">
        <v>59.5</v>
      </c>
      <c r="EL170" s="32">
        <v>68.400000000000006</v>
      </c>
      <c r="EM170" s="32">
        <v>57.1</v>
      </c>
      <c r="EN170" s="32">
        <v>59.5</v>
      </c>
      <c r="EO170" s="32">
        <v>88.5</v>
      </c>
      <c r="EP170" s="32">
        <v>89.6</v>
      </c>
      <c r="EQ170" s="32">
        <v>89.6</v>
      </c>
      <c r="ER170" s="32">
        <v>80.099999999999994</v>
      </c>
      <c r="ES170" s="32">
        <v>80.099999999999994</v>
      </c>
      <c r="ET170" s="32">
        <v>97</v>
      </c>
      <c r="EU170" s="32">
        <v>105.4</v>
      </c>
      <c r="EV170" s="32">
        <v>105.4</v>
      </c>
      <c r="EW170" s="32">
        <v>90.8</v>
      </c>
      <c r="EX170" s="32">
        <v>96.9</v>
      </c>
      <c r="EY170" s="32">
        <v>86.2</v>
      </c>
      <c r="EZ170" s="32">
        <v>92.4</v>
      </c>
      <c r="FA170" s="32">
        <v>98.1</v>
      </c>
      <c r="FB170" s="32">
        <v>104.5</v>
      </c>
      <c r="FC170" s="32">
        <v>88.8</v>
      </c>
      <c r="FD170" s="32">
        <v>113.4</v>
      </c>
      <c r="FE170" s="32">
        <v>125.5</v>
      </c>
      <c r="FF170" s="32">
        <v>90.8</v>
      </c>
      <c r="FG170" s="32">
        <v>86.6</v>
      </c>
      <c r="FH170" s="32">
        <v>91.7</v>
      </c>
      <c r="FI170" s="32">
        <v>82.9</v>
      </c>
      <c r="FJ170" s="32">
        <v>84.7</v>
      </c>
      <c r="FK170" s="32">
        <v>116.2</v>
      </c>
      <c r="FL170" s="32">
        <v>116.2</v>
      </c>
    </row>
    <row r="171" spans="1:168" x14ac:dyDescent="0.2">
      <c r="A171" s="34" t="s">
        <v>1151</v>
      </c>
      <c r="B171" s="32">
        <v>82.9</v>
      </c>
      <c r="C171" s="32">
        <v>75.8</v>
      </c>
      <c r="D171" s="32">
        <v>90.3</v>
      </c>
      <c r="E171" s="32">
        <v>94.5</v>
      </c>
      <c r="F171" s="32">
        <v>157.69999999999999</v>
      </c>
      <c r="G171" s="32">
        <v>3436</v>
      </c>
      <c r="H171" s="32">
        <v>176.4</v>
      </c>
      <c r="I171" s="32">
        <v>68.5</v>
      </c>
      <c r="J171" s="32">
        <v>88.4</v>
      </c>
      <c r="K171" s="32">
        <v>87</v>
      </c>
      <c r="L171" s="32">
        <v>82.4</v>
      </c>
      <c r="M171" s="32">
        <v>63.4</v>
      </c>
      <c r="N171" s="32">
        <v>92.5</v>
      </c>
      <c r="O171" s="32">
        <v>177.3</v>
      </c>
      <c r="P171" s="32">
        <v>87.5</v>
      </c>
      <c r="Q171" s="32">
        <v>156.30000000000001</v>
      </c>
      <c r="R171" s="32">
        <v>83.2</v>
      </c>
      <c r="S171" s="32">
        <v>96.6</v>
      </c>
      <c r="T171" s="32">
        <v>117</v>
      </c>
      <c r="U171" s="32">
        <v>88.9</v>
      </c>
      <c r="V171" s="32">
        <v>112.9</v>
      </c>
      <c r="W171" s="32">
        <v>76.900000000000006</v>
      </c>
      <c r="X171" s="32">
        <v>61.6</v>
      </c>
      <c r="Y171" s="32">
        <v>98.5</v>
      </c>
      <c r="Z171" s="32">
        <v>123.2</v>
      </c>
      <c r="AA171" s="32">
        <v>103.3</v>
      </c>
      <c r="AB171" s="32">
        <v>87</v>
      </c>
      <c r="AC171" s="32">
        <v>103.1</v>
      </c>
      <c r="AD171" s="32">
        <v>118.2</v>
      </c>
      <c r="AE171" s="32">
        <v>90.3</v>
      </c>
      <c r="AF171" s="32">
        <v>90.3</v>
      </c>
      <c r="AG171" s="32">
        <v>65.2</v>
      </c>
      <c r="AH171" s="32">
        <v>65.2</v>
      </c>
      <c r="AI171" s="32">
        <v>190.2</v>
      </c>
      <c r="AJ171" s="32">
        <v>25.2</v>
      </c>
      <c r="AK171" s="32">
        <v>43.6</v>
      </c>
      <c r="AL171" s="32">
        <v>103.8</v>
      </c>
      <c r="AM171" s="32">
        <v>55.1</v>
      </c>
      <c r="AN171" s="32">
        <v>160.6</v>
      </c>
      <c r="AO171" s="32">
        <v>102.2</v>
      </c>
      <c r="AP171" s="32">
        <v>102.2</v>
      </c>
      <c r="AQ171" s="32">
        <v>91.2</v>
      </c>
      <c r="AR171" s="32">
        <v>91.5</v>
      </c>
      <c r="AS171" s="32">
        <v>93.2</v>
      </c>
      <c r="AT171" s="32">
        <v>83.7</v>
      </c>
      <c r="AU171" s="32">
        <v>101.5</v>
      </c>
      <c r="AV171" s="32">
        <v>85.5</v>
      </c>
      <c r="AW171" s="32">
        <v>99.8</v>
      </c>
      <c r="AX171" s="32">
        <v>164.4</v>
      </c>
      <c r="AY171" s="32">
        <v>95.2</v>
      </c>
      <c r="AZ171" s="32">
        <v>85.8</v>
      </c>
      <c r="BA171" s="32">
        <v>79.599999999999994</v>
      </c>
      <c r="BB171" s="32">
        <v>79.599999999999994</v>
      </c>
      <c r="BC171" s="32">
        <v>105.6</v>
      </c>
      <c r="BD171" s="32">
        <v>105.6</v>
      </c>
      <c r="BE171" s="32">
        <v>109.2</v>
      </c>
      <c r="BF171" s="32">
        <v>109.2</v>
      </c>
      <c r="BG171" s="32">
        <v>90.9</v>
      </c>
      <c r="BH171" s="32">
        <v>84.7</v>
      </c>
      <c r="BI171" s="32">
        <v>95.2</v>
      </c>
      <c r="BJ171" s="32">
        <v>46.1</v>
      </c>
      <c r="BK171" s="32">
        <v>118.9</v>
      </c>
      <c r="BL171" s="32">
        <v>76.599999999999994</v>
      </c>
      <c r="BM171" s="32">
        <v>100.5</v>
      </c>
      <c r="BN171" s="32">
        <v>111.5</v>
      </c>
      <c r="BO171" s="32">
        <v>91.6</v>
      </c>
      <c r="BP171" s="32">
        <v>131.1</v>
      </c>
      <c r="BQ171" s="32">
        <v>89.3</v>
      </c>
      <c r="BR171" s="32">
        <v>84.9</v>
      </c>
      <c r="BS171" s="32">
        <v>144.1</v>
      </c>
      <c r="BT171" s="32">
        <v>75.3</v>
      </c>
      <c r="BU171" s="32">
        <v>105.3</v>
      </c>
      <c r="BV171" s="32">
        <v>105.3</v>
      </c>
      <c r="BW171" s="32">
        <v>146.5</v>
      </c>
      <c r="BX171" s="32">
        <v>41.7</v>
      </c>
      <c r="BY171" s="32">
        <v>86.4</v>
      </c>
      <c r="BZ171" s="32">
        <v>95.2</v>
      </c>
      <c r="CA171" s="32">
        <v>81.7</v>
      </c>
      <c r="CB171" s="32">
        <v>91.3</v>
      </c>
      <c r="CC171" s="32">
        <v>76.7</v>
      </c>
      <c r="CD171" s="32">
        <v>22.3</v>
      </c>
      <c r="CE171" s="32">
        <v>81.599999999999994</v>
      </c>
      <c r="CF171" s="32">
        <v>81.599999999999994</v>
      </c>
      <c r="CG171" s="32">
        <v>96.3</v>
      </c>
      <c r="CH171" s="32">
        <v>98</v>
      </c>
      <c r="CI171" s="32">
        <v>114.7</v>
      </c>
      <c r="CJ171" s="32">
        <v>93.4</v>
      </c>
      <c r="CK171" s="32">
        <v>98.6</v>
      </c>
      <c r="CL171" s="32">
        <v>95.8</v>
      </c>
      <c r="CM171" s="32">
        <v>107.2</v>
      </c>
      <c r="CN171" s="32">
        <v>148.4</v>
      </c>
      <c r="CO171" s="32">
        <v>97.1</v>
      </c>
      <c r="CP171" s="32">
        <v>122.7</v>
      </c>
      <c r="CQ171" s="32">
        <v>83.6</v>
      </c>
      <c r="CR171" s="32">
        <v>103.9</v>
      </c>
      <c r="CS171" s="32">
        <v>114.5</v>
      </c>
      <c r="CT171" s="32">
        <v>89.7</v>
      </c>
      <c r="CU171" s="32">
        <v>67.8</v>
      </c>
      <c r="CV171" s="32">
        <v>99.3</v>
      </c>
      <c r="CW171" s="32">
        <v>40</v>
      </c>
      <c r="CX171" s="32">
        <v>96.6</v>
      </c>
      <c r="CY171" s="32">
        <v>113.4</v>
      </c>
      <c r="CZ171" s="32">
        <v>87.9</v>
      </c>
      <c r="DA171" s="32">
        <v>71</v>
      </c>
      <c r="DB171" s="32">
        <v>122.9</v>
      </c>
      <c r="DC171" s="32">
        <v>9.9</v>
      </c>
      <c r="DD171" s="32">
        <v>9.9</v>
      </c>
      <c r="DE171" s="32">
        <v>63.9</v>
      </c>
      <c r="DF171" s="32">
        <v>62.9</v>
      </c>
      <c r="DG171" s="32">
        <v>68.599999999999994</v>
      </c>
      <c r="DH171" s="32">
        <v>107.7</v>
      </c>
      <c r="DI171" s="32">
        <v>163.9</v>
      </c>
      <c r="DJ171" s="32">
        <v>81.900000000000006</v>
      </c>
      <c r="DK171" s="32">
        <v>81.900000000000006</v>
      </c>
      <c r="DL171" s="32">
        <v>61.2</v>
      </c>
      <c r="DM171" s="32">
        <v>79</v>
      </c>
      <c r="DN171" s="32">
        <v>70.3</v>
      </c>
      <c r="DO171" s="32">
        <v>83.4</v>
      </c>
      <c r="DP171" s="32">
        <v>62.1</v>
      </c>
      <c r="DQ171" s="32">
        <v>70.2</v>
      </c>
      <c r="DR171" s="32">
        <v>74.2</v>
      </c>
      <c r="DS171" s="32">
        <v>74</v>
      </c>
      <c r="DT171" s="32">
        <v>69.900000000000006</v>
      </c>
      <c r="DU171" s="32">
        <v>71.2</v>
      </c>
      <c r="DV171" s="32">
        <v>84.3</v>
      </c>
      <c r="DW171" s="32">
        <v>58.1</v>
      </c>
      <c r="DX171" s="32">
        <v>67.099999999999994</v>
      </c>
      <c r="DY171" s="32">
        <v>89.1</v>
      </c>
      <c r="DZ171" s="32">
        <v>120.9</v>
      </c>
      <c r="EA171" s="32">
        <v>120.9</v>
      </c>
      <c r="EB171" s="32">
        <v>59.7</v>
      </c>
      <c r="EC171" s="32">
        <v>57.4</v>
      </c>
      <c r="ED171" s="32">
        <v>63.2</v>
      </c>
      <c r="EE171" s="32">
        <v>64.900000000000006</v>
      </c>
      <c r="EF171" s="32">
        <v>59.8</v>
      </c>
      <c r="EG171" s="32">
        <v>63.9</v>
      </c>
      <c r="EH171" s="32">
        <v>84.1</v>
      </c>
      <c r="EI171" s="32">
        <v>57</v>
      </c>
      <c r="EJ171" s="32">
        <v>74.400000000000006</v>
      </c>
      <c r="EK171" s="32">
        <v>57.9</v>
      </c>
      <c r="EL171" s="32">
        <v>69.3</v>
      </c>
      <c r="EM171" s="32">
        <v>57.6</v>
      </c>
      <c r="EN171" s="32">
        <v>56.2</v>
      </c>
      <c r="EO171" s="32">
        <v>89</v>
      </c>
      <c r="EP171" s="32">
        <v>90.7</v>
      </c>
      <c r="EQ171" s="32">
        <v>90.7</v>
      </c>
      <c r="ER171" s="32">
        <v>80.5</v>
      </c>
      <c r="ES171" s="32">
        <v>80.5</v>
      </c>
      <c r="ET171" s="32">
        <v>97.2</v>
      </c>
      <c r="EU171" s="32">
        <v>105.5</v>
      </c>
      <c r="EV171" s="32">
        <v>105.5</v>
      </c>
      <c r="EW171" s="32">
        <v>91.2</v>
      </c>
      <c r="EX171" s="32">
        <v>97.6</v>
      </c>
      <c r="EY171" s="32">
        <v>86.5</v>
      </c>
      <c r="EZ171" s="32">
        <v>91.4</v>
      </c>
      <c r="FA171" s="32">
        <v>95.4</v>
      </c>
      <c r="FB171" s="32">
        <v>103.9</v>
      </c>
      <c r="FC171" s="32">
        <v>84.1</v>
      </c>
      <c r="FD171" s="32">
        <v>114.5</v>
      </c>
      <c r="FE171" s="32">
        <v>132.19999999999999</v>
      </c>
      <c r="FF171" s="32">
        <v>86.1</v>
      </c>
      <c r="FG171" s="32">
        <v>87</v>
      </c>
      <c r="FH171" s="32">
        <v>89.5</v>
      </c>
      <c r="FI171" s="32">
        <v>85.9</v>
      </c>
      <c r="FJ171" s="32">
        <v>85.9</v>
      </c>
      <c r="FK171" s="32">
        <v>112.4</v>
      </c>
      <c r="FL171" s="32">
        <v>112.4</v>
      </c>
    </row>
    <row r="172" spans="1:168" x14ac:dyDescent="0.2">
      <c r="A172" s="34" t="s">
        <v>1152</v>
      </c>
      <c r="B172" s="32">
        <v>82.7</v>
      </c>
      <c r="C172" s="32">
        <v>77.8</v>
      </c>
      <c r="D172" s="32">
        <v>89</v>
      </c>
      <c r="E172" s="32">
        <v>92.7</v>
      </c>
      <c r="F172" s="32">
        <v>151.9</v>
      </c>
      <c r="G172" s="32">
        <v>2894.6</v>
      </c>
      <c r="H172" s="32">
        <v>169.9</v>
      </c>
      <c r="I172" s="32">
        <v>67.599999999999994</v>
      </c>
      <c r="J172" s="32">
        <v>86.7</v>
      </c>
      <c r="K172" s="32">
        <v>85.7</v>
      </c>
      <c r="L172" s="32">
        <v>81.3</v>
      </c>
      <c r="M172" s="32">
        <v>60.6</v>
      </c>
      <c r="N172" s="32">
        <v>82.5</v>
      </c>
      <c r="O172" s="32">
        <v>169.7</v>
      </c>
      <c r="P172" s="32">
        <v>91</v>
      </c>
      <c r="Q172" s="32">
        <v>154.9</v>
      </c>
      <c r="R172" s="32">
        <v>84.7</v>
      </c>
      <c r="S172" s="32">
        <v>97.2</v>
      </c>
      <c r="T172" s="32">
        <v>119.2</v>
      </c>
      <c r="U172" s="32">
        <v>87.5</v>
      </c>
      <c r="V172" s="32">
        <v>110.9</v>
      </c>
      <c r="W172" s="32">
        <v>74.400000000000006</v>
      </c>
      <c r="X172" s="32">
        <v>59.7</v>
      </c>
      <c r="Y172" s="32">
        <v>94.3</v>
      </c>
      <c r="Z172" s="32">
        <v>124</v>
      </c>
      <c r="AA172" s="32">
        <v>99.8</v>
      </c>
      <c r="AB172" s="32">
        <v>87.9</v>
      </c>
      <c r="AC172" s="32">
        <v>100.8</v>
      </c>
      <c r="AD172" s="32">
        <v>111</v>
      </c>
      <c r="AE172" s="32">
        <v>83.9</v>
      </c>
      <c r="AF172" s="32">
        <v>83.9</v>
      </c>
      <c r="AG172" s="32">
        <v>64.099999999999994</v>
      </c>
      <c r="AH172" s="32">
        <v>64.099999999999994</v>
      </c>
      <c r="AI172" s="32">
        <v>182.4</v>
      </c>
      <c r="AJ172" s="32">
        <v>23.8</v>
      </c>
      <c r="AK172" s="32">
        <v>45.6</v>
      </c>
      <c r="AL172" s="32">
        <v>97.7</v>
      </c>
      <c r="AM172" s="32">
        <v>55.3</v>
      </c>
      <c r="AN172" s="32">
        <v>167.6</v>
      </c>
      <c r="AO172" s="32">
        <v>87.7</v>
      </c>
      <c r="AP172" s="32">
        <v>87.7</v>
      </c>
      <c r="AQ172" s="32">
        <v>90</v>
      </c>
      <c r="AR172" s="32">
        <v>91.2</v>
      </c>
      <c r="AS172" s="32">
        <v>90.7</v>
      </c>
      <c r="AT172" s="32">
        <v>84.1</v>
      </c>
      <c r="AU172" s="32">
        <v>95.6</v>
      </c>
      <c r="AV172" s="32">
        <v>88.1</v>
      </c>
      <c r="AW172" s="32">
        <v>99.2</v>
      </c>
      <c r="AX172" s="32">
        <v>164.7</v>
      </c>
      <c r="AY172" s="32">
        <v>93.6</v>
      </c>
      <c r="AZ172" s="32">
        <v>89.5</v>
      </c>
      <c r="BA172" s="32">
        <v>77.400000000000006</v>
      </c>
      <c r="BB172" s="32">
        <v>77.400000000000006</v>
      </c>
      <c r="BC172" s="32">
        <v>110</v>
      </c>
      <c r="BD172" s="32">
        <v>110</v>
      </c>
      <c r="BE172" s="32">
        <v>105.5</v>
      </c>
      <c r="BF172" s="32">
        <v>105.5</v>
      </c>
      <c r="BG172" s="32">
        <v>94.2</v>
      </c>
      <c r="BH172" s="32">
        <v>87.2</v>
      </c>
      <c r="BI172" s="32">
        <v>99.6</v>
      </c>
      <c r="BJ172" s="32">
        <v>44.6</v>
      </c>
      <c r="BK172" s="32">
        <v>123.5</v>
      </c>
      <c r="BL172" s="32">
        <v>94.6</v>
      </c>
      <c r="BM172" s="32">
        <v>98.9</v>
      </c>
      <c r="BN172" s="32">
        <v>109.9</v>
      </c>
      <c r="BO172" s="32">
        <v>91.7</v>
      </c>
      <c r="BP172" s="32">
        <v>127.6</v>
      </c>
      <c r="BQ172" s="32">
        <v>87.6</v>
      </c>
      <c r="BR172" s="32">
        <v>58.5</v>
      </c>
      <c r="BS172" s="32">
        <v>137.6</v>
      </c>
      <c r="BT172" s="32">
        <v>78</v>
      </c>
      <c r="BU172" s="32">
        <v>106</v>
      </c>
      <c r="BV172" s="32">
        <v>106</v>
      </c>
      <c r="BW172" s="32">
        <v>145.1</v>
      </c>
      <c r="BX172" s="32">
        <v>43.7</v>
      </c>
      <c r="BY172" s="32">
        <v>85.3</v>
      </c>
      <c r="BZ172" s="32">
        <v>91.1</v>
      </c>
      <c r="CA172" s="32">
        <v>82.1</v>
      </c>
      <c r="CB172" s="32">
        <v>92.2</v>
      </c>
      <c r="CC172" s="32">
        <v>76.599999999999994</v>
      </c>
      <c r="CD172" s="32">
        <v>22.3</v>
      </c>
      <c r="CE172" s="32">
        <v>81.400000000000006</v>
      </c>
      <c r="CF172" s="32">
        <v>81.599999999999994</v>
      </c>
      <c r="CG172" s="32">
        <v>95.8</v>
      </c>
      <c r="CH172" s="32">
        <v>98.7</v>
      </c>
      <c r="CI172" s="32">
        <v>118.8</v>
      </c>
      <c r="CJ172" s="32">
        <v>94.1</v>
      </c>
      <c r="CK172" s="32">
        <v>98.5</v>
      </c>
      <c r="CL172" s="32">
        <v>93.5</v>
      </c>
      <c r="CM172" s="32">
        <v>105.8</v>
      </c>
      <c r="CN172" s="32">
        <v>148.5</v>
      </c>
      <c r="CO172" s="32">
        <v>95.6</v>
      </c>
      <c r="CP172" s="32">
        <v>126.9</v>
      </c>
      <c r="CQ172" s="32">
        <v>80.2</v>
      </c>
      <c r="CR172" s="32">
        <v>100.7</v>
      </c>
      <c r="CS172" s="32">
        <v>108.9</v>
      </c>
      <c r="CT172" s="32">
        <v>87</v>
      </c>
      <c r="CU172" s="32">
        <v>66.3</v>
      </c>
      <c r="CV172" s="32">
        <v>96</v>
      </c>
      <c r="CW172" s="32">
        <v>40.200000000000003</v>
      </c>
      <c r="CX172" s="32">
        <v>97.7</v>
      </c>
      <c r="CY172" s="32">
        <v>112</v>
      </c>
      <c r="CZ172" s="32">
        <v>90.2</v>
      </c>
      <c r="DA172" s="32">
        <v>73.2</v>
      </c>
      <c r="DB172" s="32">
        <v>125.4</v>
      </c>
      <c r="DC172" s="32">
        <v>10.1</v>
      </c>
      <c r="DD172" s="32">
        <v>10.1</v>
      </c>
      <c r="DE172" s="32">
        <v>63</v>
      </c>
      <c r="DF172" s="32">
        <v>62.5</v>
      </c>
      <c r="DG172" s="32">
        <v>65</v>
      </c>
      <c r="DH172" s="32">
        <v>106.8</v>
      </c>
      <c r="DI172" s="32">
        <v>165.5</v>
      </c>
      <c r="DJ172" s="32">
        <v>80.2</v>
      </c>
      <c r="DK172" s="32">
        <v>80.2</v>
      </c>
      <c r="DL172" s="32">
        <v>57.8</v>
      </c>
      <c r="DM172" s="32">
        <v>78.7</v>
      </c>
      <c r="DN172" s="32">
        <v>70.7</v>
      </c>
      <c r="DO172" s="32">
        <v>83</v>
      </c>
      <c r="DP172" s="32">
        <v>55.6</v>
      </c>
      <c r="DQ172" s="32">
        <v>71</v>
      </c>
      <c r="DR172" s="32">
        <v>74.5</v>
      </c>
      <c r="DS172" s="32">
        <v>73.8</v>
      </c>
      <c r="DT172" s="32">
        <v>70.7</v>
      </c>
      <c r="DU172" s="32">
        <v>73.099999999999994</v>
      </c>
      <c r="DV172" s="32">
        <v>87.1</v>
      </c>
      <c r="DW172" s="32">
        <v>59.1</v>
      </c>
      <c r="DX172" s="32">
        <v>66</v>
      </c>
      <c r="DY172" s="32">
        <v>84.9</v>
      </c>
      <c r="DZ172" s="32">
        <v>127.1</v>
      </c>
      <c r="EA172" s="32">
        <v>127.1</v>
      </c>
      <c r="EB172" s="32">
        <v>59.6</v>
      </c>
      <c r="EC172" s="32">
        <v>56.6</v>
      </c>
      <c r="ED172" s="32">
        <v>63.9</v>
      </c>
      <c r="EE172" s="32">
        <v>66.099999999999994</v>
      </c>
      <c r="EF172" s="32">
        <v>59.3</v>
      </c>
      <c r="EG172" s="32">
        <v>65.5</v>
      </c>
      <c r="EH172" s="32">
        <v>85.5</v>
      </c>
      <c r="EI172" s="32">
        <v>58.8</v>
      </c>
      <c r="EJ172" s="32">
        <v>76</v>
      </c>
      <c r="EK172" s="32">
        <v>59.5</v>
      </c>
      <c r="EL172" s="32">
        <v>71.2</v>
      </c>
      <c r="EM172" s="32">
        <v>57.4</v>
      </c>
      <c r="EN172" s="32">
        <v>58.9</v>
      </c>
      <c r="EO172" s="32">
        <v>89</v>
      </c>
      <c r="EP172" s="32">
        <v>90.7</v>
      </c>
      <c r="EQ172" s="32">
        <v>90.7</v>
      </c>
      <c r="ER172" s="32">
        <v>81.2</v>
      </c>
      <c r="ES172" s="32">
        <v>81.2</v>
      </c>
      <c r="ET172" s="32">
        <v>96.6</v>
      </c>
      <c r="EU172" s="32">
        <v>104.3</v>
      </c>
      <c r="EV172" s="32">
        <v>104.3</v>
      </c>
      <c r="EW172" s="32">
        <v>91.6</v>
      </c>
      <c r="EX172" s="32">
        <v>98.3</v>
      </c>
      <c r="EY172" s="32">
        <v>86.6</v>
      </c>
      <c r="EZ172" s="32">
        <v>92.5</v>
      </c>
      <c r="FA172" s="32">
        <v>100.5</v>
      </c>
      <c r="FB172" s="32">
        <v>111.7</v>
      </c>
      <c r="FC172" s="32">
        <v>92.8</v>
      </c>
      <c r="FD172" s="32">
        <v>118.3</v>
      </c>
      <c r="FE172" s="32">
        <v>140.19999999999999</v>
      </c>
      <c r="FF172" s="32">
        <v>88</v>
      </c>
      <c r="FG172" s="32">
        <v>85.8</v>
      </c>
      <c r="FH172" s="32">
        <v>89.1</v>
      </c>
      <c r="FI172" s="32">
        <v>85.3</v>
      </c>
      <c r="FJ172" s="32">
        <v>84.3</v>
      </c>
      <c r="FK172" s="32">
        <v>104.7</v>
      </c>
      <c r="FL172" s="32">
        <v>104.7</v>
      </c>
    </row>
    <row r="173" spans="1:168" x14ac:dyDescent="0.2">
      <c r="A173" s="34" t="s">
        <v>1153</v>
      </c>
      <c r="B173" s="32">
        <v>82</v>
      </c>
      <c r="C173" s="32">
        <v>83.4</v>
      </c>
      <c r="D173" s="32">
        <v>87.8</v>
      </c>
      <c r="E173" s="32">
        <v>92</v>
      </c>
      <c r="F173" s="32">
        <v>144.5</v>
      </c>
      <c r="G173" s="32">
        <v>2999.5</v>
      </c>
      <c r="H173" s="32">
        <v>160.6</v>
      </c>
      <c r="I173" s="32">
        <v>66.400000000000006</v>
      </c>
      <c r="J173" s="32">
        <v>85.4</v>
      </c>
      <c r="K173" s="32">
        <v>85.5</v>
      </c>
      <c r="L173" s="32">
        <v>81.2</v>
      </c>
      <c r="M173" s="32">
        <v>59</v>
      </c>
      <c r="N173" s="32">
        <v>91.8</v>
      </c>
      <c r="O173" s="32">
        <v>159.5</v>
      </c>
      <c r="P173" s="32">
        <v>96.4</v>
      </c>
      <c r="Q173" s="32">
        <v>136.1</v>
      </c>
      <c r="R173" s="32">
        <v>84.7</v>
      </c>
      <c r="S173" s="32">
        <v>94.3</v>
      </c>
      <c r="T173" s="32">
        <v>122.2</v>
      </c>
      <c r="U173" s="32">
        <v>80.400000000000006</v>
      </c>
      <c r="V173" s="32">
        <v>111.8</v>
      </c>
      <c r="W173" s="32">
        <v>71.400000000000006</v>
      </c>
      <c r="X173" s="32">
        <v>54.6</v>
      </c>
      <c r="Y173" s="32">
        <v>94.9</v>
      </c>
      <c r="Z173" s="32">
        <v>130.69999999999999</v>
      </c>
      <c r="AA173" s="32">
        <v>97.3</v>
      </c>
      <c r="AB173" s="32">
        <v>74.8</v>
      </c>
      <c r="AC173" s="32">
        <v>98.5</v>
      </c>
      <c r="AD173" s="32">
        <v>114.3</v>
      </c>
      <c r="AE173" s="32">
        <v>78.5</v>
      </c>
      <c r="AF173" s="32">
        <v>78.5</v>
      </c>
      <c r="AG173" s="32">
        <v>57.8</v>
      </c>
      <c r="AH173" s="32">
        <v>57.8</v>
      </c>
      <c r="AI173" s="32">
        <v>156.1</v>
      </c>
      <c r="AJ173" s="32">
        <v>20.100000000000001</v>
      </c>
      <c r="AK173" s="32">
        <v>51</v>
      </c>
      <c r="AL173" s="32">
        <v>82.2</v>
      </c>
      <c r="AM173" s="32">
        <v>52.5</v>
      </c>
      <c r="AN173" s="32">
        <v>150.9</v>
      </c>
      <c r="AO173" s="32">
        <v>82</v>
      </c>
      <c r="AP173" s="32">
        <v>82</v>
      </c>
      <c r="AQ173" s="32">
        <v>81.400000000000006</v>
      </c>
      <c r="AR173" s="32">
        <v>86</v>
      </c>
      <c r="AS173" s="32">
        <v>76.5</v>
      </c>
      <c r="AT173" s="32">
        <v>78.599999999999994</v>
      </c>
      <c r="AU173" s="32">
        <v>71.900000000000006</v>
      </c>
      <c r="AV173" s="32">
        <v>87.6</v>
      </c>
      <c r="AW173" s="32">
        <v>99.7</v>
      </c>
      <c r="AX173" s="32">
        <v>165.4</v>
      </c>
      <c r="AY173" s="32">
        <v>93.7</v>
      </c>
      <c r="AZ173" s="32">
        <v>88.8</v>
      </c>
      <c r="BA173" s="32">
        <v>78.099999999999994</v>
      </c>
      <c r="BB173" s="32">
        <v>78.099999999999994</v>
      </c>
      <c r="BC173" s="32">
        <v>113.6</v>
      </c>
      <c r="BD173" s="32">
        <v>113.6</v>
      </c>
      <c r="BE173" s="32">
        <v>102.7</v>
      </c>
      <c r="BF173" s="32">
        <v>102.7</v>
      </c>
      <c r="BG173" s="32">
        <v>98.3</v>
      </c>
      <c r="BH173" s="32">
        <v>89.5</v>
      </c>
      <c r="BI173" s="32">
        <v>106</v>
      </c>
      <c r="BJ173" s="32">
        <v>43.3</v>
      </c>
      <c r="BK173" s="32">
        <v>133.6</v>
      </c>
      <c r="BL173" s="32">
        <v>98.9</v>
      </c>
      <c r="BM173" s="32">
        <v>101.8</v>
      </c>
      <c r="BN173" s="32">
        <v>117</v>
      </c>
      <c r="BO173" s="32">
        <v>108.8</v>
      </c>
      <c r="BP173" s="32">
        <v>123.1</v>
      </c>
      <c r="BQ173" s="32">
        <v>86</v>
      </c>
      <c r="BR173" s="32">
        <v>79.2</v>
      </c>
      <c r="BS173" s="32">
        <v>139.80000000000001</v>
      </c>
      <c r="BT173" s="32">
        <v>72.8</v>
      </c>
      <c r="BU173" s="32">
        <v>113.5</v>
      </c>
      <c r="BV173" s="32">
        <v>113.5</v>
      </c>
      <c r="BW173" s="32">
        <v>151.9</v>
      </c>
      <c r="BX173" s="32">
        <v>49.4</v>
      </c>
      <c r="BY173" s="32">
        <v>86.1</v>
      </c>
      <c r="BZ173" s="32">
        <v>97.7</v>
      </c>
      <c r="CA173" s="32">
        <v>80.099999999999994</v>
      </c>
      <c r="CB173" s="32">
        <v>95.5</v>
      </c>
      <c r="CC173" s="32">
        <v>70.3</v>
      </c>
      <c r="CD173" s="32">
        <v>19</v>
      </c>
      <c r="CE173" s="32">
        <v>79</v>
      </c>
      <c r="CF173" s="32">
        <v>80.900000000000006</v>
      </c>
      <c r="CG173" s="32">
        <v>93.2</v>
      </c>
      <c r="CH173" s="32">
        <v>95.2</v>
      </c>
      <c r="CI173" s="32">
        <v>112</v>
      </c>
      <c r="CJ173" s="32">
        <v>90.4</v>
      </c>
      <c r="CK173" s="32">
        <v>96</v>
      </c>
      <c r="CL173" s="32">
        <v>93.8</v>
      </c>
      <c r="CM173" s="32">
        <v>105.3</v>
      </c>
      <c r="CN173" s="32">
        <v>149.1</v>
      </c>
      <c r="CO173" s="32">
        <v>94.9</v>
      </c>
      <c r="CP173" s="32">
        <v>132.30000000000001</v>
      </c>
      <c r="CQ173" s="32">
        <v>73.599999999999994</v>
      </c>
      <c r="CR173" s="32">
        <v>100.2</v>
      </c>
      <c r="CS173" s="32">
        <v>114.7</v>
      </c>
      <c r="CT173" s="32">
        <v>83.4</v>
      </c>
      <c r="CU173" s="32">
        <v>65.3</v>
      </c>
      <c r="CV173" s="32">
        <v>91.3</v>
      </c>
      <c r="CW173" s="32">
        <v>42</v>
      </c>
      <c r="CX173" s="32">
        <v>95.3</v>
      </c>
      <c r="CY173" s="32">
        <v>114.8</v>
      </c>
      <c r="CZ173" s="32">
        <v>85.1</v>
      </c>
      <c r="DA173" s="32">
        <v>68.400000000000006</v>
      </c>
      <c r="DB173" s="32">
        <v>120</v>
      </c>
      <c r="DC173" s="32">
        <v>10.8</v>
      </c>
      <c r="DD173" s="32">
        <v>10.8</v>
      </c>
      <c r="DE173" s="32">
        <v>67.8</v>
      </c>
      <c r="DF173" s="32">
        <v>68.3</v>
      </c>
      <c r="DG173" s="32">
        <v>64.5</v>
      </c>
      <c r="DH173" s="32">
        <v>106.2</v>
      </c>
      <c r="DI173" s="32">
        <v>168.4</v>
      </c>
      <c r="DJ173" s="32">
        <v>77.8</v>
      </c>
      <c r="DK173" s="32">
        <v>77.8</v>
      </c>
      <c r="DL173" s="32">
        <v>53.9</v>
      </c>
      <c r="DM173" s="32">
        <v>78.5</v>
      </c>
      <c r="DN173" s="32">
        <v>71.2</v>
      </c>
      <c r="DO173" s="32">
        <v>82.5</v>
      </c>
      <c r="DP173" s="32">
        <v>56.8</v>
      </c>
      <c r="DQ173" s="32">
        <v>70.400000000000006</v>
      </c>
      <c r="DR173" s="32">
        <v>72.599999999999994</v>
      </c>
      <c r="DS173" s="32">
        <v>72.599999999999994</v>
      </c>
      <c r="DT173" s="32">
        <v>69.599999999999994</v>
      </c>
      <c r="DU173" s="32">
        <v>71</v>
      </c>
      <c r="DV173" s="32">
        <v>84.2</v>
      </c>
      <c r="DW173" s="32">
        <v>57.7</v>
      </c>
      <c r="DX173" s="32">
        <v>66.7</v>
      </c>
      <c r="DY173" s="32">
        <v>83.6</v>
      </c>
      <c r="DZ173" s="32">
        <v>107.7</v>
      </c>
      <c r="EA173" s="32">
        <v>107.7</v>
      </c>
      <c r="EB173" s="32">
        <v>61.2</v>
      </c>
      <c r="EC173" s="32">
        <v>59.2</v>
      </c>
      <c r="ED173" s="32">
        <v>64.2</v>
      </c>
      <c r="EE173" s="32">
        <v>66.900000000000006</v>
      </c>
      <c r="EF173" s="32">
        <v>58.4</v>
      </c>
      <c r="EG173" s="32">
        <v>66.900000000000006</v>
      </c>
      <c r="EH173" s="32">
        <v>85.4</v>
      </c>
      <c r="EI173" s="32">
        <v>60.4</v>
      </c>
      <c r="EJ173" s="32">
        <v>79.3</v>
      </c>
      <c r="EK173" s="32">
        <v>61</v>
      </c>
      <c r="EL173" s="32">
        <v>71.900000000000006</v>
      </c>
      <c r="EM173" s="32">
        <v>58.1</v>
      </c>
      <c r="EN173" s="32">
        <v>61</v>
      </c>
      <c r="EO173" s="32">
        <v>88.6</v>
      </c>
      <c r="EP173" s="32">
        <v>90.9</v>
      </c>
      <c r="EQ173" s="32">
        <v>90.9</v>
      </c>
      <c r="ER173" s="32">
        <v>81.2</v>
      </c>
      <c r="ES173" s="32">
        <v>81.2</v>
      </c>
      <c r="ET173" s="32">
        <v>95.4</v>
      </c>
      <c r="EU173" s="32">
        <v>102.4</v>
      </c>
      <c r="EV173" s="32">
        <v>102.4</v>
      </c>
      <c r="EW173" s="32">
        <v>92</v>
      </c>
      <c r="EX173" s="32">
        <v>99.4</v>
      </c>
      <c r="EY173" s="32">
        <v>86.3</v>
      </c>
      <c r="EZ173" s="32">
        <v>88</v>
      </c>
      <c r="FA173" s="32">
        <v>100.8</v>
      </c>
      <c r="FB173" s="32">
        <v>115.7</v>
      </c>
      <c r="FC173" s="32">
        <v>96.5</v>
      </c>
      <c r="FD173" s="32">
        <v>113.6</v>
      </c>
      <c r="FE173" s="32">
        <v>149.9</v>
      </c>
      <c r="FF173" s="32">
        <v>84.1</v>
      </c>
      <c r="FG173" s="32">
        <v>77</v>
      </c>
      <c r="FH173" s="32">
        <v>87.7</v>
      </c>
      <c r="FI173" s="32">
        <v>73.400000000000006</v>
      </c>
      <c r="FJ173" s="32">
        <v>72.400000000000006</v>
      </c>
      <c r="FK173" s="32">
        <v>114.6</v>
      </c>
      <c r="FL173" s="32">
        <v>114.6</v>
      </c>
    </row>
    <row r="174" spans="1:168" x14ac:dyDescent="0.2">
      <c r="A174" s="34" t="s">
        <v>1154</v>
      </c>
      <c r="B174" s="32">
        <v>82.4</v>
      </c>
      <c r="C174" s="32">
        <v>90.9</v>
      </c>
      <c r="D174" s="32">
        <v>89.1</v>
      </c>
      <c r="E174" s="32">
        <v>92.8</v>
      </c>
      <c r="F174" s="32">
        <v>151.5</v>
      </c>
      <c r="G174" s="32">
        <v>3118.7</v>
      </c>
      <c r="H174" s="32">
        <v>169.3</v>
      </c>
      <c r="I174" s="32">
        <v>67.599999999999994</v>
      </c>
      <c r="J174" s="32">
        <v>86.1</v>
      </c>
      <c r="K174" s="32">
        <v>84.1</v>
      </c>
      <c r="L174" s="32">
        <v>80.900000000000006</v>
      </c>
      <c r="M174" s="32">
        <v>62.3</v>
      </c>
      <c r="N174" s="32">
        <v>94.6</v>
      </c>
      <c r="O174" s="32">
        <v>142.5</v>
      </c>
      <c r="P174" s="32">
        <v>96.5</v>
      </c>
      <c r="Q174" s="32">
        <v>121.6</v>
      </c>
      <c r="R174" s="32">
        <v>81.5</v>
      </c>
      <c r="S174" s="32">
        <v>92.8</v>
      </c>
      <c r="T174" s="32">
        <v>135.19999999999999</v>
      </c>
      <c r="U174" s="32">
        <v>85.3</v>
      </c>
      <c r="V174" s="32">
        <v>103.2</v>
      </c>
      <c r="W174" s="32">
        <v>66.5</v>
      </c>
      <c r="X174" s="32">
        <v>53.7</v>
      </c>
      <c r="Y174" s="32">
        <v>81.8</v>
      </c>
      <c r="Z174" s="32">
        <v>118.9</v>
      </c>
      <c r="AA174" s="32">
        <v>94.7</v>
      </c>
      <c r="AB174" s="32">
        <v>83.1</v>
      </c>
      <c r="AC174" s="32">
        <v>94.1</v>
      </c>
      <c r="AD174" s="32">
        <v>106.7</v>
      </c>
      <c r="AE174" s="32">
        <v>73.599999999999994</v>
      </c>
      <c r="AF174" s="32">
        <v>73.599999999999994</v>
      </c>
      <c r="AG174" s="32">
        <v>57.5</v>
      </c>
      <c r="AH174" s="32">
        <v>57.5</v>
      </c>
      <c r="AI174" s="32">
        <v>156</v>
      </c>
      <c r="AJ174" s="32">
        <v>15.8</v>
      </c>
      <c r="AK174" s="32">
        <v>58.5</v>
      </c>
      <c r="AL174" s="32">
        <v>93.5</v>
      </c>
      <c r="AM174" s="32">
        <v>50.2</v>
      </c>
      <c r="AN174" s="32">
        <v>167.3</v>
      </c>
      <c r="AO174" s="32">
        <v>90.5</v>
      </c>
      <c r="AP174" s="32">
        <v>90.5</v>
      </c>
      <c r="AQ174" s="32">
        <v>93.4</v>
      </c>
      <c r="AR174" s="32">
        <v>95.6</v>
      </c>
      <c r="AS174" s="32">
        <v>92.4</v>
      </c>
      <c r="AT174" s="32">
        <v>83</v>
      </c>
      <c r="AU174" s="32">
        <v>100.5</v>
      </c>
      <c r="AV174" s="32">
        <v>85.6</v>
      </c>
      <c r="AW174" s="32">
        <v>91.4</v>
      </c>
      <c r="AX174" s="32">
        <v>177.8</v>
      </c>
      <c r="AY174" s="32">
        <v>69.099999999999994</v>
      </c>
      <c r="AZ174" s="32">
        <v>88.4</v>
      </c>
      <c r="BA174" s="32">
        <v>81.400000000000006</v>
      </c>
      <c r="BB174" s="32">
        <v>81.400000000000006</v>
      </c>
      <c r="BC174" s="32">
        <v>111.3</v>
      </c>
      <c r="BD174" s="32">
        <v>111.3</v>
      </c>
      <c r="BE174" s="32">
        <v>104.1</v>
      </c>
      <c r="BF174" s="32">
        <v>104.1</v>
      </c>
      <c r="BG174" s="32">
        <v>99.2</v>
      </c>
      <c r="BH174" s="32">
        <v>89.6</v>
      </c>
      <c r="BI174" s="32">
        <v>108.1</v>
      </c>
      <c r="BJ174" s="32">
        <v>42.2</v>
      </c>
      <c r="BK174" s="32">
        <v>139.4</v>
      </c>
      <c r="BL174" s="32">
        <v>86.3</v>
      </c>
      <c r="BM174" s="32">
        <v>96.5</v>
      </c>
      <c r="BN174" s="32">
        <v>106.9</v>
      </c>
      <c r="BO174" s="32">
        <v>87.3</v>
      </c>
      <c r="BP174" s="32">
        <v>126.3</v>
      </c>
      <c r="BQ174" s="32">
        <v>85.8</v>
      </c>
      <c r="BR174" s="32">
        <v>77.599999999999994</v>
      </c>
      <c r="BS174" s="32">
        <v>148.30000000000001</v>
      </c>
      <c r="BT174" s="32">
        <v>70.900000000000006</v>
      </c>
      <c r="BU174" s="32">
        <v>102.9</v>
      </c>
      <c r="BV174" s="32">
        <v>102.9</v>
      </c>
      <c r="BW174" s="32">
        <v>141.9</v>
      </c>
      <c r="BX174" s="32">
        <v>41.6</v>
      </c>
      <c r="BY174" s="32">
        <v>94.7</v>
      </c>
      <c r="BZ174" s="32">
        <v>93.8</v>
      </c>
      <c r="CA174" s="32">
        <v>94.9</v>
      </c>
      <c r="CB174" s="32">
        <v>123.7</v>
      </c>
      <c r="CC174" s="32">
        <v>74.2</v>
      </c>
      <c r="CD174" s="32">
        <v>20.6</v>
      </c>
      <c r="CE174" s="32">
        <v>81.8</v>
      </c>
      <c r="CF174" s="32">
        <v>81.099999999999994</v>
      </c>
      <c r="CG174" s="32">
        <v>95</v>
      </c>
      <c r="CH174" s="32">
        <v>96.7</v>
      </c>
      <c r="CI174" s="32">
        <v>105.2</v>
      </c>
      <c r="CJ174" s="32">
        <v>93.7</v>
      </c>
      <c r="CK174" s="32">
        <v>98.2</v>
      </c>
      <c r="CL174" s="32">
        <v>94.4</v>
      </c>
      <c r="CM174" s="32">
        <v>105.8</v>
      </c>
      <c r="CN174" s="32">
        <v>149.5</v>
      </c>
      <c r="CO174" s="32">
        <v>95.4</v>
      </c>
      <c r="CP174" s="32">
        <v>138.30000000000001</v>
      </c>
      <c r="CQ174" s="32">
        <v>63.7</v>
      </c>
      <c r="CR174" s="32">
        <v>102</v>
      </c>
      <c r="CS174" s="32">
        <v>116.2</v>
      </c>
      <c r="CT174" s="32">
        <v>88.2</v>
      </c>
      <c r="CU174" s="32">
        <v>69.099999999999994</v>
      </c>
      <c r="CV174" s="32">
        <v>96.5</v>
      </c>
      <c r="CW174" s="32">
        <v>40.9</v>
      </c>
      <c r="CX174" s="32">
        <v>94</v>
      </c>
      <c r="CY174" s="32">
        <v>109.9</v>
      </c>
      <c r="CZ174" s="32">
        <v>85.7</v>
      </c>
      <c r="DA174" s="32">
        <v>69.8</v>
      </c>
      <c r="DB174" s="32">
        <v>118.7</v>
      </c>
      <c r="DC174" s="32">
        <v>10.6</v>
      </c>
      <c r="DD174" s="32">
        <v>10.6</v>
      </c>
      <c r="DE174" s="32">
        <v>65.400000000000006</v>
      </c>
      <c r="DF174" s="32">
        <v>65.099999999999994</v>
      </c>
      <c r="DG174" s="32">
        <v>66.099999999999994</v>
      </c>
      <c r="DH174" s="32">
        <v>99.9</v>
      </c>
      <c r="DI174" s="32">
        <v>157.4</v>
      </c>
      <c r="DJ174" s="32">
        <v>75.099999999999994</v>
      </c>
      <c r="DK174" s="32">
        <v>75.099999999999994</v>
      </c>
      <c r="DL174" s="32">
        <v>50.4</v>
      </c>
      <c r="DM174" s="32">
        <v>78.099999999999994</v>
      </c>
      <c r="DN174" s="32">
        <v>72.2</v>
      </c>
      <c r="DO174" s="32">
        <v>81.400000000000006</v>
      </c>
      <c r="DP174" s="32">
        <v>56.3</v>
      </c>
      <c r="DQ174" s="32">
        <v>72.099999999999994</v>
      </c>
      <c r="DR174" s="32">
        <v>73.8</v>
      </c>
      <c r="DS174" s="32">
        <v>71.099999999999994</v>
      </c>
      <c r="DT174" s="32">
        <v>68.099999999999994</v>
      </c>
      <c r="DU174" s="32">
        <v>68.3</v>
      </c>
      <c r="DV174" s="32">
        <v>76.900000000000006</v>
      </c>
      <c r="DW174" s="32">
        <v>59.5</v>
      </c>
      <c r="DX174" s="32">
        <v>67.3</v>
      </c>
      <c r="DY174" s="32">
        <v>82.3</v>
      </c>
      <c r="DZ174" s="32">
        <v>124.4</v>
      </c>
      <c r="EA174" s="32">
        <v>124.4</v>
      </c>
      <c r="EB174" s="32">
        <v>65.5</v>
      </c>
      <c r="EC174" s="32">
        <v>61.4</v>
      </c>
      <c r="ED174" s="32">
        <v>71.400000000000006</v>
      </c>
      <c r="EE174" s="32">
        <v>77.5</v>
      </c>
      <c r="EF174" s="32">
        <v>58.1</v>
      </c>
      <c r="EG174" s="32">
        <v>69.400000000000006</v>
      </c>
      <c r="EH174" s="32">
        <v>83.8</v>
      </c>
      <c r="EI174" s="32">
        <v>66.900000000000006</v>
      </c>
      <c r="EJ174" s="32">
        <v>74.400000000000006</v>
      </c>
      <c r="EK174" s="32">
        <v>63.7</v>
      </c>
      <c r="EL174" s="32">
        <v>70.099999999999994</v>
      </c>
      <c r="EM174" s="32">
        <v>56.8</v>
      </c>
      <c r="EN174" s="32">
        <v>67.2</v>
      </c>
      <c r="EO174" s="32">
        <v>89.2</v>
      </c>
      <c r="EP174" s="32">
        <v>90.2</v>
      </c>
      <c r="EQ174" s="32">
        <v>90.2</v>
      </c>
      <c r="ER174" s="32">
        <v>81.400000000000006</v>
      </c>
      <c r="ES174" s="32">
        <v>81.400000000000006</v>
      </c>
      <c r="ET174" s="32">
        <v>97.3</v>
      </c>
      <c r="EU174" s="32">
        <v>105.2</v>
      </c>
      <c r="EV174" s="32">
        <v>105.2</v>
      </c>
      <c r="EW174" s="32">
        <v>92.1</v>
      </c>
      <c r="EX174" s="32">
        <v>100.5</v>
      </c>
      <c r="EY174" s="32">
        <v>85.6</v>
      </c>
      <c r="EZ174" s="32">
        <v>94.6</v>
      </c>
      <c r="FA174" s="32">
        <v>104.2</v>
      </c>
      <c r="FB174" s="32">
        <v>119.5</v>
      </c>
      <c r="FC174" s="32">
        <v>97.8</v>
      </c>
      <c r="FD174" s="32">
        <v>115.5</v>
      </c>
      <c r="FE174" s="32">
        <v>159.6</v>
      </c>
      <c r="FF174" s="32">
        <v>87.1</v>
      </c>
      <c r="FG174" s="32">
        <v>86.1</v>
      </c>
      <c r="FH174" s="32">
        <v>89.9</v>
      </c>
      <c r="FI174" s="32">
        <v>98.9</v>
      </c>
      <c r="FJ174" s="32">
        <v>82.9</v>
      </c>
      <c r="FK174" s="32">
        <v>116.6</v>
      </c>
      <c r="FL174" s="32">
        <v>116.6</v>
      </c>
    </row>
    <row r="175" spans="1:168" x14ac:dyDescent="0.2">
      <c r="A175" s="34" t="s">
        <v>1155</v>
      </c>
      <c r="B175" s="32">
        <v>82.8</v>
      </c>
      <c r="C175" s="32">
        <v>97.2</v>
      </c>
      <c r="D175" s="32">
        <v>87.6</v>
      </c>
      <c r="E175" s="32">
        <v>90.3</v>
      </c>
      <c r="F175" s="32">
        <v>133.80000000000001</v>
      </c>
      <c r="G175" s="32">
        <v>3314.2</v>
      </c>
      <c r="H175" s="32">
        <v>147.5</v>
      </c>
      <c r="I175" s="32">
        <v>63.1</v>
      </c>
      <c r="J175" s="32">
        <v>85.6</v>
      </c>
      <c r="K175" s="32">
        <v>85.3</v>
      </c>
      <c r="L175" s="32">
        <v>81</v>
      </c>
      <c r="M175" s="32">
        <v>61.9</v>
      </c>
      <c r="N175" s="32">
        <v>94.5</v>
      </c>
      <c r="O175" s="32">
        <v>129.4</v>
      </c>
      <c r="P175" s="32">
        <v>101.9</v>
      </c>
      <c r="Q175" s="32">
        <v>137.5</v>
      </c>
      <c r="R175" s="32">
        <v>78.599999999999994</v>
      </c>
      <c r="S175" s="32">
        <v>93.1</v>
      </c>
      <c r="T175" s="32">
        <v>129.19999999999999</v>
      </c>
      <c r="U175" s="32">
        <v>82</v>
      </c>
      <c r="V175" s="32">
        <v>111.3</v>
      </c>
      <c r="W175" s="32">
        <v>61.3</v>
      </c>
      <c r="X175" s="32">
        <v>51.7</v>
      </c>
      <c r="Y175" s="32">
        <v>69.400000000000006</v>
      </c>
      <c r="Z175" s="32">
        <v>113.2</v>
      </c>
      <c r="AA175" s="32">
        <v>91.8</v>
      </c>
      <c r="AB175" s="32">
        <v>82.3</v>
      </c>
      <c r="AC175" s="32">
        <v>90.3</v>
      </c>
      <c r="AD175" s="32">
        <v>103.3</v>
      </c>
      <c r="AE175" s="32">
        <v>65.5</v>
      </c>
      <c r="AF175" s="32">
        <v>65.5</v>
      </c>
      <c r="AG175" s="32">
        <v>53.2</v>
      </c>
      <c r="AH175" s="32">
        <v>53.2</v>
      </c>
      <c r="AI175" s="32">
        <v>143.1</v>
      </c>
      <c r="AJ175" s="32">
        <v>12.6</v>
      </c>
      <c r="AK175" s="32">
        <v>63.2</v>
      </c>
      <c r="AL175" s="32">
        <v>86.6</v>
      </c>
      <c r="AM175" s="32">
        <v>47.5</v>
      </c>
      <c r="AN175" s="32">
        <v>153.4</v>
      </c>
      <c r="AO175" s="32">
        <v>86.6</v>
      </c>
      <c r="AP175" s="32">
        <v>86.6</v>
      </c>
      <c r="AQ175" s="32">
        <v>90.7</v>
      </c>
      <c r="AR175" s="32">
        <v>92</v>
      </c>
      <c r="AS175" s="32">
        <v>91</v>
      </c>
      <c r="AT175" s="32">
        <v>78.900000000000006</v>
      </c>
      <c r="AU175" s="32">
        <v>102.1</v>
      </c>
      <c r="AV175" s="32">
        <v>83.9</v>
      </c>
      <c r="AW175" s="32">
        <v>90.8</v>
      </c>
      <c r="AX175" s="32">
        <v>172.8</v>
      </c>
      <c r="AY175" s="32">
        <v>70.3</v>
      </c>
      <c r="AZ175" s="32">
        <v>86.4</v>
      </c>
      <c r="BA175" s="32">
        <v>85.1</v>
      </c>
      <c r="BB175" s="32">
        <v>85.1</v>
      </c>
      <c r="BC175" s="32">
        <v>109.5</v>
      </c>
      <c r="BD175" s="32">
        <v>109.5</v>
      </c>
      <c r="BE175" s="32">
        <v>106.1</v>
      </c>
      <c r="BF175" s="32">
        <v>106.1</v>
      </c>
      <c r="BG175" s="32">
        <v>100.3</v>
      </c>
      <c r="BH175" s="32">
        <v>89.6</v>
      </c>
      <c r="BI175" s="32">
        <v>110.8</v>
      </c>
      <c r="BJ175" s="32">
        <v>41.5</v>
      </c>
      <c r="BK175" s="32">
        <v>143</v>
      </c>
      <c r="BL175" s="32">
        <v>92.2</v>
      </c>
      <c r="BM175" s="32">
        <v>98.2</v>
      </c>
      <c r="BN175" s="32">
        <v>109.6</v>
      </c>
      <c r="BO175" s="32">
        <v>90.2</v>
      </c>
      <c r="BP175" s="32">
        <v>128.69999999999999</v>
      </c>
      <c r="BQ175" s="32">
        <v>86.5</v>
      </c>
      <c r="BR175" s="32">
        <v>88.3</v>
      </c>
      <c r="BS175" s="32">
        <v>147.1</v>
      </c>
      <c r="BT175" s="32">
        <v>70.7</v>
      </c>
      <c r="BU175" s="32">
        <v>98.1</v>
      </c>
      <c r="BV175" s="32">
        <v>98.1</v>
      </c>
      <c r="BW175" s="32">
        <v>137.9</v>
      </c>
      <c r="BX175" s="32">
        <v>37.700000000000003</v>
      </c>
      <c r="BY175" s="32">
        <v>89.3</v>
      </c>
      <c r="BZ175" s="32">
        <v>91.7</v>
      </c>
      <c r="CA175" s="32">
        <v>87.9</v>
      </c>
      <c r="CB175" s="32">
        <v>115.2</v>
      </c>
      <c r="CC175" s="32">
        <v>68.099999999999994</v>
      </c>
      <c r="CD175" s="32">
        <v>19</v>
      </c>
      <c r="CE175" s="32">
        <v>82.7</v>
      </c>
      <c r="CF175" s="32">
        <v>81.900000000000006</v>
      </c>
      <c r="CG175" s="32">
        <v>95.9</v>
      </c>
      <c r="CH175" s="32">
        <v>97</v>
      </c>
      <c r="CI175" s="32">
        <v>105.2</v>
      </c>
      <c r="CJ175" s="32">
        <v>95.2</v>
      </c>
      <c r="CK175" s="32">
        <v>97.5</v>
      </c>
      <c r="CL175" s="32">
        <v>96.1</v>
      </c>
      <c r="CM175" s="32">
        <v>105.3</v>
      </c>
      <c r="CN175" s="32">
        <v>149.5</v>
      </c>
      <c r="CO175" s="32">
        <v>94.8</v>
      </c>
      <c r="CP175" s="32">
        <v>145.5</v>
      </c>
      <c r="CQ175" s="32">
        <v>80.900000000000006</v>
      </c>
      <c r="CR175" s="32">
        <v>104.4</v>
      </c>
      <c r="CS175" s="32">
        <v>114.2</v>
      </c>
      <c r="CT175" s="32">
        <v>90.7</v>
      </c>
      <c r="CU175" s="32">
        <v>71.5</v>
      </c>
      <c r="CV175" s="32">
        <v>99</v>
      </c>
      <c r="CW175" s="32">
        <v>41.7</v>
      </c>
      <c r="CX175" s="32">
        <v>94.4</v>
      </c>
      <c r="CY175" s="32">
        <v>108.9</v>
      </c>
      <c r="CZ175" s="32">
        <v>86.8</v>
      </c>
      <c r="DA175" s="32">
        <v>73.3</v>
      </c>
      <c r="DB175" s="32">
        <v>114.3</v>
      </c>
      <c r="DC175" s="32">
        <v>11</v>
      </c>
      <c r="DD175" s="32">
        <v>11</v>
      </c>
      <c r="DE175" s="32">
        <v>66.900000000000006</v>
      </c>
      <c r="DF175" s="32">
        <v>67.8</v>
      </c>
      <c r="DG175" s="32">
        <v>61.2</v>
      </c>
      <c r="DH175" s="32">
        <v>101.8</v>
      </c>
      <c r="DI175" s="32">
        <v>159.9</v>
      </c>
      <c r="DJ175" s="32">
        <v>72.7</v>
      </c>
      <c r="DK175" s="32">
        <v>72.7</v>
      </c>
      <c r="DL175" s="32">
        <v>54.9</v>
      </c>
      <c r="DM175" s="32">
        <v>78.7</v>
      </c>
      <c r="DN175" s="32">
        <v>73.400000000000006</v>
      </c>
      <c r="DO175" s="32">
        <v>81.599999999999994</v>
      </c>
      <c r="DP175" s="32">
        <v>61</v>
      </c>
      <c r="DQ175" s="32">
        <v>72.7</v>
      </c>
      <c r="DR175" s="32">
        <v>74.900000000000006</v>
      </c>
      <c r="DS175" s="32">
        <v>73.099999999999994</v>
      </c>
      <c r="DT175" s="32">
        <v>70.400000000000006</v>
      </c>
      <c r="DU175" s="32">
        <v>71.3</v>
      </c>
      <c r="DV175" s="32">
        <v>83.5</v>
      </c>
      <c r="DW175" s="32">
        <v>59.1</v>
      </c>
      <c r="DX175" s="32">
        <v>68.400000000000006</v>
      </c>
      <c r="DY175" s="32">
        <v>83.2</v>
      </c>
      <c r="DZ175" s="32">
        <v>120.2</v>
      </c>
      <c r="EA175" s="32">
        <v>120.2</v>
      </c>
      <c r="EB175" s="32">
        <v>65.5</v>
      </c>
      <c r="EC175" s="32">
        <v>63</v>
      </c>
      <c r="ED175" s="32">
        <v>69.2</v>
      </c>
      <c r="EE175" s="32">
        <v>73.900000000000006</v>
      </c>
      <c r="EF175" s="32">
        <v>59.1</v>
      </c>
      <c r="EG175" s="32">
        <v>69.2</v>
      </c>
      <c r="EH175" s="32">
        <v>86.9</v>
      </c>
      <c r="EI175" s="32">
        <v>65.599999999999994</v>
      </c>
      <c r="EJ175" s="32">
        <v>75.099999999999994</v>
      </c>
      <c r="EK175" s="32">
        <v>62.9</v>
      </c>
      <c r="EL175" s="32">
        <v>72.3</v>
      </c>
      <c r="EM175" s="32">
        <v>60.1</v>
      </c>
      <c r="EN175" s="32">
        <v>63.1</v>
      </c>
      <c r="EO175" s="32">
        <v>90</v>
      </c>
      <c r="EP175" s="32">
        <v>91</v>
      </c>
      <c r="EQ175" s="32">
        <v>91</v>
      </c>
      <c r="ER175" s="32">
        <v>82.9</v>
      </c>
      <c r="ES175" s="32">
        <v>82.9</v>
      </c>
      <c r="ET175" s="32">
        <v>97.5</v>
      </c>
      <c r="EU175" s="32">
        <v>105.6</v>
      </c>
      <c r="EV175" s="32">
        <v>105.6</v>
      </c>
      <c r="EW175" s="32">
        <v>91.9</v>
      </c>
      <c r="EX175" s="32">
        <v>101.3</v>
      </c>
      <c r="EY175" s="32">
        <v>84.6</v>
      </c>
      <c r="EZ175" s="32">
        <v>95</v>
      </c>
      <c r="FA175" s="32">
        <v>105</v>
      </c>
      <c r="FB175" s="32">
        <v>119.8</v>
      </c>
      <c r="FC175" s="32">
        <v>96.4</v>
      </c>
      <c r="FD175" s="32">
        <v>112.4</v>
      </c>
      <c r="FE175" s="32">
        <v>165.4</v>
      </c>
      <c r="FF175" s="32">
        <v>88.5</v>
      </c>
      <c r="FG175" s="32">
        <v>85.2</v>
      </c>
      <c r="FH175" s="32">
        <v>87.1</v>
      </c>
      <c r="FI175" s="32">
        <v>99.6</v>
      </c>
      <c r="FJ175" s="32">
        <v>82.5</v>
      </c>
      <c r="FK175" s="32">
        <v>131.80000000000001</v>
      </c>
      <c r="FL175" s="32">
        <v>131.80000000000001</v>
      </c>
    </row>
    <row r="176" spans="1:168" x14ac:dyDescent="0.2">
      <c r="A176" s="34" t="s">
        <v>1156</v>
      </c>
      <c r="B176" s="32">
        <v>83</v>
      </c>
      <c r="C176" s="32">
        <v>100.2</v>
      </c>
      <c r="D176" s="32">
        <v>87.4</v>
      </c>
      <c r="E176" s="32">
        <v>89.6</v>
      </c>
      <c r="F176" s="32">
        <v>132.4</v>
      </c>
      <c r="G176" s="32">
        <v>3134</v>
      </c>
      <c r="H176" s="32">
        <v>145.69999999999999</v>
      </c>
      <c r="I176" s="32">
        <v>64</v>
      </c>
      <c r="J176" s="32">
        <v>84.8</v>
      </c>
      <c r="K176" s="32">
        <v>84.9</v>
      </c>
      <c r="L176" s="32">
        <v>81.400000000000006</v>
      </c>
      <c r="M176" s="32">
        <v>63.2</v>
      </c>
      <c r="N176" s="32">
        <v>93.3</v>
      </c>
      <c r="O176" s="32">
        <v>122.7</v>
      </c>
      <c r="P176" s="32">
        <v>106.2</v>
      </c>
      <c r="Q176" s="32">
        <v>96.6</v>
      </c>
      <c r="R176" s="32">
        <v>77.599999999999994</v>
      </c>
      <c r="S176" s="32">
        <v>98.4</v>
      </c>
      <c r="T176" s="32">
        <v>134.30000000000001</v>
      </c>
      <c r="U176" s="32">
        <v>82.4</v>
      </c>
      <c r="V176" s="32">
        <v>106.4</v>
      </c>
      <c r="W176" s="32">
        <v>60.6</v>
      </c>
      <c r="X176" s="32">
        <v>48.9</v>
      </c>
      <c r="Y176" s="32">
        <v>73.900000000000006</v>
      </c>
      <c r="Z176" s="32">
        <v>110.8</v>
      </c>
      <c r="AA176" s="32">
        <v>92.3</v>
      </c>
      <c r="AB176" s="32">
        <v>80.7</v>
      </c>
      <c r="AC176" s="32">
        <v>87.7</v>
      </c>
      <c r="AD176" s="32">
        <v>107.8</v>
      </c>
      <c r="AE176" s="32">
        <v>54.2</v>
      </c>
      <c r="AF176" s="32">
        <v>54.2</v>
      </c>
      <c r="AG176" s="32">
        <v>49</v>
      </c>
      <c r="AH176" s="32">
        <v>49</v>
      </c>
      <c r="AI176" s="32">
        <v>126.9</v>
      </c>
      <c r="AJ176" s="32">
        <v>10.7</v>
      </c>
      <c r="AK176" s="32">
        <v>62.2</v>
      </c>
      <c r="AL176" s="32">
        <v>77.099999999999994</v>
      </c>
      <c r="AM176" s="32">
        <v>47.1</v>
      </c>
      <c r="AN176" s="32">
        <v>131.80000000000001</v>
      </c>
      <c r="AO176" s="32">
        <v>86.2</v>
      </c>
      <c r="AP176" s="32">
        <v>86.2</v>
      </c>
      <c r="AQ176" s="32">
        <v>87.9</v>
      </c>
      <c r="AR176" s="32">
        <v>88.8</v>
      </c>
      <c r="AS176" s="32">
        <v>88.9</v>
      </c>
      <c r="AT176" s="32">
        <v>79</v>
      </c>
      <c r="AU176" s="32">
        <v>97.6</v>
      </c>
      <c r="AV176" s="32">
        <v>84.8</v>
      </c>
      <c r="AW176" s="32">
        <v>87.4</v>
      </c>
      <c r="AX176" s="32">
        <v>173.6</v>
      </c>
      <c r="AY176" s="32">
        <v>62.6</v>
      </c>
      <c r="AZ176" s="32">
        <v>88.4</v>
      </c>
      <c r="BA176" s="32">
        <v>84.1</v>
      </c>
      <c r="BB176" s="32">
        <v>84.1</v>
      </c>
      <c r="BC176" s="32">
        <v>109.5</v>
      </c>
      <c r="BD176" s="32">
        <v>109.5</v>
      </c>
      <c r="BE176" s="32">
        <v>103.4</v>
      </c>
      <c r="BF176" s="32">
        <v>103.4</v>
      </c>
      <c r="BG176" s="32">
        <v>98.7</v>
      </c>
      <c r="BH176" s="32">
        <v>88</v>
      </c>
      <c r="BI176" s="32">
        <v>109.4</v>
      </c>
      <c r="BJ176" s="32">
        <v>40.9</v>
      </c>
      <c r="BK176" s="32">
        <v>140.4</v>
      </c>
      <c r="BL176" s="32">
        <v>96.6</v>
      </c>
      <c r="BM176" s="32">
        <v>101</v>
      </c>
      <c r="BN176" s="32">
        <v>114.3</v>
      </c>
      <c r="BO176" s="32">
        <v>96.2</v>
      </c>
      <c r="BP176" s="32">
        <v>131.9</v>
      </c>
      <c r="BQ176" s="32">
        <v>87.3</v>
      </c>
      <c r="BR176" s="32">
        <v>73.099999999999994</v>
      </c>
      <c r="BS176" s="32">
        <v>159.1</v>
      </c>
      <c r="BT176" s="32">
        <v>71.099999999999994</v>
      </c>
      <c r="BU176" s="32">
        <v>98.6</v>
      </c>
      <c r="BV176" s="32">
        <v>98.6</v>
      </c>
      <c r="BW176" s="32">
        <v>137.5</v>
      </c>
      <c r="BX176" s="32">
        <v>38.700000000000003</v>
      </c>
      <c r="BY176" s="32">
        <v>89.2</v>
      </c>
      <c r="BZ176" s="32">
        <v>89</v>
      </c>
      <c r="CA176" s="32">
        <v>89.2</v>
      </c>
      <c r="CB176" s="32">
        <v>110.6</v>
      </c>
      <c r="CC176" s="32">
        <v>74.2</v>
      </c>
      <c r="CD176" s="32">
        <v>20.9</v>
      </c>
      <c r="CE176" s="32">
        <v>83.6</v>
      </c>
      <c r="CF176" s="32">
        <v>82.2</v>
      </c>
      <c r="CG176" s="32">
        <v>96.2</v>
      </c>
      <c r="CH176" s="32">
        <v>97.2</v>
      </c>
      <c r="CI176" s="32">
        <v>104.4</v>
      </c>
      <c r="CJ176" s="32">
        <v>96.5</v>
      </c>
      <c r="CK176" s="32">
        <v>97.3</v>
      </c>
      <c r="CL176" s="32">
        <v>97.7</v>
      </c>
      <c r="CM176" s="32">
        <v>105.6</v>
      </c>
      <c r="CN176" s="32">
        <v>148.6</v>
      </c>
      <c r="CO176" s="32">
        <v>95.3</v>
      </c>
      <c r="CP176" s="32">
        <v>148.4</v>
      </c>
      <c r="CQ176" s="32">
        <v>81.400000000000006</v>
      </c>
      <c r="CR176" s="32">
        <v>109.3</v>
      </c>
      <c r="CS176" s="32">
        <v>113.7</v>
      </c>
      <c r="CT176" s="32">
        <v>89.4</v>
      </c>
      <c r="CU176" s="32">
        <v>71.599999999999994</v>
      </c>
      <c r="CV176" s="32">
        <v>97.2</v>
      </c>
      <c r="CW176" s="32">
        <v>42.7</v>
      </c>
      <c r="CX176" s="32">
        <v>98.3</v>
      </c>
      <c r="CY176" s="32">
        <v>112.8</v>
      </c>
      <c r="CZ176" s="32">
        <v>90.7</v>
      </c>
      <c r="DA176" s="32">
        <v>81.7</v>
      </c>
      <c r="DB176" s="32">
        <v>108.1</v>
      </c>
      <c r="DC176" s="32">
        <v>11.1</v>
      </c>
      <c r="DD176" s="32">
        <v>11.1</v>
      </c>
      <c r="DE176" s="32">
        <v>68.400000000000006</v>
      </c>
      <c r="DF176" s="32">
        <v>69.099999999999994</v>
      </c>
      <c r="DG176" s="32">
        <v>63.8</v>
      </c>
      <c r="DH176" s="32">
        <v>103.3</v>
      </c>
      <c r="DI176" s="32">
        <v>163.80000000000001</v>
      </c>
      <c r="DJ176" s="32">
        <v>70.5</v>
      </c>
      <c r="DK176" s="32">
        <v>70.5</v>
      </c>
      <c r="DL176" s="32">
        <v>56.3</v>
      </c>
      <c r="DM176" s="32">
        <v>78.599999999999994</v>
      </c>
      <c r="DN176" s="32">
        <v>73.599999999999994</v>
      </c>
      <c r="DO176" s="32">
        <v>81.3</v>
      </c>
      <c r="DP176" s="32">
        <v>63.3</v>
      </c>
      <c r="DQ176" s="32">
        <v>72.599999999999994</v>
      </c>
      <c r="DR176" s="32">
        <v>75.099999999999994</v>
      </c>
      <c r="DS176" s="32">
        <v>73.3</v>
      </c>
      <c r="DT176" s="32">
        <v>70.3</v>
      </c>
      <c r="DU176" s="32">
        <v>71.400000000000006</v>
      </c>
      <c r="DV176" s="32">
        <v>83.1</v>
      </c>
      <c r="DW176" s="32">
        <v>59.5</v>
      </c>
      <c r="DX176" s="32">
        <v>67.900000000000006</v>
      </c>
      <c r="DY176" s="32">
        <v>84.2</v>
      </c>
      <c r="DZ176" s="32">
        <v>123.3</v>
      </c>
      <c r="EA176" s="32">
        <v>123.3</v>
      </c>
      <c r="EB176" s="32">
        <v>64.900000000000006</v>
      </c>
      <c r="EC176" s="32">
        <v>61.9</v>
      </c>
      <c r="ED176" s="32">
        <v>69.3</v>
      </c>
      <c r="EE176" s="32">
        <v>74.400000000000006</v>
      </c>
      <c r="EF176" s="32">
        <v>58.1</v>
      </c>
      <c r="EG176" s="32">
        <v>68.8</v>
      </c>
      <c r="EH176" s="32">
        <v>85.7</v>
      </c>
      <c r="EI176" s="32">
        <v>64.7</v>
      </c>
      <c r="EJ176" s="32">
        <v>75.599999999999994</v>
      </c>
      <c r="EK176" s="32">
        <v>62.9</v>
      </c>
      <c r="EL176" s="32">
        <v>76.5</v>
      </c>
      <c r="EM176" s="32">
        <v>59.4</v>
      </c>
      <c r="EN176" s="32">
        <v>62.8</v>
      </c>
      <c r="EO176" s="32">
        <v>89.8</v>
      </c>
      <c r="EP176" s="32">
        <v>90.7</v>
      </c>
      <c r="EQ176" s="32">
        <v>90.7</v>
      </c>
      <c r="ER176" s="32">
        <v>82.5</v>
      </c>
      <c r="ES176" s="32">
        <v>82.5</v>
      </c>
      <c r="ET176" s="32">
        <v>97.4</v>
      </c>
      <c r="EU176" s="32">
        <v>105.8</v>
      </c>
      <c r="EV176" s="32">
        <v>105.8</v>
      </c>
      <c r="EW176" s="32">
        <v>91.4</v>
      </c>
      <c r="EX176" s="32">
        <v>101.8</v>
      </c>
      <c r="EY176" s="32">
        <v>83.2</v>
      </c>
      <c r="EZ176" s="32">
        <v>93.9</v>
      </c>
      <c r="FA176" s="32">
        <v>105.7</v>
      </c>
      <c r="FB176" s="32">
        <v>120.7</v>
      </c>
      <c r="FC176" s="32">
        <v>98.9</v>
      </c>
      <c r="FD176" s="32">
        <v>108.8</v>
      </c>
      <c r="FE176" s="32">
        <v>165.8</v>
      </c>
      <c r="FF176" s="32">
        <v>88.8</v>
      </c>
      <c r="FG176" s="32">
        <v>82.9</v>
      </c>
      <c r="FH176" s="32">
        <v>84.9</v>
      </c>
      <c r="FI176" s="32">
        <v>96.6</v>
      </c>
      <c r="FJ176" s="32">
        <v>80.3</v>
      </c>
      <c r="FK176" s="32">
        <v>130.5</v>
      </c>
      <c r="FL176" s="32">
        <v>130.5</v>
      </c>
    </row>
    <row r="177" spans="1:168" x14ac:dyDescent="0.2">
      <c r="A177" s="34" t="s">
        <v>1157</v>
      </c>
      <c r="B177" s="32">
        <v>82.2</v>
      </c>
      <c r="C177" s="32">
        <v>100.8</v>
      </c>
      <c r="D177" s="32">
        <v>87.4</v>
      </c>
      <c r="E177" s="32">
        <v>89.1</v>
      </c>
      <c r="F177" s="32">
        <v>133.1</v>
      </c>
      <c r="G177" s="32">
        <v>3021.8</v>
      </c>
      <c r="H177" s="32">
        <v>147</v>
      </c>
      <c r="I177" s="32">
        <v>63.8</v>
      </c>
      <c r="J177" s="32">
        <v>85.6</v>
      </c>
      <c r="K177" s="32">
        <v>86.7</v>
      </c>
      <c r="L177" s="32">
        <v>81.400000000000006</v>
      </c>
      <c r="M177" s="32">
        <v>64.099999999999994</v>
      </c>
      <c r="N177" s="32">
        <v>100.1</v>
      </c>
      <c r="O177" s="32">
        <v>131.30000000000001</v>
      </c>
      <c r="P177" s="32">
        <v>115.7</v>
      </c>
      <c r="Q177" s="32">
        <v>99.8</v>
      </c>
      <c r="R177" s="32">
        <v>75.099999999999994</v>
      </c>
      <c r="S177" s="32">
        <v>93.5</v>
      </c>
      <c r="T177" s="32">
        <v>136.30000000000001</v>
      </c>
      <c r="U177" s="32">
        <v>91</v>
      </c>
      <c r="V177" s="32">
        <v>115.5</v>
      </c>
      <c r="W177" s="32">
        <v>57.8</v>
      </c>
      <c r="X177" s="32">
        <v>47.6</v>
      </c>
      <c r="Y177" s="32">
        <v>67.2</v>
      </c>
      <c r="Z177" s="32">
        <v>112.1</v>
      </c>
      <c r="AA177" s="32">
        <v>92.2</v>
      </c>
      <c r="AB177" s="32">
        <v>82.2</v>
      </c>
      <c r="AC177" s="32">
        <v>84.3</v>
      </c>
      <c r="AD177" s="32">
        <v>109.6</v>
      </c>
      <c r="AE177" s="32">
        <v>57.9</v>
      </c>
      <c r="AF177" s="32">
        <v>57.9</v>
      </c>
      <c r="AG177" s="32">
        <v>51.6</v>
      </c>
      <c r="AH177" s="32">
        <v>51.6</v>
      </c>
      <c r="AI177" s="32">
        <v>114.6</v>
      </c>
      <c r="AJ177" s="32">
        <v>13.2</v>
      </c>
      <c r="AK177" s="32">
        <v>70.8</v>
      </c>
      <c r="AL177" s="32">
        <v>69.400000000000006</v>
      </c>
      <c r="AM177" s="32">
        <v>52.8</v>
      </c>
      <c r="AN177" s="32">
        <v>133.80000000000001</v>
      </c>
      <c r="AO177" s="32">
        <v>89.6</v>
      </c>
      <c r="AP177" s="32">
        <v>89.6</v>
      </c>
      <c r="AQ177" s="32">
        <v>87.7</v>
      </c>
      <c r="AR177" s="32">
        <v>88.5</v>
      </c>
      <c r="AS177" s="32">
        <v>88.6</v>
      </c>
      <c r="AT177" s="32">
        <v>77.8</v>
      </c>
      <c r="AU177" s="32">
        <v>98.3</v>
      </c>
      <c r="AV177" s="32">
        <v>84.9</v>
      </c>
      <c r="AW177" s="32">
        <v>89</v>
      </c>
      <c r="AX177" s="32">
        <v>181</v>
      </c>
      <c r="AY177" s="32">
        <v>60.7</v>
      </c>
      <c r="AZ177" s="32">
        <v>88.1</v>
      </c>
      <c r="BA177" s="32">
        <v>85.3</v>
      </c>
      <c r="BB177" s="32">
        <v>85.3</v>
      </c>
      <c r="BC177" s="32">
        <v>107.7</v>
      </c>
      <c r="BD177" s="32">
        <v>107.7</v>
      </c>
      <c r="BE177" s="32">
        <v>104.7</v>
      </c>
      <c r="BF177" s="32">
        <v>104.7</v>
      </c>
      <c r="BG177" s="32">
        <v>98.6</v>
      </c>
      <c r="BH177" s="32">
        <v>86.5</v>
      </c>
      <c r="BI177" s="32">
        <v>111.2</v>
      </c>
      <c r="BJ177" s="32">
        <v>40.700000000000003</v>
      </c>
      <c r="BK177" s="32">
        <v>142.6</v>
      </c>
      <c r="BL177" s="32">
        <v>101.2</v>
      </c>
      <c r="BM177" s="32">
        <v>100.4</v>
      </c>
      <c r="BN177" s="32">
        <v>115.2</v>
      </c>
      <c r="BO177" s="32">
        <v>98.5</v>
      </c>
      <c r="BP177" s="32">
        <v>131.1</v>
      </c>
      <c r="BQ177" s="32">
        <v>85</v>
      </c>
      <c r="BR177" s="32">
        <v>78.599999999999994</v>
      </c>
      <c r="BS177" s="32">
        <v>131.5</v>
      </c>
      <c r="BT177" s="32">
        <v>73.400000000000006</v>
      </c>
      <c r="BU177" s="32">
        <v>92</v>
      </c>
      <c r="BV177" s="32">
        <v>92</v>
      </c>
      <c r="BW177" s="32">
        <v>132.1</v>
      </c>
      <c r="BX177" s="32">
        <v>33.299999999999997</v>
      </c>
      <c r="BY177" s="32">
        <v>83.4</v>
      </c>
      <c r="BZ177" s="32">
        <v>88</v>
      </c>
      <c r="CA177" s="32">
        <v>81</v>
      </c>
      <c r="CB177" s="32">
        <v>93.6</v>
      </c>
      <c r="CC177" s="32">
        <v>73.3</v>
      </c>
      <c r="CD177" s="32">
        <v>19.5</v>
      </c>
      <c r="CE177" s="32">
        <v>84.8</v>
      </c>
      <c r="CF177" s="32">
        <v>81.2</v>
      </c>
      <c r="CG177" s="32">
        <v>96.2</v>
      </c>
      <c r="CH177" s="32">
        <v>97.3</v>
      </c>
      <c r="CI177" s="32">
        <v>102.3</v>
      </c>
      <c r="CJ177" s="32">
        <v>95.4</v>
      </c>
      <c r="CK177" s="32">
        <v>98.8</v>
      </c>
      <c r="CL177" s="32">
        <v>96.1</v>
      </c>
      <c r="CM177" s="32">
        <v>108.4</v>
      </c>
      <c r="CN177" s="32">
        <v>144.19999999999999</v>
      </c>
      <c r="CO177" s="32">
        <v>99.1</v>
      </c>
      <c r="CP177" s="32">
        <v>151.5</v>
      </c>
      <c r="CQ177" s="32">
        <v>83.4</v>
      </c>
      <c r="CR177" s="32">
        <v>102.1</v>
      </c>
      <c r="CS177" s="32">
        <v>108.5</v>
      </c>
      <c r="CT177" s="32">
        <v>91.4</v>
      </c>
      <c r="CU177" s="32">
        <v>72.900000000000006</v>
      </c>
      <c r="CV177" s="32">
        <v>99.4</v>
      </c>
      <c r="CW177" s="32">
        <v>41.6</v>
      </c>
      <c r="CX177" s="32">
        <v>95.3</v>
      </c>
      <c r="CY177" s="32">
        <v>110.4</v>
      </c>
      <c r="CZ177" s="32">
        <v>87.4</v>
      </c>
      <c r="DA177" s="32">
        <v>75.2</v>
      </c>
      <c r="DB177" s="32">
        <v>112</v>
      </c>
      <c r="DC177" s="32">
        <v>11.3</v>
      </c>
      <c r="DD177" s="32">
        <v>11.3</v>
      </c>
      <c r="DE177" s="32">
        <v>64.2</v>
      </c>
      <c r="DF177" s="32">
        <v>64.2</v>
      </c>
      <c r="DG177" s="32">
        <v>63.5</v>
      </c>
      <c r="DH177" s="32">
        <v>96.7</v>
      </c>
      <c r="DI177" s="32">
        <v>152.69999999999999</v>
      </c>
      <c r="DJ177" s="32">
        <v>69.099999999999994</v>
      </c>
      <c r="DK177" s="32">
        <v>69.099999999999994</v>
      </c>
      <c r="DL177" s="32">
        <v>50.9</v>
      </c>
      <c r="DM177" s="32">
        <v>78.900000000000006</v>
      </c>
      <c r="DN177" s="32">
        <v>74.900000000000006</v>
      </c>
      <c r="DO177" s="32">
        <v>81</v>
      </c>
      <c r="DP177" s="32">
        <v>67.2</v>
      </c>
      <c r="DQ177" s="32">
        <v>71</v>
      </c>
      <c r="DR177" s="32">
        <v>72.400000000000006</v>
      </c>
      <c r="DS177" s="32">
        <v>71.099999999999994</v>
      </c>
      <c r="DT177" s="32">
        <v>68.3</v>
      </c>
      <c r="DU177" s="32">
        <v>69.8</v>
      </c>
      <c r="DV177" s="32">
        <v>81.7</v>
      </c>
      <c r="DW177" s="32">
        <v>57.8</v>
      </c>
      <c r="DX177" s="32">
        <v>65.099999999999994</v>
      </c>
      <c r="DY177" s="32">
        <v>81.5</v>
      </c>
      <c r="DZ177" s="32">
        <v>114.7</v>
      </c>
      <c r="EA177" s="32">
        <v>114.7</v>
      </c>
      <c r="EB177" s="32">
        <v>62.3</v>
      </c>
      <c r="EC177" s="32">
        <v>60.3</v>
      </c>
      <c r="ED177" s="32">
        <v>65.400000000000006</v>
      </c>
      <c r="EE177" s="32">
        <v>68.900000000000006</v>
      </c>
      <c r="EF177" s="32">
        <v>58</v>
      </c>
      <c r="EG177" s="32">
        <v>68.8</v>
      </c>
      <c r="EH177" s="32">
        <v>86.8</v>
      </c>
      <c r="EI177" s="32">
        <v>65.8</v>
      </c>
      <c r="EJ177" s="32">
        <v>80.900000000000006</v>
      </c>
      <c r="EK177" s="32">
        <v>60.7</v>
      </c>
      <c r="EL177" s="32">
        <v>75.400000000000006</v>
      </c>
      <c r="EM177" s="32">
        <v>59.9</v>
      </c>
      <c r="EN177" s="32">
        <v>58.7</v>
      </c>
      <c r="EO177" s="32">
        <v>90</v>
      </c>
      <c r="EP177" s="32">
        <v>91.3</v>
      </c>
      <c r="EQ177" s="32">
        <v>91.3</v>
      </c>
      <c r="ER177" s="32">
        <v>83.5</v>
      </c>
      <c r="ES177" s="32">
        <v>83.5</v>
      </c>
      <c r="ET177" s="32">
        <v>96.6</v>
      </c>
      <c r="EU177" s="32">
        <v>104.7</v>
      </c>
      <c r="EV177" s="32">
        <v>104.7</v>
      </c>
      <c r="EW177" s="32">
        <v>91</v>
      </c>
      <c r="EX177" s="32">
        <v>102.1</v>
      </c>
      <c r="EY177" s="32">
        <v>82.1</v>
      </c>
      <c r="EZ177" s="32">
        <v>94.1</v>
      </c>
      <c r="FA177" s="32">
        <v>106.2</v>
      </c>
      <c r="FB177" s="32">
        <v>118.1</v>
      </c>
      <c r="FC177" s="32">
        <v>95.8</v>
      </c>
      <c r="FD177" s="32">
        <v>106.8</v>
      </c>
      <c r="FE177" s="32">
        <v>163.6</v>
      </c>
      <c r="FF177" s="32">
        <v>93</v>
      </c>
      <c r="FG177" s="32">
        <v>82.4</v>
      </c>
      <c r="FH177" s="32">
        <v>83.8</v>
      </c>
      <c r="FI177" s="32">
        <v>98.3</v>
      </c>
      <c r="FJ177" s="32">
        <v>79.8</v>
      </c>
      <c r="FK177" s="32">
        <v>137.4</v>
      </c>
      <c r="FL177" s="32">
        <v>137.4</v>
      </c>
    </row>
    <row r="178" spans="1:168" x14ac:dyDescent="0.2">
      <c r="A178" s="34" t="s">
        <v>1158</v>
      </c>
      <c r="B178" s="32">
        <v>83.1</v>
      </c>
      <c r="C178" s="32">
        <v>100.2</v>
      </c>
      <c r="D178" s="32">
        <v>87.7</v>
      </c>
      <c r="E178" s="32">
        <v>89.9</v>
      </c>
      <c r="F178" s="32">
        <v>121.8</v>
      </c>
      <c r="G178" s="32">
        <v>2689.3</v>
      </c>
      <c r="H178" s="32">
        <v>132.19999999999999</v>
      </c>
      <c r="I178" s="32">
        <v>64.599999999999994</v>
      </c>
      <c r="J178" s="32">
        <v>86.9</v>
      </c>
      <c r="K178" s="32">
        <v>84.3</v>
      </c>
      <c r="L178" s="32">
        <v>81.3</v>
      </c>
      <c r="M178" s="32">
        <v>64.3</v>
      </c>
      <c r="N178" s="32">
        <v>98.6</v>
      </c>
      <c r="O178" s="32">
        <v>125.1</v>
      </c>
      <c r="P178" s="32">
        <v>117.1</v>
      </c>
      <c r="Q178" s="32">
        <v>85.1</v>
      </c>
      <c r="R178" s="32">
        <v>74.5</v>
      </c>
      <c r="S178" s="32">
        <v>94.9</v>
      </c>
      <c r="T178" s="32">
        <v>142.6</v>
      </c>
      <c r="U178" s="32">
        <v>83.6</v>
      </c>
      <c r="V178" s="32">
        <v>102.9</v>
      </c>
      <c r="W178" s="32">
        <v>55.1</v>
      </c>
      <c r="X178" s="32">
        <v>44.3</v>
      </c>
      <c r="Y178" s="32">
        <v>66.7</v>
      </c>
      <c r="Z178" s="32">
        <v>106.1</v>
      </c>
      <c r="AA178" s="32">
        <v>92.2</v>
      </c>
      <c r="AB178" s="32">
        <v>84</v>
      </c>
      <c r="AC178" s="32">
        <v>85.3</v>
      </c>
      <c r="AD178" s="32">
        <v>107.6</v>
      </c>
      <c r="AE178" s="32">
        <v>52.8</v>
      </c>
      <c r="AF178" s="32">
        <v>52.8</v>
      </c>
      <c r="AG178" s="32">
        <v>48.8</v>
      </c>
      <c r="AH178" s="32">
        <v>48.8</v>
      </c>
      <c r="AI178" s="32">
        <v>111</v>
      </c>
      <c r="AJ178" s="32">
        <v>15.1</v>
      </c>
      <c r="AK178" s="32">
        <v>75.7</v>
      </c>
      <c r="AL178" s="32">
        <v>62.3</v>
      </c>
      <c r="AM178" s="32">
        <v>46.3</v>
      </c>
      <c r="AN178" s="32">
        <v>125</v>
      </c>
      <c r="AO178" s="32">
        <v>98.8</v>
      </c>
      <c r="AP178" s="32">
        <v>98.8</v>
      </c>
      <c r="AQ178" s="32">
        <v>89.2</v>
      </c>
      <c r="AR178" s="32">
        <v>90.7</v>
      </c>
      <c r="AS178" s="32">
        <v>89.2</v>
      </c>
      <c r="AT178" s="32">
        <v>80.3</v>
      </c>
      <c r="AU178" s="32">
        <v>96.7</v>
      </c>
      <c r="AV178" s="32">
        <v>88.8</v>
      </c>
      <c r="AW178" s="32">
        <v>90.3</v>
      </c>
      <c r="AX178" s="32">
        <v>177.4</v>
      </c>
      <c r="AY178" s="32">
        <v>64.900000000000006</v>
      </c>
      <c r="AZ178" s="32">
        <v>93</v>
      </c>
      <c r="BA178" s="32">
        <v>84.3</v>
      </c>
      <c r="BB178" s="32">
        <v>84.3</v>
      </c>
      <c r="BC178" s="32">
        <v>109.4</v>
      </c>
      <c r="BD178" s="32">
        <v>109.4</v>
      </c>
      <c r="BE178" s="32">
        <v>112.1</v>
      </c>
      <c r="BF178" s="32">
        <v>112.1</v>
      </c>
      <c r="BG178" s="32">
        <v>100.7</v>
      </c>
      <c r="BH178" s="32">
        <v>90.6</v>
      </c>
      <c r="BI178" s="32">
        <v>110.7</v>
      </c>
      <c r="BJ178" s="32">
        <v>40.4</v>
      </c>
      <c r="BK178" s="32">
        <v>141.6</v>
      </c>
      <c r="BL178" s="32">
        <v>102.6</v>
      </c>
      <c r="BM178" s="32">
        <v>100.4</v>
      </c>
      <c r="BN178" s="32">
        <v>113.2</v>
      </c>
      <c r="BO178" s="32">
        <v>97</v>
      </c>
      <c r="BP178" s="32">
        <v>128.6</v>
      </c>
      <c r="BQ178" s="32">
        <v>87.3</v>
      </c>
      <c r="BR178" s="32">
        <v>77.2</v>
      </c>
      <c r="BS178" s="32">
        <v>132.80000000000001</v>
      </c>
      <c r="BT178" s="32">
        <v>76.5</v>
      </c>
      <c r="BU178" s="32">
        <v>98.1</v>
      </c>
      <c r="BV178" s="32">
        <v>98.1</v>
      </c>
      <c r="BW178" s="32">
        <v>137.69999999999999</v>
      </c>
      <c r="BX178" s="32">
        <v>38</v>
      </c>
      <c r="BY178" s="32">
        <v>84.5</v>
      </c>
      <c r="BZ178" s="32">
        <v>87.6</v>
      </c>
      <c r="CA178" s="32">
        <v>82.8</v>
      </c>
      <c r="CB178" s="32">
        <v>96.5</v>
      </c>
      <c r="CC178" s="32">
        <v>74</v>
      </c>
      <c r="CD178" s="32">
        <v>21.3</v>
      </c>
      <c r="CE178" s="32">
        <v>83.8</v>
      </c>
      <c r="CF178" s="32">
        <v>82.2</v>
      </c>
      <c r="CG178" s="32">
        <v>95.6</v>
      </c>
      <c r="CH178" s="32">
        <v>96</v>
      </c>
      <c r="CI178" s="32">
        <v>105.7</v>
      </c>
      <c r="CJ178" s="32">
        <v>93.7</v>
      </c>
      <c r="CK178" s="32">
        <v>96.7</v>
      </c>
      <c r="CL178" s="32">
        <v>96.7</v>
      </c>
      <c r="CM178" s="32">
        <v>108.6</v>
      </c>
      <c r="CN178" s="32">
        <v>143.19999999999999</v>
      </c>
      <c r="CO178" s="32">
        <v>99.5</v>
      </c>
      <c r="CP178" s="32">
        <v>149.9</v>
      </c>
      <c r="CQ178" s="32">
        <v>81.7</v>
      </c>
      <c r="CR178" s="32">
        <v>104.1</v>
      </c>
      <c r="CS178" s="32">
        <v>109.5</v>
      </c>
      <c r="CT178" s="32">
        <v>91.5</v>
      </c>
      <c r="CU178" s="32">
        <v>75.8</v>
      </c>
      <c r="CV178" s="32">
        <v>98.2</v>
      </c>
      <c r="CW178" s="32">
        <v>44.5</v>
      </c>
      <c r="CX178" s="32">
        <v>99.1</v>
      </c>
      <c r="CY178" s="32">
        <v>110</v>
      </c>
      <c r="CZ178" s="32">
        <v>93.3</v>
      </c>
      <c r="DA178" s="32">
        <v>80.5</v>
      </c>
      <c r="DB178" s="32">
        <v>119.2</v>
      </c>
      <c r="DC178" s="32">
        <v>11.8</v>
      </c>
      <c r="DD178" s="32">
        <v>11.8</v>
      </c>
      <c r="DE178" s="32">
        <v>71.400000000000006</v>
      </c>
      <c r="DF178" s="32">
        <v>70</v>
      </c>
      <c r="DG178" s="32">
        <v>79</v>
      </c>
      <c r="DH178" s="32">
        <v>100.2</v>
      </c>
      <c r="DI178" s="32">
        <v>158.19999999999999</v>
      </c>
      <c r="DJ178" s="32">
        <v>67.7</v>
      </c>
      <c r="DK178" s="32">
        <v>67.7</v>
      </c>
      <c r="DL178" s="32">
        <v>55.9</v>
      </c>
      <c r="DM178" s="32">
        <v>78.599999999999994</v>
      </c>
      <c r="DN178" s="32">
        <v>75.400000000000006</v>
      </c>
      <c r="DO178" s="32">
        <v>80.7</v>
      </c>
      <c r="DP178" s="32">
        <v>59.9</v>
      </c>
      <c r="DQ178" s="32">
        <v>73</v>
      </c>
      <c r="DR178" s="32">
        <v>74.900000000000006</v>
      </c>
      <c r="DS178" s="32">
        <v>73</v>
      </c>
      <c r="DT178" s="32">
        <v>71.099999999999994</v>
      </c>
      <c r="DU178" s="32">
        <v>73.5</v>
      </c>
      <c r="DV178" s="32">
        <v>86.4</v>
      </c>
      <c r="DW178" s="32">
        <v>60.5</v>
      </c>
      <c r="DX178" s="32">
        <v>66.400000000000006</v>
      </c>
      <c r="DY178" s="32">
        <v>79.900000000000006</v>
      </c>
      <c r="DZ178" s="32">
        <v>114.7</v>
      </c>
      <c r="EA178" s="32">
        <v>114.7</v>
      </c>
      <c r="EB178" s="32">
        <v>67.599999999999994</v>
      </c>
      <c r="EC178" s="32">
        <v>69.400000000000006</v>
      </c>
      <c r="ED178" s="32">
        <v>65.5</v>
      </c>
      <c r="EE178" s="32">
        <v>69.2</v>
      </c>
      <c r="EF178" s="32">
        <v>57.8</v>
      </c>
      <c r="EG178" s="32">
        <v>70.099999999999994</v>
      </c>
      <c r="EH178" s="32">
        <v>84.8</v>
      </c>
      <c r="EI178" s="32">
        <v>65.400000000000006</v>
      </c>
      <c r="EJ178" s="32">
        <v>79.5</v>
      </c>
      <c r="EK178" s="32">
        <v>64.900000000000006</v>
      </c>
      <c r="EL178" s="32">
        <v>77.599999999999994</v>
      </c>
      <c r="EM178" s="32">
        <v>62.4</v>
      </c>
      <c r="EN178" s="32">
        <v>64.5</v>
      </c>
      <c r="EO178" s="32">
        <v>90</v>
      </c>
      <c r="EP178" s="32">
        <v>90.7</v>
      </c>
      <c r="EQ178" s="32">
        <v>90.7</v>
      </c>
      <c r="ER178" s="32">
        <v>83.9</v>
      </c>
      <c r="ES178" s="32">
        <v>83.9</v>
      </c>
      <c r="ET178" s="32">
        <v>96.7</v>
      </c>
      <c r="EU178" s="32">
        <v>105.1</v>
      </c>
      <c r="EV178" s="32">
        <v>105.1</v>
      </c>
      <c r="EW178" s="32">
        <v>90.3</v>
      </c>
      <c r="EX178" s="32">
        <v>101.8</v>
      </c>
      <c r="EY178" s="32">
        <v>81.099999999999994</v>
      </c>
      <c r="EZ178" s="32">
        <v>94</v>
      </c>
      <c r="FA178" s="32">
        <v>107.4</v>
      </c>
      <c r="FB178" s="32">
        <v>118.1</v>
      </c>
      <c r="FC178" s="32">
        <v>96.1</v>
      </c>
      <c r="FD178" s="32">
        <v>108.5</v>
      </c>
      <c r="FE178" s="32">
        <v>162</v>
      </c>
      <c r="FF178" s="32">
        <v>95.5</v>
      </c>
      <c r="FG178" s="32">
        <v>82.3</v>
      </c>
      <c r="FH178" s="32">
        <v>83</v>
      </c>
      <c r="FI178" s="32">
        <v>101.1</v>
      </c>
      <c r="FJ178" s="32">
        <v>79.7</v>
      </c>
      <c r="FK178" s="32">
        <v>122.8</v>
      </c>
      <c r="FL178" s="32">
        <v>122.8</v>
      </c>
    </row>
    <row r="179" spans="1:168" x14ac:dyDescent="0.2">
      <c r="A179" s="34" t="s">
        <v>1159</v>
      </c>
      <c r="B179" s="32">
        <v>83.1</v>
      </c>
      <c r="C179" s="32">
        <v>100.1</v>
      </c>
      <c r="D179" s="32">
        <v>88.4</v>
      </c>
      <c r="E179" s="32">
        <v>90.3</v>
      </c>
      <c r="F179" s="32">
        <v>121.9</v>
      </c>
      <c r="G179" s="32">
        <v>2898.1</v>
      </c>
      <c r="H179" s="32">
        <v>131.30000000000001</v>
      </c>
      <c r="I179" s="32">
        <v>66.599999999999994</v>
      </c>
      <c r="J179" s="32">
        <v>86.8</v>
      </c>
      <c r="K179" s="32">
        <v>84.8</v>
      </c>
      <c r="L179" s="32">
        <v>81.8</v>
      </c>
      <c r="M179" s="32">
        <v>65.900000000000006</v>
      </c>
      <c r="N179" s="32">
        <v>97.6</v>
      </c>
      <c r="O179" s="32">
        <v>126.2</v>
      </c>
      <c r="P179" s="32">
        <v>123.3</v>
      </c>
      <c r="Q179" s="32">
        <v>78.900000000000006</v>
      </c>
      <c r="R179" s="32">
        <v>73.599999999999994</v>
      </c>
      <c r="S179" s="32">
        <v>95.7</v>
      </c>
      <c r="T179" s="32">
        <v>143.5</v>
      </c>
      <c r="U179" s="32">
        <v>79.099999999999994</v>
      </c>
      <c r="V179" s="32">
        <v>104.6</v>
      </c>
      <c r="W179" s="32">
        <v>55.1</v>
      </c>
      <c r="X179" s="32">
        <v>44.2</v>
      </c>
      <c r="Y179" s="32">
        <v>67.099999999999994</v>
      </c>
      <c r="Z179" s="32">
        <v>107.5</v>
      </c>
      <c r="AA179" s="32">
        <v>93.6</v>
      </c>
      <c r="AB179" s="32">
        <v>85.4</v>
      </c>
      <c r="AC179" s="32">
        <v>83.6</v>
      </c>
      <c r="AD179" s="32">
        <v>111.7</v>
      </c>
      <c r="AE179" s="32">
        <v>45.7</v>
      </c>
      <c r="AF179" s="32">
        <v>45.7</v>
      </c>
      <c r="AG179" s="32">
        <v>50.8</v>
      </c>
      <c r="AH179" s="32">
        <v>50.8</v>
      </c>
      <c r="AI179" s="32">
        <v>107.8</v>
      </c>
      <c r="AJ179" s="32">
        <v>19.100000000000001</v>
      </c>
      <c r="AK179" s="32">
        <v>87.3</v>
      </c>
      <c r="AL179" s="32">
        <v>56.4</v>
      </c>
      <c r="AM179" s="32">
        <v>47.2</v>
      </c>
      <c r="AN179" s="32">
        <v>123.8</v>
      </c>
      <c r="AO179" s="32">
        <v>95.6</v>
      </c>
      <c r="AP179" s="32">
        <v>95.6</v>
      </c>
      <c r="AQ179" s="32">
        <v>88.5</v>
      </c>
      <c r="AR179" s="32">
        <v>90</v>
      </c>
      <c r="AS179" s="32">
        <v>88.3</v>
      </c>
      <c r="AT179" s="32">
        <v>78.099999999999994</v>
      </c>
      <c r="AU179" s="32">
        <v>97.5</v>
      </c>
      <c r="AV179" s="32">
        <v>89.4</v>
      </c>
      <c r="AW179" s="32">
        <v>94.9</v>
      </c>
      <c r="AX179" s="32">
        <v>195.1</v>
      </c>
      <c r="AY179" s="32">
        <v>62.5</v>
      </c>
      <c r="AZ179" s="32">
        <v>92.6</v>
      </c>
      <c r="BA179" s="32">
        <v>88.7</v>
      </c>
      <c r="BB179" s="32">
        <v>88.7</v>
      </c>
      <c r="BC179" s="32">
        <v>111.9</v>
      </c>
      <c r="BD179" s="32">
        <v>111.9</v>
      </c>
      <c r="BE179" s="32">
        <v>109.7</v>
      </c>
      <c r="BF179" s="32">
        <v>109.7</v>
      </c>
      <c r="BG179" s="32">
        <v>98.1</v>
      </c>
      <c r="BH179" s="32">
        <v>84.9</v>
      </c>
      <c r="BI179" s="32">
        <v>112.4</v>
      </c>
      <c r="BJ179" s="32">
        <v>40.1</v>
      </c>
      <c r="BK179" s="32">
        <v>143.5</v>
      </c>
      <c r="BL179" s="32">
        <v>108.8</v>
      </c>
      <c r="BM179" s="32">
        <v>99.3</v>
      </c>
      <c r="BN179" s="32">
        <v>110.6</v>
      </c>
      <c r="BO179" s="32">
        <v>89.6</v>
      </c>
      <c r="BP179" s="32">
        <v>131.6</v>
      </c>
      <c r="BQ179" s="32">
        <v>87.8</v>
      </c>
      <c r="BR179" s="32">
        <v>77.8</v>
      </c>
      <c r="BS179" s="32">
        <v>147.80000000000001</v>
      </c>
      <c r="BT179" s="32">
        <v>73.7</v>
      </c>
      <c r="BU179" s="32">
        <v>102.2</v>
      </c>
      <c r="BV179" s="32">
        <v>102.2</v>
      </c>
      <c r="BW179" s="32">
        <v>142.30000000000001</v>
      </c>
      <c r="BX179" s="32">
        <v>40.299999999999997</v>
      </c>
      <c r="BY179" s="32">
        <v>85.1</v>
      </c>
      <c r="BZ179" s="32">
        <v>86.1</v>
      </c>
      <c r="CA179" s="32">
        <v>84.5</v>
      </c>
      <c r="CB179" s="32">
        <v>98.3</v>
      </c>
      <c r="CC179" s="32">
        <v>75.7</v>
      </c>
      <c r="CD179" s="32">
        <v>21.4</v>
      </c>
      <c r="CE179" s="32">
        <v>85.4</v>
      </c>
      <c r="CF179" s="32">
        <v>82.1</v>
      </c>
      <c r="CG179" s="32">
        <v>95.7</v>
      </c>
      <c r="CH179" s="32">
        <v>96</v>
      </c>
      <c r="CI179" s="32">
        <v>98.8</v>
      </c>
      <c r="CJ179" s="32">
        <v>96.7</v>
      </c>
      <c r="CK179" s="32">
        <v>96.1</v>
      </c>
      <c r="CL179" s="32">
        <v>95.8</v>
      </c>
      <c r="CM179" s="32">
        <v>107.6</v>
      </c>
      <c r="CN179" s="32">
        <v>142.9</v>
      </c>
      <c r="CO179" s="32">
        <v>98.4</v>
      </c>
      <c r="CP179" s="32">
        <v>149</v>
      </c>
      <c r="CQ179" s="32">
        <v>80.900000000000006</v>
      </c>
      <c r="CR179" s="32">
        <v>104.5</v>
      </c>
      <c r="CS179" s="32">
        <v>105.2</v>
      </c>
      <c r="CT179" s="32">
        <v>93.8</v>
      </c>
      <c r="CU179" s="32">
        <v>78.3</v>
      </c>
      <c r="CV179" s="32">
        <v>100.4</v>
      </c>
      <c r="CW179" s="32">
        <v>44.1</v>
      </c>
      <c r="CX179" s="32">
        <v>103.8</v>
      </c>
      <c r="CY179" s="32">
        <v>109.1</v>
      </c>
      <c r="CZ179" s="32">
        <v>100.8</v>
      </c>
      <c r="DA179" s="32">
        <v>85.3</v>
      </c>
      <c r="DB179" s="32">
        <v>132.19999999999999</v>
      </c>
      <c r="DC179" s="32">
        <v>11.8</v>
      </c>
      <c r="DD179" s="32">
        <v>11.8</v>
      </c>
      <c r="DE179" s="32">
        <v>67.900000000000006</v>
      </c>
      <c r="DF179" s="32">
        <v>67.599999999999994</v>
      </c>
      <c r="DG179" s="32">
        <v>68.8</v>
      </c>
      <c r="DH179" s="32">
        <v>98.5</v>
      </c>
      <c r="DI179" s="32">
        <v>157.1</v>
      </c>
      <c r="DJ179" s="32">
        <v>66.900000000000006</v>
      </c>
      <c r="DK179" s="32">
        <v>66.900000000000006</v>
      </c>
      <c r="DL179" s="32">
        <v>52.7</v>
      </c>
      <c r="DM179" s="32">
        <v>78.8</v>
      </c>
      <c r="DN179" s="32">
        <v>75.900000000000006</v>
      </c>
      <c r="DO179" s="32">
        <v>80.599999999999994</v>
      </c>
      <c r="DP179" s="32">
        <v>62.3</v>
      </c>
      <c r="DQ179" s="32">
        <v>73.3</v>
      </c>
      <c r="DR179" s="32">
        <v>74.8</v>
      </c>
      <c r="DS179" s="32">
        <v>73.900000000000006</v>
      </c>
      <c r="DT179" s="32">
        <v>71.7</v>
      </c>
      <c r="DU179" s="32">
        <v>72.8</v>
      </c>
      <c r="DV179" s="32">
        <v>86.7</v>
      </c>
      <c r="DW179" s="32">
        <v>58.9</v>
      </c>
      <c r="DX179" s="32">
        <v>69.3</v>
      </c>
      <c r="DY179" s="32">
        <v>82.4</v>
      </c>
      <c r="DZ179" s="32">
        <v>117</v>
      </c>
      <c r="EA179" s="32">
        <v>117</v>
      </c>
      <c r="EB179" s="32">
        <v>63.4</v>
      </c>
      <c r="EC179" s="32">
        <v>63.9</v>
      </c>
      <c r="ED179" s="32">
        <v>63</v>
      </c>
      <c r="EE179" s="32">
        <v>64.5</v>
      </c>
      <c r="EF179" s="32">
        <v>59.9</v>
      </c>
      <c r="EG179" s="32">
        <v>70.900000000000006</v>
      </c>
      <c r="EH179" s="32">
        <v>83.5</v>
      </c>
      <c r="EI179" s="32">
        <v>66.7</v>
      </c>
      <c r="EJ179" s="32">
        <v>81.099999999999994</v>
      </c>
      <c r="EK179" s="32">
        <v>66.099999999999994</v>
      </c>
      <c r="EL179" s="32">
        <v>76.599999999999994</v>
      </c>
      <c r="EM179" s="32">
        <v>62.6</v>
      </c>
      <c r="EN179" s="32">
        <v>66.599999999999994</v>
      </c>
      <c r="EO179" s="32">
        <v>90.1</v>
      </c>
      <c r="EP179" s="32">
        <v>90.6</v>
      </c>
      <c r="EQ179" s="32">
        <v>90.6</v>
      </c>
      <c r="ER179" s="32">
        <v>84.3</v>
      </c>
      <c r="ES179" s="32">
        <v>84.3</v>
      </c>
      <c r="ET179" s="32">
        <v>96.8</v>
      </c>
      <c r="EU179" s="32">
        <v>105.6</v>
      </c>
      <c r="EV179" s="32">
        <v>105.6</v>
      </c>
      <c r="EW179" s="32">
        <v>89.8</v>
      </c>
      <c r="EX179" s="32">
        <v>101.1</v>
      </c>
      <c r="EY179" s="32">
        <v>80.8</v>
      </c>
      <c r="EZ179" s="32">
        <v>94.4</v>
      </c>
      <c r="FA179" s="32">
        <v>108.5</v>
      </c>
      <c r="FB179" s="32">
        <v>118.2</v>
      </c>
      <c r="FC179" s="32">
        <v>95.1</v>
      </c>
      <c r="FD179" s="32">
        <v>109.2</v>
      </c>
      <c r="FE179" s="32">
        <v>164.1</v>
      </c>
      <c r="FF179" s="32">
        <v>97.6</v>
      </c>
      <c r="FG179" s="32">
        <v>82.9</v>
      </c>
      <c r="FH179" s="32">
        <v>82.9</v>
      </c>
      <c r="FI179" s="32">
        <v>96.6</v>
      </c>
      <c r="FJ179" s="32">
        <v>81.3</v>
      </c>
      <c r="FK179" s="32">
        <v>112.8</v>
      </c>
      <c r="FL179" s="32">
        <v>112.8</v>
      </c>
    </row>
    <row r="180" spans="1:168" x14ac:dyDescent="0.2">
      <c r="A180" s="34" t="s">
        <v>1160</v>
      </c>
      <c r="B180" s="32">
        <v>83.2</v>
      </c>
      <c r="C180" s="32">
        <v>100.5</v>
      </c>
      <c r="D180" s="32">
        <v>87.7</v>
      </c>
      <c r="E180" s="32">
        <v>89.8</v>
      </c>
      <c r="F180" s="32">
        <v>122.6</v>
      </c>
      <c r="G180" s="32">
        <v>2812.4</v>
      </c>
      <c r="H180" s="32">
        <v>133</v>
      </c>
      <c r="I180" s="32">
        <v>65.5</v>
      </c>
      <c r="J180" s="32">
        <v>86.4</v>
      </c>
      <c r="K180" s="32">
        <v>82.2</v>
      </c>
      <c r="L180" s="32">
        <v>78.900000000000006</v>
      </c>
      <c r="M180" s="32">
        <v>67.400000000000006</v>
      </c>
      <c r="N180" s="32">
        <v>96.5</v>
      </c>
      <c r="O180" s="32">
        <v>120.4</v>
      </c>
      <c r="P180" s="32">
        <v>124.8</v>
      </c>
      <c r="Q180" s="32">
        <v>75</v>
      </c>
      <c r="R180" s="32">
        <v>74.599999999999994</v>
      </c>
      <c r="S180" s="32">
        <v>83.4</v>
      </c>
      <c r="T180" s="32">
        <v>145.30000000000001</v>
      </c>
      <c r="U180" s="32">
        <v>80.5</v>
      </c>
      <c r="V180" s="32">
        <v>102.1</v>
      </c>
      <c r="W180" s="32">
        <v>53.5</v>
      </c>
      <c r="X180" s="32">
        <v>42.6</v>
      </c>
      <c r="Y180" s="32">
        <v>65.099999999999994</v>
      </c>
      <c r="Z180" s="32">
        <v>107.3</v>
      </c>
      <c r="AA180" s="32">
        <v>94.8</v>
      </c>
      <c r="AB180" s="32">
        <v>84.6</v>
      </c>
      <c r="AC180" s="32">
        <v>84.1</v>
      </c>
      <c r="AD180" s="32">
        <v>114.7</v>
      </c>
      <c r="AE180" s="32">
        <v>38.1</v>
      </c>
      <c r="AF180" s="32">
        <v>38.1</v>
      </c>
      <c r="AG180" s="32">
        <v>61.3</v>
      </c>
      <c r="AH180" s="32">
        <v>61.3</v>
      </c>
      <c r="AI180" s="32">
        <v>105.8</v>
      </c>
      <c r="AJ180" s="32">
        <v>25.5</v>
      </c>
      <c r="AK180" s="32">
        <v>103.6</v>
      </c>
      <c r="AL180" s="32">
        <v>56.9</v>
      </c>
      <c r="AM180" s="32">
        <v>67.5</v>
      </c>
      <c r="AN180" s="32">
        <v>115</v>
      </c>
      <c r="AO180" s="32">
        <v>93.8</v>
      </c>
      <c r="AP180" s="32">
        <v>93.8</v>
      </c>
      <c r="AQ180" s="32">
        <v>88.3</v>
      </c>
      <c r="AR180" s="32">
        <v>88.8</v>
      </c>
      <c r="AS180" s="32">
        <v>89.8</v>
      </c>
      <c r="AT180" s="32">
        <v>79.099999999999994</v>
      </c>
      <c r="AU180" s="32">
        <v>99.4</v>
      </c>
      <c r="AV180" s="32">
        <v>87.5</v>
      </c>
      <c r="AW180" s="32">
        <v>93.3</v>
      </c>
      <c r="AX180" s="32">
        <v>186.7</v>
      </c>
      <c r="AY180" s="32">
        <v>64.400000000000006</v>
      </c>
      <c r="AZ180" s="32">
        <v>90.5</v>
      </c>
      <c r="BA180" s="32">
        <v>87.2</v>
      </c>
      <c r="BB180" s="32">
        <v>87.2</v>
      </c>
      <c r="BC180" s="32">
        <v>114.6</v>
      </c>
      <c r="BD180" s="32">
        <v>114.6</v>
      </c>
      <c r="BE180" s="32">
        <v>108.3</v>
      </c>
      <c r="BF180" s="32">
        <v>108.3</v>
      </c>
      <c r="BG180" s="32">
        <v>100.1</v>
      </c>
      <c r="BH180" s="32">
        <v>88.3</v>
      </c>
      <c r="BI180" s="32">
        <v>112.4</v>
      </c>
      <c r="BJ180" s="32">
        <v>39.5</v>
      </c>
      <c r="BK180" s="32">
        <v>143.69999999999999</v>
      </c>
      <c r="BL180" s="32">
        <v>109.2</v>
      </c>
      <c r="BM180" s="32">
        <v>97.6</v>
      </c>
      <c r="BN180" s="32">
        <v>110.5</v>
      </c>
      <c r="BO180" s="32">
        <v>88.4</v>
      </c>
      <c r="BP180" s="32">
        <v>132.80000000000001</v>
      </c>
      <c r="BQ180" s="32">
        <v>84.2</v>
      </c>
      <c r="BR180" s="32">
        <v>88.5</v>
      </c>
      <c r="BS180" s="32">
        <v>122.5</v>
      </c>
      <c r="BT180" s="32">
        <v>73.099999999999994</v>
      </c>
      <c r="BU180" s="32">
        <v>101.1</v>
      </c>
      <c r="BV180" s="32">
        <v>101.1</v>
      </c>
      <c r="BW180" s="32">
        <v>137.5</v>
      </c>
      <c r="BX180" s="32">
        <v>42.3</v>
      </c>
      <c r="BY180" s="32">
        <v>83.2</v>
      </c>
      <c r="BZ180" s="32">
        <v>84.3</v>
      </c>
      <c r="CA180" s="32">
        <v>82.6</v>
      </c>
      <c r="CB180" s="32">
        <v>95.5</v>
      </c>
      <c r="CC180" s="32">
        <v>74.5</v>
      </c>
      <c r="CD180" s="32">
        <v>21</v>
      </c>
      <c r="CE180" s="32">
        <v>84.5</v>
      </c>
      <c r="CF180" s="32">
        <v>82.3</v>
      </c>
      <c r="CG180" s="32">
        <v>95.4</v>
      </c>
      <c r="CH180" s="32">
        <v>96</v>
      </c>
      <c r="CI180" s="32">
        <v>98.8</v>
      </c>
      <c r="CJ180" s="32">
        <v>96.7</v>
      </c>
      <c r="CK180" s="32">
        <v>96.2</v>
      </c>
      <c r="CL180" s="32">
        <v>94.8</v>
      </c>
      <c r="CM180" s="32">
        <v>107.1</v>
      </c>
      <c r="CN180" s="32">
        <v>141.69999999999999</v>
      </c>
      <c r="CO180" s="32">
        <v>98.1</v>
      </c>
      <c r="CP180" s="32">
        <v>148.1</v>
      </c>
      <c r="CQ180" s="32">
        <v>81.099999999999994</v>
      </c>
      <c r="CR180" s="32">
        <v>100.9</v>
      </c>
      <c r="CS180" s="32">
        <v>107.1</v>
      </c>
      <c r="CT180" s="32">
        <v>92.8</v>
      </c>
      <c r="CU180" s="32">
        <v>78.400000000000006</v>
      </c>
      <c r="CV180" s="32">
        <v>99</v>
      </c>
      <c r="CW180" s="32">
        <v>44.2</v>
      </c>
      <c r="CX180" s="32">
        <v>96.4</v>
      </c>
      <c r="CY180" s="32">
        <v>109</v>
      </c>
      <c r="CZ180" s="32">
        <v>89.8</v>
      </c>
      <c r="DA180" s="32">
        <v>75.2</v>
      </c>
      <c r="DB180" s="32">
        <v>119.5</v>
      </c>
      <c r="DC180" s="32">
        <v>12.3</v>
      </c>
      <c r="DD180" s="32">
        <v>12.3</v>
      </c>
      <c r="DE180" s="32">
        <v>69.5</v>
      </c>
      <c r="DF180" s="32">
        <v>69.3</v>
      </c>
      <c r="DG180" s="32">
        <v>70.5</v>
      </c>
      <c r="DH180" s="32">
        <v>103.4</v>
      </c>
      <c r="DI180" s="32">
        <v>166.2</v>
      </c>
      <c r="DJ180" s="32">
        <v>66.8</v>
      </c>
      <c r="DK180" s="32">
        <v>66.8</v>
      </c>
      <c r="DL180" s="32">
        <v>56.3</v>
      </c>
      <c r="DM180" s="32">
        <v>79.5</v>
      </c>
      <c r="DN180" s="32">
        <v>77</v>
      </c>
      <c r="DO180" s="32">
        <v>81.2</v>
      </c>
      <c r="DP180" s="32">
        <v>63.2</v>
      </c>
      <c r="DQ180" s="32">
        <v>71.900000000000006</v>
      </c>
      <c r="DR180" s="32">
        <v>72.900000000000006</v>
      </c>
      <c r="DS180" s="32">
        <v>70.5</v>
      </c>
      <c r="DT180" s="32">
        <v>67.8</v>
      </c>
      <c r="DU180" s="32">
        <v>73.8</v>
      </c>
      <c r="DV180" s="32">
        <v>87.2</v>
      </c>
      <c r="DW180" s="32">
        <v>60.3</v>
      </c>
      <c r="DX180" s="32">
        <v>55.9</v>
      </c>
      <c r="DY180" s="32">
        <v>80.599999999999994</v>
      </c>
      <c r="DZ180" s="32">
        <v>117</v>
      </c>
      <c r="EA180" s="32">
        <v>117</v>
      </c>
      <c r="EB180" s="32">
        <v>65.599999999999994</v>
      </c>
      <c r="EC180" s="32">
        <v>65.400000000000006</v>
      </c>
      <c r="ED180" s="32">
        <v>66.3</v>
      </c>
      <c r="EE180" s="32">
        <v>70.099999999999994</v>
      </c>
      <c r="EF180" s="32">
        <v>58.1</v>
      </c>
      <c r="EG180" s="32">
        <v>70.3</v>
      </c>
      <c r="EH180" s="32">
        <v>88.3</v>
      </c>
      <c r="EI180" s="32">
        <v>67.7</v>
      </c>
      <c r="EJ180" s="32">
        <v>82</v>
      </c>
      <c r="EK180" s="32">
        <v>62</v>
      </c>
      <c r="EL180" s="32">
        <v>77.400000000000006</v>
      </c>
      <c r="EM180" s="32">
        <v>62.2</v>
      </c>
      <c r="EN180" s="32">
        <v>59.3</v>
      </c>
      <c r="EO180" s="32">
        <v>90</v>
      </c>
      <c r="EP180" s="32">
        <v>90.5</v>
      </c>
      <c r="EQ180" s="32">
        <v>90.5</v>
      </c>
      <c r="ER180" s="32">
        <v>83.6</v>
      </c>
      <c r="ES180" s="32">
        <v>83.6</v>
      </c>
      <c r="ET180" s="32">
        <v>97</v>
      </c>
      <c r="EU180" s="32">
        <v>106.2</v>
      </c>
      <c r="EV180" s="32">
        <v>106.2</v>
      </c>
      <c r="EW180" s="32">
        <v>89.1</v>
      </c>
      <c r="EX180" s="32">
        <v>100</v>
      </c>
      <c r="EY180" s="32">
        <v>80.5</v>
      </c>
      <c r="EZ180" s="32">
        <v>93.9</v>
      </c>
      <c r="FA180" s="32">
        <v>105.8</v>
      </c>
      <c r="FB180" s="32">
        <v>112.8</v>
      </c>
      <c r="FC180" s="32">
        <v>84.3</v>
      </c>
      <c r="FD180" s="32">
        <v>107.2</v>
      </c>
      <c r="FE180" s="32">
        <v>167.7</v>
      </c>
      <c r="FF180" s="32">
        <v>97.9</v>
      </c>
      <c r="FG180" s="32">
        <v>83.9</v>
      </c>
      <c r="FH180" s="32">
        <v>82.9</v>
      </c>
      <c r="FI180" s="32">
        <v>107.1</v>
      </c>
      <c r="FJ180" s="32">
        <v>81.5</v>
      </c>
      <c r="FK180" s="32">
        <v>113.6</v>
      </c>
      <c r="FL180" s="32">
        <v>113.6</v>
      </c>
    </row>
    <row r="181" spans="1:168" x14ac:dyDescent="0.2">
      <c r="A181" s="34" t="s">
        <v>1161</v>
      </c>
      <c r="B181" s="32">
        <v>83</v>
      </c>
      <c r="C181" s="32">
        <v>101.3</v>
      </c>
      <c r="D181" s="32">
        <v>87.5</v>
      </c>
      <c r="E181" s="32">
        <v>89.9</v>
      </c>
      <c r="F181" s="32">
        <v>119.1</v>
      </c>
      <c r="G181" s="32">
        <v>3005.1</v>
      </c>
      <c r="H181" s="32">
        <v>127.2</v>
      </c>
      <c r="I181" s="32">
        <v>67.599999999999994</v>
      </c>
      <c r="J181" s="32">
        <v>87</v>
      </c>
      <c r="K181" s="32">
        <v>81.8</v>
      </c>
      <c r="L181" s="32">
        <v>77.599999999999994</v>
      </c>
      <c r="M181" s="32">
        <v>67.2</v>
      </c>
      <c r="N181" s="32">
        <v>95.5</v>
      </c>
      <c r="O181" s="32">
        <v>120.7</v>
      </c>
      <c r="P181" s="32">
        <v>135</v>
      </c>
      <c r="Q181" s="32">
        <v>71.400000000000006</v>
      </c>
      <c r="R181" s="32">
        <v>68.2</v>
      </c>
      <c r="S181" s="32">
        <v>81.5</v>
      </c>
      <c r="T181" s="32">
        <v>145.1</v>
      </c>
      <c r="U181" s="32">
        <v>81.900000000000006</v>
      </c>
      <c r="V181" s="32">
        <v>105.7</v>
      </c>
      <c r="W181" s="32">
        <v>50.9</v>
      </c>
      <c r="X181" s="32">
        <v>43</v>
      </c>
      <c r="Y181" s="32">
        <v>56.9</v>
      </c>
      <c r="Z181" s="32">
        <v>97</v>
      </c>
      <c r="AA181" s="32">
        <v>93.1</v>
      </c>
      <c r="AB181" s="32">
        <v>80.400000000000006</v>
      </c>
      <c r="AC181" s="32">
        <v>84.1</v>
      </c>
      <c r="AD181" s="32">
        <v>113.1</v>
      </c>
      <c r="AE181" s="32">
        <v>34.1</v>
      </c>
      <c r="AF181" s="32">
        <v>34.1</v>
      </c>
      <c r="AG181" s="32">
        <v>63.7</v>
      </c>
      <c r="AH181" s="32">
        <v>63.7</v>
      </c>
      <c r="AI181" s="32">
        <v>98.8</v>
      </c>
      <c r="AJ181" s="32">
        <v>34.6</v>
      </c>
      <c r="AK181" s="32">
        <v>99.4</v>
      </c>
      <c r="AL181" s="32">
        <v>55.4</v>
      </c>
      <c r="AM181" s="32">
        <v>66.599999999999994</v>
      </c>
      <c r="AN181" s="32">
        <v>116.9</v>
      </c>
      <c r="AO181" s="32">
        <v>98</v>
      </c>
      <c r="AP181" s="32">
        <v>98</v>
      </c>
      <c r="AQ181" s="32">
        <v>89.4</v>
      </c>
      <c r="AR181" s="32">
        <v>90.1</v>
      </c>
      <c r="AS181" s="32">
        <v>90.5</v>
      </c>
      <c r="AT181" s="32">
        <v>80.400000000000006</v>
      </c>
      <c r="AU181" s="32">
        <v>99.5</v>
      </c>
      <c r="AV181" s="32">
        <v>87.7</v>
      </c>
      <c r="AW181" s="32">
        <v>95.8</v>
      </c>
      <c r="AX181" s="32">
        <v>193.3</v>
      </c>
      <c r="AY181" s="32">
        <v>65.099999999999994</v>
      </c>
      <c r="AZ181" s="32">
        <v>90.1</v>
      </c>
      <c r="BA181" s="32">
        <v>84.3</v>
      </c>
      <c r="BB181" s="32">
        <v>84.3</v>
      </c>
      <c r="BC181" s="32">
        <v>114.7</v>
      </c>
      <c r="BD181" s="32">
        <v>114.7</v>
      </c>
      <c r="BE181" s="32">
        <v>110.7</v>
      </c>
      <c r="BF181" s="32">
        <v>110.7</v>
      </c>
      <c r="BG181" s="32">
        <v>102.4</v>
      </c>
      <c r="BH181" s="32">
        <v>91.5</v>
      </c>
      <c r="BI181" s="32">
        <v>113.7</v>
      </c>
      <c r="BJ181" s="32">
        <v>39.200000000000003</v>
      </c>
      <c r="BK181" s="32">
        <v>145.6</v>
      </c>
      <c r="BL181" s="32">
        <v>111.3</v>
      </c>
      <c r="BM181" s="32">
        <v>98.3</v>
      </c>
      <c r="BN181" s="32">
        <v>111.6</v>
      </c>
      <c r="BO181" s="32">
        <v>86</v>
      </c>
      <c r="BP181" s="32">
        <v>137.9</v>
      </c>
      <c r="BQ181" s="32">
        <v>84.5</v>
      </c>
      <c r="BR181" s="32">
        <v>87.5</v>
      </c>
      <c r="BS181" s="32">
        <v>123.5</v>
      </c>
      <c r="BT181" s="32">
        <v>73.5</v>
      </c>
      <c r="BU181" s="32">
        <v>101.8</v>
      </c>
      <c r="BV181" s="32">
        <v>101.8</v>
      </c>
      <c r="BW181" s="32">
        <v>138.80000000000001</v>
      </c>
      <c r="BX181" s="32">
        <v>42.4</v>
      </c>
      <c r="BY181" s="32">
        <v>82.3</v>
      </c>
      <c r="BZ181" s="32">
        <v>83.7</v>
      </c>
      <c r="CA181" s="32">
        <v>81.599999999999994</v>
      </c>
      <c r="CB181" s="32">
        <v>98</v>
      </c>
      <c r="CC181" s="32">
        <v>70.2</v>
      </c>
      <c r="CD181" s="32">
        <v>21.9</v>
      </c>
      <c r="CE181" s="32">
        <v>83.5</v>
      </c>
      <c r="CF181" s="32">
        <v>82.1</v>
      </c>
      <c r="CG181" s="32">
        <v>95.2</v>
      </c>
      <c r="CH181" s="32">
        <v>95.9</v>
      </c>
      <c r="CI181" s="32">
        <v>100</v>
      </c>
      <c r="CJ181" s="32">
        <v>95.9</v>
      </c>
      <c r="CK181" s="32">
        <v>96.1</v>
      </c>
      <c r="CL181" s="32">
        <v>95.4</v>
      </c>
      <c r="CM181" s="32">
        <v>106.6</v>
      </c>
      <c r="CN181" s="32">
        <v>142.1</v>
      </c>
      <c r="CO181" s="32">
        <v>97.5</v>
      </c>
      <c r="CP181" s="32">
        <v>149.1</v>
      </c>
      <c r="CQ181" s="32">
        <v>80.7</v>
      </c>
      <c r="CR181" s="32">
        <v>102.5</v>
      </c>
      <c r="CS181" s="32">
        <v>108.9</v>
      </c>
      <c r="CT181" s="32">
        <v>91.3</v>
      </c>
      <c r="CU181" s="32">
        <v>77.400000000000006</v>
      </c>
      <c r="CV181" s="32">
        <v>97.3</v>
      </c>
      <c r="CW181" s="32">
        <v>45.4</v>
      </c>
      <c r="CX181" s="32">
        <v>102.6</v>
      </c>
      <c r="CY181" s="32">
        <v>110.6</v>
      </c>
      <c r="CZ181" s="32">
        <v>98.2</v>
      </c>
      <c r="DA181" s="32">
        <v>86.6</v>
      </c>
      <c r="DB181" s="32">
        <v>121</v>
      </c>
      <c r="DC181" s="32">
        <v>12.8</v>
      </c>
      <c r="DD181" s="32">
        <v>12.8</v>
      </c>
      <c r="DE181" s="32">
        <v>69</v>
      </c>
      <c r="DF181" s="32">
        <v>67.900000000000006</v>
      </c>
      <c r="DG181" s="32">
        <v>74.7</v>
      </c>
      <c r="DH181" s="32">
        <v>100.4</v>
      </c>
      <c r="DI181" s="32">
        <v>156.1</v>
      </c>
      <c r="DJ181" s="32">
        <v>67.099999999999994</v>
      </c>
      <c r="DK181" s="32">
        <v>67.099999999999994</v>
      </c>
      <c r="DL181" s="32">
        <v>59.4</v>
      </c>
      <c r="DM181" s="32">
        <v>79.400000000000006</v>
      </c>
      <c r="DN181" s="32">
        <v>77.3</v>
      </c>
      <c r="DO181" s="32">
        <v>80.900000000000006</v>
      </c>
      <c r="DP181" s="32">
        <v>64.3</v>
      </c>
      <c r="DQ181" s="32">
        <v>71.599999999999994</v>
      </c>
      <c r="DR181" s="32">
        <v>73.099999999999994</v>
      </c>
      <c r="DS181" s="32">
        <v>71.8</v>
      </c>
      <c r="DT181" s="32">
        <v>69.7</v>
      </c>
      <c r="DU181" s="32">
        <v>73.900000000000006</v>
      </c>
      <c r="DV181" s="32">
        <v>87.3</v>
      </c>
      <c r="DW181" s="32">
        <v>60.5</v>
      </c>
      <c r="DX181" s="32">
        <v>61.3</v>
      </c>
      <c r="DY181" s="32">
        <v>79.7</v>
      </c>
      <c r="DZ181" s="32">
        <v>109.3</v>
      </c>
      <c r="EA181" s="32">
        <v>109.3</v>
      </c>
      <c r="EB181" s="32">
        <v>65</v>
      </c>
      <c r="EC181" s="32">
        <v>65.8</v>
      </c>
      <c r="ED181" s="32">
        <v>64.099999999999994</v>
      </c>
      <c r="EE181" s="32">
        <v>67.599999999999994</v>
      </c>
      <c r="EF181" s="32">
        <v>56.7</v>
      </c>
      <c r="EG181" s="32">
        <v>69.2</v>
      </c>
      <c r="EH181" s="32">
        <v>82.8</v>
      </c>
      <c r="EI181" s="32">
        <v>66.8</v>
      </c>
      <c r="EJ181" s="32">
        <v>82.2</v>
      </c>
      <c r="EK181" s="32">
        <v>62.4</v>
      </c>
      <c r="EL181" s="32">
        <v>75.7</v>
      </c>
      <c r="EM181" s="32">
        <v>62.1</v>
      </c>
      <c r="EN181" s="32">
        <v>60.3</v>
      </c>
      <c r="EO181" s="32">
        <v>90</v>
      </c>
      <c r="EP181" s="32">
        <v>90.7</v>
      </c>
      <c r="EQ181" s="32">
        <v>90.7</v>
      </c>
      <c r="ER181" s="32">
        <v>83.5</v>
      </c>
      <c r="ES181" s="32">
        <v>83.5</v>
      </c>
      <c r="ET181" s="32">
        <v>97.2</v>
      </c>
      <c r="EU181" s="32">
        <v>106.7</v>
      </c>
      <c r="EV181" s="32">
        <v>106.7</v>
      </c>
      <c r="EW181" s="32">
        <v>88.6</v>
      </c>
      <c r="EX181" s="32">
        <v>99.2</v>
      </c>
      <c r="EY181" s="32">
        <v>80.3</v>
      </c>
      <c r="EZ181" s="32">
        <v>93.4</v>
      </c>
      <c r="FA181" s="32">
        <v>105.2</v>
      </c>
      <c r="FB181" s="32">
        <v>115.3</v>
      </c>
      <c r="FC181" s="32">
        <v>89.1</v>
      </c>
      <c r="FD181" s="32">
        <v>102.3</v>
      </c>
      <c r="FE181" s="32">
        <v>169.7</v>
      </c>
      <c r="FF181" s="32">
        <v>93.9</v>
      </c>
      <c r="FG181" s="32">
        <v>83.1</v>
      </c>
      <c r="FH181" s="32">
        <v>83.3</v>
      </c>
      <c r="FI181" s="32">
        <v>95</v>
      </c>
      <c r="FJ181" s="32">
        <v>81.599999999999994</v>
      </c>
      <c r="FK181" s="32">
        <v>119.8</v>
      </c>
      <c r="FL181" s="32">
        <v>119.8</v>
      </c>
    </row>
    <row r="182" spans="1:168" x14ac:dyDescent="0.2">
      <c r="A182" s="34" t="s">
        <v>1162</v>
      </c>
      <c r="B182" s="32">
        <v>83.1</v>
      </c>
      <c r="C182" s="32">
        <v>101.9</v>
      </c>
      <c r="D182" s="32">
        <v>87.8</v>
      </c>
      <c r="E182" s="32">
        <v>90</v>
      </c>
      <c r="F182" s="32">
        <v>118</v>
      </c>
      <c r="G182" s="32">
        <v>2946.8</v>
      </c>
      <c r="H182" s="32">
        <v>124.7</v>
      </c>
      <c r="I182" s="32">
        <v>70.599999999999994</v>
      </c>
      <c r="J182" s="32">
        <v>87.2</v>
      </c>
      <c r="K182" s="32">
        <v>82.3</v>
      </c>
      <c r="L182" s="32">
        <v>78.3</v>
      </c>
      <c r="M182" s="32">
        <v>68.099999999999994</v>
      </c>
      <c r="N182" s="32">
        <v>96</v>
      </c>
      <c r="O182" s="32">
        <v>121.6</v>
      </c>
      <c r="P182" s="32">
        <v>134</v>
      </c>
      <c r="Q182" s="32">
        <v>67.900000000000006</v>
      </c>
      <c r="R182" s="32">
        <v>66.5</v>
      </c>
      <c r="S182" s="32">
        <v>86.4</v>
      </c>
      <c r="T182" s="32">
        <v>139.9</v>
      </c>
      <c r="U182" s="32">
        <v>82.3</v>
      </c>
      <c r="V182" s="32">
        <v>105.1</v>
      </c>
      <c r="W182" s="32">
        <v>53.6</v>
      </c>
      <c r="X182" s="32">
        <v>43.9</v>
      </c>
      <c r="Y182" s="32">
        <v>62.2</v>
      </c>
      <c r="Z182" s="32">
        <v>109</v>
      </c>
      <c r="AA182" s="32">
        <v>93.6</v>
      </c>
      <c r="AB182" s="32">
        <v>84.1</v>
      </c>
      <c r="AC182" s="32">
        <v>84.8</v>
      </c>
      <c r="AD182" s="32">
        <v>111.7</v>
      </c>
      <c r="AE182" s="32">
        <v>31.3</v>
      </c>
      <c r="AF182" s="32">
        <v>31.3</v>
      </c>
      <c r="AG182" s="32">
        <v>67.599999999999994</v>
      </c>
      <c r="AH182" s="32">
        <v>67.599999999999994</v>
      </c>
      <c r="AI182" s="32">
        <v>99</v>
      </c>
      <c r="AJ182" s="32">
        <v>45.6</v>
      </c>
      <c r="AK182" s="32">
        <v>99.9</v>
      </c>
      <c r="AL182" s="32">
        <v>57.1</v>
      </c>
      <c r="AM182" s="32">
        <v>66.2</v>
      </c>
      <c r="AN182" s="32">
        <v>111.4</v>
      </c>
      <c r="AO182" s="32">
        <v>91.2</v>
      </c>
      <c r="AP182" s="32">
        <v>91.2</v>
      </c>
      <c r="AQ182" s="32">
        <v>90.2</v>
      </c>
      <c r="AR182" s="32">
        <v>91.3</v>
      </c>
      <c r="AS182" s="32">
        <v>90.9</v>
      </c>
      <c r="AT182" s="32">
        <v>80.2</v>
      </c>
      <c r="AU182" s="32">
        <v>100.5</v>
      </c>
      <c r="AV182" s="32">
        <v>89.7</v>
      </c>
      <c r="AW182" s="32">
        <v>94.4</v>
      </c>
      <c r="AX182" s="32">
        <v>183</v>
      </c>
      <c r="AY182" s="32">
        <v>68.8</v>
      </c>
      <c r="AZ182" s="32">
        <v>93.1</v>
      </c>
      <c r="BA182" s="32">
        <v>78.599999999999994</v>
      </c>
      <c r="BB182" s="32">
        <v>78.599999999999994</v>
      </c>
      <c r="BC182" s="32">
        <v>114.8</v>
      </c>
      <c r="BD182" s="32">
        <v>114.8</v>
      </c>
      <c r="BE182" s="32">
        <v>115.6</v>
      </c>
      <c r="BF182" s="32">
        <v>115.6</v>
      </c>
      <c r="BG182" s="32">
        <v>105</v>
      </c>
      <c r="BH182" s="32">
        <v>94.6</v>
      </c>
      <c r="BI182" s="32">
        <v>115.6</v>
      </c>
      <c r="BJ182" s="32">
        <v>38.700000000000003</v>
      </c>
      <c r="BK182" s="32">
        <v>149.4</v>
      </c>
      <c r="BL182" s="32">
        <v>107.7</v>
      </c>
      <c r="BM182" s="32">
        <v>97.6</v>
      </c>
      <c r="BN182" s="32">
        <v>111.2</v>
      </c>
      <c r="BO182" s="32">
        <v>86</v>
      </c>
      <c r="BP182" s="32">
        <v>137.1</v>
      </c>
      <c r="BQ182" s="32">
        <v>83.6</v>
      </c>
      <c r="BR182" s="32">
        <v>90.1</v>
      </c>
      <c r="BS182" s="32">
        <v>132.69999999999999</v>
      </c>
      <c r="BT182" s="32">
        <v>69.900000000000006</v>
      </c>
      <c r="BU182" s="32">
        <v>100.8</v>
      </c>
      <c r="BV182" s="32">
        <v>100.8</v>
      </c>
      <c r="BW182" s="32">
        <v>138.1</v>
      </c>
      <c r="BX182" s="32">
        <v>41.4</v>
      </c>
      <c r="BY182" s="32">
        <v>83.2</v>
      </c>
      <c r="BZ182" s="32">
        <v>83.4</v>
      </c>
      <c r="CA182" s="32">
        <v>83</v>
      </c>
      <c r="CB182" s="32">
        <v>100.8</v>
      </c>
      <c r="CC182" s="32">
        <v>70.599999999999994</v>
      </c>
      <c r="CD182" s="32">
        <v>22.6</v>
      </c>
      <c r="CE182" s="32">
        <v>84.3</v>
      </c>
      <c r="CF182" s="32">
        <v>82.2</v>
      </c>
      <c r="CG182" s="32">
        <v>95.3</v>
      </c>
      <c r="CH182" s="32">
        <v>95.7</v>
      </c>
      <c r="CI182" s="32">
        <v>101.2</v>
      </c>
      <c r="CJ182" s="32">
        <v>94.9</v>
      </c>
      <c r="CK182" s="32">
        <v>96.3</v>
      </c>
      <c r="CL182" s="32">
        <v>96.4</v>
      </c>
      <c r="CM182" s="32">
        <v>105.8</v>
      </c>
      <c r="CN182" s="32">
        <v>142.4</v>
      </c>
      <c r="CO182" s="32">
        <v>96.5</v>
      </c>
      <c r="CP182" s="32">
        <v>151</v>
      </c>
      <c r="CQ182" s="32">
        <v>81.400000000000006</v>
      </c>
      <c r="CR182" s="32">
        <v>104.7</v>
      </c>
      <c r="CS182" s="32">
        <v>112.7</v>
      </c>
      <c r="CT182" s="32">
        <v>91.6</v>
      </c>
      <c r="CU182" s="32">
        <v>78.400000000000006</v>
      </c>
      <c r="CV182" s="32">
        <v>97.2</v>
      </c>
      <c r="CW182" s="32">
        <v>45.5</v>
      </c>
      <c r="CX182" s="32">
        <v>99</v>
      </c>
      <c r="CY182" s="32">
        <v>105</v>
      </c>
      <c r="CZ182" s="32">
        <v>95.6</v>
      </c>
      <c r="DA182" s="32">
        <v>83.5</v>
      </c>
      <c r="DB182" s="32">
        <v>119.5</v>
      </c>
      <c r="DC182" s="32">
        <v>13.1</v>
      </c>
      <c r="DD182" s="32">
        <v>13.1</v>
      </c>
      <c r="DE182" s="32">
        <v>69.7</v>
      </c>
      <c r="DF182" s="32">
        <v>68</v>
      </c>
      <c r="DG182" s="32">
        <v>78.400000000000006</v>
      </c>
      <c r="DH182" s="32">
        <v>98.9</v>
      </c>
      <c r="DI182" s="32">
        <v>154.1</v>
      </c>
      <c r="DJ182" s="32">
        <v>67.5</v>
      </c>
      <c r="DK182" s="32">
        <v>67.5</v>
      </c>
      <c r="DL182" s="32">
        <v>57.2</v>
      </c>
      <c r="DM182" s="32">
        <v>79.7</v>
      </c>
      <c r="DN182" s="32">
        <v>78.3</v>
      </c>
      <c r="DO182" s="32">
        <v>80.7</v>
      </c>
      <c r="DP182" s="32">
        <v>69</v>
      </c>
      <c r="DQ182" s="32">
        <v>72.7</v>
      </c>
      <c r="DR182" s="32">
        <v>74</v>
      </c>
      <c r="DS182" s="32">
        <v>72.400000000000006</v>
      </c>
      <c r="DT182" s="32">
        <v>70.2</v>
      </c>
      <c r="DU182" s="32">
        <v>75.099999999999994</v>
      </c>
      <c r="DV182" s="32">
        <v>90.5</v>
      </c>
      <c r="DW182" s="32">
        <v>59.9</v>
      </c>
      <c r="DX182" s="32">
        <v>60.2</v>
      </c>
      <c r="DY182" s="32">
        <v>80.7</v>
      </c>
      <c r="DZ182" s="32">
        <v>116.8</v>
      </c>
      <c r="EA182" s="32">
        <v>116.8</v>
      </c>
      <c r="EB182" s="32">
        <v>64.8</v>
      </c>
      <c r="EC182" s="32">
        <v>64.900000000000006</v>
      </c>
      <c r="ED182" s="32">
        <v>65.099999999999994</v>
      </c>
      <c r="EE182" s="32">
        <v>68.8</v>
      </c>
      <c r="EF182" s="32">
        <v>57.2</v>
      </c>
      <c r="EG182" s="32">
        <v>70.7</v>
      </c>
      <c r="EH182" s="32">
        <v>83.3</v>
      </c>
      <c r="EI182" s="32">
        <v>69.2</v>
      </c>
      <c r="EJ182" s="32">
        <v>84.6</v>
      </c>
      <c r="EK182" s="32">
        <v>63.5</v>
      </c>
      <c r="EL182" s="32">
        <v>75.8</v>
      </c>
      <c r="EM182" s="32">
        <v>61.9</v>
      </c>
      <c r="EN182" s="32">
        <v>62.4</v>
      </c>
      <c r="EO182" s="32">
        <v>89.5</v>
      </c>
      <c r="EP182" s="32">
        <v>90.7</v>
      </c>
      <c r="EQ182" s="32">
        <v>90.7</v>
      </c>
      <c r="ER182" s="32">
        <v>82.4</v>
      </c>
      <c r="ES182" s="32">
        <v>82.4</v>
      </c>
      <c r="ET182" s="32">
        <v>96.9</v>
      </c>
      <c r="EU182" s="32">
        <v>106.5</v>
      </c>
      <c r="EV182" s="32">
        <v>106.5</v>
      </c>
      <c r="EW182" s="32">
        <v>88.1</v>
      </c>
      <c r="EX182" s="32">
        <v>98.7</v>
      </c>
      <c r="EY182" s="32">
        <v>79.7</v>
      </c>
      <c r="EZ182" s="32">
        <v>93.3</v>
      </c>
      <c r="FA182" s="32">
        <v>104.5</v>
      </c>
      <c r="FB182" s="32">
        <v>116.4</v>
      </c>
      <c r="FC182" s="32">
        <v>91.5</v>
      </c>
      <c r="FD182" s="32">
        <v>104.7</v>
      </c>
      <c r="FE182" s="32">
        <v>167.7</v>
      </c>
      <c r="FF182" s="32">
        <v>91.1</v>
      </c>
      <c r="FG182" s="32">
        <v>83.1</v>
      </c>
      <c r="FH182" s="32">
        <v>83.6</v>
      </c>
      <c r="FI182" s="32">
        <v>97.6</v>
      </c>
      <c r="FJ182" s="32">
        <v>81.099999999999994</v>
      </c>
      <c r="FK182" s="32">
        <v>125.5</v>
      </c>
      <c r="FL182" s="32">
        <v>125.5</v>
      </c>
    </row>
    <row r="183" spans="1:168" x14ac:dyDescent="0.2">
      <c r="A183" s="34" t="s">
        <v>1163</v>
      </c>
      <c r="B183" s="32">
        <v>82.4</v>
      </c>
      <c r="C183" s="32">
        <v>101.5</v>
      </c>
      <c r="D183" s="32">
        <v>87.5</v>
      </c>
      <c r="E183" s="32">
        <v>89.9</v>
      </c>
      <c r="F183" s="32">
        <v>122.3</v>
      </c>
      <c r="G183" s="32">
        <v>2794.9</v>
      </c>
      <c r="H183" s="32">
        <v>129.1</v>
      </c>
      <c r="I183" s="32">
        <v>73.099999999999994</v>
      </c>
      <c r="J183" s="32">
        <v>86.7</v>
      </c>
      <c r="K183" s="32">
        <v>82.7</v>
      </c>
      <c r="L183" s="32">
        <v>77</v>
      </c>
      <c r="M183" s="32">
        <v>63.6</v>
      </c>
      <c r="N183" s="32">
        <v>94.3</v>
      </c>
      <c r="O183" s="32">
        <v>117.8</v>
      </c>
      <c r="P183" s="32">
        <v>133.4</v>
      </c>
      <c r="Q183" s="32">
        <v>67.8</v>
      </c>
      <c r="R183" s="32">
        <v>66.2</v>
      </c>
      <c r="S183" s="32">
        <v>87.2</v>
      </c>
      <c r="T183" s="32">
        <v>134.80000000000001</v>
      </c>
      <c r="U183" s="32">
        <v>84.1</v>
      </c>
      <c r="V183" s="32">
        <v>113.9</v>
      </c>
      <c r="W183" s="32">
        <v>54.7</v>
      </c>
      <c r="X183" s="32">
        <v>45.2</v>
      </c>
      <c r="Y183" s="32">
        <v>61.7</v>
      </c>
      <c r="Z183" s="32">
        <v>115.4</v>
      </c>
      <c r="AA183" s="32">
        <v>94.5</v>
      </c>
      <c r="AB183" s="32">
        <v>82</v>
      </c>
      <c r="AC183" s="32">
        <v>83.9</v>
      </c>
      <c r="AD183" s="32">
        <v>116.2</v>
      </c>
      <c r="AE183" s="32">
        <v>26.9</v>
      </c>
      <c r="AF183" s="32">
        <v>26.9</v>
      </c>
      <c r="AG183" s="32">
        <v>72.3</v>
      </c>
      <c r="AH183" s="32">
        <v>72.3</v>
      </c>
      <c r="AI183" s="32">
        <v>92.2</v>
      </c>
      <c r="AJ183" s="32">
        <v>53.3</v>
      </c>
      <c r="AK183" s="32">
        <v>106.7</v>
      </c>
      <c r="AL183" s="32">
        <v>61</v>
      </c>
      <c r="AM183" s="32">
        <v>66.5</v>
      </c>
      <c r="AN183" s="32">
        <v>115.7</v>
      </c>
      <c r="AO183" s="32">
        <v>90.5</v>
      </c>
      <c r="AP183" s="32">
        <v>90.5</v>
      </c>
      <c r="AQ183" s="32">
        <v>90.4</v>
      </c>
      <c r="AR183" s="32">
        <v>89.7</v>
      </c>
      <c r="AS183" s="32">
        <v>93.6</v>
      </c>
      <c r="AT183" s="32">
        <v>80</v>
      </c>
      <c r="AU183" s="32">
        <v>106.3</v>
      </c>
      <c r="AV183" s="32">
        <v>86.4</v>
      </c>
      <c r="AW183" s="32">
        <v>96.6</v>
      </c>
      <c r="AX183" s="32">
        <v>187.3</v>
      </c>
      <c r="AY183" s="32">
        <v>70.3</v>
      </c>
      <c r="AZ183" s="32">
        <v>88.2</v>
      </c>
      <c r="BA183" s="32">
        <v>79.400000000000006</v>
      </c>
      <c r="BB183" s="32">
        <v>79.400000000000006</v>
      </c>
      <c r="BC183" s="32">
        <v>112.8</v>
      </c>
      <c r="BD183" s="32">
        <v>112.8</v>
      </c>
      <c r="BE183" s="32">
        <v>111</v>
      </c>
      <c r="BF183" s="32">
        <v>111</v>
      </c>
      <c r="BG183" s="32">
        <v>104.6</v>
      </c>
      <c r="BH183" s="32">
        <v>94.6</v>
      </c>
      <c r="BI183" s="32">
        <v>114.5</v>
      </c>
      <c r="BJ183" s="32">
        <v>37.799999999999997</v>
      </c>
      <c r="BK183" s="32">
        <v>148.6</v>
      </c>
      <c r="BL183" s="32">
        <v>105.1</v>
      </c>
      <c r="BM183" s="32">
        <v>96.2</v>
      </c>
      <c r="BN183" s="32">
        <v>107.9</v>
      </c>
      <c r="BO183" s="32">
        <v>84</v>
      </c>
      <c r="BP183" s="32">
        <v>132.4</v>
      </c>
      <c r="BQ183" s="32">
        <v>84.1</v>
      </c>
      <c r="BR183" s="32">
        <v>84.6</v>
      </c>
      <c r="BS183" s="32">
        <v>114.4</v>
      </c>
      <c r="BT183" s="32">
        <v>75.400000000000006</v>
      </c>
      <c r="BU183" s="32">
        <v>96.3</v>
      </c>
      <c r="BV183" s="32">
        <v>96.3</v>
      </c>
      <c r="BW183" s="32">
        <v>133.5</v>
      </c>
      <c r="BX183" s="32">
        <v>38.5</v>
      </c>
      <c r="BY183" s="32">
        <v>87.6</v>
      </c>
      <c r="BZ183" s="32">
        <v>84.2</v>
      </c>
      <c r="CA183" s="32">
        <v>89.1</v>
      </c>
      <c r="CB183" s="32">
        <v>106.2</v>
      </c>
      <c r="CC183" s="32">
        <v>77.099999999999994</v>
      </c>
      <c r="CD183" s="32">
        <v>23.5</v>
      </c>
      <c r="CE183" s="32">
        <v>83.1</v>
      </c>
      <c r="CF183" s="32">
        <v>81.3</v>
      </c>
      <c r="CG183" s="32">
        <v>95</v>
      </c>
      <c r="CH183" s="32">
        <v>96.4</v>
      </c>
      <c r="CI183" s="32">
        <v>102.3</v>
      </c>
      <c r="CJ183" s="32">
        <v>95.1</v>
      </c>
      <c r="CK183" s="32">
        <v>97.1</v>
      </c>
      <c r="CL183" s="32">
        <v>93.4</v>
      </c>
      <c r="CM183" s="32">
        <v>104</v>
      </c>
      <c r="CN183" s="32">
        <v>144.5</v>
      </c>
      <c r="CO183" s="32">
        <v>94.2</v>
      </c>
      <c r="CP183" s="32">
        <v>151.69999999999999</v>
      </c>
      <c r="CQ183" s="32">
        <v>80.099999999999994</v>
      </c>
      <c r="CR183" s="32">
        <v>97.2</v>
      </c>
      <c r="CS183" s="32">
        <v>111.8</v>
      </c>
      <c r="CT183" s="32">
        <v>91.2</v>
      </c>
      <c r="CU183" s="32">
        <v>81</v>
      </c>
      <c r="CV183" s="32">
        <v>95.5</v>
      </c>
      <c r="CW183" s="32">
        <v>44.6</v>
      </c>
      <c r="CX183" s="32">
        <v>93.1</v>
      </c>
      <c r="CY183" s="32">
        <v>103.6</v>
      </c>
      <c r="CZ183" s="32">
        <v>87.6</v>
      </c>
      <c r="DA183" s="32">
        <v>71.099999999999994</v>
      </c>
      <c r="DB183" s="32">
        <v>121.6</v>
      </c>
      <c r="DC183" s="32">
        <v>13.1</v>
      </c>
      <c r="DD183" s="32">
        <v>13.1</v>
      </c>
      <c r="DE183" s="32">
        <v>68.599999999999994</v>
      </c>
      <c r="DF183" s="32">
        <v>67.3</v>
      </c>
      <c r="DG183" s="32">
        <v>75.2</v>
      </c>
      <c r="DH183" s="32">
        <v>97</v>
      </c>
      <c r="DI183" s="32">
        <v>151.5</v>
      </c>
      <c r="DJ183" s="32">
        <v>68</v>
      </c>
      <c r="DK183" s="32">
        <v>68</v>
      </c>
      <c r="DL183" s="32">
        <v>53.9</v>
      </c>
      <c r="DM183" s="32">
        <v>79.599999999999994</v>
      </c>
      <c r="DN183" s="32">
        <v>78</v>
      </c>
      <c r="DO183" s="32">
        <v>80.7</v>
      </c>
      <c r="DP183" s="32">
        <v>66.099999999999994</v>
      </c>
      <c r="DQ183" s="32">
        <v>70.400000000000006</v>
      </c>
      <c r="DR183" s="32">
        <v>71.5</v>
      </c>
      <c r="DS183" s="32">
        <v>70.8</v>
      </c>
      <c r="DT183" s="32">
        <v>67.8</v>
      </c>
      <c r="DU183" s="32">
        <v>71.5</v>
      </c>
      <c r="DV183" s="32">
        <v>86.2</v>
      </c>
      <c r="DW183" s="32">
        <v>57</v>
      </c>
      <c r="DX183" s="32">
        <v>60.2</v>
      </c>
      <c r="DY183" s="32">
        <v>81.8</v>
      </c>
      <c r="DZ183" s="32">
        <v>108.1</v>
      </c>
      <c r="EA183" s="32">
        <v>108.1</v>
      </c>
      <c r="EB183" s="32">
        <v>61.6</v>
      </c>
      <c r="EC183" s="32">
        <v>61.8</v>
      </c>
      <c r="ED183" s="32">
        <v>61.7</v>
      </c>
      <c r="EE183" s="32">
        <v>64.5</v>
      </c>
      <c r="EF183" s="32">
        <v>55.6</v>
      </c>
      <c r="EG183" s="32">
        <v>68.8</v>
      </c>
      <c r="EH183" s="32">
        <v>82.6</v>
      </c>
      <c r="EI183" s="32">
        <v>63.9</v>
      </c>
      <c r="EJ183" s="32">
        <v>82</v>
      </c>
      <c r="EK183" s="32">
        <v>63.5</v>
      </c>
      <c r="EL183" s="32">
        <v>74.7</v>
      </c>
      <c r="EM183" s="32">
        <v>62.7</v>
      </c>
      <c r="EN183" s="32">
        <v>62</v>
      </c>
      <c r="EO183" s="32">
        <v>89.8</v>
      </c>
      <c r="EP183" s="32">
        <v>90.2</v>
      </c>
      <c r="EQ183" s="32">
        <v>90.2</v>
      </c>
      <c r="ER183" s="32">
        <v>84.3</v>
      </c>
      <c r="ES183" s="32">
        <v>84.3</v>
      </c>
      <c r="ET183" s="32">
        <v>96.2</v>
      </c>
      <c r="EU183" s="32">
        <v>105.8</v>
      </c>
      <c r="EV183" s="32">
        <v>105.8</v>
      </c>
      <c r="EW183" s="32">
        <v>87.4</v>
      </c>
      <c r="EX183" s="32">
        <v>98.5</v>
      </c>
      <c r="EY183" s="32">
        <v>78.599999999999994</v>
      </c>
      <c r="EZ183" s="32">
        <v>91.1</v>
      </c>
      <c r="FA183" s="32">
        <v>103.2</v>
      </c>
      <c r="FB183" s="32">
        <v>114.3</v>
      </c>
      <c r="FC183" s="32">
        <v>91.2</v>
      </c>
      <c r="FD183" s="32">
        <v>102</v>
      </c>
      <c r="FE183" s="32">
        <v>162.1</v>
      </c>
      <c r="FF183" s="32">
        <v>90.8</v>
      </c>
      <c r="FG183" s="32">
        <v>81</v>
      </c>
      <c r="FH183" s="32">
        <v>83.4</v>
      </c>
      <c r="FI183" s="32">
        <v>99.1</v>
      </c>
      <c r="FJ183" s="32">
        <v>77.7</v>
      </c>
      <c r="FK183" s="32">
        <v>109</v>
      </c>
      <c r="FL183" s="32">
        <v>109</v>
      </c>
    </row>
    <row r="184" spans="1:168" x14ac:dyDescent="0.2">
      <c r="A184" s="34" t="s">
        <v>1164</v>
      </c>
      <c r="B184" s="32">
        <v>83.4</v>
      </c>
      <c r="C184" s="32">
        <v>99.5</v>
      </c>
      <c r="D184" s="32">
        <v>88.3</v>
      </c>
      <c r="E184" s="32">
        <v>90.4</v>
      </c>
      <c r="F184" s="32">
        <v>120.8</v>
      </c>
      <c r="G184" s="32">
        <v>2519.5</v>
      </c>
      <c r="H184" s="32">
        <v>127.4</v>
      </c>
      <c r="I184" s="32">
        <v>74.2</v>
      </c>
      <c r="J184" s="32">
        <v>87.6</v>
      </c>
      <c r="K184" s="32">
        <v>83.8</v>
      </c>
      <c r="L184" s="32">
        <v>78.400000000000006</v>
      </c>
      <c r="M184" s="32">
        <v>68.8</v>
      </c>
      <c r="N184" s="32">
        <v>91.2</v>
      </c>
      <c r="O184" s="32">
        <v>118.2</v>
      </c>
      <c r="P184" s="32">
        <v>137</v>
      </c>
      <c r="Q184" s="32">
        <v>73.099999999999994</v>
      </c>
      <c r="R184" s="32">
        <v>66.2</v>
      </c>
      <c r="S184" s="32">
        <v>88.2</v>
      </c>
      <c r="T184" s="32">
        <v>134.19999999999999</v>
      </c>
      <c r="U184" s="32">
        <v>84.6</v>
      </c>
      <c r="V184" s="32">
        <v>113.2</v>
      </c>
      <c r="W184" s="32">
        <v>55.8</v>
      </c>
      <c r="X184" s="32">
        <v>47.6</v>
      </c>
      <c r="Y184" s="32">
        <v>59.1</v>
      </c>
      <c r="Z184" s="32">
        <v>119.6</v>
      </c>
      <c r="AA184" s="32">
        <v>94.3</v>
      </c>
      <c r="AB184" s="32">
        <v>85.5</v>
      </c>
      <c r="AC184" s="32">
        <v>83.4</v>
      </c>
      <c r="AD184" s="32">
        <v>113.9</v>
      </c>
      <c r="AE184" s="32">
        <v>24</v>
      </c>
      <c r="AF184" s="32">
        <v>24</v>
      </c>
      <c r="AG184" s="32">
        <v>75.400000000000006</v>
      </c>
      <c r="AH184" s="32">
        <v>75.400000000000006</v>
      </c>
      <c r="AI184" s="32">
        <v>83.1</v>
      </c>
      <c r="AJ184" s="32">
        <v>68.7</v>
      </c>
      <c r="AK184" s="32">
        <v>100.9</v>
      </c>
      <c r="AL184" s="32">
        <v>60.4</v>
      </c>
      <c r="AM184" s="32">
        <v>63.3</v>
      </c>
      <c r="AN184" s="32">
        <v>115</v>
      </c>
      <c r="AO184" s="32">
        <v>90.4</v>
      </c>
      <c r="AP184" s="32">
        <v>90.4</v>
      </c>
      <c r="AQ184" s="32">
        <v>90.4</v>
      </c>
      <c r="AR184" s="32">
        <v>89.6</v>
      </c>
      <c r="AS184" s="32">
        <v>93.9</v>
      </c>
      <c r="AT184" s="32">
        <v>80.400000000000006</v>
      </c>
      <c r="AU184" s="32">
        <v>106.6</v>
      </c>
      <c r="AV184" s="32">
        <v>88.3</v>
      </c>
      <c r="AW184" s="32">
        <v>104.1</v>
      </c>
      <c r="AX184" s="32">
        <v>202.5</v>
      </c>
      <c r="AY184" s="32">
        <v>75.599999999999994</v>
      </c>
      <c r="AZ184" s="32">
        <v>88.7</v>
      </c>
      <c r="BA184" s="32">
        <v>78.3</v>
      </c>
      <c r="BB184" s="32">
        <v>78.3</v>
      </c>
      <c r="BC184" s="32">
        <v>114.5</v>
      </c>
      <c r="BD184" s="32">
        <v>114.5</v>
      </c>
      <c r="BE184" s="32">
        <v>110.8</v>
      </c>
      <c r="BF184" s="32">
        <v>110.8</v>
      </c>
      <c r="BG184" s="32">
        <v>103.2</v>
      </c>
      <c r="BH184" s="32">
        <v>92.6</v>
      </c>
      <c r="BI184" s="32">
        <v>113.8</v>
      </c>
      <c r="BJ184" s="32">
        <v>37.4</v>
      </c>
      <c r="BK184" s="32">
        <v>148</v>
      </c>
      <c r="BL184" s="32">
        <v>102.6</v>
      </c>
      <c r="BM184" s="32">
        <v>102.3</v>
      </c>
      <c r="BN184" s="32">
        <v>116.5</v>
      </c>
      <c r="BO184" s="32">
        <v>87.9</v>
      </c>
      <c r="BP184" s="32">
        <v>146</v>
      </c>
      <c r="BQ184" s="32">
        <v>87.7</v>
      </c>
      <c r="BR184" s="32">
        <v>98.4</v>
      </c>
      <c r="BS184" s="32">
        <v>126.3</v>
      </c>
      <c r="BT184" s="32">
        <v>75.7</v>
      </c>
      <c r="BU184" s="32">
        <v>94.5</v>
      </c>
      <c r="BV184" s="32">
        <v>94.5</v>
      </c>
      <c r="BW184" s="32">
        <v>135.19999999999999</v>
      </c>
      <c r="BX184" s="32">
        <v>34.5</v>
      </c>
      <c r="BY184" s="32">
        <v>88.1</v>
      </c>
      <c r="BZ184" s="32">
        <v>83</v>
      </c>
      <c r="CA184" s="32">
        <v>90.4</v>
      </c>
      <c r="CB184" s="32">
        <v>114</v>
      </c>
      <c r="CC184" s="32">
        <v>73.5</v>
      </c>
      <c r="CD184" s="32">
        <v>23.9</v>
      </c>
      <c r="CE184" s="32">
        <v>84.9</v>
      </c>
      <c r="CF184" s="32">
        <v>82.5</v>
      </c>
      <c r="CG184" s="32">
        <v>94.9</v>
      </c>
      <c r="CH184" s="32">
        <v>95.6</v>
      </c>
      <c r="CI184" s="32">
        <v>101</v>
      </c>
      <c r="CJ184" s="32">
        <v>94.4</v>
      </c>
      <c r="CK184" s="32">
        <v>96.3</v>
      </c>
      <c r="CL184" s="32">
        <v>96.1</v>
      </c>
      <c r="CM184" s="32">
        <v>105.7</v>
      </c>
      <c r="CN184" s="32">
        <v>146.5</v>
      </c>
      <c r="CO184" s="32">
        <v>95.8</v>
      </c>
      <c r="CP184" s="32">
        <v>154.30000000000001</v>
      </c>
      <c r="CQ184" s="32">
        <v>78.5</v>
      </c>
      <c r="CR184" s="32">
        <v>100.4</v>
      </c>
      <c r="CS184" s="32">
        <v>119.5</v>
      </c>
      <c r="CT184" s="32">
        <v>89.6</v>
      </c>
      <c r="CU184" s="32">
        <v>79.099999999999994</v>
      </c>
      <c r="CV184" s="32">
        <v>94.2</v>
      </c>
      <c r="CW184" s="32">
        <v>45.8</v>
      </c>
      <c r="CX184" s="32">
        <v>94.7</v>
      </c>
      <c r="CY184" s="32">
        <v>112.2</v>
      </c>
      <c r="CZ184" s="32">
        <v>85.4</v>
      </c>
      <c r="DA184" s="32">
        <v>68</v>
      </c>
      <c r="DB184" s="32">
        <v>121.3</v>
      </c>
      <c r="DC184" s="32">
        <v>13.5</v>
      </c>
      <c r="DD184" s="32">
        <v>13.5</v>
      </c>
      <c r="DE184" s="32">
        <v>70.8</v>
      </c>
      <c r="DF184" s="32">
        <v>69.400000000000006</v>
      </c>
      <c r="DG184" s="32">
        <v>78.099999999999994</v>
      </c>
      <c r="DH184" s="32">
        <v>100.9</v>
      </c>
      <c r="DI184" s="32">
        <v>157.30000000000001</v>
      </c>
      <c r="DJ184" s="32">
        <v>68.8</v>
      </c>
      <c r="DK184" s="32">
        <v>68.8</v>
      </c>
      <c r="DL184" s="32">
        <v>58.3</v>
      </c>
      <c r="DM184" s="32">
        <v>80.7</v>
      </c>
      <c r="DN184" s="32">
        <v>80.2</v>
      </c>
      <c r="DO184" s="32">
        <v>81.400000000000006</v>
      </c>
      <c r="DP184" s="32">
        <v>67.5</v>
      </c>
      <c r="DQ184" s="32">
        <v>72.400000000000006</v>
      </c>
      <c r="DR184" s="32">
        <v>73.2</v>
      </c>
      <c r="DS184" s="32">
        <v>72.099999999999994</v>
      </c>
      <c r="DT184" s="32">
        <v>69.2</v>
      </c>
      <c r="DU184" s="32">
        <v>72.3</v>
      </c>
      <c r="DV184" s="32">
        <v>84.4</v>
      </c>
      <c r="DW184" s="32">
        <v>60.1</v>
      </c>
      <c r="DX184" s="32">
        <v>63.1</v>
      </c>
      <c r="DY184" s="32">
        <v>82.5</v>
      </c>
      <c r="DZ184" s="32">
        <v>109.9</v>
      </c>
      <c r="EA184" s="32">
        <v>109.9</v>
      </c>
      <c r="EB184" s="32">
        <v>64.400000000000006</v>
      </c>
      <c r="EC184" s="32">
        <v>66.2</v>
      </c>
      <c r="ED184" s="32">
        <v>62.4</v>
      </c>
      <c r="EE184" s="32">
        <v>64.2</v>
      </c>
      <c r="EF184" s="32">
        <v>58.4</v>
      </c>
      <c r="EG184" s="32">
        <v>71.099999999999994</v>
      </c>
      <c r="EH184" s="32">
        <v>84.7</v>
      </c>
      <c r="EI184" s="32">
        <v>67.8</v>
      </c>
      <c r="EJ184" s="32">
        <v>85.7</v>
      </c>
      <c r="EK184" s="32">
        <v>64.5</v>
      </c>
      <c r="EL184" s="32">
        <v>72.3</v>
      </c>
      <c r="EM184" s="32">
        <v>62.1</v>
      </c>
      <c r="EN184" s="32">
        <v>64.7</v>
      </c>
      <c r="EO184" s="32">
        <v>90.1</v>
      </c>
      <c r="EP184" s="32">
        <v>90</v>
      </c>
      <c r="EQ184" s="32">
        <v>90</v>
      </c>
      <c r="ER184" s="32">
        <v>84.5</v>
      </c>
      <c r="ES184" s="32">
        <v>84.5</v>
      </c>
      <c r="ET184" s="32">
        <v>96.9</v>
      </c>
      <c r="EU184" s="32">
        <v>107</v>
      </c>
      <c r="EV184" s="32">
        <v>107</v>
      </c>
      <c r="EW184" s="32">
        <v>87.1</v>
      </c>
      <c r="EX184" s="32">
        <v>98.9</v>
      </c>
      <c r="EY184" s="32">
        <v>77.8</v>
      </c>
      <c r="EZ184" s="32">
        <v>91.9</v>
      </c>
      <c r="FA184" s="32">
        <v>101.1</v>
      </c>
      <c r="FB184" s="32">
        <v>112</v>
      </c>
      <c r="FC184" s="32">
        <v>90.3</v>
      </c>
      <c r="FD184" s="32">
        <v>101.4</v>
      </c>
      <c r="FE184" s="32">
        <v>156.30000000000001</v>
      </c>
      <c r="FF184" s="32">
        <v>88.8</v>
      </c>
      <c r="FG184" s="32">
        <v>83.7</v>
      </c>
      <c r="FH184" s="32">
        <v>83.4</v>
      </c>
      <c r="FI184" s="32">
        <v>98</v>
      </c>
      <c r="FJ184" s="32">
        <v>82</v>
      </c>
      <c r="FK184" s="32">
        <v>112.7</v>
      </c>
      <c r="FL184" s="32">
        <v>112.7</v>
      </c>
    </row>
    <row r="185" spans="1:168" x14ac:dyDescent="0.2">
      <c r="A185" s="34" t="s">
        <v>1165</v>
      </c>
      <c r="B185" s="32">
        <v>84.1</v>
      </c>
      <c r="C185" s="32">
        <v>95.7</v>
      </c>
      <c r="D185" s="32">
        <v>89.9</v>
      </c>
      <c r="E185" s="32">
        <v>91.2</v>
      </c>
      <c r="F185" s="32">
        <v>115.9</v>
      </c>
      <c r="G185" s="32">
        <v>2422.1</v>
      </c>
      <c r="H185" s="32">
        <v>120.9</v>
      </c>
      <c r="I185" s="32">
        <v>77.5</v>
      </c>
      <c r="J185" s="32">
        <v>89.1</v>
      </c>
      <c r="K185" s="32">
        <v>85.2</v>
      </c>
      <c r="L185" s="32">
        <v>79.7</v>
      </c>
      <c r="M185" s="32">
        <v>65.7</v>
      </c>
      <c r="N185" s="32">
        <v>88.4</v>
      </c>
      <c r="O185" s="32">
        <v>125.3</v>
      </c>
      <c r="P185" s="32">
        <v>144.30000000000001</v>
      </c>
      <c r="Q185" s="32">
        <v>76.599999999999994</v>
      </c>
      <c r="R185" s="32">
        <v>68.400000000000006</v>
      </c>
      <c r="S185" s="32">
        <v>91.8</v>
      </c>
      <c r="T185" s="32">
        <v>135.9</v>
      </c>
      <c r="U185" s="32">
        <v>86.4</v>
      </c>
      <c r="V185" s="32">
        <v>116</v>
      </c>
      <c r="W185" s="32">
        <v>60.1</v>
      </c>
      <c r="X185" s="32">
        <v>50.2</v>
      </c>
      <c r="Y185" s="32">
        <v>64.8</v>
      </c>
      <c r="Z185" s="32">
        <v>141.1</v>
      </c>
      <c r="AA185" s="32">
        <v>96.9</v>
      </c>
      <c r="AB185" s="32">
        <v>85.3</v>
      </c>
      <c r="AC185" s="32">
        <v>89.6</v>
      </c>
      <c r="AD185" s="32">
        <v>114.8</v>
      </c>
      <c r="AE185" s="32">
        <v>21.3</v>
      </c>
      <c r="AF185" s="32">
        <v>21.3</v>
      </c>
      <c r="AG185" s="32">
        <v>83.1</v>
      </c>
      <c r="AH185" s="32">
        <v>83.1</v>
      </c>
      <c r="AI185" s="32">
        <v>95.4</v>
      </c>
      <c r="AJ185" s="32">
        <v>85.3</v>
      </c>
      <c r="AK185" s="32">
        <v>101.4</v>
      </c>
      <c r="AL185" s="32">
        <v>64.2</v>
      </c>
      <c r="AM185" s="32">
        <v>64.599999999999994</v>
      </c>
      <c r="AN185" s="32">
        <v>114.9</v>
      </c>
      <c r="AO185" s="32">
        <v>90.2</v>
      </c>
      <c r="AP185" s="32">
        <v>90.2</v>
      </c>
      <c r="AQ185" s="32">
        <v>91.6</v>
      </c>
      <c r="AR185" s="32">
        <v>90.8</v>
      </c>
      <c r="AS185" s="32">
        <v>95.2</v>
      </c>
      <c r="AT185" s="32">
        <v>81.400000000000006</v>
      </c>
      <c r="AU185" s="32">
        <v>108.3</v>
      </c>
      <c r="AV185" s="32">
        <v>92.7</v>
      </c>
      <c r="AW185" s="32">
        <v>101.8</v>
      </c>
      <c r="AX185" s="32">
        <v>186.4</v>
      </c>
      <c r="AY185" s="32">
        <v>82.4</v>
      </c>
      <c r="AZ185" s="32">
        <v>95.1</v>
      </c>
      <c r="BA185" s="32">
        <v>76.900000000000006</v>
      </c>
      <c r="BB185" s="32">
        <v>76.900000000000006</v>
      </c>
      <c r="BC185" s="32">
        <v>112.9</v>
      </c>
      <c r="BD185" s="32">
        <v>112.9</v>
      </c>
      <c r="BE185" s="32">
        <v>108.8</v>
      </c>
      <c r="BF185" s="32">
        <v>108.8</v>
      </c>
      <c r="BG185" s="32">
        <v>102.1</v>
      </c>
      <c r="BH185" s="32">
        <v>94.9</v>
      </c>
      <c r="BI185" s="32">
        <v>108.8</v>
      </c>
      <c r="BJ185" s="32">
        <v>36.9</v>
      </c>
      <c r="BK185" s="32">
        <v>140</v>
      </c>
      <c r="BL185" s="32">
        <v>103.2</v>
      </c>
      <c r="BM185" s="32">
        <v>103.5</v>
      </c>
      <c r="BN185" s="32">
        <v>117.1</v>
      </c>
      <c r="BO185" s="32">
        <v>92.2</v>
      </c>
      <c r="BP185" s="32">
        <v>142.30000000000001</v>
      </c>
      <c r="BQ185" s="32">
        <v>89.4</v>
      </c>
      <c r="BR185" s="32">
        <v>86.8</v>
      </c>
      <c r="BS185" s="32">
        <v>137.4</v>
      </c>
      <c r="BT185" s="32">
        <v>77.099999999999994</v>
      </c>
      <c r="BU185" s="32">
        <v>96.2</v>
      </c>
      <c r="BV185" s="32">
        <v>96.2</v>
      </c>
      <c r="BW185" s="32">
        <v>137.30000000000001</v>
      </c>
      <c r="BX185" s="32">
        <v>35.4</v>
      </c>
      <c r="BY185" s="32">
        <v>89.3</v>
      </c>
      <c r="BZ185" s="32">
        <v>83.3</v>
      </c>
      <c r="CA185" s="32">
        <v>91.9</v>
      </c>
      <c r="CB185" s="32">
        <v>117.1</v>
      </c>
      <c r="CC185" s="32">
        <v>73.8</v>
      </c>
      <c r="CD185" s="32">
        <v>28.1</v>
      </c>
      <c r="CE185" s="32">
        <v>88.4</v>
      </c>
      <c r="CF185" s="32">
        <v>83</v>
      </c>
      <c r="CG185" s="32">
        <v>95.6</v>
      </c>
      <c r="CH185" s="32">
        <v>96.1</v>
      </c>
      <c r="CI185" s="32">
        <v>97.4</v>
      </c>
      <c r="CJ185" s="32">
        <v>96.8</v>
      </c>
      <c r="CK185" s="32">
        <v>96.6</v>
      </c>
      <c r="CL185" s="32">
        <v>97.4</v>
      </c>
      <c r="CM185" s="32">
        <v>105.8</v>
      </c>
      <c r="CN185" s="32">
        <v>150.1</v>
      </c>
      <c r="CO185" s="32">
        <v>95.3</v>
      </c>
      <c r="CP185" s="32">
        <v>156.6</v>
      </c>
      <c r="CQ185" s="32">
        <v>82.8</v>
      </c>
      <c r="CR185" s="32">
        <v>101.2</v>
      </c>
      <c r="CS185" s="32">
        <v>124.3</v>
      </c>
      <c r="CT185" s="32">
        <v>90.3</v>
      </c>
      <c r="CU185" s="32">
        <v>80</v>
      </c>
      <c r="CV185" s="32">
        <v>94.7</v>
      </c>
      <c r="CW185" s="32">
        <v>45.6</v>
      </c>
      <c r="CX185" s="32">
        <v>95.1</v>
      </c>
      <c r="CY185" s="32">
        <v>108.3</v>
      </c>
      <c r="CZ185" s="32">
        <v>88.2</v>
      </c>
      <c r="DA185" s="32">
        <v>72.099999999999994</v>
      </c>
      <c r="DB185" s="32">
        <v>121.2</v>
      </c>
      <c r="DC185" s="32">
        <v>13.5</v>
      </c>
      <c r="DD185" s="32">
        <v>13.5</v>
      </c>
      <c r="DE185" s="32">
        <v>69.7</v>
      </c>
      <c r="DF185" s="32">
        <v>67.7</v>
      </c>
      <c r="DG185" s="32">
        <v>80.400000000000006</v>
      </c>
      <c r="DH185" s="32">
        <v>104</v>
      </c>
      <c r="DI185" s="32">
        <v>160.9</v>
      </c>
      <c r="DJ185" s="32">
        <v>70.5</v>
      </c>
      <c r="DK185" s="32">
        <v>70.5</v>
      </c>
      <c r="DL185" s="32">
        <v>61.8</v>
      </c>
      <c r="DM185" s="32">
        <v>81.5</v>
      </c>
      <c r="DN185" s="32">
        <v>80.5</v>
      </c>
      <c r="DO185" s="32">
        <v>82.1</v>
      </c>
      <c r="DP185" s="32">
        <v>76.900000000000006</v>
      </c>
      <c r="DQ185" s="32">
        <v>71.900000000000006</v>
      </c>
      <c r="DR185" s="32">
        <v>73.5</v>
      </c>
      <c r="DS185" s="32">
        <v>73.2</v>
      </c>
      <c r="DT185" s="32">
        <v>70.5</v>
      </c>
      <c r="DU185" s="32">
        <v>74.099999999999994</v>
      </c>
      <c r="DV185" s="32">
        <v>86.4</v>
      </c>
      <c r="DW185" s="32">
        <v>61.7</v>
      </c>
      <c r="DX185" s="32">
        <v>63.3</v>
      </c>
      <c r="DY185" s="32">
        <v>83.2</v>
      </c>
      <c r="DZ185" s="32">
        <v>111.5</v>
      </c>
      <c r="EA185" s="32">
        <v>111.5</v>
      </c>
      <c r="EB185" s="32">
        <v>61.7</v>
      </c>
      <c r="EC185" s="32">
        <v>61.9</v>
      </c>
      <c r="ED185" s="32">
        <v>61.8</v>
      </c>
      <c r="EE185" s="32">
        <v>63</v>
      </c>
      <c r="EF185" s="32">
        <v>59.3</v>
      </c>
      <c r="EG185" s="32">
        <v>69.400000000000006</v>
      </c>
      <c r="EH185" s="32">
        <v>81.7</v>
      </c>
      <c r="EI185" s="32">
        <v>67.7</v>
      </c>
      <c r="EJ185" s="32">
        <v>85.8</v>
      </c>
      <c r="EK185" s="32">
        <v>62</v>
      </c>
      <c r="EL185" s="32">
        <v>68.900000000000006</v>
      </c>
      <c r="EM185" s="32">
        <v>62.5</v>
      </c>
      <c r="EN185" s="32">
        <v>60.6</v>
      </c>
      <c r="EO185" s="32">
        <v>90.4</v>
      </c>
      <c r="EP185" s="32">
        <v>89.9</v>
      </c>
      <c r="EQ185" s="32">
        <v>89.9</v>
      </c>
      <c r="ER185" s="32">
        <v>84.6</v>
      </c>
      <c r="ES185" s="32">
        <v>84.6</v>
      </c>
      <c r="ET185" s="32">
        <v>97.7</v>
      </c>
      <c r="EU185" s="32">
        <v>108.2</v>
      </c>
      <c r="EV185" s="32">
        <v>108.2</v>
      </c>
      <c r="EW185" s="32">
        <v>87.2</v>
      </c>
      <c r="EX185" s="32">
        <v>99.6</v>
      </c>
      <c r="EY185" s="32">
        <v>77.2</v>
      </c>
      <c r="EZ185" s="32">
        <v>92.3</v>
      </c>
      <c r="FA185" s="32">
        <v>100.2</v>
      </c>
      <c r="FB185" s="32">
        <v>110.2</v>
      </c>
      <c r="FC185" s="32">
        <v>88.8</v>
      </c>
      <c r="FD185" s="32">
        <v>104.1</v>
      </c>
      <c r="FE185" s="32">
        <v>151.30000000000001</v>
      </c>
      <c r="FF185" s="32">
        <v>89.1</v>
      </c>
      <c r="FG185" s="32">
        <v>84.8</v>
      </c>
      <c r="FH185" s="32">
        <v>83.1</v>
      </c>
      <c r="FI185" s="32">
        <v>102.2</v>
      </c>
      <c r="FJ185" s="32">
        <v>83.4</v>
      </c>
      <c r="FK185" s="32">
        <v>116.6</v>
      </c>
      <c r="FL185" s="32">
        <v>116.6</v>
      </c>
    </row>
    <row r="186" spans="1:168" x14ac:dyDescent="0.2">
      <c r="A186" s="34" t="s">
        <v>1166</v>
      </c>
      <c r="B186" s="32">
        <v>84.5</v>
      </c>
      <c r="C186" s="32">
        <v>92.1</v>
      </c>
      <c r="D186" s="32">
        <v>88.4</v>
      </c>
      <c r="E186" s="32">
        <v>90.8</v>
      </c>
      <c r="F186" s="32">
        <v>115.4</v>
      </c>
      <c r="G186" s="32">
        <v>2236.5</v>
      </c>
      <c r="H186" s="32">
        <v>120.2</v>
      </c>
      <c r="I186" s="32">
        <v>78.8</v>
      </c>
      <c r="J186" s="32">
        <v>88.5</v>
      </c>
      <c r="K186" s="32">
        <v>81.599999999999994</v>
      </c>
      <c r="L186" s="32">
        <v>78.2</v>
      </c>
      <c r="M186" s="32">
        <v>61.1</v>
      </c>
      <c r="N186" s="32">
        <v>88.7</v>
      </c>
      <c r="O186" s="32">
        <v>132.80000000000001</v>
      </c>
      <c r="P186" s="32">
        <v>150.4</v>
      </c>
      <c r="Q186" s="32">
        <v>86.4</v>
      </c>
      <c r="R186" s="32">
        <v>64.599999999999994</v>
      </c>
      <c r="S186" s="32">
        <v>91.2</v>
      </c>
      <c r="T186" s="32">
        <v>116.2</v>
      </c>
      <c r="U186" s="32">
        <v>83.4</v>
      </c>
      <c r="V186" s="32">
        <v>100.9</v>
      </c>
      <c r="W186" s="32">
        <v>64.599999999999994</v>
      </c>
      <c r="X186" s="32">
        <v>52.3</v>
      </c>
      <c r="Y186" s="32">
        <v>77.3</v>
      </c>
      <c r="Z186" s="32">
        <v>124.6</v>
      </c>
      <c r="AA186" s="32">
        <v>93.8</v>
      </c>
      <c r="AB186" s="32">
        <v>83.1</v>
      </c>
      <c r="AC186" s="32">
        <v>89</v>
      </c>
      <c r="AD186" s="32">
        <v>108.3</v>
      </c>
      <c r="AE186" s="32">
        <v>22.6</v>
      </c>
      <c r="AF186" s="32">
        <v>22.6</v>
      </c>
      <c r="AG186" s="32">
        <v>79.599999999999994</v>
      </c>
      <c r="AH186" s="32">
        <v>79.599999999999994</v>
      </c>
      <c r="AI186" s="32">
        <v>95.2</v>
      </c>
      <c r="AJ186" s="32">
        <v>76.2</v>
      </c>
      <c r="AK186" s="32">
        <v>105.5</v>
      </c>
      <c r="AL186" s="32">
        <v>66.2</v>
      </c>
      <c r="AM186" s="32">
        <v>61.4</v>
      </c>
      <c r="AN186" s="32">
        <v>123.5</v>
      </c>
      <c r="AO186" s="32">
        <v>96.1</v>
      </c>
      <c r="AP186" s="32">
        <v>96.1</v>
      </c>
      <c r="AQ186" s="32">
        <v>92.8</v>
      </c>
      <c r="AR186" s="32">
        <v>94.2</v>
      </c>
      <c r="AS186" s="32">
        <v>93.1</v>
      </c>
      <c r="AT186" s="32">
        <v>80.400000000000006</v>
      </c>
      <c r="AU186" s="32">
        <v>104.8</v>
      </c>
      <c r="AV186" s="32">
        <v>92.3</v>
      </c>
      <c r="AW186" s="32">
        <v>108.3</v>
      </c>
      <c r="AX186" s="32">
        <v>192</v>
      </c>
      <c r="AY186" s="32">
        <v>92.6</v>
      </c>
      <c r="AZ186" s="32">
        <v>92.8</v>
      </c>
      <c r="BA186" s="32">
        <v>78.3</v>
      </c>
      <c r="BB186" s="32">
        <v>78.3</v>
      </c>
      <c r="BC186" s="32">
        <v>125.5</v>
      </c>
      <c r="BD186" s="32">
        <v>125.5</v>
      </c>
      <c r="BE186" s="32">
        <v>106.8</v>
      </c>
      <c r="BF186" s="32">
        <v>106.8</v>
      </c>
      <c r="BG186" s="32">
        <v>100.3</v>
      </c>
      <c r="BH186" s="32">
        <v>94.8</v>
      </c>
      <c r="BI186" s="32">
        <v>104.9</v>
      </c>
      <c r="BJ186" s="32">
        <v>36.200000000000003</v>
      </c>
      <c r="BK186" s="32">
        <v>133.30000000000001</v>
      </c>
      <c r="BL186" s="32">
        <v>109.4</v>
      </c>
      <c r="BM186" s="32">
        <v>99.5</v>
      </c>
      <c r="BN186" s="32">
        <v>111.3</v>
      </c>
      <c r="BO186" s="32">
        <v>82.7</v>
      </c>
      <c r="BP186" s="32">
        <v>141.1</v>
      </c>
      <c r="BQ186" s="32">
        <v>87.4</v>
      </c>
      <c r="BR186" s="32">
        <v>78.5</v>
      </c>
      <c r="BS186" s="32">
        <v>143.80000000000001</v>
      </c>
      <c r="BT186" s="32">
        <v>74.099999999999994</v>
      </c>
      <c r="BU186" s="32">
        <v>96</v>
      </c>
      <c r="BV186" s="32">
        <v>96</v>
      </c>
      <c r="BW186" s="32">
        <v>138.4</v>
      </c>
      <c r="BX186" s="32">
        <v>34.299999999999997</v>
      </c>
      <c r="BY186" s="32">
        <v>90</v>
      </c>
      <c r="BZ186" s="32">
        <v>83.8</v>
      </c>
      <c r="CA186" s="32">
        <v>92.7</v>
      </c>
      <c r="CB186" s="32">
        <v>121.9</v>
      </c>
      <c r="CC186" s="32">
        <v>71.7</v>
      </c>
      <c r="CD186" s="32">
        <v>28</v>
      </c>
      <c r="CE186" s="32">
        <v>84.3</v>
      </c>
      <c r="CF186" s="32">
        <v>83.8</v>
      </c>
      <c r="CG186" s="32">
        <v>94.8</v>
      </c>
      <c r="CH186" s="32">
        <v>95.9</v>
      </c>
      <c r="CI186" s="32">
        <v>101.5</v>
      </c>
      <c r="CJ186" s="32">
        <v>94.2</v>
      </c>
      <c r="CK186" s="32">
        <v>97.1</v>
      </c>
      <c r="CL186" s="32">
        <v>94.6</v>
      </c>
      <c r="CM186" s="32">
        <v>105</v>
      </c>
      <c r="CN186" s="32">
        <v>157.19999999999999</v>
      </c>
      <c r="CO186" s="32">
        <v>93.4</v>
      </c>
      <c r="CP186" s="32">
        <v>158.5</v>
      </c>
      <c r="CQ186" s="32">
        <v>84.8</v>
      </c>
      <c r="CR186" s="32">
        <v>99.5</v>
      </c>
      <c r="CS186" s="32">
        <v>108.4</v>
      </c>
      <c r="CT186" s="32">
        <v>89.9</v>
      </c>
      <c r="CU186" s="32">
        <v>76.400000000000006</v>
      </c>
      <c r="CV186" s="32">
        <v>95.7</v>
      </c>
      <c r="CW186" s="32">
        <v>47.8</v>
      </c>
      <c r="CX186" s="32">
        <v>102.4</v>
      </c>
      <c r="CY186" s="32">
        <v>108.9</v>
      </c>
      <c r="CZ186" s="32">
        <v>99</v>
      </c>
      <c r="DA186" s="32">
        <v>91.2</v>
      </c>
      <c r="DB186" s="32">
        <v>113.9</v>
      </c>
      <c r="DC186" s="32">
        <v>13.8</v>
      </c>
      <c r="DD186" s="32">
        <v>13.8</v>
      </c>
      <c r="DE186" s="32">
        <v>73.7</v>
      </c>
      <c r="DF186" s="32">
        <v>71.5</v>
      </c>
      <c r="DG186" s="32">
        <v>85.4</v>
      </c>
      <c r="DH186" s="32">
        <v>106.5</v>
      </c>
      <c r="DI186" s="32">
        <v>170.5</v>
      </c>
      <c r="DJ186" s="32">
        <v>72.099999999999994</v>
      </c>
      <c r="DK186" s="32">
        <v>72.099999999999994</v>
      </c>
      <c r="DL186" s="32">
        <v>56.5</v>
      </c>
      <c r="DM186" s="32">
        <v>82.1</v>
      </c>
      <c r="DN186" s="32">
        <v>82.3</v>
      </c>
      <c r="DO186" s="32">
        <v>82.4</v>
      </c>
      <c r="DP186" s="32">
        <v>72.599999999999994</v>
      </c>
      <c r="DQ186" s="32">
        <v>73.8</v>
      </c>
      <c r="DR186" s="32">
        <v>74.599999999999994</v>
      </c>
      <c r="DS186" s="32">
        <v>72.7</v>
      </c>
      <c r="DT186" s="32">
        <v>70</v>
      </c>
      <c r="DU186" s="32">
        <v>72.900000000000006</v>
      </c>
      <c r="DV186" s="32">
        <v>86.8</v>
      </c>
      <c r="DW186" s="32">
        <v>59</v>
      </c>
      <c r="DX186" s="32">
        <v>64.099999999999994</v>
      </c>
      <c r="DY186" s="32">
        <v>82.6</v>
      </c>
      <c r="DZ186" s="32">
        <v>121.3</v>
      </c>
      <c r="EA186" s="32">
        <v>121.3</v>
      </c>
      <c r="EB186" s="32">
        <v>65.2</v>
      </c>
      <c r="EC186" s="32">
        <v>66.599999999999994</v>
      </c>
      <c r="ED186" s="32">
        <v>63.5</v>
      </c>
      <c r="EE186" s="32">
        <v>65.7</v>
      </c>
      <c r="EF186" s="32">
        <v>58.9</v>
      </c>
      <c r="EG186" s="32">
        <v>72.599999999999994</v>
      </c>
      <c r="EH186" s="32">
        <v>84.3</v>
      </c>
      <c r="EI186" s="32">
        <v>72.3</v>
      </c>
      <c r="EJ186" s="32">
        <v>83.3</v>
      </c>
      <c r="EK186" s="32">
        <v>65.5</v>
      </c>
      <c r="EL186" s="32">
        <v>75.7</v>
      </c>
      <c r="EM186" s="32">
        <v>64</v>
      </c>
      <c r="EN186" s="32">
        <v>64.7</v>
      </c>
      <c r="EO186" s="32">
        <v>90.6</v>
      </c>
      <c r="EP186" s="32">
        <v>89.6</v>
      </c>
      <c r="EQ186" s="32">
        <v>89.6</v>
      </c>
      <c r="ER186" s="32">
        <v>84.9</v>
      </c>
      <c r="ES186" s="32">
        <v>84.9</v>
      </c>
      <c r="ET186" s="32">
        <v>98.3</v>
      </c>
      <c r="EU186" s="32">
        <v>109.1</v>
      </c>
      <c r="EV186" s="32">
        <v>109.1</v>
      </c>
      <c r="EW186" s="32">
        <v>87.3</v>
      </c>
      <c r="EX186" s="32">
        <v>100.2</v>
      </c>
      <c r="EY186" s="32">
        <v>77.099999999999994</v>
      </c>
      <c r="EZ186" s="32">
        <v>90.3</v>
      </c>
      <c r="FA186" s="32">
        <v>98.8</v>
      </c>
      <c r="FB186" s="32">
        <v>109.2</v>
      </c>
      <c r="FC186" s="32">
        <v>90.1</v>
      </c>
      <c r="FD186" s="32">
        <v>101.3</v>
      </c>
      <c r="FE186" s="32">
        <v>147</v>
      </c>
      <c r="FF186" s="32">
        <v>87.2</v>
      </c>
      <c r="FG186" s="32">
        <v>81.7</v>
      </c>
      <c r="FH186" s="32">
        <v>83.8</v>
      </c>
      <c r="FI186" s="32">
        <v>92.8</v>
      </c>
      <c r="FJ186" s="32">
        <v>79.3</v>
      </c>
      <c r="FK186" s="32">
        <v>127.2</v>
      </c>
      <c r="FL186" s="32">
        <v>127.2</v>
      </c>
    </row>
    <row r="187" spans="1:168" x14ac:dyDescent="0.2">
      <c r="A187" s="34" t="s">
        <v>1167</v>
      </c>
      <c r="B187" s="32">
        <v>83.7</v>
      </c>
      <c r="C187" s="32">
        <v>88.5</v>
      </c>
      <c r="D187" s="32">
        <v>87.6</v>
      </c>
      <c r="E187" s="32">
        <v>90.4</v>
      </c>
      <c r="F187" s="32">
        <v>118.1</v>
      </c>
      <c r="G187" s="32">
        <v>2134.1</v>
      </c>
      <c r="H187" s="32">
        <v>122.4</v>
      </c>
      <c r="I187" s="32">
        <v>84.6</v>
      </c>
      <c r="J187" s="32">
        <v>88.7</v>
      </c>
      <c r="K187" s="32">
        <v>81.7</v>
      </c>
      <c r="L187" s="32">
        <v>78.3</v>
      </c>
      <c r="M187" s="32">
        <v>64.599999999999994</v>
      </c>
      <c r="N187" s="32">
        <v>86.3</v>
      </c>
      <c r="O187" s="32">
        <v>129.69999999999999</v>
      </c>
      <c r="P187" s="32">
        <v>151.4</v>
      </c>
      <c r="Q187" s="32">
        <v>84.1</v>
      </c>
      <c r="R187" s="32">
        <v>64.099999999999994</v>
      </c>
      <c r="S187" s="32">
        <v>89.9</v>
      </c>
      <c r="T187" s="32">
        <v>123.8</v>
      </c>
      <c r="U187" s="32">
        <v>85.1</v>
      </c>
      <c r="V187" s="32">
        <v>100.8</v>
      </c>
      <c r="W187" s="32">
        <v>65</v>
      </c>
      <c r="X187" s="32">
        <v>55.1</v>
      </c>
      <c r="Y187" s="32">
        <v>71</v>
      </c>
      <c r="Z187" s="32">
        <v>132.69999999999999</v>
      </c>
      <c r="AA187" s="32">
        <v>98</v>
      </c>
      <c r="AB187" s="32">
        <v>83</v>
      </c>
      <c r="AC187" s="32">
        <v>90.4</v>
      </c>
      <c r="AD187" s="32">
        <v>118.4</v>
      </c>
      <c r="AE187" s="32">
        <v>23.8</v>
      </c>
      <c r="AF187" s="32">
        <v>23.8</v>
      </c>
      <c r="AG187" s="32">
        <v>84.3</v>
      </c>
      <c r="AH187" s="32">
        <v>84.3</v>
      </c>
      <c r="AI187" s="32">
        <v>93.6</v>
      </c>
      <c r="AJ187" s="32">
        <v>84.7</v>
      </c>
      <c r="AK187" s="32">
        <v>113.5</v>
      </c>
      <c r="AL187" s="32">
        <v>62.9</v>
      </c>
      <c r="AM187" s="32">
        <v>64.3</v>
      </c>
      <c r="AN187" s="32">
        <v>130.30000000000001</v>
      </c>
      <c r="AO187" s="32">
        <v>96.2</v>
      </c>
      <c r="AP187" s="32">
        <v>96.2</v>
      </c>
      <c r="AQ187" s="32">
        <v>93</v>
      </c>
      <c r="AR187" s="32">
        <v>94.6</v>
      </c>
      <c r="AS187" s="32">
        <v>92.8</v>
      </c>
      <c r="AT187" s="32">
        <v>83.4</v>
      </c>
      <c r="AU187" s="32">
        <v>100.8</v>
      </c>
      <c r="AV187" s="32">
        <v>94</v>
      </c>
      <c r="AW187" s="32">
        <v>116.6</v>
      </c>
      <c r="AX187" s="32">
        <v>203.8</v>
      </c>
      <c r="AY187" s="32">
        <v>101.9</v>
      </c>
      <c r="AZ187" s="32">
        <v>92.9</v>
      </c>
      <c r="BA187" s="32">
        <v>76.3</v>
      </c>
      <c r="BB187" s="32">
        <v>76.3</v>
      </c>
      <c r="BC187" s="32">
        <v>127.9</v>
      </c>
      <c r="BD187" s="32">
        <v>127.9</v>
      </c>
      <c r="BE187" s="32">
        <v>103.9</v>
      </c>
      <c r="BF187" s="32">
        <v>103.9</v>
      </c>
      <c r="BG187" s="32">
        <v>96</v>
      </c>
      <c r="BH187" s="32">
        <v>90.4</v>
      </c>
      <c r="BI187" s="32">
        <v>100.9</v>
      </c>
      <c r="BJ187" s="32">
        <v>35.700000000000003</v>
      </c>
      <c r="BK187" s="32">
        <v>127.9</v>
      </c>
      <c r="BL187" s="32">
        <v>102.2</v>
      </c>
      <c r="BM187" s="32">
        <v>99.6</v>
      </c>
      <c r="BN187" s="32">
        <v>110.4</v>
      </c>
      <c r="BO187" s="32">
        <v>85.2</v>
      </c>
      <c r="BP187" s="32">
        <v>136.19999999999999</v>
      </c>
      <c r="BQ187" s="32">
        <v>88.6</v>
      </c>
      <c r="BR187" s="32">
        <v>73.7</v>
      </c>
      <c r="BS187" s="32">
        <v>153</v>
      </c>
      <c r="BT187" s="32">
        <v>74.3</v>
      </c>
      <c r="BU187" s="32">
        <v>99</v>
      </c>
      <c r="BV187" s="32">
        <v>99</v>
      </c>
      <c r="BW187" s="32">
        <v>141.30000000000001</v>
      </c>
      <c r="BX187" s="32">
        <v>36.5</v>
      </c>
      <c r="BY187" s="32">
        <v>79</v>
      </c>
      <c r="BZ187" s="32">
        <v>87.3</v>
      </c>
      <c r="CA187" s="32">
        <v>75.400000000000006</v>
      </c>
      <c r="CB187" s="32">
        <v>80</v>
      </c>
      <c r="CC187" s="32">
        <v>71.900000000000006</v>
      </c>
      <c r="CD187" s="32">
        <v>29.4</v>
      </c>
      <c r="CE187" s="32">
        <v>82.2</v>
      </c>
      <c r="CF187" s="32">
        <v>83.1</v>
      </c>
      <c r="CG187" s="32">
        <v>94.6</v>
      </c>
      <c r="CH187" s="32">
        <v>96.5</v>
      </c>
      <c r="CI187" s="32">
        <v>104.6</v>
      </c>
      <c r="CJ187" s="32">
        <v>95.6</v>
      </c>
      <c r="CK187" s="32">
        <v>96.4</v>
      </c>
      <c r="CL187" s="32">
        <v>94.1</v>
      </c>
      <c r="CM187" s="32">
        <v>102.9</v>
      </c>
      <c r="CN187" s="32">
        <v>159.69999999999999</v>
      </c>
      <c r="CO187" s="32">
        <v>90.7</v>
      </c>
      <c r="CP187" s="32">
        <v>160.19999999999999</v>
      </c>
      <c r="CQ187" s="32">
        <v>86.4</v>
      </c>
      <c r="CR187" s="32">
        <v>97.7</v>
      </c>
      <c r="CS187" s="32">
        <v>112.2</v>
      </c>
      <c r="CT187" s="32">
        <v>87.5</v>
      </c>
      <c r="CU187" s="32">
        <v>75.8</v>
      </c>
      <c r="CV187" s="32">
        <v>92.5</v>
      </c>
      <c r="CW187" s="32">
        <v>47.3</v>
      </c>
      <c r="CX187" s="32">
        <v>98.2</v>
      </c>
      <c r="CY187" s="32">
        <v>106.8</v>
      </c>
      <c r="CZ187" s="32">
        <v>93.7</v>
      </c>
      <c r="DA187" s="32">
        <v>80.5</v>
      </c>
      <c r="DB187" s="32">
        <v>120.2</v>
      </c>
      <c r="DC187" s="32">
        <v>13.7</v>
      </c>
      <c r="DD187" s="32">
        <v>13.7</v>
      </c>
      <c r="DE187" s="32">
        <v>74.2</v>
      </c>
      <c r="DF187" s="32">
        <v>72.400000000000006</v>
      </c>
      <c r="DG187" s="32">
        <v>83.8</v>
      </c>
      <c r="DH187" s="32">
        <v>100.4</v>
      </c>
      <c r="DI187" s="32">
        <v>156.9</v>
      </c>
      <c r="DJ187" s="32">
        <v>74.3</v>
      </c>
      <c r="DK187" s="32">
        <v>74.3</v>
      </c>
      <c r="DL187" s="32">
        <v>52.1</v>
      </c>
      <c r="DM187" s="32">
        <v>82.5</v>
      </c>
      <c r="DN187" s="32">
        <v>82.7</v>
      </c>
      <c r="DO187" s="32">
        <v>83</v>
      </c>
      <c r="DP187" s="32">
        <v>67.5</v>
      </c>
      <c r="DQ187" s="32">
        <v>73.3</v>
      </c>
      <c r="DR187" s="32">
        <v>74.7</v>
      </c>
      <c r="DS187" s="32">
        <v>73.599999999999994</v>
      </c>
      <c r="DT187" s="32">
        <v>70.3</v>
      </c>
      <c r="DU187" s="32">
        <v>73.400000000000006</v>
      </c>
      <c r="DV187" s="32">
        <v>88.3</v>
      </c>
      <c r="DW187" s="32">
        <v>58.7</v>
      </c>
      <c r="DX187" s="32">
        <v>64.099999999999994</v>
      </c>
      <c r="DY187" s="32">
        <v>85.4</v>
      </c>
      <c r="DZ187" s="32">
        <v>118.6</v>
      </c>
      <c r="EA187" s="32">
        <v>118.6</v>
      </c>
      <c r="EB187" s="32">
        <v>63.6</v>
      </c>
      <c r="EC187" s="32">
        <v>65.900000000000006</v>
      </c>
      <c r="ED187" s="32">
        <v>60.8</v>
      </c>
      <c r="EE187" s="32">
        <v>61.8</v>
      </c>
      <c r="EF187" s="32">
        <v>58.7</v>
      </c>
      <c r="EG187" s="32">
        <v>71.099999999999994</v>
      </c>
      <c r="EH187" s="32">
        <v>82.3</v>
      </c>
      <c r="EI187" s="32">
        <v>68.7</v>
      </c>
      <c r="EJ187" s="32">
        <v>87.1</v>
      </c>
      <c r="EK187" s="32">
        <v>64.599999999999994</v>
      </c>
      <c r="EL187" s="32">
        <v>77.400000000000006</v>
      </c>
      <c r="EM187" s="32">
        <v>59.4</v>
      </c>
      <c r="EN187" s="32">
        <v>65.8</v>
      </c>
      <c r="EO187" s="32">
        <v>90.7</v>
      </c>
      <c r="EP187" s="32">
        <v>89.3</v>
      </c>
      <c r="EQ187" s="32">
        <v>89.3</v>
      </c>
      <c r="ER187" s="32">
        <v>84.4</v>
      </c>
      <c r="ES187" s="32">
        <v>84.4</v>
      </c>
      <c r="ET187" s="32">
        <v>99.3</v>
      </c>
      <c r="EU187" s="32">
        <v>110.6</v>
      </c>
      <c r="EV187" s="32">
        <v>110.6</v>
      </c>
      <c r="EW187" s="32">
        <v>87.2</v>
      </c>
      <c r="EX187" s="32">
        <v>99.7</v>
      </c>
      <c r="EY187" s="32">
        <v>77.2</v>
      </c>
      <c r="EZ187" s="32">
        <v>89.7</v>
      </c>
      <c r="FA187" s="32">
        <v>97.8</v>
      </c>
      <c r="FB187" s="32">
        <v>107.5</v>
      </c>
      <c r="FC187" s="32">
        <v>88.4</v>
      </c>
      <c r="FD187" s="32">
        <v>102.7</v>
      </c>
      <c r="FE187" s="32">
        <v>143.5</v>
      </c>
      <c r="FF187" s="32">
        <v>86.9</v>
      </c>
      <c r="FG187" s="32">
        <v>81.599999999999994</v>
      </c>
      <c r="FH187" s="32">
        <v>84</v>
      </c>
      <c r="FI187" s="32">
        <v>89.1</v>
      </c>
      <c r="FJ187" s="32">
        <v>79.5</v>
      </c>
      <c r="FK187" s="32">
        <v>123.4</v>
      </c>
      <c r="FL187" s="32">
        <v>123.4</v>
      </c>
    </row>
    <row r="188" spans="1:168" x14ac:dyDescent="0.2">
      <c r="A188" s="34" t="s">
        <v>1168</v>
      </c>
      <c r="B188" s="32">
        <v>84.1</v>
      </c>
      <c r="C188" s="32">
        <v>86.6</v>
      </c>
      <c r="D188" s="32">
        <v>88</v>
      </c>
      <c r="E188" s="32">
        <v>90.3</v>
      </c>
      <c r="F188" s="32">
        <v>118.6</v>
      </c>
      <c r="G188" s="32">
        <v>2133.4</v>
      </c>
      <c r="H188" s="32">
        <v>121.4</v>
      </c>
      <c r="I188" s="32">
        <v>91.4</v>
      </c>
      <c r="J188" s="32">
        <v>89</v>
      </c>
      <c r="K188" s="32">
        <v>83.4</v>
      </c>
      <c r="L188" s="32">
        <v>79.599999999999994</v>
      </c>
      <c r="M188" s="32">
        <v>65.599999999999994</v>
      </c>
      <c r="N188" s="32">
        <v>84.9</v>
      </c>
      <c r="O188" s="32">
        <v>141.30000000000001</v>
      </c>
      <c r="P188" s="32">
        <v>152.6</v>
      </c>
      <c r="Q188" s="32">
        <v>95</v>
      </c>
      <c r="R188" s="32">
        <v>66.2</v>
      </c>
      <c r="S188" s="32">
        <v>91.3</v>
      </c>
      <c r="T188" s="32">
        <v>115.9</v>
      </c>
      <c r="U188" s="32">
        <v>84.2</v>
      </c>
      <c r="V188" s="32">
        <v>105.2</v>
      </c>
      <c r="W188" s="32">
        <v>68.599999999999994</v>
      </c>
      <c r="X188" s="32">
        <v>57.9</v>
      </c>
      <c r="Y188" s="32">
        <v>76.400000000000006</v>
      </c>
      <c r="Z188" s="32">
        <v>133.5</v>
      </c>
      <c r="AA188" s="32">
        <v>98.1</v>
      </c>
      <c r="AB188" s="32">
        <v>84.3</v>
      </c>
      <c r="AC188" s="32">
        <v>94.2</v>
      </c>
      <c r="AD188" s="32">
        <v>113.8</v>
      </c>
      <c r="AE188" s="32">
        <v>22.2</v>
      </c>
      <c r="AF188" s="32">
        <v>22.2</v>
      </c>
      <c r="AG188" s="32">
        <v>90.9</v>
      </c>
      <c r="AH188" s="32">
        <v>90.9</v>
      </c>
      <c r="AI188" s="32">
        <v>109.9</v>
      </c>
      <c r="AJ188" s="32">
        <v>95.4</v>
      </c>
      <c r="AK188" s="32">
        <v>109.8</v>
      </c>
      <c r="AL188" s="32">
        <v>69.599999999999994</v>
      </c>
      <c r="AM188" s="32">
        <v>68</v>
      </c>
      <c r="AN188" s="32">
        <v>131.4</v>
      </c>
      <c r="AO188" s="32">
        <v>88.2</v>
      </c>
      <c r="AP188" s="32">
        <v>88.2</v>
      </c>
      <c r="AQ188" s="32">
        <v>95.7</v>
      </c>
      <c r="AR188" s="32">
        <v>96.1</v>
      </c>
      <c r="AS188" s="32">
        <v>97.5</v>
      </c>
      <c r="AT188" s="32">
        <v>82</v>
      </c>
      <c r="AU188" s="32">
        <v>112.5</v>
      </c>
      <c r="AV188" s="32">
        <v>94.5</v>
      </c>
      <c r="AW188" s="32">
        <v>121.1</v>
      </c>
      <c r="AX188" s="32">
        <v>212.3</v>
      </c>
      <c r="AY188" s="32">
        <v>105.6</v>
      </c>
      <c r="AZ188" s="32">
        <v>92.3</v>
      </c>
      <c r="BA188" s="32">
        <v>76</v>
      </c>
      <c r="BB188" s="32">
        <v>76</v>
      </c>
      <c r="BC188" s="32">
        <v>122.4</v>
      </c>
      <c r="BD188" s="32">
        <v>122.4</v>
      </c>
      <c r="BE188" s="32">
        <v>103.6</v>
      </c>
      <c r="BF188" s="32">
        <v>103.6</v>
      </c>
      <c r="BG188" s="32">
        <v>95</v>
      </c>
      <c r="BH188" s="32">
        <v>92.7</v>
      </c>
      <c r="BI188" s="32">
        <v>96.1</v>
      </c>
      <c r="BJ188" s="32">
        <v>35.6</v>
      </c>
      <c r="BK188" s="32">
        <v>119.6</v>
      </c>
      <c r="BL188" s="32">
        <v>107.7</v>
      </c>
      <c r="BM188" s="32">
        <v>99.4</v>
      </c>
      <c r="BN188" s="32">
        <v>108.5</v>
      </c>
      <c r="BO188" s="32">
        <v>83.1</v>
      </c>
      <c r="BP188" s="32">
        <v>134.69999999999999</v>
      </c>
      <c r="BQ188" s="32">
        <v>90.2</v>
      </c>
      <c r="BR188" s="32">
        <v>83.6</v>
      </c>
      <c r="BS188" s="32">
        <v>155.4</v>
      </c>
      <c r="BT188" s="32">
        <v>74.5</v>
      </c>
      <c r="BU188" s="32">
        <v>93.2</v>
      </c>
      <c r="BV188" s="32">
        <v>93.2</v>
      </c>
      <c r="BW188" s="32">
        <v>137.9</v>
      </c>
      <c r="BX188" s="32">
        <v>30.5</v>
      </c>
      <c r="BY188" s="32">
        <v>80.900000000000006</v>
      </c>
      <c r="BZ188" s="32">
        <v>86.2</v>
      </c>
      <c r="CA188" s="32">
        <v>78.5</v>
      </c>
      <c r="CB188" s="32">
        <v>83.8</v>
      </c>
      <c r="CC188" s="32">
        <v>74.5</v>
      </c>
      <c r="CD188" s="32">
        <v>32.799999999999997</v>
      </c>
      <c r="CE188" s="32">
        <v>83.9</v>
      </c>
      <c r="CF188" s="32">
        <v>83.5</v>
      </c>
      <c r="CG188" s="32">
        <v>96.9</v>
      </c>
      <c r="CH188" s="32">
        <v>98.1</v>
      </c>
      <c r="CI188" s="32">
        <v>109.7</v>
      </c>
      <c r="CJ188" s="32">
        <v>95.3</v>
      </c>
      <c r="CK188" s="32">
        <v>98.4</v>
      </c>
      <c r="CL188" s="32">
        <v>97.6</v>
      </c>
      <c r="CM188" s="32">
        <v>106.3</v>
      </c>
      <c r="CN188" s="32">
        <v>159.5</v>
      </c>
      <c r="CO188" s="32">
        <v>94.5</v>
      </c>
      <c r="CP188" s="32">
        <v>160.69999999999999</v>
      </c>
      <c r="CQ188" s="32">
        <v>88.5</v>
      </c>
      <c r="CR188" s="32">
        <v>102.6</v>
      </c>
      <c r="CS188" s="32">
        <v>117.2</v>
      </c>
      <c r="CT188" s="32">
        <v>90.8</v>
      </c>
      <c r="CU188" s="32">
        <v>81.5</v>
      </c>
      <c r="CV188" s="32">
        <v>94.8</v>
      </c>
      <c r="CW188" s="32">
        <v>47.4</v>
      </c>
      <c r="CX188" s="32">
        <v>96.8</v>
      </c>
      <c r="CY188" s="32">
        <v>108.4</v>
      </c>
      <c r="CZ188" s="32">
        <v>90.6</v>
      </c>
      <c r="DA188" s="32">
        <v>77.2</v>
      </c>
      <c r="DB188" s="32">
        <v>117.8</v>
      </c>
      <c r="DC188" s="32">
        <v>13.7</v>
      </c>
      <c r="DD188" s="32">
        <v>13.7</v>
      </c>
      <c r="DE188" s="32">
        <v>75.400000000000006</v>
      </c>
      <c r="DF188" s="32">
        <v>72.3</v>
      </c>
      <c r="DG188" s="32">
        <v>92.2</v>
      </c>
      <c r="DH188" s="32">
        <v>97.9</v>
      </c>
      <c r="DI188" s="32">
        <v>147.1</v>
      </c>
      <c r="DJ188" s="32">
        <v>76</v>
      </c>
      <c r="DK188" s="32">
        <v>76</v>
      </c>
      <c r="DL188" s="32">
        <v>54.9</v>
      </c>
      <c r="DM188" s="32">
        <v>83.1</v>
      </c>
      <c r="DN188" s="32">
        <v>83.4</v>
      </c>
      <c r="DO188" s="32">
        <v>83.5</v>
      </c>
      <c r="DP188" s="32">
        <v>68.900000000000006</v>
      </c>
      <c r="DQ188" s="32">
        <v>73.599999999999994</v>
      </c>
      <c r="DR188" s="32">
        <v>75</v>
      </c>
      <c r="DS188" s="32">
        <v>74.400000000000006</v>
      </c>
      <c r="DT188" s="32">
        <v>71.7</v>
      </c>
      <c r="DU188" s="32">
        <v>75</v>
      </c>
      <c r="DV188" s="32">
        <v>86.2</v>
      </c>
      <c r="DW188" s="32">
        <v>63.5</v>
      </c>
      <c r="DX188" s="32">
        <v>65.099999999999994</v>
      </c>
      <c r="DY188" s="32">
        <v>84.3</v>
      </c>
      <c r="DZ188" s="32">
        <v>114.1</v>
      </c>
      <c r="EA188" s="32">
        <v>114.1</v>
      </c>
      <c r="EB188" s="32">
        <v>64.099999999999994</v>
      </c>
      <c r="EC188" s="32">
        <v>63.8</v>
      </c>
      <c r="ED188" s="32">
        <v>64.900000000000006</v>
      </c>
      <c r="EE188" s="32">
        <v>66.8</v>
      </c>
      <c r="EF188" s="32">
        <v>60.8</v>
      </c>
      <c r="EG188" s="32">
        <v>71.5</v>
      </c>
      <c r="EH188" s="32">
        <v>87.8</v>
      </c>
      <c r="EI188" s="32">
        <v>62.6</v>
      </c>
      <c r="EJ188" s="32">
        <v>86.6</v>
      </c>
      <c r="EK188" s="32">
        <v>67.5</v>
      </c>
      <c r="EL188" s="32">
        <v>78.900000000000006</v>
      </c>
      <c r="EM188" s="32">
        <v>59.3</v>
      </c>
      <c r="EN188" s="32">
        <v>71</v>
      </c>
      <c r="EO188" s="32">
        <v>90.5</v>
      </c>
      <c r="EP188" s="32">
        <v>89.1</v>
      </c>
      <c r="EQ188" s="32">
        <v>89.1</v>
      </c>
      <c r="ER188" s="32">
        <v>84.7</v>
      </c>
      <c r="ES188" s="32">
        <v>84.7</v>
      </c>
      <c r="ET188" s="32">
        <v>98.4</v>
      </c>
      <c r="EU188" s="32">
        <v>109.6</v>
      </c>
      <c r="EV188" s="32">
        <v>109.6</v>
      </c>
      <c r="EW188" s="32">
        <v>86.6</v>
      </c>
      <c r="EX188" s="32">
        <v>98</v>
      </c>
      <c r="EY188" s="32">
        <v>77.599999999999994</v>
      </c>
      <c r="EZ188" s="32">
        <v>91.8</v>
      </c>
      <c r="FA188" s="32">
        <v>96.6</v>
      </c>
      <c r="FB188" s="32">
        <v>106.2</v>
      </c>
      <c r="FC188" s="32">
        <v>86.6</v>
      </c>
      <c r="FD188" s="32">
        <v>105.9</v>
      </c>
      <c r="FE188" s="32">
        <v>140.6</v>
      </c>
      <c r="FF188" s="32">
        <v>86</v>
      </c>
      <c r="FG188" s="32">
        <v>86.3</v>
      </c>
      <c r="FH188" s="32">
        <v>84.7</v>
      </c>
      <c r="FI188" s="32">
        <v>94.3</v>
      </c>
      <c r="FJ188" s="32">
        <v>86</v>
      </c>
      <c r="FK188" s="32">
        <v>120.7</v>
      </c>
      <c r="FL188" s="32">
        <v>120.7</v>
      </c>
    </row>
    <row r="189" spans="1:168" x14ac:dyDescent="0.2">
      <c r="A189" s="34" t="s">
        <v>1169</v>
      </c>
      <c r="B189" s="32">
        <v>83.5</v>
      </c>
      <c r="C189" s="32">
        <v>85.9</v>
      </c>
      <c r="D189" s="32">
        <v>88</v>
      </c>
      <c r="E189" s="32">
        <v>90.5</v>
      </c>
      <c r="F189" s="32">
        <v>112.8</v>
      </c>
      <c r="G189" s="32">
        <v>2236</v>
      </c>
      <c r="H189" s="32">
        <v>114.7</v>
      </c>
      <c r="I189" s="32">
        <v>89.6</v>
      </c>
      <c r="J189" s="32">
        <v>88.6</v>
      </c>
      <c r="K189" s="32">
        <v>82.3</v>
      </c>
      <c r="L189" s="32">
        <v>78.2</v>
      </c>
      <c r="M189" s="32">
        <v>61</v>
      </c>
      <c r="N189" s="32">
        <v>81.400000000000006</v>
      </c>
      <c r="O189" s="32">
        <v>137.1</v>
      </c>
      <c r="P189" s="32">
        <v>148.1</v>
      </c>
      <c r="Q189" s="32">
        <v>88.3</v>
      </c>
      <c r="R189" s="32">
        <v>64.3</v>
      </c>
      <c r="S189" s="32">
        <v>94.7</v>
      </c>
      <c r="T189" s="32">
        <v>115.2</v>
      </c>
      <c r="U189" s="32">
        <v>88.5</v>
      </c>
      <c r="V189" s="32">
        <v>103.8</v>
      </c>
      <c r="W189" s="32">
        <v>71.3</v>
      </c>
      <c r="X189" s="32">
        <v>59</v>
      </c>
      <c r="Y189" s="32">
        <v>83.6</v>
      </c>
      <c r="Z189" s="32">
        <v>130</v>
      </c>
      <c r="AA189" s="32">
        <v>99</v>
      </c>
      <c r="AB189" s="32">
        <v>86.5</v>
      </c>
      <c r="AC189" s="32">
        <v>97.6</v>
      </c>
      <c r="AD189" s="32">
        <v>111.6</v>
      </c>
      <c r="AE189" s="32">
        <v>25.8</v>
      </c>
      <c r="AF189" s="32">
        <v>25.8</v>
      </c>
      <c r="AG189" s="32">
        <v>88.3</v>
      </c>
      <c r="AH189" s="32">
        <v>88.3</v>
      </c>
      <c r="AI189" s="32">
        <v>104.3</v>
      </c>
      <c r="AJ189" s="32">
        <v>89</v>
      </c>
      <c r="AK189" s="32">
        <v>113.5</v>
      </c>
      <c r="AL189" s="32">
        <v>71.5</v>
      </c>
      <c r="AM189" s="32">
        <v>68.2</v>
      </c>
      <c r="AN189" s="32">
        <v>135.19999999999999</v>
      </c>
      <c r="AO189" s="32">
        <v>83.8</v>
      </c>
      <c r="AP189" s="32">
        <v>83.8</v>
      </c>
      <c r="AQ189" s="32">
        <v>96.4</v>
      </c>
      <c r="AR189" s="32">
        <v>97.7</v>
      </c>
      <c r="AS189" s="32">
        <v>96.8</v>
      </c>
      <c r="AT189" s="32">
        <v>81.599999999999994</v>
      </c>
      <c r="AU189" s="32">
        <v>111.5</v>
      </c>
      <c r="AV189" s="32">
        <v>94.7</v>
      </c>
      <c r="AW189" s="32">
        <v>118.6</v>
      </c>
      <c r="AX189" s="32">
        <v>203.9</v>
      </c>
      <c r="AY189" s="32">
        <v>106.1</v>
      </c>
      <c r="AZ189" s="32">
        <v>93.3</v>
      </c>
      <c r="BA189" s="32">
        <v>81.599999999999994</v>
      </c>
      <c r="BB189" s="32">
        <v>81.599999999999994</v>
      </c>
      <c r="BC189" s="32">
        <v>129.6</v>
      </c>
      <c r="BD189" s="32">
        <v>129.6</v>
      </c>
      <c r="BE189" s="32">
        <v>109.1</v>
      </c>
      <c r="BF189" s="32">
        <v>109.1</v>
      </c>
      <c r="BG189" s="32">
        <v>89.2</v>
      </c>
      <c r="BH189" s="32">
        <v>83.8</v>
      </c>
      <c r="BI189" s="32">
        <v>94</v>
      </c>
      <c r="BJ189" s="32">
        <v>35.9</v>
      </c>
      <c r="BK189" s="32">
        <v>115.8</v>
      </c>
      <c r="BL189" s="32">
        <v>109.2</v>
      </c>
      <c r="BM189" s="32">
        <v>95.3</v>
      </c>
      <c r="BN189" s="32">
        <v>107.1</v>
      </c>
      <c r="BO189" s="32">
        <v>81</v>
      </c>
      <c r="BP189" s="32">
        <v>134.1</v>
      </c>
      <c r="BQ189" s="32">
        <v>83.2</v>
      </c>
      <c r="BR189" s="32">
        <v>76.7</v>
      </c>
      <c r="BS189" s="32">
        <v>109.7</v>
      </c>
      <c r="BT189" s="32">
        <v>76.2</v>
      </c>
      <c r="BU189" s="32">
        <v>105.1</v>
      </c>
      <c r="BV189" s="32">
        <v>105.1</v>
      </c>
      <c r="BW189" s="32">
        <v>148.1</v>
      </c>
      <c r="BX189" s="32">
        <v>40.1</v>
      </c>
      <c r="BY189" s="32">
        <v>81.599999999999994</v>
      </c>
      <c r="BZ189" s="32">
        <v>83.5</v>
      </c>
      <c r="CA189" s="32">
        <v>80.7</v>
      </c>
      <c r="CB189" s="32">
        <v>92.2</v>
      </c>
      <c r="CC189" s="32">
        <v>72.2</v>
      </c>
      <c r="CD189" s="32">
        <v>30.9</v>
      </c>
      <c r="CE189" s="32">
        <v>83.3</v>
      </c>
      <c r="CF189" s="32">
        <v>82.8</v>
      </c>
      <c r="CG189" s="32">
        <v>95.7</v>
      </c>
      <c r="CH189" s="32">
        <v>96.9</v>
      </c>
      <c r="CI189" s="32">
        <v>108.7</v>
      </c>
      <c r="CJ189" s="32">
        <v>96.3</v>
      </c>
      <c r="CK189" s="32">
        <v>95.6</v>
      </c>
      <c r="CL189" s="32">
        <v>96.1</v>
      </c>
      <c r="CM189" s="32">
        <v>102.8</v>
      </c>
      <c r="CN189" s="32">
        <v>156</v>
      </c>
      <c r="CO189" s="32">
        <v>91.1</v>
      </c>
      <c r="CP189" s="32">
        <v>157.9</v>
      </c>
      <c r="CQ189" s="32">
        <v>90.2</v>
      </c>
      <c r="CR189" s="32">
        <v>100.7</v>
      </c>
      <c r="CS189" s="32">
        <v>119.7</v>
      </c>
      <c r="CT189" s="32">
        <v>89.9</v>
      </c>
      <c r="CU189" s="32">
        <v>81.5</v>
      </c>
      <c r="CV189" s="32">
        <v>93.5</v>
      </c>
      <c r="CW189" s="32">
        <v>45.7</v>
      </c>
      <c r="CX189" s="32">
        <v>94.4</v>
      </c>
      <c r="CY189" s="32">
        <v>106.8</v>
      </c>
      <c r="CZ189" s="32">
        <v>87.8</v>
      </c>
      <c r="DA189" s="32">
        <v>71.400000000000006</v>
      </c>
      <c r="DB189" s="32">
        <v>121.6</v>
      </c>
      <c r="DC189" s="32">
        <v>13.7</v>
      </c>
      <c r="DD189" s="32">
        <v>13.7</v>
      </c>
      <c r="DE189" s="32">
        <v>70</v>
      </c>
      <c r="DF189" s="32">
        <v>67.3</v>
      </c>
      <c r="DG189" s="32">
        <v>84.5</v>
      </c>
      <c r="DH189" s="32">
        <v>98.6</v>
      </c>
      <c r="DI189" s="32">
        <v>148</v>
      </c>
      <c r="DJ189" s="32">
        <v>77.7</v>
      </c>
      <c r="DK189" s="32">
        <v>77.7</v>
      </c>
      <c r="DL189" s="32">
        <v>54.1</v>
      </c>
      <c r="DM189" s="32">
        <v>83.2</v>
      </c>
      <c r="DN189" s="32">
        <v>83.7</v>
      </c>
      <c r="DO189" s="32">
        <v>83.5</v>
      </c>
      <c r="DP189" s="32">
        <v>69.2</v>
      </c>
      <c r="DQ189" s="32">
        <v>72.400000000000006</v>
      </c>
      <c r="DR189" s="32">
        <v>74.099999999999994</v>
      </c>
      <c r="DS189" s="32">
        <v>72.099999999999994</v>
      </c>
      <c r="DT189" s="32">
        <v>68.900000000000006</v>
      </c>
      <c r="DU189" s="32">
        <v>73.099999999999994</v>
      </c>
      <c r="DV189" s="32">
        <v>86.2</v>
      </c>
      <c r="DW189" s="32">
        <v>60</v>
      </c>
      <c r="DX189" s="32">
        <v>60.6</v>
      </c>
      <c r="DY189" s="32">
        <v>83.6</v>
      </c>
      <c r="DZ189" s="32">
        <v>119.4</v>
      </c>
      <c r="EA189" s="32">
        <v>119.4</v>
      </c>
      <c r="EB189" s="32">
        <v>65.2</v>
      </c>
      <c r="EC189" s="32">
        <v>67.400000000000006</v>
      </c>
      <c r="ED189" s="32">
        <v>62.6</v>
      </c>
      <c r="EE189" s="32">
        <v>64</v>
      </c>
      <c r="EF189" s="32">
        <v>59.5</v>
      </c>
      <c r="EG189" s="32">
        <v>69.7</v>
      </c>
      <c r="EH189" s="32">
        <v>82.6</v>
      </c>
      <c r="EI189" s="32">
        <v>63.4</v>
      </c>
      <c r="EJ189" s="32">
        <v>83.8</v>
      </c>
      <c r="EK189" s="32">
        <v>65.599999999999994</v>
      </c>
      <c r="EL189" s="32">
        <v>81</v>
      </c>
      <c r="EM189" s="32">
        <v>58.9</v>
      </c>
      <c r="EN189" s="32">
        <v>67.400000000000006</v>
      </c>
      <c r="EO189" s="32">
        <v>90.5</v>
      </c>
      <c r="EP189" s="32">
        <v>89.2</v>
      </c>
      <c r="EQ189" s="32">
        <v>89.2</v>
      </c>
      <c r="ER189" s="32">
        <v>84.7</v>
      </c>
      <c r="ES189" s="32">
        <v>84.7</v>
      </c>
      <c r="ET189" s="32">
        <v>98.5</v>
      </c>
      <c r="EU189" s="32">
        <v>110</v>
      </c>
      <c r="EV189" s="32">
        <v>110</v>
      </c>
      <c r="EW189" s="32">
        <v>86</v>
      </c>
      <c r="EX189" s="32">
        <v>95.9</v>
      </c>
      <c r="EY189" s="32">
        <v>78.2</v>
      </c>
      <c r="EZ189" s="32">
        <v>89.7</v>
      </c>
      <c r="FA189" s="32">
        <v>96.7</v>
      </c>
      <c r="FB189" s="32">
        <v>106.2</v>
      </c>
      <c r="FC189" s="32">
        <v>88.3</v>
      </c>
      <c r="FD189" s="32">
        <v>103.6</v>
      </c>
      <c r="FE189" s="32">
        <v>138.9</v>
      </c>
      <c r="FF189" s="32">
        <v>86</v>
      </c>
      <c r="FG189" s="32">
        <v>82.9</v>
      </c>
      <c r="FH189" s="32">
        <v>83.6</v>
      </c>
      <c r="FI189" s="32">
        <v>86.8</v>
      </c>
      <c r="FJ189" s="32">
        <v>82</v>
      </c>
      <c r="FK189" s="32">
        <v>114.8</v>
      </c>
      <c r="FL189" s="32">
        <v>114.8</v>
      </c>
    </row>
    <row r="190" spans="1:168" x14ac:dyDescent="0.2">
      <c r="A190" s="34" t="s">
        <v>1170</v>
      </c>
      <c r="B190" s="32">
        <v>84.8</v>
      </c>
      <c r="C190" s="32">
        <v>85</v>
      </c>
      <c r="D190" s="32">
        <v>89</v>
      </c>
      <c r="E190" s="32">
        <v>91.4</v>
      </c>
      <c r="F190" s="32">
        <v>109.6</v>
      </c>
      <c r="G190" s="32">
        <v>2330.5</v>
      </c>
      <c r="H190" s="32">
        <v>109.4</v>
      </c>
      <c r="I190" s="32">
        <v>94.8</v>
      </c>
      <c r="J190" s="32">
        <v>89.9</v>
      </c>
      <c r="K190" s="32">
        <v>85.4</v>
      </c>
      <c r="L190" s="32">
        <v>81.900000000000006</v>
      </c>
      <c r="M190" s="32">
        <v>64.5</v>
      </c>
      <c r="N190" s="32">
        <v>82.8</v>
      </c>
      <c r="O190" s="32">
        <v>142.4</v>
      </c>
      <c r="P190" s="32">
        <v>153.4</v>
      </c>
      <c r="Q190" s="32">
        <v>89.2</v>
      </c>
      <c r="R190" s="32">
        <v>69</v>
      </c>
      <c r="S190" s="32">
        <v>99.9</v>
      </c>
      <c r="T190" s="32">
        <v>119.3</v>
      </c>
      <c r="U190" s="32">
        <v>85.3</v>
      </c>
      <c r="V190" s="32">
        <v>105.7</v>
      </c>
      <c r="W190" s="32">
        <v>75</v>
      </c>
      <c r="X190" s="32">
        <v>62.8</v>
      </c>
      <c r="Y190" s="32">
        <v>84.7</v>
      </c>
      <c r="Z190" s="32">
        <v>148.30000000000001</v>
      </c>
      <c r="AA190" s="32">
        <v>100.3</v>
      </c>
      <c r="AB190" s="32">
        <v>86.7</v>
      </c>
      <c r="AC190" s="32">
        <v>96</v>
      </c>
      <c r="AD190" s="32">
        <v>116.6</v>
      </c>
      <c r="AE190" s="32">
        <v>27.3</v>
      </c>
      <c r="AF190" s="32">
        <v>27.3</v>
      </c>
      <c r="AG190" s="32">
        <v>74</v>
      </c>
      <c r="AH190" s="32">
        <v>74</v>
      </c>
      <c r="AI190" s="32">
        <v>105.2</v>
      </c>
      <c r="AJ190" s="32">
        <v>51.6</v>
      </c>
      <c r="AK190" s="32">
        <v>111.4</v>
      </c>
      <c r="AL190" s="32">
        <v>73.599999999999994</v>
      </c>
      <c r="AM190" s="32">
        <v>67.2</v>
      </c>
      <c r="AN190" s="32">
        <v>140.1</v>
      </c>
      <c r="AO190" s="32">
        <v>81.5</v>
      </c>
      <c r="AP190" s="32">
        <v>81.5</v>
      </c>
      <c r="AQ190" s="32">
        <v>104.5</v>
      </c>
      <c r="AR190" s="32">
        <v>105.9</v>
      </c>
      <c r="AS190" s="32">
        <v>104.9</v>
      </c>
      <c r="AT190" s="32">
        <v>86.7</v>
      </c>
      <c r="AU190" s="32">
        <v>122.9</v>
      </c>
      <c r="AV190" s="32">
        <v>104.5</v>
      </c>
      <c r="AW190" s="32">
        <v>149.69999999999999</v>
      </c>
      <c r="AX190" s="32">
        <v>291.89999999999998</v>
      </c>
      <c r="AY190" s="32">
        <v>109.5</v>
      </c>
      <c r="AZ190" s="32">
        <v>97.9</v>
      </c>
      <c r="BA190" s="32">
        <v>79.2</v>
      </c>
      <c r="BB190" s="32">
        <v>79.2</v>
      </c>
      <c r="BC190" s="32">
        <v>128.30000000000001</v>
      </c>
      <c r="BD190" s="32">
        <v>128.30000000000001</v>
      </c>
      <c r="BE190" s="32">
        <v>108.7</v>
      </c>
      <c r="BF190" s="32">
        <v>108.7</v>
      </c>
      <c r="BG190" s="32">
        <v>89.1</v>
      </c>
      <c r="BH190" s="32">
        <v>86.4</v>
      </c>
      <c r="BI190" s="32">
        <v>90.7</v>
      </c>
      <c r="BJ190" s="32">
        <v>36.1</v>
      </c>
      <c r="BK190" s="32">
        <v>109.6</v>
      </c>
      <c r="BL190" s="32">
        <v>114.4</v>
      </c>
      <c r="BM190" s="32">
        <v>101.5</v>
      </c>
      <c r="BN190" s="32">
        <v>109.6</v>
      </c>
      <c r="BO190" s="32">
        <v>82.2</v>
      </c>
      <c r="BP190" s="32">
        <v>138</v>
      </c>
      <c r="BQ190" s="32">
        <v>93.5</v>
      </c>
      <c r="BR190" s="32">
        <v>79.2</v>
      </c>
      <c r="BS190" s="32">
        <v>149.1</v>
      </c>
      <c r="BT190" s="32">
        <v>80.900000000000006</v>
      </c>
      <c r="BU190" s="32">
        <v>106.8</v>
      </c>
      <c r="BV190" s="32">
        <v>106.8</v>
      </c>
      <c r="BW190" s="32">
        <v>152.9</v>
      </c>
      <c r="BX190" s="32">
        <v>39</v>
      </c>
      <c r="BY190" s="32">
        <v>82.9</v>
      </c>
      <c r="BZ190" s="32">
        <v>85.9</v>
      </c>
      <c r="CA190" s="32">
        <v>81.400000000000006</v>
      </c>
      <c r="CB190" s="32">
        <v>96.6</v>
      </c>
      <c r="CC190" s="32">
        <v>70.3</v>
      </c>
      <c r="CD190" s="32">
        <v>31.8</v>
      </c>
      <c r="CE190" s="32">
        <v>84.7</v>
      </c>
      <c r="CF190" s="32">
        <v>84.1</v>
      </c>
      <c r="CG190" s="32">
        <v>96.8</v>
      </c>
      <c r="CH190" s="32">
        <v>98.3</v>
      </c>
      <c r="CI190" s="32">
        <v>109.9</v>
      </c>
      <c r="CJ190" s="32">
        <v>98.3</v>
      </c>
      <c r="CK190" s="32">
        <v>96.7</v>
      </c>
      <c r="CL190" s="32">
        <v>97.6</v>
      </c>
      <c r="CM190" s="32">
        <v>104.4</v>
      </c>
      <c r="CN190" s="32">
        <v>154.1</v>
      </c>
      <c r="CO190" s="32">
        <v>93.3</v>
      </c>
      <c r="CP190" s="32">
        <v>157.19999999999999</v>
      </c>
      <c r="CQ190" s="32">
        <v>89.9</v>
      </c>
      <c r="CR190" s="32">
        <v>102.7</v>
      </c>
      <c r="CS190" s="32">
        <v>122.6</v>
      </c>
      <c r="CT190" s="32">
        <v>88.9</v>
      </c>
      <c r="CU190" s="32">
        <v>80.2</v>
      </c>
      <c r="CV190" s="32">
        <v>92.7</v>
      </c>
      <c r="CW190" s="32">
        <v>46.3</v>
      </c>
      <c r="CX190" s="32">
        <v>102.1</v>
      </c>
      <c r="CY190" s="32">
        <v>105.8</v>
      </c>
      <c r="CZ190" s="32">
        <v>100.3</v>
      </c>
      <c r="DA190" s="32">
        <v>89.6</v>
      </c>
      <c r="DB190" s="32">
        <v>121.1</v>
      </c>
      <c r="DC190" s="32">
        <v>13.9</v>
      </c>
      <c r="DD190" s="32">
        <v>13.9</v>
      </c>
      <c r="DE190" s="32">
        <v>68.099999999999994</v>
      </c>
      <c r="DF190" s="32">
        <v>67.7</v>
      </c>
      <c r="DG190" s="32">
        <v>69.7</v>
      </c>
      <c r="DH190" s="32">
        <v>104.3</v>
      </c>
      <c r="DI190" s="32">
        <v>157.80000000000001</v>
      </c>
      <c r="DJ190" s="32">
        <v>78.8</v>
      </c>
      <c r="DK190" s="32">
        <v>78.8</v>
      </c>
      <c r="DL190" s="32">
        <v>58.9</v>
      </c>
      <c r="DM190" s="32">
        <v>84.3</v>
      </c>
      <c r="DN190" s="32">
        <v>84.5</v>
      </c>
      <c r="DO190" s="32">
        <v>84.3</v>
      </c>
      <c r="DP190" s="32">
        <v>82.1</v>
      </c>
      <c r="DQ190" s="32">
        <v>74.099999999999994</v>
      </c>
      <c r="DR190" s="32">
        <v>75</v>
      </c>
      <c r="DS190" s="32">
        <v>73.7</v>
      </c>
      <c r="DT190" s="32">
        <v>70</v>
      </c>
      <c r="DU190" s="32">
        <v>76</v>
      </c>
      <c r="DV190" s="32">
        <v>86.4</v>
      </c>
      <c r="DW190" s="32">
        <v>65.400000000000006</v>
      </c>
      <c r="DX190" s="32">
        <v>58.1</v>
      </c>
      <c r="DY190" s="32">
        <v>86.8</v>
      </c>
      <c r="DZ190" s="32">
        <v>114.4</v>
      </c>
      <c r="EA190" s="32">
        <v>114.4</v>
      </c>
      <c r="EB190" s="32">
        <v>66.2</v>
      </c>
      <c r="EC190" s="32">
        <v>69.900000000000006</v>
      </c>
      <c r="ED190" s="32">
        <v>61.6</v>
      </c>
      <c r="EE190" s="32">
        <v>62.8</v>
      </c>
      <c r="EF190" s="32">
        <v>58.8</v>
      </c>
      <c r="EG190" s="32">
        <v>72.7</v>
      </c>
      <c r="EH190" s="32">
        <v>83.9</v>
      </c>
      <c r="EI190" s="32">
        <v>69.8</v>
      </c>
      <c r="EJ190" s="32">
        <v>83.8</v>
      </c>
      <c r="EK190" s="32">
        <v>67.400000000000006</v>
      </c>
      <c r="EL190" s="32">
        <v>74.099999999999994</v>
      </c>
      <c r="EM190" s="32">
        <v>61.9</v>
      </c>
      <c r="EN190" s="32">
        <v>69.8</v>
      </c>
      <c r="EO190" s="32">
        <v>90.8</v>
      </c>
      <c r="EP190" s="32">
        <v>89.2</v>
      </c>
      <c r="EQ190" s="32">
        <v>89.2</v>
      </c>
      <c r="ER190" s="32">
        <v>85.4</v>
      </c>
      <c r="ES190" s="32">
        <v>85.4</v>
      </c>
      <c r="ET190" s="32">
        <v>98.5</v>
      </c>
      <c r="EU190" s="32">
        <v>110.3</v>
      </c>
      <c r="EV190" s="32">
        <v>110.3</v>
      </c>
      <c r="EW190" s="32">
        <v>85.4</v>
      </c>
      <c r="EX190" s="32">
        <v>94.1</v>
      </c>
      <c r="EY190" s="32">
        <v>78.5</v>
      </c>
      <c r="EZ190" s="32">
        <v>89.5</v>
      </c>
      <c r="FA190" s="32">
        <v>95.9</v>
      </c>
      <c r="FB190" s="32">
        <v>105.7</v>
      </c>
      <c r="FC190" s="32">
        <v>89</v>
      </c>
      <c r="FD190" s="32">
        <v>99</v>
      </c>
      <c r="FE190" s="32">
        <v>138.30000000000001</v>
      </c>
      <c r="FF190" s="32">
        <v>84.9</v>
      </c>
      <c r="FG190" s="32">
        <v>83</v>
      </c>
      <c r="FH190" s="32">
        <v>84.1</v>
      </c>
      <c r="FI190" s="32">
        <v>93.3</v>
      </c>
      <c r="FJ190" s="32">
        <v>81.2</v>
      </c>
      <c r="FK190" s="32">
        <v>116</v>
      </c>
      <c r="FL190" s="32">
        <v>116</v>
      </c>
    </row>
    <row r="191" spans="1:168" x14ac:dyDescent="0.2">
      <c r="A191" s="34" t="s">
        <v>1171</v>
      </c>
      <c r="B191" s="32">
        <v>83.7</v>
      </c>
      <c r="C191" s="32">
        <v>83.4</v>
      </c>
      <c r="D191" s="32">
        <v>87.2</v>
      </c>
      <c r="E191" s="32">
        <v>90.1</v>
      </c>
      <c r="F191" s="32">
        <v>113.8</v>
      </c>
      <c r="G191" s="32">
        <v>2056.4</v>
      </c>
      <c r="H191" s="32">
        <v>115.3</v>
      </c>
      <c r="I191" s="32">
        <v>93.1</v>
      </c>
      <c r="J191" s="32">
        <v>88</v>
      </c>
      <c r="K191" s="32">
        <v>84.4</v>
      </c>
      <c r="L191" s="32">
        <v>80.7</v>
      </c>
      <c r="M191" s="32">
        <v>64.900000000000006</v>
      </c>
      <c r="N191" s="32">
        <v>82.5</v>
      </c>
      <c r="O191" s="32">
        <v>130.80000000000001</v>
      </c>
      <c r="P191" s="32">
        <v>149.1</v>
      </c>
      <c r="Q191" s="32">
        <v>90.7</v>
      </c>
      <c r="R191" s="32">
        <v>67</v>
      </c>
      <c r="S191" s="32">
        <v>98.4</v>
      </c>
      <c r="T191" s="32">
        <v>113.9</v>
      </c>
      <c r="U191" s="32">
        <v>89.7</v>
      </c>
      <c r="V191" s="32">
        <v>104.1</v>
      </c>
      <c r="W191" s="32">
        <v>72.8</v>
      </c>
      <c r="X191" s="32">
        <v>59.7</v>
      </c>
      <c r="Y191" s="32">
        <v>86.9</v>
      </c>
      <c r="Z191" s="32">
        <v>130.9</v>
      </c>
      <c r="AA191" s="32">
        <v>92.5</v>
      </c>
      <c r="AB191" s="32">
        <v>78.400000000000006</v>
      </c>
      <c r="AC191" s="32">
        <v>90.7</v>
      </c>
      <c r="AD191" s="32">
        <v>106.4</v>
      </c>
      <c r="AE191" s="32">
        <v>27.2</v>
      </c>
      <c r="AF191" s="32">
        <v>27.2</v>
      </c>
      <c r="AG191" s="32">
        <v>72.7</v>
      </c>
      <c r="AH191" s="32">
        <v>72.7</v>
      </c>
      <c r="AI191" s="32">
        <v>111.8</v>
      </c>
      <c r="AJ191" s="32">
        <v>56.2</v>
      </c>
      <c r="AK191" s="32">
        <v>92.6</v>
      </c>
      <c r="AL191" s="32">
        <v>69.900000000000006</v>
      </c>
      <c r="AM191" s="32">
        <v>63.8</v>
      </c>
      <c r="AN191" s="32">
        <v>132.6</v>
      </c>
      <c r="AO191" s="32">
        <v>84.5</v>
      </c>
      <c r="AP191" s="32">
        <v>84.5</v>
      </c>
      <c r="AQ191" s="32">
        <v>95.5</v>
      </c>
      <c r="AR191" s="32">
        <v>96.7</v>
      </c>
      <c r="AS191" s="32">
        <v>95.9</v>
      </c>
      <c r="AT191" s="32">
        <v>79.900000000000006</v>
      </c>
      <c r="AU191" s="32">
        <v>111.5</v>
      </c>
      <c r="AV191" s="32">
        <v>94.8</v>
      </c>
      <c r="AW191" s="32">
        <v>137</v>
      </c>
      <c r="AX191" s="32">
        <v>258.3</v>
      </c>
      <c r="AY191" s="32">
        <v>106</v>
      </c>
      <c r="AZ191" s="32">
        <v>88.5</v>
      </c>
      <c r="BA191" s="32">
        <v>75</v>
      </c>
      <c r="BB191" s="32">
        <v>75</v>
      </c>
      <c r="BC191" s="32">
        <v>117.8</v>
      </c>
      <c r="BD191" s="32">
        <v>117.8</v>
      </c>
      <c r="BE191" s="32">
        <v>119.1</v>
      </c>
      <c r="BF191" s="32">
        <v>119.1</v>
      </c>
      <c r="BG191" s="32">
        <v>89.8</v>
      </c>
      <c r="BH191" s="32">
        <v>87.2</v>
      </c>
      <c r="BI191" s="32">
        <v>91.4</v>
      </c>
      <c r="BJ191" s="32">
        <v>36.700000000000003</v>
      </c>
      <c r="BK191" s="32">
        <v>111.7</v>
      </c>
      <c r="BL191" s="32">
        <v>104.3</v>
      </c>
      <c r="BM191" s="32">
        <v>104.7</v>
      </c>
      <c r="BN191" s="32">
        <v>106.4</v>
      </c>
      <c r="BO191" s="32">
        <v>79.400000000000006</v>
      </c>
      <c r="BP191" s="32">
        <v>134.5</v>
      </c>
      <c r="BQ191" s="32">
        <v>103.3</v>
      </c>
      <c r="BR191" s="32">
        <v>174.3</v>
      </c>
      <c r="BS191" s="32">
        <v>148.9</v>
      </c>
      <c r="BT191" s="32">
        <v>80.7</v>
      </c>
      <c r="BU191" s="32">
        <v>105.3</v>
      </c>
      <c r="BV191" s="32">
        <v>105.3</v>
      </c>
      <c r="BW191" s="32">
        <v>149.30000000000001</v>
      </c>
      <c r="BX191" s="32">
        <v>39.5</v>
      </c>
      <c r="BY191" s="32">
        <v>80.599999999999994</v>
      </c>
      <c r="BZ191" s="32">
        <v>83.5</v>
      </c>
      <c r="CA191" s="32">
        <v>79.099999999999994</v>
      </c>
      <c r="CB191" s="32">
        <v>94.1</v>
      </c>
      <c r="CC191" s="32">
        <v>68.2</v>
      </c>
      <c r="CD191" s="32">
        <v>31.3</v>
      </c>
      <c r="CE191" s="32">
        <v>81.5</v>
      </c>
      <c r="CF191" s="32">
        <v>83.2</v>
      </c>
      <c r="CG191" s="32">
        <v>94.8</v>
      </c>
      <c r="CH191" s="32">
        <v>95.7</v>
      </c>
      <c r="CI191" s="32">
        <v>109.6</v>
      </c>
      <c r="CJ191" s="32">
        <v>91.2</v>
      </c>
      <c r="CK191" s="32">
        <v>96.6</v>
      </c>
      <c r="CL191" s="32">
        <v>95.1</v>
      </c>
      <c r="CM191" s="32">
        <v>100.5</v>
      </c>
      <c r="CN191" s="32">
        <v>154.9</v>
      </c>
      <c r="CO191" s="32">
        <v>88.8</v>
      </c>
      <c r="CP191" s="32">
        <v>156.30000000000001</v>
      </c>
      <c r="CQ191" s="32">
        <v>91.9</v>
      </c>
      <c r="CR191" s="32">
        <v>99.5</v>
      </c>
      <c r="CS191" s="32">
        <v>120.5</v>
      </c>
      <c r="CT191" s="32">
        <v>89.8</v>
      </c>
      <c r="CU191" s="32">
        <v>82.4</v>
      </c>
      <c r="CV191" s="32">
        <v>93.1</v>
      </c>
      <c r="CW191" s="32">
        <v>44.4</v>
      </c>
      <c r="CX191" s="32">
        <v>96.5</v>
      </c>
      <c r="CY191" s="32">
        <v>105</v>
      </c>
      <c r="CZ191" s="32">
        <v>92</v>
      </c>
      <c r="DA191" s="32">
        <v>79.5</v>
      </c>
      <c r="DB191" s="32">
        <v>117.2</v>
      </c>
      <c r="DC191" s="32">
        <v>13.9</v>
      </c>
      <c r="DD191" s="32">
        <v>13.9</v>
      </c>
      <c r="DE191" s="32">
        <v>63.7</v>
      </c>
      <c r="DF191" s="32">
        <v>63.2</v>
      </c>
      <c r="DG191" s="32">
        <v>65.7</v>
      </c>
      <c r="DH191" s="32">
        <v>105.9</v>
      </c>
      <c r="DI191" s="32">
        <v>160.80000000000001</v>
      </c>
      <c r="DJ191" s="32">
        <v>79.5</v>
      </c>
      <c r="DK191" s="32">
        <v>79.5</v>
      </c>
      <c r="DL191" s="32">
        <v>59.7</v>
      </c>
      <c r="DM191" s="32">
        <v>84.9</v>
      </c>
      <c r="DN191" s="32">
        <v>85.7</v>
      </c>
      <c r="DO191" s="32">
        <v>85</v>
      </c>
      <c r="DP191" s="32">
        <v>73.7</v>
      </c>
      <c r="DQ191" s="32">
        <v>70.2</v>
      </c>
      <c r="DR191" s="32">
        <v>70.5</v>
      </c>
      <c r="DS191" s="32">
        <v>69.5</v>
      </c>
      <c r="DT191" s="32">
        <v>67</v>
      </c>
      <c r="DU191" s="32">
        <v>71.8</v>
      </c>
      <c r="DV191" s="32">
        <v>81.599999999999994</v>
      </c>
      <c r="DW191" s="32">
        <v>61.8</v>
      </c>
      <c r="DX191" s="32">
        <v>57.4</v>
      </c>
      <c r="DY191" s="32">
        <v>78.599999999999994</v>
      </c>
      <c r="DZ191" s="32">
        <v>101.4</v>
      </c>
      <c r="EA191" s="32">
        <v>101.4</v>
      </c>
      <c r="EB191" s="32">
        <v>63.5</v>
      </c>
      <c r="EC191" s="32">
        <v>65.7</v>
      </c>
      <c r="ED191" s="32">
        <v>60.8</v>
      </c>
      <c r="EE191" s="32">
        <v>62.5</v>
      </c>
      <c r="EF191" s="32">
        <v>57</v>
      </c>
      <c r="EG191" s="32">
        <v>69.7</v>
      </c>
      <c r="EH191" s="32">
        <v>83</v>
      </c>
      <c r="EI191" s="32">
        <v>64.400000000000006</v>
      </c>
      <c r="EJ191" s="32">
        <v>87.7</v>
      </c>
      <c r="EK191" s="32">
        <v>63.9</v>
      </c>
      <c r="EL191" s="32">
        <v>76.900000000000006</v>
      </c>
      <c r="EM191" s="32">
        <v>59.8</v>
      </c>
      <c r="EN191" s="32">
        <v>64.5</v>
      </c>
      <c r="EO191" s="32">
        <v>91.3</v>
      </c>
      <c r="EP191" s="32">
        <v>89.3</v>
      </c>
      <c r="EQ191" s="32">
        <v>89.3</v>
      </c>
      <c r="ER191" s="32">
        <v>88.1</v>
      </c>
      <c r="ES191" s="32">
        <v>88.1</v>
      </c>
      <c r="ET191" s="32">
        <v>97.5</v>
      </c>
      <c r="EU191" s="32">
        <v>108.8</v>
      </c>
      <c r="EV191" s="32">
        <v>108.8</v>
      </c>
      <c r="EW191" s="32">
        <v>85.2</v>
      </c>
      <c r="EX191" s="32">
        <v>93.4</v>
      </c>
      <c r="EY191" s="32">
        <v>78.7</v>
      </c>
      <c r="EZ191" s="32">
        <v>89.7</v>
      </c>
      <c r="FA191" s="32">
        <v>96.7</v>
      </c>
      <c r="FB191" s="32">
        <v>106.2</v>
      </c>
      <c r="FC191" s="32">
        <v>88.6</v>
      </c>
      <c r="FD191" s="32">
        <v>101.7</v>
      </c>
      <c r="FE191" s="32">
        <v>139.30000000000001</v>
      </c>
      <c r="FF191" s="32">
        <v>86.1</v>
      </c>
      <c r="FG191" s="32">
        <v>82.8</v>
      </c>
      <c r="FH191" s="32">
        <v>84.5</v>
      </c>
      <c r="FI191" s="32">
        <v>94</v>
      </c>
      <c r="FJ191" s="32">
        <v>80.599999999999994</v>
      </c>
      <c r="FK191" s="32">
        <v>116.9</v>
      </c>
      <c r="FL191" s="32">
        <v>116.9</v>
      </c>
    </row>
    <row r="192" spans="1:168" x14ac:dyDescent="0.2">
      <c r="A192" s="34" t="s">
        <v>1172</v>
      </c>
      <c r="B192" s="32">
        <v>84.8</v>
      </c>
      <c r="C192" s="32">
        <v>80.900000000000006</v>
      </c>
      <c r="D192" s="32">
        <v>88.8</v>
      </c>
      <c r="E192" s="32">
        <v>92.2</v>
      </c>
      <c r="F192" s="32">
        <v>118.3</v>
      </c>
      <c r="G192" s="32">
        <v>2011.1</v>
      </c>
      <c r="H192" s="32">
        <v>119.8</v>
      </c>
      <c r="I192" s="32">
        <v>97.9</v>
      </c>
      <c r="J192" s="32">
        <v>90.1</v>
      </c>
      <c r="K192" s="32">
        <v>84</v>
      </c>
      <c r="L192" s="32">
        <v>80.8</v>
      </c>
      <c r="M192" s="32">
        <v>62.5</v>
      </c>
      <c r="N192" s="32">
        <v>81.2</v>
      </c>
      <c r="O192" s="32">
        <v>145.4</v>
      </c>
      <c r="P192" s="32">
        <v>147.80000000000001</v>
      </c>
      <c r="Q192" s="32">
        <v>92.1</v>
      </c>
      <c r="R192" s="32">
        <v>66.099999999999994</v>
      </c>
      <c r="S192" s="32">
        <v>101.2</v>
      </c>
      <c r="T192" s="32">
        <v>117.7</v>
      </c>
      <c r="U192" s="32">
        <v>82.3</v>
      </c>
      <c r="V192" s="32">
        <v>103.6</v>
      </c>
      <c r="W192" s="32">
        <v>75</v>
      </c>
      <c r="X192" s="32">
        <v>62.8</v>
      </c>
      <c r="Y192" s="32">
        <v>88</v>
      </c>
      <c r="Z192" s="32">
        <v>124.8</v>
      </c>
      <c r="AA192" s="32">
        <v>99</v>
      </c>
      <c r="AB192" s="32">
        <v>86.5</v>
      </c>
      <c r="AC192" s="32">
        <v>96.2</v>
      </c>
      <c r="AD192" s="32">
        <v>113.1</v>
      </c>
      <c r="AE192" s="32">
        <v>22.4</v>
      </c>
      <c r="AF192" s="32">
        <v>22.4</v>
      </c>
      <c r="AG192" s="32">
        <v>75</v>
      </c>
      <c r="AH192" s="32">
        <v>75</v>
      </c>
      <c r="AI192" s="32">
        <v>110.4</v>
      </c>
      <c r="AJ192" s="32">
        <v>58.3</v>
      </c>
      <c r="AK192" s="32">
        <v>97.2</v>
      </c>
      <c r="AL192" s="32">
        <v>71.3</v>
      </c>
      <c r="AM192" s="32">
        <v>66</v>
      </c>
      <c r="AN192" s="32">
        <v>140.5</v>
      </c>
      <c r="AO192" s="32">
        <v>85.4</v>
      </c>
      <c r="AP192" s="32">
        <v>85.4</v>
      </c>
      <c r="AQ192" s="32">
        <v>100.4</v>
      </c>
      <c r="AR192" s="32">
        <v>101.5</v>
      </c>
      <c r="AS192" s="32">
        <v>101.4</v>
      </c>
      <c r="AT192" s="32">
        <v>84.5</v>
      </c>
      <c r="AU192" s="32">
        <v>117.8</v>
      </c>
      <c r="AV192" s="32">
        <v>106.4</v>
      </c>
      <c r="AW192" s="32">
        <v>137.30000000000001</v>
      </c>
      <c r="AX192" s="32">
        <v>259.8</v>
      </c>
      <c r="AY192" s="32">
        <v>105.4</v>
      </c>
      <c r="AZ192" s="32">
        <v>103.7</v>
      </c>
      <c r="BA192" s="32">
        <v>79.2</v>
      </c>
      <c r="BB192" s="32">
        <v>79.2</v>
      </c>
      <c r="BC192" s="32">
        <v>126.8</v>
      </c>
      <c r="BD192" s="32">
        <v>126.8</v>
      </c>
      <c r="BE192" s="32">
        <v>110.5</v>
      </c>
      <c r="BF192" s="32">
        <v>110.5</v>
      </c>
      <c r="BG192" s="32">
        <v>87.7</v>
      </c>
      <c r="BH192" s="32">
        <v>87.3</v>
      </c>
      <c r="BI192" s="32">
        <v>86.8</v>
      </c>
      <c r="BJ192" s="32">
        <v>36</v>
      </c>
      <c r="BK192" s="32">
        <v>104.3</v>
      </c>
      <c r="BL192" s="32">
        <v>107.3</v>
      </c>
      <c r="BM192" s="32">
        <v>105.3</v>
      </c>
      <c r="BN192" s="32">
        <v>108.3</v>
      </c>
      <c r="BO192" s="32">
        <v>84</v>
      </c>
      <c r="BP192" s="32">
        <v>133.19999999999999</v>
      </c>
      <c r="BQ192" s="32">
        <v>102.7</v>
      </c>
      <c r="BR192" s="32">
        <v>127.2</v>
      </c>
      <c r="BS192" s="32">
        <v>160.80000000000001</v>
      </c>
      <c r="BT192" s="32">
        <v>84</v>
      </c>
      <c r="BU192" s="32">
        <v>103.5</v>
      </c>
      <c r="BV192" s="32">
        <v>103.5</v>
      </c>
      <c r="BW192" s="32">
        <v>147</v>
      </c>
      <c r="BX192" s="32">
        <v>38.6</v>
      </c>
      <c r="BY192" s="32">
        <v>84</v>
      </c>
      <c r="BZ192" s="32">
        <v>84.6</v>
      </c>
      <c r="CA192" s="32">
        <v>83.6</v>
      </c>
      <c r="CB192" s="32">
        <v>104.1</v>
      </c>
      <c r="CC192" s="32">
        <v>68.7</v>
      </c>
      <c r="CD192" s="32">
        <v>32.200000000000003</v>
      </c>
      <c r="CE192" s="32">
        <v>81.900000000000006</v>
      </c>
      <c r="CF192" s="32">
        <v>84.3</v>
      </c>
      <c r="CG192" s="32">
        <v>95.7</v>
      </c>
      <c r="CH192" s="32">
        <v>96.9</v>
      </c>
      <c r="CI192" s="32">
        <v>114.9</v>
      </c>
      <c r="CJ192" s="32">
        <v>93.4</v>
      </c>
      <c r="CK192" s="32">
        <v>96.1</v>
      </c>
      <c r="CL192" s="32">
        <v>95.6</v>
      </c>
      <c r="CM192" s="32">
        <v>103.1</v>
      </c>
      <c r="CN192" s="32">
        <v>154.69999999999999</v>
      </c>
      <c r="CO192" s="32">
        <v>91.7</v>
      </c>
      <c r="CP192" s="32">
        <v>155.19999999999999</v>
      </c>
      <c r="CQ192" s="32">
        <v>89.7</v>
      </c>
      <c r="CR192" s="32">
        <v>99.8</v>
      </c>
      <c r="CS192" s="32">
        <v>118</v>
      </c>
      <c r="CT192" s="32">
        <v>90.5</v>
      </c>
      <c r="CU192" s="32">
        <v>82.8</v>
      </c>
      <c r="CV192" s="32">
        <v>93.8</v>
      </c>
      <c r="CW192" s="32">
        <v>44.7</v>
      </c>
      <c r="CX192" s="32">
        <v>94.3</v>
      </c>
      <c r="CY192" s="32">
        <v>108.6</v>
      </c>
      <c r="CZ192" s="32">
        <v>86.6</v>
      </c>
      <c r="DA192" s="32">
        <v>72.5</v>
      </c>
      <c r="DB192" s="32">
        <v>115.1</v>
      </c>
      <c r="DC192" s="32">
        <v>13.9</v>
      </c>
      <c r="DD192" s="32">
        <v>13.9</v>
      </c>
      <c r="DE192" s="32">
        <v>66.099999999999994</v>
      </c>
      <c r="DF192" s="32">
        <v>66.400000000000006</v>
      </c>
      <c r="DG192" s="32">
        <v>64.099999999999994</v>
      </c>
      <c r="DH192" s="32">
        <v>104.6</v>
      </c>
      <c r="DI192" s="32">
        <v>155.30000000000001</v>
      </c>
      <c r="DJ192" s="32">
        <v>80.3</v>
      </c>
      <c r="DK192" s="32">
        <v>80.3</v>
      </c>
      <c r="DL192" s="32">
        <v>61.6</v>
      </c>
      <c r="DM192" s="32">
        <v>85.4</v>
      </c>
      <c r="DN192" s="32">
        <v>86</v>
      </c>
      <c r="DO192" s="32">
        <v>85.5</v>
      </c>
      <c r="DP192" s="32">
        <v>75.900000000000006</v>
      </c>
      <c r="DQ192" s="32">
        <v>73.400000000000006</v>
      </c>
      <c r="DR192" s="32">
        <v>74.400000000000006</v>
      </c>
      <c r="DS192" s="32">
        <v>71.599999999999994</v>
      </c>
      <c r="DT192" s="32">
        <v>70</v>
      </c>
      <c r="DU192" s="32">
        <v>74.099999999999994</v>
      </c>
      <c r="DV192" s="32">
        <v>84.7</v>
      </c>
      <c r="DW192" s="32">
        <v>63.3</v>
      </c>
      <c r="DX192" s="32">
        <v>61.8</v>
      </c>
      <c r="DY192" s="32">
        <v>77.900000000000006</v>
      </c>
      <c r="DZ192" s="32">
        <v>115.1</v>
      </c>
      <c r="EA192" s="32">
        <v>115.1</v>
      </c>
      <c r="EB192" s="32">
        <v>69.5</v>
      </c>
      <c r="EC192" s="32">
        <v>73.8</v>
      </c>
      <c r="ED192" s="32">
        <v>64.099999999999994</v>
      </c>
      <c r="EE192" s="32">
        <v>66.8</v>
      </c>
      <c r="EF192" s="32">
        <v>58.2</v>
      </c>
      <c r="EG192" s="32">
        <v>71.900000000000006</v>
      </c>
      <c r="EH192" s="32">
        <v>86.3</v>
      </c>
      <c r="EI192" s="32">
        <v>68.5</v>
      </c>
      <c r="EJ192" s="32">
        <v>84.5</v>
      </c>
      <c r="EK192" s="32">
        <v>65.5</v>
      </c>
      <c r="EL192" s="32">
        <v>78.5</v>
      </c>
      <c r="EM192" s="32">
        <v>61.9</v>
      </c>
      <c r="EN192" s="32">
        <v>65.599999999999994</v>
      </c>
      <c r="EO192" s="32">
        <v>91.6</v>
      </c>
      <c r="EP192" s="32">
        <v>88.9</v>
      </c>
      <c r="EQ192" s="32">
        <v>88.9</v>
      </c>
      <c r="ER192" s="32">
        <v>88.1</v>
      </c>
      <c r="ES192" s="32">
        <v>88.1</v>
      </c>
      <c r="ET192" s="32">
        <v>98.4</v>
      </c>
      <c r="EU192" s="32">
        <v>110.4</v>
      </c>
      <c r="EV192" s="32">
        <v>110.4</v>
      </c>
      <c r="EW192" s="32">
        <v>84.9</v>
      </c>
      <c r="EX192" s="32">
        <v>93.2</v>
      </c>
      <c r="EY192" s="32">
        <v>78.400000000000006</v>
      </c>
      <c r="EZ192" s="32">
        <v>97.8</v>
      </c>
      <c r="FA192" s="32">
        <v>113.3</v>
      </c>
      <c r="FB192" s="32">
        <v>109.5</v>
      </c>
      <c r="FC192" s="32">
        <v>94.3</v>
      </c>
      <c r="FD192" s="32">
        <v>100.9</v>
      </c>
      <c r="FE192" s="32">
        <v>140.19999999999999</v>
      </c>
      <c r="FF192" s="32">
        <v>117.7</v>
      </c>
      <c r="FG192" s="32">
        <v>84.5</v>
      </c>
      <c r="FH192" s="32">
        <v>84.5</v>
      </c>
      <c r="FI192" s="32">
        <v>97.9</v>
      </c>
      <c r="FJ192" s="32">
        <v>82.8</v>
      </c>
      <c r="FK192" s="32">
        <v>129.69999999999999</v>
      </c>
      <c r="FL192" s="32">
        <v>129.69999999999999</v>
      </c>
    </row>
    <row r="193" spans="1:168" x14ac:dyDescent="0.2">
      <c r="A193" s="34" t="s">
        <v>1173</v>
      </c>
      <c r="B193" s="32">
        <v>85.3</v>
      </c>
      <c r="C193" s="32">
        <v>79.599999999999994</v>
      </c>
      <c r="D193" s="32">
        <v>88.4</v>
      </c>
      <c r="E193" s="32">
        <v>91.7</v>
      </c>
      <c r="F193" s="32">
        <v>118.6</v>
      </c>
      <c r="G193" s="32">
        <v>2017.6</v>
      </c>
      <c r="H193" s="32">
        <v>120.1</v>
      </c>
      <c r="I193" s="32">
        <v>98.7</v>
      </c>
      <c r="J193" s="32">
        <v>89.2</v>
      </c>
      <c r="K193" s="32">
        <v>85</v>
      </c>
      <c r="L193" s="32">
        <v>81.5</v>
      </c>
      <c r="M193" s="32">
        <v>65.2</v>
      </c>
      <c r="N193" s="32">
        <v>82.2</v>
      </c>
      <c r="O193" s="32">
        <v>149.80000000000001</v>
      </c>
      <c r="P193" s="32">
        <v>146.6</v>
      </c>
      <c r="Q193" s="32">
        <v>92.6</v>
      </c>
      <c r="R193" s="32">
        <v>65</v>
      </c>
      <c r="S193" s="32">
        <v>102.3</v>
      </c>
      <c r="T193" s="32">
        <v>120.2</v>
      </c>
      <c r="U193" s="32">
        <v>91.1</v>
      </c>
      <c r="V193" s="32">
        <v>103.6</v>
      </c>
      <c r="W193" s="32">
        <v>77</v>
      </c>
      <c r="X193" s="32">
        <v>61.4</v>
      </c>
      <c r="Y193" s="32">
        <v>95</v>
      </c>
      <c r="Z193" s="32">
        <v>146.19999999999999</v>
      </c>
      <c r="AA193" s="32">
        <v>100.6</v>
      </c>
      <c r="AB193" s="32">
        <v>92.6</v>
      </c>
      <c r="AC193" s="32">
        <v>97.9</v>
      </c>
      <c r="AD193" s="32">
        <v>111.7</v>
      </c>
      <c r="AE193" s="32">
        <v>24.2</v>
      </c>
      <c r="AF193" s="32">
        <v>24.2</v>
      </c>
      <c r="AG193" s="32">
        <v>76.400000000000006</v>
      </c>
      <c r="AH193" s="32">
        <v>76.400000000000006</v>
      </c>
      <c r="AI193" s="32">
        <v>115.6</v>
      </c>
      <c r="AJ193" s="32">
        <v>60.6</v>
      </c>
      <c r="AK193" s="32">
        <v>99.1</v>
      </c>
      <c r="AL193" s="32">
        <v>73</v>
      </c>
      <c r="AM193" s="32">
        <v>65.5</v>
      </c>
      <c r="AN193" s="32">
        <v>143.1</v>
      </c>
      <c r="AO193" s="32">
        <v>85.3</v>
      </c>
      <c r="AP193" s="32">
        <v>85.3</v>
      </c>
      <c r="AQ193" s="32">
        <v>99.9</v>
      </c>
      <c r="AR193" s="32">
        <v>99.5</v>
      </c>
      <c r="AS193" s="32">
        <v>103.3</v>
      </c>
      <c r="AT193" s="32">
        <v>84.3</v>
      </c>
      <c r="AU193" s="32">
        <v>122.2</v>
      </c>
      <c r="AV193" s="32">
        <v>97.8</v>
      </c>
      <c r="AW193" s="32">
        <v>129.6</v>
      </c>
      <c r="AX193" s="32">
        <v>244.3</v>
      </c>
      <c r="AY193" s="32">
        <v>100.2</v>
      </c>
      <c r="AZ193" s="32">
        <v>94.3</v>
      </c>
      <c r="BA193" s="32">
        <v>80.8</v>
      </c>
      <c r="BB193" s="32">
        <v>80.8</v>
      </c>
      <c r="BC193" s="32">
        <v>127.2</v>
      </c>
      <c r="BD193" s="32">
        <v>127.2</v>
      </c>
      <c r="BE193" s="32">
        <v>108.9</v>
      </c>
      <c r="BF193" s="32">
        <v>108.9</v>
      </c>
      <c r="BG193" s="32">
        <v>83</v>
      </c>
      <c r="BH193" s="32">
        <v>81.099999999999994</v>
      </c>
      <c r="BI193" s="32">
        <v>83.9</v>
      </c>
      <c r="BJ193" s="32">
        <v>36.700000000000003</v>
      </c>
      <c r="BK193" s="32">
        <v>99.3</v>
      </c>
      <c r="BL193" s="32">
        <v>106.3</v>
      </c>
      <c r="BM193" s="32">
        <v>107</v>
      </c>
      <c r="BN193" s="32">
        <v>106.5</v>
      </c>
      <c r="BO193" s="32">
        <v>79.2</v>
      </c>
      <c r="BP193" s="32">
        <v>134.9</v>
      </c>
      <c r="BQ193" s="32">
        <v>108.1</v>
      </c>
      <c r="BR193" s="32">
        <v>144.6</v>
      </c>
      <c r="BS193" s="32">
        <v>156</v>
      </c>
      <c r="BT193" s="32">
        <v>89.8</v>
      </c>
      <c r="BU193" s="32">
        <v>103.6</v>
      </c>
      <c r="BV193" s="32">
        <v>103.6</v>
      </c>
      <c r="BW193" s="32">
        <v>149.30000000000001</v>
      </c>
      <c r="BX193" s="32">
        <v>37.1</v>
      </c>
      <c r="BY193" s="32">
        <v>85.3</v>
      </c>
      <c r="BZ193" s="32">
        <v>87.3</v>
      </c>
      <c r="CA193" s="32">
        <v>84.3</v>
      </c>
      <c r="CB193" s="32">
        <v>106.6</v>
      </c>
      <c r="CC193" s="32">
        <v>68</v>
      </c>
      <c r="CD193" s="32">
        <v>32.1</v>
      </c>
      <c r="CE193" s="32">
        <v>81.7</v>
      </c>
      <c r="CF193" s="32">
        <v>85</v>
      </c>
      <c r="CG193" s="32">
        <v>97</v>
      </c>
      <c r="CH193" s="32">
        <v>97.7</v>
      </c>
      <c r="CI193" s="32">
        <v>112.3</v>
      </c>
      <c r="CJ193" s="32">
        <v>96.2</v>
      </c>
      <c r="CK193" s="32">
        <v>96.2</v>
      </c>
      <c r="CL193" s="32">
        <v>97.3</v>
      </c>
      <c r="CM193" s="32">
        <v>106.3</v>
      </c>
      <c r="CN193" s="32">
        <v>154.1</v>
      </c>
      <c r="CO193" s="32">
        <v>95.3</v>
      </c>
      <c r="CP193" s="32">
        <v>154.9</v>
      </c>
      <c r="CQ193" s="32">
        <v>89.9</v>
      </c>
      <c r="CR193" s="32">
        <v>102.5</v>
      </c>
      <c r="CS193" s="32">
        <v>117.1</v>
      </c>
      <c r="CT193" s="32">
        <v>93.2</v>
      </c>
      <c r="CU193" s="32">
        <v>86.8</v>
      </c>
      <c r="CV193" s="32">
        <v>96</v>
      </c>
      <c r="CW193" s="32">
        <v>46.2</v>
      </c>
      <c r="CX193" s="32">
        <v>97.6</v>
      </c>
      <c r="CY193" s="32">
        <v>111</v>
      </c>
      <c r="CZ193" s="32">
        <v>90.4</v>
      </c>
      <c r="DA193" s="32">
        <v>78.599999999999994</v>
      </c>
      <c r="DB193" s="32">
        <v>114.1</v>
      </c>
      <c r="DC193" s="32">
        <v>14.1</v>
      </c>
      <c r="DD193" s="32">
        <v>14.1</v>
      </c>
      <c r="DE193" s="32">
        <v>69.2</v>
      </c>
      <c r="DF193" s="32">
        <v>69.8</v>
      </c>
      <c r="DG193" s="32">
        <v>65.3</v>
      </c>
      <c r="DH193" s="32">
        <v>103.7</v>
      </c>
      <c r="DI193" s="32">
        <v>154.30000000000001</v>
      </c>
      <c r="DJ193" s="32">
        <v>79.7</v>
      </c>
      <c r="DK193" s="32">
        <v>79.7</v>
      </c>
      <c r="DL193" s="32">
        <v>60.4</v>
      </c>
      <c r="DM193" s="32">
        <v>85.7</v>
      </c>
      <c r="DN193" s="32">
        <v>86.5</v>
      </c>
      <c r="DO193" s="32">
        <v>85.6</v>
      </c>
      <c r="DP193" s="32">
        <v>79</v>
      </c>
      <c r="DQ193" s="32">
        <v>75.099999999999994</v>
      </c>
      <c r="DR193" s="32">
        <v>75.5</v>
      </c>
      <c r="DS193" s="32">
        <v>74.7</v>
      </c>
      <c r="DT193" s="32">
        <v>71.2</v>
      </c>
      <c r="DU193" s="32">
        <v>75.2</v>
      </c>
      <c r="DV193" s="32">
        <v>86</v>
      </c>
      <c r="DW193" s="32">
        <v>64.2</v>
      </c>
      <c r="DX193" s="32">
        <v>63.1</v>
      </c>
      <c r="DY193" s="32">
        <v>87.3</v>
      </c>
      <c r="DZ193" s="32">
        <v>110</v>
      </c>
      <c r="EA193" s="32">
        <v>110</v>
      </c>
      <c r="EB193" s="32">
        <v>66.900000000000006</v>
      </c>
      <c r="EC193" s="32">
        <v>68.3</v>
      </c>
      <c r="ED193" s="32">
        <v>65.400000000000006</v>
      </c>
      <c r="EE193" s="32">
        <v>68.7</v>
      </c>
      <c r="EF193" s="32">
        <v>58.4</v>
      </c>
      <c r="EG193" s="32">
        <v>74.3</v>
      </c>
      <c r="EH193" s="32">
        <v>86.6</v>
      </c>
      <c r="EI193" s="32">
        <v>71.099999999999994</v>
      </c>
      <c r="EJ193" s="32">
        <v>87.4</v>
      </c>
      <c r="EK193" s="32">
        <v>68.400000000000006</v>
      </c>
      <c r="EL193" s="32">
        <v>73.8</v>
      </c>
      <c r="EM193" s="32">
        <v>61.3</v>
      </c>
      <c r="EN193" s="32">
        <v>72.3</v>
      </c>
      <c r="EO193" s="32">
        <v>91.2</v>
      </c>
      <c r="EP193" s="32">
        <v>88.7</v>
      </c>
      <c r="EQ193" s="32">
        <v>88.7</v>
      </c>
      <c r="ER193" s="32">
        <v>87.4</v>
      </c>
      <c r="ES193" s="32">
        <v>87.4</v>
      </c>
      <c r="ET193" s="32">
        <v>98.2</v>
      </c>
      <c r="EU193" s="32">
        <v>109.9</v>
      </c>
      <c r="EV193" s="32">
        <v>109.9</v>
      </c>
      <c r="EW193" s="32">
        <v>85.3</v>
      </c>
      <c r="EX193" s="32">
        <v>93.6</v>
      </c>
      <c r="EY193" s="32">
        <v>78.8</v>
      </c>
      <c r="EZ193" s="32">
        <v>101.2</v>
      </c>
      <c r="FA193" s="32">
        <v>118.9</v>
      </c>
      <c r="FB193" s="32">
        <v>112.2</v>
      </c>
      <c r="FC193" s="32">
        <v>98.3</v>
      </c>
      <c r="FD193" s="32">
        <v>102.7</v>
      </c>
      <c r="FE193" s="32">
        <v>140.9</v>
      </c>
      <c r="FF193" s="32">
        <v>126.7</v>
      </c>
      <c r="FG193" s="32">
        <v>86.8</v>
      </c>
      <c r="FH193" s="32">
        <v>82.9</v>
      </c>
      <c r="FI193" s="32">
        <v>94.5</v>
      </c>
      <c r="FJ193" s="32">
        <v>87.6</v>
      </c>
      <c r="FK193" s="32">
        <v>124.5</v>
      </c>
      <c r="FL193" s="32">
        <v>124.5</v>
      </c>
    </row>
    <row r="194" spans="1:168" x14ac:dyDescent="0.2">
      <c r="A194" s="34" t="s">
        <v>1174</v>
      </c>
      <c r="B194" s="32">
        <v>84.4</v>
      </c>
      <c r="C194" s="32">
        <v>79.2</v>
      </c>
      <c r="D194" s="32">
        <v>86.9</v>
      </c>
      <c r="E194" s="32">
        <v>89.4</v>
      </c>
      <c r="F194" s="32">
        <v>93.2</v>
      </c>
      <c r="G194" s="32">
        <v>1721.8</v>
      </c>
      <c r="H194" s="32">
        <v>89</v>
      </c>
      <c r="I194" s="32">
        <v>98</v>
      </c>
      <c r="J194" s="32">
        <v>89.7</v>
      </c>
      <c r="K194" s="32">
        <v>84.7</v>
      </c>
      <c r="L194" s="32">
        <v>81.2</v>
      </c>
      <c r="M194" s="32">
        <v>63.8</v>
      </c>
      <c r="N194" s="32">
        <v>80.400000000000006</v>
      </c>
      <c r="O194" s="32">
        <v>151.5</v>
      </c>
      <c r="P194" s="32">
        <v>139.6</v>
      </c>
      <c r="Q194" s="32">
        <v>96.6</v>
      </c>
      <c r="R194" s="32">
        <v>65.3</v>
      </c>
      <c r="S194" s="32">
        <v>103.6</v>
      </c>
      <c r="T194" s="32">
        <v>120.9</v>
      </c>
      <c r="U194" s="32">
        <v>93.4</v>
      </c>
      <c r="V194" s="32">
        <v>101.9</v>
      </c>
      <c r="W194" s="32">
        <v>78.5</v>
      </c>
      <c r="X194" s="32">
        <v>62.1</v>
      </c>
      <c r="Y194" s="32">
        <v>100</v>
      </c>
      <c r="Z194" s="32">
        <v>136</v>
      </c>
      <c r="AA194" s="32">
        <v>99</v>
      </c>
      <c r="AB194" s="32">
        <v>87.2</v>
      </c>
      <c r="AC194" s="32">
        <v>97.8</v>
      </c>
      <c r="AD194" s="32">
        <v>111.1</v>
      </c>
      <c r="AE194" s="32">
        <v>27.4</v>
      </c>
      <c r="AF194" s="32">
        <v>27.4</v>
      </c>
      <c r="AG194" s="32">
        <v>76.3</v>
      </c>
      <c r="AH194" s="32">
        <v>76.3</v>
      </c>
      <c r="AI194" s="32">
        <v>114.3</v>
      </c>
      <c r="AJ194" s="32">
        <v>58.9</v>
      </c>
      <c r="AK194" s="32">
        <v>94.5</v>
      </c>
      <c r="AL194" s="32">
        <v>72.900000000000006</v>
      </c>
      <c r="AM194" s="32">
        <v>66.7</v>
      </c>
      <c r="AN194" s="32">
        <v>149.19999999999999</v>
      </c>
      <c r="AO194" s="32">
        <v>87.3</v>
      </c>
      <c r="AP194" s="32">
        <v>87.3</v>
      </c>
      <c r="AQ194" s="32">
        <v>103.9</v>
      </c>
      <c r="AR194" s="32">
        <v>105.9</v>
      </c>
      <c r="AS194" s="32">
        <v>103.4</v>
      </c>
      <c r="AT194" s="32">
        <v>83.7</v>
      </c>
      <c r="AU194" s="32">
        <v>122.9</v>
      </c>
      <c r="AV194" s="32">
        <v>98.9</v>
      </c>
      <c r="AW194" s="32">
        <v>129.19999999999999</v>
      </c>
      <c r="AX194" s="32">
        <v>253.8</v>
      </c>
      <c r="AY194" s="32">
        <v>92.7</v>
      </c>
      <c r="AZ194" s="32">
        <v>95.9</v>
      </c>
      <c r="BA194" s="32">
        <v>81.900000000000006</v>
      </c>
      <c r="BB194" s="32">
        <v>81.900000000000006</v>
      </c>
      <c r="BC194" s="32">
        <v>124</v>
      </c>
      <c r="BD194" s="32">
        <v>124</v>
      </c>
      <c r="BE194" s="32">
        <v>104.7</v>
      </c>
      <c r="BF194" s="32">
        <v>104.7</v>
      </c>
      <c r="BG194" s="32">
        <v>86.7</v>
      </c>
      <c r="BH194" s="32">
        <v>90.1</v>
      </c>
      <c r="BI194" s="32">
        <v>81.5</v>
      </c>
      <c r="BJ194" s="32">
        <v>38.6</v>
      </c>
      <c r="BK194" s="32">
        <v>94.5</v>
      </c>
      <c r="BL194" s="32">
        <v>102.5</v>
      </c>
      <c r="BM194" s="32">
        <v>104.8</v>
      </c>
      <c r="BN194" s="32">
        <v>104.5</v>
      </c>
      <c r="BO194" s="32">
        <v>77.900000000000006</v>
      </c>
      <c r="BP194" s="32">
        <v>132.19999999999999</v>
      </c>
      <c r="BQ194" s="32">
        <v>105.8</v>
      </c>
      <c r="BR194" s="32">
        <v>156.6</v>
      </c>
      <c r="BS194" s="32">
        <v>160.5</v>
      </c>
      <c r="BT194" s="32">
        <v>83.9</v>
      </c>
      <c r="BU194" s="32">
        <v>104.1</v>
      </c>
      <c r="BV194" s="32">
        <v>104.1</v>
      </c>
      <c r="BW194" s="32">
        <v>147</v>
      </c>
      <c r="BX194" s="32">
        <v>39.5</v>
      </c>
      <c r="BY194" s="32">
        <v>81</v>
      </c>
      <c r="BZ194" s="32">
        <v>87.5</v>
      </c>
      <c r="CA194" s="32">
        <v>77.900000000000006</v>
      </c>
      <c r="CB194" s="32">
        <v>92.7</v>
      </c>
      <c r="CC194" s="32">
        <v>67</v>
      </c>
      <c r="CD194" s="32">
        <v>32.4</v>
      </c>
      <c r="CE194" s="32">
        <v>82.4</v>
      </c>
      <c r="CF194" s="32">
        <v>84.2</v>
      </c>
      <c r="CG194" s="32">
        <v>97</v>
      </c>
      <c r="CH194" s="32">
        <v>98</v>
      </c>
      <c r="CI194" s="32">
        <v>118.6</v>
      </c>
      <c r="CJ194" s="32">
        <v>94.8</v>
      </c>
      <c r="CK194" s="32">
        <v>96.3</v>
      </c>
      <c r="CL194" s="32">
        <v>96.4</v>
      </c>
      <c r="CM194" s="32">
        <v>104.3</v>
      </c>
      <c r="CN194" s="32">
        <v>152.5</v>
      </c>
      <c r="CO194" s="32">
        <v>93.3</v>
      </c>
      <c r="CP194" s="32">
        <v>155.1</v>
      </c>
      <c r="CQ194" s="32">
        <v>91.1</v>
      </c>
      <c r="CR194" s="32">
        <v>100.5</v>
      </c>
      <c r="CS194" s="32">
        <v>118.8</v>
      </c>
      <c r="CT194" s="32">
        <v>93.3</v>
      </c>
      <c r="CU194" s="32">
        <v>86</v>
      </c>
      <c r="CV194" s="32">
        <v>96.5</v>
      </c>
      <c r="CW194" s="32">
        <v>45.9</v>
      </c>
      <c r="CX194" s="32">
        <v>96.8</v>
      </c>
      <c r="CY194" s="32">
        <v>107.3</v>
      </c>
      <c r="CZ194" s="32">
        <v>91.1</v>
      </c>
      <c r="DA194" s="32">
        <v>79.3</v>
      </c>
      <c r="DB194" s="32">
        <v>114.9</v>
      </c>
      <c r="DC194" s="32">
        <v>14.1</v>
      </c>
      <c r="DD194" s="32">
        <v>14.1</v>
      </c>
      <c r="DE194" s="32">
        <v>68.8</v>
      </c>
      <c r="DF194" s="32">
        <v>68.599999999999994</v>
      </c>
      <c r="DG194" s="32">
        <v>69.5</v>
      </c>
      <c r="DH194" s="32">
        <v>99.5</v>
      </c>
      <c r="DI194" s="32">
        <v>147.4</v>
      </c>
      <c r="DJ194" s="32">
        <v>78.8</v>
      </c>
      <c r="DK194" s="32">
        <v>78.8</v>
      </c>
      <c r="DL194" s="32">
        <v>56.7</v>
      </c>
      <c r="DM194" s="32">
        <v>85.5</v>
      </c>
      <c r="DN194" s="32">
        <v>87.1</v>
      </c>
      <c r="DO194" s="32">
        <v>85.3</v>
      </c>
      <c r="DP194" s="32">
        <v>76.099999999999994</v>
      </c>
      <c r="DQ194" s="32">
        <v>74.8</v>
      </c>
      <c r="DR194" s="32">
        <v>75.3</v>
      </c>
      <c r="DS194" s="32">
        <v>74.8</v>
      </c>
      <c r="DT194" s="32">
        <v>71.400000000000006</v>
      </c>
      <c r="DU194" s="32">
        <v>75.3</v>
      </c>
      <c r="DV194" s="32">
        <v>85.5</v>
      </c>
      <c r="DW194" s="32">
        <v>64.8</v>
      </c>
      <c r="DX194" s="32">
        <v>63.7</v>
      </c>
      <c r="DY194" s="32">
        <v>87.3</v>
      </c>
      <c r="DZ194" s="32">
        <v>108</v>
      </c>
      <c r="EA194" s="32">
        <v>108</v>
      </c>
      <c r="EB194" s="32">
        <v>65.900000000000006</v>
      </c>
      <c r="EC194" s="32">
        <v>67</v>
      </c>
      <c r="ED194" s="32">
        <v>64.7</v>
      </c>
      <c r="EE194" s="32">
        <v>67.3</v>
      </c>
      <c r="EF194" s="32">
        <v>59.1</v>
      </c>
      <c r="EG194" s="32">
        <v>74.2</v>
      </c>
      <c r="EH194" s="32">
        <v>87.5</v>
      </c>
      <c r="EI194" s="32">
        <v>69.599999999999994</v>
      </c>
      <c r="EJ194" s="32">
        <v>90.1</v>
      </c>
      <c r="EK194" s="32">
        <v>68.400000000000006</v>
      </c>
      <c r="EL194" s="32">
        <v>81.8</v>
      </c>
      <c r="EM194" s="32">
        <v>59.8</v>
      </c>
      <c r="EN194" s="32">
        <v>71.7</v>
      </c>
      <c r="EO194" s="32">
        <v>91.1</v>
      </c>
      <c r="EP194" s="32">
        <v>88.3</v>
      </c>
      <c r="EQ194" s="32">
        <v>88.3</v>
      </c>
      <c r="ER194" s="32">
        <v>86.8</v>
      </c>
      <c r="ES194" s="32">
        <v>86.8</v>
      </c>
      <c r="ET194" s="32">
        <v>98.8</v>
      </c>
      <c r="EU194" s="32">
        <v>110.4</v>
      </c>
      <c r="EV194" s="32">
        <v>110.4</v>
      </c>
      <c r="EW194" s="32">
        <v>85.9</v>
      </c>
      <c r="EX194" s="32">
        <v>93.7</v>
      </c>
      <c r="EY194" s="32">
        <v>79.8</v>
      </c>
      <c r="EZ194" s="32">
        <v>93.5</v>
      </c>
      <c r="FA194" s="32">
        <v>103.4</v>
      </c>
      <c r="FB194" s="32">
        <v>109.1</v>
      </c>
      <c r="FC194" s="32">
        <v>92.8</v>
      </c>
      <c r="FD194" s="32">
        <v>103.9</v>
      </c>
      <c r="FE194" s="32">
        <v>140.1</v>
      </c>
      <c r="FF194" s="32">
        <v>97.1</v>
      </c>
      <c r="FG194" s="32">
        <v>84.4</v>
      </c>
      <c r="FH194" s="32">
        <v>81.2</v>
      </c>
      <c r="FI194" s="32">
        <v>87.7</v>
      </c>
      <c r="FJ194" s="32">
        <v>85.4</v>
      </c>
      <c r="FK194" s="32">
        <v>122.1</v>
      </c>
      <c r="FL194" s="32">
        <v>122.1</v>
      </c>
    </row>
    <row r="195" spans="1:168" x14ac:dyDescent="0.2">
      <c r="A195" s="34" t="s">
        <v>1175</v>
      </c>
      <c r="B195" s="32">
        <v>84.7</v>
      </c>
      <c r="C195" s="32">
        <v>79.099999999999994</v>
      </c>
      <c r="D195" s="32">
        <v>87.5</v>
      </c>
      <c r="E195" s="32">
        <v>90</v>
      </c>
      <c r="F195" s="32">
        <v>92.4</v>
      </c>
      <c r="G195" s="32">
        <v>1641.2</v>
      </c>
      <c r="H195" s="32">
        <v>89.3</v>
      </c>
      <c r="I195" s="32">
        <v>94.5</v>
      </c>
      <c r="J195" s="32">
        <v>89.5</v>
      </c>
      <c r="K195" s="32">
        <v>84.9</v>
      </c>
      <c r="L195" s="32">
        <v>82</v>
      </c>
      <c r="M195" s="32">
        <v>65.099999999999994</v>
      </c>
      <c r="N195" s="32">
        <v>78.5</v>
      </c>
      <c r="O195" s="32">
        <v>164.1</v>
      </c>
      <c r="P195" s="32">
        <v>145.80000000000001</v>
      </c>
      <c r="Q195" s="32">
        <v>95.5</v>
      </c>
      <c r="R195" s="32">
        <v>65.7</v>
      </c>
      <c r="S195" s="32">
        <v>104</v>
      </c>
      <c r="T195" s="32">
        <v>128</v>
      </c>
      <c r="U195" s="32">
        <v>102.1</v>
      </c>
      <c r="V195" s="32">
        <v>96.5</v>
      </c>
      <c r="W195" s="32">
        <v>80.2</v>
      </c>
      <c r="X195" s="32">
        <v>64.5</v>
      </c>
      <c r="Y195" s="32">
        <v>99.2</v>
      </c>
      <c r="Z195" s="32">
        <v>141.19999999999999</v>
      </c>
      <c r="AA195" s="32">
        <v>100.8</v>
      </c>
      <c r="AB195" s="32">
        <v>95</v>
      </c>
      <c r="AC195" s="32">
        <v>98.5</v>
      </c>
      <c r="AD195" s="32">
        <v>109.9</v>
      </c>
      <c r="AE195" s="32">
        <v>23.8</v>
      </c>
      <c r="AF195" s="32">
        <v>23.8</v>
      </c>
      <c r="AG195" s="32">
        <v>78.7</v>
      </c>
      <c r="AH195" s="32">
        <v>78.7</v>
      </c>
      <c r="AI195" s="32">
        <v>117.5</v>
      </c>
      <c r="AJ195" s="32">
        <v>64.7</v>
      </c>
      <c r="AK195" s="32">
        <v>92.1</v>
      </c>
      <c r="AL195" s="32">
        <v>73.3</v>
      </c>
      <c r="AM195" s="32">
        <v>65.5</v>
      </c>
      <c r="AN195" s="32">
        <v>155</v>
      </c>
      <c r="AO195" s="32">
        <v>83.5</v>
      </c>
      <c r="AP195" s="32">
        <v>83.5</v>
      </c>
      <c r="AQ195" s="32">
        <v>101.8</v>
      </c>
      <c r="AR195" s="32">
        <v>101.3</v>
      </c>
      <c r="AS195" s="32">
        <v>105</v>
      </c>
      <c r="AT195" s="32">
        <v>82.1</v>
      </c>
      <c r="AU195" s="32">
        <v>128.1</v>
      </c>
      <c r="AV195" s="32">
        <v>99.8</v>
      </c>
      <c r="AW195" s="32">
        <v>130.6</v>
      </c>
      <c r="AX195" s="32">
        <v>262.3</v>
      </c>
      <c r="AY195" s="32">
        <v>89.6</v>
      </c>
      <c r="AZ195" s="32">
        <v>97.3</v>
      </c>
      <c r="BA195" s="32">
        <v>87</v>
      </c>
      <c r="BB195" s="32">
        <v>87</v>
      </c>
      <c r="BC195" s="32">
        <v>123.7</v>
      </c>
      <c r="BD195" s="32">
        <v>123.7</v>
      </c>
      <c r="BE195" s="32">
        <v>106.1</v>
      </c>
      <c r="BF195" s="32">
        <v>106.1</v>
      </c>
      <c r="BG195" s="32">
        <v>81.099999999999994</v>
      </c>
      <c r="BH195" s="32">
        <v>80.2</v>
      </c>
      <c r="BI195" s="32">
        <v>80.7</v>
      </c>
      <c r="BJ195" s="32">
        <v>39.5</v>
      </c>
      <c r="BK195" s="32">
        <v>91.2</v>
      </c>
      <c r="BL195" s="32">
        <v>112.7</v>
      </c>
      <c r="BM195" s="32">
        <v>104.6</v>
      </c>
      <c r="BN195" s="32">
        <v>104.9</v>
      </c>
      <c r="BO195" s="32">
        <v>81.7</v>
      </c>
      <c r="BP195" s="32">
        <v>128.6</v>
      </c>
      <c r="BQ195" s="32">
        <v>104.9</v>
      </c>
      <c r="BR195" s="32">
        <v>141.30000000000001</v>
      </c>
      <c r="BS195" s="32">
        <v>161</v>
      </c>
      <c r="BT195" s="32">
        <v>84.8</v>
      </c>
      <c r="BU195" s="32">
        <v>111.1</v>
      </c>
      <c r="BV195" s="32">
        <v>111.1</v>
      </c>
      <c r="BW195" s="32">
        <v>145.6</v>
      </c>
      <c r="BX195" s="32">
        <v>50.8</v>
      </c>
      <c r="BY195" s="32">
        <v>82.9</v>
      </c>
      <c r="BZ195" s="32">
        <v>87.5</v>
      </c>
      <c r="CA195" s="32">
        <v>80.599999999999994</v>
      </c>
      <c r="CB195" s="32">
        <v>102.1</v>
      </c>
      <c r="CC195" s="32">
        <v>64.8</v>
      </c>
      <c r="CD195" s="32">
        <v>31.7</v>
      </c>
      <c r="CE195" s="32">
        <v>83.3</v>
      </c>
      <c r="CF195" s="32">
        <v>84.4</v>
      </c>
      <c r="CG195" s="32">
        <v>96.5</v>
      </c>
      <c r="CH195" s="32">
        <v>96.5</v>
      </c>
      <c r="CI195" s="32">
        <v>111.4</v>
      </c>
      <c r="CJ195" s="32">
        <v>94.5</v>
      </c>
      <c r="CK195" s="32">
        <v>95.4</v>
      </c>
      <c r="CL195" s="32">
        <v>97.9</v>
      </c>
      <c r="CM195" s="32">
        <v>106.1</v>
      </c>
      <c r="CN195" s="32">
        <v>151.30000000000001</v>
      </c>
      <c r="CO195" s="32">
        <v>95.5</v>
      </c>
      <c r="CP195" s="32">
        <v>157.30000000000001</v>
      </c>
      <c r="CQ195" s="32">
        <v>91.3</v>
      </c>
      <c r="CR195" s="32">
        <v>100.5</v>
      </c>
      <c r="CS195" s="32">
        <v>123.5</v>
      </c>
      <c r="CT195" s="32">
        <v>93.6</v>
      </c>
      <c r="CU195" s="32">
        <v>85.1</v>
      </c>
      <c r="CV195" s="32">
        <v>97.2</v>
      </c>
      <c r="CW195" s="32">
        <v>46.7</v>
      </c>
      <c r="CX195" s="32">
        <v>99.8</v>
      </c>
      <c r="CY195" s="32">
        <v>112.4</v>
      </c>
      <c r="CZ195" s="32">
        <v>93.1</v>
      </c>
      <c r="DA195" s="32">
        <v>82.3</v>
      </c>
      <c r="DB195" s="32">
        <v>114.3</v>
      </c>
      <c r="DC195" s="32">
        <v>14.2</v>
      </c>
      <c r="DD195" s="32">
        <v>14.2</v>
      </c>
      <c r="DE195" s="32">
        <v>69.599999999999994</v>
      </c>
      <c r="DF195" s="32">
        <v>69.5</v>
      </c>
      <c r="DG195" s="32">
        <v>69.599999999999994</v>
      </c>
      <c r="DH195" s="32">
        <v>100.4</v>
      </c>
      <c r="DI195" s="32">
        <v>147.6</v>
      </c>
      <c r="DJ195" s="32">
        <v>77.599999999999994</v>
      </c>
      <c r="DK195" s="32">
        <v>77.599999999999994</v>
      </c>
      <c r="DL195" s="32">
        <v>60.2</v>
      </c>
      <c r="DM195" s="32">
        <v>86</v>
      </c>
      <c r="DN195" s="32">
        <v>87.7</v>
      </c>
      <c r="DO195" s="32">
        <v>85.6</v>
      </c>
      <c r="DP195" s="32">
        <v>78.099999999999994</v>
      </c>
      <c r="DQ195" s="32">
        <v>76</v>
      </c>
      <c r="DR195" s="32">
        <v>75.7</v>
      </c>
      <c r="DS195" s="32">
        <v>75.2</v>
      </c>
      <c r="DT195" s="32">
        <v>72.599999999999994</v>
      </c>
      <c r="DU195" s="32">
        <v>76.099999999999994</v>
      </c>
      <c r="DV195" s="32">
        <v>87.4</v>
      </c>
      <c r="DW195" s="32">
        <v>64.5</v>
      </c>
      <c r="DX195" s="32">
        <v>65.5</v>
      </c>
      <c r="DY195" s="32">
        <v>85</v>
      </c>
      <c r="DZ195" s="32">
        <v>101.8</v>
      </c>
      <c r="EA195" s="32">
        <v>101.8</v>
      </c>
      <c r="EB195" s="32">
        <v>68.599999999999994</v>
      </c>
      <c r="EC195" s="32">
        <v>70.599999999999994</v>
      </c>
      <c r="ED195" s="32">
        <v>66.099999999999994</v>
      </c>
      <c r="EE195" s="32">
        <v>69</v>
      </c>
      <c r="EF195" s="32">
        <v>59.8</v>
      </c>
      <c r="EG195" s="32">
        <v>76.599999999999994</v>
      </c>
      <c r="EH195" s="32">
        <v>89.2</v>
      </c>
      <c r="EI195" s="32">
        <v>73.099999999999994</v>
      </c>
      <c r="EJ195" s="32">
        <v>89.6</v>
      </c>
      <c r="EK195" s="32">
        <v>70.8</v>
      </c>
      <c r="EL195" s="32">
        <v>78.3</v>
      </c>
      <c r="EM195" s="32">
        <v>61</v>
      </c>
      <c r="EN195" s="32">
        <v>76</v>
      </c>
      <c r="EO195" s="32">
        <v>91.1</v>
      </c>
      <c r="EP195" s="32">
        <v>88.6</v>
      </c>
      <c r="EQ195" s="32">
        <v>88.6</v>
      </c>
      <c r="ER195" s="32">
        <v>85.6</v>
      </c>
      <c r="ES195" s="32">
        <v>85.6</v>
      </c>
      <c r="ET195" s="32">
        <v>99.7</v>
      </c>
      <c r="EU195" s="32">
        <v>111.6</v>
      </c>
      <c r="EV195" s="32">
        <v>111.6</v>
      </c>
      <c r="EW195" s="32">
        <v>86.6</v>
      </c>
      <c r="EX195" s="32">
        <v>93.6</v>
      </c>
      <c r="EY195" s="32">
        <v>81.099999999999994</v>
      </c>
      <c r="EZ195" s="32">
        <v>90.2</v>
      </c>
      <c r="FA195" s="32">
        <v>97.1</v>
      </c>
      <c r="FB195" s="32">
        <v>110.5</v>
      </c>
      <c r="FC195" s="32">
        <v>94.9</v>
      </c>
      <c r="FD195" s="32">
        <v>107.3</v>
      </c>
      <c r="FE195" s="32">
        <v>138.6</v>
      </c>
      <c r="FF195" s="32">
        <v>82.1</v>
      </c>
      <c r="FG195" s="32">
        <v>82.9</v>
      </c>
      <c r="FH195" s="32">
        <v>79.099999999999994</v>
      </c>
      <c r="FI195" s="32">
        <v>87.6</v>
      </c>
      <c r="FJ195" s="32">
        <v>84</v>
      </c>
      <c r="FK195" s="32">
        <v>123.8</v>
      </c>
      <c r="FL195" s="32">
        <v>123.8</v>
      </c>
    </row>
    <row r="196" spans="1:168" x14ac:dyDescent="0.2">
      <c r="A196" s="34" t="s">
        <v>1176</v>
      </c>
      <c r="B196" s="32">
        <v>85</v>
      </c>
      <c r="C196" s="32">
        <v>79</v>
      </c>
      <c r="D196" s="32">
        <v>88.6</v>
      </c>
      <c r="E196" s="32">
        <v>90.9</v>
      </c>
      <c r="F196" s="32">
        <v>100.4</v>
      </c>
      <c r="G196" s="32">
        <v>2385.3000000000002</v>
      </c>
      <c r="H196" s="32">
        <v>98.3</v>
      </c>
      <c r="I196" s="32">
        <v>94.3</v>
      </c>
      <c r="J196" s="32">
        <v>89.9</v>
      </c>
      <c r="K196" s="32">
        <v>84.8</v>
      </c>
      <c r="L196" s="32">
        <v>82.6</v>
      </c>
      <c r="M196" s="32">
        <v>67.2</v>
      </c>
      <c r="N196" s="32">
        <v>80.599999999999994</v>
      </c>
      <c r="O196" s="32">
        <v>176</v>
      </c>
      <c r="P196" s="32">
        <v>143.69999999999999</v>
      </c>
      <c r="Q196" s="32">
        <v>95.7</v>
      </c>
      <c r="R196" s="32">
        <v>67.2</v>
      </c>
      <c r="S196" s="32">
        <v>102.1</v>
      </c>
      <c r="T196" s="32">
        <v>133.19999999999999</v>
      </c>
      <c r="U196" s="32">
        <v>98.6</v>
      </c>
      <c r="V196" s="32">
        <v>94</v>
      </c>
      <c r="W196" s="32">
        <v>78.5</v>
      </c>
      <c r="X196" s="32">
        <v>63.7</v>
      </c>
      <c r="Y196" s="32">
        <v>94.8</v>
      </c>
      <c r="Z196" s="32">
        <v>143.80000000000001</v>
      </c>
      <c r="AA196" s="32">
        <v>100.9</v>
      </c>
      <c r="AB196" s="32">
        <v>92.7</v>
      </c>
      <c r="AC196" s="32">
        <v>101.8</v>
      </c>
      <c r="AD196" s="32">
        <v>108.5</v>
      </c>
      <c r="AE196" s="32">
        <v>29.1</v>
      </c>
      <c r="AF196" s="32">
        <v>29.1</v>
      </c>
      <c r="AG196" s="32">
        <v>80.900000000000006</v>
      </c>
      <c r="AH196" s="32">
        <v>80.900000000000006</v>
      </c>
      <c r="AI196" s="32">
        <v>113.1</v>
      </c>
      <c r="AJ196" s="32">
        <v>69.7</v>
      </c>
      <c r="AK196" s="32">
        <v>99</v>
      </c>
      <c r="AL196" s="32">
        <v>71.099999999999994</v>
      </c>
      <c r="AM196" s="32">
        <v>65.7</v>
      </c>
      <c r="AN196" s="32">
        <v>165.1</v>
      </c>
      <c r="AO196" s="32">
        <v>81.599999999999994</v>
      </c>
      <c r="AP196" s="32">
        <v>81.599999999999994</v>
      </c>
      <c r="AQ196" s="32">
        <v>107.5</v>
      </c>
      <c r="AR196" s="32">
        <v>110.9</v>
      </c>
      <c r="AS196" s="32">
        <v>104.8</v>
      </c>
      <c r="AT196" s="32">
        <v>82.3</v>
      </c>
      <c r="AU196" s="32">
        <v>127.6</v>
      </c>
      <c r="AV196" s="32">
        <v>95.3</v>
      </c>
      <c r="AW196" s="32">
        <v>111.7</v>
      </c>
      <c r="AX196" s="32">
        <v>218.1</v>
      </c>
      <c r="AY196" s="32">
        <v>81.5</v>
      </c>
      <c r="AZ196" s="32">
        <v>95.5</v>
      </c>
      <c r="BA196" s="32">
        <v>86.1</v>
      </c>
      <c r="BB196" s="32">
        <v>86.1</v>
      </c>
      <c r="BC196" s="32">
        <v>114.7</v>
      </c>
      <c r="BD196" s="32">
        <v>114.7</v>
      </c>
      <c r="BE196" s="32">
        <v>115.5</v>
      </c>
      <c r="BF196" s="32">
        <v>115.5</v>
      </c>
      <c r="BG196" s="32">
        <v>83.6</v>
      </c>
      <c r="BH196" s="32">
        <v>84.7</v>
      </c>
      <c r="BI196" s="32">
        <v>81.099999999999994</v>
      </c>
      <c r="BJ196" s="32">
        <v>40.4</v>
      </c>
      <c r="BK196" s="32">
        <v>91.3</v>
      </c>
      <c r="BL196" s="32">
        <v>114.3</v>
      </c>
      <c r="BM196" s="32">
        <v>102.7</v>
      </c>
      <c r="BN196" s="32">
        <v>102.7</v>
      </c>
      <c r="BO196" s="32">
        <v>81.3</v>
      </c>
      <c r="BP196" s="32">
        <v>124.4</v>
      </c>
      <c r="BQ196" s="32">
        <v>103.2</v>
      </c>
      <c r="BR196" s="32">
        <v>132.69999999999999</v>
      </c>
      <c r="BS196" s="32">
        <v>157</v>
      </c>
      <c r="BT196" s="32">
        <v>84.6</v>
      </c>
      <c r="BU196" s="32">
        <v>109</v>
      </c>
      <c r="BV196" s="32">
        <v>109</v>
      </c>
      <c r="BW196" s="32">
        <v>142.19999999999999</v>
      </c>
      <c r="BX196" s="32">
        <v>50.2</v>
      </c>
      <c r="BY196" s="32">
        <v>83.4</v>
      </c>
      <c r="BZ196" s="32">
        <v>87.4</v>
      </c>
      <c r="CA196" s="32">
        <v>81.5</v>
      </c>
      <c r="CB196" s="32">
        <v>99.3</v>
      </c>
      <c r="CC196" s="32">
        <v>68.400000000000006</v>
      </c>
      <c r="CD196" s="32">
        <v>34.1</v>
      </c>
      <c r="CE196" s="32">
        <v>84.7</v>
      </c>
      <c r="CF196" s="32">
        <v>84.5</v>
      </c>
      <c r="CG196" s="32">
        <v>96.3</v>
      </c>
      <c r="CH196" s="32">
        <v>95.9</v>
      </c>
      <c r="CI196" s="32">
        <v>113.2</v>
      </c>
      <c r="CJ196" s="32">
        <v>93.2</v>
      </c>
      <c r="CK196" s="32">
        <v>94.7</v>
      </c>
      <c r="CL196" s="32">
        <v>97.6</v>
      </c>
      <c r="CM196" s="32">
        <v>103.6</v>
      </c>
      <c r="CN196" s="32">
        <v>147.19999999999999</v>
      </c>
      <c r="CO196" s="32">
        <v>93.4</v>
      </c>
      <c r="CP196" s="32">
        <v>162.30000000000001</v>
      </c>
      <c r="CQ196" s="32">
        <v>92.4</v>
      </c>
      <c r="CR196" s="32">
        <v>101.2</v>
      </c>
      <c r="CS196" s="32">
        <v>123.9</v>
      </c>
      <c r="CT196" s="32">
        <v>94.9</v>
      </c>
      <c r="CU196" s="32">
        <v>85.5</v>
      </c>
      <c r="CV196" s="32">
        <v>98.9</v>
      </c>
      <c r="CW196" s="32">
        <v>46.3</v>
      </c>
      <c r="CX196" s="32">
        <v>100.6</v>
      </c>
      <c r="CY196" s="32">
        <v>111.5</v>
      </c>
      <c r="CZ196" s="32">
        <v>94.8</v>
      </c>
      <c r="DA196" s="32">
        <v>84.6</v>
      </c>
      <c r="DB196" s="32">
        <v>115</v>
      </c>
      <c r="DC196" s="32">
        <v>14.3</v>
      </c>
      <c r="DD196" s="32">
        <v>14.3</v>
      </c>
      <c r="DE196" s="32">
        <v>67.599999999999994</v>
      </c>
      <c r="DF196" s="32">
        <v>67.8</v>
      </c>
      <c r="DG196" s="32">
        <v>66</v>
      </c>
      <c r="DH196" s="32">
        <v>100.3</v>
      </c>
      <c r="DI196" s="32">
        <v>148.69999999999999</v>
      </c>
      <c r="DJ196" s="32">
        <v>76.400000000000006</v>
      </c>
      <c r="DK196" s="32">
        <v>76.400000000000006</v>
      </c>
      <c r="DL196" s="32">
        <v>59.9</v>
      </c>
      <c r="DM196" s="32">
        <v>86.3</v>
      </c>
      <c r="DN196" s="32">
        <v>88.4</v>
      </c>
      <c r="DO196" s="32">
        <v>85.8</v>
      </c>
      <c r="DP196" s="32">
        <v>76.5</v>
      </c>
      <c r="DQ196" s="32">
        <v>76.599999999999994</v>
      </c>
      <c r="DR196" s="32">
        <v>76.5</v>
      </c>
      <c r="DS196" s="32">
        <v>77.2</v>
      </c>
      <c r="DT196" s="32">
        <v>74</v>
      </c>
      <c r="DU196" s="32">
        <v>77.599999999999994</v>
      </c>
      <c r="DV196" s="32">
        <v>89</v>
      </c>
      <c r="DW196" s="32">
        <v>65.900000000000006</v>
      </c>
      <c r="DX196" s="32">
        <v>67</v>
      </c>
      <c r="DY196" s="32">
        <v>88.8</v>
      </c>
      <c r="DZ196" s="32">
        <v>93.6</v>
      </c>
      <c r="EA196" s="32">
        <v>93.6</v>
      </c>
      <c r="EB196" s="32">
        <v>69</v>
      </c>
      <c r="EC196" s="32">
        <v>68.8</v>
      </c>
      <c r="ED196" s="32">
        <v>69.8</v>
      </c>
      <c r="EE196" s="32">
        <v>74.400000000000006</v>
      </c>
      <c r="EF196" s="32">
        <v>59.9</v>
      </c>
      <c r="EG196" s="32">
        <v>76.7</v>
      </c>
      <c r="EH196" s="32">
        <v>93.1</v>
      </c>
      <c r="EI196" s="32">
        <v>72</v>
      </c>
      <c r="EJ196" s="32">
        <v>89.5</v>
      </c>
      <c r="EK196" s="32">
        <v>70.099999999999994</v>
      </c>
      <c r="EL196" s="32">
        <v>76.7</v>
      </c>
      <c r="EM196" s="32">
        <v>65</v>
      </c>
      <c r="EN196" s="32">
        <v>72.400000000000006</v>
      </c>
      <c r="EO196" s="32">
        <v>91</v>
      </c>
      <c r="EP196" s="32">
        <v>88.9</v>
      </c>
      <c r="EQ196" s="32">
        <v>88.9</v>
      </c>
      <c r="ER196" s="32">
        <v>85.2</v>
      </c>
      <c r="ES196" s="32">
        <v>85.2</v>
      </c>
      <c r="ET196" s="32">
        <v>99.7</v>
      </c>
      <c r="EU196" s="32">
        <v>111.2</v>
      </c>
      <c r="EV196" s="32">
        <v>111.2</v>
      </c>
      <c r="EW196" s="32">
        <v>87.5</v>
      </c>
      <c r="EX196" s="32">
        <v>94</v>
      </c>
      <c r="EY196" s="32">
        <v>82.4</v>
      </c>
      <c r="EZ196" s="32">
        <v>91.6</v>
      </c>
      <c r="FA196" s="32">
        <v>98.5</v>
      </c>
      <c r="FB196" s="32">
        <v>109.9</v>
      </c>
      <c r="FC196" s="32">
        <v>92.4</v>
      </c>
      <c r="FD196" s="32">
        <v>112.9</v>
      </c>
      <c r="FE196" s="32">
        <v>138.19999999999999</v>
      </c>
      <c r="FF196" s="32">
        <v>85.6</v>
      </c>
      <c r="FG196" s="32">
        <v>84.5</v>
      </c>
      <c r="FH196" s="32">
        <v>79.3</v>
      </c>
      <c r="FI196" s="32">
        <v>93.8</v>
      </c>
      <c r="FJ196" s="32">
        <v>85.6</v>
      </c>
      <c r="FK196" s="32">
        <v>124.8</v>
      </c>
      <c r="FL196" s="32">
        <v>124.8</v>
      </c>
    </row>
    <row r="197" spans="1:168" x14ac:dyDescent="0.2">
      <c r="A197" s="34" t="s">
        <v>1177</v>
      </c>
      <c r="B197" s="32">
        <v>84.6</v>
      </c>
      <c r="C197" s="32">
        <v>78.3</v>
      </c>
      <c r="D197" s="32">
        <v>89</v>
      </c>
      <c r="E197" s="32">
        <v>91.7</v>
      </c>
      <c r="F197" s="32">
        <v>101</v>
      </c>
      <c r="G197" s="32">
        <v>1602.1</v>
      </c>
      <c r="H197" s="32">
        <v>100</v>
      </c>
      <c r="I197" s="32">
        <v>93.7</v>
      </c>
      <c r="J197" s="32">
        <v>91.1</v>
      </c>
      <c r="K197" s="32">
        <v>84.4</v>
      </c>
      <c r="L197" s="32">
        <v>82.4</v>
      </c>
      <c r="M197" s="32">
        <v>67.099999999999994</v>
      </c>
      <c r="N197" s="32">
        <v>78</v>
      </c>
      <c r="O197" s="32">
        <v>167.3</v>
      </c>
      <c r="P197" s="32">
        <v>138.69999999999999</v>
      </c>
      <c r="Q197" s="32">
        <v>92.6</v>
      </c>
      <c r="R197" s="32">
        <v>68.2</v>
      </c>
      <c r="S197" s="32">
        <v>104</v>
      </c>
      <c r="T197" s="32">
        <v>133.6</v>
      </c>
      <c r="U197" s="32">
        <v>93.6</v>
      </c>
      <c r="V197" s="32">
        <v>94.4</v>
      </c>
      <c r="W197" s="32">
        <v>80.7</v>
      </c>
      <c r="X197" s="32">
        <v>65.400000000000006</v>
      </c>
      <c r="Y197" s="32">
        <v>100.1</v>
      </c>
      <c r="Z197" s="32">
        <v>131.4</v>
      </c>
      <c r="AA197" s="32">
        <v>99.1</v>
      </c>
      <c r="AB197" s="32">
        <v>92.8</v>
      </c>
      <c r="AC197" s="32">
        <v>102.3</v>
      </c>
      <c r="AD197" s="32">
        <v>103.1</v>
      </c>
      <c r="AE197" s="32">
        <v>30.5</v>
      </c>
      <c r="AF197" s="32">
        <v>30.5</v>
      </c>
      <c r="AG197" s="32">
        <v>82</v>
      </c>
      <c r="AH197" s="32">
        <v>82</v>
      </c>
      <c r="AI197" s="32">
        <v>119.7</v>
      </c>
      <c r="AJ197" s="32">
        <v>67.900000000000006</v>
      </c>
      <c r="AK197" s="32">
        <v>105</v>
      </c>
      <c r="AL197" s="32">
        <v>72.7</v>
      </c>
      <c r="AM197" s="32">
        <v>68</v>
      </c>
      <c r="AN197" s="32">
        <v>157</v>
      </c>
      <c r="AO197" s="32">
        <v>82.7</v>
      </c>
      <c r="AP197" s="32">
        <v>82.7</v>
      </c>
      <c r="AQ197" s="32">
        <v>108</v>
      </c>
      <c r="AR197" s="32">
        <v>114.1</v>
      </c>
      <c r="AS197" s="32">
        <v>101.2</v>
      </c>
      <c r="AT197" s="32">
        <v>79.599999999999994</v>
      </c>
      <c r="AU197" s="32">
        <v>122.9</v>
      </c>
      <c r="AV197" s="32">
        <v>94.5</v>
      </c>
      <c r="AW197" s="32">
        <v>108.7</v>
      </c>
      <c r="AX197" s="32">
        <v>221.6</v>
      </c>
      <c r="AY197" s="32">
        <v>72.599999999999994</v>
      </c>
      <c r="AZ197" s="32">
        <v>95.1</v>
      </c>
      <c r="BA197" s="32">
        <v>90</v>
      </c>
      <c r="BB197" s="32">
        <v>90</v>
      </c>
      <c r="BC197" s="32">
        <v>119.4</v>
      </c>
      <c r="BD197" s="32">
        <v>119.4</v>
      </c>
      <c r="BE197" s="32">
        <v>117.2</v>
      </c>
      <c r="BF197" s="32">
        <v>117.2</v>
      </c>
      <c r="BG197" s="32">
        <v>88.3</v>
      </c>
      <c r="BH197" s="32">
        <v>94.3</v>
      </c>
      <c r="BI197" s="32">
        <v>80.8</v>
      </c>
      <c r="BJ197" s="32">
        <v>41.3</v>
      </c>
      <c r="BK197" s="32">
        <v>91.6</v>
      </c>
      <c r="BL197" s="32">
        <v>104.5</v>
      </c>
      <c r="BM197" s="32">
        <v>102.9</v>
      </c>
      <c r="BN197" s="32">
        <v>103.3</v>
      </c>
      <c r="BO197" s="32">
        <v>80.3</v>
      </c>
      <c r="BP197" s="32">
        <v>126.8</v>
      </c>
      <c r="BQ197" s="32">
        <v>103</v>
      </c>
      <c r="BR197" s="32">
        <v>127.1</v>
      </c>
      <c r="BS197" s="32">
        <v>159.1</v>
      </c>
      <c r="BT197" s="32">
        <v>84.8</v>
      </c>
      <c r="BU197" s="32">
        <v>110.4</v>
      </c>
      <c r="BV197" s="32">
        <v>110.4</v>
      </c>
      <c r="BW197" s="32">
        <v>144.6</v>
      </c>
      <c r="BX197" s="32">
        <v>50.5</v>
      </c>
      <c r="BY197" s="32">
        <v>81.900000000000006</v>
      </c>
      <c r="BZ197" s="32">
        <v>87.1</v>
      </c>
      <c r="CA197" s="32">
        <v>79.5</v>
      </c>
      <c r="CB197" s="32">
        <v>96.8</v>
      </c>
      <c r="CC197" s="32">
        <v>66.8</v>
      </c>
      <c r="CD197" s="32">
        <v>32.799999999999997</v>
      </c>
      <c r="CE197" s="32">
        <v>84</v>
      </c>
      <c r="CF197" s="32">
        <v>84</v>
      </c>
      <c r="CG197" s="32">
        <v>95.7</v>
      </c>
      <c r="CH197" s="32">
        <v>95.3</v>
      </c>
      <c r="CI197" s="32">
        <v>107.4</v>
      </c>
      <c r="CJ197" s="32">
        <v>92.4</v>
      </c>
      <c r="CK197" s="32">
        <v>95.5</v>
      </c>
      <c r="CL197" s="32">
        <v>97.2</v>
      </c>
      <c r="CM197" s="32">
        <v>106.1</v>
      </c>
      <c r="CN197" s="32">
        <v>142.4</v>
      </c>
      <c r="CO197" s="32">
        <v>96.8</v>
      </c>
      <c r="CP197" s="32">
        <v>168.3</v>
      </c>
      <c r="CQ197" s="32">
        <v>93.2</v>
      </c>
      <c r="CR197" s="32">
        <v>97</v>
      </c>
      <c r="CS197" s="32">
        <v>122.1</v>
      </c>
      <c r="CT197" s="32">
        <v>93.8</v>
      </c>
      <c r="CU197" s="32">
        <v>85.8</v>
      </c>
      <c r="CV197" s="32">
        <v>97.3</v>
      </c>
      <c r="CW197" s="32">
        <v>46.3</v>
      </c>
      <c r="CX197" s="32">
        <v>101.2</v>
      </c>
      <c r="CY197" s="32">
        <v>109.8</v>
      </c>
      <c r="CZ197" s="32">
        <v>96.6</v>
      </c>
      <c r="DA197" s="32">
        <v>87.6</v>
      </c>
      <c r="DB197" s="32">
        <v>114.3</v>
      </c>
      <c r="DC197" s="32">
        <v>13.8</v>
      </c>
      <c r="DD197" s="32">
        <v>13.8</v>
      </c>
      <c r="DE197" s="32">
        <v>68.900000000000006</v>
      </c>
      <c r="DF197" s="32">
        <v>66.8</v>
      </c>
      <c r="DG197" s="32">
        <v>79.8</v>
      </c>
      <c r="DH197" s="32">
        <v>99.7</v>
      </c>
      <c r="DI197" s="32">
        <v>146.69999999999999</v>
      </c>
      <c r="DJ197" s="32">
        <v>75</v>
      </c>
      <c r="DK197" s="32">
        <v>75</v>
      </c>
      <c r="DL197" s="32">
        <v>61.3</v>
      </c>
      <c r="DM197" s="32">
        <v>85.8</v>
      </c>
      <c r="DN197" s="32">
        <v>87.9</v>
      </c>
      <c r="DO197" s="32">
        <v>85.6</v>
      </c>
      <c r="DP197" s="32">
        <v>70.2</v>
      </c>
      <c r="DQ197" s="32">
        <v>75.8</v>
      </c>
      <c r="DR197" s="32">
        <v>75.599999999999994</v>
      </c>
      <c r="DS197" s="32">
        <v>77.599999999999994</v>
      </c>
      <c r="DT197" s="32">
        <v>74.900000000000006</v>
      </c>
      <c r="DU197" s="32">
        <v>78.2</v>
      </c>
      <c r="DV197" s="32">
        <v>91</v>
      </c>
      <c r="DW197" s="32">
        <v>65.3</v>
      </c>
      <c r="DX197" s="32">
        <v>68.2</v>
      </c>
      <c r="DY197" s="32">
        <v>87.6</v>
      </c>
      <c r="DZ197" s="32">
        <v>82.9</v>
      </c>
      <c r="EA197" s="32">
        <v>82.9</v>
      </c>
      <c r="EB197" s="32">
        <v>67.400000000000006</v>
      </c>
      <c r="EC197" s="32">
        <v>66.7</v>
      </c>
      <c r="ED197" s="32">
        <v>68.8</v>
      </c>
      <c r="EE197" s="32">
        <v>73.3</v>
      </c>
      <c r="EF197" s="32">
        <v>59.2</v>
      </c>
      <c r="EG197" s="32">
        <v>76.3</v>
      </c>
      <c r="EH197" s="32">
        <v>96.4</v>
      </c>
      <c r="EI197" s="32">
        <v>73.3</v>
      </c>
      <c r="EJ197" s="32">
        <v>86.3</v>
      </c>
      <c r="EK197" s="32">
        <v>67.7</v>
      </c>
      <c r="EL197" s="32">
        <v>73.099999999999994</v>
      </c>
      <c r="EM197" s="32">
        <v>64.2</v>
      </c>
      <c r="EN197" s="32">
        <v>69.099999999999994</v>
      </c>
      <c r="EO197" s="32">
        <v>90.5</v>
      </c>
      <c r="EP197" s="32">
        <v>88.4</v>
      </c>
      <c r="EQ197" s="32">
        <v>88.4</v>
      </c>
      <c r="ER197" s="32">
        <v>84.5</v>
      </c>
      <c r="ES197" s="32">
        <v>84.5</v>
      </c>
      <c r="ET197" s="32">
        <v>99.3</v>
      </c>
      <c r="EU197" s="32">
        <v>110.1</v>
      </c>
      <c r="EV197" s="32">
        <v>110.1</v>
      </c>
      <c r="EW197" s="32">
        <v>88.4</v>
      </c>
      <c r="EX197" s="32">
        <v>94.7</v>
      </c>
      <c r="EY197" s="32">
        <v>83.4</v>
      </c>
      <c r="EZ197" s="32">
        <v>90.5</v>
      </c>
      <c r="FA197" s="32">
        <v>95.1</v>
      </c>
      <c r="FB197" s="32">
        <v>106.7</v>
      </c>
      <c r="FC197" s="32">
        <v>88.6</v>
      </c>
      <c r="FD197" s="32">
        <v>103.3</v>
      </c>
      <c r="FE197" s="32">
        <v>140</v>
      </c>
      <c r="FF197" s="32">
        <v>82.2</v>
      </c>
      <c r="FG197" s="32">
        <v>84.9</v>
      </c>
      <c r="FH197" s="32">
        <v>81.3</v>
      </c>
      <c r="FI197" s="32">
        <v>91.7</v>
      </c>
      <c r="FJ197" s="32">
        <v>85.7</v>
      </c>
      <c r="FK197" s="32">
        <v>123.5</v>
      </c>
      <c r="FL197" s="32">
        <v>123.5</v>
      </c>
    </row>
    <row r="198" spans="1:168" x14ac:dyDescent="0.2">
      <c r="A198" s="34" t="s">
        <v>1178</v>
      </c>
      <c r="B198" s="32">
        <v>84.4</v>
      </c>
      <c r="C198" s="32">
        <v>77.2</v>
      </c>
      <c r="D198" s="32">
        <v>88</v>
      </c>
      <c r="E198" s="32">
        <v>90.6</v>
      </c>
      <c r="F198" s="32">
        <v>102.8</v>
      </c>
      <c r="G198" s="32">
        <v>2351.4</v>
      </c>
      <c r="H198" s="32">
        <v>100.6</v>
      </c>
      <c r="I198" s="32">
        <v>97.8</v>
      </c>
      <c r="J198" s="32">
        <v>89.4</v>
      </c>
      <c r="K198" s="32">
        <v>85.1</v>
      </c>
      <c r="L198" s="32">
        <v>82.9</v>
      </c>
      <c r="M198" s="32">
        <v>67.2</v>
      </c>
      <c r="N198" s="32">
        <v>75.7</v>
      </c>
      <c r="O198" s="32">
        <v>209.4</v>
      </c>
      <c r="P198" s="32">
        <v>129.69999999999999</v>
      </c>
      <c r="Q198" s="32">
        <v>94.5</v>
      </c>
      <c r="R198" s="32">
        <v>68.599999999999994</v>
      </c>
      <c r="S198" s="32">
        <v>108.1</v>
      </c>
      <c r="T198" s="32">
        <v>136.6</v>
      </c>
      <c r="U198" s="32">
        <v>97.8</v>
      </c>
      <c r="V198" s="32">
        <v>95.2</v>
      </c>
      <c r="W198" s="32">
        <v>78.8</v>
      </c>
      <c r="X198" s="32">
        <v>65.2</v>
      </c>
      <c r="Y198" s="32">
        <v>93.7</v>
      </c>
      <c r="Z198" s="32">
        <v>131.30000000000001</v>
      </c>
      <c r="AA198" s="32">
        <v>102.2</v>
      </c>
      <c r="AB198" s="32">
        <v>85.4</v>
      </c>
      <c r="AC198" s="32">
        <v>105.5</v>
      </c>
      <c r="AD198" s="32">
        <v>113.5</v>
      </c>
      <c r="AE198" s="32">
        <v>37.299999999999997</v>
      </c>
      <c r="AF198" s="32">
        <v>37.299999999999997</v>
      </c>
      <c r="AG198" s="32">
        <v>76.3</v>
      </c>
      <c r="AH198" s="32">
        <v>76.3</v>
      </c>
      <c r="AI198" s="32">
        <v>112.2</v>
      </c>
      <c r="AJ198" s="32">
        <v>72.8</v>
      </c>
      <c r="AK198" s="32">
        <v>101.2</v>
      </c>
      <c r="AL198" s="32">
        <v>74.3</v>
      </c>
      <c r="AM198" s="32">
        <v>56.5</v>
      </c>
      <c r="AN198" s="32">
        <v>139.80000000000001</v>
      </c>
      <c r="AO198" s="32">
        <v>80.8</v>
      </c>
      <c r="AP198" s="32">
        <v>80.8</v>
      </c>
      <c r="AQ198" s="32">
        <v>101.2</v>
      </c>
      <c r="AR198" s="32">
        <v>109.5</v>
      </c>
      <c r="AS198" s="32">
        <v>90.6</v>
      </c>
      <c r="AT198" s="32">
        <v>82.2</v>
      </c>
      <c r="AU198" s="32">
        <v>98.5</v>
      </c>
      <c r="AV198" s="32">
        <v>92.7</v>
      </c>
      <c r="AW198" s="32">
        <v>98</v>
      </c>
      <c r="AX198" s="32">
        <v>208.1</v>
      </c>
      <c r="AY198" s="32">
        <v>59.4</v>
      </c>
      <c r="AZ198" s="32">
        <v>95</v>
      </c>
      <c r="BA198" s="32">
        <v>86.8</v>
      </c>
      <c r="BB198" s="32">
        <v>86.8</v>
      </c>
      <c r="BC198" s="32">
        <v>116.2</v>
      </c>
      <c r="BD198" s="32">
        <v>116.2</v>
      </c>
      <c r="BE198" s="32">
        <v>101.3</v>
      </c>
      <c r="BF198" s="32">
        <v>101.3</v>
      </c>
      <c r="BG198" s="32">
        <v>89.5</v>
      </c>
      <c r="BH198" s="32">
        <v>95.3</v>
      </c>
      <c r="BI198" s="32">
        <v>82.3</v>
      </c>
      <c r="BJ198" s="32">
        <v>42.4</v>
      </c>
      <c r="BK198" s="32">
        <v>92.3</v>
      </c>
      <c r="BL198" s="32">
        <v>115.6</v>
      </c>
      <c r="BM198" s="32">
        <v>107.8</v>
      </c>
      <c r="BN198" s="32">
        <v>102</v>
      </c>
      <c r="BO198" s="32">
        <v>78.099999999999994</v>
      </c>
      <c r="BP198" s="32">
        <v>126.6</v>
      </c>
      <c r="BQ198" s="32">
        <v>114.4</v>
      </c>
      <c r="BR198" s="32">
        <v>230.5</v>
      </c>
      <c r="BS198" s="32">
        <v>143.4</v>
      </c>
      <c r="BT198" s="32">
        <v>89.2</v>
      </c>
      <c r="BU198" s="32">
        <v>111.5</v>
      </c>
      <c r="BV198" s="32">
        <v>111.5</v>
      </c>
      <c r="BW198" s="32">
        <v>142</v>
      </c>
      <c r="BX198" s="32">
        <v>53.9</v>
      </c>
      <c r="BY198" s="32">
        <v>80.2</v>
      </c>
      <c r="BZ198" s="32">
        <v>84.7</v>
      </c>
      <c r="CA198" s="32">
        <v>78.099999999999994</v>
      </c>
      <c r="CB198" s="32">
        <v>94.8</v>
      </c>
      <c r="CC198" s="32">
        <v>65.7</v>
      </c>
      <c r="CD198" s="32">
        <v>33.200000000000003</v>
      </c>
      <c r="CE198" s="32">
        <v>83.1</v>
      </c>
      <c r="CF198" s="32">
        <v>83.9</v>
      </c>
      <c r="CG198" s="32">
        <v>96.2</v>
      </c>
      <c r="CH198" s="32">
        <v>95.1</v>
      </c>
      <c r="CI198" s="32">
        <v>109.1</v>
      </c>
      <c r="CJ198" s="32">
        <v>92.5</v>
      </c>
      <c r="CK198" s="32">
        <v>94.5</v>
      </c>
      <c r="CL198" s="32">
        <v>98.4</v>
      </c>
      <c r="CM198" s="32">
        <v>105</v>
      </c>
      <c r="CN198" s="32">
        <v>137.4</v>
      </c>
      <c r="CO198" s="32">
        <v>96.3</v>
      </c>
      <c r="CP198" s="32">
        <v>175.7</v>
      </c>
      <c r="CQ198" s="32">
        <v>91.2</v>
      </c>
      <c r="CR198" s="32">
        <v>98.5</v>
      </c>
      <c r="CS198" s="32">
        <v>127.2</v>
      </c>
      <c r="CT198" s="32">
        <v>96.6</v>
      </c>
      <c r="CU198" s="32">
        <v>95.1</v>
      </c>
      <c r="CV198" s="32">
        <v>97.3</v>
      </c>
      <c r="CW198" s="32">
        <v>47.8</v>
      </c>
      <c r="CX198" s="32">
        <v>105.3</v>
      </c>
      <c r="CY198" s="32">
        <v>113.4</v>
      </c>
      <c r="CZ198" s="32">
        <v>100.9</v>
      </c>
      <c r="DA198" s="32">
        <v>91</v>
      </c>
      <c r="DB198" s="32">
        <v>120.8</v>
      </c>
      <c r="DC198" s="32">
        <v>14.5</v>
      </c>
      <c r="DD198" s="32">
        <v>14.5</v>
      </c>
      <c r="DE198" s="32">
        <v>70</v>
      </c>
      <c r="DF198" s="32">
        <v>69</v>
      </c>
      <c r="DG198" s="32">
        <v>74.8</v>
      </c>
      <c r="DH198" s="32">
        <v>95.7</v>
      </c>
      <c r="DI198" s="32">
        <v>142.4</v>
      </c>
      <c r="DJ198" s="32">
        <v>72.5</v>
      </c>
      <c r="DK198" s="32">
        <v>72.5</v>
      </c>
      <c r="DL198" s="32">
        <v>56.7</v>
      </c>
      <c r="DM198" s="32">
        <v>85.5</v>
      </c>
      <c r="DN198" s="32">
        <v>87.3</v>
      </c>
      <c r="DO198" s="32">
        <v>85.4</v>
      </c>
      <c r="DP198" s="32">
        <v>72</v>
      </c>
      <c r="DQ198" s="32">
        <v>76.5</v>
      </c>
      <c r="DR198" s="32">
        <v>76.900000000000006</v>
      </c>
      <c r="DS198" s="32">
        <v>78.3</v>
      </c>
      <c r="DT198" s="32">
        <v>75.400000000000006</v>
      </c>
      <c r="DU198" s="32">
        <v>79.2</v>
      </c>
      <c r="DV198" s="32">
        <v>93.3</v>
      </c>
      <c r="DW198" s="32">
        <v>65</v>
      </c>
      <c r="DX198" s="32">
        <v>67.8</v>
      </c>
      <c r="DY198" s="32">
        <v>89.1</v>
      </c>
      <c r="DZ198" s="32">
        <v>89.2</v>
      </c>
      <c r="EA198" s="32">
        <v>89.2</v>
      </c>
      <c r="EB198" s="32">
        <v>69</v>
      </c>
      <c r="EC198" s="32">
        <v>70</v>
      </c>
      <c r="ED198" s="32">
        <v>68.099999999999994</v>
      </c>
      <c r="EE198" s="32">
        <v>72.5</v>
      </c>
      <c r="EF198" s="32">
        <v>58.7</v>
      </c>
      <c r="EG198" s="32">
        <v>75.900000000000006</v>
      </c>
      <c r="EH198" s="32">
        <v>96.2</v>
      </c>
      <c r="EI198" s="32">
        <v>73.8</v>
      </c>
      <c r="EJ198" s="32">
        <v>85.5</v>
      </c>
      <c r="EK198" s="32">
        <v>66.8</v>
      </c>
      <c r="EL198" s="32">
        <v>69.3</v>
      </c>
      <c r="EM198" s="32">
        <v>60.5</v>
      </c>
      <c r="EN198" s="32">
        <v>70.5</v>
      </c>
      <c r="EO198" s="32">
        <v>90</v>
      </c>
      <c r="EP198" s="32">
        <v>87.5</v>
      </c>
      <c r="EQ198" s="32">
        <v>87.5</v>
      </c>
      <c r="ER198" s="32">
        <v>84.2</v>
      </c>
      <c r="ES198" s="32">
        <v>84.2</v>
      </c>
      <c r="ET198" s="32">
        <v>99</v>
      </c>
      <c r="EU198" s="32">
        <v>109</v>
      </c>
      <c r="EV198" s="32">
        <v>109</v>
      </c>
      <c r="EW198" s="32">
        <v>89.3</v>
      </c>
      <c r="EX198" s="32">
        <v>95.5</v>
      </c>
      <c r="EY198" s="32">
        <v>84.4</v>
      </c>
      <c r="EZ198" s="32">
        <v>91.9</v>
      </c>
      <c r="FA198" s="32">
        <v>96.4</v>
      </c>
      <c r="FB198" s="32">
        <v>105.2</v>
      </c>
      <c r="FC198" s="32">
        <v>84.6</v>
      </c>
      <c r="FD198" s="32">
        <v>101.5</v>
      </c>
      <c r="FE198" s="32">
        <v>143.69999999999999</v>
      </c>
      <c r="FF198" s="32">
        <v>86.6</v>
      </c>
      <c r="FG198" s="32">
        <v>86.7</v>
      </c>
      <c r="FH198" s="32">
        <v>84.3</v>
      </c>
      <c r="FI198" s="32">
        <v>91</v>
      </c>
      <c r="FJ198" s="32">
        <v>87.1</v>
      </c>
      <c r="FK198" s="32">
        <v>120.6</v>
      </c>
      <c r="FL198" s="32">
        <v>120.6</v>
      </c>
    </row>
    <row r="199" spans="1:168" x14ac:dyDescent="0.2">
      <c r="A199" s="34" t="s">
        <v>1179</v>
      </c>
      <c r="B199" s="32">
        <v>85.2</v>
      </c>
      <c r="C199" s="32">
        <v>76.400000000000006</v>
      </c>
      <c r="D199" s="32">
        <v>89</v>
      </c>
      <c r="E199" s="32">
        <v>91</v>
      </c>
      <c r="F199" s="32">
        <v>97</v>
      </c>
      <c r="G199" s="32">
        <v>2161</v>
      </c>
      <c r="H199" s="32">
        <v>92.6</v>
      </c>
      <c r="I199" s="32">
        <v>103.3</v>
      </c>
      <c r="J199" s="32">
        <v>89.8</v>
      </c>
      <c r="K199" s="32">
        <v>84.7</v>
      </c>
      <c r="L199" s="32">
        <v>82.9</v>
      </c>
      <c r="M199" s="32">
        <v>68.900000000000006</v>
      </c>
      <c r="N199" s="32">
        <v>75.7</v>
      </c>
      <c r="O199" s="32">
        <v>208.8</v>
      </c>
      <c r="P199" s="32">
        <v>133.9</v>
      </c>
      <c r="Q199" s="32">
        <v>94.8</v>
      </c>
      <c r="R199" s="32">
        <v>67.400000000000006</v>
      </c>
      <c r="S199" s="32">
        <v>105.8</v>
      </c>
      <c r="T199" s="32">
        <v>144.1</v>
      </c>
      <c r="U199" s="32">
        <v>102.1</v>
      </c>
      <c r="V199" s="32">
        <v>91.7</v>
      </c>
      <c r="W199" s="32">
        <v>76.7</v>
      </c>
      <c r="X199" s="32">
        <v>61.2</v>
      </c>
      <c r="Y199" s="32">
        <v>96.4</v>
      </c>
      <c r="Z199" s="32">
        <v>134.69999999999999</v>
      </c>
      <c r="AA199" s="32">
        <v>104.1</v>
      </c>
      <c r="AB199" s="32">
        <v>89.3</v>
      </c>
      <c r="AC199" s="32">
        <v>106.1</v>
      </c>
      <c r="AD199" s="32">
        <v>115.4</v>
      </c>
      <c r="AE199" s="32">
        <v>39</v>
      </c>
      <c r="AF199" s="32">
        <v>39</v>
      </c>
      <c r="AG199" s="32">
        <v>78.3</v>
      </c>
      <c r="AH199" s="32">
        <v>78.3</v>
      </c>
      <c r="AI199" s="32">
        <v>118.7</v>
      </c>
      <c r="AJ199" s="32">
        <v>81.5</v>
      </c>
      <c r="AK199" s="32">
        <v>88.9</v>
      </c>
      <c r="AL199" s="32">
        <v>68.7</v>
      </c>
      <c r="AM199" s="32">
        <v>55.8</v>
      </c>
      <c r="AN199" s="32">
        <v>147.19999999999999</v>
      </c>
      <c r="AO199" s="32">
        <v>80</v>
      </c>
      <c r="AP199" s="32">
        <v>80</v>
      </c>
      <c r="AQ199" s="32">
        <v>109</v>
      </c>
      <c r="AR199" s="32">
        <v>116.8</v>
      </c>
      <c r="AS199" s="32">
        <v>99.5</v>
      </c>
      <c r="AT199" s="32">
        <v>80.3</v>
      </c>
      <c r="AU199" s="32">
        <v>118.5</v>
      </c>
      <c r="AV199" s="32">
        <v>92.7</v>
      </c>
      <c r="AW199" s="32">
        <v>97.8</v>
      </c>
      <c r="AX199" s="32">
        <v>210.8</v>
      </c>
      <c r="AY199" s="32">
        <v>57</v>
      </c>
      <c r="AZ199" s="32">
        <v>95</v>
      </c>
      <c r="BA199" s="32">
        <v>81.8</v>
      </c>
      <c r="BB199" s="32">
        <v>81.8</v>
      </c>
      <c r="BC199" s="32">
        <v>116.2</v>
      </c>
      <c r="BD199" s="32">
        <v>116.2</v>
      </c>
      <c r="BE199" s="32">
        <v>107.3</v>
      </c>
      <c r="BF199" s="32">
        <v>107.3</v>
      </c>
      <c r="BG199" s="32">
        <v>89.5</v>
      </c>
      <c r="BH199" s="32">
        <v>95.3</v>
      </c>
      <c r="BI199" s="32">
        <v>82.4</v>
      </c>
      <c r="BJ199" s="32">
        <v>42.4</v>
      </c>
      <c r="BK199" s="32">
        <v>92.2</v>
      </c>
      <c r="BL199" s="32">
        <v>119.2</v>
      </c>
      <c r="BM199" s="32">
        <v>105.9</v>
      </c>
      <c r="BN199" s="32">
        <v>102</v>
      </c>
      <c r="BO199" s="32">
        <v>77.7</v>
      </c>
      <c r="BP199" s="32">
        <v>127.1</v>
      </c>
      <c r="BQ199" s="32">
        <v>110.6</v>
      </c>
      <c r="BR199" s="32">
        <v>156.30000000000001</v>
      </c>
      <c r="BS199" s="32">
        <v>158.30000000000001</v>
      </c>
      <c r="BT199" s="32">
        <v>91.1</v>
      </c>
      <c r="BU199" s="32">
        <v>115.3</v>
      </c>
      <c r="BV199" s="32">
        <v>115.3</v>
      </c>
      <c r="BW199" s="32">
        <v>143.1</v>
      </c>
      <c r="BX199" s="32">
        <v>58.6</v>
      </c>
      <c r="BY199" s="32">
        <v>82.7</v>
      </c>
      <c r="BZ199" s="32">
        <v>84.5</v>
      </c>
      <c r="CA199" s="32">
        <v>81.7</v>
      </c>
      <c r="CB199" s="32">
        <v>100.3</v>
      </c>
      <c r="CC199" s="32">
        <v>67.900000000000006</v>
      </c>
      <c r="CD199" s="32">
        <v>34.1</v>
      </c>
      <c r="CE199" s="32">
        <v>85.9</v>
      </c>
      <c r="CF199" s="32">
        <v>84.8</v>
      </c>
      <c r="CG199" s="32">
        <v>97.2</v>
      </c>
      <c r="CH199" s="32">
        <v>96.2</v>
      </c>
      <c r="CI199" s="32">
        <v>114.5</v>
      </c>
      <c r="CJ199" s="32">
        <v>92</v>
      </c>
      <c r="CK199" s="32">
        <v>95.8</v>
      </c>
      <c r="CL199" s="32">
        <v>99.1</v>
      </c>
      <c r="CM199" s="32">
        <v>106.3</v>
      </c>
      <c r="CN199" s="32">
        <v>132.6</v>
      </c>
      <c r="CO199" s="32">
        <v>98.4</v>
      </c>
      <c r="CP199" s="32">
        <v>179.8</v>
      </c>
      <c r="CQ199" s="32">
        <v>99.7</v>
      </c>
      <c r="CR199" s="32">
        <v>97.1</v>
      </c>
      <c r="CS199" s="32">
        <v>127.5</v>
      </c>
      <c r="CT199" s="32">
        <v>97.3</v>
      </c>
      <c r="CU199" s="32">
        <v>85.6</v>
      </c>
      <c r="CV199" s="32">
        <v>102.4</v>
      </c>
      <c r="CW199" s="32">
        <v>47.8</v>
      </c>
      <c r="CX199" s="32">
        <v>106</v>
      </c>
      <c r="CY199" s="32">
        <v>116.1</v>
      </c>
      <c r="CZ199" s="32">
        <v>100.6</v>
      </c>
      <c r="DA199" s="32">
        <v>89.1</v>
      </c>
      <c r="DB199" s="32">
        <v>123.4</v>
      </c>
      <c r="DC199" s="32">
        <v>14.7</v>
      </c>
      <c r="DD199" s="32">
        <v>14.7</v>
      </c>
      <c r="DE199" s="32">
        <v>69</v>
      </c>
      <c r="DF199" s="32">
        <v>68.400000000000006</v>
      </c>
      <c r="DG199" s="32">
        <v>71.7</v>
      </c>
      <c r="DH199" s="32">
        <v>99.6</v>
      </c>
      <c r="DI199" s="32">
        <v>148.4</v>
      </c>
      <c r="DJ199" s="32">
        <v>70.5</v>
      </c>
      <c r="DK199" s="32">
        <v>70.5</v>
      </c>
      <c r="DL199" s="32">
        <v>63.3</v>
      </c>
      <c r="DM199" s="32">
        <v>85.6</v>
      </c>
      <c r="DN199" s="32">
        <v>87.6</v>
      </c>
      <c r="DO199" s="32">
        <v>85.2</v>
      </c>
      <c r="DP199" s="32">
        <v>76.3</v>
      </c>
      <c r="DQ199" s="32">
        <v>77.8</v>
      </c>
      <c r="DR199" s="32">
        <v>78.3</v>
      </c>
      <c r="DS199" s="32">
        <v>80.099999999999994</v>
      </c>
      <c r="DT199" s="32">
        <v>77</v>
      </c>
      <c r="DU199" s="32">
        <v>81.2</v>
      </c>
      <c r="DV199" s="32">
        <v>97.5</v>
      </c>
      <c r="DW199" s="32">
        <v>64.900000000000006</v>
      </c>
      <c r="DX199" s="32">
        <v>68.599999999999994</v>
      </c>
      <c r="DY199" s="32">
        <v>91.6</v>
      </c>
      <c r="DZ199" s="32">
        <v>88.1</v>
      </c>
      <c r="EA199" s="32">
        <v>88.1</v>
      </c>
      <c r="EB199" s="32">
        <v>69.7</v>
      </c>
      <c r="EC199" s="32">
        <v>70.2</v>
      </c>
      <c r="ED199" s="32">
        <v>69.400000000000006</v>
      </c>
      <c r="EE199" s="32">
        <v>73.7</v>
      </c>
      <c r="EF199" s="32">
        <v>60.2</v>
      </c>
      <c r="EG199" s="32">
        <v>77</v>
      </c>
      <c r="EH199" s="32">
        <v>92.7</v>
      </c>
      <c r="EI199" s="32">
        <v>73.7</v>
      </c>
      <c r="EJ199" s="32">
        <v>85</v>
      </c>
      <c r="EK199" s="32">
        <v>70.8</v>
      </c>
      <c r="EL199" s="32">
        <v>72.8</v>
      </c>
      <c r="EM199" s="32">
        <v>61.9</v>
      </c>
      <c r="EN199" s="32">
        <v>76.2</v>
      </c>
      <c r="EO199" s="32">
        <v>89.9</v>
      </c>
      <c r="EP199" s="32">
        <v>87.1</v>
      </c>
      <c r="EQ199" s="32">
        <v>87.1</v>
      </c>
      <c r="ER199" s="32">
        <v>84.3</v>
      </c>
      <c r="ES199" s="32">
        <v>84.3</v>
      </c>
      <c r="ET199" s="32">
        <v>98.8</v>
      </c>
      <c r="EU199" s="32">
        <v>108.5</v>
      </c>
      <c r="EV199" s="32">
        <v>108.5</v>
      </c>
      <c r="EW199" s="32">
        <v>89.9</v>
      </c>
      <c r="EX199" s="32">
        <v>95.8</v>
      </c>
      <c r="EY199" s="32">
        <v>85.4</v>
      </c>
      <c r="EZ199" s="32">
        <v>94.1</v>
      </c>
      <c r="FA199" s="32">
        <v>100.8</v>
      </c>
      <c r="FB199" s="32">
        <v>109.7</v>
      </c>
      <c r="FC199" s="32">
        <v>90.5</v>
      </c>
      <c r="FD199" s="32">
        <v>101.9</v>
      </c>
      <c r="FE199" s="32">
        <v>147.6</v>
      </c>
      <c r="FF199" s="32">
        <v>90.9</v>
      </c>
      <c r="FG199" s="32">
        <v>86.9</v>
      </c>
      <c r="FH199" s="32">
        <v>86.8</v>
      </c>
      <c r="FI199" s="32">
        <v>91.4</v>
      </c>
      <c r="FJ199" s="32">
        <v>86.3</v>
      </c>
      <c r="FK199" s="32">
        <v>128.30000000000001</v>
      </c>
      <c r="FL199" s="32">
        <v>128.30000000000001</v>
      </c>
    </row>
    <row r="200" spans="1:168" x14ac:dyDescent="0.2">
      <c r="A200" s="34" t="s">
        <v>1180</v>
      </c>
      <c r="B200" s="32">
        <v>85.3</v>
      </c>
      <c r="C200" s="32">
        <v>76.099999999999994</v>
      </c>
      <c r="D200" s="32">
        <v>89.8</v>
      </c>
      <c r="E200" s="32">
        <v>92</v>
      </c>
      <c r="F200" s="32">
        <v>92.8</v>
      </c>
      <c r="G200" s="32">
        <v>2091</v>
      </c>
      <c r="H200" s="32">
        <v>88.3</v>
      </c>
      <c r="I200" s="32">
        <v>100.1</v>
      </c>
      <c r="J200" s="32">
        <v>91.5</v>
      </c>
      <c r="K200" s="32">
        <v>84.3</v>
      </c>
      <c r="L200" s="32">
        <v>81.900000000000006</v>
      </c>
      <c r="M200" s="32">
        <v>68.2</v>
      </c>
      <c r="N200" s="32">
        <v>76.400000000000006</v>
      </c>
      <c r="O200" s="32">
        <v>208.8</v>
      </c>
      <c r="P200" s="32">
        <v>119</v>
      </c>
      <c r="Q200" s="32">
        <v>97.2</v>
      </c>
      <c r="R200" s="32">
        <v>68.900000000000006</v>
      </c>
      <c r="S200" s="32">
        <v>103.5</v>
      </c>
      <c r="T200" s="32">
        <v>149.80000000000001</v>
      </c>
      <c r="U200" s="32">
        <v>106.4</v>
      </c>
      <c r="V200" s="32">
        <v>92.7</v>
      </c>
      <c r="W200" s="32">
        <v>75.599999999999994</v>
      </c>
      <c r="X200" s="32">
        <v>62.1</v>
      </c>
      <c r="Y200" s="32">
        <v>89.9</v>
      </c>
      <c r="Z200" s="32">
        <v>133.1</v>
      </c>
      <c r="AA200" s="32">
        <v>108.6</v>
      </c>
      <c r="AB200" s="32">
        <v>92.5</v>
      </c>
      <c r="AC200" s="32">
        <v>109.3</v>
      </c>
      <c r="AD200" s="32">
        <v>122.1</v>
      </c>
      <c r="AE200" s="32">
        <v>41.3</v>
      </c>
      <c r="AF200" s="32">
        <v>41.3</v>
      </c>
      <c r="AG200" s="32">
        <v>81.599999999999994</v>
      </c>
      <c r="AH200" s="32">
        <v>81.599999999999994</v>
      </c>
      <c r="AI200" s="32">
        <v>119.2</v>
      </c>
      <c r="AJ200" s="32">
        <v>88.9</v>
      </c>
      <c r="AK200" s="32">
        <v>92.3</v>
      </c>
      <c r="AL200" s="32">
        <v>72.7</v>
      </c>
      <c r="AM200" s="32">
        <v>57.6</v>
      </c>
      <c r="AN200" s="32">
        <v>148.9</v>
      </c>
      <c r="AO200" s="32">
        <v>80.3</v>
      </c>
      <c r="AP200" s="32">
        <v>80.3</v>
      </c>
      <c r="AQ200" s="32">
        <v>109.4</v>
      </c>
      <c r="AR200" s="32">
        <v>121</v>
      </c>
      <c r="AS200" s="32">
        <v>94.2</v>
      </c>
      <c r="AT200" s="32">
        <v>80.7</v>
      </c>
      <c r="AU200" s="32">
        <v>107.4</v>
      </c>
      <c r="AV200" s="32">
        <v>96.4</v>
      </c>
      <c r="AW200" s="32">
        <v>97.1</v>
      </c>
      <c r="AX200" s="32">
        <v>215.2</v>
      </c>
      <c r="AY200" s="32">
        <v>52.3</v>
      </c>
      <c r="AZ200" s="32">
        <v>99.7</v>
      </c>
      <c r="BA200" s="32">
        <v>90.8</v>
      </c>
      <c r="BB200" s="32">
        <v>90.8</v>
      </c>
      <c r="BC200" s="32">
        <v>114.9</v>
      </c>
      <c r="BD200" s="32">
        <v>114.9</v>
      </c>
      <c r="BE200" s="32">
        <v>113.8</v>
      </c>
      <c r="BF200" s="32">
        <v>113.8</v>
      </c>
      <c r="BG200" s="32">
        <v>91.1</v>
      </c>
      <c r="BH200" s="32">
        <v>97.7</v>
      </c>
      <c r="BI200" s="32">
        <v>83.2</v>
      </c>
      <c r="BJ200" s="32">
        <v>42.5</v>
      </c>
      <c r="BK200" s="32">
        <v>93</v>
      </c>
      <c r="BL200" s="32">
        <v>123.5</v>
      </c>
      <c r="BM200" s="32">
        <v>99.6</v>
      </c>
      <c r="BN200" s="32">
        <v>103.3</v>
      </c>
      <c r="BO200" s="32">
        <v>84.2</v>
      </c>
      <c r="BP200" s="32">
        <v>122.3</v>
      </c>
      <c r="BQ200" s="32">
        <v>96.1</v>
      </c>
      <c r="BR200" s="32">
        <v>93.9</v>
      </c>
      <c r="BS200" s="32">
        <v>153.9</v>
      </c>
      <c r="BT200" s="32">
        <v>81.3</v>
      </c>
      <c r="BU200" s="32">
        <v>122.9</v>
      </c>
      <c r="BV200" s="32">
        <v>122.9</v>
      </c>
      <c r="BW200" s="32">
        <v>143.1</v>
      </c>
      <c r="BX200" s="32">
        <v>69.599999999999994</v>
      </c>
      <c r="BY200" s="32">
        <v>77.900000000000006</v>
      </c>
      <c r="BZ200" s="32">
        <v>84.6</v>
      </c>
      <c r="CA200" s="32">
        <v>74.8</v>
      </c>
      <c r="CB200" s="32">
        <v>90.8</v>
      </c>
      <c r="CC200" s="32">
        <v>63</v>
      </c>
      <c r="CD200" s="32">
        <v>30.6</v>
      </c>
      <c r="CE200" s="32">
        <v>86.1</v>
      </c>
      <c r="CF200" s="32">
        <v>84.7</v>
      </c>
      <c r="CG200" s="32">
        <v>96.5</v>
      </c>
      <c r="CH200" s="32">
        <v>94.4</v>
      </c>
      <c r="CI200" s="32">
        <v>113</v>
      </c>
      <c r="CJ200" s="32">
        <v>89.6</v>
      </c>
      <c r="CK200" s="32">
        <v>94.4</v>
      </c>
      <c r="CL200" s="32">
        <v>100.2</v>
      </c>
      <c r="CM200" s="32">
        <v>112.6</v>
      </c>
      <c r="CN200" s="32">
        <v>131</v>
      </c>
      <c r="CO200" s="32">
        <v>105.6</v>
      </c>
      <c r="CP200" s="32">
        <v>179.8</v>
      </c>
      <c r="CQ200" s="32">
        <v>94.4</v>
      </c>
      <c r="CR200" s="32">
        <v>96.2</v>
      </c>
      <c r="CS200" s="32">
        <v>123.8</v>
      </c>
      <c r="CT200" s="32">
        <v>98</v>
      </c>
      <c r="CU200" s="32">
        <v>87.8</v>
      </c>
      <c r="CV200" s="32">
        <v>102.4</v>
      </c>
      <c r="CW200" s="32">
        <v>47.5</v>
      </c>
      <c r="CX200" s="32">
        <v>106</v>
      </c>
      <c r="CY200" s="32">
        <v>118.6</v>
      </c>
      <c r="CZ200" s="32">
        <v>99.4</v>
      </c>
      <c r="DA200" s="32">
        <v>86.8</v>
      </c>
      <c r="DB200" s="32">
        <v>124.6</v>
      </c>
      <c r="DC200" s="32">
        <v>14.8</v>
      </c>
      <c r="DD200" s="32">
        <v>14.8</v>
      </c>
      <c r="DE200" s="32">
        <v>67.400000000000006</v>
      </c>
      <c r="DF200" s="32">
        <v>66.7</v>
      </c>
      <c r="DG200" s="32">
        <v>70.7</v>
      </c>
      <c r="DH200" s="32">
        <v>100.9</v>
      </c>
      <c r="DI200" s="32">
        <v>152.4</v>
      </c>
      <c r="DJ200" s="32">
        <v>68.900000000000006</v>
      </c>
      <c r="DK200" s="32">
        <v>68.900000000000006</v>
      </c>
      <c r="DL200" s="32">
        <v>63.9</v>
      </c>
      <c r="DM200" s="32">
        <v>85.8</v>
      </c>
      <c r="DN200" s="32">
        <v>87.7</v>
      </c>
      <c r="DO200" s="32">
        <v>85.3</v>
      </c>
      <c r="DP200" s="32">
        <v>81.099999999999994</v>
      </c>
      <c r="DQ200" s="32">
        <v>77.099999999999994</v>
      </c>
      <c r="DR200" s="32">
        <v>77.3</v>
      </c>
      <c r="DS200" s="32">
        <v>79</v>
      </c>
      <c r="DT200" s="32">
        <v>76.099999999999994</v>
      </c>
      <c r="DU200" s="32">
        <v>80.099999999999994</v>
      </c>
      <c r="DV200" s="32">
        <v>93.8</v>
      </c>
      <c r="DW200" s="32">
        <v>66.2</v>
      </c>
      <c r="DX200" s="32">
        <v>68</v>
      </c>
      <c r="DY200" s="32">
        <v>89.8</v>
      </c>
      <c r="DZ200" s="32">
        <v>81.3</v>
      </c>
      <c r="EA200" s="32">
        <v>81.3</v>
      </c>
      <c r="EB200" s="32">
        <v>71.099999999999994</v>
      </c>
      <c r="EC200" s="32">
        <v>72.599999999999994</v>
      </c>
      <c r="ED200" s="32">
        <v>69.599999999999994</v>
      </c>
      <c r="EE200" s="32">
        <v>73</v>
      </c>
      <c r="EF200" s="32">
        <v>62.3</v>
      </c>
      <c r="EG200" s="32">
        <v>76.8</v>
      </c>
      <c r="EH200" s="32">
        <v>93.8</v>
      </c>
      <c r="EI200" s="32">
        <v>73.099999999999994</v>
      </c>
      <c r="EJ200" s="32">
        <v>84.9</v>
      </c>
      <c r="EK200" s="32">
        <v>70.3</v>
      </c>
      <c r="EL200" s="32">
        <v>73.8</v>
      </c>
      <c r="EM200" s="32">
        <v>64.5</v>
      </c>
      <c r="EN200" s="32">
        <v>73.599999999999994</v>
      </c>
      <c r="EO200" s="32">
        <v>90.1</v>
      </c>
      <c r="EP200" s="32">
        <v>86.8</v>
      </c>
      <c r="EQ200" s="32">
        <v>86.8</v>
      </c>
      <c r="ER200" s="32">
        <v>84</v>
      </c>
      <c r="ES200" s="32">
        <v>84</v>
      </c>
      <c r="ET200" s="32">
        <v>100</v>
      </c>
      <c r="EU200" s="32">
        <v>110</v>
      </c>
      <c r="EV200" s="32">
        <v>110</v>
      </c>
      <c r="EW200" s="32">
        <v>90.3</v>
      </c>
      <c r="EX200" s="32">
        <v>95</v>
      </c>
      <c r="EY200" s="32">
        <v>86.5</v>
      </c>
      <c r="EZ200" s="32">
        <v>94</v>
      </c>
      <c r="FA200" s="32">
        <v>101</v>
      </c>
      <c r="FB200" s="32">
        <v>111.3</v>
      </c>
      <c r="FC200" s="32">
        <v>90.8</v>
      </c>
      <c r="FD200" s="32">
        <v>104.3</v>
      </c>
      <c r="FE200" s="32">
        <v>151.19999999999999</v>
      </c>
      <c r="FF200" s="32">
        <v>89.5</v>
      </c>
      <c r="FG200" s="32">
        <v>86.2</v>
      </c>
      <c r="FH200" s="32">
        <v>87.8</v>
      </c>
      <c r="FI200" s="32">
        <v>91.5</v>
      </c>
      <c r="FJ200" s="32">
        <v>84.8</v>
      </c>
      <c r="FK200" s="32">
        <v>133.9</v>
      </c>
      <c r="FL200" s="32">
        <v>133.9</v>
      </c>
    </row>
    <row r="201" spans="1:168" x14ac:dyDescent="0.2">
      <c r="A201" s="34" t="s">
        <v>1181</v>
      </c>
      <c r="B201" s="32">
        <v>85.3</v>
      </c>
      <c r="C201" s="32">
        <v>76.7</v>
      </c>
      <c r="D201" s="32">
        <v>89.1</v>
      </c>
      <c r="E201" s="32">
        <v>91.7</v>
      </c>
      <c r="F201" s="32">
        <v>93.3</v>
      </c>
      <c r="G201" s="32">
        <v>2258.5</v>
      </c>
      <c r="H201" s="32">
        <v>89.6</v>
      </c>
      <c r="I201" s="32">
        <v>96.3</v>
      </c>
      <c r="J201" s="32">
        <v>91.1</v>
      </c>
      <c r="K201" s="32">
        <v>84.2</v>
      </c>
      <c r="L201" s="32">
        <v>83</v>
      </c>
      <c r="M201" s="32">
        <v>68.7</v>
      </c>
      <c r="N201" s="32">
        <v>77.3</v>
      </c>
      <c r="O201" s="32">
        <v>201.4</v>
      </c>
      <c r="P201" s="32">
        <v>119.6</v>
      </c>
      <c r="Q201" s="32">
        <v>95.1</v>
      </c>
      <c r="R201" s="32">
        <v>72.099999999999994</v>
      </c>
      <c r="S201" s="32">
        <v>102.7</v>
      </c>
      <c r="T201" s="32">
        <v>163.4</v>
      </c>
      <c r="U201" s="32">
        <v>102.9</v>
      </c>
      <c r="V201" s="32">
        <v>88.9</v>
      </c>
      <c r="W201" s="32">
        <v>74.5</v>
      </c>
      <c r="X201" s="32">
        <v>60</v>
      </c>
      <c r="Y201" s="32">
        <v>91.7</v>
      </c>
      <c r="Z201" s="32">
        <v>134.69999999999999</v>
      </c>
      <c r="AA201" s="32">
        <v>105.4</v>
      </c>
      <c r="AB201" s="32">
        <v>86</v>
      </c>
      <c r="AC201" s="32">
        <v>110.8</v>
      </c>
      <c r="AD201" s="32">
        <v>116.5</v>
      </c>
      <c r="AE201" s="32">
        <v>44.7</v>
      </c>
      <c r="AF201" s="32">
        <v>44.7</v>
      </c>
      <c r="AG201" s="32">
        <v>80.099999999999994</v>
      </c>
      <c r="AH201" s="32">
        <v>80.099999999999994</v>
      </c>
      <c r="AI201" s="32">
        <v>121</v>
      </c>
      <c r="AJ201" s="32">
        <v>84.1</v>
      </c>
      <c r="AK201" s="32">
        <v>89.8</v>
      </c>
      <c r="AL201" s="32">
        <v>70</v>
      </c>
      <c r="AM201" s="32">
        <v>56.4</v>
      </c>
      <c r="AN201" s="32">
        <v>150</v>
      </c>
      <c r="AO201" s="32">
        <v>84.6</v>
      </c>
      <c r="AP201" s="32">
        <v>84.6</v>
      </c>
      <c r="AQ201" s="32">
        <v>107.4</v>
      </c>
      <c r="AR201" s="32">
        <v>115.7</v>
      </c>
      <c r="AS201" s="32">
        <v>97.2</v>
      </c>
      <c r="AT201" s="32">
        <v>79.7</v>
      </c>
      <c r="AU201" s="32">
        <v>114.3</v>
      </c>
      <c r="AV201" s="32">
        <v>94.9</v>
      </c>
      <c r="AW201" s="32">
        <v>91.6</v>
      </c>
      <c r="AX201" s="32">
        <v>206.6</v>
      </c>
      <c r="AY201" s="32">
        <v>46.7</v>
      </c>
      <c r="AZ201" s="32">
        <v>98.9</v>
      </c>
      <c r="BA201" s="32">
        <v>89.7</v>
      </c>
      <c r="BB201" s="32">
        <v>89.7</v>
      </c>
      <c r="BC201" s="32">
        <v>116</v>
      </c>
      <c r="BD201" s="32">
        <v>116</v>
      </c>
      <c r="BE201" s="32">
        <v>110.3</v>
      </c>
      <c r="BF201" s="32">
        <v>110.3</v>
      </c>
      <c r="BG201" s="32">
        <v>89.5</v>
      </c>
      <c r="BH201" s="32">
        <v>92.9</v>
      </c>
      <c r="BI201" s="32">
        <v>84.8</v>
      </c>
      <c r="BJ201" s="32">
        <v>43</v>
      </c>
      <c r="BK201" s="32">
        <v>95.6</v>
      </c>
      <c r="BL201" s="32">
        <v>121.8</v>
      </c>
      <c r="BM201" s="32">
        <v>102.9</v>
      </c>
      <c r="BN201" s="32">
        <v>100</v>
      </c>
      <c r="BO201" s="32">
        <v>83.5</v>
      </c>
      <c r="BP201" s="32">
        <v>116</v>
      </c>
      <c r="BQ201" s="32">
        <v>106.5</v>
      </c>
      <c r="BR201" s="32">
        <v>116.4</v>
      </c>
      <c r="BS201" s="32">
        <v>166.4</v>
      </c>
      <c r="BT201" s="32">
        <v>89.3</v>
      </c>
      <c r="BU201" s="32">
        <v>120.7</v>
      </c>
      <c r="BV201" s="32">
        <v>120.7</v>
      </c>
      <c r="BW201" s="32">
        <v>143.19999999999999</v>
      </c>
      <c r="BX201" s="32">
        <v>66.3</v>
      </c>
      <c r="BY201" s="32">
        <v>78.900000000000006</v>
      </c>
      <c r="BZ201" s="32">
        <v>83.9</v>
      </c>
      <c r="CA201" s="32">
        <v>76.599999999999994</v>
      </c>
      <c r="CB201" s="32">
        <v>94.5</v>
      </c>
      <c r="CC201" s="32">
        <v>63.3</v>
      </c>
      <c r="CD201" s="32">
        <v>30.8</v>
      </c>
      <c r="CE201" s="32">
        <v>84.7</v>
      </c>
      <c r="CF201" s="32">
        <v>84.8</v>
      </c>
      <c r="CG201" s="32">
        <v>95.3</v>
      </c>
      <c r="CH201" s="32">
        <v>94.2</v>
      </c>
      <c r="CI201" s="32">
        <v>110.7</v>
      </c>
      <c r="CJ201" s="32">
        <v>91.3</v>
      </c>
      <c r="CK201" s="32">
        <v>93.3</v>
      </c>
      <c r="CL201" s="32">
        <v>96.1</v>
      </c>
      <c r="CM201" s="32">
        <v>105.1</v>
      </c>
      <c r="CN201" s="32">
        <v>130.5</v>
      </c>
      <c r="CO201" s="32">
        <v>97.3</v>
      </c>
      <c r="CP201" s="32">
        <v>175.1</v>
      </c>
      <c r="CQ201" s="32">
        <v>95.8</v>
      </c>
      <c r="CR201" s="32">
        <v>96.9</v>
      </c>
      <c r="CS201" s="32">
        <v>114.1</v>
      </c>
      <c r="CT201" s="32">
        <v>97.4</v>
      </c>
      <c r="CU201" s="32">
        <v>86.8</v>
      </c>
      <c r="CV201" s="32">
        <v>102</v>
      </c>
      <c r="CW201" s="32">
        <v>48.1</v>
      </c>
      <c r="CX201" s="32">
        <v>105.4</v>
      </c>
      <c r="CY201" s="32">
        <v>120.7</v>
      </c>
      <c r="CZ201" s="32">
        <v>97.4</v>
      </c>
      <c r="DA201" s="32">
        <v>85.5</v>
      </c>
      <c r="DB201" s="32">
        <v>121.2</v>
      </c>
      <c r="DC201" s="32">
        <v>15.1</v>
      </c>
      <c r="DD201" s="32">
        <v>15.1</v>
      </c>
      <c r="DE201" s="32">
        <v>69.099999999999994</v>
      </c>
      <c r="DF201" s="32">
        <v>68.2</v>
      </c>
      <c r="DG201" s="32">
        <v>73.599999999999994</v>
      </c>
      <c r="DH201" s="32">
        <v>100.1</v>
      </c>
      <c r="DI201" s="32">
        <v>150</v>
      </c>
      <c r="DJ201" s="32">
        <v>67.7</v>
      </c>
      <c r="DK201" s="32">
        <v>67.7</v>
      </c>
      <c r="DL201" s="32">
        <v>65.2</v>
      </c>
      <c r="DM201" s="32">
        <v>86.1</v>
      </c>
      <c r="DN201" s="32">
        <v>87.8</v>
      </c>
      <c r="DO201" s="32">
        <v>85.7</v>
      </c>
      <c r="DP201" s="32">
        <v>79.3</v>
      </c>
      <c r="DQ201" s="32">
        <v>77.7</v>
      </c>
      <c r="DR201" s="32">
        <v>77.2</v>
      </c>
      <c r="DS201" s="32">
        <v>78.099999999999994</v>
      </c>
      <c r="DT201" s="32">
        <v>75</v>
      </c>
      <c r="DU201" s="32">
        <v>78.3</v>
      </c>
      <c r="DV201" s="32">
        <v>92.3</v>
      </c>
      <c r="DW201" s="32">
        <v>64.3</v>
      </c>
      <c r="DX201" s="32">
        <v>68.3</v>
      </c>
      <c r="DY201" s="32">
        <v>89.4</v>
      </c>
      <c r="DZ201" s="32">
        <v>83.1</v>
      </c>
      <c r="EA201" s="32">
        <v>83.1</v>
      </c>
      <c r="EB201" s="32">
        <v>72.7</v>
      </c>
      <c r="EC201" s="32">
        <v>72.5</v>
      </c>
      <c r="ED201" s="32">
        <v>73.400000000000006</v>
      </c>
      <c r="EE201" s="32">
        <v>76.099999999999994</v>
      </c>
      <c r="EF201" s="32">
        <v>67.5</v>
      </c>
      <c r="EG201" s="32">
        <v>78.5</v>
      </c>
      <c r="EH201" s="32">
        <v>94.2</v>
      </c>
      <c r="EI201" s="32">
        <v>75.400000000000006</v>
      </c>
      <c r="EJ201" s="32">
        <v>81</v>
      </c>
      <c r="EK201" s="32">
        <v>73.099999999999994</v>
      </c>
      <c r="EL201" s="32">
        <v>75.2</v>
      </c>
      <c r="EM201" s="32">
        <v>69.400000000000006</v>
      </c>
      <c r="EN201" s="32">
        <v>75.3</v>
      </c>
      <c r="EO201" s="32">
        <v>90.6</v>
      </c>
      <c r="EP201" s="32">
        <v>86.9</v>
      </c>
      <c r="EQ201" s="32">
        <v>86.9</v>
      </c>
      <c r="ER201" s="32">
        <v>84.7</v>
      </c>
      <c r="ES201" s="32">
        <v>84.7</v>
      </c>
      <c r="ET201" s="32">
        <v>100.4</v>
      </c>
      <c r="EU201" s="32">
        <v>110.7</v>
      </c>
      <c r="EV201" s="32">
        <v>110.7</v>
      </c>
      <c r="EW201" s="32">
        <v>90.4</v>
      </c>
      <c r="EX201" s="32">
        <v>93.8</v>
      </c>
      <c r="EY201" s="32">
        <v>87.7</v>
      </c>
      <c r="EZ201" s="32">
        <v>95.4</v>
      </c>
      <c r="FA201" s="32">
        <v>104.9</v>
      </c>
      <c r="FB201" s="32">
        <v>116.2</v>
      </c>
      <c r="FC201" s="32">
        <v>98</v>
      </c>
      <c r="FD201" s="32">
        <v>104.5</v>
      </c>
      <c r="FE201" s="32">
        <v>154.19999999999999</v>
      </c>
      <c r="FF201" s="32">
        <v>92.2</v>
      </c>
      <c r="FG201" s="32">
        <v>85.8</v>
      </c>
      <c r="FH201" s="32">
        <v>87.7</v>
      </c>
      <c r="FI201" s="32">
        <v>96.2</v>
      </c>
      <c r="FJ201" s="32">
        <v>83.8</v>
      </c>
      <c r="FK201" s="32">
        <v>134.5</v>
      </c>
      <c r="FL201" s="32">
        <v>134.5</v>
      </c>
    </row>
    <row r="202" spans="1:168" x14ac:dyDescent="0.2">
      <c r="A202" s="34" t="s">
        <v>1182</v>
      </c>
      <c r="B202" s="32">
        <v>85.7</v>
      </c>
      <c r="C202" s="32">
        <v>78</v>
      </c>
      <c r="D202" s="32">
        <v>90.2</v>
      </c>
      <c r="E202" s="32">
        <v>92.2</v>
      </c>
      <c r="F202" s="32">
        <v>95.6</v>
      </c>
      <c r="G202" s="32">
        <v>1987.9</v>
      </c>
      <c r="H202" s="32">
        <v>93.5</v>
      </c>
      <c r="I202" s="32">
        <v>92.5</v>
      </c>
      <c r="J202" s="32">
        <v>92</v>
      </c>
      <c r="K202" s="32">
        <v>87.3</v>
      </c>
      <c r="L202" s="32">
        <v>86.1</v>
      </c>
      <c r="M202" s="32">
        <v>73.2</v>
      </c>
      <c r="N202" s="32">
        <v>81.5</v>
      </c>
      <c r="O202" s="32">
        <v>258.5</v>
      </c>
      <c r="P202" s="32">
        <v>120.9</v>
      </c>
      <c r="Q202" s="32">
        <v>97.4</v>
      </c>
      <c r="R202" s="32">
        <v>76.099999999999994</v>
      </c>
      <c r="S202" s="32">
        <v>104.9</v>
      </c>
      <c r="T202" s="32">
        <v>163.1</v>
      </c>
      <c r="U202" s="32">
        <v>109</v>
      </c>
      <c r="V202" s="32">
        <v>90.7</v>
      </c>
      <c r="W202" s="32">
        <v>76.099999999999994</v>
      </c>
      <c r="X202" s="32">
        <v>62.3</v>
      </c>
      <c r="Y202" s="32">
        <v>91.6</v>
      </c>
      <c r="Z202" s="32">
        <v>132.5</v>
      </c>
      <c r="AA202" s="32">
        <v>108.5</v>
      </c>
      <c r="AB202" s="32">
        <v>91.8</v>
      </c>
      <c r="AC202" s="32">
        <v>112.7</v>
      </c>
      <c r="AD202" s="32">
        <v>118.8</v>
      </c>
      <c r="AE202" s="32">
        <v>44.8</v>
      </c>
      <c r="AF202" s="32">
        <v>44.8</v>
      </c>
      <c r="AG202" s="32">
        <v>83.4</v>
      </c>
      <c r="AH202" s="32">
        <v>83.4</v>
      </c>
      <c r="AI202" s="32">
        <v>135.4</v>
      </c>
      <c r="AJ202" s="32">
        <v>84.9</v>
      </c>
      <c r="AK202" s="32">
        <v>94.6</v>
      </c>
      <c r="AL202" s="32">
        <v>76.400000000000006</v>
      </c>
      <c r="AM202" s="32">
        <v>57</v>
      </c>
      <c r="AN202" s="32">
        <v>155.30000000000001</v>
      </c>
      <c r="AO202" s="32">
        <v>86.3</v>
      </c>
      <c r="AP202" s="32">
        <v>86.3</v>
      </c>
      <c r="AQ202" s="32">
        <v>112.8</v>
      </c>
      <c r="AR202" s="32">
        <v>121.9</v>
      </c>
      <c r="AS202" s="32">
        <v>101.6</v>
      </c>
      <c r="AT202" s="32">
        <v>81.599999999999994</v>
      </c>
      <c r="AU202" s="32">
        <v>121.4</v>
      </c>
      <c r="AV202" s="32">
        <v>91.3</v>
      </c>
      <c r="AW202" s="32">
        <v>90.2</v>
      </c>
      <c r="AX202" s="32">
        <v>206.8</v>
      </c>
      <c r="AY202" s="32">
        <v>43.6</v>
      </c>
      <c r="AZ202" s="32">
        <v>94.7</v>
      </c>
      <c r="BA202" s="32">
        <v>87.4</v>
      </c>
      <c r="BB202" s="32">
        <v>87.4</v>
      </c>
      <c r="BC202" s="32">
        <v>121.3</v>
      </c>
      <c r="BD202" s="32">
        <v>121.3</v>
      </c>
      <c r="BE202" s="32">
        <v>107.4</v>
      </c>
      <c r="BF202" s="32">
        <v>107.4</v>
      </c>
      <c r="BG202" s="32">
        <v>91.5</v>
      </c>
      <c r="BH202" s="32">
        <v>96.3</v>
      </c>
      <c r="BI202" s="32">
        <v>85.4</v>
      </c>
      <c r="BJ202" s="32">
        <v>43</v>
      </c>
      <c r="BK202" s="32">
        <v>96.2</v>
      </c>
      <c r="BL202" s="32">
        <v>125.2</v>
      </c>
      <c r="BM202" s="32">
        <v>101.1</v>
      </c>
      <c r="BN202" s="32">
        <v>102.3</v>
      </c>
      <c r="BO202" s="32">
        <v>86.6</v>
      </c>
      <c r="BP202" s="32">
        <v>117.4</v>
      </c>
      <c r="BQ202" s="32">
        <v>100.2</v>
      </c>
      <c r="BR202" s="32">
        <v>102.8</v>
      </c>
      <c r="BS202" s="32">
        <v>142.69999999999999</v>
      </c>
      <c r="BT202" s="32">
        <v>88.2</v>
      </c>
      <c r="BU202" s="32">
        <v>115.3</v>
      </c>
      <c r="BV202" s="32">
        <v>115.3</v>
      </c>
      <c r="BW202" s="32">
        <v>139</v>
      </c>
      <c r="BX202" s="32">
        <v>61.8</v>
      </c>
      <c r="BY202" s="32">
        <v>80.3</v>
      </c>
      <c r="BZ202" s="32">
        <v>87.7</v>
      </c>
      <c r="CA202" s="32">
        <v>76.900000000000006</v>
      </c>
      <c r="CB202" s="32">
        <v>93.2</v>
      </c>
      <c r="CC202" s="32">
        <v>64.599999999999994</v>
      </c>
      <c r="CD202" s="32">
        <v>33</v>
      </c>
      <c r="CE202" s="32">
        <v>87</v>
      </c>
      <c r="CF202" s="32">
        <v>85</v>
      </c>
      <c r="CG202" s="32">
        <v>96.6</v>
      </c>
      <c r="CH202" s="32">
        <v>94.5</v>
      </c>
      <c r="CI202" s="32">
        <v>109.2</v>
      </c>
      <c r="CJ202" s="32">
        <v>89.9</v>
      </c>
      <c r="CK202" s="32">
        <v>95.2</v>
      </c>
      <c r="CL202" s="32">
        <v>98.6</v>
      </c>
      <c r="CM202" s="32">
        <v>108.6</v>
      </c>
      <c r="CN202" s="32">
        <v>130.4</v>
      </c>
      <c r="CO202" s="32">
        <v>101.2</v>
      </c>
      <c r="CP202" s="32">
        <v>177.6</v>
      </c>
      <c r="CQ202" s="32">
        <v>98.7</v>
      </c>
      <c r="CR202" s="32">
        <v>98.5</v>
      </c>
      <c r="CS202" s="32">
        <v>117.2</v>
      </c>
      <c r="CT202" s="32">
        <v>100.1</v>
      </c>
      <c r="CU202" s="32">
        <v>89.9</v>
      </c>
      <c r="CV202" s="32">
        <v>104.5</v>
      </c>
      <c r="CW202" s="32">
        <v>48.9</v>
      </c>
      <c r="CX202" s="32">
        <v>104.6</v>
      </c>
      <c r="CY202" s="32">
        <v>119.9</v>
      </c>
      <c r="CZ202" s="32">
        <v>96.5</v>
      </c>
      <c r="DA202" s="32">
        <v>84.4</v>
      </c>
      <c r="DB202" s="32">
        <v>120.8</v>
      </c>
      <c r="DC202" s="32">
        <v>16.3</v>
      </c>
      <c r="DD202" s="32">
        <v>16.3</v>
      </c>
      <c r="DE202" s="32">
        <v>68.099999999999994</v>
      </c>
      <c r="DF202" s="32">
        <v>67.099999999999994</v>
      </c>
      <c r="DG202" s="32">
        <v>73.2</v>
      </c>
      <c r="DH202" s="32">
        <v>97.9</v>
      </c>
      <c r="DI202" s="32">
        <v>149.4</v>
      </c>
      <c r="DJ202" s="32">
        <v>66.7</v>
      </c>
      <c r="DK202" s="32">
        <v>66.7</v>
      </c>
      <c r="DL202" s="32">
        <v>60.5</v>
      </c>
      <c r="DM202" s="32">
        <v>86.7</v>
      </c>
      <c r="DN202" s="32">
        <v>88.6</v>
      </c>
      <c r="DO202" s="32">
        <v>86.1</v>
      </c>
      <c r="DP202" s="32">
        <v>81.5</v>
      </c>
      <c r="DQ202" s="32">
        <v>78.3</v>
      </c>
      <c r="DR202" s="32">
        <v>77</v>
      </c>
      <c r="DS202" s="32">
        <v>78.8</v>
      </c>
      <c r="DT202" s="32">
        <v>75.599999999999994</v>
      </c>
      <c r="DU202" s="32">
        <v>79.3</v>
      </c>
      <c r="DV202" s="32">
        <v>94.8</v>
      </c>
      <c r="DW202" s="32">
        <v>63.8</v>
      </c>
      <c r="DX202" s="32">
        <v>68.2</v>
      </c>
      <c r="DY202" s="32">
        <v>90.5</v>
      </c>
      <c r="DZ202" s="32">
        <v>78.099999999999994</v>
      </c>
      <c r="EA202" s="32">
        <v>78.099999999999994</v>
      </c>
      <c r="EB202" s="32">
        <v>71.599999999999994</v>
      </c>
      <c r="EC202" s="32">
        <v>72.8</v>
      </c>
      <c r="ED202" s="32">
        <v>70.3</v>
      </c>
      <c r="EE202" s="32">
        <v>73.5</v>
      </c>
      <c r="EF202" s="32">
        <v>63.5</v>
      </c>
      <c r="EG202" s="32">
        <v>80.400000000000006</v>
      </c>
      <c r="EH202" s="32">
        <v>97.3</v>
      </c>
      <c r="EI202" s="32">
        <v>76.599999999999994</v>
      </c>
      <c r="EJ202" s="32">
        <v>84.9</v>
      </c>
      <c r="EK202" s="32">
        <v>74.599999999999994</v>
      </c>
      <c r="EL202" s="32">
        <v>77.099999999999994</v>
      </c>
      <c r="EM202" s="32">
        <v>73.3</v>
      </c>
      <c r="EN202" s="32">
        <v>75.2</v>
      </c>
      <c r="EO202" s="32">
        <v>90.2</v>
      </c>
      <c r="EP202" s="32">
        <v>87.3</v>
      </c>
      <c r="EQ202" s="32">
        <v>87.3</v>
      </c>
      <c r="ER202" s="32">
        <v>84.1</v>
      </c>
      <c r="ES202" s="32">
        <v>84.1</v>
      </c>
      <c r="ET202" s="32">
        <v>99.7</v>
      </c>
      <c r="EU202" s="32">
        <v>109.6</v>
      </c>
      <c r="EV202" s="32">
        <v>109.6</v>
      </c>
      <c r="EW202" s="32">
        <v>90.4</v>
      </c>
      <c r="EX202" s="32">
        <v>92.6</v>
      </c>
      <c r="EY202" s="32">
        <v>88.6</v>
      </c>
      <c r="EZ202" s="32">
        <v>95.4</v>
      </c>
      <c r="FA202" s="32">
        <v>104.5</v>
      </c>
      <c r="FB202" s="32">
        <v>116.2</v>
      </c>
      <c r="FC202" s="32">
        <v>96.5</v>
      </c>
      <c r="FD202" s="32">
        <v>105.8</v>
      </c>
      <c r="FE202" s="32">
        <v>156.4</v>
      </c>
      <c r="FF202" s="32">
        <v>91.2</v>
      </c>
      <c r="FG202" s="32">
        <v>86.9</v>
      </c>
      <c r="FH202" s="32">
        <v>87.3</v>
      </c>
      <c r="FI202" s="32">
        <v>95.8</v>
      </c>
      <c r="FJ202" s="32">
        <v>85.6</v>
      </c>
      <c r="FK202" s="32">
        <v>124.6</v>
      </c>
      <c r="FL202" s="32">
        <v>124.6</v>
      </c>
    </row>
    <row r="203" spans="1:168" x14ac:dyDescent="0.2">
      <c r="A203" s="34" t="s">
        <v>1183</v>
      </c>
      <c r="B203" s="32">
        <v>85.8</v>
      </c>
      <c r="C203" s="32">
        <v>80</v>
      </c>
      <c r="D203" s="32">
        <v>91.3</v>
      </c>
      <c r="E203" s="32">
        <v>93.3</v>
      </c>
      <c r="F203" s="32">
        <v>95</v>
      </c>
      <c r="G203" s="32">
        <v>2057.6</v>
      </c>
      <c r="H203" s="32">
        <v>92.2</v>
      </c>
      <c r="I203" s="32">
        <v>95.2</v>
      </c>
      <c r="J203" s="32">
        <v>93.7</v>
      </c>
      <c r="K203" s="32">
        <v>86.6</v>
      </c>
      <c r="L203" s="32">
        <v>84.4</v>
      </c>
      <c r="M203" s="32">
        <v>71.099999999999994</v>
      </c>
      <c r="N203" s="32">
        <v>78.8</v>
      </c>
      <c r="O203" s="32">
        <v>239.7</v>
      </c>
      <c r="P203" s="32">
        <v>122.2</v>
      </c>
      <c r="Q203" s="32">
        <v>97.3</v>
      </c>
      <c r="R203" s="32">
        <v>71.099999999999994</v>
      </c>
      <c r="S203" s="32">
        <v>104.6</v>
      </c>
      <c r="T203" s="32">
        <v>168.7</v>
      </c>
      <c r="U203" s="32">
        <v>105.7</v>
      </c>
      <c r="V203" s="32">
        <v>95.1</v>
      </c>
      <c r="W203" s="32">
        <v>76.599999999999994</v>
      </c>
      <c r="X203" s="32">
        <v>61.8</v>
      </c>
      <c r="Y203" s="32">
        <v>93.6</v>
      </c>
      <c r="Z203" s="32">
        <v>139.5</v>
      </c>
      <c r="AA203" s="32">
        <v>109.3</v>
      </c>
      <c r="AB203" s="32">
        <v>89.9</v>
      </c>
      <c r="AC203" s="32">
        <v>114.2</v>
      </c>
      <c r="AD203" s="32">
        <v>120.9</v>
      </c>
      <c r="AE203" s="32">
        <v>50.3</v>
      </c>
      <c r="AF203" s="32">
        <v>50.3</v>
      </c>
      <c r="AG203" s="32">
        <v>83.7</v>
      </c>
      <c r="AH203" s="32">
        <v>83.7</v>
      </c>
      <c r="AI203" s="32">
        <v>122.8</v>
      </c>
      <c r="AJ203" s="32">
        <v>88</v>
      </c>
      <c r="AK203" s="32">
        <v>94.5</v>
      </c>
      <c r="AL203" s="32">
        <v>74.900000000000006</v>
      </c>
      <c r="AM203" s="32">
        <v>59.1</v>
      </c>
      <c r="AN203" s="32">
        <v>155.6</v>
      </c>
      <c r="AO203" s="32">
        <v>86</v>
      </c>
      <c r="AP203" s="32">
        <v>86</v>
      </c>
      <c r="AQ203" s="32">
        <v>117.1</v>
      </c>
      <c r="AR203" s="32">
        <v>125.7</v>
      </c>
      <c r="AS203" s="32">
        <v>106.6</v>
      </c>
      <c r="AT203" s="32">
        <v>82</v>
      </c>
      <c r="AU203" s="32">
        <v>131.19999999999999</v>
      </c>
      <c r="AV203" s="32">
        <v>92.8</v>
      </c>
      <c r="AW203" s="32">
        <v>88.8</v>
      </c>
      <c r="AX203" s="32">
        <v>204.8</v>
      </c>
      <c r="AY203" s="32">
        <v>42</v>
      </c>
      <c r="AZ203" s="32">
        <v>96.8</v>
      </c>
      <c r="BA203" s="32">
        <v>89.2</v>
      </c>
      <c r="BB203" s="32">
        <v>89.2</v>
      </c>
      <c r="BC203" s="32">
        <v>120.5</v>
      </c>
      <c r="BD203" s="32">
        <v>120.5</v>
      </c>
      <c r="BE203" s="32">
        <v>117.3</v>
      </c>
      <c r="BF203" s="32">
        <v>117.3</v>
      </c>
      <c r="BG203" s="32">
        <v>94.5</v>
      </c>
      <c r="BH203" s="32">
        <v>104.3</v>
      </c>
      <c r="BI203" s="32">
        <v>83.5</v>
      </c>
      <c r="BJ203" s="32">
        <v>42.7</v>
      </c>
      <c r="BK203" s="32">
        <v>93.2</v>
      </c>
      <c r="BL203" s="32">
        <v>126.6</v>
      </c>
      <c r="BM203" s="32">
        <v>102.1</v>
      </c>
      <c r="BN203" s="32">
        <v>102.1</v>
      </c>
      <c r="BO203" s="32">
        <v>88.9</v>
      </c>
      <c r="BP203" s="32">
        <v>114.3</v>
      </c>
      <c r="BQ203" s="32">
        <v>102.5</v>
      </c>
      <c r="BR203" s="32">
        <v>114.5</v>
      </c>
      <c r="BS203" s="32">
        <v>138.1</v>
      </c>
      <c r="BT203" s="32">
        <v>90.8</v>
      </c>
      <c r="BU203" s="32">
        <v>111.6</v>
      </c>
      <c r="BV203" s="32">
        <v>111.6</v>
      </c>
      <c r="BW203" s="32">
        <v>136.69999999999999</v>
      </c>
      <c r="BX203" s="32">
        <v>58.1</v>
      </c>
      <c r="BY203" s="32">
        <v>83</v>
      </c>
      <c r="BZ203" s="32">
        <v>87.5</v>
      </c>
      <c r="CA203" s="32">
        <v>80.8</v>
      </c>
      <c r="CB203" s="32">
        <v>99.5</v>
      </c>
      <c r="CC203" s="32">
        <v>66.8</v>
      </c>
      <c r="CD203" s="32">
        <v>34.700000000000003</v>
      </c>
      <c r="CE203" s="32">
        <v>88.3</v>
      </c>
      <c r="CF203" s="32">
        <v>85</v>
      </c>
      <c r="CG203" s="32">
        <v>96.6</v>
      </c>
      <c r="CH203" s="32">
        <v>94.4</v>
      </c>
      <c r="CI203" s="32">
        <v>108.3</v>
      </c>
      <c r="CJ203" s="32">
        <v>89.3</v>
      </c>
      <c r="CK203" s="32">
        <v>95.6</v>
      </c>
      <c r="CL203" s="32">
        <v>99.6</v>
      </c>
      <c r="CM203" s="32">
        <v>109</v>
      </c>
      <c r="CN203" s="32">
        <v>130.19999999999999</v>
      </c>
      <c r="CO203" s="32">
        <v>101.7</v>
      </c>
      <c r="CP203" s="32">
        <v>182.8</v>
      </c>
      <c r="CQ203" s="32">
        <v>103.5</v>
      </c>
      <c r="CR203" s="32">
        <v>96.2</v>
      </c>
      <c r="CS203" s="32">
        <v>124</v>
      </c>
      <c r="CT203" s="32">
        <v>99.6</v>
      </c>
      <c r="CU203" s="32">
        <v>91.3</v>
      </c>
      <c r="CV203" s="32">
        <v>103.2</v>
      </c>
      <c r="CW203" s="32">
        <v>47.3</v>
      </c>
      <c r="CX203" s="32">
        <v>104.3</v>
      </c>
      <c r="CY203" s="32">
        <v>121.6</v>
      </c>
      <c r="CZ203" s="32">
        <v>95.3</v>
      </c>
      <c r="DA203" s="32">
        <v>83.7</v>
      </c>
      <c r="DB203" s="32">
        <v>118.6</v>
      </c>
      <c r="DC203" s="32">
        <v>15.2</v>
      </c>
      <c r="DD203" s="32">
        <v>15.2</v>
      </c>
      <c r="DE203" s="32">
        <v>66.2</v>
      </c>
      <c r="DF203" s="32">
        <v>64.900000000000006</v>
      </c>
      <c r="DG203" s="32">
        <v>72.599999999999994</v>
      </c>
      <c r="DH203" s="32">
        <v>96.9</v>
      </c>
      <c r="DI203" s="32">
        <v>146.1</v>
      </c>
      <c r="DJ203" s="32">
        <v>66.5</v>
      </c>
      <c r="DK203" s="32">
        <v>66.5</v>
      </c>
      <c r="DL203" s="32">
        <v>61.3</v>
      </c>
      <c r="DM203" s="32">
        <v>87</v>
      </c>
      <c r="DN203" s="32">
        <v>89.3</v>
      </c>
      <c r="DO203" s="32">
        <v>86.3</v>
      </c>
      <c r="DP203" s="32">
        <v>81.2</v>
      </c>
      <c r="DQ203" s="32">
        <v>79.2</v>
      </c>
      <c r="DR203" s="32">
        <v>78.099999999999994</v>
      </c>
      <c r="DS203" s="32">
        <v>80</v>
      </c>
      <c r="DT203" s="32">
        <v>76.599999999999994</v>
      </c>
      <c r="DU203" s="32">
        <v>80.3</v>
      </c>
      <c r="DV203" s="32">
        <v>92.5</v>
      </c>
      <c r="DW203" s="32">
        <v>67.900000000000006</v>
      </c>
      <c r="DX203" s="32">
        <v>69.099999999999994</v>
      </c>
      <c r="DY203" s="32">
        <v>92.2</v>
      </c>
      <c r="DZ203" s="32">
        <v>77.099999999999994</v>
      </c>
      <c r="EA203" s="32">
        <v>77.099999999999994</v>
      </c>
      <c r="EB203" s="32">
        <v>73.400000000000006</v>
      </c>
      <c r="EC203" s="32">
        <v>73.8</v>
      </c>
      <c r="ED203" s="32">
        <v>73.2</v>
      </c>
      <c r="EE203" s="32">
        <v>77.8</v>
      </c>
      <c r="EF203" s="32">
        <v>63.4</v>
      </c>
      <c r="EG203" s="32">
        <v>80.8</v>
      </c>
      <c r="EH203" s="32">
        <v>100.1</v>
      </c>
      <c r="EI203" s="32">
        <v>76.900000000000006</v>
      </c>
      <c r="EJ203" s="32">
        <v>85.8</v>
      </c>
      <c r="EK203" s="32">
        <v>74</v>
      </c>
      <c r="EL203" s="32">
        <v>79.400000000000006</v>
      </c>
      <c r="EM203" s="32">
        <v>71.400000000000006</v>
      </c>
      <c r="EN203" s="32">
        <v>74.900000000000006</v>
      </c>
      <c r="EO203" s="32">
        <v>90.5</v>
      </c>
      <c r="EP203" s="32">
        <v>87.2</v>
      </c>
      <c r="EQ203" s="32">
        <v>87.2</v>
      </c>
      <c r="ER203" s="32">
        <v>84.1</v>
      </c>
      <c r="ES203" s="32">
        <v>84.1</v>
      </c>
      <c r="ET203" s="32">
        <v>100.5</v>
      </c>
      <c r="EU203" s="32">
        <v>110.9</v>
      </c>
      <c r="EV203" s="32">
        <v>110.9</v>
      </c>
      <c r="EW203" s="32">
        <v>90.4</v>
      </c>
      <c r="EX203" s="32">
        <v>92</v>
      </c>
      <c r="EY203" s="32">
        <v>89.1</v>
      </c>
      <c r="EZ203" s="32">
        <v>95.3</v>
      </c>
      <c r="FA203" s="32">
        <v>104.8</v>
      </c>
      <c r="FB203" s="32">
        <v>116.7</v>
      </c>
      <c r="FC203" s="32">
        <v>96.6</v>
      </c>
      <c r="FD203" s="32">
        <v>105.5</v>
      </c>
      <c r="FE203" s="32">
        <v>158.1</v>
      </c>
      <c r="FF203" s="32">
        <v>91.3</v>
      </c>
      <c r="FG203" s="32">
        <v>86.3</v>
      </c>
      <c r="FH203" s="32">
        <v>87.5</v>
      </c>
      <c r="FI203" s="32">
        <v>99.2</v>
      </c>
      <c r="FJ203" s="32">
        <v>84.2</v>
      </c>
      <c r="FK203" s="32">
        <v>126.6</v>
      </c>
      <c r="FL203" s="32">
        <v>126.6</v>
      </c>
    </row>
    <row r="204" spans="1:168" x14ac:dyDescent="0.2">
      <c r="A204" s="34" t="s">
        <v>1184</v>
      </c>
      <c r="B204" s="32">
        <v>86</v>
      </c>
      <c r="C204" s="32">
        <v>82</v>
      </c>
      <c r="D204" s="32">
        <v>91</v>
      </c>
      <c r="E204" s="32">
        <v>93.2</v>
      </c>
      <c r="F204" s="32">
        <v>95.6</v>
      </c>
      <c r="G204" s="32">
        <v>2076.4</v>
      </c>
      <c r="H204" s="32">
        <v>94.3</v>
      </c>
      <c r="I204" s="32">
        <v>88.3</v>
      </c>
      <c r="J204" s="32">
        <v>93.8</v>
      </c>
      <c r="K204" s="32">
        <v>88.9</v>
      </c>
      <c r="L204" s="32">
        <v>86</v>
      </c>
      <c r="M204" s="32">
        <v>74.5</v>
      </c>
      <c r="N204" s="32">
        <v>86.3</v>
      </c>
      <c r="O204" s="32">
        <v>237.4</v>
      </c>
      <c r="P204" s="32">
        <v>134.30000000000001</v>
      </c>
      <c r="Q204" s="32">
        <v>98.4</v>
      </c>
      <c r="R204" s="32">
        <v>69.400000000000006</v>
      </c>
      <c r="S204" s="32">
        <v>102.7</v>
      </c>
      <c r="T204" s="32">
        <v>164.6</v>
      </c>
      <c r="U204" s="32">
        <v>127</v>
      </c>
      <c r="V204" s="32">
        <v>95.8</v>
      </c>
      <c r="W204" s="32">
        <v>77</v>
      </c>
      <c r="X204" s="32">
        <v>59.7</v>
      </c>
      <c r="Y204" s="32">
        <v>101.5</v>
      </c>
      <c r="Z204" s="32">
        <v>136.5</v>
      </c>
      <c r="AA204" s="32">
        <v>108.8</v>
      </c>
      <c r="AB204" s="32">
        <v>90.6</v>
      </c>
      <c r="AC204" s="32">
        <v>113.3</v>
      </c>
      <c r="AD204" s="32">
        <v>119.9</v>
      </c>
      <c r="AE204" s="32">
        <v>48.4</v>
      </c>
      <c r="AF204" s="32">
        <v>48.4</v>
      </c>
      <c r="AG204" s="32">
        <v>82.3</v>
      </c>
      <c r="AH204" s="32">
        <v>82.3</v>
      </c>
      <c r="AI204" s="32">
        <v>118.4</v>
      </c>
      <c r="AJ204" s="32">
        <v>86</v>
      </c>
      <c r="AK204" s="32">
        <v>78.099999999999994</v>
      </c>
      <c r="AL204" s="32">
        <v>72.8</v>
      </c>
      <c r="AM204" s="32">
        <v>61.4</v>
      </c>
      <c r="AN204" s="32">
        <v>152.69999999999999</v>
      </c>
      <c r="AO204" s="32">
        <v>81.900000000000006</v>
      </c>
      <c r="AP204" s="32">
        <v>81.900000000000006</v>
      </c>
      <c r="AQ204" s="32">
        <v>114.9</v>
      </c>
      <c r="AR204" s="32">
        <v>123.4</v>
      </c>
      <c r="AS204" s="32">
        <v>104.7</v>
      </c>
      <c r="AT204" s="32">
        <v>82</v>
      </c>
      <c r="AU204" s="32">
        <v>127.2</v>
      </c>
      <c r="AV204" s="32">
        <v>95</v>
      </c>
      <c r="AW204" s="32">
        <v>80.5</v>
      </c>
      <c r="AX204" s="32">
        <v>180.6</v>
      </c>
      <c r="AY204" s="32">
        <v>41.7</v>
      </c>
      <c r="AZ204" s="32">
        <v>101.3</v>
      </c>
      <c r="BA204" s="32">
        <v>88</v>
      </c>
      <c r="BB204" s="32">
        <v>88</v>
      </c>
      <c r="BC204" s="32">
        <v>118</v>
      </c>
      <c r="BD204" s="32">
        <v>118</v>
      </c>
      <c r="BE204" s="32">
        <v>115.3</v>
      </c>
      <c r="BF204" s="32">
        <v>115.3</v>
      </c>
      <c r="BG204" s="32">
        <v>94.6</v>
      </c>
      <c r="BH204" s="32">
        <v>104.9</v>
      </c>
      <c r="BI204" s="32">
        <v>83.1</v>
      </c>
      <c r="BJ204" s="32">
        <v>41.9</v>
      </c>
      <c r="BK204" s="32">
        <v>94</v>
      </c>
      <c r="BL204" s="32">
        <v>118.2</v>
      </c>
      <c r="BM204" s="32">
        <v>106.1</v>
      </c>
      <c r="BN204" s="32">
        <v>102.1</v>
      </c>
      <c r="BO204" s="32">
        <v>92.6</v>
      </c>
      <c r="BP204" s="32">
        <v>109.9</v>
      </c>
      <c r="BQ204" s="32">
        <v>110.8</v>
      </c>
      <c r="BR204" s="32">
        <v>108.1</v>
      </c>
      <c r="BS204" s="32">
        <v>173.7</v>
      </c>
      <c r="BT204" s="32">
        <v>94.6</v>
      </c>
      <c r="BU204" s="32">
        <v>108.8</v>
      </c>
      <c r="BV204" s="32">
        <v>108.8</v>
      </c>
      <c r="BW204" s="32">
        <v>136.19999999999999</v>
      </c>
      <c r="BX204" s="32">
        <v>54.5</v>
      </c>
      <c r="BY204" s="32">
        <v>84</v>
      </c>
      <c r="BZ204" s="32">
        <v>91.9</v>
      </c>
      <c r="CA204" s="32">
        <v>80.3</v>
      </c>
      <c r="CB204" s="32">
        <v>99</v>
      </c>
      <c r="CC204" s="32">
        <v>66.2</v>
      </c>
      <c r="CD204" s="32">
        <v>35</v>
      </c>
      <c r="CE204" s="32">
        <v>87.3</v>
      </c>
      <c r="CF204" s="32">
        <v>85.2</v>
      </c>
      <c r="CG204" s="32">
        <v>97.1</v>
      </c>
      <c r="CH204" s="32">
        <v>94.6</v>
      </c>
      <c r="CI204" s="32">
        <v>107.2</v>
      </c>
      <c r="CJ204" s="32">
        <v>89.9</v>
      </c>
      <c r="CK204" s="32">
        <v>95.9</v>
      </c>
      <c r="CL204" s="32">
        <v>100.6</v>
      </c>
      <c r="CM204" s="32">
        <v>110.1</v>
      </c>
      <c r="CN204" s="32">
        <v>130.1</v>
      </c>
      <c r="CO204" s="32">
        <v>102.9</v>
      </c>
      <c r="CP204" s="32">
        <v>189.8</v>
      </c>
      <c r="CQ204" s="32">
        <v>101.9</v>
      </c>
      <c r="CR204" s="32">
        <v>96.5</v>
      </c>
      <c r="CS204" s="32">
        <v>125.6</v>
      </c>
      <c r="CT204" s="32">
        <v>100.2</v>
      </c>
      <c r="CU204" s="32">
        <v>89.5</v>
      </c>
      <c r="CV204" s="32">
        <v>104.8</v>
      </c>
      <c r="CW204" s="32">
        <v>48.9</v>
      </c>
      <c r="CX204" s="32">
        <v>105.6</v>
      </c>
      <c r="CY204" s="32">
        <v>121.1</v>
      </c>
      <c r="CZ204" s="32">
        <v>97.5</v>
      </c>
      <c r="DA204" s="32">
        <v>86.2</v>
      </c>
      <c r="DB204" s="32">
        <v>120</v>
      </c>
      <c r="DC204" s="32">
        <v>15.9</v>
      </c>
      <c r="DD204" s="32">
        <v>15.9</v>
      </c>
      <c r="DE204" s="32">
        <v>69</v>
      </c>
      <c r="DF204" s="32">
        <v>65.400000000000006</v>
      </c>
      <c r="DG204" s="32">
        <v>88</v>
      </c>
      <c r="DH204" s="32">
        <v>95.6</v>
      </c>
      <c r="DI204" s="32">
        <v>144.80000000000001</v>
      </c>
      <c r="DJ204" s="32">
        <v>66</v>
      </c>
      <c r="DK204" s="32">
        <v>66</v>
      </c>
      <c r="DL204" s="32">
        <v>59.4</v>
      </c>
      <c r="DM204" s="32">
        <v>87.6</v>
      </c>
      <c r="DN204" s="32">
        <v>89.8</v>
      </c>
      <c r="DO204" s="32">
        <v>87.1</v>
      </c>
      <c r="DP204" s="32">
        <v>79.599999999999994</v>
      </c>
      <c r="DQ204" s="32">
        <v>79.5</v>
      </c>
      <c r="DR204" s="32">
        <v>78.7</v>
      </c>
      <c r="DS204" s="32">
        <v>81.599999999999994</v>
      </c>
      <c r="DT204" s="32">
        <v>78.599999999999994</v>
      </c>
      <c r="DU204" s="32">
        <v>81.900000000000006</v>
      </c>
      <c r="DV204" s="32">
        <v>94.9</v>
      </c>
      <c r="DW204" s="32">
        <v>68.7</v>
      </c>
      <c r="DX204" s="32">
        <v>71.8</v>
      </c>
      <c r="DY204" s="32">
        <v>92.9</v>
      </c>
      <c r="DZ204" s="32">
        <v>71.599999999999994</v>
      </c>
      <c r="EA204" s="32">
        <v>71.599999999999994</v>
      </c>
      <c r="EB204" s="32">
        <v>72.7</v>
      </c>
      <c r="EC204" s="32">
        <v>71.5</v>
      </c>
      <c r="ED204" s="32">
        <v>74.8</v>
      </c>
      <c r="EE204" s="32">
        <v>79.3</v>
      </c>
      <c r="EF204" s="32">
        <v>65.400000000000006</v>
      </c>
      <c r="EG204" s="32">
        <v>80.8</v>
      </c>
      <c r="EH204" s="32">
        <v>102.1</v>
      </c>
      <c r="EI204" s="32">
        <v>76.7</v>
      </c>
      <c r="EJ204" s="32">
        <v>84.4</v>
      </c>
      <c r="EK204" s="32">
        <v>73.8</v>
      </c>
      <c r="EL204" s="32">
        <v>84.6</v>
      </c>
      <c r="EM204" s="32">
        <v>67.400000000000006</v>
      </c>
      <c r="EN204" s="32">
        <v>76.099999999999994</v>
      </c>
      <c r="EO204" s="32">
        <v>89.9</v>
      </c>
      <c r="EP204" s="32">
        <v>87.5</v>
      </c>
      <c r="EQ204" s="32">
        <v>87.5</v>
      </c>
      <c r="ER204" s="32">
        <v>84</v>
      </c>
      <c r="ES204" s="32">
        <v>84</v>
      </c>
      <c r="ET204" s="32">
        <v>98.9</v>
      </c>
      <c r="EU204" s="32">
        <v>108.3</v>
      </c>
      <c r="EV204" s="32">
        <v>108.3</v>
      </c>
      <c r="EW204" s="32">
        <v>90.4</v>
      </c>
      <c r="EX204" s="32">
        <v>91.9</v>
      </c>
      <c r="EY204" s="32">
        <v>89.2</v>
      </c>
      <c r="EZ204" s="32">
        <v>95.4</v>
      </c>
      <c r="FA204" s="32">
        <v>106.8</v>
      </c>
      <c r="FB204" s="32">
        <v>119.8</v>
      </c>
      <c r="FC204" s="32">
        <v>101.2</v>
      </c>
      <c r="FD204" s="32">
        <v>106.7</v>
      </c>
      <c r="FE204" s="32">
        <v>159.4</v>
      </c>
      <c r="FF204" s="32">
        <v>92.2</v>
      </c>
      <c r="FG204" s="32">
        <v>84.9</v>
      </c>
      <c r="FH204" s="32">
        <v>87.8</v>
      </c>
      <c r="FI204" s="32">
        <v>93.9</v>
      </c>
      <c r="FJ204" s="32">
        <v>82.5</v>
      </c>
      <c r="FK204" s="32">
        <v>126.2</v>
      </c>
      <c r="FL204" s="32">
        <v>126.2</v>
      </c>
    </row>
    <row r="205" spans="1:168" x14ac:dyDescent="0.2">
      <c r="A205" s="34" t="s">
        <v>1185</v>
      </c>
      <c r="B205" s="32">
        <v>86.3</v>
      </c>
      <c r="C205" s="32">
        <v>83.5</v>
      </c>
      <c r="D205" s="32">
        <v>91.3</v>
      </c>
      <c r="E205" s="32">
        <v>92.7</v>
      </c>
      <c r="F205" s="32">
        <v>93.3</v>
      </c>
      <c r="G205" s="32">
        <v>1852.2</v>
      </c>
      <c r="H205" s="32">
        <v>92.1</v>
      </c>
      <c r="I205" s="32">
        <v>86.8</v>
      </c>
      <c r="J205" s="32">
        <v>93.6</v>
      </c>
      <c r="K205" s="32">
        <v>86.5</v>
      </c>
      <c r="L205" s="32">
        <v>85</v>
      </c>
      <c r="M205" s="32">
        <v>74.5</v>
      </c>
      <c r="N205" s="32">
        <v>77.900000000000006</v>
      </c>
      <c r="O205" s="32">
        <v>242.2</v>
      </c>
      <c r="P205" s="32">
        <v>131.80000000000001</v>
      </c>
      <c r="Q205" s="32">
        <v>98</v>
      </c>
      <c r="R205" s="32">
        <v>68.8</v>
      </c>
      <c r="S205" s="32">
        <v>103.6</v>
      </c>
      <c r="T205" s="32">
        <v>168.1</v>
      </c>
      <c r="U205" s="32">
        <v>107.7</v>
      </c>
      <c r="V205" s="32">
        <v>91.7</v>
      </c>
      <c r="W205" s="32">
        <v>79.3</v>
      </c>
      <c r="X205" s="32">
        <v>62</v>
      </c>
      <c r="Y205" s="32">
        <v>103.2</v>
      </c>
      <c r="Z205" s="32">
        <v>141.69999999999999</v>
      </c>
      <c r="AA205" s="32">
        <v>108.6</v>
      </c>
      <c r="AB205" s="32">
        <v>89.4</v>
      </c>
      <c r="AC205" s="32">
        <v>112.4</v>
      </c>
      <c r="AD205" s="32">
        <v>121.2</v>
      </c>
      <c r="AE205" s="32">
        <v>50.2</v>
      </c>
      <c r="AF205" s="32">
        <v>50.2</v>
      </c>
      <c r="AG205" s="32">
        <v>87</v>
      </c>
      <c r="AH205" s="32">
        <v>87</v>
      </c>
      <c r="AI205" s="32">
        <v>129.4</v>
      </c>
      <c r="AJ205" s="32">
        <v>88.8</v>
      </c>
      <c r="AK205" s="32">
        <v>94.5</v>
      </c>
      <c r="AL205" s="32">
        <v>76.8</v>
      </c>
      <c r="AM205" s="32">
        <v>62.8</v>
      </c>
      <c r="AN205" s="32">
        <v>162.30000000000001</v>
      </c>
      <c r="AO205" s="32">
        <v>78</v>
      </c>
      <c r="AP205" s="32">
        <v>78</v>
      </c>
      <c r="AQ205" s="32">
        <v>116.2</v>
      </c>
      <c r="AR205" s="32">
        <v>122.5</v>
      </c>
      <c r="AS205" s="32">
        <v>109.5</v>
      </c>
      <c r="AT205" s="32">
        <v>86.3</v>
      </c>
      <c r="AU205" s="32">
        <v>132.30000000000001</v>
      </c>
      <c r="AV205" s="32">
        <v>96.7</v>
      </c>
      <c r="AW205" s="32">
        <v>100.9</v>
      </c>
      <c r="AX205" s="32">
        <v>241.4</v>
      </c>
      <c r="AY205" s="32">
        <v>41.2</v>
      </c>
      <c r="AZ205" s="32">
        <v>99.2</v>
      </c>
      <c r="BA205" s="32">
        <v>90</v>
      </c>
      <c r="BB205" s="32">
        <v>90</v>
      </c>
      <c r="BC205" s="32">
        <v>120.1</v>
      </c>
      <c r="BD205" s="32">
        <v>120.1</v>
      </c>
      <c r="BE205" s="32">
        <v>113.6</v>
      </c>
      <c r="BF205" s="32">
        <v>113.6</v>
      </c>
      <c r="BG205" s="32">
        <v>93.7</v>
      </c>
      <c r="BH205" s="32">
        <v>102.5</v>
      </c>
      <c r="BI205" s="32">
        <v>83.5</v>
      </c>
      <c r="BJ205" s="32">
        <v>41.5</v>
      </c>
      <c r="BK205" s="32">
        <v>94</v>
      </c>
      <c r="BL205" s="32">
        <v>127.1</v>
      </c>
      <c r="BM205" s="32">
        <v>105.1</v>
      </c>
      <c r="BN205" s="32">
        <v>105.5</v>
      </c>
      <c r="BO205" s="32">
        <v>95.3</v>
      </c>
      <c r="BP205" s="32">
        <v>114.2</v>
      </c>
      <c r="BQ205" s="32">
        <v>105.1</v>
      </c>
      <c r="BR205" s="32">
        <v>111.3</v>
      </c>
      <c r="BS205" s="32">
        <v>160.69999999999999</v>
      </c>
      <c r="BT205" s="32">
        <v>89.4</v>
      </c>
      <c r="BU205" s="32">
        <v>106.1</v>
      </c>
      <c r="BV205" s="32">
        <v>106.1</v>
      </c>
      <c r="BW205" s="32">
        <v>133</v>
      </c>
      <c r="BX205" s="32">
        <v>53</v>
      </c>
      <c r="BY205" s="32">
        <v>84.4</v>
      </c>
      <c r="BZ205" s="32">
        <v>89.7</v>
      </c>
      <c r="CA205" s="32">
        <v>82</v>
      </c>
      <c r="CB205" s="32">
        <v>100.4</v>
      </c>
      <c r="CC205" s="32">
        <v>68</v>
      </c>
      <c r="CD205" s="32">
        <v>36.9</v>
      </c>
      <c r="CE205" s="32">
        <v>89.9</v>
      </c>
      <c r="CF205" s="32">
        <v>85.4</v>
      </c>
      <c r="CG205" s="32">
        <v>97</v>
      </c>
      <c r="CH205" s="32">
        <v>94.6</v>
      </c>
      <c r="CI205" s="32">
        <v>110.4</v>
      </c>
      <c r="CJ205" s="32">
        <v>89.4</v>
      </c>
      <c r="CK205" s="32">
        <v>95.5</v>
      </c>
      <c r="CL205" s="32">
        <v>99.5</v>
      </c>
      <c r="CM205" s="32">
        <v>109.7</v>
      </c>
      <c r="CN205" s="32">
        <v>130.6</v>
      </c>
      <c r="CO205" s="32">
        <v>102.4</v>
      </c>
      <c r="CP205" s="32">
        <v>192.3</v>
      </c>
      <c r="CQ205" s="32">
        <v>104.6</v>
      </c>
      <c r="CR205" s="32">
        <v>96.7</v>
      </c>
      <c r="CS205" s="32">
        <v>117.8</v>
      </c>
      <c r="CT205" s="32">
        <v>101.2</v>
      </c>
      <c r="CU205" s="32">
        <v>91.9</v>
      </c>
      <c r="CV205" s="32">
        <v>105.3</v>
      </c>
      <c r="CW205" s="32">
        <v>49.2</v>
      </c>
      <c r="CX205" s="32">
        <v>107.4</v>
      </c>
      <c r="CY205" s="32">
        <v>120.5</v>
      </c>
      <c r="CZ205" s="32">
        <v>100.6</v>
      </c>
      <c r="DA205" s="32">
        <v>90.3</v>
      </c>
      <c r="DB205" s="32">
        <v>121.3</v>
      </c>
      <c r="DC205" s="32">
        <v>15.3</v>
      </c>
      <c r="DD205" s="32">
        <v>15.3</v>
      </c>
      <c r="DE205" s="32">
        <v>70.8</v>
      </c>
      <c r="DF205" s="32">
        <v>67.400000000000006</v>
      </c>
      <c r="DG205" s="32">
        <v>89</v>
      </c>
      <c r="DH205" s="32">
        <v>95.5</v>
      </c>
      <c r="DI205" s="32">
        <v>143.6</v>
      </c>
      <c r="DJ205" s="32">
        <v>66.099999999999994</v>
      </c>
      <c r="DK205" s="32">
        <v>66.099999999999994</v>
      </c>
      <c r="DL205" s="32">
        <v>60.4</v>
      </c>
      <c r="DM205" s="32">
        <v>87.9</v>
      </c>
      <c r="DN205" s="32">
        <v>90.1</v>
      </c>
      <c r="DO205" s="32">
        <v>87.3</v>
      </c>
      <c r="DP205" s="32">
        <v>78.900000000000006</v>
      </c>
      <c r="DQ205" s="32">
        <v>80.900000000000006</v>
      </c>
      <c r="DR205" s="32">
        <v>79.900000000000006</v>
      </c>
      <c r="DS205" s="32">
        <v>82.3</v>
      </c>
      <c r="DT205" s="32">
        <v>78.3</v>
      </c>
      <c r="DU205" s="32">
        <v>81.400000000000006</v>
      </c>
      <c r="DV205" s="32">
        <v>92.3</v>
      </c>
      <c r="DW205" s="32">
        <v>70.099999999999994</v>
      </c>
      <c r="DX205" s="32">
        <v>72</v>
      </c>
      <c r="DY205" s="32">
        <v>96.8</v>
      </c>
      <c r="DZ205" s="32">
        <v>72.8</v>
      </c>
      <c r="EA205" s="32">
        <v>72.8</v>
      </c>
      <c r="EB205" s="32">
        <v>75.400000000000006</v>
      </c>
      <c r="EC205" s="32">
        <v>74.8</v>
      </c>
      <c r="ED205" s="32">
        <v>76.599999999999994</v>
      </c>
      <c r="EE205" s="32">
        <v>82.7</v>
      </c>
      <c r="EF205" s="32">
        <v>63.8</v>
      </c>
      <c r="EG205" s="32">
        <v>82.6</v>
      </c>
      <c r="EH205" s="32">
        <v>101.3</v>
      </c>
      <c r="EI205" s="32">
        <v>78.8</v>
      </c>
      <c r="EJ205" s="32">
        <v>86.4</v>
      </c>
      <c r="EK205" s="32">
        <v>76.2</v>
      </c>
      <c r="EL205" s="32">
        <v>83.2</v>
      </c>
      <c r="EM205" s="32">
        <v>71.5</v>
      </c>
      <c r="EN205" s="32">
        <v>78.2</v>
      </c>
      <c r="EO205" s="32">
        <v>90.1</v>
      </c>
      <c r="EP205" s="32">
        <v>87.4</v>
      </c>
      <c r="EQ205" s="32">
        <v>87.4</v>
      </c>
      <c r="ER205" s="32">
        <v>84.3</v>
      </c>
      <c r="ES205" s="32">
        <v>84.3</v>
      </c>
      <c r="ET205" s="32">
        <v>99</v>
      </c>
      <c r="EU205" s="32">
        <v>108.4</v>
      </c>
      <c r="EV205" s="32">
        <v>108.4</v>
      </c>
      <c r="EW205" s="32">
        <v>90.6</v>
      </c>
      <c r="EX205" s="32">
        <v>92.1</v>
      </c>
      <c r="EY205" s="32">
        <v>89.4</v>
      </c>
      <c r="EZ205" s="32">
        <v>94</v>
      </c>
      <c r="FA205" s="32">
        <v>104.1</v>
      </c>
      <c r="FB205" s="32">
        <v>114.7</v>
      </c>
      <c r="FC205" s="32">
        <v>90.9</v>
      </c>
      <c r="FD205" s="32">
        <v>107.2</v>
      </c>
      <c r="FE205" s="32">
        <v>161.1</v>
      </c>
      <c r="FF205" s="32">
        <v>92.1</v>
      </c>
      <c r="FG205" s="32">
        <v>84.8</v>
      </c>
      <c r="FH205" s="32">
        <v>88.2</v>
      </c>
      <c r="FI205" s="32">
        <v>91.6</v>
      </c>
      <c r="FJ205" s="32">
        <v>82.3</v>
      </c>
      <c r="FK205" s="32">
        <v>123.5</v>
      </c>
      <c r="FL205" s="32">
        <v>123.5</v>
      </c>
    </row>
    <row r="206" spans="1:168" x14ac:dyDescent="0.2">
      <c r="A206" s="34" t="s">
        <v>1186</v>
      </c>
      <c r="B206" s="32">
        <v>86.3</v>
      </c>
      <c r="C206" s="32">
        <v>84.1</v>
      </c>
      <c r="D206" s="32">
        <v>92</v>
      </c>
      <c r="E206" s="32">
        <v>94</v>
      </c>
      <c r="F206" s="32">
        <v>96.7</v>
      </c>
      <c r="G206" s="32">
        <v>1923.3</v>
      </c>
      <c r="H206" s="32">
        <v>96.5</v>
      </c>
      <c r="I206" s="32">
        <v>85.4</v>
      </c>
      <c r="J206" s="32">
        <v>94.9</v>
      </c>
      <c r="K206" s="32">
        <v>86.2</v>
      </c>
      <c r="L206" s="32">
        <v>84.4</v>
      </c>
      <c r="M206" s="32">
        <v>76.400000000000006</v>
      </c>
      <c r="N206" s="32">
        <v>73.5</v>
      </c>
      <c r="O206" s="32">
        <v>213.6</v>
      </c>
      <c r="P206" s="32">
        <v>134.30000000000001</v>
      </c>
      <c r="Q206" s="32">
        <v>93.8</v>
      </c>
      <c r="R206" s="32">
        <v>68.400000000000006</v>
      </c>
      <c r="S206" s="32">
        <v>102.7</v>
      </c>
      <c r="T206" s="32">
        <v>171.4</v>
      </c>
      <c r="U206" s="32">
        <v>101.5</v>
      </c>
      <c r="V206" s="32">
        <v>94.1</v>
      </c>
      <c r="W206" s="32">
        <v>76.599999999999994</v>
      </c>
      <c r="X206" s="32">
        <v>59.1</v>
      </c>
      <c r="Y206" s="32">
        <v>99.1</v>
      </c>
      <c r="Z206" s="32">
        <v>154.4</v>
      </c>
      <c r="AA206" s="32">
        <v>108.5</v>
      </c>
      <c r="AB206" s="32">
        <v>91.3</v>
      </c>
      <c r="AC206" s="32">
        <v>113.1</v>
      </c>
      <c r="AD206" s="32">
        <v>118.9</v>
      </c>
      <c r="AE206" s="32">
        <v>48.4</v>
      </c>
      <c r="AF206" s="32">
        <v>48.4</v>
      </c>
      <c r="AG206" s="32">
        <v>86.6</v>
      </c>
      <c r="AH206" s="32">
        <v>86.6</v>
      </c>
      <c r="AI206" s="32">
        <v>115.9</v>
      </c>
      <c r="AJ206" s="32">
        <v>86.3</v>
      </c>
      <c r="AK206" s="32">
        <v>78.7</v>
      </c>
      <c r="AL206" s="32">
        <v>75</v>
      </c>
      <c r="AM206" s="32">
        <v>64.900000000000006</v>
      </c>
      <c r="AN206" s="32">
        <v>180.4</v>
      </c>
      <c r="AO206" s="32">
        <v>86.9</v>
      </c>
      <c r="AP206" s="32">
        <v>86.9</v>
      </c>
      <c r="AQ206" s="32">
        <v>115.3</v>
      </c>
      <c r="AR206" s="32">
        <v>120.5</v>
      </c>
      <c r="AS206" s="32">
        <v>110</v>
      </c>
      <c r="AT206" s="32">
        <v>82.5</v>
      </c>
      <c r="AU206" s="32">
        <v>137.4</v>
      </c>
      <c r="AV206" s="32">
        <v>101.6</v>
      </c>
      <c r="AW206" s="32">
        <v>88.8</v>
      </c>
      <c r="AX206" s="32">
        <v>205.5</v>
      </c>
      <c r="AY206" s="32">
        <v>41.5</v>
      </c>
      <c r="AZ206" s="32">
        <v>107.8</v>
      </c>
      <c r="BA206" s="32">
        <v>88.9</v>
      </c>
      <c r="BB206" s="32">
        <v>88.9</v>
      </c>
      <c r="BC206" s="32">
        <v>117.9</v>
      </c>
      <c r="BD206" s="32">
        <v>117.9</v>
      </c>
      <c r="BE206" s="32">
        <v>114.3</v>
      </c>
      <c r="BF206" s="32">
        <v>114.3</v>
      </c>
      <c r="BG206" s="32">
        <v>97.1</v>
      </c>
      <c r="BH206" s="32">
        <v>109.4</v>
      </c>
      <c r="BI206" s="32">
        <v>83.5</v>
      </c>
      <c r="BJ206" s="32">
        <v>41</v>
      </c>
      <c r="BK206" s="32">
        <v>94.1</v>
      </c>
      <c r="BL206" s="32">
        <v>129</v>
      </c>
      <c r="BM206" s="32">
        <v>104.9</v>
      </c>
      <c r="BN206" s="32">
        <v>105.9</v>
      </c>
      <c r="BO206" s="32">
        <v>97.7</v>
      </c>
      <c r="BP206" s="32">
        <v>112.1</v>
      </c>
      <c r="BQ206" s="32">
        <v>104.4</v>
      </c>
      <c r="BR206" s="32">
        <v>105</v>
      </c>
      <c r="BS206" s="32">
        <v>154.30000000000001</v>
      </c>
      <c r="BT206" s="32">
        <v>90.9</v>
      </c>
      <c r="BU206" s="32">
        <v>108.7</v>
      </c>
      <c r="BV206" s="32">
        <v>108.7</v>
      </c>
      <c r="BW206" s="32">
        <v>131.80000000000001</v>
      </c>
      <c r="BX206" s="32">
        <v>57.7</v>
      </c>
      <c r="BY206" s="32">
        <v>83.3</v>
      </c>
      <c r="BZ206" s="32">
        <v>89.3</v>
      </c>
      <c r="CA206" s="32">
        <v>80.400000000000006</v>
      </c>
      <c r="CB206" s="32">
        <v>98.5</v>
      </c>
      <c r="CC206" s="32">
        <v>66.7</v>
      </c>
      <c r="CD206" s="32">
        <v>35.9</v>
      </c>
      <c r="CE206" s="32">
        <v>88.7</v>
      </c>
      <c r="CF206" s="32">
        <v>85.3</v>
      </c>
      <c r="CG206" s="32">
        <v>96.5</v>
      </c>
      <c r="CH206" s="32">
        <v>95.9</v>
      </c>
      <c r="CI206" s="32">
        <v>116</v>
      </c>
      <c r="CJ206" s="32">
        <v>89.7</v>
      </c>
      <c r="CK206" s="32">
        <v>96.4</v>
      </c>
      <c r="CL206" s="32">
        <v>96.5</v>
      </c>
      <c r="CM206" s="32">
        <v>110.9</v>
      </c>
      <c r="CN206" s="32">
        <v>132.1</v>
      </c>
      <c r="CO206" s="32">
        <v>103.5</v>
      </c>
      <c r="CP206" s="32">
        <v>188.7</v>
      </c>
      <c r="CQ206" s="32">
        <v>106.8</v>
      </c>
      <c r="CR206" s="32">
        <v>94.8</v>
      </c>
      <c r="CS206" s="32">
        <v>99.3</v>
      </c>
      <c r="CT206" s="32">
        <v>97.7</v>
      </c>
      <c r="CU206" s="32">
        <v>85.3</v>
      </c>
      <c r="CV206" s="32">
        <v>103.1</v>
      </c>
      <c r="CW206" s="32">
        <v>50</v>
      </c>
      <c r="CX206" s="32">
        <v>109</v>
      </c>
      <c r="CY206" s="32">
        <v>121.3</v>
      </c>
      <c r="CZ206" s="32">
        <v>102.6</v>
      </c>
      <c r="DA206" s="32">
        <v>92.8</v>
      </c>
      <c r="DB206" s="32">
        <v>122.3</v>
      </c>
      <c r="DC206" s="32">
        <v>15.9</v>
      </c>
      <c r="DD206" s="32">
        <v>15.9</v>
      </c>
      <c r="DE206" s="32">
        <v>71</v>
      </c>
      <c r="DF206" s="32">
        <v>67.599999999999994</v>
      </c>
      <c r="DG206" s="32">
        <v>88.9</v>
      </c>
      <c r="DH206" s="32">
        <v>95.1</v>
      </c>
      <c r="DI206" s="32">
        <v>143.4</v>
      </c>
      <c r="DJ206" s="32">
        <v>66.599999999999994</v>
      </c>
      <c r="DK206" s="32">
        <v>66.599999999999994</v>
      </c>
      <c r="DL206" s="32">
        <v>58.9</v>
      </c>
      <c r="DM206" s="32">
        <v>87.8</v>
      </c>
      <c r="DN206" s="32">
        <v>89.9</v>
      </c>
      <c r="DO206" s="32">
        <v>87.4</v>
      </c>
      <c r="DP206" s="32">
        <v>78.8</v>
      </c>
      <c r="DQ206" s="32">
        <v>81</v>
      </c>
      <c r="DR206" s="32">
        <v>79.7</v>
      </c>
      <c r="DS206" s="32">
        <v>82.3</v>
      </c>
      <c r="DT206" s="32">
        <v>77.3</v>
      </c>
      <c r="DU206" s="32">
        <v>80</v>
      </c>
      <c r="DV206" s="32">
        <v>90.1</v>
      </c>
      <c r="DW206" s="32">
        <v>69.599999999999994</v>
      </c>
      <c r="DX206" s="32">
        <v>71.8</v>
      </c>
      <c r="DY206" s="32">
        <v>100.1</v>
      </c>
      <c r="DZ206" s="32">
        <v>69.7</v>
      </c>
      <c r="EA206" s="32">
        <v>69.7</v>
      </c>
      <c r="EB206" s="32">
        <v>75.7</v>
      </c>
      <c r="EC206" s="32">
        <v>74.7</v>
      </c>
      <c r="ED206" s="32">
        <v>77.400000000000006</v>
      </c>
      <c r="EE206" s="32">
        <v>84.2</v>
      </c>
      <c r="EF206" s="32">
        <v>62.9</v>
      </c>
      <c r="EG206" s="32">
        <v>83.1</v>
      </c>
      <c r="EH206" s="32">
        <v>104.7</v>
      </c>
      <c r="EI206" s="32">
        <v>79.2</v>
      </c>
      <c r="EJ206" s="32">
        <v>85.3</v>
      </c>
      <c r="EK206" s="32">
        <v>75.900000000000006</v>
      </c>
      <c r="EL206" s="32">
        <v>83.5</v>
      </c>
      <c r="EM206" s="32">
        <v>72.5</v>
      </c>
      <c r="EN206" s="32">
        <v>76.900000000000006</v>
      </c>
      <c r="EO206" s="32">
        <v>89.6</v>
      </c>
      <c r="EP206" s="32">
        <v>87.2</v>
      </c>
      <c r="EQ206" s="32">
        <v>87.2</v>
      </c>
      <c r="ER206" s="32">
        <v>83.4</v>
      </c>
      <c r="ES206" s="32">
        <v>83.4</v>
      </c>
      <c r="ET206" s="32">
        <v>98.8</v>
      </c>
      <c r="EU206" s="32">
        <v>107.9</v>
      </c>
      <c r="EV206" s="32">
        <v>107.9</v>
      </c>
      <c r="EW206" s="32">
        <v>90.9</v>
      </c>
      <c r="EX206" s="32">
        <v>92.5</v>
      </c>
      <c r="EY206" s="32">
        <v>89.6</v>
      </c>
      <c r="EZ206" s="32">
        <v>94.6</v>
      </c>
      <c r="FA206" s="32">
        <v>105</v>
      </c>
      <c r="FB206" s="32">
        <v>117</v>
      </c>
      <c r="FC206" s="32">
        <v>93.7</v>
      </c>
      <c r="FD206" s="32">
        <v>107.9</v>
      </c>
      <c r="FE206" s="32">
        <v>163.5</v>
      </c>
      <c r="FF206" s="32">
        <v>91.3</v>
      </c>
      <c r="FG206" s="32">
        <v>84.8</v>
      </c>
      <c r="FH206" s="32">
        <v>88.2</v>
      </c>
      <c r="FI206" s="32">
        <v>99.9</v>
      </c>
      <c r="FJ206" s="32">
        <v>81.400000000000006</v>
      </c>
      <c r="FK206" s="32">
        <v>128.4</v>
      </c>
      <c r="FL206" s="32">
        <v>128.4</v>
      </c>
    </row>
    <row r="207" spans="1:168" x14ac:dyDescent="0.2">
      <c r="A207" s="34" t="s">
        <v>1187</v>
      </c>
      <c r="B207" s="32">
        <v>86.8</v>
      </c>
      <c r="C207" s="32">
        <v>85.1</v>
      </c>
      <c r="D207" s="32">
        <v>92.1</v>
      </c>
      <c r="E207" s="32">
        <v>93.7</v>
      </c>
      <c r="F207" s="32">
        <v>93.5</v>
      </c>
      <c r="G207" s="32">
        <v>1570.1</v>
      </c>
      <c r="H207" s="32">
        <v>92.6</v>
      </c>
      <c r="I207" s="32">
        <v>85.8</v>
      </c>
      <c r="J207" s="32">
        <v>94.8</v>
      </c>
      <c r="K207" s="32">
        <v>86.4</v>
      </c>
      <c r="L207" s="32">
        <v>85.2</v>
      </c>
      <c r="M207" s="32">
        <v>76</v>
      </c>
      <c r="N207" s="32">
        <v>75.7</v>
      </c>
      <c r="O207" s="32">
        <v>224.4</v>
      </c>
      <c r="P207" s="32">
        <v>140.80000000000001</v>
      </c>
      <c r="Q207" s="32">
        <v>96.8</v>
      </c>
      <c r="R207" s="32">
        <v>67.900000000000006</v>
      </c>
      <c r="S207" s="32">
        <v>102.9</v>
      </c>
      <c r="T207" s="32">
        <v>173.9</v>
      </c>
      <c r="U207" s="32">
        <v>102.5</v>
      </c>
      <c r="V207" s="32">
        <v>91.4</v>
      </c>
      <c r="W207" s="32">
        <v>78.8</v>
      </c>
      <c r="X207" s="32">
        <v>60.9</v>
      </c>
      <c r="Y207" s="32">
        <v>102.3</v>
      </c>
      <c r="Z207" s="32">
        <v>152.9</v>
      </c>
      <c r="AA207" s="32">
        <v>107.9</v>
      </c>
      <c r="AB207" s="32">
        <v>89.7</v>
      </c>
      <c r="AC207" s="32">
        <v>113.9</v>
      </c>
      <c r="AD207" s="32">
        <v>117.7</v>
      </c>
      <c r="AE207" s="32">
        <v>47</v>
      </c>
      <c r="AF207" s="32">
        <v>47</v>
      </c>
      <c r="AG207" s="32">
        <v>88.6</v>
      </c>
      <c r="AH207" s="32">
        <v>88.6</v>
      </c>
      <c r="AI207" s="32">
        <v>127.1</v>
      </c>
      <c r="AJ207" s="32">
        <v>90.4</v>
      </c>
      <c r="AK207" s="32">
        <v>104.6</v>
      </c>
      <c r="AL207" s="32">
        <v>75.7</v>
      </c>
      <c r="AM207" s="32">
        <v>64.8</v>
      </c>
      <c r="AN207" s="32">
        <v>164.7</v>
      </c>
      <c r="AO207" s="32">
        <v>82.7</v>
      </c>
      <c r="AP207" s="32">
        <v>82.7</v>
      </c>
      <c r="AQ207" s="32">
        <v>115.6</v>
      </c>
      <c r="AR207" s="32">
        <v>118.8</v>
      </c>
      <c r="AS207" s="32">
        <v>113.5</v>
      </c>
      <c r="AT207" s="32">
        <v>90.8</v>
      </c>
      <c r="AU207" s="32">
        <v>136.1</v>
      </c>
      <c r="AV207" s="32">
        <v>98.7</v>
      </c>
      <c r="AW207" s="32">
        <v>88.4</v>
      </c>
      <c r="AX207" s="32">
        <v>189.2</v>
      </c>
      <c r="AY207" s="32">
        <v>49.5</v>
      </c>
      <c r="AZ207" s="32">
        <v>104.5</v>
      </c>
      <c r="BA207" s="32">
        <v>86.5</v>
      </c>
      <c r="BB207" s="32">
        <v>86.5</v>
      </c>
      <c r="BC207" s="32">
        <v>119.5</v>
      </c>
      <c r="BD207" s="32">
        <v>119.5</v>
      </c>
      <c r="BE207" s="32">
        <v>115.4</v>
      </c>
      <c r="BF207" s="32">
        <v>115.4</v>
      </c>
      <c r="BG207" s="32">
        <v>99.3</v>
      </c>
      <c r="BH207" s="32">
        <v>113.8</v>
      </c>
      <c r="BI207" s="32">
        <v>83.4</v>
      </c>
      <c r="BJ207" s="32">
        <v>40.799999999999997</v>
      </c>
      <c r="BK207" s="32">
        <v>94.6</v>
      </c>
      <c r="BL207" s="32">
        <v>123.1</v>
      </c>
      <c r="BM207" s="32">
        <v>106.5</v>
      </c>
      <c r="BN207" s="32">
        <v>105</v>
      </c>
      <c r="BO207" s="32">
        <v>98.4</v>
      </c>
      <c r="BP207" s="32">
        <v>109.6</v>
      </c>
      <c r="BQ207" s="32">
        <v>108.5</v>
      </c>
      <c r="BR207" s="32">
        <v>110.6</v>
      </c>
      <c r="BS207" s="32">
        <v>157.4</v>
      </c>
      <c r="BT207" s="32">
        <v>95</v>
      </c>
      <c r="BU207" s="32">
        <v>107.7</v>
      </c>
      <c r="BV207" s="32">
        <v>107.7</v>
      </c>
      <c r="BW207" s="32">
        <v>130.80000000000001</v>
      </c>
      <c r="BX207" s="32">
        <v>56.5</v>
      </c>
      <c r="BY207" s="32">
        <v>84.2</v>
      </c>
      <c r="BZ207" s="32">
        <v>86.4</v>
      </c>
      <c r="CA207" s="32">
        <v>83</v>
      </c>
      <c r="CB207" s="32">
        <v>101.2</v>
      </c>
      <c r="CC207" s="32">
        <v>69.2</v>
      </c>
      <c r="CD207" s="32">
        <v>38.200000000000003</v>
      </c>
      <c r="CE207" s="32">
        <v>90.1</v>
      </c>
      <c r="CF207" s="32">
        <v>86</v>
      </c>
      <c r="CG207" s="32">
        <v>97</v>
      </c>
      <c r="CH207" s="32">
        <v>95.7</v>
      </c>
      <c r="CI207" s="32">
        <v>114.3</v>
      </c>
      <c r="CJ207" s="32">
        <v>90.5</v>
      </c>
      <c r="CK207" s="32">
        <v>96</v>
      </c>
      <c r="CL207" s="32">
        <v>99.3</v>
      </c>
      <c r="CM207" s="32">
        <v>111.3</v>
      </c>
      <c r="CN207" s="32">
        <v>135.1</v>
      </c>
      <c r="CO207" s="32">
        <v>103.6</v>
      </c>
      <c r="CP207" s="32">
        <v>182.2</v>
      </c>
      <c r="CQ207" s="32">
        <v>110.1</v>
      </c>
      <c r="CR207" s="32">
        <v>95.9</v>
      </c>
      <c r="CS207" s="32">
        <v>115.8</v>
      </c>
      <c r="CT207" s="32">
        <v>97.4</v>
      </c>
      <c r="CU207" s="32">
        <v>88.2</v>
      </c>
      <c r="CV207" s="32">
        <v>101.3</v>
      </c>
      <c r="CW207" s="32">
        <v>50.4</v>
      </c>
      <c r="CX207" s="32">
        <v>110.1</v>
      </c>
      <c r="CY207" s="32">
        <v>120.8</v>
      </c>
      <c r="CZ207" s="32">
        <v>104.3</v>
      </c>
      <c r="DA207" s="32">
        <v>94.5</v>
      </c>
      <c r="DB207" s="32">
        <v>124.1</v>
      </c>
      <c r="DC207" s="32">
        <v>16.2</v>
      </c>
      <c r="DD207" s="32">
        <v>16.2</v>
      </c>
      <c r="DE207" s="32">
        <v>70.8</v>
      </c>
      <c r="DF207" s="32">
        <v>67.2</v>
      </c>
      <c r="DG207" s="32">
        <v>90.4</v>
      </c>
      <c r="DH207" s="32">
        <v>95.9</v>
      </c>
      <c r="DI207" s="32">
        <v>144.19999999999999</v>
      </c>
      <c r="DJ207" s="32">
        <v>68.2</v>
      </c>
      <c r="DK207" s="32">
        <v>68.2</v>
      </c>
      <c r="DL207" s="32">
        <v>59.2</v>
      </c>
      <c r="DM207" s="32">
        <v>88.3</v>
      </c>
      <c r="DN207" s="32">
        <v>90.9</v>
      </c>
      <c r="DO207" s="32">
        <v>87.6</v>
      </c>
      <c r="DP207" s="32">
        <v>79</v>
      </c>
      <c r="DQ207" s="32">
        <v>81.5</v>
      </c>
      <c r="DR207" s="32">
        <v>79.7</v>
      </c>
      <c r="DS207" s="32">
        <v>82.4</v>
      </c>
      <c r="DT207" s="32">
        <v>78.900000000000006</v>
      </c>
      <c r="DU207" s="32">
        <v>82.2</v>
      </c>
      <c r="DV207" s="32">
        <v>92.2</v>
      </c>
      <c r="DW207" s="32">
        <v>71.8</v>
      </c>
      <c r="DX207" s="32">
        <v>72.3</v>
      </c>
      <c r="DY207" s="32">
        <v>95.4</v>
      </c>
      <c r="DZ207" s="32">
        <v>76.099999999999994</v>
      </c>
      <c r="EA207" s="32">
        <v>76.099999999999994</v>
      </c>
      <c r="EB207" s="32">
        <v>73</v>
      </c>
      <c r="EC207" s="32">
        <v>68</v>
      </c>
      <c r="ED207" s="32">
        <v>80.3</v>
      </c>
      <c r="EE207" s="32">
        <v>88.6</v>
      </c>
      <c r="EF207" s="32">
        <v>62.9</v>
      </c>
      <c r="EG207" s="32">
        <v>84.3</v>
      </c>
      <c r="EH207" s="32">
        <v>104.9</v>
      </c>
      <c r="EI207" s="32">
        <v>82.6</v>
      </c>
      <c r="EJ207" s="32">
        <v>89.6</v>
      </c>
      <c r="EK207" s="32">
        <v>75.599999999999994</v>
      </c>
      <c r="EL207" s="32">
        <v>86.4</v>
      </c>
      <c r="EM207" s="32">
        <v>69.400000000000006</v>
      </c>
      <c r="EN207" s="32">
        <v>77.900000000000006</v>
      </c>
      <c r="EO207" s="32">
        <v>90.1</v>
      </c>
      <c r="EP207" s="32">
        <v>87.9</v>
      </c>
      <c r="EQ207" s="32">
        <v>87.9</v>
      </c>
      <c r="ER207" s="32">
        <v>84.1</v>
      </c>
      <c r="ES207" s="32">
        <v>84.1</v>
      </c>
      <c r="ET207" s="32">
        <v>98.8</v>
      </c>
      <c r="EU207" s="32">
        <v>107.7</v>
      </c>
      <c r="EV207" s="32">
        <v>107.7</v>
      </c>
      <c r="EW207" s="32">
        <v>91.3</v>
      </c>
      <c r="EX207" s="32">
        <v>93</v>
      </c>
      <c r="EY207" s="32">
        <v>90.1</v>
      </c>
      <c r="EZ207" s="32">
        <v>97.8</v>
      </c>
      <c r="FA207" s="32">
        <v>109.5</v>
      </c>
      <c r="FB207" s="32">
        <v>125.9</v>
      </c>
      <c r="FC207" s="32">
        <v>109.5</v>
      </c>
      <c r="FD207" s="32">
        <v>103.6</v>
      </c>
      <c r="FE207" s="32">
        <v>166.3</v>
      </c>
      <c r="FF207" s="32">
        <v>91.1</v>
      </c>
      <c r="FG207" s="32">
        <v>87.2</v>
      </c>
      <c r="FH207" s="32">
        <v>88</v>
      </c>
      <c r="FI207" s="32">
        <v>99.8</v>
      </c>
      <c r="FJ207" s="32">
        <v>85.3</v>
      </c>
      <c r="FK207" s="32">
        <v>129.1</v>
      </c>
      <c r="FL207" s="32">
        <v>129.1</v>
      </c>
    </row>
    <row r="208" spans="1:168" x14ac:dyDescent="0.2">
      <c r="A208" s="34" t="s">
        <v>1188</v>
      </c>
      <c r="B208" s="32">
        <v>86.8</v>
      </c>
      <c r="C208" s="32">
        <v>88.5</v>
      </c>
      <c r="D208" s="32">
        <v>91.6</v>
      </c>
      <c r="E208" s="32">
        <v>93.7</v>
      </c>
      <c r="F208" s="32">
        <v>92</v>
      </c>
      <c r="G208" s="32">
        <v>2328.6999999999998</v>
      </c>
      <c r="H208" s="32">
        <v>91</v>
      </c>
      <c r="I208" s="32">
        <v>83.4</v>
      </c>
      <c r="J208" s="32">
        <v>94.7</v>
      </c>
      <c r="K208" s="32">
        <v>86.5</v>
      </c>
      <c r="L208" s="32">
        <v>85.3</v>
      </c>
      <c r="M208" s="32">
        <v>74.2</v>
      </c>
      <c r="N208" s="32">
        <v>73.599999999999994</v>
      </c>
      <c r="O208" s="32">
        <v>228.1</v>
      </c>
      <c r="P208" s="32">
        <v>158.9</v>
      </c>
      <c r="Q208" s="32">
        <v>93.7</v>
      </c>
      <c r="R208" s="32">
        <v>65</v>
      </c>
      <c r="S208" s="32">
        <v>103.3</v>
      </c>
      <c r="T208" s="32">
        <v>178.6</v>
      </c>
      <c r="U208" s="32">
        <v>98.2</v>
      </c>
      <c r="V208" s="32">
        <v>93.3</v>
      </c>
      <c r="W208" s="32">
        <v>79.099999999999994</v>
      </c>
      <c r="X208" s="32">
        <v>58.8</v>
      </c>
      <c r="Y208" s="32">
        <v>109.4</v>
      </c>
      <c r="Z208" s="32">
        <v>158.9</v>
      </c>
      <c r="AA208" s="32">
        <v>106.5</v>
      </c>
      <c r="AB208" s="32">
        <v>85.1</v>
      </c>
      <c r="AC208" s="32">
        <v>113.7</v>
      </c>
      <c r="AD208" s="32">
        <v>117.2</v>
      </c>
      <c r="AE208" s="32">
        <v>51.1</v>
      </c>
      <c r="AF208" s="32">
        <v>51.1</v>
      </c>
      <c r="AG208" s="32">
        <v>89.2</v>
      </c>
      <c r="AH208" s="32">
        <v>89.2</v>
      </c>
      <c r="AI208" s="32">
        <v>123.1</v>
      </c>
      <c r="AJ208" s="32">
        <v>91.2</v>
      </c>
      <c r="AK208" s="32">
        <v>94.3</v>
      </c>
      <c r="AL208" s="32">
        <v>80.599999999999994</v>
      </c>
      <c r="AM208" s="32">
        <v>66.099999999999994</v>
      </c>
      <c r="AN208" s="32">
        <v>167.3</v>
      </c>
      <c r="AO208" s="32">
        <v>80.5</v>
      </c>
      <c r="AP208" s="32">
        <v>80.5</v>
      </c>
      <c r="AQ208" s="32">
        <v>116.1</v>
      </c>
      <c r="AR208" s="32">
        <v>117.8</v>
      </c>
      <c r="AS208" s="32">
        <v>116.3</v>
      </c>
      <c r="AT208" s="32">
        <v>90.3</v>
      </c>
      <c r="AU208" s="32">
        <v>142</v>
      </c>
      <c r="AV208" s="32">
        <v>99.4</v>
      </c>
      <c r="AW208" s="32">
        <v>103.4</v>
      </c>
      <c r="AX208" s="32">
        <v>241.7</v>
      </c>
      <c r="AY208" s="32">
        <v>48.8</v>
      </c>
      <c r="AZ208" s="32">
        <v>101.8</v>
      </c>
      <c r="BA208" s="32">
        <v>90.2</v>
      </c>
      <c r="BB208" s="32">
        <v>90.2</v>
      </c>
      <c r="BC208" s="32">
        <v>117.9</v>
      </c>
      <c r="BD208" s="32">
        <v>117.9</v>
      </c>
      <c r="BE208" s="32">
        <v>111.5</v>
      </c>
      <c r="BF208" s="32">
        <v>111.5</v>
      </c>
      <c r="BG208" s="32">
        <v>99.4</v>
      </c>
      <c r="BH208" s="32">
        <v>114.3</v>
      </c>
      <c r="BI208" s="32">
        <v>83</v>
      </c>
      <c r="BJ208" s="32">
        <v>40.6</v>
      </c>
      <c r="BK208" s="32">
        <v>94.7</v>
      </c>
      <c r="BL208" s="32">
        <v>116.9</v>
      </c>
      <c r="BM208" s="32">
        <v>105.3</v>
      </c>
      <c r="BN208" s="32">
        <v>106</v>
      </c>
      <c r="BO208" s="32">
        <v>97.6</v>
      </c>
      <c r="BP208" s="32">
        <v>112.7</v>
      </c>
      <c r="BQ208" s="32">
        <v>105</v>
      </c>
      <c r="BR208" s="32">
        <v>121.2</v>
      </c>
      <c r="BS208" s="32">
        <v>158.5</v>
      </c>
      <c r="BT208" s="32">
        <v>88.3</v>
      </c>
      <c r="BU208" s="32">
        <v>111.1</v>
      </c>
      <c r="BV208" s="32">
        <v>111.1</v>
      </c>
      <c r="BW208" s="32">
        <v>129.5</v>
      </c>
      <c r="BX208" s="32">
        <v>63.9</v>
      </c>
      <c r="BY208" s="32">
        <v>84</v>
      </c>
      <c r="BZ208" s="32">
        <v>86.3</v>
      </c>
      <c r="CA208" s="32">
        <v>82.8</v>
      </c>
      <c r="CB208" s="32">
        <v>99.8</v>
      </c>
      <c r="CC208" s="32">
        <v>69.900000000000006</v>
      </c>
      <c r="CD208" s="32">
        <v>39.5</v>
      </c>
      <c r="CE208" s="32">
        <v>88.3</v>
      </c>
      <c r="CF208" s="32">
        <v>86</v>
      </c>
      <c r="CG208" s="32">
        <v>98.1</v>
      </c>
      <c r="CH208" s="32">
        <v>97.3</v>
      </c>
      <c r="CI208" s="32">
        <v>115.5</v>
      </c>
      <c r="CJ208" s="32">
        <v>93</v>
      </c>
      <c r="CK208" s="32">
        <v>97.1</v>
      </c>
      <c r="CL208" s="32">
        <v>99.4</v>
      </c>
      <c r="CM208" s="32">
        <v>110.2</v>
      </c>
      <c r="CN208" s="32">
        <v>138.19999999999999</v>
      </c>
      <c r="CO208" s="32">
        <v>101.9</v>
      </c>
      <c r="CP208" s="32">
        <v>173</v>
      </c>
      <c r="CQ208" s="32">
        <v>114.8</v>
      </c>
      <c r="CR208" s="32">
        <v>96.6</v>
      </c>
      <c r="CS208" s="32">
        <v>118.6</v>
      </c>
      <c r="CT208" s="32">
        <v>97.8</v>
      </c>
      <c r="CU208" s="32">
        <v>89.8</v>
      </c>
      <c r="CV208" s="32">
        <v>101.2</v>
      </c>
      <c r="CW208" s="32">
        <v>50.5</v>
      </c>
      <c r="CX208" s="32">
        <v>110</v>
      </c>
      <c r="CY208" s="32">
        <v>119.6</v>
      </c>
      <c r="CZ208" s="32">
        <v>104.8</v>
      </c>
      <c r="DA208" s="32">
        <v>94.5</v>
      </c>
      <c r="DB208" s="32">
        <v>125.5</v>
      </c>
      <c r="DC208" s="32">
        <v>16.3</v>
      </c>
      <c r="DD208" s="32">
        <v>16.3</v>
      </c>
      <c r="DE208" s="32">
        <v>71</v>
      </c>
      <c r="DF208" s="32">
        <v>68</v>
      </c>
      <c r="DG208" s="32">
        <v>86.9</v>
      </c>
      <c r="DH208" s="32">
        <v>96.1</v>
      </c>
      <c r="DI208" s="32">
        <v>144.69999999999999</v>
      </c>
      <c r="DJ208" s="32">
        <v>69.5</v>
      </c>
      <c r="DK208" s="32">
        <v>69.5</v>
      </c>
      <c r="DL208" s="32">
        <v>57.9</v>
      </c>
      <c r="DM208" s="32">
        <v>88.5</v>
      </c>
      <c r="DN208" s="32">
        <v>91</v>
      </c>
      <c r="DO208" s="32">
        <v>87.9</v>
      </c>
      <c r="DP208" s="32">
        <v>79</v>
      </c>
      <c r="DQ208" s="32">
        <v>81.7</v>
      </c>
      <c r="DR208" s="32">
        <v>79.2</v>
      </c>
      <c r="DS208" s="32">
        <v>82.3</v>
      </c>
      <c r="DT208" s="32">
        <v>78.599999999999994</v>
      </c>
      <c r="DU208" s="32">
        <v>81.599999999999994</v>
      </c>
      <c r="DV208" s="32">
        <v>93.6</v>
      </c>
      <c r="DW208" s="32">
        <v>69.3</v>
      </c>
      <c r="DX208" s="32">
        <v>72.400000000000006</v>
      </c>
      <c r="DY208" s="32">
        <v>96</v>
      </c>
      <c r="DZ208" s="32">
        <v>72.8</v>
      </c>
      <c r="EA208" s="32">
        <v>72.8</v>
      </c>
      <c r="EB208" s="32">
        <v>72.7</v>
      </c>
      <c r="EC208" s="32">
        <v>72.3</v>
      </c>
      <c r="ED208" s="32">
        <v>73.599999999999994</v>
      </c>
      <c r="EE208" s="32">
        <v>78.7</v>
      </c>
      <c r="EF208" s="32">
        <v>62.6</v>
      </c>
      <c r="EG208" s="32">
        <v>85.7</v>
      </c>
      <c r="EH208" s="32">
        <v>107.7</v>
      </c>
      <c r="EI208" s="32">
        <v>81.7</v>
      </c>
      <c r="EJ208" s="32">
        <v>90.8</v>
      </c>
      <c r="EK208" s="32">
        <v>77.900000000000006</v>
      </c>
      <c r="EL208" s="32">
        <v>86.7</v>
      </c>
      <c r="EM208" s="32">
        <v>72.099999999999994</v>
      </c>
      <c r="EN208" s="32">
        <v>80.2</v>
      </c>
      <c r="EO208" s="32">
        <v>89.2</v>
      </c>
      <c r="EP208" s="32">
        <v>87.9</v>
      </c>
      <c r="EQ208" s="32">
        <v>87.9</v>
      </c>
      <c r="ER208" s="32">
        <v>81.900000000000006</v>
      </c>
      <c r="ES208" s="32">
        <v>81.900000000000006</v>
      </c>
      <c r="ET208" s="32">
        <v>98.4</v>
      </c>
      <c r="EU208" s="32">
        <v>107</v>
      </c>
      <c r="EV208" s="32">
        <v>107</v>
      </c>
      <c r="EW208" s="32">
        <v>91.5</v>
      </c>
      <c r="EX208" s="32">
        <v>93.3</v>
      </c>
      <c r="EY208" s="32">
        <v>90.2</v>
      </c>
      <c r="EZ208" s="32">
        <v>97.1</v>
      </c>
      <c r="FA208" s="32">
        <v>108.5</v>
      </c>
      <c r="FB208" s="32">
        <v>119.5</v>
      </c>
      <c r="FC208" s="32">
        <v>97</v>
      </c>
      <c r="FD208" s="32">
        <v>102.2</v>
      </c>
      <c r="FE208" s="32">
        <v>168.9</v>
      </c>
      <c r="FF208" s="32">
        <v>96.1</v>
      </c>
      <c r="FG208" s="32">
        <v>86.4</v>
      </c>
      <c r="FH208" s="32">
        <v>87.7</v>
      </c>
      <c r="FI208" s="32">
        <v>103.4</v>
      </c>
      <c r="FJ208" s="32">
        <v>83.7</v>
      </c>
      <c r="FK208" s="32">
        <v>134.1</v>
      </c>
      <c r="FL208" s="32">
        <v>134.1</v>
      </c>
    </row>
    <row r="209" spans="1:168" x14ac:dyDescent="0.2">
      <c r="A209" s="34" t="s">
        <v>1189</v>
      </c>
      <c r="B209" s="32">
        <v>86.5</v>
      </c>
      <c r="C209" s="32">
        <v>95.6</v>
      </c>
      <c r="D209" s="32">
        <v>91.4</v>
      </c>
      <c r="E209" s="32">
        <v>93.6</v>
      </c>
      <c r="F209" s="32">
        <v>97.1</v>
      </c>
      <c r="G209" s="32">
        <v>2534.1</v>
      </c>
      <c r="H209" s="32">
        <v>97.4</v>
      </c>
      <c r="I209" s="32">
        <v>81.099999999999994</v>
      </c>
      <c r="J209" s="32">
        <v>94.5</v>
      </c>
      <c r="K209" s="32">
        <v>86.4</v>
      </c>
      <c r="L209" s="32">
        <v>85.2</v>
      </c>
      <c r="M209" s="32">
        <v>79.8</v>
      </c>
      <c r="N209" s="32">
        <v>74.8</v>
      </c>
      <c r="O209" s="32">
        <v>222.8</v>
      </c>
      <c r="P209" s="32">
        <v>148.30000000000001</v>
      </c>
      <c r="Q209" s="32">
        <v>93.1</v>
      </c>
      <c r="R209" s="32">
        <v>63.3</v>
      </c>
      <c r="S209" s="32">
        <v>103.2</v>
      </c>
      <c r="T209" s="32">
        <v>170.8</v>
      </c>
      <c r="U209" s="32">
        <v>94</v>
      </c>
      <c r="V209" s="32">
        <v>94</v>
      </c>
      <c r="W209" s="32">
        <v>76.2</v>
      </c>
      <c r="X209" s="32">
        <v>55.7</v>
      </c>
      <c r="Y209" s="32">
        <v>106.1</v>
      </c>
      <c r="Z209" s="32">
        <v>166</v>
      </c>
      <c r="AA209" s="32">
        <v>107.7</v>
      </c>
      <c r="AB209" s="32">
        <v>85.6</v>
      </c>
      <c r="AC209" s="32">
        <v>113.5</v>
      </c>
      <c r="AD209" s="32">
        <v>120.2</v>
      </c>
      <c r="AE209" s="32">
        <v>59.4</v>
      </c>
      <c r="AF209" s="32">
        <v>59.4</v>
      </c>
      <c r="AG209" s="32">
        <v>90.1</v>
      </c>
      <c r="AH209" s="32">
        <v>90.1</v>
      </c>
      <c r="AI209" s="32">
        <v>128.4</v>
      </c>
      <c r="AJ209" s="32">
        <v>88.4</v>
      </c>
      <c r="AK209" s="32">
        <v>99.8</v>
      </c>
      <c r="AL209" s="32">
        <v>79.400000000000006</v>
      </c>
      <c r="AM209" s="32">
        <v>67.3</v>
      </c>
      <c r="AN209" s="32">
        <v>169.8</v>
      </c>
      <c r="AO209" s="32">
        <v>84</v>
      </c>
      <c r="AP209" s="32">
        <v>84</v>
      </c>
      <c r="AQ209" s="32">
        <v>115.9</v>
      </c>
      <c r="AR209" s="32">
        <v>115.3</v>
      </c>
      <c r="AS209" s="32">
        <v>119.7</v>
      </c>
      <c r="AT209" s="32">
        <v>91.5</v>
      </c>
      <c r="AU209" s="32">
        <v>147.5</v>
      </c>
      <c r="AV209" s="32">
        <v>100.4</v>
      </c>
      <c r="AW209" s="32">
        <v>101.3</v>
      </c>
      <c r="AX209" s="32">
        <v>230.2</v>
      </c>
      <c r="AY209" s="32">
        <v>50.8</v>
      </c>
      <c r="AZ209" s="32">
        <v>103.5</v>
      </c>
      <c r="BA209" s="32">
        <v>88.9</v>
      </c>
      <c r="BB209" s="32">
        <v>88.9</v>
      </c>
      <c r="BC209" s="32">
        <v>116.6</v>
      </c>
      <c r="BD209" s="32">
        <v>116.6</v>
      </c>
      <c r="BE209" s="32">
        <v>110.1</v>
      </c>
      <c r="BF209" s="32">
        <v>110.1</v>
      </c>
      <c r="BG209" s="32">
        <v>93.8</v>
      </c>
      <c r="BH209" s="32">
        <v>103.4</v>
      </c>
      <c r="BI209" s="32">
        <v>83</v>
      </c>
      <c r="BJ209" s="32">
        <v>40.700000000000003</v>
      </c>
      <c r="BK209" s="32">
        <v>94.7</v>
      </c>
      <c r="BL209" s="32">
        <v>116.9</v>
      </c>
      <c r="BM209" s="32">
        <v>107.9</v>
      </c>
      <c r="BN209" s="32">
        <v>103.8</v>
      </c>
      <c r="BO209" s="32">
        <v>95.6</v>
      </c>
      <c r="BP209" s="32">
        <v>110.3</v>
      </c>
      <c r="BQ209" s="32">
        <v>112.6</v>
      </c>
      <c r="BR209" s="32">
        <v>106.3</v>
      </c>
      <c r="BS209" s="32">
        <v>160.30000000000001</v>
      </c>
      <c r="BT209" s="32">
        <v>100.5</v>
      </c>
      <c r="BU209" s="32">
        <v>104.1</v>
      </c>
      <c r="BV209" s="32">
        <v>104.1</v>
      </c>
      <c r="BW209" s="32">
        <v>124.6</v>
      </c>
      <c r="BX209" s="32">
        <v>56.6</v>
      </c>
      <c r="BY209" s="32">
        <v>85.3</v>
      </c>
      <c r="BZ209" s="32">
        <v>87.6</v>
      </c>
      <c r="CA209" s="32">
        <v>84.2</v>
      </c>
      <c r="CB209" s="32">
        <v>102.2</v>
      </c>
      <c r="CC209" s="32">
        <v>70.5</v>
      </c>
      <c r="CD209" s="32">
        <v>40.799999999999997</v>
      </c>
      <c r="CE209" s="32">
        <v>87.9</v>
      </c>
      <c r="CF209" s="32">
        <v>85.7</v>
      </c>
      <c r="CG209" s="32">
        <v>96.5</v>
      </c>
      <c r="CH209" s="32">
        <v>96.2</v>
      </c>
      <c r="CI209" s="32">
        <v>118.1</v>
      </c>
      <c r="CJ209" s="32">
        <v>89.5</v>
      </c>
      <c r="CK209" s="32">
        <v>96.7</v>
      </c>
      <c r="CL209" s="32">
        <v>98.3</v>
      </c>
      <c r="CM209" s="32">
        <v>109.3</v>
      </c>
      <c r="CN209" s="32">
        <v>142.1</v>
      </c>
      <c r="CO209" s="32">
        <v>100.2</v>
      </c>
      <c r="CP209" s="32">
        <v>166.5</v>
      </c>
      <c r="CQ209" s="32">
        <v>117.9</v>
      </c>
      <c r="CR209" s="32">
        <v>96.5</v>
      </c>
      <c r="CS209" s="32">
        <v>114.7</v>
      </c>
      <c r="CT209" s="32">
        <v>94</v>
      </c>
      <c r="CU209" s="32">
        <v>85.3</v>
      </c>
      <c r="CV209" s="32">
        <v>97.7</v>
      </c>
      <c r="CW209" s="32">
        <v>50.8</v>
      </c>
      <c r="CX209" s="32">
        <v>109.2</v>
      </c>
      <c r="CY209" s="32">
        <v>119.5</v>
      </c>
      <c r="CZ209" s="32">
        <v>103.7</v>
      </c>
      <c r="DA209" s="32">
        <v>95</v>
      </c>
      <c r="DB209" s="32">
        <v>121</v>
      </c>
      <c r="DC209" s="32">
        <v>16.600000000000001</v>
      </c>
      <c r="DD209" s="32">
        <v>16.600000000000001</v>
      </c>
      <c r="DE209" s="32">
        <v>71.5</v>
      </c>
      <c r="DF209" s="32">
        <v>69.3</v>
      </c>
      <c r="DG209" s="32">
        <v>83</v>
      </c>
      <c r="DH209" s="32">
        <v>94.1</v>
      </c>
      <c r="DI209" s="32">
        <v>138.19999999999999</v>
      </c>
      <c r="DJ209" s="32">
        <v>72</v>
      </c>
      <c r="DK209" s="32">
        <v>72</v>
      </c>
      <c r="DL209" s="32">
        <v>56.7</v>
      </c>
      <c r="DM209" s="32">
        <v>88.9</v>
      </c>
      <c r="DN209" s="32">
        <v>91.2</v>
      </c>
      <c r="DO209" s="32">
        <v>88.1</v>
      </c>
      <c r="DP209" s="32">
        <v>83.3</v>
      </c>
      <c r="DQ209" s="32">
        <v>80.7</v>
      </c>
      <c r="DR209" s="32">
        <v>78.3</v>
      </c>
      <c r="DS209" s="32">
        <v>81.400000000000006</v>
      </c>
      <c r="DT209" s="32">
        <v>79.2</v>
      </c>
      <c r="DU209" s="32">
        <v>82</v>
      </c>
      <c r="DV209" s="32">
        <v>90.1</v>
      </c>
      <c r="DW209" s="32">
        <v>73.400000000000006</v>
      </c>
      <c r="DX209" s="32">
        <v>73.400000000000006</v>
      </c>
      <c r="DY209" s="32">
        <v>89.9</v>
      </c>
      <c r="DZ209" s="32">
        <v>74.099999999999994</v>
      </c>
      <c r="EA209" s="32">
        <v>74.099999999999994</v>
      </c>
      <c r="EB209" s="32">
        <v>70.7</v>
      </c>
      <c r="EC209" s="32">
        <v>70.099999999999994</v>
      </c>
      <c r="ED209" s="32">
        <v>71.900000000000006</v>
      </c>
      <c r="EE209" s="32">
        <v>75.900000000000006</v>
      </c>
      <c r="EF209" s="32">
        <v>63.4</v>
      </c>
      <c r="EG209" s="32">
        <v>84.6</v>
      </c>
      <c r="EH209" s="32">
        <v>99.1</v>
      </c>
      <c r="EI209" s="32">
        <v>81.3</v>
      </c>
      <c r="EJ209" s="32">
        <v>91</v>
      </c>
      <c r="EK209" s="32">
        <v>79.099999999999994</v>
      </c>
      <c r="EL209" s="32">
        <v>90.2</v>
      </c>
      <c r="EM209" s="32">
        <v>73.7</v>
      </c>
      <c r="EN209" s="32">
        <v>80.8</v>
      </c>
      <c r="EO209" s="32">
        <v>90.2</v>
      </c>
      <c r="EP209" s="32">
        <v>88.3</v>
      </c>
      <c r="EQ209" s="32">
        <v>88.3</v>
      </c>
      <c r="ER209" s="32">
        <v>83.8</v>
      </c>
      <c r="ES209" s="32">
        <v>83.8</v>
      </c>
      <c r="ET209" s="32">
        <v>99.2</v>
      </c>
      <c r="EU209" s="32">
        <v>108.3</v>
      </c>
      <c r="EV209" s="32">
        <v>108.3</v>
      </c>
      <c r="EW209" s="32">
        <v>91.5</v>
      </c>
      <c r="EX209" s="32">
        <v>93.4</v>
      </c>
      <c r="EY209" s="32">
        <v>89.9</v>
      </c>
      <c r="EZ209" s="32">
        <v>95.9</v>
      </c>
      <c r="FA209" s="32">
        <v>107.1</v>
      </c>
      <c r="FB209" s="32">
        <v>119.1</v>
      </c>
      <c r="FC209" s="32">
        <v>95.9</v>
      </c>
      <c r="FD209" s="32">
        <v>99.6</v>
      </c>
      <c r="FE209" s="32">
        <v>170.9</v>
      </c>
      <c r="FF209" s="32">
        <v>93.6</v>
      </c>
      <c r="FG209" s="32">
        <v>85.1</v>
      </c>
      <c r="FH209" s="32">
        <v>87.6</v>
      </c>
      <c r="FI209" s="32">
        <v>97.8</v>
      </c>
      <c r="FJ209" s="32">
        <v>82.5</v>
      </c>
      <c r="FK209" s="32">
        <v>134.4</v>
      </c>
      <c r="FL209" s="32">
        <v>134.4</v>
      </c>
    </row>
    <row r="210" spans="1:168" x14ac:dyDescent="0.2">
      <c r="A210" s="34" t="s">
        <v>1190</v>
      </c>
      <c r="B210" s="32">
        <v>87</v>
      </c>
      <c r="C210" s="32">
        <v>101.5</v>
      </c>
      <c r="D210" s="32">
        <v>92.2</v>
      </c>
      <c r="E210" s="32">
        <v>93.9</v>
      </c>
      <c r="F210" s="32">
        <v>93.8</v>
      </c>
      <c r="G210" s="32">
        <v>2566.5</v>
      </c>
      <c r="H210" s="32">
        <v>93.5</v>
      </c>
      <c r="I210" s="32">
        <v>81.099999999999994</v>
      </c>
      <c r="J210" s="32">
        <v>95.6</v>
      </c>
      <c r="K210" s="32">
        <v>89</v>
      </c>
      <c r="L210" s="32">
        <v>87.6</v>
      </c>
      <c r="M210" s="32">
        <v>86.4</v>
      </c>
      <c r="N210" s="32">
        <v>76.900000000000006</v>
      </c>
      <c r="O210" s="32">
        <v>211</v>
      </c>
      <c r="P210" s="32">
        <v>160.69999999999999</v>
      </c>
      <c r="Q210" s="32">
        <v>95.1</v>
      </c>
      <c r="R210" s="32">
        <v>62.2</v>
      </c>
      <c r="S210" s="32">
        <v>101.2</v>
      </c>
      <c r="T210" s="32">
        <v>191</v>
      </c>
      <c r="U210" s="32">
        <v>97.1</v>
      </c>
      <c r="V210" s="32">
        <v>97.4</v>
      </c>
      <c r="W210" s="32">
        <v>77.8</v>
      </c>
      <c r="X210" s="32">
        <v>57.2</v>
      </c>
      <c r="Y210" s="32">
        <v>107</v>
      </c>
      <c r="Z210" s="32">
        <v>172.9</v>
      </c>
      <c r="AA210" s="32">
        <v>106.5</v>
      </c>
      <c r="AB210" s="32">
        <v>92.4</v>
      </c>
      <c r="AC210" s="32">
        <v>111.4</v>
      </c>
      <c r="AD210" s="32">
        <v>114.5</v>
      </c>
      <c r="AE210" s="32">
        <v>53.9</v>
      </c>
      <c r="AF210" s="32">
        <v>53.9</v>
      </c>
      <c r="AG210" s="32">
        <v>91.7</v>
      </c>
      <c r="AH210" s="32">
        <v>91.7</v>
      </c>
      <c r="AI210" s="32">
        <v>128.4</v>
      </c>
      <c r="AJ210" s="32">
        <v>94.1</v>
      </c>
      <c r="AK210" s="32">
        <v>96</v>
      </c>
      <c r="AL210" s="32">
        <v>83.6</v>
      </c>
      <c r="AM210" s="32">
        <v>68.099999999999994</v>
      </c>
      <c r="AN210" s="32">
        <v>169.7</v>
      </c>
      <c r="AO210" s="32">
        <v>72.8</v>
      </c>
      <c r="AP210" s="32">
        <v>72.8</v>
      </c>
      <c r="AQ210" s="32">
        <v>121.7</v>
      </c>
      <c r="AR210" s="32">
        <v>121.2</v>
      </c>
      <c r="AS210" s="32">
        <v>125.6</v>
      </c>
      <c r="AT210" s="32">
        <v>89.3</v>
      </c>
      <c r="AU210" s="32">
        <v>161.4</v>
      </c>
      <c r="AV210" s="32">
        <v>100.4</v>
      </c>
      <c r="AW210" s="32">
        <v>104</v>
      </c>
      <c r="AX210" s="32">
        <v>235.6</v>
      </c>
      <c r="AY210" s="32">
        <v>52.6</v>
      </c>
      <c r="AZ210" s="32">
        <v>102.9</v>
      </c>
      <c r="BA210" s="32">
        <v>93.6</v>
      </c>
      <c r="BB210" s="32">
        <v>93.6</v>
      </c>
      <c r="BC210" s="32">
        <v>119</v>
      </c>
      <c r="BD210" s="32">
        <v>119</v>
      </c>
      <c r="BE210" s="32">
        <v>110.8</v>
      </c>
      <c r="BF210" s="32">
        <v>110.8</v>
      </c>
      <c r="BG210" s="32">
        <v>98.3</v>
      </c>
      <c r="BH210" s="32">
        <v>113.7</v>
      </c>
      <c r="BI210" s="32">
        <v>81.2</v>
      </c>
      <c r="BJ210" s="32">
        <v>40.9</v>
      </c>
      <c r="BK210" s="32">
        <v>93.1</v>
      </c>
      <c r="BL210" s="32">
        <v>104.8</v>
      </c>
      <c r="BM210" s="32">
        <v>108.6</v>
      </c>
      <c r="BN210" s="32">
        <v>103.8</v>
      </c>
      <c r="BO210" s="32">
        <v>95.8</v>
      </c>
      <c r="BP210" s="32">
        <v>110.2</v>
      </c>
      <c r="BQ210" s="32">
        <v>114</v>
      </c>
      <c r="BR210" s="32">
        <v>111.1</v>
      </c>
      <c r="BS210" s="32">
        <v>170.7</v>
      </c>
      <c r="BT210" s="32">
        <v>99.2</v>
      </c>
      <c r="BU210" s="32">
        <v>100.7</v>
      </c>
      <c r="BV210" s="32">
        <v>100.7</v>
      </c>
      <c r="BW210" s="32">
        <v>122</v>
      </c>
      <c r="BX210" s="32">
        <v>53.4</v>
      </c>
      <c r="BY210" s="32">
        <v>86.5</v>
      </c>
      <c r="BZ210" s="32">
        <v>85</v>
      </c>
      <c r="CA210" s="32">
        <v>87.2</v>
      </c>
      <c r="CB210" s="32">
        <v>105.6</v>
      </c>
      <c r="CC210" s="32">
        <v>73.099999999999994</v>
      </c>
      <c r="CD210" s="32">
        <v>43.5</v>
      </c>
      <c r="CE210" s="32">
        <v>90</v>
      </c>
      <c r="CF210" s="32">
        <v>86</v>
      </c>
      <c r="CG210" s="32">
        <v>98.2</v>
      </c>
      <c r="CH210" s="32">
        <v>98.5</v>
      </c>
      <c r="CI210" s="32">
        <v>117.2</v>
      </c>
      <c r="CJ210" s="32">
        <v>94.8</v>
      </c>
      <c r="CK210" s="32">
        <v>97.8</v>
      </c>
      <c r="CL210" s="32">
        <v>100.2</v>
      </c>
      <c r="CM210" s="32">
        <v>113.6</v>
      </c>
      <c r="CN210" s="32">
        <v>148.19999999999999</v>
      </c>
      <c r="CO210" s="32">
        <v>103.9</v>
      </c>
      <c r="CP210" s="32">
        <v>162.5</v>
      </c>
      <c r="CQ210" s="32">
        <v>122.9</v>
      </c>
      <c r="CR210" s="32">
        <v>101.9</v>
      </c>
      <c r="CS210" s="32">
        <v>107.1</v>
      </c>
      <c r="CT210" s="32">
        <v>92.9</v>
      </c>
      <c r="CU210" s="32">
        <v>89.6</v>
      </c>
      <c r="CV210" s="32">
        <v>94.3</v>
      </c>
      <c r="CW210" s="32">
        <v>51.4</v>
      </c>
      <c r="CX210" s="32">
        <v>106.2</v>
      </c>
      <c r="CY210" s="32">
        <v>118.5</v>
      </c>
      <c r="CZ210" s="32">
        <v>99.7</v>
      </c>
      <c r="DA210" s="32">
        <v>89.4</v>
      </c>
      <c r="DB210" s="32">
        <v>120.5</v>
      </c>
      <c r="DC210" s="32">
        <v>17.2</v>
      </c>
      <c r="DD210" s="32">
        <v>17.2</v>
      </c>
      <c r="DE210" s="32">
        <v>72.900000000000006</v>
      </c>
      <c r="DF210" s="32">
        <v>72.7</v>
      </c>
      <c r="DG210" s="32">
        <v>73.900000000000006</v>
      </c>
      <c r="DH210" s="32">
        <v>91</v>
      </c>
      <c r="DI210" s="32">
        <v>130.19999999999999</v>
      </c>
      <c r="DJ210" s="32">
        <v>75.099999999999994</v>
      </c>
      <c r="DK210" s="32">
        <v>75.099999999999994</v>
      </c>
      <c r="DL210" s="32">
        <v>53.3</v>
      </c>
      <c r="DM210" s="32">
        <v>89.1</v>
      </c>
      <c r="DN210" s="32">
        <v>92.5</v>
      </c>
      <c r="DO210" s="32">
        <v>88.1</v>
      </c>
      <c r="DP210" s="32">
        <v>78.599999999999994</v>
      </c>
      <c r="DQ210" s="32">
        <v>81.2</v>
      </c>
      <c r="DR210" s="32">
        <v>78.900000000000006</v>
      </c>
      <c r="DS210" s="32">
        <v>82.7</v>
      </c>
      <c r="DT210" s="32">
        <v>79.3</v>
      </c>
      <c r="DU210" s="32">
        <v>81.599999999999994</v>
      </c>
      <c r="DV210" s="32">
        <v>92.8</v>
      </c>
      <c r="DW210" s="32">
        <v>70.099999999999994</v>
      </c>
      <c r="DX210" s="32">
        <v>74.599999999999994</v>
      </c>
      <c r="DY210" s="32">
        <v>95.2</v>
      </c>
      <c r="DZ210" s="32">
        <v>74.5</v>
      </c>
      <c r="EA210" s="32">
        <v>74.5</v>
      </c>
      <c r="EB210" s="32">
        <v>69.400000000000006</v>
      </c>
      <c r="EC210" s="32">
        <v>65</v>
      </c>
      <c r="ED210" s="32">
        <v>76</v>
      </c>
      <c r="EE210" s="32">
        <v>83.6</v>
      </c>
      <c r="EF210" s="32">
        <v>60.1</v>
      </c>
      <c r="EG210" s="32">
        <v>84.9</v>
      </c>
      <c r="EH210" s="32">
        <v>97.8</v>
      </c>
      <c r="EI210" s="32">
        <v>81.099999999999994</v>
      </c>
      <c r="EJ210" s="32">
        <v>97.4</v>
      </c>
      <c r="EK210" s="32">
        <v>79.099999999999994</v>
      </c>
      <c r="EL210" s="32">
        <v>89.6</v>
      </c>
      <c r="EM210" s="32">
        <v>71.3</v>
      </c>
      <c r="EN210" s="32">
        <v>82.4</v>
      </c>
      <c r="EO210" s="32">
        <v>90.4</v>
      </c>
      <c r="EP210" s="32">
        <v>87.9</v>
      </c>
      <c r="EQ210" s="32">
        <v>87.9</v>
      </c>
      <c r="ER210" s="32">
        <v>83.7</v>
      </c>
      <c r="ES210" s="32">
        <v>83.7</v>
      </c>
      <c r="ET210" s="32">
        <v>100.1</v>
      </c>
      <c r="EU210" s="32">
        <v>109.8</v>
      </c>
      <c r="EV210" s="32">
        <v>109.8</v>
      </c>
      <c r="EW210" s="32">
        <v>91.1</v>
      </c>
      <c r="EX210" s="32">
        <v>93.4</v>
      </c>
      <c r="EY210" s="32">
        <v>89.2</v>
      </c>
      <c r="EZ210" s="32">
        <v>98</v>
      </c>
      <c r="FA210" s="32">
        <v>108.8</v>
      </c>
      <c r="FB210" s="32">
        <v>122</v>
      </c>
      <c r="FC210" s="32">
        <v>99.9</v>
      </c>
      <c r="FD210" s="32">
        <v>101</v>
      </c>
      <c r="FE210" s="32">
        <v>172.4</v>
      </c>
      <c r="FF210" s="32">
        <v>94</v>
      </c>
      <c r="FG210" s="32">
        <v>86.8</v>
      </c>
      <c r="FH210" s="32">
        <v>87.8</v>
      </c>
      <c r="FI210" s="32">
        <v>102.2</v>
      </c>
      <c r="FJ210" s="32">
        <v>84.4</v>
      </c>
      <c r="FK210" s="32">
        <v>151.4</v>
      </c>
      <c r="FL210" s="32">
        <v>151.4</v>
      </c>
    </row>
    <row r="211" spans="1:168" x14ac:dyDescent="0.2">
      <c r="A211" s="34" t="s">
        <v>1191</v>
      </c>
      <c r="B211" s="32">
        <v>87.5</v>
      </c>
      <c r="C211" s="32">
        <v>108.3</v>
      </c>
      <c r="D211" s="32">
        <v>92.3</v>
      </c>
      <c r="E211" s="32">
        <v>94.5</v>
      </c>
      <c r="F211" s="32">
        <v>98</v>
      </c>
      <c r="G211" s="32">
        <v>2651.6</v>
      </c>
      <c r="H211" s="32">
        <v>98.9</v>
      </c>
      <c r="I211" s="32">
        <v>78.5</v>
      </c>
      <c r="J211" s="32">
        <v>96.1</v>
      </c>
      <c r="K211" s="32">
        <v>89.7</v>
      </c>
      <c r="L211" s="32">
        <v>88.4</v>
      </c>
      <c r="M211" s="32">
        <v>89.9</v>
      </c>
      <c r="N211" s="32">
        <v>76.599999999999994</v>
      </c>
      <c r="O211" s="32">
        <v>205.9</v>
      </c>
      <c r="P211" s="32">
        <v>172.2</v>
      </c>
      <c r="Q211" s="32">
        <v>94.2</v>
      </c>
      <c r="R211" s="32">
        <v>59.5</v>
      </c>
      <c r="S211" s="32">
        <v>101</v>
      </c>
      <c r="T211" s="32">
        <v>188.7</v>
      </c>
      <c r="U211" s="32">
        <v>90.6</v>
      </c>
      <c r="V211" s="32">
        <v>100.1</v>
      </c>
      <c r="W211" s="32">
        <v>78.5</v>
      </c>
      <c r="X211" s="32">
        <v>56.6</v>
      </c>
      <c r="Y211" s="32">
        <v>111.8</v>
      </c>
      <c r="Z211" s="32">
        <v>172.6</v>
      </c>
      <c r="AA211" s="32">
        <v>107.5</v>
      </c>
      <c r="AB211" s="32">
        <v>91.8</v>
      </c>
      <c r="AC211" s="32">
        <v>111.1</v>
      </c>
      <c r="AD211" s="32">
        <v>117.8</v>
      </c>
      <c r="AE211" s="32">
        <v>52.7</v>
      </c>
      <c r="AF211" s="32">
        <v>52.7</v>
      </c>
      <c r="AG211" s="32">
        <v>90.5</v>
      </c>
      <c r="AH211" s="32">
        <v>90.5</v>
      </c>
      <c r="AI211" s="32">
        <v>126.9</v>
      </c>
      <c r="AJ211" s="32">
        <v>84.4</v>
      </c>
      <c r="AK211" s="32">
        <v>97.2</v>
      </c>
      <c r="AL211" s="32">
        <v>86</v>
      </c>
      <c r="AM211" s="32">
        <v>69.8</v>
      </c>
      <c r="AN211" s="32">
        <v>165.6</v>
      </c>
      <c r="AO211" s="32">
        <v>81.099999999999994</v>
      </c>
      <c r="AP211" s="32">
        <v>81.099999999999994</v>
      </c>
      <c r="AQ211" s="32">
        <v>118.8</v>
      </c>
      <c r="AR211" s="32">
        <v>118.3</v>
      </c>
      <c r="AS211" s="32">
        <v>122.5</v>
      </c>
      <c r="AT211" s="32">
        <v>91.5</v>
      </c>
      <c r="AU211" s="32">
        <v>153.1</v>
      </c>
      <c r="AV211" s="32">
        <v>100.5</v>
      </c>
      <c r="AW211" s="32">
        <v>105.4</v>
      </c>
      <c r="AX211" s="32">
        <v>230</v>
      </c>
      <c r="AY211" s="32">
        <v>57.2</v>
      </c>
      <c r="AZ211" s="32">
        <v>102.7</v>
      </c>
      <c r="BA211" s="32">
        <v>91</v>
      </c>
      <c r="BB211" s="32">
        <v>91</v>
      </c>
      <c r="BC211" s="32">
        <v>116.1</v>
      </c>
      <c r="BD211" s="32">
        <v>116.1</v>
      </c>
      <c r="BE211" s="32">
        <v>113.3</v>
      </c>
      <c r="BF211" s="32">
        <v>113.3</v>
      </c>
      <c r="BG211" s="32">
        <v>99.7</v>
      </c>
      <c r="BH211" s="32">
        <v>115.9</v>
      </c>
      <c r="BI211" s="32">
        <v>81.7</v>
      </c>
      <c r="BJ211" s="32">
        <v>41.4</v>
      </c>
      <c r="BK211" s="32">
        <v>93.5</v>
      </c>
      <c r="BL211" s="32">
        <v>105.3</v>
      </c>
      <c r="BM211" s="32">
        <v>106.4</v>
      </c>
      <c r="BN211" s="32">
        <v>104.6</v>
      </c>
      <c r="BO211" s="32">
        <v>96.4</v>
      </c>
      <c r="BP211" s="32">
        <v>111.2</v>
      </c>
      <c r="BQ211" s="32">
        <v>108.9</v>
      </c>
      <c r="BR211" s="32">
        <v>137.30000000000001</v>
      </c>
      <c r="BS211" s="32">
        <v>149.19999999999999</v>
      </c>
      <c r="BT211" s="32">
        <v>93.8</v>
      </c>
      <c r="BU211" s="32">
        <v>98.9</v>
      </c>
      <c r="BV211" s="32">
        <v>98.9</v>
      </c>
      <c r="BW211" s="32">
        <v>121.3</v>
      </c>
      <c r="BX211" s="32">
        <v>50.9</v>
      </c>
      <c r="BY211" s="32">
        <v>86.7</v>
      </c>
      <c r="BZ211" s="32">
        <v>85.8</v>
      </c>
      <c r="CA211" s="32">
        <v>87</v>
      </c>
      <c r="CB211" s="32">
        <v>106.4</v>
      </c>
      <c r="CC211" s="32">
        <v>72</v>
      </c>
      <c r="CD211" s="32">
        <v>43.7</v>
      </c>
      <c r="CE211" s="32">
        <v>88.8</v>
      </c>
      <c r="CF211" s="32">
        <v>86.5</v>
      </c>
      <c r="CG211" s="32">
        <v>99.1</v>
      </c>
      <c r="CH211" s="32">
        <v>99.8</v>
      </c>
      <c r="CI211" s="32">
        <v>116.5</v>
      </c>
      <c r="CJ211" s="32">
        <v>97.8</v>
      </c>
      <c r="CK211" s="32">
        <v>98.3</v>
      </c>
      <c r="CL211" s="32">
        <v>99.8</v>
      </c>
      <c r="CM211" s="32">
        <v>115.8</v>
      </c>
      <c r="CN211" s="32">
        <v>149.80000000000001</v>
      </c>
      <c r="CO211" s="32">
        <v>106.2</v>
      </c>
      <c r="CP211" s="32">
        <v>159.1</v>
      </c>
      <c r="CQ211" s="32">
        <v>124.1</v>
      </c>
      <c r="CR211" s="32">
        <v>99.3</v>
      </c>
      <c r="CS211" s="32">
        <v>104.9</v>
      </c>
      <c r="CT211" s="32">
        <v>94.4</v>
      </c>
      <c r="CU211" s="32">
        <v>87.7</v>
      </c>
      <c r="CV211" s="32">
        <v>97.2</v>
      </c>
      <c r="CW211" s="32">
        <v>51.3</v>
      </c>
      <c r="CX211" s="32">
        <v>103.3</v>
      </c>
      <c r="CY211" s="32">
        <v>118.6</v>
      </c>
      <c r="CZ211" s="32">
        <v>95.4</v>
      </c>
      <c r="DA211" s="32">
        <v>83.8</v>
      </c>
      <c r="DB211" s="32">
        <v>118.9</v>
      </c>
      <c r="DC211" s="32">
        <v>17.899999999999999</v>
      </c>
      <c r="DD211" s="32">
        <v>17.899999999999999</v>
      </c>
      <c r="DE211" s="32">
        <v>71.8</v>
      </c>
      <c r="DF211" s="32">
        <v>71.2</v>
      </c>
      <c r="DG211" s="32">
        <v>74.400000000000006</v>
      </c>
      <c r="DH211" s="32">
        <v>94.4</v>
      </c>
      <c r="DI211" s="32">
        <v>135</v>
      </c>
      <c r="DJ211" s="32">
        <v>77.8</v>
      </c>
      <c r="DK211" s="32">
        <v>77.8</v>
      </c>
      <c r="DL211" s="32">
        <v>55.5</v>
      </c>
      <c r="DM211" s="32">
        <v>89.1</v>
      </c>
      <c r="DN211" s="32">
        <v>92.4</v>
      </c>
      <c r="DO211" s="32">
        <v>88.1</v>
      </c>
      <c r="DP211" s="32">
        <v>81.599999999999994</v>
      </c>
      <c r="DQ211" s="32">
        <v>81.8</v>
      </c>
      <c r="DR211" s="32">
        <v>79.599999999999994</v>
      </c>
      <c r="DS211" s="32">
        <v>83</v>
      </c>
      <c r="DT211" s="32">
        <v>79.8</v>
      </c>
      <c r="DU211" s="32">
        <v>81.8</v>
      </c>
      <c r="DV211" s="32">
        <v>93.4</v>
      </c>
      <c r="DW211" s="32">
        <v>70</v>
      </c>
      <c r="DX211" s="32">
        <v>75.7</v>
      </c>
      <c r="DY211" s="32">
        <v>94.4</v>
      </c>
      <c r="DZ211" s="32">
        <v>78.7</v>
      </c>
      <c r="EA211" s="32">
        <v>78.7</v>
      </c>
      <c r="EB211" s="32">
        <v>70.400000000000006</v>
      </c>
      <c r="EC211" s="32">
        <v>64.599999999999994</v>
      </c>
      <c r="ED211" s="32">
        <v>78.8</v>
      </c>
      <c r="EE211" s="32">
        <v>88.5</v>
      </c>
      <c r="EF211" s="32">
        <v>58.7</v>
      </c>
      <c r="EG211" s="32">
        <v>85.3</v>
      </c>
      <c r="EH211" s="32">
        <v>98.2</v>
      </c>
      <c r="EI211" s="32">
        <v>83.1</v>
      </c>
      <c r="EJ211" s="32">
        <v>93.4</v>
      </c>
      <c r="EK211" s="32">
        <v>79.2</v>
      </c>
      <c r="EL211" s="32">
        <v>88.2</v>
      </c>
      <c r="EM211" s="32">
        <v>71.7</v>
      </c>
      <c r="EN211" s="32">
        <v>82.7</v>
      </c>
      <c r="EO211" s="32">
        <v>90.2</v>
      </c>
      <c r="EP211" s="32">
        <v>87.4</v>
      </c>
      <c r="EQ211" s="32">
        <v>87.4</v>
      </c>
      <c r="ER211" s="32">
        <v>84.2</v>
      </c>
      <c r="ES211" s="32">
        <v>84.2</v>
      </c>
      <c r="ET211" s="32">
        <v>99.5</v>
      </c>
      <c r="EU211" s="32">
        <v>109.3</v>
      </c>
      <c r="EV211" s="32">
        <v>109.3</v>
      </c>
      <c r="EW211" s="32">
        <v>90.5</v>
      </c>
      <c r="EX211" s="32">
        <v>93.2</v>
      </c>
      <c r="EY211" s="32">
        <v>88.4</v>
      </c>
      <c r="EZ211" s="32">
        <v>98.1</v>
      </c>
      <c r="FA211" s="32">
        <v>108.9</v>
      </c>
      <c r="FB211" s="32">
        <v>122.9</v>
      </c>
      <c r="FC211" s="32">
        <v>101.3</v>
      </c>
      <c r="FD211" s="32">
        <v>99.8</v>
      </c>
      <c r="FE211" s="32">
        <v>173.6</v>
      </c>
      <c r="FF211" s="32">
        <v>93.1</v>
      </c>
      <c r="FG211" s="32">
        <v>86.4</v>
      </c>
      <c r="FH211" s="32">
        <v>88.8</v>
      </c>
      <c r="FI211" s="32">
        <v>102.8</v>
      </c>
      <c r="FJ211" s="32">
        <v>83.4</v>
      </c>
      <c r="FK211" s="32">
        <v>158.19999999999999</v>
      </c>
      <c r="FL211" s="32">
        <v>158.19999999999999</v>
      </c>
    </row>
    <row r="212" spans="1:168" x14ac:dyDescent="0.2">
      <c r="A212" s="34" t="s">
        <v>1192</v>
      </c>
      <c r="B212" s="32">
        <v>88</v>
      </c>
      <c r="C212" s="32">
        <v>112.9</v>
      </c>
      <c r="D212" s="32">
        <v>91.8</v>
      </c>
      <c r="E212" s="32">
        <v>93.8</v>
      </c>
      <c r="F212" s="32">
        <v>97</v>
      </c>
      <c r="G212" s="32">
        <v>2828.6</v>
      </c>
      <c r="H212" s="32">
        <v>97</v>
      </c>
      <c r="I212" s="32">
        <v>81.599999999999994</v>
      </c>
      <c r="J212" s="32">
        <v>95.9</v>
      </c>
      <c r="K212" s="32">
        <v>89.6</v>
      </c>
      <c r="L212" s="32">
        <v>88.8</v>
      </c>
      <c r="M212" s="32">
        <v>89.4</v>
      </c>
      <c r="N212" s="32">
        <v>78.8</v>
      </c>
      <c r="O212" s="32">
        <v>206.5</v>
      </c>
      <c r="P212" s="32">
        <v>183</v>
      </c>
      <c r="Q212" s="32">
        <v>92.5</v>
      </c>
      <c r="R212" s="32">
        <v>58.8</v>
      </c>
      <c r="S212" s="32">
        <v>99.6</v>
      </c>
      <c r="T212" s="32">
        <v>192.7</v>
      </c>
      <c r="U212" s="32">
        <v>87.8</v>
      </c>
      <c r="V212" s="32">
        <v>97.8</v>
      </c>
      <c r="W212" s="32">
        <v>79</v>
      </c>
      <c r="X212" s="32">
        <v>54.8</v>
      </c>
      <c r="Y212" s="32">
        <v>120.4</v>
      </c>
      <c r="Z212" s="32">
        <v>168.8</v>
      </c>
      <c r="AA212" s="32">
        <v>104.5</v>
      </c>
      <c r="AB212" s="32">
        <v>89.7</v>
      </c>
      <c r="AC212" s="32">
        <v>107.1</v>
      </c>
      <c r="AD212" s="32">
        <v>114.7</v>
      </c>
      <c r="AE212" s="32">
        <v>57.1</v>
      </c>
      <c r="AF212" s="32">
        <v>57.1</v>
      </c>
      <c r="AG212" s="32">
        <v>92.5</v>
      </c>
      <c r="AH212" s="32">
        <v>92.5</v>
      </c>
      <c r="AI212" s="32">
        <v>128.5</v>
      </c>
      <c r="AJ212" s="32">
        <v>90</v>
      </c>
      <c r="AK212" s="32">
        <v>116.3</v>
      </c>
      <c r="AL212" s="32">
        <v>85</v>
      </c>
      <c r="AM212" s="32">
        <v>69.400000000000006</v>
      </c>
      <c r="AN212" s="32">
        <v>166.4</v>
      </c>
      <c r="AO212" s="32">
        <v>80.8</v>
      </c>
      <c r="AP212" s="32">
        <v>80.8</v>
      </c>
      <c r="AQ212" s="32">
        <v>110.7</v>
      </c>
      <c r="AR212" s="32">
        <v>115.2</v>
      </c>
      <c r="AS212" s="32">
        <v>106.4</v>
      </c>
      <c r="AT212" s="32">
        <v>91</v>
      </c>
      <c r="AU212" s="32">
        <v>121.7</v>
      </c>
      <c r="AV212" s="32">
        <v>100.6</v>
      </c>
      <c r="AW212" s="32">
        <v>106.6</v>
      </c>
      <c r="AX212" s="32">
        <v>227.6</v>
      </c>
      <c r="AY212" s="32">
        <v>60.1</v>
      </c>
      <c r="AZ212" s="32">
        <v>102.6</v>
      </c>
      <c r="BA212" s="32">
        <v>90.8</v>
      </c>
      <c r="BB212" s="32">
        <v>90.8</v>
      </c>
      <c r="BC212" s="32">
        <v>119.9</v>
      </c>
      <c r="BD212" s="32">
        <v>119.9</v>
      </c>
      <c r="BE212" s="32">
        <v>109.1</v>
      </c>
      <c r="BF212" s="32">
        <v>109.1</v>
      </c>
      <c r="BG212" s="32">
        <v>102.3</v>
      </c>
      <c r="BH212" s="32">
        <v>121.2</v>
      </c>
      <c r="BI212" s="32">
        <v>81.3</v>
      </c>
      <c r="BJ212" s="32">
        <v>41.8</v>
      </c>
      <c r="BK212" s="32">
        <v>93.4</v>
      </c>
      <c r="BL212" s="32">
        <v>98.4</v>
      </c>
      <c r="BM212" s="32">
        <v>107.9</v>
      </c>
      <c r="BN212" s="32">
        <v>102.5</v>
      </c>
      <c r="BO212" s="32">
        <v>93.3</v>
      </c>
      <c r="BP212" s="32">
        <v>110.4</v>
      </c>
      <c r="BQ212" s="32">
        <v>114.1</v>
      </c>
      <c r="BR212" s="32">
        <v>158.69999999999999</v>
      </c>
      <c r="BS212" s="32">
        <v>152.1</v>
      </c>
      <c r="BT212" s="32">
        <v>97.3</v>
      </c>
      <c r="BU212" s="32">
        <v>96.1</v>
      </c>
      <c r="BV212" s="32">
        <v>96.1</v>
      </c>
      <c r="BW212" s="32">
        <v>119.6</v>
      </c>
      <c r="BX212" s="32">
        <v>47.7</v>
      </c>
      <c r="BY212" s="32">
        <v>85.5</v>
      </c>
      <c r="BZ212" s="32">
        <v>87</v>
      </c>
      <c r="CA212" s="32">
        <v>84.7</v>
      </c>
      <c r="CB212" s="32">
        <v>100.8</v>
      </c>
      <c r="CC212" s="32">
        <v>72.400000000000006</v>
      </c>
      <c r="CD212" s="32">
        <v>46</v>
      </c>
      <c r="CE212" s="32">
        <v>88.5</v>
      </c>
      <c r="CF212" s="32">
        <v>87.2</v>
      </c>
      <c r="CG212" s="32">
        <v>100.5</v>
      </c>
      <c r="CH212" s="32">
        <v>101.5</v>
      </c>
      <c r="CI212" s="32">
        <v>115.4</v>
      </c>
      <c r="CJ212" s="32">
        <v>100.2</v>
      </c>
      <c r="CK212" s="32">
        <v>100.2</v>
      </c>
      <c r="CL212" s="32">
        <v>101.1</v>
      </c>
      <c r="CM212" s="32">
        <v>117.9</v>
      </c>
      <c r="CN212" s="32">
        <v>154.1</v>
      </c>
      <c r="CO212" s="32">
        <v>107.8</v>
      </c>
      <c r="CP212" s="32">
        <v>158</v>
      </c>
      <c r="CQ212" s="32">
        <v>126.5</v>
      </c>
      <c r="CR212" s="32">
        <v>99.4</v>
      </c>
      <c r="CS212" s="32">
        <v>108.2</v>
      </c>
      <c r="CT212" s="32">
        <v>94.8</v>
      </c>
      <c r="CU212" s="32">
        <v>85.4</v>
      </c>
      <c r="CV212" s="32">
        <v>98.8</v>
      </c>
      <c r="CW212" s="32">
        <v>51.9</v>
      </c>
      <c r="CX212" s="32">
        <v>103</v>
      </c>
      <c r="CY212" s="32">
        <v>114.6</v>
      </c>
      <c r="CZ212" s="32">
        <v>96.8</v>
      </c>
      <c r="DA212" s="32">
        <v>85.2</v>
      </c>
      <c r="DB212" s="32">
        <v>120.3</v>
      </c>
      <c r="DC212" s="32">
        <v>18.8</v>
      </c>
      <c r="DD212" s="32">
        <v>18.8</v>
      </c>
      <c r="DE212" s="32">
        <v>71.400000000000006</v>
      </c>
      <c r="DF212" s="32">
        <v>70.5</v>
      </c>
      <c r="DG212" s="32">
        <v>76.3</v>
      </c>
      <c r="DH212" s="32">
        <v>96.3</v>
      </c>
      <c r="DI212" s="32">
        <v>135.69999999999999</v>
      </c>
      <c r="DJ212" s="32">
        <v>79.7</v>
      </c>
      <c r="DK212" s="32">
        <v>79.7</v>
      </c>
      <c r="DL212" s="32">
        <v>58.4</v>
      </c>
      <c r="DM212" s="32">
        <v>89.5</v>
      </c>
      <c r="DN212" s="32">
        <v>92.6</v>
      </c>
      <c r="DO212" s="32">
        <v>88.4</v>
      </c>
      <c r="DP212" s="32">
        <v>83.1</v>
      </c>
      <c r="DQ212" s="32">
        <v>82.2</v>
      </c>
      <c r="DR212" s="32">
        <v>80</v>
      </c>
      <c r="DS212" s="32">
        <v>83</v>
      </c>
      <c r="DT212" s="32">
        <v>79.7</v>
      </c>
      <c r="DU212" s="32">
        <v>81.7</v>
      </c>
      <c r="DV212" s="32">
        <v>94.7</v>
      </c>
      <c r="DW212" s="32">
        <v>68.599999999999994</v>
      </c>
      <c r="DX212" s="32">
        <v>75.5</v>
      </c>
      <c r="DY212" s="32">
        <v>95</v>
      </c>
      <c r="DZ212" s="32">
        <v>78.099999999999994</v>
      </c>
      <c r="EA212" s="32">
        <v>78.099999999999994</v>
      </c>
      <c r="EB212" s="32">
        <v>72.2</v>
      </c>
      <c r="EC212" s="32">
        <v>65.7</v>
      </c>
      <c r="ED212" s="32">
        <v>81.5</v>
      </c>
      <c r="EE212" s="32">
        <v>93</v>
      </c>
      <c r="EF212" s="32">
        <v>57.6</v>
      </c>
      <c r="EG212" s="32">
        <v>85.8</v>
      </c>
      <c r="EH212" s="32">
        <v>98.1</v>
      </c>
      <c r="EI212" s="32">
        <v>84.1</v>
      </c>
      <c r="EJ212" s="32">
        <v>100.3</v>
      </c>
      <c r="EK212" s="32">
        <v>78.3</v>
      </c>
      <c r="EL212" s="32">
        <v>86.4</v>
      </c>
      <c r="EM212" s="32">
        <v>70.400000000000006</v>
      </c>
      <c r="EN212" s="32">
        <v>82.1</v>
      </c>
      <c r="EO212" s="32">
        <v>90.1</v>
      </c>
      <c r="EP212" s="32">
        <v>87.5</v>
      </c>
      <c r="EQ212" s="32">
        <v>87.5</v>
      </c>
      <c r="ER212" s="32">
        <v>84.3</v>
      </c>
      <c r="ES212" s="32">
        <v>84.3</v>
      </c>
      <c r="ET212" s="32">
        <v>99.2</v>
      </c>
      <c r="EU212" s="32">
        <v>109.1</v>
      </c>
      <c r="EV212" s="32">
        <v>109.1</v>
      </c>
      <c r="EW212" s="32">
        <v>89.8</v>
      </c>
      <c r="EX212" s="32">
        <v>92.9</v>
      </c>
      <c r="EY212" s="32">
        <v>87.3</v>
      </c>
      <c r="EZ212" s="32">
        <v>97.9</v>
      </c>
      <c r="FA212" s="32">
        <v>107.3</v>
      </c>
      <c r="FB212" s="32">
        <v>120.6</v>
      </c>
      <c r="FC212" s="32">
        <v>96.3</v>
      </c>
      <c r="FD212" s="32">
        <v>101.5</v>
      </c>
      <c r="FE212" s="32">
        <v>174.4</v>
      </c>
      <c r="FF212" s="32">
        <v>92.3</v>
      </c>
      <c r="FG212" s="32">
        <v>87.7</v>
      </c>
      <c r="FH212" s="32">
        <v>90.4</v>
      </c>
      <c r="FI212" s="32">
        <v>99.5</v>
      </c>
      <c r="FJ212" s="32">
        <v>85.1</v>
      </c>
      <c r="FK212" s="32">
        <v>151.5</v>
      </c>
      <c r="FL212" s="32">
        <v>151.5</v>
      </c>
    </row>
    <row r="213" spans="1:168" x14ac:dyDescent="0.2">
      <c r="A213" s="34" t="s">
        <v>1193</v>
      </c>
      <c r="B213" s="32">
        <v>88.1</v>
      </c>
      <c r="C213" s="32">
        <v>116.1</v>
      </c>
      <c r="D213" s="32">
        <v>92.4</v>
      </c>
      <c r="E213" s="32">
        <v>93.8</v>
      </c>
      <c r="F213" s="32">
        <v>94.9</v>
      </c>
      <c r="G213" s="32">
        <v>2496.9</v>
      </c>
      <c r="H213" s="32">
        <v>94.2</v>
      </c>
      <c r="I213" s="32">
        <v>83.8</v>
      </c>
      <c r="J213" s="32">
        <v>96.5</v>
      </c>
      <c r="K213" s="32">
        <v>90</v>
      </c>
      <c r="L213" s="32">
        <v>89.6</v>
      </c>
      <c r="M213" s="32">
        <v>92.5</v>
      </c>
      <c r="N213" s="32">
        <v>77.400000000000006</v>
      </c>
      <c r="O213" s="32">
        <v>197.2</v>
      </c>
      <c r="P213" s="32">
        <v>190.9</v>
      </c>
      <c r="Q213" s="32">
        <v>93.6</v>
      </c>
      <c r="R213" s="32">
        <v>58.4</v>
      </c>
      <c r="S213" s="32">
        <v>98.8</v>
      </c>
      <c r="T213" s="32">
        <v>194.4</v>
      </c>
      <c r="U213" s="32">
        <v>85.7</v>
      </c>
      <c r="V213" s="32">
        <v>97.2</v>
      </c>
      <c r="W213" s="32">
        <v>78.3</v>
      </c>
      <c r="X213" s="32">
        <v>53.6</v>
      </c>
      <c r="Y213" s="32">
        <v>123.8</v>
      </c>
      <c r="Z213" s="32">
        <v>155.30000000000001</v>
      </c>
      <c r="AA213" s="32">
        <v>105.6</v>
      </c>
      <c r="AB213" s="32">
        <v>88</v>
      </c>
      <c r="AC213" s="32">
        <v>109.3</v>
      </c>
      <c r="AD213" s="32">
        <v>117</v>
      </c>
      <c r="AE213" s="32">
        <v>59.1</v>
      </c>
      <c r="AF213" s="32">
        <v>59.1</v>
      </c>
      <c r="AG213" s="32">
        <v>92.8</v>
      </c>
      <c r="AH213" s="32">
        <v>92.8</v>
      </c>
      <c r="AI213" s="32">
        <v>125.3</v>
      </c>
      <c r="AJ213" s="32">
        <v>90.1</v>
      </c>
      <c r="AK213" s="32">
        <v>112.3</v>
      </c>
      <c r="AL213" s="32">
        <v>88.4</v>
      </c>
      <c r="AM213" s="32">
        <v>70.099999999999994</v>
      </c>
      <c r="AN213" s="32">
        <v>168.3</v>
      </c>
      <c r="AO213" s="32">
        <v>82.2</v>
      </c>
      <c r="AP213" s="32">
        <v>82.2</v>
      </c>
      <c r="AQ213" s="32">
        <v>112.1</v>
      </c>
      <c r="AR213" s="32">
        <v>114.9</v>
      </c>
      <c r="AS213" s="32">
        <v>110.5</v>
      </c>
      <c r="AT213" s="32">
        <v>90.5</v>
      </c>
      <c r="AU213" s="32">
        <v>130.19999999999999</v>
      </c>
      <c r="AV213" s="32">
        <v>101.5</v>
      </c>
      <c r="AW213" s="32">
        <v>107.1</v>
      </c>
      <c r="AX213" s="32">
        <v>224.2</v>
      </c>
      <c r="AY213" s="32">
        <v>62.5</v>
      </c>
      <c r="AZ213" s="32">
        <v>103.6</v>
      </c>
      <c r="BA213" s="32">
        <v>93.8</v>
      </c>
      <c r="BB213" s="32">
        <v>93.8</v>
      </c>
      <c r="BC213" s="32">
        <v>117.8</v>
      </c>
      <c r="BD213" s="32">
        <v>117.8</v>
      </c>
      <c r="BE213" s="32">
        <v>108.2</v>
      </c>
      <c r="BF213" s="32">
        <v>108.2</v>
      </c>
      <c r="BG213" s="32">
        <v>103.4</v>
      </c>
      <c r="BH213" s="32">
        <v>123.5</v>
      </c>
      <c r="BI213" s="32">
        <v>80.900000000000006</v>
      </c>
      <c r="BJ213" s="32">
        <v>42.2</v>
      </c>
      <c r="BK213" s="32">
        <v>93.2</v>
      </c>
      <c r="BL213" s="32">
        <v>93</v>
      </c>
      <c r="BM213" s="32">
        <v>106</v>
      </c>
      <c r="BN213" s="32">
        <v>105.8</v>
      </c>
      <c r="BO213" s="32">
        <v>94.2</v>
      </c>
      <c r="BP213" s="32">
        <v>116.2</v>
      </c>
      <c r="BQ213" s="32">
        <v>106.7</v>
      </c>
      <c r="BR213" s="32">
        <v>138.4</v>
      </c>
      <c r="BS213" s="32">
        <v>145.30000000000001</v>
      </c>
      <c r="BT213" s="32">
        <v>91.7</v>
      </c>
      <c r="BU213" s="32">
        <v>95.2</v>
      </c>
      <c r="BV213" s="32">
        <v>95.2</v>
      </c>
      <c r="BW213" s="32">
        <v>119.8</v>
      </c>
      <c r="BX213" s="32">
        <v>45.9</v>
      </c>
      <c r="BY213" s="32">
        <v>84.1</v>
      </c>
      <c r="BZ213" s="32">
        <v>85.4</v>
      </c>
      <c r="CA213" s="32">
        <v>83.5</v>
      </c>
      <c r="CB213" s="32">
        <v>97.3</v>
      </c>
      <c r="CC213" s="32">
        <v>73</v>
      </c>
      <c r="CD213" s="32">
        <v>46.4</v>
      </c>
      <c r="CE213" s="32">
        <v>90.7</v>
      </c>
      <c r="CF213" s="32">
        <v>87.2</v>
      </c>
      <c r="CG213" s="32">
        <v>100.6</v>
      </c>
      <c r="CH213" s="32">
        <v>101.6</v>
      </c>
      <c r="CI213" s="32">
        <v>117.6</v>
      </c>
      <c r="CJ213" s="32">
        <v>100</v>
      </c>
      <c r="CK213" s="32">
        <v>100.2</v>
      </c>
      <c r="CL213" s="32">
        <v>99.7</v>
      </c>
      <c r="CM213" s="32">
        <v>116.2</v>
      </c>
      <c r="CN213" s="32">
        <v>156.6</v>
      </c>
      <c r="CO213" s="32">
        <v>105.4</v>
      </c>
      <c r="CP213" s="32">
        <v>157.1</v>
      </c>
      <c r="CQ213" s="32">
        <v>128.4</v>
      </c>
      <c r="CR213" s="32">
        <v>99.1</v>
      </c>
      <c r="CS213" s="32">
        <v>103.5</v>
      </c>
      <c r="CT213" s="32">
        <v>96.4</v>
      </c>
      <c r="CU213" s="32">
        <v>90.1</v>
      </c>
      <c r="CV213" s="32">
        <v>99.1</v>
      </c>
      <c r="CW213" s="32">
        <v>53</v>
      </c>
      <c r="CX213" s="32">
        <v>103.5</v>
      </c>
      <c r="CY213" s="32">
        <v>110.1</v>
      </c>
      <c r="CZ213" s="32">
        <v>99.7</v>
      </c>
      <c r="DA213" s="32">
        <v>88.3</v>
      </c>
      <c r="DB213" s="32">
        <v>122.6</v>
      </c>
      <c r="DC213" s="32">
        <v>19.399999999999999</v>
      </c>
      <c r="DD213" s="32">
        <v>19.399999999999999</v>
      </c>
      <c r="DE213" s="32">
        <v>72.8</v>
      </c>
      <c r="DF213" s="32">
        <v>72.8</v>
      </c>
      <c r="DG213" s="32">
        <v>72.2</v>
      </c>
      <c r="DH213" s="32">
        <v>95.9</v>
      </c>
      <c r="DI213" s="32">
        <v>133</v>
      </c>
      <c r="DJ213" s="32">
        <v>82.1</v>
      </c>
      <c r="DK213" s="32">
        <v>82.1</v>
      </c>
      <c r="DL213" s="32">
        <v>57.8</v>
      </c>
      <c r="DM213" s="32">
        <v>89.3</v>
      </c>
      <c r="DN213" s="32">
        <v>92.1</v>
      </c>
      <c r="DO213" s="32">
        <v>88.2</v>
      </c>
      <c r="DP213" s="32">
        <v>84.9</v>
      </c>
      <c r="DQ213" s="32">
        <v>81.8</v>
      </c>
      <c r="DR213" s="32">
        <v>79.8</v>
      </c>
      <c r="DS213" s="32">
        <v>82.1</v>
      </c>
      <c r="DT213" s="32">
        <v>78.5</v>
      </c>
      <c r="DU213" s="32">
        <v>79.900000000000006</v>
      </c>
      <c r="DV213" s="32">
        <v>91.3</v>
      </c>
      <c r="DW213" s="32">
        <v>68.3</v>
      </c>
      <c r="DX213" s="32">
        <v>75.599999999999994</v>
      </c>
      <c r="DY213" s="32">
        <v>94.9</v>
      </c>
      <c r="DZ213" s="32">
        <v>81.599999999999994</v>
      </c>
      <c r="EA213" s="32">
        <v>81.599999999999994</v>
      </c>
      <c r="EB213" s="32">
        <v>72.599999999999994</v>
      </c>
      <c r="EC213" s="32">
        <v>66.5</v>
      </c>
      <c r="ED213" s="32">
        <v>81.5</v>
      </c>
      <c r="EE213" s="32">
        <v>92.8</v>
      </c>
      <c r="EF213" s="32">
        <v>58</v>
      </c>
      <c r="EG213" s="32">
        <v>85.1</v>
      </c>
      <c r="EH213" s="32">
        <v>98.7</v>
      </c>
      <c r="EI213" s="32">
        <v>83.4</v>
      </c>
      <c r="EJ213" s="32">
        <v>100.8</v>
      </c>
      <c r="EK213" s="32">
        <v>77</v>
      </c>
      <c r="EL213" s="32">
        <v>85.2</v>
      </c>
      <c r="EM213" s="32">
        <v>67.3</v>
      </c>
      <c r="EN213" s="32">
        <v>81.900000000000006</v>
      </c>
      <c r="EO213" s="32">
        <v>90.1</v>
      </c>
      <c r="EP213" s="32">
        <v>87.2</v>
      </c>
      <c r="EQ213" s="32">
        <v>87.2</v>
      </c>
      <c r="ER213" s="32">
        <v>84.3</v>
      </c>
      <c r="ES213" s="32">
        <v>84.3</v>
      </c>
      <c r="ET213" s="32">
        <v>99.2</v>
      </c>
      <c r="EU213" s="32">
        <v>109.6</v>
      </c>
      <c r="EV213" s="32">
        <v>109.6</v>
      </c>
      <c r="EW213" s="32">
        <v>89</v>
      </c>
      <c r="EX213" s="32">
        <v>92.6</v>
      </c>
      <c r="EY213" s="32">
        <v>86.1</v>
      </c>
      <c r="EZ213" s="32">
        <v>97.6</v>
      </c>
      <c r="FA213" s="32">
        <v>105.9</v>
      </c>
      <c r="FB213" s="32">
        <v>117.8</v>
      </c>
      <c r="FC213" s="32">
        <v>92</v>
      </c>
      <c r="FD213" s="32">
        <v>99.5</v>
      </c>
      <c r="FE213" s="32">
        <v>174.1</v>
      </c>
      <c r="FF213" s="32">
        <v>92.4</v>
      </c>
      <c r="FG213" s="32">
        <v>88.7</v>
      </c>
      <c r="FH213" s="32">
        <v>90.9</v>
      </c>
      <c r="FI213" s="32">
        <v>108.9</v>
      </c>
      <c r="FJ213" s="32">
        <v>85.4</v>
      </c>
      <c r="FK213" s="32">
        <v>140.4</v>
      </c>
      <c r="FL213" s="32">
        <v>140.4</v>
      </c>
    </row>
    <row r="214" spans="1:168" x14ac:dyDescent="0.2">
      <c r="A214" s="34" t="s">
        <v>1194</v>
      </c>
      <c r="B214" s="32">
        <v>88.3</v>
      </c>
      <c r="C214" s="32">
        <v>115.7</v>
      </c>
      <c r="D214" s="32">
        <v>91.8</v>
      </c>
      <c r="E214" s="32">
        <v>93.6</v>
      </c>
      <c r="F214" s="32">
        <v>99.6</v>
      </c>
      <c r="G214" s="32">
        <v>3156.7</v>
      </c>
      <c r="H214" s="32">
        <v>98.9</v>
      </c>
      <c r="I214" s="32">
        <v>86.6</v>
      </c>
      <c r="J214" s="32">
        <v>95.1</v>
      </c>
      <c r="K214" s="32">
        <v>88.8</v>
      </c>
      <c r="L214" s="32">
        <v>87.6</v>
      </c>
      <c r="M214" s="32">
        <v>90.2</v>
      </c>
      <c r="N214" s="32">
        <v>75.8</v>
      </c>
      <c r="O214" s="32">
        <v>198.1</v>
      </c>
      <c r="P214" s="32">
        <v>195.6</v>
      </c>
      <c r="Q214" s="32">
        <v>95.1</v>
      </c>
      <c r="R214" s="32">
        <v>55.8</v>
      </c>
      <c r="S214" s="32">
        <v>94.2</v>
      </c>
      <c r="T214" s="32">
        <v>194.7</v>
      </c>
      <c r="U214" s="32">
        <v>87.9</v>
      </c>
      <c r="V214" s="32">
        <v>98.9</v>
      </c>
      <c r="W214" s="32">
        <v>85.9</v>
      </c>
      <c r="X214" s="32">
        <v>54.4</v>
      </c>
      <c r="Y214" s="32">
        <v>148.9</v>
      </c>
      <c r="Z214" s="32">
        <v>178.2</v>
      </c>
      <c r="AA214" s="32">
        <v>106</v>
      </c>
      <c r="AB214" s="32">
        <v>87.5</v>
      </c>
      <c r="AC214" s="32">
        <v>109.9</v>
      </c>
      <c r="AD214" s="32">
        <v>117.9</v>
      </c>
      <c r="AE214" s="32">
        <v>59.6</v>
      </c>
      <c r="AF214" s="32">
        <v>59.6</v>
      </c>
      <c r="AG214" s="32">
        <v>93.9</v>
      </c>
      <c r="AH214" s="32">
        <v>93.9</v>
      </c>
      <c r="AI214" s="32">
        <v>116.1</v>
      </c>
      <c r="AJ214" s="32">
        <v>94.5</v>
      </c>
      <c r="AK214" s="32">
        <v>101.6</v>
      </c>
      <c r="AL214" s="32">
        <v>90.2</v>
      </c>
      <c r="AM214" s="32">
        <v>73.599999999999994</v>
      </c>
      <c r="AN214" s="32">
        <v>167.3</v>
      </c>
      <c r="AO214" s="32">
        <v>77.3</v>
      </c>
      <c r="AP214" s="32">
        <v>77.3</v>
      </c>
      <c r="AQ214" s="32">
        <v>109.1</v>
      </c>
      <c r="AR214" s="32">
        <v>112.8</v>
      </c>
      <c r="AS214" s="32">
        <v>106</v>
      </c>
      <c r="AT214" s="32">
        <v>85.6</v>
      </c>
      <c r="AU214" s="32">
        <v>126.2</v>
      </c>
      <c r="AV214" s="32">
        <v>101.1</v>
      </c>
      <c r="AW214" s="32">
        <v>108.1</v>
      </c>
      <c r="AX214" s="32">
        <v>218.6</v>
      </c>
      <c r="AY214" s="32">
        <v>66.400000000000006</v>
      </c>
      <c r="AZ214" s="32">
        <v>102.8</v>
      </c>
      <c r="BA214" s="32">
        <v>86.5</v>
      </c>
      <c r="BB214" s="32">
        <v>86.5</v>
      </c>
      <c r="BC214" s="32">
        <v>115.7</v>
      </c>
      <c r="BD214" s="32">
        <v>115.7</v>
      </c>
      <c r="BE214" s="32">
        <v>108.3</v>
      </c>
      <c r="BF214" s="32">
        <v>108.3</v>
      </c>
      <c r="BG214" s="32">
        <v>101.1</v>
      </c>
      <c r="BH214" s="32">
        <v>118.7</v>
      </c>
      <c r="BI214" s="32">
        <v>81.3</v>
      </c>
      <c r="BJ214" s="32">
        <v>42.7</v>
      </c>
      <c r="BK214" s="32">
        <v>93.8</v>
      </c>
      <c r="BL214" s="32">
        <v>90.8</v>
      </c>
      <c r="BM214" s="32">
        <v>105.6</v>
      </c>
      <c r="BN214" s="32">
        <v>105</v>
      </c>
      <c r="BO214" s="32">
        <v>91.7</v>
      </c>
      <c r="BP214" s="32">
        <v>117.2</v>
      </c>
      <c r="BQ214" s="32">
        <v>106.7</v>
      </c>
      <c r="BR214" s="32">
        <v>130.6</v>
      </c>
      <c r="BS214" s="32">
        <v>154.80000000000001</v>
      </c>
      <c r="BT214" s="32">
        <v>90.3</v>
      </c>
      <c r="BU214" s="32">
        <v>98.7</v>
      </c>
      <c r="BV214" s="32">
        <v>98.7</v>
      </c>
      <c r="BW214" s="32">
        <v>122.5</v>
      </c>
      <c r="BX214" s="32">
        <v>49.3</v>
      </c>
      <c r="BY214" s="32">
        <v>83.6</v>
      </c>
      <c r="BZ214" s="32">
        <v>85.2</v>
      </c>
      <c r="CA214" s="32">
        <v>82.8</v>
      </c>
      <c r="CB214" s="32">
        <v>95.9</v>
      </c>
      <c r="CC214" s="32">
        <v>73</v>
      </c>
      <c r="CD214" s="32">
        <v>47.8</v>
      </c>
      <c r="CE214" s="32">
        <v>89.4</v>
      </c>
      <c r="CF214" s="32">
        <v>87.6</v>
      </c>
      <c r="CG214" s="32">
        <v>101.1</v>
      </c>
      <c r="CH214" s="32">
        <v>102</v>
      </c>
      <c r="CI214" s="32">
        <v>116.9</v>
      </c>
      <c r="CJ214" s="32">
        <v>101.1</v>
      </c>
      <c r="CK214" s="32">
        <v>100.3</v>
      </c>
      <c r="CL214" s="32">
        <v>100.8</v>
      </c>
      <c r="CM214" s="32">
        <v>118.6</v>
      </c>
      <c r="CN214" s="32">
        <v>161.6</v>
      </c>
      <c r="CO214" s="32">
        <v>107.3</v>
      </c>
      <c r="CP214" s="32">
        <v>156.30000000000001</v>
      </c>
      <c r="CQ214" s="32">
        <v>126.7</v>
      </c>
      <c r="CR214" s="32">
        <v>100.2</v>
      </c>
      <c r="CS214" s="32">
        <v>104.2</v>
      </c>
      <c r="CT214" s="32">
        <v>96.4</v>
      </c>
      <c r="CU214" s="32">
        <v>94.1</v>
      </c>
      <c r="CV214" s="32">
        <v>97.4</v>
      </c>
      <c r="CW214" s="32">
        <v>54.9</v>
      </c>
      <c r="CX214" s="32">
        <v>103.9</v>
      </c>
      <c r="CY214" s="32">
        <v>117</v>
      </c>
      <c r="CZ214" s="32">
        <v>97.1</v>
      </c>
      <c r="DA214" s="32">
        <v>84.5</v>
      </c>
      <c r="DB214" s="32">
        <v>122.5</v>
      </c>
      <c r="DC214" s="32">
        <v>20.2</v>
      </c>
      <c r="DD214" s="32">
        <v>20.2</v>
      </c>
      <c r="DE214" s="32">
        <v>76.7</v>
      </c>
      <c r="DF214" s="32">
        <v>75</v>
      </c>
      <c r="DG214" s="32">
        <v>85.1</v>
      </c>
      <c r="DH214" s="32">
        <v>95.9</v>
      </c>
      <c r="DI214" s="32">
        <v>131.19999999999999</v>
      </c>
      <c r="DJ214" s="32">
        <v>83.1</v>
      </c>
      <c r="DK214" s="32">
        <v>83.1</v>
      </c>
      <c r="DL214" s="32">
        <v>58.8</v>
      </c>
      <c r="DM214" s="32">
        <v>89.8</v>
      </c>
      <c r="DN214" s="32">
        <v>93.4</v>
      </c>
      <c r="DO214" s="32">
        <v>88.4</v>
      </c>
      <c r="DP214" s="32">
        <v>88</v>
      </c>
      <c r="DQ214" s="32">
        <v>82.3</v>
      </c>
      <c r="DR214" s="32">
        <v>79.5</v>
      </c>
      <c r="DS214" s="32">
        <v>82.6</v>
      </c>
      <c r="DT214" s="32">
        <v>78.900000000000006</v>
      </c>
      <c r="DU214" s="32">
        <v>80.099999999999994</v>
      </c>
      <c r="DV214" s="32">
        <v>93</v>
      </c>
      <c r="DW214" s="32">
        <v>67.099999999999994</v>
      </c>
      <c r="DX214" s="32">
        <v>76.3</v>
      </c>
      <c r="DY214" s="32">
        <v>96</v>
      </c>
      <c r="DZ214" s="32">
        <v>80</v>
      </c>
      <c r="EA214" s="32">
        <v>80</v>
      </c>
      <c r="EB214" s="32">
        <v>70.3</v>
      </c>
      <c r="EC214" s="32">
        <v>65.7</v>
      </c>
      <c r="ED214" s="32">
        <v>77</v>
      </c>
      <c r="EE214" s="32">
        <v>87</v>
      </c>
      <c r="EF214" s="32">
        <v>56.2</v>
      </c>
      <c r="EG214" s="32">
        <v>86.7</v>
      </c>
      <c r="EH214" s="32">
        <v>101.9</v>
      </c>
      <c r="EI214" s="32">
        <v>84.1</v>
      </c>
      <c r="EJ214" s="32">
        <v>103.3</v>
      </c>
      <c r="EK214" s="32">
        <v>78.400000000000006</v>
      </c>
      <c r="EL214" s="32">
        <v>87.2</v>
      </c>
      <c r="EM214" s="32">
        <v>67.599999999999994</v>
      </c>
      <c r="EN214" s="32">
        <v>84</v>
      </c>
      <c r="EO214" s="32">
        <v>89.9</v>
      </c>
      <c r="EP214" s="32">
        <v>87.2</v>
      </c>
      <c r="EQ214" s="32">
        <v>87.2</v>
      </c>
      <c r="ER214" s="32">
        <v>83.9</v>
      </c>
      <c r="ES214" s="32">
        <v>83.9</v>
      </c>
      <c r="ET214" s="32">
        <v>99</v>
      </c>
      <c r="EU214" s="32">
        <v>109.4</v>
      </c>
      <c r="EV214" s="32">
        <v>109.4</v>
      </c>
      <c r="EW214" s="32">
        <v>88.6</v>
      </c>
      <c r="EX214" s="32">
        <v>92.6</v>
      </c>
      <c r="EY214" s="32">
        <v>85.4</v>
      </c>
      <c r="EZ214" s="32">
        <v>97.3</v>
      </c>
      <c r="FA214" s="32">
        <v>104</v>
      </c>
      <c r="FB214" s="32">
        <v>115.9</v>
      </c>
      <c r="FC214" s="32">
        <v>89.1</v>
      </c>
      <c r="FD214" s="32">
        <v>100.2</v>
      </c>
      <c r="FE214" s="32">
        <v>172.5</v>
      </c>
      <c r="FF214" s="32">
        <v>90.7</v>
      </c>
      <c r="FG214" s="32">
        <v>90.4</v>
      </c>
      <c r="FH214" s="32">
        <v>90.3</v>
      </c>
      <c r="FI214" s="32">
        <v>124.1</v>
      </c>
      <c r="FJ214" s="32">
        <v>86.6</v>
      </c>
      <c r="FK214" s="32">
        <v>126.1</v>
      </c>
      <c r="FL214" s="32">
        <v>126.1</v>
      </c>
    </row>
    <row r="215" spans="1:168" x14ac:dyDescent="0.2">
      <c r="A215" s="34" t="s">
        <v>1195</v>
      </c>
      <c r="B215" s="32">
        <v>88.6</v>
      </c>
      <c r="C215" s="32">
        <v>115.8</v>
      </c>
      <c r="D215" s="32">
        <v>92.3</v>
      </c>
      <c r="E215" s="32">
        <v>93.9</v>
      </c>
      <c r="F215" s="32">
        <v>95.3</v>
      </c>
      <c r="G215" s="32">
        <v>3330.6</v>
      </c>
      <c r="H215" s="32">
        <v>93.6</v>
      </c>
      <c r="I215" s="32">
        <v>88.1</v>
      </c>
      <c r="J215" s="32">
        <v>96</v>
      </c>
      <c r="K215" s="32">
        <v>88.6</v>
      </c>
      <c r="L215" s="32">
        <v>87.7</v>
      </c>
      <c r="M215" s="32">
        <v>89.8</v>
      </c>
      <c r="N215" s="32">
        <v>77</v>
      </c>
      <c r="O215" s="32">
        <v>193.4</v>
      </c>
      <c r="P215" s="32">
        <v>193.2</v>
      </c>
      <c r="Q215" s="32">
        <v>97.5</v>
      </c>
      <c r="R215" s="32">
        <v>56</v>
      </c>
      <c r="S215" s="32">
        <v>94.4</v>
      </c>
      <c r="T215" s="32">
        <v>194.7</v>
      </c>
      <c r="U215" s="32">
        <v>86.3</v>
      </c>
      <c r="V215" s="32">
        <v>97.2</v>
      </c>
      <c r="W215" s="32">
        <v>76.7</v>
      </c>
      <c r="X215" s="32">
        <v>53.2</v>
      </c>
      <c r="Y215" s="32">
        <v>113.3</v>
      </c>
      <c r="Z215" s="32">
        <v>188.2</v>
      </c>
      <c r="AA215" s="32">
        <v>105.3</v>
      </c>
      <c r="AB215" s="32">
        <v>88</v>
      </c>
      <c r="AC215" s="32">
        <v>109.5</v>
      </c>
      <c r="AD215" s="32">
        <v>116.2</v>
      </c>
      <c r="AE215" s="32">
        <v>58.6</v>
      </c>
      <c r="AF215" s="32">
        <v>58.6</v>
      </c>
      <c r="AG215" s="32">
        <v>94.9</v>
      </c>
      <c r="AH215" s="32">
        <v>94.9</v>
      </c>
      <c r="AI215" s="32">
        <v>106.2</v>
      </c>
      <c r="AJ215" s="32">
        <v>100.5</v>
      </c>
      <c r="AK215" s="32">
        <v>99.7</v>
      </c>
      <c r="AL215" s="32">
        <v>91.1</v>
      </c>
      <c r="AM215" s="32">
        <v>74.7</v>
      </c>
      <c r="AN215" s="32">
        <v>171.2</v>
      </c>
      <c r="AO215" s="32">
        <v>80.8</v>
      </c>
      <c r="AP215" s="32">
        <v>80.8</v>
      </c>
      <c r="AQ215" s="32">
        <v>109.8</v>
      </c>
      <c r="AR215" s="32">
        <v>113.7</v>
      </c>
      <c r="AS215" s="32">
        <v>106.3</v>
      </c>
      <c r="AT215" s="32">
        <v>84.2</v>
      </c>
      <c r="AU215" s="32">
        <v>128.19999999999999</v>
      </c>
      <c r="AV215" s="32">
        <v>101.7</v>
      </c>
      <c r="AW215" s="32">
        <v>115.1</v>
      </c>
      <c r="AX215" s="32">
        <v>231.3</v>
      </c>
      <c r="AY215" s="32">
        <v>71.099999999999994</v>
      </c>
      <c r="AZ215" s="32">
        <v>101.9</v>
      </c>
      <c r="BA215" s="32">
        <v>85.9</v>
      </c>
      <c r="BB215" s="32">
        <v>85.9</v>
      </c>
      <c r="BC215" s="32">
        <v>120.7</v>
      </c>
      <c r="BD215" s="32">
        <v>120.7</v>
      </c>
      <c r="BE215" s="32">
        <v>109.1</v>
      </c>
      <c r="BF215" s="32">
        <v>109.1</v>
      </c>
      <c r="BG215" s="32">
        <v>106.2</v>
      </c>
      <c r="BH215" s="32">
        <v>127.4</v>
      </c>
      <c r="BI215" s="32">
        <v>82.5</v>
      </c>
      <c r="BJ215" s="32">
        <v>42.9</v>
      </c>
      <c r="BK215" s="32">
        <v>95.5</v>
      </c>
      <c r="BL215" s="32">
        <v>91.4</v>
      </c>
      <c r="BM215" s="32">
        <v>106.3</v>
      </c>
      <c r="BN215" s="32">
        <v>108.1</v>
      </c>
      <c r="BO215" s="32">
        <v>99</v>
      </c>
      <c r="BP215" s="32">
        <v>115.8</v>
      </c>
      <c r="BQ215" s="32">
        <v>104.9</v>
      </c>
      <c r="BR215" s="32">
        <v>119.5</v>
      </c>
      <c r="BS215" s="32">
        <v>149.80000000000001</v>
      </c>
      <c r="BT215" s="32">
        <v>90.6</v>
      </c>
      <c r="BU215" s="32">
        <v>100.6</v>
      </c>
      <c r="BV215" s="32">
        <v>100.6</v>
      </c>
      <c r="BW215" s="32">
        <v>123.3</v>
      </c>
      <c r="BX215" s="32">
        <v>52.2</v>
      </c>
      <c r="BY215" s="32">
        <v>83.3</v>
      </c>
      <c r="BZ215" s="32">
        <v>85.8</v>
      </c>
      <c r="CA215" s="32">
        <v>82</v>
      </c>
      <c r="CB215" s="32">
        <v>91.3</v>
      </c>
      <c r="CC215" s="32">
        <v>75.2</v>
      </c>
      <c r="CD215" s="32">
        <v>50.9</v>
      </c>
      <c r="CE215" s="32">
        <v>90.2</v>
      </c>
      <c r="CF215" s="32">
        <v>87.9</v>
      </c>
      <c r="CG215" s="32">
        <v>101.1</v>
      </c>
      <c r="CH215" s="32">
        <v>102.3</v>
      </c>
      <c r="CI215" s="32">
        <v>117.9</v>
      </c>
      <c r="CJ215" s="32">
        <v>100.5</v>
      </c>
      <c r="CK215" s="32">
        <v>101.1</v>
      </c>
      <c r="CL215" s="32">
        <v>101.1</v>
      </c>
      <c r="CM215" s="32">
        <v>119.6</v>
      </c>
      <c r="CN215" s="32">
        <v>168.9</v>
      </c>
      <c r="CO215" s="32">
        <v>107.3</v>
      </c>
      <c r="CP215" s="32">
        <v>155.80000000000001</v>
      </c>
      <c r="CQ215" s="32">
        <v>125.7</v>
      </c>
      <c r="CR215" s="32">
        <v>100.9</v>
      </c>
      <c r="CS215" s="32">
        <v>102.6</v>
      </c>
      <c r="CT215" s="32">
        <v>95.2</v>
      </c>
      <c r="CU215" s="32">
        <v>90.6</v>
      </c>
      <c r="CV215" s="32">
        <v>97.1</v>
      </c>
      <c r="CW215" s="32">
        <v>56</v>
      </c>
      <c r="CX215" s="32">
        <v>103.6</v>
      </c>
      <c r="CY215" s="32">
        <v>115.3</v>
      </c>
      <c r="CZ215" s="32">
        <v>97.4</v>
      </c>
      <c r="DA215" s="32">
        <v>83.8</v>
      </c>
      <c r="DB215" s="32">
        <v>124.8</v>
      </c>
      <c r="DC215" s="32">
        <v>21.2</v>
      </c>
      <c r="DD215" s="32">
        <v>21.2</v>
      </c>
      <c r="DE215" s="32">
        <v>77.400000000000006</v>
      </c>
      <c r="DF215" s="32">
        <v>75.2</v>
      </c>
      <c r="DG215" s="32">
        <v>89.3</v>
      </c>
      <c r="DH215" s="32">
        <v>95.8</v>
      </c>
      <c r="DI215" s="32">
        <v>131.1</v>
      </c>
      <c r="DJ215" s="32">
        <v>83.4</v>
      </c>
      <c r="DK215" s="32">
        <v>83.4</v>
      </c>
      <c r="DL215" s="32">
        <v>58.3</v>
      </c>
      <c r="DM215" s="32">
        <v>89.8</v>
      </c>
      <c r="DN215" s="32">
        <v>92.2</v>
      </c>
      <c r="DO215" s="32">
        <v>88.8</v>
      </c>
      <c r="DP215" s="32">
        <v>89</v>
      </c>
      <c r="DQ215" s="32">
        <v>83</v>
      </c>
      <c r="DR215" s="32">
        <v>80.5</v>
      </c>
      <c r="DS215" s="32">
        <v>83.7</v>
      </c>
      <c r="DT215" s="32">
        <v>80.7</v>
      </c>
      <c r="DU215" s="32">
        <v>82.2</v>
      </c>
      <c r="DV215" s="32">
        <v>93.9</v>
      </c>
      <c r="DW215" s="32">
        <v>70.2</v>
      </c>
      <c r="DX215" s="32">
        <v>77.599999999999994</v>
      </c>
      <c r="DY215" s="32">
        <v>94.8</v>
      </c>
      <c r="DZ215" s="32">
        <v>80.2</v>
      </c>
      <c r="EA215" s="32">
        <v>80.2</v>
      </c>
      <c r="EB215" s="32">
        <v>71.3</v>
      </c>
      <c r="EC215" s="32">
        <v>67.900000000000006</v>
      </c>
      <c r="ED215" s="32">
        <v>76.5</v>
      </c>
      <c r="EE215" s="32">
        <v>86</v>
      </c>
      <c r="EF215" s="32">
        <v>56.7</v>
      </c>
      <c r="EG215" s="32">
        <v>87</v>
      </c>
      <c r="EH215" s="32">
        <v>105.1</v>
      </c>
      <c r="EI215" s="32">
        <v>84.1</v>
      </c>
      <c r="EJ215" s="32">
        <v>101.8</v>
      </c>
      <c r="EK215" s="32">
        <v>78.2</v>
      </c>
      <c r="EL215" s="32">
        <v>86.8</v>
      </c>
      <c r="EM215" s="32">
        <v>68.099999999999994</v>
      </c>
      <c r="EN215" s="32">
        <v>83.2</v>
      </c>
      <c r="EO215" s="32">
        <v>90</v>
      </c>
      <c r="EP215" s="32">
        <v>87.3</v>
      </c>
      <c r="EQ215" s="32">
        <v>87.3</v>
      </c>
      <c r="ER215" s="32">
        <v>84</v>
      </c>
      <c r="ES215" s="32">
        <v>84</v>
      </c>
      <c r="ET215" s="32">
        <v>99.2</v>
      </c>
      <c r="EU215" s="32">
        <v>109.8</v>
      </c>
      <c r="EV215" s="32">
        <v>109.8</v>
      </c>
      <c r="EW215" s="32">
        <v>88.7</v>
      </c>
      <c r="EX215" s="32">
        <v>93</v>
      </c>
      <c r="EY215" s="32">
        <v>85.3</v>
      </c>
      <c r="EZ215" s="32">
        <v>96.3</v>
      </c>
      <c r="FA215" s="32">
        <v>103.8</v>
      </c>
      <c r="FB215" s="32">
        <v>113.8</v>
      </c>
      <c r="FC215" s="32">
        <v>86.1</v>
      </c>
      <c r="FD215" s="32">
        <v>103.4</v>
      </c>
      <c r="FE215" s="32">
        <v>169.3</v>
      </c>
      <c r="FF215" s="32">
        <v>92.6</v>
      </c>
      <c r="FG215" s="32">
        <v>89.5</v>
      </c>
      <c r="FH215" s="32">
        <v>89.5</v>
      </c>
      <c r="FI215" s="32">
        <v>123.9</v>
      </c>
      <c r="FJ215" s="32">
        <v>85.5</v>
      </c>
      <c r="FK215" s="32">
        <v>115.7</v>
      </c>
      <c r="FL215" s="32">
        <v>115.7</v>
      </c>
    </row>
    <row r="216" spans="1:168" x14ac:dyDescent="0.2">
      <c r="A216" s="34" t="s">
        <v>1196</v>
      </c>
      <c r="B216" s="32">
        <v>89.1</v>
      </c>
      <c r="C216" s="32">
        <v>119.3</v>
      </c>
      <c r="D216" s="32">
        <v>92.8</v>
      </c>
      <c r="E216" s="32">
        <v>94.8</v>
      </c>
      <c r="F216" s="32">
        <v>95.3</v>
      </c>
      <c r="G216" s="32">
        <v>2622.1</v>
      </c>
      <c r="H216" s="32">
        <v>93.3</v>
      </c>
      <c r="I216" s="32">
        <v>90.5</v>
      </c>
      <c r="J216" s="32">
        <v>96.8</v>
      </c>
      <c r="K216" s="32">
        <v>88.9</v>
      </c>
      <c r="L216" s="32">
        <v>88.3</v>
      </c>
      <c r="M216" s="32">
        <v>90.3</v>
      </c>
      <c r="N216" s="32">
        <v>74.8</v>
      </c>
      <c r="O216" s="32">
        <v>191.7</v>
      </c>
      <c r="P216" s="32">
        <v>197.1</v>
      </c>
      <c r="Q216" s="32">
        <v>100.9</v>
      </c>
      <c r="R216" s="32">
        <v>59.2</v>
      </c>
      <c r="S216" s="32">
        <v>93</v>
      </c>
      <c r="T216" s="32">
        <v>197.6</v>
      </c>
      <c r="U216" s="32">
        <v>85.6</v>
      </c>
      <c r="V216" s="32">
        <v>96.7</v>
      </c>
      <c r="W216" s="32">
        <v>75.599999999999994</v>
      </c>
      <c r="X216" s="32">
        <v>54</v>
      </c>
      <c r="Y216" s="32">
        <v>107.8</v>
      </c>
      <c r="Z216" s="32">
        <v>176.9</v>
      </c>
      <c r="AA216" s="32">
        <v>106.2</v>
      </c>
      <c r="AB216" s="32">
        <v>90.1</v>
      </c>
      <c r="AC216" s="32">
        <v>108.7</v>
      </c>
      <c r="AD216" s="32">
        <v>117.7</v>
      </c>
      <c r="AE216" s="32">
        <v>60.4</v>
      </c>
      <c r="AF216" s="32">
        <v>60.4</v>
      </c>
      <c r="AG216" s="32">
        <v>99</v>
      </c>
      <c r="AH216" s="32">
        <v>99</v>
      </c>
      <c r="AI216" s="32">
        <v>114.2</v>
      </c>
      <c r="AJ216" s="32">
        <v>104.8</v>
      </c>
      <c r="AK216" s="32">
        <v>117.7</v>
      </c>
      <c r="AL216" s="32">
        <v>93.8</v>
      </c>
      <c r="AM216" s="32">
        <v>75</v>
      </c>
      <c r="AN216" s="32">
        <v>181.7</v>
      </c>
      <c r="AO216" s="32">
        <v>82.8</v>
      </c>
      <c r="AP216" s="32">
        <v>82.8</v>
      </c>
      <c r="AQ216" s="32">
        <v>110.5</v>
      </c>
      <c r="AR216" s="32">
        <v>112.5</v>
      </c>
      <c r="AS216" s="32">
        <v>110.1</v>
      </c>
      <c r="AT216" s="32">
        <v>84.8</v>
      </c>
      <c r="AU216" s="32">
        <v>135.19999999999999</v>
      </c>
      <c r="AV216" s="32">
        <v>105.1</v>
      </c>
      <c r="AW216" s="32">
        <v>122.1</v>
      </c>
      <c r="AX216" s="32">
        <v>250.3</v>
      </c>
      <c r="AY216" s="32">
        <v>73.099999999999994</v>
      </c>
      <c r="AZ216" s="32">
        <v>104.5</v>
      </c>
      <c r="BA216" s="32">
        <v>85.4</v>
      </c>
      <c r="BB216" s="32">
        <v>85.4</v>
      </c>
      <c r="BC216" s="32">
        <v>118.7</v>
      </c>
      <c r="BD216" s="32">
        <v>118.7</v>
      </c>
      <c r="BE216" s="32">
        <v>108.1</v>
      </c>
      <c r="BF216" s="32">
        <v>108.1</v>
      </c>
      <c r="BG216" s="32">
        <v>105.3</v>
      </c>
      <c r="BH216" s="32">
        <v>125.1</v>
      </c>
      <c r="BI216" s="32">
        <v>83</v>
      </c>
      <c r="BJ216" s="32">
        <v>43</v>
      </c>
      <c r="BK216" s="32">
        <v>96.3</v>
      </c>
      <c r="BL216" s="32">
        <v>90.1</v>
      </c>
      <c r="BM216" s="32">
        <v>108.3</v>
      </c>
      <c r="BN216" s="32">
        <v>110.9</v>
      </c>
      <c r="BO216" s="32">
        <v>95.2</v>
      </c>
      <c r="BP216" s="32">
        <v>125.8</v>
      </c>
      <c r="BQ216" s="32">
        <v>106</v>
      </c>
      <c r="BR216" s="32">
        <v>115.7</v>
      </c>
      <c r="BS216" s="32">
        <v>144.1</v>
      </c>
      <c r="BT216" s="32">
        <v>94</v>
      </c>
      <c r="BU216" s="32">
        <v>103.4</v>
      </c>
      <c r="BV216" s="32">
        <v>103.4</v>
      </c>
      <c r="BW216" s="32">
        <v>123.7</v>
      </c>
      <c r="BX216" s="32">
        <v>56.8</v>
      </c>
      <c r="BY216" s="32">
        <v>83.8</v>
      </c>
      <c r="BZ216" s="32">
        <v>86.6</v>
      </c>
      <c r="CA216" s="32">
        <v>82.4</v>
      </c>
      <c r="CB216" s="32">
        <v>89.7</v>
      </c>
      <c r="CC216" s="32">
        <v>77.3</v>
      </c>
      <c r="CD216" s="32">
        <v>53.6</v>
      </c>
      <c r="CE216" s="32">
        <v>89.8</v>
      </c>
      <c r="CF216" s="32">
        <v>88.3</v>
      </c>
      <c r="CG216" s="32">
        <v>101.1</v>
      </c>
      <c r="CH216" s="32">
        <v>102.7</v>
      </c>
      <c r="CI216" s="32">
        <v>118.6</v>
      </c>
      <c r="CJ216" s="32">
        <v>101.3</v>
      </c>
      <c r="CK216" s="32">
        <v>101</v>
      </c>
      <c r="CL216" s="32">
        <v>101.4</v>
      </c>
      <c r="CM216" s="32">
        <v>119.6</v>
      </c>
      <c r="CN216" s="32">
        <v>172.8</v>
      </c>
      <c r="CO216" s="32">
        <v>106.7</v>
      </c>
      <c r="CP216" s="32">
        <v>155.19999999999999</v>
      </c>
      <c r="CQ216" s="32">
        <v>122.4</v>
      </c>
      <c r="CR216" s="32">
        <v>103.4</v>
      </c>
      <c r="CS216" s="32">
        <v>100.9</v>
      </c>
      <c r="CT216" s="32">
        <v>93.4</v>
      </c>
      <c r="CU216" s="32">
        <v>89.1</v>
      </c>
      <c r="CV216" s="32">
        <v>95.2</v>
      </c>
      <c r="CW216" s="32">
        <v>56.3</v>
      </c>
      <c r="CX216" s="32">
        <v>104.5</v>
      </c>
      <c r="CY216" s="32">
        <v>113</v>
      </c>
      <c r="CZ216" s="32">
        <v>99.9</v>
      </c>
      <c r="DA216" s="32">
        <v>87</v>
      </c>
      <c r="DB216" s="32">
        <v>125.8</v>
      </c>
      <c r="DC216" s="32">
        <v>21.6</v>
      </c>
      <c r="DD216" s="32">
        <v>21.6</v>
      </c>
      <c r="DE216" s="32">
        <v>77</v>
      </c>
      <c r="DF216" s="32">
        <v>74.900000000000006</v>
      </c>
      <c r="DG216" s="32">
        <v>87.9</v>
      </c>
      <c r="DH216" s="32">
        <v>97.5</v>
      </c>
      <c r="DI216" s="32">
        <v>132.5</v>
      </c>
      <c r="DJ216" s="32">
        <v>84.5</v>
      </c>
      <c r="DK216" s="32">
        <v>84.5</v>
      </c>
      <c r="DL216" s="32">
        <v>60.6</v>
      </c>
      <c r="DM216" s="32">
        <v>89.8</v>
      </c>
      <c r="DN216" s="32">
        <v>92.5</v>
      </c>
      <c r="DO216" s="32">
        <v>88.6</v>
      </c>
      <c r="DP216" s="32">
        <v>90.1</v>
      </c>
      <c r="DQ216" s="32">
        <v>84.2</v>
      </c>
      <c r="DR216" s="32">
        <v>81.7</v>
      </c>
      <c r="DS216" s="32">
        <v>84.7</v>
      </c>
      <c r="DT216" s="32">
        <v>80.7</v>
      </c>
      <c r="DU216" s="32">
        <v>82</v>
      </c>
      <c r="DV216" s="32">
        <v>93.9</v>
      </c>
      <c r="DW216" s="32">
        <v>69.8</v>
      </c>
      <c r="DX216" s="32">
        <v>78.099999999999994</v>
      </c>
      <c r="DY216" s="32">
        <v>98.9</v>
      </c>
      <c r="DZ216" s="32">
        <v>82.5</v>
      </c>
      <c r="EA216" s="32">
        <v>82.5</v>
      </c>
      <c r="EB216" s="32">
        <v>72.8</v>
      </c>
      <c r="EC216" s="32">
        <v>69.400000000000006</v>
      </c>
      <c r="ED216" s="32">
        <v>78</v>
      </c>
      <c r="EE216" s="32">
        <v>87.8</v>
      </c>
      <c r="EF216" s="32">
        <v>57.5</v>
      </c>
      <c r="EG216" s="32">
        <v>88.1</v>
      </c>
      <c r="EH216" s="32">
        <v>107.1</v>
      </c>
      <c r="EI216" s="32">
        <v>85.6</v>
      </c>
      <c r="EJ216" s="32">
        <v>105.8</v>
      </c>
      <c r="EK216" s="32">
        <v>78</v>
      </c>
      <c r="EL216" s="32">
        <v>87.4</v>
      </c>
      <c r="EM216" s="32">
        <v>61.7</v>
      </c>
      <c r="EN216" s="32">
        <v>87.1</v>
      </c>
      <c r="EO216" s="32">
        <v>90</v>
      </c>
      <c r="EP216" s="32">
        <v>86.9</v>
      </c>
      <c r="EQ216" s="32">
        <v>86.9</v>
      </c>
      <c r="ER216" s="32">
        <v>83.9</v>
      </c>
      <c r="ES216" s="32">
        <v>83.9</v>
      </c>
      <c r="ET216" s="32">
        <v>99.8</v>
      </c>
      <c r="EU216" s="32">
        <v>110.4</v>
      </c>
      <c r="EV216" s="32">
        <v>110.4</v>
      </c>
      <c r="EW216" s="32">
        <v>89.1</v>
      </c>
      <c r="EX216" s="32">
        <v>93.6</v>
      </c>
      <c r="EY216" s="32">
        <v>85.5</v>
      </c>
      <c r="EZ216" s="32">
        <v>96.1</v>
      </c>
      <c r="FA216" s="32">
        <v>102.7</v>
      </c>
      <c r="FB216" s="32">
        <v>113.8</v>
      </c>
      <c r="FC216" s="32">
        <v>87.2</v>
      </c>
      <c r="FD216" s="32">
        <v>105.6</v>
      </c>
      <c r="FE216" s="32">
        <v>165.9</v>
      </c>
      <c r="FF216" s="32">
        <v>90.3</v>
      </c>
      <c r="FG216" s="32">
        <v>89.6</v>
      </c>
      <c r="FH216" s="32">
        <v>88.6</v>
      </c>
      <c r="FI216" s="32">
        <v>120.8</v>
      </c>
      <c r="FJ216" s="32">
        <v>86.5</v>
      </c>
      <c r="FK216" s="32">
        <v>119.4</v>
      </c>
      <c r="FL216" s="32">
        <v>119.4</v>
      </c>
    </row>
    <row r="217" spans="1:168" x14ac:dyDescent="0.2">
      <c r="A217" s="34" t="s">
        <v>1197</v>
      </c>
      <c r="B217" s="32">
        <v>89</v>
      </c>
      <c r="C217" s="32">
        <v>120</v>
      </c>
      <c r="D217" s="32">
        <v>92.8</v>
      </c>
      <c r="E217" s="32">
        <v>94.2</v>
      </c>
      <c r="F217" s="32">
        <v>91.9</v>
      </c>
      <c r="G217" s="32">
        <v>3221.5</v>
      </c>
      <c r="H217" s="32">
        <v>88.6</v>
      </c>
      <c r="I217" s="32">
        <v>93.3</v>
      </c>
      <c r="J217" s="32">
        <v>96.2</v>
      </c>
      <c r="K217" s="32">
        <v>88.2</v>
      </c>
      <c r="L217" s="32">
        <v>87.5</v>
      </c>
      <c r="M217" s="32">
        <v>89</v>
      </c>
      <c r="N217" s="32">
        <v>74.5</v>
      </c>
      <c r="O217" s="32">
        <v>185.5</v>
      </c>
      <c r="P217" s="32">
        <v>193.5</v>
      </c>
      <c r="Q217" s="32">
        <v>101.3</v>
      </c>
      <c r="R217" s="32">
        <v>60.1</v>
      </c>
      <c r="S217" s="32">
        <v>91.3</v>
      </c>
      <c r="T217" s="32">
        <v>195.2</v>
      </c>
      <c r="U217" s="32">
        <v>84.7</v>
      </c>
      <c r="V217" s="32">
        <v>96.3</v>
      </c>
      <c r="W217" s="32">
        <v>77.7</v>
      </c>
      <c r="X217" s="32">
        <v>55.5</v>
      </c>
      <c r="Y217" s="32">
        <v>111.9</v>
      </c>
      <c r="Z217" s="32">
        <v>175.6</v>
      </c>
      <c r="AA217" s="32">
        <v>107.7</v>
      </c>
      <c r="AB217" s="32">
        <v>88.5</v>
      </c>
      <c r="AC217" s="32">
        <v>112.2</v>
      </c>
      <c r="AD217" s="32">
        <v>119.5</v>
      </c>
      <c r="AE217" s="32">
        <v>63.8</v>
      </c>
      <c r="AF217" s="32">
        <v>63.8</v>
      </c>
      <c r="AG217" s="32">
        <v>98.7</v>
      </c>
      <c r="AH217" s="32">
        <v>98.7</v>
      </c>
      <c r="AI217" s="32">
        <v>105.6</v>
      </c>
      <c r="AJ217" s="32">
        <v>116</v>
      </c>
      <c r="AK217" s="32">
        <v>113.6</v>
      </c>
      <c r="AL217" s="32">
        <v>92.4</v>
      </c>
      <c r="AM217" s="32">
        <v>74.900000000000006</v>
      </c>
      <c r="AN217" s="32">
        <v>172.2</v>
      </c>
      <c r="AO217" s="32">
        <v>80.400000000000006</v>
      </c>
      <c r="AP217" s="32">
        <v>80.400000000000006</v>
      </c>
      <c r="AQ217" s="32">
        <v>110.7</v>
      </c>
      <c r="AR217" s="32">
        <v>113.6</v>
      </c>
      <c r="AS217" s="32">
        <v>109</v>
      </c>
      <c r="AT217" s="32">
        <v>84.5</v>
      </c>
      <c r="AU217" s="32">
        <v>133.1</v>
      </c>
      <c r="AV217" s="32">
        <v>105.9</v>
      </c>
      <c r="AW217" s="32">
        <v>133.5</v>
      </c>
      <c r="AX217" s="32">
        <v>284.2</v>
      </c>
      <c r="AY217" s="32">
        <v>75.099999999999994</v>
      </c>
      <c r="AZ217" s="32">
        <v>102.7</v>
      </c>
      <c r="BA217" s="32">
        <v>86.1</v>
      </c>
      <c r="BB217" s="32">
        <v>86.1</v>
      </c>
      <c r="BC217" s="32">
        <v>112.4</v>
      </c>
      <c r="BD217" s="32">
        <v>112.4</v>
      </c>
      <c r="BE217" s="32">
        <v>105</v>
      </c>
      <c r="BF217" s="32">
        <v>105</v>
      </c>
      <c r="BG217" s="32">
        <v>100.8</v>
      </c>
      <c r="BH217" s="32">
        <v>116.4</v>
      </c>
      <c r="BI217" s="32">
        <v>83.1</v>
      </c>
      <c r="BJ217" s="32">
        <v>42.5</v>
      </c>
      <c r="BK217" s="32">
        <v>96.2</v>
      </c>
      <c r="BL217" s="32">
        <v>94.1</v>
      </c>
      <c r="BM217" s="32">
        <v>112</v>
      </c>
      <c r="BN217" s="32">
        <v>110.3</v>
      </c>
      <c r="BO217" s="32">
        <v>97.8</v>
      </c>
      <c r="BP217" s="32">
        <v>121.6</v>
      </c>
      <c r="BQ217" s="32">
        <v>114.4</v>
      </c>
      <c r="BR217" s="32">
        <v>157.6</v>
      </c>
      <c r="BS217" s="32">
        <v>151.5</v>
      </c>
      <c r="BT217" s="32">
        <v>98</v>
      </c>
      <c r="BU217" s="32">
        <v>104.8</v>
      </c>
      <c r="BV217" s="32">
        <v>104.8</v>
      </c>
      <c r="BW217" s="32">
        <v>122.8</v>
      </c>
      <c r="BX217" s="32">
        <v>60.4</v>
      </c>
      <c r="BY217" s="32">
        <v>84</v>
      </c>
      <c r="BZ217" s="32">
        <v>85</v>
      </c>
      <c r="CA217" s="32">
        <v>83.5</v>
      </c>
      <c r="CB217" s="32">
        <v>90.8</v>
      </c>
      <c r="CC217" s="32">
        <v>78.400000000000006</v>
      </c>
      <c r="CD217" s="32">
        <v>55.5</v>
      </c>
      <c r="CE217" s="32">
        <v>91.3</v>
      </c>
      <c r="CF217" s="32">
        <v>88.2</v>
      </c>
      <c r="CG217" s="32">
        <v>101.1</v>
      </c>
      <c r="CH217" s="32">
        <v>103</v>
      </c>
      <c r="CI217" s="32">
        <v>120</v>
      </c>
      <c r="CJ217" s="32">
        <v>102</v>
      </c>
      <c r="CK217" s="32">
        <v>100.9</v>
      </c>
      <c r="CL217" s="32">
        <v>100.6</v>
      </c>
      <c r="CM217" s="32">
        <v>119</v>
      </c>
      <c r="CN217" s="32">
        <v>174.9</v>
      </c>
      <c r="CO217" s="32">
        <v>105.6</v>
      </c>
      <c r="CP217" s="32">
        <v>156.1</v>
      </c>
      <c r="CQ217" s="32">
        <v>122.4</v>
      </c>
      <c r="CR217" s="32">
        <v>102.8</v>
      </c>
      <c r="CS217" s="32">
        <v>98.1</v>
      </c>
      <c r="CT217" s="32">
        <v>93.5</v>
      </c>
      <c r="CU217" s="32">
        <v>90</v>
      </c>
      <c r="CV217" s="32">
        <v>95</v>
      </c>
      <c r="CW217" s="32">
        <v>56.1</v>
      </c>
      <c r="CX217" s="32">
        <v>102</v>
      </c>
      <c r="CY217" s="32">
        <v>111.6</v>
      </c>
      <c r="CZ217" s="32">
        <v>96.8</v>
      </c>
      <c r="DA217" s="32">
        <v>84.6</v>
      </c>
      <c r="DB217" s="32">
        <v>121.4</v>
      </c>
      <c r="DC217" s="32">
        <v>22</v>
      </c>
      <c r="DD217" s="32">
        <v>22</v>
      </c>
      <c r="DE217" s="32">
        <v>76</v>
      </c>
      <c r="DF217" s="32">
        <v>74.8</v>
      </c>
      <c r="DG217" s="32">
        <v>82.5</v>
      </c>
      <c r="DH217" s="32">
        <v>96.4</v>
      </c>
      <c r="DI217" s="32">
        <v>130.69999999999999</v>
      </c>
      <c r="DJ217" s="32">
        <v>84.5</v>
      </c>
      <c r="DK217" s="32">
        <v>84.5</v>
      </c>
      <c r="DL217" s="32">
        <v>59.5</v>
      </c>
      <c r="DM217" s="32">
        <v>90</v>
      </c>
      <c r="DN217" s="32">
        <v>92.7</v>
      </c>
      <c r="DO217" s="32">
        <v>88.9</v>
      </c>
      <c r="DP217" s="32">
        <v>88.9</v>
      </c>
      <c r="DQ217" s="32">
        <v>84.1</v>
      </c>
      <c r="DR217" s="32">
        <v>82</v>
      </c>
      <c r="DS217" s="32">
        <v>84.9</v>
      </c>
      <c r="DT217" s="32">
        <v>81.099999999999994</v>
      </c>
      <c r="DU217" s="32">
        <v>82.5</v>
      </c>
      <c r="DV217" s="32">
        <v>95.5</v>
      </c>
      <c r="DW217" s="32">
        <v>69.400000000000006</v>
      </c>
      <c r="DX217" s="32">
        <v>78.099999999999994</v>
      </c>
      <c r="DY217" s="32">
        <v>98.8</v>
      </c>
      <c r="DZ217" s="32">
        <v>85.8</v>
      </c>
      <c r="EA217" s="32">
        <v>85.8</v>
      </c>
      <c r="EB217" s="32">
        <v>72.099999999999994</v>
      </c>
      <c r="EC217" s="32">
        <v>69.8</v>
      </c>
      <c r="ED217" s="32">
        <v>75.7</v>
      </c>
      <c r="EE217" s="32">
        <v>85.3</v>
      </c>
      <c r="EF217" s="32">
        <v>56</v>
      </c>
      <c r="EG217" s="32">
        <v>87.6</v>
      </c>
      <c r="EH217" s="32">
        <v>107.4</v>
      </c>
      <c r="EI217" s="32">
        <v>83.1</v>
      </c>
      <c r="EJ217" s="32">
        <v>107.4</v>
      </c>
      <c r="EK217" s="32">
        <v>78.099999999999994</v>
      </c>
      <c r="EL217" s="32">
        <v>86.8</v>
      </c>
      <c r="EM217" s="32">
        <v>65.7</v>
      </c>
      <c r="EN217" s="32">
        <v>84.7</v>
      </c>
      <c r="EO217" s="32">
        <v>90.2</v>
      </c>
      <c r="EP217" s="32">
        <v>87</v>
      </c>
      <c r="EQ217" s="32">
        <v>87</v>
      </c>
      <c r="ER217" s="32">
        <v>84.2</v>
      </c>
      <c r="ES217" s="32">
        <v>84.2</v>
      </c>
      <c r="ET217" s="32">
        <v>99.8</v>
      </c>
      <c r="EU217" s="32">
        <v>110.3</v>
      </c>
      <c r="EV217" s="32">
        <v>110.3</v>
      </c>
      <c r="EW217" s="32">
        <v>89.4</v>
      </c>
      <c r="EX217" s="32">
        <v>94</v>
      </c>
      <c r="EY217" s="32">
        <v>85.7</v>
      </c>
      <c r="EZ217" s="32">
        <v>96</v>
      </c>
      <c r="FA217" s="32">
        <v>103</v>
      </c>
      <c r="FB217" s="32">
        <v>112.9</v>
      </c>
      <c r="FC217" s="32">
        <v>88.2</v>
      </c>
      <c r="FD217" s="32">
        <v>101</v>
      </c>
      <c r="FE217" s="32">
        <v>163.69999999999999</v>
      </c>
      <c r="FF217" s="32">
        <v>91.9</v>
      </c>
      <c r="FG217" s="32">
        <v>88.9</v>
      </c>
      <c r="FH217" s="32">
        <v>86.6</v>
      </c>
      <c r="FI217" s="32">
        <v>114.9</v>
      </c>
      <c r="FJ217" s="32">
        <v>86.9</v>
      </c>
      <c r="FK217" s="32">
        <v>127</v>
      </c>
      <c r="FL217" s="32">
        <v>127</v>
      </c>
    </row>
    <row r="218" spans="1:168" x14ac:dyDescent="0.2">
      <c r="A218" s="34" t="s">
        <v>1198</v>
      </c>
      <c r="B218" s="32">
        <v>89.2</v>
      </c>
      <c r="C218" s="32">
        <v>120.2</v>
      </c>
      <c r="D218" s="32">
        <v>93.3</v>
      </c>
      <c r="E218" s="32">
        <v>95</v>
      </c>
      <c r="F218" s="32">
        <v>98</v>
      </c>
      <c r="G218" s="32">
        <v>3594.2</v>
      </c>
      <c r="H218" s="32">
        <v>94.8</v>
      </c>
      <c r="I218" s="32">
        <v>97.6</v>
      </c>
      <c r="J218" s="32">
        <v>96.4</v>
      </c>
      <c r="K218" s="32">
        <v>87.2</v>
      </c>
      <c r="L218" s="32">
        <v>86.4</v>
      </c>
      <c r="M218" s="32">
        <v>84.1</v>
      </c>
      <c r="N218" s="32">
        <v>75.8</v>
      </c>
      <c r="O218" s="32">
        <v>194.4</v>
      </c>
      <c r="P218" s="32">
        <v>193.6</v>
      </c>
      <c r="Q218" s="32">
        <v>93.5</v>
      </c>
      <c r="R218" s="32">
        <v>62.1</v>
      </c>
      <c r="S218" s="32">
        <v>90.4</v>
      </c>
      <c r="T218" s="32">
        <v>194.5</v>
      </c>
      <c r="U218" s="32">
        <v>79.8</v>
      </c>
      <c r="V218" s="32">
        <v>96.9</v>
      </c>
      <c r="W218" s="32">
        <v>79.7</v>
      </c>
      <c r="X218" s="32">
        <v>57.6</v>
      </c>
      <c r="Y218" s="32">
        <v>113</v>
      </c>
      <c r="Z218" s="32">
        <v>176.8</v>
      </c>
      <c r="AA218" s="32">
        <v>106.6</v>
      </c>
      <c r="AB218" s="32">
        <v>90.5</v>
      </c>
      <c r="AC218" s="32">
        <v>105.4</v>
      </c>
      <c r="AD218" s="32">
        <v>121.2</v>
      </c>
      <c r="AE218" s="32">
        <v>66.900000000000006</v>
      </c>
      <c r="AF218" s="32">
        <v>66.900000000000006</v>
      </c>
      <c r="AG218" s="32">
        <v>102.9</v>
      </c>
      <c r="AH218" s="32">
        <v>102.9</v>
      </c>
      <c r="AI218" s="32">
        <v>111.7</v>
      </c>
      <c r="AJ218" s="32">
        <v>129.5</v>
      </c>
      <c r="AK218" s="32">
        <v>120.2</v>
      </c>
      <c r="AL218" s="32">
        <v>94.7</v>
      </c>
      <c r="AM218" s="32">
        <v>75.3</v>
      </c>
      <c r="AN218" s="32">
        <v>175.4</v>
      </c>
      <c r="AO218" s="32">
        <v>78.2</v>
      </c>
      <c r="AP218" s="32">
        <v>78.2</v>
      </c>
      <c r="AQ218" s="32">
        <v>108.9</v>
      </c>
      <c r="AR218" s="32">
        <v>110.8</v>
      </c>
      <c r="AS218" s="32">
        <v>108.6</v>
      </c>
      <c r="AT218" s="32">
        <v>86.2</v>
      </c>
      <c r="AU218" s="32">
        <v>130.69999999999999</v>
      </c>
      <c r="AV218" s="32">
        <v>105.5</v>
      </c>
      <c r="AW218" s="32">
        <v>132.1</v>
      </c>
      <c r="AX218" s="32">
        <v>254.8</v>
      </c>
      <c r="AY218" s="32">
        <v>85.9</v>
      </c>
      <c r="AZ218" s="32">
        <v>102.7</v>
      </c>
      <c r="BA218" s="32">
        <v>90.8</v>
      </c>
      <c r="BB218" s="32">
        <v>90.8</v>
      </c>
      <c r="BC218" s="32">
        <v>114.1</v>
      </c>
      <c r="BD218" s="32">
        <v>114.1</v>
      </c>
      <c r="BE218" s="32">
        <v>105.4</v>
      </c>
      <c r="BF218" s="32">
        <v>105.4</v>
      </c>
      <c r="BG218" s="32">
        <v>103.8</v>
      </c>
      <c r="BH218" s="32">
        <v>123.4</v>
      </c>
      <c r="BI218" s="32">
        <v>81.8</v>
      </c>
      <c r="BJ218" s="32">
        <v>41.6</v>
      </c>
      <c r="BK218" s="32">
        <v>94.9</v>
      </c>
      <c r="BL218" s="32">
        <v>91.9</v>
      </c>
      <c r="BM218" s="32">
        <v>105.4</v>
      </c>
      <c r="BN218" s="32">
        <v>108.6</v>
      </c>
      <c r="BO218" s="32">
        <v>95.4</v>
      </c>
      <c r="BP218" s="32">
        <v>120.8</v>
      </c>
      <c r="BQ218" s="32">
        <v>102.5</v>
      </c>
      <c r="BR218" s="32">
        <v>122.9</v>
      </c>
      <c r="BS218" s="32">
        <v>126</v>
      </c>
      <c r="BT218" s="32">
        <v>92.8</v>
      </c>
      <c r="BU218" s="32">
        <v>103.7</v>
      </c>
      <c r="BV218" s="32">
        <v>103.7</v>
      </c>
      <c r="BW218" s="32">
        <v>124.6</v>
      </c>
      <c r="BX218" s="32">
        <v>56.4</v>
      </c>
      <c r="BY218" s="32">
        <v>86.2</v>
      </c>
      <c r="BZ218" s="32">
        <v>84.5</v>
      </c>
      <c r="CA218" s="32">
        <v>87</v>
      </c>
      <c r="CB218" s="32">
        <v>95.2</v>
      </c>
      <c r="CC218" s="32">
        <v>80.900000000000006</v>
      </c>
      <c r="CD218" s="32">
        <v>59.3</v>
      </c>
      <c r="CE218" s="32">
        <v>91.1</v>
      </c>
      <c r="CF218" s="32">
        <v>88.4</v>
      </c>
      <c r="CG218" s="32">
        <v>101.4</v>
      </c>
      <c r="CH218" s="32">
        <v>103.5</v>
      </c>
      <c r="CI218" s="32">
        <v>121</v>
      </c>
      <c r="CJ218" s="32">
        <v>103.3</v>
      </c>
      <c r="CK218" s="32">
        <v>100.7</v>
      </c>
      <c r="CL218" s="32">
        <v>100.6</v>
      </c>
      <c r="CM218" s="32">
        <v>118.9</v>
      </c>
      <c r="CN218" s="32">
        <v>177.1</v>
      </c>
      <c r="CO218" s="32">
        <v>105.2</v>
      </c>
      <c r="CP218" s="32">
        <v>157.80000000000001</v>
      </c>
      <c r="CQ218" s="32">
        <v>118.9</v>
      </c>
      <c r="CR218" s="32">
        <v>103.6</v>
      </c>
      <c r="CS218" s="32">
        <v>97.4</v>
      </c>
      <c r="CT218" s="32">
        <v>93.5</v>
      </c>
      <c r="CU218" s="32">
        <v>89.7</v>
      </c>
      <c r="CV218" s="32">
        <v>95.2</v>
      </c>
      <c r="CW218" s="32">
        <v>56.4</v>
      </c>
      <c r="CX218" s="32">
        <v>101.8</v>
      </c>
      <c r="CY218" s="32">
        <v>113.4</v>
      </c>
      <c r="CZ218" s="32">
        <v>95.7</v>
      </c>
      <c r="DA218" s="32">
        <v>83.9</v>
      </c>
      <c r="DB218" s="32">
        <v>119.4</v>
      </c>
      <c r="DC218" s="32">
        <v>22.7</v>
      </c>
      <c r="DD218" s="32">
        <v>22.7</v>
      </c>
      <c r="DE218" s="32">
        <v>75.2</v>
      </c>
      <c r="DF218" s="32">
        <v>73.900000000000006</v>
      </c>
      <c r="DG218" s="32">
        <v>81.3</v>
      </c>
      <c r="DH218" s="32">
        <v>96.5</v>
      </c>
      <c r="DI218" s="32">
        <v>132.4</v>
      </c>
      <c r="DJ218" s="32">
        <v>84.2</v>
      </c>
      <c r="DK218" s="32">
        <v>84.2</v>
      </c>
      <c r="DL218" s="32">
        <v>58.2</v>
      </c>
      <c r="DM218" s="32">
        <v>90.1</v>
      </c>
      <c r="DN218" s="32">
        <v>92.9</v>
      </c>
      <c r="DO218" s="32">
        <v>88.9</v>
      </c>
      <c r="DP218" s="32">
        <v>90.1</v>
      </c>
      <c r="DQ218" s="32">
        <v>83.8</v>
      </c>
      <c r="DR218" s="32">
        <v>81.3</v>
      </c>
      <c r="DS218" s="32">
        <v>84</v>
      </c>
      <c r="DT218" s="32">
        <v>80.8</v>
      </c>
      <c r="DU218" s="32">
        <v>82.1</v>
      </c>
      <c r="DV218" s="32">
        <v>94.6</v>
      </c>
      <c r="DW218" s="32">
        <v>69.5</v>
      </c>
      <c r="DX218" s="32">
        <v>77.900000000000006</v>
      </c>
      <c r="DY218" s="32">
        <v>95.8</v>
      </c>
      <c r="DZ218" s="32">
        <v>83</v>
      </c>
      <c r="EA218" s="32">
        <v>83</v>
      </c>
      <c r="EB218" s="32">
        <v>72.8</v>
      </c>
      <c r="EC218" s="32">
        <v>72.599999999999994</v>
      </c>
      <c r="ED218" s="32">
        <v>73.400000000000006</v>
      </c>
      <c r="EE218" s="32">
        <v>82.8</v>
      </c>
      <c r="EF218" s="32">
        <v>53.7</v>
      </c>
      <c r="EG218" s="32">
        <v>87.9</v>
      </c>
      <c r="EH218" s="32">
        <v>108.3</v>
      </c>
      <c r="EI218" s="32">
        <v>86.3</v>
      </c>
      <c r="EJ218" s="32">
        <v>107.1</v>
      </c>
      <c r="EK218" s="32">
        <v>76.3</v>
      </c>
      <c r="EL218" s="32">
        <v>87.2</v>
      </c>
      <c r="EM218" s="32">
        <v>61.7</v>
      </c>
      <c r="EN218" s="32">
        <v>83.9</v>
      </c>
      <c r="EO218" s="32">
        <v>90.6</v>
      </c>
      <c r="EP218" s="32">
        <v>87</v>
      </c>
      <c r="EQ218" s="32">
        <v>87</v>
      </c>
      <c r="ER218" s="32">
        <v>84.5</v>
      </c>
      <c r="ES218" s="32">
        <v>84.5</v>
      </c>
      <c r="ET218" s="32">
        <v>100.5</v>
      </c>
      <c r="EU218" s="32">
        <v>111.3</v>
      </c>
      <c r="EV218" s="32">
        <v>111.3</v>
      </c>
      <c r="EW218" s="32">
        <v>89.5</v>
      </c>
      <c r="EX218" s="32">
        <v>94.1</v>
      </c>
      <c r="EY218" s="32">
        <v>85.9</v>
      </c>
      <c r="EZ218" s="32">
        <v>96.6</v>
      </c>
      <c r="FA218" s="32">
        <v>102.7</v>
      </c>
      <c r="FB218" s="32">
        <v>111.6</v>
      </c>
      <c r="FC218" s="32">
        <v>86.5</v>
      </c>
      <c r="FD218" s="32">
        <v>98.3</v>
      </c>
      <c r="FE218" s="32">
        <v>163.69999999999999</v>
      </c>
      <c r="FF218" s="32">
        <v>92.8</v>
      </c>
      <c r="FG218" s="32">
        <v>89.7</v>
      </c>
      <c r="FH218" s="32">
        <v>85.9</v>
      </c>
      <c r="FI218" s="32">
        <v>120.9</v>
      </c>
      <c r="FJ218" s="32">
        <v>87.8</v>
      </c>
      <c r="FK218" s="32">
        <v>134.6</v>
      </c>
      <c r="FL218" s="32">
        <v>134.6</v>
      </c>
    </row>
    <row r="219" spans="1:168" x14ac:dyDescent="0.2">
      <c r="A219" s="34" t="s">
        <v>1199</v>
      </c>
      <c r="B219" s="32">
        <v>89.6</v>
      </c>
      <c r="C219" s="32">
        <v>120</v>
      </c>
      <c r="D219" s="32">
        <v>93.4</v>
      </c>
      <c r="E219" s="32">
        <v>95.2</v>
      </c>
      <c r="F219" s="32">
        <v>99.8</v>
      </c>
      <c r="G219" s="32">
        <v>3014.4</v>
      </c>
      <c r="H219" s="32">
        <v>96.5</v>
      </c>
      <c r="I219" s="32">
        <v>101.2</v>
      </c>
      <c r="J219" s="32">
        <v>96.3</v>
      </c>
      <c r="K219" s="32">
        <v>88</v>
      </c>
      <c r="L219" s="32">
        <v>87.6</v>
      </c>
      <c r="M219" s="32">
        <v>84.9</v>
      </c>
      <c r="N219" s="32">
        <v>74.900000000000006</v>
      </c>
      <c r="O219" s="32">
        <v>190</v>
      </c>
      <c r="P219" s="32">
        <v>204.4</v>
      </c>
      <c r="Q219" s="32">
        <v>96.9</v>
      </c>
      <c r="R219" s="32">
        <v>65.900000000000006</v>
      </c>
      <c r="S219" s="32">
        <v>90.2</v>
      </c>
      <c r="T219" s="32">
        <v>196.4</v>
      </c>
      <c r="U219" s="32">
        <v>79.8</v>
      </c>
      <c r="V219" s="32">
        <v>96.5</v>
      </c>
      <c r="W219" s="32">
        <v>79.400000000000006</v>
      </c>
      <c r="X219" s="32">
        <v>56.1</v>
      </c>
      <c r="Y219" s="32">
        <v>116.1</v>
      </c>
      <c r="Z219" s="32">
        <v>179.6</v>
      </c>
      <c r="AA219" s="32">
        <v>106.4</v>
      </c>
      <c r="AB219" s="32">
        <v>91.4</v>
      </c>
      <c r="AC219" s="32">
        <v>105.8</v>
      </c>
      <c r="AD219" s="32">
        <v>119.6</v>
      </c>
      <c r="AE219" s="32">
        <v>68.900000000000006</v>
      </c>
      <c r="AF219" s="32">
        <v>68.900000000000006</v>
      </c>
      <c r="AG219" s="32">
        <v>105.5</v>
      </c>
      <c r="AH219" s="32">
        <v>105.5</v>
      </c>
      <c r="AI219" s="32">
        <v>112</v>
      </c>
      <c r="AJ219" s="32">
        <v>133.19999999999999</v>
      </c>
      <c r="AK219" s="32">
        <v>115</v>
      </c>
      <c r="AL219" s="32">
        <v>97.9</v>
      </c>
      <c r="AM219" s="32">
        <v>76.900000000000006</v>
      </c>
      <c r="AN219" s="32">
        <v>186.5</v>
      </c>
      <c r="AO219" s="32">
        <v>81.7</v>
      </c>
      <c r="AP219" s="32">
        <v>81.7</v>
      </c>
      <c r="AQ219" s="32">
        <v>110.1</v>
      </c>
      <c r="AR219" s="32">
        <v>116</v>
      </c>
      <c r="AS219" s="32">
        <v>103.7</v>
      </c>
      <c r="AT219" s="32">
        <v>82</v>
      </c>
      <c r="AU219" s="32">
        <v>125.3</v>
      </c>
      <c r="AV219" s="32">
        <v>105</v>
      </c>
      <c r="AW219" s="32">
        <v>135.80000000000001</v>
      </c>
      <c r="AX219" s="32">
        <v>264.8</v>
      </c>
      <c r="AY219" s="32">
        <v>87</v>
      </c>
      <c r="AZ219" s="32">
        <v>101.2</v>
      </c>
      <c r="BA219" s="32">
        <v>83.7</v>
      </c>
      <c r="BB219" s="32">
        <v>83.7</v>
      </c>
      <c r="BC219" s="32">
        <v>108.3</v>
      </c>
      <c r="BD219" s="32">
        <v>108.3</v>
      </c>
      <c r="BE219" s="32">
        <v>104.7</v>
      </c>
      <c r="BF219" s="32">
        <v>104.7</v>
      </c>
      <c r="BG219" s="32">
        <v>102.9</v>
      </c>
      <c r="BH219" s="32">
        <v>122.4</v>
      </c>
      <c r="BI219" s="32">
        <v>80.900000000000006</v>
      </c>
      <c r="BJ219" s="32">
        <v>40.4</v>
      </c>
      <c r="BK219" s="32">
        <v>93.8</v>
      </c>
      <c r="BL219" s="32">
        <v>94.5</v>
      </c>
      <c r="BM219" s="32">
        <v>106.9</v>
      </c>
      <c r="BN219" s="32">
        <v>110.1</v>
      </c>
      <c r="BO219" s="32">
        <v>97.9</v>
      </c>
      <c r="BP219" s="32">
        <v>121.1</v>
      </c>
      <c r="BQ219" s="32">
        <v>104.1</v>
      </c>
      <c r="BR219" s="32">
        <v>99.5</v>
      </c>
      <c r="BS219" s="32">
        <v>160.19999999999999</v>
      </c>
      <c r="BT219" s="32">
        <v>89.4</v>
      </c>
      <c r="BU219" s="32">
        <v>105.3</v>
      </c>
      <c r="BV219" s="32">
        <v>105.3</v>
      </c>
      <c r="BW219" s="32">
        <v>125.5</v>
      </c>
      <c r="BX219" s="32">
        <v>58.4</v>
      </c>
      <c r="BY219" s="32">
        <v>86.3</v>
      </c>
      <c r="BZ219" s="32">
        <v>83.8</v>
      </c>
      <c r="CA219" s="32">
        <v>87.5</v>
      </c>
      <c r="CB219" s="32">
        <v>93.9</v>
      </c>
      <c r="CC219" s="32">
        <v>83.1</v>
      </c>
      <c r="CD219" s="32">
        <v>61.7</v>
      </c>
      <c r="CE219" s="32">
        <v>90.6</v>
      </c>
      <c r="CF219" s="32">
        <v>88.9</v>
      </c>
      <c r="CG219" s="32">
        <v>101.4</v>
      </c>
      <c r="CH219" s="32">
        <v>103.4</v>
      </c>
      <c r="CI219" s="32">
        <v>120.8</v>
      </c>
      <c r="CJ219" s="32">
        <v>101.9</v>
      </c>
      <c r="CK219" s="32">
        <v>101.5</v>
      </c>
      <c r="CL219" s="32">
        <v>101</v>
      </c>
      <c r="CM219" s="32">
        <v>117.5</v>
      </c>
      <c r="CN219" s="32">
        <v>179</v>
      </c>
      <c r="CO219" s="32">
        <v>103.3</v>
      </c>
      <c r="CP219" s="32">
        <v>158.9</v>
      </c>
      <c r="CQ219" s="32">
        <v>115.3</v>
      </c>
      <c r="CR219" s="32">
        <v>107.4</v>
      </c>
      <c r="CS219" s="32">
        <v>96.6</v>
      </c>
      <c r="CT219" s="32">
        <v>92.8</v>
      </c>
      <c r="CU219" s="32">
        <v>90.2</v>
      </c>
      <c r="CV219" s="32">
        <v>93.9</v>
      </c>
      <c r="CW219" s="32">
        <v>58.1</v>
      </c>
      <c r="CX219" s="32">
        <v>105.9</v>
      </c>
      <c r="CY219" s="32">
        <v>111.2</v>
      </c>
      <c r="CZ219" s="32">
        <v>102.9</v>
      </c>
      <c r="DA219" s="32">
        <v>94.1</v>
      </c>
      <c r="DB219" s="32">
        <v>120.6</v>
      </c>
      <c r="DC219" s="32">
        <v>23</v>
      </c>
      <c r="DD219" s="32">
        <v>23</v>
      </c>
      <c r="DE219" s="32">
        <v>77.8</v>
      </c>
      <c r="DF219" s="32">
        <v>76.599999999999994</v>
      </c>
      <c r="DG219" s="32">
        <v>83.7</v>
      </c>
      <c r="DH219" s="32">
        <v>96.2</v>
      </c>
      <c r="DI219" s="32">
        <v>132.4</v>
      </c>
      <c r="DJ219" s="32">
        <v>83.8</v>
      </c>
      <c r="DK219" s="32">
        <v>83.8</v>
      </c>
      <c r="DL219" s="32">
        <v>57.7</v>
      </c>
      <c r="DM219" s="32">
        <v>89.8</v>
      </c>
      <c r="DN219" s="32">
        <v>92.8</v>
      </c>
      <c r="DO219" s="32">
        <v>88.6</v>
      </c>
      <c r="DP219" s="32">
        <v>89</v>
      </c>
      <c r="DQ219" s="32">
        <v>85.6</v>
      </c>
      <c r="DR219" s="32">
        <v>83.3</v>
      </c>
      <c r="DS219" s="32">
        <v>86.8</v>
      </c>
      <c r="DT219" s="32">
        <v>81.599999999999994</v>
      </c>
      <c r="DU219" s="32">
        <v>84</v>
      </c>
      <c r="DV219" s="32">
        <v>95.5</v>
      </c>
      <c r="DW219" s="32">
        <v>72.2</v>
      </c>
      <c r="DX219" s="32">
        <v>76.599999999999994</v>
      </c>
      <c r="DY219" s="32">
        <v>105.3</v>
      </c>
      <c r="DZ219" s="32">
        <v>85.5</v>
      </c>
      <c r="EA219" s="32">
        <v>85.5</v>
      </c>
      <c r="EB219" s="32">
        <v>72.400000000000006</v>
      </c>
      <c r="EC219" s="32">
        <v>74.900000000000006</v>
      </c>
      <c r="ED219" s="32">
        <v>69.3</v>
      </c>
      <c r="EE219" s="32">
        <v>75.5</v>
      </c>
      <c r="EF219" s="32">
        <v>56.1</v>
      </c>
      <c r="EG219" s="32">
        <v>89.4</v>
      </c>
      <c r="EH219" s="32">
        <v>107.8</v>
      </c>
      <c r="EI219" s="32">
        <v>88.4</v>
      </c>
      <c r="EJ219" s="32">
        <v>106.5</v>
      </c>
      <c r="EK219" s="32">
        <v>78.5</v>
      </c>
      <c r="EL219" s="32">
        <v>84.4</v>
      </c>
      <c r="EM219" s="32">
        <v>66.3</v>
      </c>
      <c r="EN219" s="32">
        <v>85.4</v>
      </c>
      <c r="EO219" s="32">
        <v>90.6</v>
      </c>
      <c r="EP219" s="32">
        <v>86.6</v>
      </c>
      <c r="EQ219" s="32">
        <v>86.6</v>
      </c>
      <c r="ER219" s="32">
        <v>84.3</v>
      </c>
      <c r="ES219" s="32">
        <v>84.3</v>
      </c>
      <c r="ET219" s="32">
        <v>101</v>
      </c>
      <c r="EU219" s="32">
        <v>112.2</v>
      </c>
      <c r="EV219" s="32">
        <v>112.2</v>
      </c>
      <c r="EW219" s="32">
        <v>89.4</v>
      </c>
      <c r="EX219" s="32">
        <v>93.8</v>
      </c>
      <c r="EY219" s="32">
        <v>85.9</v>
      </c>
      <c r="EZ219" s="32">
        <v>97.9</v>
      </c>
      <c r="FA219" s="32">
        <v>103.7</v>
      </c>
      <c r="FB219" s="32">
        <v>112.9</v>
      </c>
      <c r="FC219" s="32">
        <v>88.9</v>
      </c>
      <c r="FD219" s="32">
        <v>97</v>
      </c>
      <c r="FE219" s="32">
        <v>164.5</v>
      </c>
      <c r="FF219" s="32">
        <v>93.3</v>
      </c>
      <c r="FG219" s="32">
        <v>91</v>
      </c>
      <c r="FH219" s="32">
        <v>85.8</v>
      </c>
      <c r="FI219" s="32">
        <v>126.6</v>
      </c>
      <c r="FJ219" s="32">
        <v>89.2</v>
      </c>
      <c r="FK219" s="32">
        <v>141.6</v>
      </c>
      <c r="FL219" s="32">
        <v>141.6</v>
      </c>
    </row>
    <row r="220" spans="1:168" x14ac:dyDescent="0.2">
      <c r="A220" s="34" t="s">
        <v>1200</v>
      </c>
      <c r="B220" s="32">
        <v>89.7</v>
      </c>
      <c r="C220" s="32">
        <v>118.9</v>
      </c>
      <c r="D220" s="32">
        <v>94.3</v>
      </c>
      <c r="E220" s="32">
        <v>95.8</v>
      </c>
      <c r="F220" s="32">
        <v>97.8</v>
      </c>
      <c r="G220" s="32">
        <v>2559</v>
      </c>
      <c r="H220" s="32">
        <v>92.6</v>
      </c>
      <c r="I220" s="32">
        <v>108.3</v>
      </c>
      <c r="J220" s="32">
        <v>96.7</v>
      </c>
      <c r="K220" s="32">
        <v>86.8</v>
      </c>
      <c r="L220" s="32">
        <v>85.9</v>
      </c>
      <c r="M220" s="32">
        <v>77.099999999999994</v>
      </c>
      <c r="N220" s="32">
        <v>76.2</v>
      </c>
      <c r="O220" s="32">
        <v>191.8</v>
      </c>
      <c r="P220" s="32">
        <v>185.5</v>
      </c>
      <c r="Q220" s="32">
        <v>97.1</v>
      </c>
      <c r="R220" s="32">
        <v>69.7</v>
      </c>
      <c r="S220" s="32">
        <v>88.7</v>
      </c>
      <c r="T220" s="32">
        <v>194.1</v>
      </c>
      <c r="U220" s="32">
        <v>76.8</v>
      </c>
      <c r="V220" s="32">
        <v>98.1</v>
      </c>
      <c r="W220" s="32">
        <v>82</v>
      </c>
      <c r="X220" s="32">
        <v>57.2</v>
      </c>
      <c r="Y220" s="32">
        <v>126.5</v>
      </c>
      <c r="Z220" s="32">
        <v>154.6</v>
      </c>
      <c r="AA220" s="32">
        <v>104.6</v>
      </c>
      <c r="AB220" s="32">
        <v>92.2</v>
      </c>
      <c r="AC220" s="32">
        <v>102.4</v>
      </c>
      <c r="AD220" s="32">
        <v>117.3</v>
      </c>
      <c r="AE220" s="32">
        <v>73.5</v>
      </c>
      <c r="AF220" s="32">
        <v>73.5</v>
      </c>
      <c r="AG220" s="32">
        <v>108.6</v>
      </c>
      <c r="AH220" s="32">
        <v>108.6</v>
      </c>
      <c r="AI220" s="32">
        <v>113.6</v>
      </c>
      <c r="AJ220" s="32">
        <v>149.1</v>
      </c>
      <c r="AK220" s="32">
        <v>125.8</v>
      </c>
      <c r="AL220" s="32">
        <v>103</v>
      </c>
      <c r="AM220" s="32">
        <v>76.7</v>
      </c>
      <c r="AN220" s="32">
        <v>178.3</v>
      </c>
      <c r="AO220" s="32">
        <v>82.3</v>
      </c>
      <c r="AP220" s="32">
        <v>82.3</v>
      </c>
      <c r="AQ220" s="32">
        <v>108.3</v>
      </c>
      <c r="AR220" s="32">
        <v>114.8</v>
      </c>
      <c r="AS220" s="32">
        <v>101.1</v>
      </c>
      <c r="AT220" s="32">
        <v>83.7</v>
      </c>
      <c r="AU220" s="32">
        <v>118.6</v>
      </c>
      <c r="AV220" s="32">
        <v>108</v>
      </c>
      <c r="AW220" s="32">
        <v>135</v>
      </c>
      <c r="AX220" s="32">
        <v>262.5</v>
      </c>
      <c r="AY220" s="32">
        <v>86.8</v>
      </c>
      <c r="AZ220" s="32">
        <v>105.1</v>
      </c>
      <c r="BA220" s="32">
        <v>83.5</v>
      </c>
      <c r="BB220" s="32">
        <v>83.5</v>
      </c>
      <c r="BC220" s="32">
        <v>111.4</v>
      </c>
      <c r="BD220" s="32">
        <v>111.4</v>
      </c>
      <c r="BE220" s="32">
        <v>103.2</v>
      </c>
      <c r="BF220" s="32">
        <v>103.2</v>
      </c>
      <c r="BG220" s="32">
        <v>103</v>
      </c>
      <c r="BH220" s="32">
        <v>123.5</v>
      </c>
      <c r="BI220" s="32">
        <v>80.099999999999994</v>
      </c>
      <c r="BJ220" s="32">
        <v>39.1</v>
      </c>
      <c r="BK220" s="32">
        <v>92.4</v>
      </c>
      <c r="BL220" s="32">
        <v>102.6</v>
      </c>
      <c r="BM220" s="32">
        <v>108.9</v>
      </c>
      <c r="BN220" s="32">
        <v>113.3</v>
      </c>
      <c r="BO220" s="32">
        <v>99</v>
      </c>
      <c r="BP220" s="32">
        <v>126.5</v>
      </c>
      <c r="BQ220" s="32">
        <v>104.8</v>
      </c>
      <c r="BR220" s="32">
        <v>117.6</v>
      </c>
      <c r="BS220" s="32">
        <v>153.80000000000001</v>
      </c>
      <c r="BT220" s="32">
        <v>89.6</v>
      </c>
      <c r="BU220" s="32">
        <v>107</v>
      </c>
      <c r="BV220" s="32">
        <v>107</v>
      </c>
      <c r="BW220" s="32">
        <v>125.8</v>
      </c>
      <c r="BX220" s="32">
        <v>61.2</v>
      </c>
      <c r="BY220" s="32">
        <v>88.1</v>
      </c>
      <c r="BZ220" s="32">
        <v>85.7</v>
      </c>
      <c r="CA220" s="32">
        <v>89.2</v>
      </c>
      <c r="CB220" s="32">
        <v>100</v>
      </c>
      <c r="CC220" s="32">
        <v>80.8</v>
      </c>
      <c r="CD220" s="32">
        <v>60.7</v>
      </c>
      <c r="CE220" s="32">
        <v>92.4</v>
      </c>
      <c r="CF220" s="32">
        <v>88.7</v>
      </c>
      <c r="CG220" s="32">
        <v>101.1</v>
      </c>
      <c r="CH220" s="32">
        <v>104.1</v>
      </c>
      <c r="CI220" s="32">
        <v>122.7</v>
      </c>
      <c r="CJ220" s="32">
        <v>102.6</v>
      </c>
      <c r="CK220" s="32">
        <v>102</v>
      </c>
      <c r="CL220" s="32">
        <v>98.4</v>
      </c>
      <c r="CM220" s="32">
        <v>115.9</v>
      </c>
      <c r="CN220" s="32">
        <v>179.7</v>
      </c>
      <c r="CO220" s="32">
        <v>101.5</v>
      </c>
      <c r="CP220" s="32">
        <v>158.19999999999999</v>
      </c>
      <c r="CQ220" s="32">
        <v>109</v>
      </c>
      <c r="CR220" s="32">
        <v>101.7</v>
      </c>
      <c r="CS220" s="32">
        <v>96.7</v>
      </c>
      <c r="CT220" s="32">
        <v>92.4</v>
      </c>
      <c r="CU220" s="32">
        <v>90.2</v>
      </c>
      <c r="CV220" s="32">
        <v>93.3</v>
      </c>
      <c r="CW220" s="32">
        <v>57.3</v>
      </c>
      <c r="CX220" s="32">
        <v>103.9</v>
      </c>
      <c r="CY220" s="32">
        <v>112.4</v>
      </c>
      <c r="CZ220" s="32">
        <v>99.3</v>
      </c>
      <c r="DA220" s="32">
        <v>88.3</v>
      </c>
      <c r="DB220" s="32">
        <v>121.5</v>
      </c>
      <c r="DC220" s="32">
        <v>23.5</v>
      </c>
      <c r="DD220" s="32">
        <v>23.5</v>
      </c>
      <c r="DE220" s="32">
        <v>75</v>
      </c>
      <c r="DF220" s="32">
        <v>74.099999999999994</v>
      </c>
      <c r="DG220" s="32">
        <v>79.3</v>
      </c>
      <c r="DH220" s="32">
        <v>97.4</v>
      </c>
      <c r="DI220" s="32">
        <v>131.69999999999999</v>
      </c>
      <c r="DJ220" s="32">
        <v>82.5</v>
      </c>
      <c r="DK220" s="32">
        <v>82.5</v>
      </c>
      <c r="DL220" s="32">
        <v>63.4</v>
      </c>
      <c r="DM220" s="32">
        <v>89.8</v>
      </c>
      <c r="DN220" s="32">
        <v>92.4</v>
      </c>
      <c r="DO220" s="32">
        <v>88.8</v>
      </c>
      <c r="DP220" s="32">
        <v>89.1</v>
      </c>
      <c r="DQ220" s="32">
        <v>85.7</v>
      </c>
      <c r="DR220" s="32">
        <v>83.8</v>
      </c>
      <c r="DS220" s="32">
        <v>85.4</v>
      </c>
      <c r="DT220" s="32">
        <v>80.7</v>
      </c>
      <c r="DU220" s="32">
        <v>82.6</v>
      </c>
      <c r="DV220" s="32">
        <v>95.1</v>
      </c>
      <c r="DW220" s="32">
        <v>69.900000000000006</v>
      </c>
      <c r="DX220" s="32">
        <v>76.8</v>
      </c>
      <c r="DY220" s="32">
        <v>102.3</v>
      </c>
      <c r="DZ220" s="32">
        <v>93</v>
      </c>
      <c r="EA220" s="32">
        <v>93</v>
      </c>
      <c r="EB220" s="32">
        <v>75.7</v>
      </c>
      <c r="EC220" s="32">
        <v>75.5</v>
      </c>
      <c r="ED220" s="32">
        <v>76.5</v>
      </c>
      <c r="EE220" s="32">
        <v>84.6</v>
      </c>
      <c r="EF220" s="32">
        <v>59.5</v>
      </c>
      <c r="EG220" s="32">
        <v>88.9</v>
      </c>
      <c r="EH220" s="32">
        <v>108.6</v>
      </c>
      <c r="EI220" s="32">
        <v>89.9</v>
      </c>
      <c r="EJ220" s="32">
        <v>101.2</v>
      </c>
      <c r="EK220" s="32">
        <v>77.099999999999994</v>
      </c>
      <c r="EL220" s="32">
        <v>86.3</v>
      </c>
      <c r="EM220" s="32">
        <v>63.6</v>
      </c>
      <c r="EN220" s="32">
        <v>84.4</v>
      </c>
      <c r="EO220" s="32">
        <v>90.1</v>
      </c>
      <c r="EP220" s="32">
        <v>86.3</v>
      </c>
      <c r="EQ220" s="32">
        <v>86.3</v>
      </c>
      <c r="ER220" s="32">
        <v>83.2</v>
      </c>
      <c r="ES220" s="32">
        <v>83.2</v>
      </c>
      <c r="ET220" s="32">
        <v>100.9</v>
      </c>
      <c r="EU220" s="32">
        <v>112.2</v>
      </c>
      <c r="EV220" s="32">
        <v>112.2</v>
      </c>
      <c r="EW220" s="32">
        <v>89</v>
      </c>
      <c r="EX220" s="32">
        <v>93.2</v>
      </c>
      <c r="EY220" s="32">
        <v>85.7</v>
      </c>
      <c r="EZ220" s="32">
        <v>96.3</v>
      </c>
      <c r="FA220" s="32">
        <v>101.4</v>
      </c>
      <c r="FB220" s="32">
        <v>111.6</v>
      </c>
      <c r="FC220" s="32">
        <v>87.4</v>
      </c>
      <c r="FD220" s="32">
        <v>95</v>
      </c>
      <c r="FE220" s="32">
        <v>163.80000000000001</v>
      </c>
      <c r="FF220" s="32">
        <v>90</v>
      </c>
      <c r="FG220" s="32">
        <v>89.4</v>
      </c>
      <c r="FH220" s="32">
        <v>87</v>
      </c>
      <c r="FI220" s="32">
        <v>121.5</v>
      </c>
      <c r="FJ220" s="32">
        <v>86.7</v>
      </c>
      <c r="FK220" s="32">
        <v>145.5</v>
      </c>
      <c r="FL220" s="32">
        <v>145.5</v>
      </c>
    </row>
    <row r="221" spans="1:168" x14ac:dyDescent="0.2">
      <c r="A221" s="34" t="s">
        <v>1201</v>
      </c>
      <c r="B221" s="32">
        <v>89.7</v>
      </c>
      <c r="C221" s="32">
        <v>117.3</v>
      </c>
      <c r="D221" s="32">
        <v>94.9</v>
      </c>
      <c r="E221" s="32">
        <v>96.9</v>
      </c>
      <c r="F221" s="32">
        <v>97.3</v>
      </c>
      <c r="G221" s="32">
        <v>2645.7</v>
      </c>
      <c r="H221" s="32">
        <v>90.2</v>
      </c>
      <c r="I221" s="32">
        <v>115.8</v>
      </c>
      <c r="J221" s="32">
        <v>98</v>
      </c>
      <c r="K221" s="32">
        <v>87</v>
      </c>
      <c r="L221" s="32">
        <v>86.1</v>
      </c>
      <c r="M221" s="32">
        <v>71.8</v>
      </c>
      <c r="N221" s="32">
        <v>75.5</v>
      </c>
      <c r="O221" s="32">
        <v>193</v>
      </c>
      <c r="P221" s="32">
        <v>178.5</v>
      </c>
      <c r="Q221" s="32">
        <v>104.4</v>
      </c>
      <c r="R221" s="32">
        <v>73.3</v>
      </c>
      <c r="S221" s="32">
        <v>88.8</v>
      </c>
      <c r="T221" s="32">
        <v>206.9</v>
      </c>
      <c r="U221" s="32">
        <v>82.9</v>
      </c>
      <c r="V221" s="32">
        <v>96.6</v>
      </c>
      <c r="W221" s="32">
        <v>80.7</v>
      </c>
      <c r="X221" s="32">
        <v>59.7</v>
      </c>
      <c r="Y221" s="32">
        <v>115.2</v>
      </c>
      <c r="Z221" s="32">
        <v>152.9</v>
      </c>
      <c r="AA221" s="32">
        <v>103.1</v>
      </c>
      <c r="AB221" s="32">
        <v>93.4</v>
      </c>
      <c r="AC221" s="32">
        <v>99</v>
      </c>
      <c r="AD221" s="32">
        <v>115.9</v>
      </c>
      <c r="AE221" s="32">
        <v>82.5</v>
      </c>
      <c r="AF221" s="32">
        <v>82.5</v>
      </c>
      <c r="AG221" s="32">
        <v>110.9</v>
      </c>
      <c r="AH221" s="32">
        <v>110.9</v>
      </c>
      <c r="AI221" s="32">
        <v>109.6</v>
      </c>
      <c r="AJ221" s="32">
        <v>165.7</v>
      </c>
      <c r="AK221" s="32">
        <v>120.9</v>
      </c>
      <c r="AL221" s="32">
        <v>99.7</v>
      </c>
      <c r="AM221" s="32">
        <v>74.400000000000006</v>
      </c>
      <c r="AN221" s="32">
        <v>191.5</v>
      </c>
      <c r="AO221" s="32">
        <v>86.5</v>
      </c>
      <c r="AP221" s="32">
        <v>86.5</v>
      </c>
      <c r="AQ221" s="32">
        <v>116.6</v>
      </c>
      <c r="AR221" s="32">
        <v>116.4</v>
      </c>
      <c r="AS221" s="32">
        <v>119.4</v>
      </c>
      <c r="AT221" s="32">
        <v>84.4</v>
      </c>
      <c r="AU221" s="32">
        <v>153.69999999999999</v>
      </c>
      <c r="AV221" s="32">
        <v>104.6</v>
      </c>
      <c r="AW221" s="32">
        <v>126.7</v>
      </c>
      <c r="AX221" s="32">
        <v>239</v>
      </c>
      <c r="AY221" s="32">
        <v>84.7</v>
      </c>
      <c r="AZ221" s="32">
        <v>102.8</v>
      </c>
      <c r="BA221" s="32">
        <v>97</v>
      </c>
      <c r="BB221" s="32">
        <v>97</v>
      </c>
      <c r="BC221" s="32">
        <v>111.7</v>
      </c>
      <c r="BD221" s="32">
        <v>111.7</v>
      </c>
      <c r="BE221" s="32">
        <v>104.5</v>
      </c>
      <c r="BF221" s="32">
        <v>104.5</v>
      </c>
      <c r="BG221" s="32">
        <v>102.1</v>
      </c>
      <c r="BH221" s="32">
        <v>122.3</v>
      </c>
      <c r="BI221" s="32">
        <v>79.599999999999994</v>
      </c>
      <c r="BJ221" s="32">
        <v>37.6</v>
      </c>
      <c r="BK221" s="32">
        <v>91.9</v>
      </c>
      <c r="BL221" s="32">
        <v>106.8</v>
      </c>
      <c r="BM221" s="32">
        <v>104.7</v>
      </c>
      <c r="BN221" s="32">
        <v>110.1</v>
      </c>
      <c r="BO221" s="32">
        <v>96.1</v>
      </c>
      <c r="BP221" s="32">
        <v>123.1</v>
      </c>
      <c r="BQ221" s="32">
        <v>99.4</v>
      </c>
      <c r="BR221" s="32">
        <v>159.19999999999999</v>
      </c>
      <c r="BS221" s="32">
        <v>144.4</v>
      </c>
      <c r="BT221" s="32">
        <v>79.099999999999994</v>
      </c>
      <c r="BU221" s="32">
        <v>112.3</v>
      </c>
      <c r="BV221" s="32">
        <v>112.3</v>
      </c>
      <c r="BW221" s="32">
        <v>131.19999999999999</v>
      </c>
      <c r="BX221" s="32">
        <v>65.3</v>
      </c>
      <c r="BY221" s="32">
        <v>85.4</v>
      </c>
      <c r="BZ221" s="32">
        <v>84.5</v>
      </c>
      <c r="CA221" s="32">
        <v>85.8</v>
      </c>
      <c r="CB221" s="32">
        <v>92.8</v>
      </c>
      <c r="CC221" s="32">
        <v>80.599999999999994</v>
      </c>
      <c r="CD221" s="32">
        <v>63.1</v>
      </c>
      <c r="CE221" s="32">
        <v>91.9</v>
      </c>
      <c r="CF221" s="32">
        <v>88.6</v>
      </c>
      <c r="CG221" s="32">
        <v>101.1</v>
      </c>
      <c r="CH221" s="32">
        <v>104.1</v>
      </c>
      <c r="CI221" s="32">
        <v>124.2</v>
      </c>
      <c r="CJ221" s="32">
        <v>99.8</v>
      </c>
      <c r="CK221" s="32">
        <v>103.5</v>
      </c>
      <c r="CL221" s="32">
        <v>98.7</v>
      </c>
      <c r="CM221" s="32">
        <v>114.5</v>
      </c>
      <c r="CN221" s="32">
        <v>178.9</v>
      </c>
      <c r="CO221" s="32">
        <v>100.2</v>
      </c>
      <c r="CP221" s="32">
        <v>154.6</v>
      </c>
      <c r="CQ221" s="32">
        <v>103.2</v>
      </c>
      <c r="CR221" s="32">
        <v>105.9</v>
      </c>
      <c r="CS221" s="32">
        <v>96.1</v>
      </c>
      <c r="CT221" s="32">
        <v>92.1</v>
      </c>
      <c r="CU221" s="32">
        <v>88.4</v>
      </c>
      <c r="CV221" s="32">
        <v>93.7</v>
      </c>
      <c r="CW221" s="32">
        <v>56.8</v>
      </c>
      <c r="CX221" s="32">
        <v>96.4</v>
      </c>
      <c r="CY221" s="32">
        <v>112.3</v>
      </c>
      <c r="CZ221" s="32">
        <v>87.9</v>
      </c>
      <c r="DA221" s="32">
        <v>72.900000000000006</v>
      </c>
      <c r="DB221" s="32">
        <v>118.3</v>
      </c>
      <c r="DC221" s="32">
        <v>24.1</v>
      </c>
      <c r="DD221" s="32">
        <v>24.1</v>
      </c>
      <c r="DE221" s="32">
        <v>75.599999999999994</v>
      </c>
      <c r="DF221" s="32">
        <v>74</v>
      </c>
      <c r="DG221" s="32">
        <v>83.5</v>
      </c>
      <c r="DH221" s="32">
        <v>98</v>
      </c>
      <c r="DI221" s="32">
        <v>133.9</v>
      </c>
      <c r="DJ221" s="32">
        <v>80.099999999999994</v>
      </c>
      <c r="DK221" s="32">
        <v>80.099999999999994</v>
      </c>
      <c r="DL221" s="32">
        <v>64.8</v>
      </c>
      <c r="DM221" s="32">
        <v>90</v>
      </c>
      <c r="DN221" s="32">
        <v>92.1</v>
      </c>
      <c r="DO221" s="32">
        <v>89.2</v>
      </c>
      <c r="DP221" s="32">
        <v>88.4</v>
      </c>
      <c r="DQ221" s="32">
        <v>85</v>
      </c>
      <c r="DR221" s="32">
        <v>82.4</v>
      </c>
      <c r="DS221" s="32">
        <v>84.7</v>
      </c>
      <c r="DT221" s="32">
        <v>80.8</v>
      </c>
      <c r="DU221" s="32">
        <v>82.5</v>
      </c>
      <c r="DV221" s="32">
        <v>93.9</v>
      </c>
      <c r="DW221" s="32">
        <v>70.900000000000006</v>
      </c>
      <c r="DX221" s="32">
        <v>77.400000000000006</v>
      </c>
      <c r="DY221" s="32">
        <v>98.7</v>
      </c>
      <c r="DZ221" s="32">
        <v>86.3</v>
      </c>
      <c r="EA221" s="32">
        <v>86.3</v>
      </c>
      <c r="EB221" s="32">
        <v>74.3</v>
      </c>
      <c r="EC221" s="32">
        <v>73.7</v>
      </c>
      <c r="ED221" s="32">
        <v>75.5</v>
      </c>
      <c r="EE221" s="32">
        <v>83.8</v>
      </c>
      <c r="EF221" s="32">
        <v>58.3</v>
      </c>
      <c r="EG221" s="32">
        <v>89.4</v>
      </c>
      <c r="EH221" s="32">
        <v>108.1</v>
      </c>
      <c r="EI221" s="32">
        <v>90.5</v>
      </c>
      <c r="EJ221" s="32">
        <v>105.9</v>
      </c>
      <c r="EK221" s="32">
        <v>77</v>
      </c>
      <c r="EL221" s="32">
        <v>87.6</v>
      </c>
      <c r="EM221" s="32">
        <v>65.900000000000006</v>
      </c>
      <c r="EN221" s="32">
        <v>82.4</v>
      </c>
      <c r="EO221" s="32">
        <v>90.2</v>
      </c>
      <c r="EP221" s="32">
        <v>86.2</v>
      </c>
      <c r="EQ221" s="32">
        <v>86.2</v>
      </c>
      <c r="ER221" s="32">
        <v>83.7</v>
      </c>
      <c r="ES221" s="32">
        <v>83.7</v>
      </c>
      <c r="ET221" s="32">
        <v>100.8</v>
      </c>
      <c r="EU221" s="32">
        <v>112.3</v>
      </c>
      <c r="EV221" s="32">
        <v>112.3</v>
      </c>
      <c r="EW221" s="32">
        <v>88.6</v>
      </c>
      <c r="EX221" s="32">
        <v>92.5</v>
      </c>
      <c r="EY221" s="32">
        <v>85.5</v>
      </c>
      <c r="EZ221" s="32">
        <v>97.2</v>
      </c>
      <c r="FA221" s="32">
        <v>102.4</v>
      </c>
      <c r="FB221" s="32">
        <v>113.1</v>
      </c>
      <c r="FC221" s="32">
        <v>91.8</v>
      </c>
      <c r="FD221" s="32">
        <v>95.7</v>
      </c>
      <c r="FE221" s="32">
        <v>160.6</v>
      </c>
      <c r="FF221" s="32">
        <v>90.3</v>
      </c>
      <c r="FG221" s="32">
        <v>90.8</v>
      </c>
      <c r="FH221" s="32">
        <v>88.4</v>
      </c>
      <c r="FI221" s="32">
        <v>116.5</v>
      </c>
      <c r="FJ221" s="32">
        <v>88.8</v>
      </c>
      <c r="FK221" s="32">
        <v>140</v>
      </c>
      <c r="FL221" s="32">
        <v>140</v>
      </c>
    </row>
    <row r="222" spans="1:168" x14ac:dyDescent="0.2">
      <c r="A222" s="34" t="s">
        <v>1202</v>
      </c>
      <c r="B222" s="32">
        <v>89.6</v>
      </c>
      <c r="C222" s="32">
        <v>110.5</v>
      </c>
      <c r="D222" s="32">
        <v>94.9</v>
      </c>
      <c r="E222" s="32">
        <v>96.3</v>
      </c>
      <c r="F222" s="32">
        <v>99.9</v>
      </c>
      <c r="G222" s="32">
        <v>2520.6999999999998</v>
      </c>
      <c r="H222" s="32">
        <v>91.9</v>
      </c>
      <c r="I222" s="32">
        <v>121.6</v>
      </c>
      <c r="J222" s="32">
        <v>96.1</v>
      </c>
      <c r="K222" s="32">
        <v>84.7</v>
      </c>
      <c r="L222" s="32">
        <v>83.3</v>
      </c>
      <c r="M222" s="32">
        <v>70.3</v>
      </c>
      <c r="N222" s="32">
        <v>74.5</v>
      </c>
      <c r="O222" s="32">
        <v>185.6</v>
      </c>
      <c r="P222" s="32">
        <v>166.2</v>
      </c>
      <c r="Q222" s="32">
        <v>104.1</v>
      </c>
      <c r="R222" s="32">
        <v>69</v>
      </c>
      <c r="S222" s="32">
        <v>86.5</v>
      </c>
      <c r="T222" s="32">
        <v>205</v>
      </c>
      <c r="U222" s="32">
        <v>78.8</v>
      </c>
      <c r="V222" s="32">
        <v>96.4</v>
      </c>
      <c r="W222" s="32">
        <v>83</v>
      </c>
      <c r="X222" s="32">
        <v>58.7</v>
      </c>
      <c r="Y222" s="32">
        <v>127.4</v>
      </c>
      <c r="Z222" s="32">
        <v>147.30000000000001</v>
      </c>
      <c r="AA222" s="32">
        <v>103.7</v>
      </c>
      <c r="AB222" s="32">
        <v>92.7</v>
      </c>
      <c r="AC222" s="32">
        <v>102.7</v>
      </c>
      <c r="AD222" s="32">
        <v>114.7</v>
      </c>
      <c r="AE222" s="32">
        <v>82.7</v>
      </c>
      <c r="AF222" s="32">
        <v>82.7</v>
      </c>
      <c r="AG222" s="32">
        <v>118.9</v>
      </c>
      <c r="AH222" s="32">
        <v>118.9</v>
      </c>
      <c r="AI222" s="32">
        <v>112.8</v>
      </c>
      <c r="AJ222" s="32">
        <v>185.9</v>
      </c>
      <c r="AK222" s="32">
        <v>118.4</v>
      </c>
      <c r="AL222" s="32">
        <v>106.8</v>
      </c>
      <c r="AM222" s="32">
        <v>78.900000000000006</v>
      </c>
      <c r="AN222" s="32">
        <v>207.4</v>
      </c>
      <c r="AO222" s="32">
        <v>83.5</v>
      </c>
      <c r="AP222" s="32">
        <v>83.5</v>
      </c>
      <c r="AQ222" s="32">
        <v>114.8</v>
      </c>
      <c r="AR222" s="32">
        <v>115.6</v>
      </c>
      <c r="AS222" s="32">
        <v>116.3</v>
      </c>
      <c r="AT222" s="32">
        <v>84.2</v>
      </c>
      <c r="AU222" s="32">
        <v>147.69999999999999</v>
      </c>
      <c r="AV222" s="32">
        <v>108.7</v>
      </c>
      <c r="AW222" s="32">
        <v>157.5</v>
      </c>
      <c r="AX222" s="32">
        <v>354.3</v>
      </c>
      <c r="AY222" s="32">
        <v>78.900000000000006</v>
      </c>
      <c r="AZ222" s="32">
        <v>101</v>
      </c>
      <c r="BA222" s="32">
        <v>80.7</v>
      </c>
      <c r="BB222" s="32">
        <v>80.7</v>
      </c>
      <c r="BC222" s="32">
        <v>108.8</v>
      </c>
      <c r="BD222" s="32">
        <v>108.8</v>
      </c>
      <c r="BE222" s="32">
        <v>96.9</v>
      </c>
      <c r="BF222" s="32">
        <v>96.9</v>
      </c>
      <c r="BG222" s="32">
        <v>100.6</v>
      </c>
      <c r="BH222" s="32">
        <v>120.9</v>
      </c>
      <c r="BI222" s="32">
        <v>77.900000000000006</v>
      </c>
      <c r="BJ222" s="32">
        <v>35.799999999999997</v>
      </c>
      <c r="BK222" s="32">
        <v>89.9</v>
      </c>
      <c r="BL222" s="32">
        <v>110</v>
      </c>
      <c r="BM222" s="32">
        <v>102.6</v>
      </c>
      <c r="BN222" s="32">
        <v>114.2</v>
      </c>
      <c r="BO222" s="32">
        <v>106</v>
      </c>
      <c r="BP222" s="32">
        <v>120.6</v>
      </c>
      <c r="BQ222" s="32">
        <v>91</v>
      </c>
      <c r="BR222" s="32">
        <v>135.30000000000001</v>
      </c>
      <c r="BS222" s="32">
        <v>112.6</v>
      </c>
      <c r="BT222" s="32">
        <v>78.7</v>
      </c>
      <c r="BU222" s="32">
        <v>117</v>
      </c>
      <c r="BV222" s="32">
        <v>117</v>
      </c>
      <c r="BW222" s="32">
        <v>136.5</v>
      </c>
      <c r="BX222" s="32">
        <v>68.2</v>
      </c>
      <c r="BY222" s="32">
        <v>85.7</v>
      </c>
      <c r="BZ222" s="32">
        <v>87.7</v>
      </c>
      <c r="CA222" s="32">
        <v>84.8</v>
      </c>
      <c r="CB222" s="32">
        <v>93.2</v>
      </c>
      <c r="CC222" s="32">
        <v>78.3</v>
      </c>
      <c r="CD222" s="32">
        <v>62.7</v>
      </c>
      <c r="CE222" s="32">
        <v>93.6</v>
      </c>
      <c r="CF222" s="32">
        <v>88.5</v>
      </c>
      <c r="CG222" s="32">
        <v>100.4</v>
      </c>
      <c r="CH222" s="32">
        <v>104.1</v>
      </c>
      <c r="CI222" s="32">
        <v>123.7</v>
      </c>
      <c r="CJ222" s="32">
        <v>100.5</v>
      </c>
      <c r="CK222" s="32">
        <v>103.1</v>
      </c>
      <c r="CL222" s="32">
        <v>96.2</v>
      </c>
      <c r="CM222" s="32">
        <v>111.8</v>
      </c>
      <c r="CN222" s="32">
        <v>176.9</v>
      </c>
      <c r="CO222" s="32">
        <v>97.7</v>
      </c>
      <c r="CP222" s="32">
        <v>153</v>
      </c>
      <c r="CQ222" s="32">
        <v>96.4</v>
      </c>
      <c r="CR222" s="32">
        <v>102.2</v>
      </c>
      <c r="CS222" s="32">
        <v>96</v>
      </c>
      <c r="CT222" s="32">
        <v>91.2</v>
      </c>
      <c r="CU222" s="32">
        <v>88.3</v>
      </c>
      <c r="CV222" s="32">
        <v>92.4</v>
      </c>
      <c r="CW222" s="32">
        <v>58</v>
      </c>
      <c r="CX222" s="32">
        <v>105.7</v>
      </c>
      <c r="CY222" s="32">
        <v>109.9</v>
      </c>
      <c r="CZ222" s="32">
        <v>103.3</v>
      </c>
      <c r="DA222" s="32">
        <v>95.4</v>
      </c>
      <c r="DB222" s="32">
        <v>119.3</v>
      </c>
      <c r="DC222" s="32">
        <v>24.1</v>
      </c>
      <c r="DD222" s="32">
        <v>24.1</v>
      </c>
      <c r="DE222" s="32">
        <v>75.5</v>
      </c>
      <c r="DF222" s="32">
        <v>74.599999999999994</v>
      </c>
      <c r="DG222" s="32">
        <v>79.599999999999994</v>
      </c>
      <c r="DH222" s="32">
        <v>96.7</v>
      </c>
      <c r="DI222" s="32">
        <v>127.7</v>
      </c>
      <c r="DJ222" s="32">
        <v>77.400000000000006</v>
      </c>
      <c r="DK222" s="32">
        <v>77.400000000000006</v>
      </c>
      <c r="DL222" s="32">
        <v>70.5</v>
      </c>
      <c r="DM222" s="32">
        <v>90.2</v>
      </c>
      <c r="DN222" s="32">
        <v>92.6</v>
      </c>
      <c r="DO222" s="32">
        <v>89.4</v>
      </c>
      <c r="DP222" s="32">
        <v>83.2</v>
      </c>
      <c r="DQ222" s="32">
        <v>85.6</v>
      </c>
      <c r="DR222" s="32">
        <v>83</v>
      </c>
      <c r="DS222" s="32">
        <v>85</v>
      </c>
      <c r="DT222" s="32">
        <v>80.099999999999994</v>
      </c>
      <c r="DU222" s="32">
        <v>81.599999999999994</v>
      </c>
      <c r="DV222" s="32">
        <v>94.1</v>
      </c>
      <c r="DW222" s="32">
        <v>68.8</v>
      </c>
      <c r="DX222" s="32">
        <v>77.099999999999994</v>
      </c>
      <c r="DY222" s="32">
        <v>102.5</v>
      </c>
      <c r="DZ222" s="32">
        <v>77.400000000000006</v>
      </c>
      <c r="EA222" s="32">
        <v>77.400000000000006</v>
      </c>
      <c r="EB222" s="32">
        <v>79.400000000000006</v>
      </c>
      <c r="EC222" s="32">
        <v>80.599999999999994</v>
      </c>
      <c r="ED222" s="32">
        <v>78</v>
      </c>
      <c r="EE222" s="32">
        <v>88.3</v>
      </c>
      <c r="EF222" s="32">
        <v>56.6</v>
      </c>
      <c r="EG222" s="32">
        <v>89.8</v>
      </c>
      <c r="EH222" s="32">
        <v>111.6</v>
      </c>
      <c r="EI222" s="32">
        <v>88.7</v>
      </c>
      <c r="EJ222" s="32">
        <v>104</v>
      </c>
      <c r="EK222" s="32">
        <v>78.3</v>
      </c>
      <c r="EL222" s="32">
        <v>86</v>
      </c>
      <c r="EM222" s="32">
        <v>67</v>
      </c>
      <c r="EN222" s="32">
        <v>84.4</v>
      </c>
      <c r="EO222" s="32">
        <v>89.9</v>
      </c>
      <c r="EP222" s="32">
        <v>85.5</v>
      </c>
      <c r="EQ222" s="32">
        <v>85.5</v>
      </c>
      <c r="ER222" s="32">
        <v>84</v>
      </c>
      <c r="ES222" s="32">
        <v>84</v>
      </c>
      <c r="ET222" s="32">
        <v>100.4</v>
      </c>
      <c r="EU222" s="32">
        <v>111.8</v>
      </c>
      <c r="EV222" s="32">
        <v>111.8</v>
      </c>
      <c r="EW222" s="32">
        <v>88.2</v>
      </c>
      <c r="EX222" s="32">
        <v>91.7</v>
      </c>
      <c r="EY222" s="32">
        <v>85.5</v>
      </c>
      <c r="EZ222" s="32">
        <v>94.8</v>
      </c>
      <c r="FA222" s="32">
        <v>99.7</v>
      </c>
      <c r="FB222" s="32">
        <v>109.7</v>
      </c>
      <c r="FC222" s="32">
        <v>88.5</v>
      </c>
      <c r="FD222" s="32">
        <v>94.1</v>
      </c>
      <c r="FE222" s="32">
        <v>156</v>
      </c>
      <c r="FF222" s="32">
        <v>88.5</v>
      </c>
      <c r="FG222" s="32">
        <v>88.3</v>
      </c>
      <c r="FH222" s="32">
        <v>89.3</v>
      </c>
      <c r="FI222" s="32">
        <v>112.3</v>
      </c>
      <c r="FJ222" s="32">
        <v>85.1</v>
      </c>
      <c r="FK222" s="32">
        <v>139.19999999999999</v>
      </c>
      <c r="FL222" s="32">
        <v>139.19999999999999</v>
      </c>
    </row>
    <row r="223" spans="1:168" x14ac:dyDescent="0.2">
      <c r="A223" s="34" t="s">
        <v>1203</v>
      </c>
      <c r="B223" s="32">
        <v>89.9</v>
      </c>
      <c r="C223" s="32">
        <v>105.6</v>
      </c>
      <c r="D223" s="32">
        <v>95.7</v>
      </c>
      <c r="E223" s="32">
        <v>97.5</v>
      </c>
      <c r="F223" s="32">
        <v>97.8</v>
      </c>
      <c r="G223" s="32">
        <v>2769.9</v>
      </c>
      <c r="H223" s="32">
        <v>87.7</v>
      </c>
      <c r="I223" s="32">
        <v>128.6</v>
      </c>
      <c r="J223" s="32">
        <v>97.1</v>
      </c>
      <c r="K223" s="32">
        <v>83.4</v>
      </c>
      <c r="L223" s="32">
        <v>81.599999999999994</v>
      </c>
      <c r="M223" s="32">
        <v>61</v>
      </c>
      <c r="N223" s="32">
        <v>77.099999999999994</v>
      </c>
      <c r="O223" s="32">
        <v>195.3</v>
      </c>
      <c r="P223" s="32">
        <v>156.5</v>
      </c>
      <c r="Q223" s="32">
        <v>105.4</v>
      </c>
      <c r="R223" s="32">
        <v>68.8</v>
      </c>
      <c r="S223" s="32">
        <v>86.3</v>
      </c>
      <c r="T223" s="32">
        <v>205</v>
      </c>
      <c r="U223" s="32">
        <v>82.3</v>
      </c>
      <c r="V223" s="32">
        <v>95.6</v>
      </c>
      <c r="W223" s="32">
        <v>89.4</v>
      </c>
      <c r="X223" s="32">
        <v>63</v>
      </c>
      <c r="Y223" s="32">
        <v>140.4</v>
      </c>
      <c r="Z223" s="32">
        <v>139.69999999999999</v>
      </c>
      <c r="AA223" s="32">
        <v>103.2</v>
      </c>
      <c r="AB223" s="32">
        <v>97.2</v>
      </c>
      <c r="AC223" s="32">
        <v>101.9</v>
      </c>
      <c r="AD223" s="32">
        <v>110.8</v>
      </c>
      <c r="AE223" s="32">
        <v>93</v>
      </c>
      <c r="AF223" s="32">
        <v>93</v>
      </c>
      <c r="AG223" s="32">
        <v>125.1</v>
      </c>
      <c r="AH223" s="32">
        <v>125.1</v>
      </c>
      <c r="AI223" s="32">
        <v>111.6</v>
      </c>
      <c r="AJ223" s="32">
        <v>206.4</v>
      </c>
      <c r="AK223" s="32">
        <v>141.30000000000001</v>
      </c>
      <c r="AL223" s="32">
        <v>109.7</v>
      </c>
      <c r="AM223" s="32">
        <v>78.599999999999994</v>
      </c>
      <c r="AN223" s="32">
        <v>219.7</v>
      </c>
      <c r="AO223" s="32">
        <v>84.3</v>
      </c>
      <c r="AP223" s="32">
        <v>84.3</v>
      </c>
      <c r="AQ223" s="32">
        <v>117.7</v>
      </c>
      <c r="AR223" s="32">
        <v>123.5</v>
      </c>
      <c r="AS223" s="32">
        <v>111.8</v>
      </c>
      <c r="AT223" s="32">
        <v>83.4</v>
      </c>
      <c r="AU223" s="32">
        <v>139.69999999999999</v>
      </c>
      <c r="AV223" s="32">
        <v>108.5</v>
      </c>
      <c r="AW223" s="32">
        <v>149</v>
      </c>
      <c r="AX223" s="32">
        <v>311.3</v>
      </c>
      <c r="AY223" s="32">
        <v>85.9</v>
      </c>
      <c r="AZ223" s="32">
        <v>102.7</v>
      </c>
      <c r="BA223" s="32">
        <v>78</v>
      </c>
      <c r="BB223" s="32">
        <v>78</v>
      </c>
      <c r="BC223" s="32">
        <v>108.8</v>
      </c>
      <c r="BD223" s="32">
        <v>108.8</v>
      </c>
      <c r="BE223" s="32">
        <v>102.6</v>
      </c>
      <c r="BF223" s="32">
        <v>102.6</v>
      </c>
      <c r="BG223" s="32">
        <v>101.9</v>
      </c>
      <c r="BH223" s="32">
        <v>124.5</v>
      </c>
      <c r="BI223" s="32">
        <v>76.900000000000006</v>
      </c>
      <c r="BJ223" s="32">
        <v>34.4</v>
      </c>
      <c r="BK223" s="32">
        <v>88.7</v>
      </c>
      <c r="BL223" s="32">
        <v>113.8</v>
      </c>
      <c r="BM223" s="32">
        <v>101.7</v>
      </c>
      <c r="BN223" s="32">
        <v>106.9</v>
      </c>
      <c r="BO223" s="32">
        <v>92.5</v>
      </c>
      <c r="BP223" s="32">
        <v>120.4</v>
      </c>
      <c r="BQ223" s="32">
        <v>96.7</v>
      </c>
      <c r="BR223" s="32">
        <v>134.9</v>
      </c>
      <c r="BS223" s="32">
        <v>134.6</v>
      </c>
      <c r="BT223" s="32">
        <v>81</v>
      </c>
      <c r="BU223" s="32">
        <v>122.6</v>
      </c>
      <c r="BV223" s="32">
        <v>122.6</v>
      </c>
      <c r="BW223" s="32">
        <v>142.30000000000001</v>
      </c>
      <c r="BX223" s="32">
        <v>72.3</v>
      </c>
      <c r="BY223" s="32">
        <v>86.9</v>
      </c>
      <c r="BZ223" s="32">
        <v>87.5</v>
      </c>
      <c r="CA223" s="32">
        <v>86.6</v>
      </c>
      <c r="CB223" s="32">
        <v>93.4</v>
      </c>
      <c r="CC223" s="32">
        <v>81.599999999999994</v>
      </c>
      <c r="CD223" s="32">
        <v>66.3</v>
      </c>
      <c r="CE223" s="32">
        <v>93.1</v>
      </c>
      <c r="CF223" s="32">
        <v>88.8</v>
      </c>
      <c r="CG223" s="32">
        <v>100.4</v>
      </c>
      <c r="CH223" s="32">
        <v>104.1</v>
      </c>
      <c r="CI223" s="32">
        <v>127.2</v>
      </c>
      <c r="CJ223" s="32">
        <v>99.3</v>
      </c>
      <c r="CK223" s="32">
        <v>103.1</v>
      </c>
      <c r="CL223" s="32">
        <v>95.3</v>
      </c>
      <c r="CM223" s="32">
        <v>110.4</v>
      </c>
      <c r="CN223" s="32">
        <v>173.3</v>
      </c>
      <c r="CO223" s="32">
        <v>96.7</v>
      </c>
      <c r="CP223" s="32">
        <v>149.69999999999999</v>
      </c>
      <c r="CQ223" s="32">
        <v>92.3</v>
      </c>
      <c r="CR223" s="32">
        <v>101.1</v>
      </c>
      <c r="CS223" s="32">
        <v>97.2</v>
      </c>
      <c r="CT223" s="32">
        <v>92.7</v>
      </c>
      <c r="CU223" s="32">
        <v>91.4</v>
      </c>
      <c r="CV223" s="32">
        <v>93.3</v>
      </c>
      <c r="CW223" s="32">
        <v>59.2</v>
      </c>
      <c r="CX223" s="32">
        <v>107.6</v>
      </c>
      <c r="CY223" s="32">
        <v>111.5</v>
      </c>
      <c r="CZ223" s="32">
        <v>105.5</v>
      </c>
      <c r="DA223" s="32">
        <v>96.4</v>
      </c>
      <c r="DB223" s="32">
        <v>123.7</v>
      </c>
      <c r="DC223" s="32">
        <v>25</v>
      </c>
      <c r="DD223" s="32">
        <v>25</v>
      </c>
      <c r="DE223" s="32">
        <v>76.5</v>
      </c>
      <c r="DF223" s="32">
        <v>75.400000000000006</v>
      </c>
      <c r="DG223" s="32">
        <v>82.1</v>
      </c>
      <c r="DH223" s="32">
        <v>94.7</v>
      </c>
      <c r="DI223" s="32">
        <v>128.6</v>
      </c>
      <c r="DJ223" s="32">
        <v>74.8</v>
      </c>
      <c r="DK223" s="32">
        <v>74.8</v>
      </c>
      <c r="DL223" s="32">
        <v>65.900000000000006</v>
      </c>
      <c r="DM223" s="32">
        <v>90.3</v>
      </c>
      <c r="DN223" s="32">
        <v>92.6</v>
      </c>
      <c r="DO223" s="32">
        <v>89.4</v>
      </c>
      <c r="DP223" s="32">
        <v>88.9</v>
      </c>
      <c r="DQ223" s="32">
        <v>86.6</v>
      </c>
      <c r="DR223" s="32">
        <v>83.7</v>
      </c>
      <c r="DS223" s="32">
        <v>85.7</v>
      </c>
      <c r="DT223" s="32">
        <v>80.7</v>
      </c>
      <c r="DU223" s="32">
        <v>82.8</v>
      </c>
      <c r="DV223" s="32">
        <v>94.7</v>
      </c>
      <c r="DW223" s="32">
        <v>70.599999999999994</v>
      </c>
      <c r="DX223" s="32">
        <v>76.5</v>
      </c>
      <c r="DY223" s="32">
        <v>103.7</v>
      </c>
      <c r="DZ223" s="32">
        <v>79</v>
      </c>
      <c r="EA223" s="32">
        <v>79</v>
      </c>
      <c r="EB223" s="32">
        <v>79.7</v>
      </c>
      <c r="EC223" s="32">
        <v>84.9</v>
      </c>
      <c r="ED223" s="32">
        <v>72.8</v>
      </c>
      <c r="EE223" s="32">
        <v>79.7</v>
      </c>
      <c r="EF223" s="32">
        <v>58.2</v>
      </c>
      <c r="EG223" s="32">
        <v>91.4</v>
      </c>
      <c r="EH223" s="32">
        <v>113.9</v>
      </c>
      <c r="EI223" s="32">
        <v>90.7</v>
      </c>
      <c r="EJ223" s="32">
        <v>104.4</v>
      </c>
      <c r="EK223" s="32">
        <v>79.5</v>
      </c>
      <c r="EL223" s="32">
        <v>87.1</v>
      </c>
      <c r="EM223" s="32">
        <v>67.599999999999994</v>
      </c>
      <c r="EN223" s="32">
        <v>86</v>
      </c>
      <c r="EO223" s="32">
        <v>90.1</v>
      </c>
      <c r="EP223" s="32">
        <v>85.2</v>
      </c>
      <c r="EQ223" s="32">
        <v>85.2</v>
      </c>
      <c r="ER223" s="32">
        <v>83.8</v>
      </c>
      <c r="ES223" s="32">
        <v>83.8</v>
      </c>
      <c r="ET223" s="32">
        <v>101.4</v>
      </c>
      <c r="EU223" s="32">
        <v>113.2</v>
      </c>
      <c r="EV223" s="32">
        <v>113.2</v>
      </c>
      <c r="EW223" s="32">
        <v>88.6</v>
      </c>
      <c r="EX223" s="32">
        <v>91.5</v>
      </c>
      <c r="EY223" s="32">
        <v>86.3</v>
      </c>
      <c r="EZ223" s="32">
        <v>97.5</v>
      </c>
      <c r="FA223" s="32">
        <v>103.1</v>
      </c>
      <c r="FB223" s="32">
        <v>115.2</v>
      </c>
      <c r="FC223" s="32">
        <v>99.5</v>
      </c>
      <c r="FD223" s="32">
        <v>96.3</v>
      </c>
      <c r="FE223" s="32">
        <v>153</v>
      </c>
      <c r="FF223" s="32">
        <v>89.5</v>
      </c>
      <c r="FG223" s="32">
        <v>90.9</v>
      </c>
      <c r="FH223" s="32">
        <v>89.4</v>
      </c>
      <c r="FI223" s="32">
        <v>111.8</v>
      </c>
      <c r="FJ223" s="32">
        <v>89.1</v>
      </c>
      <c r="FK223" s="32">
        <v>138</v>
      </c>
      <c r="FL223" s="32">
        <v>138</v>
      </c>
    </row>
    <row r="224" spans="1:168" x14ac:dyDescent="0.2">
      <c r="A224" s="34" t="s">
        <v>1204</v>
      </c>
      <c r="B224" s="32">
        <v>89.9</v>
      </c>
      <c r="C224" s="32">
        <v>102.8</v>
      </c>
      <c r="D224" s="32">
        <v>96.8</v>
      </c>
      <c r="E224" s="32">
        <v>98.5</v>
      </c>
      <c r="F224" s="32">
        <v>103.7</v>
      </c>
      <c r="G224" s="32">
        <v>3120.6</v>
      </c>
      <c r="H224" s="32">
        <v>93.9</v>
      </c>
      <c r="I224" s="32">
        <v>132</v>
      </c>
      <c r="J224" s="32">
        <v>97.8</v>
      </c>
      <c r="K224" s="32">
        <v>82.7</v>
      </c>
      <c r="L224" s="32">
        <v>80.599999999999994</v>
      </c>
      <c r="M224" s="32">
        <v>58</v>
      </c>
      <c r="N224" s="32">
        <v>77.2</v>
      </c>
      <c r="O224" s="32">
        <v>194.7</v>
      </c>
      <c r="P224" s="32">
        <v>148.5</v>
      </c>
      <c r="Q224" s="32">
        <v>109.6</v>
      </c>
      <c r="R224" s="32">
        <v>70.3</v>
      </c>
      <c r="S224" s="32">
        <v>83.7</v>
      </c>
      <c r="T224" s="32">
        <v>207.5</v>
      </c>
      <c r="U224" s="32">
        <v>84.1</v>
      </c>
      <c r="V224" s="32">
        <v>95.5</v>
      </c>
      <c r="W224" s="32">
        <v>93.6</v>
      </c>
      <c r="X224" s="32">
        <v>63.7</v>
      </c>
      <c r="Y224" s="32">
        <v>153.1</v>
      </c>
      <c r="Z224" s="32">
        <v>142.9</v>
      </c>
      <c r="AA224" s="32">
        <v>103.2</v>
      </c>
      <c r="AB224" s="32">
        <v>98.7</v>
      </c>
      <c r="AC224" s="32">
        <v>99.8</v>
      </c>
      <c r="AD224" s="32">
        <v>111.6</v>
      </c>
      <c r="AE224" s="32">
        <v>90.4</v>
      </c>
      <c r="AF224" s="32">
        <v>90.4</v>
      </c>
      <c r="AG224" s="32">
        <v>125.4</v>
      </c>
      <c r="AH224" s="32">
        <v>125.4</v>
      </c>
      <c r="AI224" s="32">
        <v>108</v>
      </c>
      <c r="AJ224" s="32">
        <v>217.2</v>
      </c>
      <c r="AK224" s="32">
        <v>129.69999999999999</v>
      </c>
      <c r="AL224" s="32">
        <v>110</v>
      </c>
      <c r="AM224" s="32">
        <v>80.400000000000006</v>
      </c>
      <c r="AN224" s="32">
        <v>209.1</v>
      </c>
      <c r="AO224" s="32">
        <v>94.9</v>
      </c>
      <c r="AP224" s="32">
        <v>94.9</v>
      </c>
      <c r="AQ224" s="32">
        <v>118.2</v>
      </c>
      <c r="AR224" s="32">
        <v>126.4</v>
      </c>
      <c r="AS224" s="32">
        <v>108.8</v>
      </c>
      <c r="AT224" s="32">
        <v>83.5</v>
      </c>
      <c r="AU224" s="32">
        <v>133.80000000000001</v>
      </c>
      <c r="AV224" s="32">
        <v>108.6</v>
      </c>
      <c r="AW224" s="32">
        <v>146.4</v>
      </c>
      <c r="AX224" s="32">
        <v>298.2</v>
      </c>
      <c r="AY224" s="32">
        <v>88.1</v>
      </c>
      <c r="AZ224" s="32">
        <v>103.4</v>
      </c>
      <c r="BA224" s="32">
        <v>79.5</v>
      </c>
      <c r="BB224" s="32">
        <v>79.5</v>
      </c>
      <c r="BC224" s="32">
        <v>109.4</v>
      </c>
      <c r="BD224" s="32">
        <v>109.4</v>
      </c>
      <c r="BE224" s="32">
        <v>103</v>
      </c>
      <c r="BF224" s="32">
        <v>103</v>
      </c>
      <c r="BG224" s="32">
        <v>99.5</v>
      </c>
      <c r="BH224" s="32">
        <v>120.6</v>
      </c>
      <c r="BI224" s="32">
        <v>76.099999999999994</v>
      </c>
      <c r="BJ224" s="32">
        <v>33.200000000000003</v>
      </c>
      <c r="BK224" s="32">
        <v>87.9</v>
      </c>
      <c r="BL224" s="32">
        <v>115.6</v>
      </c>
      <c r="BM224" s="32">
        <v>101.7</v>
      </c>
      <c r="BN224" s="32">
        <v>107.4</v>
      </c>
      <c r="BO224" s="32">
        <v>94.9</v>
      </c>
      <c r="BP224" s="32">
        <v>118.8</v>
      </c>
      <c r="BQ224" s="32">
        <v>96.2</v>
      </c>
      <c r="BR224" s="32">
        <v>133</v>
      </c>
      <c r="BS224" s="32">
        <v>129.5</v>
      </c>
      <c r="BT224" s="32">
        <v>81.900000000000006</v>
      </c>
      <c r="BU224" s="32">
        <v>122</v>
      </c>
      <c r="BV224" s="32">
        <v>122</v>
      </c>
      <c r="BW224" s="32">
        <v>140.30000000000001</v>
      </c>
      <c r="BX224" s="32">
        <v>73.400000000000006</v>
      </c>
      <c r="BY224" s="32">
        <v>87.5</v>
      </c>
      <c r="BZ224" s="32">
        <v>86.2</v>
      </c>
      <c r="CA224" s="32">
        <v>88.1</v>
      </c>
      <c r="CB224" s="32">
        <v>95.7</v>
      </c>
      <c r="CC224" s="32">
        <v>82.3</v>
      </c>
      <c r="CD224" s="32">
        <v>68.099999999999994</v>
      </c>
      <c r="CE224" s="32">
        <v>94.5</v>
      </c>
      <c r="CF224" s="32">
        <v>88.5</v>
      </c>
      <c r="CG224" s="32">
        <v>100</v>
      </c>
      <c r="CH224" s="32">
        <v>103.8</v>
      </c>
      <c r="CI224" s="32">
        <v>125.7</v>
      </c>
      <c r="CJ224" s="32">
        <v>98.5</v>
      </c>
      <c r="CK224" s="32">
        <v>103.4</v>
      </c>
      <c r="CL224" s="32">
        <v>93.7</v>
      </c>
      <c r="CM224" s="32">
        <v>108.6</v>
      </c>
      <c r="CN224" s="32">
        <v>171.5</v>
      </c>
      <c r="CO224" s="32">
        <v>95.1</v>
      </c>
      <c r="CP224" s="32">
        <v>147.5</v>
      </c>
      <c r="CQ224" s="32">
        <v>86</v>
      </c>
      <c r="CR224" s="32">
        <v>102.5</v>
      </c>
      <c r="CS224" s="32">
        <v>91.1</v>
      </c>
      <c r="CT224" s="32">
        <v>93.5</v>
      </c>
      <c r="CU224" s="32">
        <v>93</v>
      </c>
      <c r="CV224" s="32">
        <v>93.7</v>
      </c>
      <c r="CW224" s="32">
        <v>58.6</v>
      </c>
      <c r="CX224" s="32">
        <v>103.2</v>
      </c>
      <c r="CY224" s="32">
        <v>108.4</v>
      </c>
      <c r="CZ224" s="32">
        <v>100.3</v>
      </c>
      <c r="DA224" s="32">
        <v>90.3</v>
      </c>
      <c r="DB224" s="32">
        <v>120.5</v>
      </c>
      <c r="DC224" s="32">
        <v>25.7</v>
      </c>
      <c r="DD224" s="32">
        <v>25.7</v>
      </c>
      <c r="DE224" s="32">
        <v>74.8</v>
      </c>
      <c r="DF224" s="32">
        <v>73.7</v>
      </c>
      <c r="DG224" s="32">
        <v>80.099999999999994</v>
      </c>
      <c r="DH224" s="32">
        <v>92.7</v>
      </c>
      <c r="DI224" s="32">
        <v>129</v>
      </c>
      <c r="DJ224" s="32">
        <v>71.900000000000006</v>
      </c>
      <c r="DK224" s="32">
        <v>71.900000000000006</v>
      </c>
      <c r="DL224" s="32">
        <v>62.4</v>
      </c>
      <c r="DM224" s="32">
        <v>90.5</v>
      </c>
      <c r="DN224" s="32">
        <v>92.7</v>
      </c>
      <c r="DO224" s="32">
        <v>89.6</v>
      </c>
      <c r="DP224" s="32">
        <v>89.4</v>
      </c>
      <c r="DQ224" s="32">
        <v>87.1</v>
      </c>
      <c r="DR224" s="32">
        <v>83.8</v>
      </c>
      <c r="DS224" s="32">
        <v>83.9</v>
      </c>
      <c r="DT224" s="32">
        <v>79.8</v>
      </c>
      <c r="DU224" s="32">
        <v>81.900000000000006</v>
      </c>
      <c r="DV224" s="32">
        <v>92.9</v>
      </c>
      <c r="DW224" s="32">
        <v>70.7</v>
      </c>
      <c r="DX224" s="32">
        <v>75.5</v>
      </c>
      <c r="DY224" s="32">
        <v>98.8</v>
      </c>
      <c r="DZ224" s="32">
        <v>89.8</v>
      </c>
      <c r="EA224" s="32">
        <v>89.8</v>
      </c>
      <c r="EB224" s="32">
        <v>81.5</v>
      </c>
      <c r="EC224" s="32">
        <v>88.3</v>
      </c>
      <c r="ED224" s="32">
        <v>72.2</v>
      </c>
      <c r="EE224" s="32">
        <v>78.7</v>
      </c>
      <c r="EF224" s="32">
        <v>58.5</v>
      </c>
      <c r="EG224" s="32">
        <v>92.5</v>
      </c>
      <c r="EH224" s="32">
        <v>115.9</v>
      </c>
      <c r="EI224" s="32">
        <v>90.8</v>
      </c>
      <c r="EJ224" s="32">
        <v>104</v>
      </c>
      <c r="EK224" s="32">
        <v>81.2</v>
      </c>
      <c r="EL224" s="32">
        <v>87.7</v>
      </c>
      <c r="EM224" s="32">
        <v>68.099999999999994</v>
      </c>
      <c r="EN224" s="32">
        <v>88.5</v>
      </c>
      <c r="EO224" s="32">
        <v>90.3</v>
      </c>
      <c r="EP224" s="32">
        <v>84.9</v>
      </c>
      <c r="EQ224" s="32">
        <v>84.9</v>
      </c>
      <c r="ER224" s="32">
        <v>84.4</v>
      </c>
      <c r="ES224" s="32">
        <v>84.4</v>
      </c>
      <c r="ET224" s="32">
        <v>101.5</v>
      </c>
      <c r="EU224" s="32">
        <v>112.8</v>
      </c>
      <c r="EV224" s="32">
        <v>112.8</v>
      </c>
      <c r="EW224" s="32">
        <v>89.7</v>
      </c>
      <c r="EX224" s="32">
        <v>92</v>
      </c>
      <c r="EY224" s="32">
        <v>87.9</v>
      </c>
      <c r="EZ224" s="32">
        <v>96.6</v>
      </c>
      <c r="FA224" s="32">
        <v>103.1</v>
      </c>
      <c r="FB224" s="32">
        <v>115.6</v>
      </c>
      <c r="FC224" s="32">
        <v>101.2</v>
      </c>
      <c r="FD224" s="32">
        <v>94</v>
      </c>
      <c r="FE224" s="32">
        <v>152.6</v>
      </c>
      <c r="FF224" s="32">
        <v>89</v>
      </c>
      <c r="FG224" s="32">
        <v>89.3</v>
      </c>
      <c r="FH224" s="32">
        <v>88.4</v>
      </c>
      <c r="FI224" s="32">
        <v>109.8</v>
      </c>
      <c r="FJ224" s="32">
        <v>87.3</v>
      </c>
      <c r="FK224" s="32">
        <v>136.80000000000001</v>
      </c>
      <c r="FL224" s="32">
        <v>136.80000000000001</v>
      </c>
    </row>
    <row r="225" spans="1:168" x14ac:dyDescent="0.2">
      <c r="A225" s="34" t="s">
        <v>1205</v>
      </c>
      <c r="B225" s="32">
        <v>90.4</v>
      </c>
      <c r="C225" s="32">
        <v>102.4</v>
      </c>
      <c r="D225" s="32">
        <v>97.5</v>
      </c>
      <c r="E225" s="32">
        <v>98.9</v>
      </c>
      <c r="F225" s="32">
        <v>110.9</v>
      </c>
      <c r="G225" s="32">
        <v>2662.2</v>
      </c>
      <c r="H225" s="32">
        <v>102.1</v>
      </c>
      <c r="I225" s="32">
        <v>133.9</v>
      </c>
      <c r="J225" s="32">
        <v>97.3</v>
      </c>
      <c r="K225" s="32">
        <v>82</v>
      </c>
      <c r="L225" s="32">
        <v>79.5</v>
      </c>
      <c r="M225" s="32">
        <v>52.9</v>
      </c>
      <c r="N225" s="32">
        <v>74.5</v>
      </c>
      <c r="O225" s="32">
        <v>182.9</v>
      </c>
      <c r="P225" s="32">
        <v>144.6</v>
      </c>
      <c r="Q225" s="32">
        <v>112.8</v>
      </c>
      <c r="R225" s="32">
        <v>71.8</v>
      </c>
      <c r="S225" s="32">
        <v>83.7</v>
      </c>
      <c r="T225" s="32">
        <v>201.7</v>
      </c>
      <c r="U225" s="32">
        <v>91.1</v>
      </c>
      <c r="V225" s="32">
        <v>94.1</v>
      </c>
      <c r="W225" s="32">
        <v>94.8</v>
      </c>
      <c r="X225" s="32">
        <v>65.5</v>
      </c>
      <c r="Y225" s="32">
        <v>156.80000000000001</v>
      </c>
      <c r="Z225" s="32">
        <v>115.6</v>
      </c>
      <c r="AA225" s="32">
        <v>104.7</v>
      </c>
      <c r="AB225" s="32">
        <v>105.5</v>
      </c>
      <c r="AC225" s="32">
        <v>100.6</v>
      </c>
      <c r="AD225" s="32">
        <v>110.1</v>
      </c>
      <c r="AE225" s="32">
        <v>95.3</v>
      </c>
      <c r="AF225" s="32">
        <v>95.3</v>
      </c>
      <c r="AG225" s="32">
        <v>127.6</v>
      </c>
      <c r="AH225" s="32">
        <v>127.6</v>
      </c>
      <c r="AI225" s="32">
        <v>102.3</v>
      </c>
      <c r="AJ225" s="32">
        <v>232.7</v>
      </c>
      <c r="AK225" s="32">
        <v>150.80000000000001</v>
      </c>
      <c r="AL225" s="32">
        <v>111</v>
      </c>
      <c r="AM225" s="32">
        <v>79.8</v>
      </c>
      <c r="AN225" s="32">
        <v>201.9</v>
      </c>
      <c r="AO225" s="32">
        <v>80.900000000000006</v>
      </c>
      <c r="AP225" s="32">
        <v>80.900000000000006</v>
      </c>
      <c r="AQ225" s="32">
        <v>117.2</v>
      </c>
      <c r="AR225" s="32">
        <v>125.7</v>
      </c>
      <c r="AS225" s="32">
        <v>107.4</v>
      </c>
      <c r="AT225" s="32">
        <v>82.3</v>
      </c>
      <c r="AU225" s="32">
        <v>132</v>
      </c>
      <c r="AV225" s="32">
        <v>110.3</v>
      </c>
      <c r="AW225" s="32">
        <v>149.1</v>
      </c>
      <c r="AX225" s="32">
        <v>300</v>
      </c>
      <c r="AY225" s="32">
        <v>91.4</v>
      </c>
      <c r="AZ225" s="32">
        <v>104.9</v>
      </c>
      <c r="BA225" s="32">
        <v>79</v>
      </c>
      <c r="BB225" s="32">
        <v>79</v>
      </c>
      <c r="BC225" s="32">
        <v>108.8</v>
      </c>
      <c r="BD225" s="32">
        <v>108.8</v>
      </c>
      <c r="BE225" s="32">
        <v>105.2</v>
      </c>
      <c r="BF225" s="32">
        <v>105.2</v>
      </c>
      <c r="BG225" s="32">
        <v>99.5</v>
      </c>
      <c r="BH225" s="32">
        <v>120.3</v>
      </c>
      <c r="BI225" s="32">
        <v>76.3</v>
      </c>
      <c r="BJ225" s="32">
        <v>32.700000000000003</v>
      </c>
      <c r="BK225" s="32">
        <v>88.5</v>
      </c>
      <c r="BL225" s="32">
        <v>116.6</v>
      </c>
      <c r="BM225" s="32">
        <v>102.3</v>
      </c>
      <c r="BN225" s="32">
        <v>108.1</v>
      </c>
      <c r="BO225" s="32">
        <v>92.4</v>
      </c>
      <c r="BP225" s="32">
        <v>122.9</v>
      </c>
      <c r="BQ225" s="32">
        <v>96.8</v>
      </c>
      <c r="BR225" s="32">
        <v>120.9</v>
      </c>
      <c r="BS225" s="32">
        <v>124.8</v>
      </c>
      <c r="BT225" s="32">
        <v>85.6</v>
      </c>
      <c r="BU225" s="32">
        <v>121.3</v>
      </c>
      <c r="BV225" s="32">
        <v>121.3</v>
      </c>
      <c r="BW225" s="32">
        <v>143</v>
      </c>
      <c r="BX225" s="32">
        <v>69.2</v>
      </c>
      <c r="BY225" s="32">
        <v>90.6</v>
      </c>
      <c r="BZ225" s="32">
        <v>86.9</v>
      </c>
      <c r="CA225" s="32">
        <v>92.3</v>
      </c>
      <c r="CB225" s="32">
        <v>99.7</v>
      </c>
      <c r="CC225" s="32">
        <v>86.7</v>
      </c>
      <c r="CD225" s="32">
        <v>73.099999999999994</v>
      </c>
      <c r="CE225" s="32">
        <v>95.9</v>
      </c>
      <c r="CF225" s="32">
        <v>88.9</v>
      </c>
      <c r="CG225" s="32">
        <v>100.3</v>
      </c>
      <c r="CH225" s="32">
        <v>104.3</v>
      </c>
      <c r="CI225" s="32">
        <v>125.1</v>
      </c>
      <c r="CJ225" s="32">
        <v>99.2</v>
      </c>
      <c r="CK225" s="32">
        <v>104</v>
      </c>
      <c r="CL225" s="32">
        <v>94.5</v>
      </c>
      <c r="CM225" s="32">
        <v>107.5</v>
      </c>
      <c r="CN225" s="32">
        <v>170.1</v>
      </c>
      <c r="CO225" s="32">
        <v>94.1</v>
      </c>
      <c r="CP225" s="32">
        <v>147.80000000000001</v>
      </c>
      <c r="CQ225" s="32">
        <v>85.6</v>
      </c>
      <c r="CR225" s="32">
        <v>103.8</v>
      </c>
      <c r="CS225" s="32">
        <v>95.5</v>
      </c>
      <c r="CT225" s="32">
        <v>92.7</v>
      </c>
      <c r="CU225" s="32">
        <v>91</v>
      </c>
      <c r="CV225" s="32">
        <v>93.5</v>
      </c>
      <c r="CW225" s="32">
        <v>59</v>
      </c>
      <c r="CX225" s="32">
        <v>104.5</v>
      </c>
      <c r="CY225" s="32">
        <v>110.2</v>
      </c>
      <c r="CZ225" s="32">
        <v>101.4</v>
      </c>
      <c r="DA225" s="32">
        <v>89.5</v>
      </c>
      <c r="DB225" s="32">
        <v>125.4</v>
      </c>
      <c r="DC225" s="32">
        <v>25.8</v>
      </c>
      <c r="DD225" s="32">
        <v>25.8</v>
      </c>
      <c r="DE225" s="32">
        <v>75.400000000000006</v>
      </c>
      <c r="DF225" s="32">
        <v>75.099999999999994</v>
      </c>
      <c r="DG225" s="32">
        <v>76.599999999999994</v>
      </c>
      <c r="DH225" s="32">
        <v>92.7</v>
      </c>
      <c r="DI225" s="32">
        <v>127.7</v>
      </c>
      <c r="DJ225" s="32">
        <v>70.2</v>
      </c>
      <c r="DK225" s="32">
        <v>70.2</v>
      </c>
      <c r="DL225" s="32">
        <v>65.3</v>
      </c>
      <c r="DM225" s="32">
        <v>91.6</v>
      </c>
      <c r="DN225" s="32">
        <v>93.5</v>
      </c>
      <c r="DO225" s="32">
        <v>90.7</v>
      </c>
      <c r="DP225" s="32">
        <v>92.9</v>
      </c>
      <c r="DQ225" s="32">
        <v>87.2</v>
      </c>
      <c r="DR225" s="32">
        <v>83.8</v>
      </c>
      <c r="DS225" s="32">
        <v>85.8</v>
      </c>
      <c r="DT225" s="32">
        <v>81.7</v>
      </c>
      <c r="DU225" s="32">
        <v>84.3</v>
      </c>
      <c r="DV225" s="32">
        <v>95.3</v>
      </c>
      <c r="DW225" s="32">
        <v>72.900000000000006</v>
      </c>
      <c r="DX225" s="32">
        <v>76.3</v>
      </c>
      <c r="DY225" s="32">
        <v>100.7</v>
      </c>
      <c r="DZ225" s="32">
        <v>81.599999999999994</v>
      </c>
      <c r="EA225" s="32">
        <v>81.599999999999994</v>
      </c>
      <c r="EB225" s="32">
        <v>79.2</v>
      </c>
      <c r="EC225" s="32">
        <v>87.4</v>
      </c>
      <c r="ED225" s="32">
        <v>68.099999999999994</v>
      </c>
      <c r="EE225" s="32">
        <v>72.599999999999994</v>
      </c>
      <c r="EF225" s="32">
        <v>58.4</v>
      </c>
      <c r="EG225" s="32">
        <v>92.6</v>
      </c>
      <c r="EH225" s="32">
        <v>112.9</v>
      </c>
      <c r="EI225" s="32">
        <v>92.4</v>
      </c>
      <c r="EJ225" s="32">
        <v>107.1</v>
      </c>
      <c r="EK225" s="32">
        <v>81</v>
      </c>
      <c r="EL225" s="32">
        <v>88.5</v>
      </c>
      <c r="EM225" s="32">
        <v>69.599999999999994</v>
      </c>
      <c r="EN225" s="32">
        <v>87.1</v>
      </c>
      <c r="EO225" s="32">
        <v>90.8</v>
      </c>
      <c r="EP225" s="32">
        <v>85.6</v>
      </c>
      <c r="EQ225" s="32">
        <v>85.6</v>
      </c>
      <c r="ER225" s="32">
        <v>84.5</v>
      </c>
      <c r="ES225" s="32">
        <v>84.5</v>
      </c>
      <c r="ET225" s="32">
        <v>102.4</v>
      </c>
      <c r="EU225" s="32">
        <v>113.3</v>
      </c>
      <c r="EV225" s="32">
        <v>113.3</v>
      </c>
      <c r="EW225" s="32">
        <v>91.4</v>
      </c>
      <c r="EX225" s="32">
        <v>93</v>
      </c>
      <c r="EY225" s="32">
        <v>90.1</v>
      </c>
      <c r="EZ225" s="32">
        <v>96.2</v>
      </c>
      <c r="FA225" s="32">
        <v>102</v>
      </c>
      <c r="FB225" s="32">
        <v>114.1</v>
      </c>
      <c r="FC225" s="32">
        <v>96.8</v>
      </c>
      <c r="FD225" s="32">
        <v>97.4</v>
      </c>
      <c r="FE225" s="32">
        <v>153.80000000000001</v>
      </c>
      <c r="FF225" s="32">
        <v>88.3</v>
      </c>
      <c r="FG225" s="32">
        <v>89.7</v>
      </c>
      <c r="FH225" s="32">
        <v>88</v>
      </c>
      <c r="FI225" s="32">
        <v>108.6</v>
      </c>
      <c r="FJ225" s="32">
        <v>88.2</v>
      </c>
      <c r="FK225" s="32">
        <v>132.5</v>
      </c>
      <c r="FL225" s="32">
        <v>132.5</v>
      </c>
    </row>
    <row r="226" spans="1:168" x14ac:dyDescent="0.2">
      <c r="A226" s="34" t="s">
        <v>1206</v>
      </c>
      <c r="B226" s="32">
        <v>90.3</v>
      </c>
      <c r="C226" s="32">
        <v>100.8</v>
      </c>
      <c r="D226" s="32">
        <v>97.6</v>
      </c>
      <c r="E226" s="32">
        <v>99.4</v>
      </c>
      <c r="F226" s="32">
        <v>118</v>
      </c>
      <c r="G226" s="32">
        <v>2540.3000000000002</v>
      </c>
      <c r="H226" s="32">
        <v>110.5</v>
      </c>
      <c r="I226" s="32">
        <v>134.6</v>
      </c>
      <c r="J226" s="32">
        <v>96.8</v>
      </c>
      <c r="K226" s="32">
        <v>82</v>
      </c>
      <c r="L226" s="32">
        <v>79.8</v>
      </c>
      <c r="M226" s="32">
        <v>52.9</v>
      </c>
      <c r="N226" s="32">
        <v>74.900000000000006</v>
      </c>
      <c r="O226" s="32">
        <v>181.2</v>
      </c>
      <c r="P226" s="32">
        <v>135.19999999999999</v>
      </c>
      <c r="Q226" s="32">
        <v>111.2</v>
      </c>
      <c r="R226" s="32">
        <v>75.099999999999994</v>
      </c>
      <c r="S226" s="32">
        <v>83.8</v>
      </c>
      <c r="T226" s="32">
        <v>203</v>
      </c>
      <c r="U226" s="32">
        <v>86.5</v>
      </c>
      <c r="V226" s="32">
        <v>94.4</v>
      </c>
      <c r="W226" s="32">
        <v>98.3</v>
      </c>
      <c r="X226" s="32">
        <v>66</v>
      </c>
      <c r="Y226" s="32">
        <v>166</v>
      </c>
      <c r="Z226" s="32">
        <v>130.80000000000001</v>
      </c>
      <c r="AA226" s="32">
        <v>102.3</v>
      </c>
      <c r="AB226" s="32">
        <v>105</v>
      </c>
      <c r="AC226" s="32">
        <v>98.5</v>
      </c>
      <c r="AD226" s="32">
        <v>106.1</v>
      </c>
      <c r="AE226" s="32">
        <v>101.7</v>
      </c>
      <c r="AF226" s="32">
        <v>101.7</v>
      </c>
      <c r="AG226" s="32">
        <v>127.3</v>
      </c>
      <c r="AH226" s="32">
        <v>127.3</v>
      </c>
      <c r="AI226" s="32">
        <v>105.9</v>
      </c>
      <c r="AJ226" s="32">
        <v>248</v>
      </c>
      <c r="AK226" s="32">
        <v>115.3</v>
      </c>
      <c r="AL226" s="32">
        <v>106.8</v>
      </c>
      <c r="AM226" s="32">
        <v>74.8</v>
      </c>
      <c r="AN226" s="32">
        <v>214.5</v>
      </c>
      <c r="AO226" s="32">
        <v>90.4</v>
      </c>
      <c r="AP226" s="32">
        <v>90.4</v>
      </c>
      <c r="AQ226" s="32">
        <v>117</v>
      </c>
      <c r="AR226" s="32">
        <v>127.5</v>
      </c>
      <c r="AS226" s="32">
        <v>104.3</v>
      </c>
      <c r="AT226" s="32">
        <v>81.8</v>
      </c>
      <c r="AU226" s="32">
        <v>126.6</v>
      </c>
      <c r="AV226" s="32">
        <v>107</v>
      </c>
      <c r="AW226" s="32">
        <v>148.30000000000001</v>
      </c>
      <c r="AX226" s="32">
        <v>304.5</v>
      </c>
      <c r="AY226" s="32">
        <v>88.2</v>
      </c>
      <c r="AZ226" s="32">
        <v>101</v>
      </c>
      <c r="BA226" s="32">
        <v>76.8</v>
      </c>
      <c r="BB226" s="32">
        <v>76.8</v>
      </c>
      <c r="BC226" s="32">
        <v>106.7</v>
      </c>
      <c r="BD226" s="32">
        <v>106.7</v>
      </c>
      <c r="BE226" s="32">
        <v>99.4</v>
      </c>
      <c r="BF226" s="32">
        <v>99.4</v>
      </c>
      <c r="BG226" s="32">
        <v>99.8</v>
      </c>
      <c r="BH226" s="32">
        <v>122.5</v>
      </c>
      <c r="BI226" s="32">
        <v>74.599999999999994</v>
      </c>
      <c r="BJ226" s="32">
        <v>32.5</v>
      </c>
      <c r="BK226" s="32">
        <v>85.4</v>
      </c>
      <c r="BL226" s="32">
        <v>121.4</v>
      </c>
      <c r="BM226" s="32">
        <v>99.2</v>
      </c>
      <c r="BN226" s="32">
        <v>105</v>
      </c>
      <c r="BO226" s="32">
        <v>90.8</v>
      </c>
      <c r="BP226" s="32">
        <v>118.3</v>
      </c>
      <c r="BQ226" s="32">
        <v>93.6</v>
      </c>
      <c r="BR226" s="32">
        <v>115.6</v>
      </c>
      <c r="BS226" s="32">
        <v>122.5</v>
      </c>
      <c r="BT226" s="32">
        <v>82.4</v>
      </c>
      <c r="BU226" s="32">
        <v>125.2</v>
      </c>
      <c r="BV226" s="32">
        <v>125.2</v>
      </c>
      <c r="BW226" s="32">
        <v>144.69999999999999</v>
      </c>
      <c r="BX226" s="32">
        <v>74.5</v>
      </c>
      <c r="BY226" s="32">
        <v>89.3</v>
      </c>
      <c r="BZ226" s="32">
        <v>84.5</v>
      </c>
      <c r="CA226" s="32">
        <v>91.5</v>
      </c>
      <c r="CB226" s="32">
        <v>98.1</v>
      </c>
      <c r="CC226" s="32">
        <v>86.7</v>
      </c>
      <c r="CD226" s="32">
        <v>73.3</v>
      </c>
      <c r="CE226" s="32">
        <v>95.2</v>
      </c>
      <c r="CF226" s="32">
        <v>88.8</v>
      </c>
      <c r="CG226" s="32">
        <v>99.1</v>
      </c>
      <c r="CH226" s="32">
        <v>103.2</v>
      </c>
      <c r="CI226" s="32">
        <v>125.9</v>
      </c>
      <c r="CJ226" s="32">
        <v>97.3</v>
      </c>
      <c r="CK226" s="32">
        <v>103.1</v>
      </c>
      <c r="CL226" s="32">
        <v>92.7</v>
      </c>
      <c r="CM226" s="32">
        <v>105.9</v>
      </c>
      <c r="CN226" s="32">
        <v>167.7</v>
      </c>
      <c r="CO226" s="32">
        <v>92.6</v>
      </c>
      <c r="CP226" s="32">
        <v>148.69999999999999</v>
      </c>
      <c r="CQ226" s="32">
        <v>82.6</v>
      </c>
      <c r="CR226" s="32">
        <v>101.9</v>
      </c>
      <c r="CS226" s="32">
        <v>92.3</v>
      </c>
      <c r="CT226" s="32">
        <v>91.7</v>
      </c>
      <c r="CU226" s="32">
        <v>89.6</v>
      </c>
      <c r="CV226" s="32">
        <v>92.6</v>
      </c>
      <c r="CW226" s="32">
        <v>60.5</v>
      </c>
      <c r="CX226" s="32">
        <v>107.3</v>
      </c>
      <c r="CY226" s="32">
        <v>110.1</v>
      </c>
      <c r="CZ226" s="32">
        <v>105.7</v>
      </c>
      <c r="DA226" s="32">
        <v>95.3</v>
      </c>
      <c r="DB226" s="32">
        <v>126.5</v>
      </c>
      <c r="DC226" s="32">
        <v>27</v>
      </c>
      <c r="DD226" s="32">
        <v>27</v>
      </c>
      <c r="DE226" s="32">
        <v>75.900000000000006</v>
      </c>
      <c r="DF226" s="32">
        <v>74.099999999999994</v>
      </c>
      <c r="DG226" s="32">
        <v>85.1</v>
      </c>
      <c r="DH226" s="32">
        <v>90</v>
      </c>
      <c r="DI226" s="32">
        <v>127.9</v>
      </c>
      <c r="DJ226" s="32">
        <v>68.599999999999994</v>
      </c>
      <c r="DK226" s="32">
        <v>68.599999999999994</v>
      </c>
      <c r="DL226" s="32">
        <v>58.5</v>
      </c>
      <c r="DM226" s="32">
        <v>91.5</v>
      </c>
      <c r="DN226" s="32">
        <v>93.2</v>
      </c>
      <c r="DO226" s="32">
        <v>90.8</v>
      </c>
      <c r="DP226" s="32">
        <v>92.2</v>
      </c>
      <c r="DQ226" s="32">
        <v>87.9</v>
      </c>
      <c r="DR226" s="32">
        <v>85.3</v>
      </c>
      <c r="DS226" s="32">
        <v>86</v>
      </c>
      <c r="DT226" s="32">
        <v>81.900000000000006</v>
      </c>
      <c r="DU226" s="32">
        <v>84.9</v>
      </c>
      <c r="DV226" s="32">
        <v>97.1</v>
      </c>
      <c r="DW226" s="32">
        <v>72.400000000000006</v>
      </c>
      <c r="DX226" s="32">
        <v>75.599999999999994</v>
      </c>
      <c r="DY226" s="32">
        <v>100.8</v>
      </c>
      <c r="DZ226" s="32">
        <v>94.5</v>
      </c>
      <c r="EA226" s="32">
        <v>94.5</v>
      </c>
      <c r="EB226" s="32">
        <v>79.900000000000006</v>
      </c>
      <c r="EC226" s="32">
        <v>87.1</v>
      </c>
      <c r="ED226" s="32">
        <v>70.400000000000006</v>
      </c>
      <c r="EE226" s="32">
        <v>75.2</v>
      </c>
      <c r="EF226" s="32">
        <v>59.8</v>
      </c>
      <c r="EG226" s="32">
        <v>92.2</v>
      </c>
      <c r="EH226" s="32">
        <v>112.3</v>
      </c>
      <c r="EI226" s="32">
        <v>91.9</v>
      </c>
      <c r="EJ226" s="32">
        <v>105.7</v>
      </c>
      <c r="EK226" s="32">
        <v>80.8</v>
      </c>
      <c r="EL226" s="32">
        <v>86.7</v>
      </c>
      <c r="EM226" s="32">
        <v>69.400000000000006</v>
      </c>
      <c r="EN226" s="32">
        <v>87.3</v>
      </c>
      <c r="EO226" s="32">
        <v>91.2</v>
      </c>
      <c r="EP226" s="32">
        <v>85</v>
      </c>
      <c r="EQ226" s="32">
        <v>85</v>
      </c>
      <c r="ER226" s="32">
        <v>84.9</v>
      </c>
      <c r="ES226" s="32">
        <v>84.9</v>
      </c>
      <c r="ET226" s="32">
        <v>103.3</v>
      </c>
      <c r="EU226" s="32">
        <v>114.1</v>
      </c>
      <c r="EV226" s="32">
        <v>114.1</v>
      </c>
      <c r="EW226" s="32">
        <v>92.7</v>
      </c>
      <c r="EX226" s="32">
        <v>94</v>
      </c>
      <c r="EY226" s="32">
        <v>91.7</v>
      </c>
      <c r="EZ226" s="32">
        <v>95.8</v>
      </c>
      <c r="FA226" s="32">
        <v>102.1</v>
      </c>
      <c r="FB226" s="32">
        <v>112.3</v>
      </c>
      <c r="FC226" s="32">
        <v>93.4</v>
      </c>
      <c r="FD226" s="32">
        <v>98.4</v>
      </c>
      <c r="FE226" s="32">
        <v>153.5</v>
      </c>
      <c r="FF226" s="32">
        <v>90.5</v>
      </c>
      <c r="FG226" s="32">
        <v>89.4</v>
      </c>
      <c r="FH226" s="32">
        <v>85.9</v>
      </c>
      <c r="FI226" s="32">
        <v>108</v>
      </c>
      <c r="FJ226" s="32">
        <v>88.7</v>
      </c>
      <c r="FK226" s="32">
        <v>123.2</v>
      </c>
      <c r="FL226" s="32">
        <v>123.2</v>
      </c>
    </row>
    <row r="227" spans="1:168" x14ac:dyDescent="0.2">
      <c r="A227" s="34" t="s">
        <v>1207</v>
      </c>
      <c r="B227" s="32">
        <v>90.2</v>
      </c>
      <c r="C227" s="32">
        <v>98.7</v>
      </c>
      <c r="D227" s="32">
        <v>97.8</v>
      </c>
      <c r="E227" s="32">
        <v>99.8</v>
      </c>
      <c r="F227" s="32">
        <v>113.2</v>
      </c>
      <c r="G227" s="32">
        <v>2691.8</v>
      </c>
      <c r="H227" s="32">
        <v>104.2</v>
      </c>
      <c r="I227" s="32">
        <v>136.6</v>
      </c>
      <c r="J227" s="32">
        <v>97.2</v>
      </c>
      <c r="K227" s="32">
        <v>82.1</v>
      </c>
      <c r="L227" s="32">
        <v>80.3</v>
      </c>
      <c r="M227" s="32">
        <v>52.9</v>
      </c>
      <c r="N227" s="32">
        <v>75</v>
      </c>
      <c r="O227" s="32">
        <v>184.2</v>
      </c>
      <c r="P227" s="32">
        <v>136.19999999999999</v>
      </c>
      <c r="Q227" s="32">
        <v>110.4</v>
      </c>
      <c r="R227" s="32">
        <v>76.400000000000006</v>
      </c>
      <c r="S227" s="32">
        <v>84.3</v>
      </c>
      <c r="T227" s="32">
        <v>203.8</v>
      </c>
      <c r="U227" s="32">
        <v>91.9</v>
      </c>
      <c r="V227" s="32">
        <v>91</v>
      </c>
      <c r="W227" s="32">
        <v>95</v>
      </c>
      <c r="X227" s="32">
        <v>69.3</v>
      </c>
      <c r="Y227" s="32">
        <v>147.4</v>
      </c>
      <c r="Z227" s="32">
        <v>116.4</v>
      </c>
      <c r="AA227" s="32">
        <v>103.5</v>
      </c>
      <c r="AB227" s="32">
        <v>108.4</v>
      </c>
      <c r="AC227" s="32">
        <v>97.5</v>
      </c>
      <c r="AD227" s="32">
        <v>107.7</v>
      </c>
      <c r="AE227" s="32">
        <v>104.6</v>
      </c>
      <c r="AF227" s="32">
        <v>104.6</v>
      </c>
      <c r="AG227" s="32">
        <v>126.2</v>
      </c>
      <c r="AH227" s="32">
        <v>126.2</v>
      </c>
      <c r="AI227" s="32">
        <v>98.4</v>
      </c>
      <c r="AJ227" s="32">
        <v>245.7</v>
      </c>
      <c r="AK227" s="32">
        <v>139</v>
      </c>
      <c r="AL227" s="32">
        <v>112.3</v>
      </c>
      <c r="AM227" s="32">
        <v>74.599999999999994</v>
      </c>
      <c r="AN227" s="32">
        <v>199.1</v>
      </c>
      <c r="AO227" s="32">
        <v>84.6</v>
      </c>
      <c r="AP227" s="32">
        <v>84.6</v>
      </c>
      <c r="AQ227" s="32">
        <v>117.9</v>
      </c>
      <c r="AR227" s="32">
        <v>127.5</v>
      </c>
      <c r="AS227" s="32">
        <v>106.6</v>
      </c>
      <c r="AT227" s="32">
        <v>83.7</v>
      </c>
      <c r="AU227" s="32">
        <v>129.30000000000001</v>
      </c>
      <c r="AV227" s="32">
        <v>111.9</v>
      </c>
      <c r="AW227" s="32">
        <v>160.19999999999999</v>
      </c>
      <c r="AX227" s="32">
        <v>337.8</v>
      </c>
      <c r="AY227" s="32">
        <v>91.3</v>
      </c>
      <c r="AZ227" s="32">
        <v>104.5</v>
      </c>
      <c r="BA227" s="32">
        <v>80.900000000000006</v>
      </c>
      <c r="BB227" s="32">
        <v>80.900000000000006</v>
      </c>
      <c r="BC227" s="32">
        <v>105.1</v>
      </c>
      <c r="BD227" s="32">
        <v>105.1</v>
      </c>
      <c r="BE227" s="32">
        <v>101.1</v>
      </c>
      <c r="BF227" s="32">
        <v>101.1</v>
      </c>
      <c r="BG227" s="32">
        <v>99.5</v>
      </c>
      <c r="BH227" s="32">
        <v>123.1</v>
      </c>
      <c r="BI227" s="32">
        <v>73.5</v>
      </c>
      <c r="BJ227" s="32">
        <v>32.700000000000003</v>
      </c>
      <c r="BK227" s="32">
        <v>83.5</v>
      </c>
      <c r="BL227" s="32">
        <v>122.2</v>
      </c>
      <c r="BM227" s="32">
        <v>98.7</v>
      </c>
      <c r="BN227" s="32">
        <v>106.7</v>
      </c>
      <c r="BO227" s="32">
        <v>92.3</v>
      </c>
      <c r="BP227" s="32">
        <v>120.1</v>
      </c>
      <c r="BQ227" s="32">
        <v>90.8</v>
      </c>
      <c r="BR227" s="32">
        <v>96.2</v>
      </c>
      <c r="BS227" s="32">
        <v>119.4</v>
      </c>
      <c r="BT227" s="32">
        <v>81.900000000000006</v>
      </c>
      <c r="BU227" s="32">
        <v>128.69999999999999</v>
      </c>
      <c r="BV227" s="32">
        <v>128.69999999999999</v>
      </c>
      <c r="BW227" s="32">
        <v>148</v>
      </c>
      <c r="BX227" s="32">
        <v>77.400000000000006</v>
      </c>
      <c r="BY227" s="32">
        <v>90.9</v>
      </c>
      <c r="BZ227" s="32">
        <v>85.2</v>
      </c>
      <c r="CA227" s="32">
        <v>93.6</v>
      </c>
      <c r="CB227" s="32">
        <v>103.9</v>
      </c>
      <c r="CC227" s="32">
        <v>85.2</v>
      </c>
      <c r="CD227" s="32">
        <v>73.8</v>
      </c>
      <c r="CE227" s="32">
        <v>94.8</v>
      </c>
      <c r="CF227" s="32">
        <v>88.6</v>
      </c>
      <c r="CG227" s="32">
        <v>99.3</v>
      </c>
      <c r="CH227" s="32">
        <v>103.4</v>
      </c>
      <c r="CI227" s="32">
        <v>126.6</v>
      </c>
      <c r="CJ227" s="32">
        <v>96.8</v>
      </c>
      <c r="CK227" s="32">
        <v>103.6</v>
      </c>
      <c r="CL227" s="32">
        <v>93.5</v>
      </c>
      <c r="CM227" s="32">
        <v>105.8</v>
      </c>
      <c r="CN227" s="32">
        <v>165.8</v>
      </c>
      <c r="CO227" s="32">
        <v>92.8</v>
      </c>
      <c r="CP227" s="32">
        <v>150.69999999999999</v>
      </c>
      <c r="CQ227" s="32">
        <v>80</v>
      </c>
      <c r="CR227" s="32">
        <v>103.6</v>
      </c>
      <c r="CS227" s="32">
        <v>94.2</v>
      </c>
      <c r="CT227" s="32">
        <v>91</v>
      </c>
      <c r="CU227" s="32">
        <v>88.9</v>
      </c>
      <c r="CV227" s="32">
        <v>92</v>
      </c>
      <c r="CW227" s="32">
        <v>59</v>
      </c>
      <c r="CX227" s="32">
        <v>103.1</v>
      </c>
      <c r="CY227" s="32">
        <v>109.5</v>
      </c>
      <c r="CZ227" s="32">
        <v>99.6</v>
      </c>
      <c r="DA227" s="32">
        <v>87.3</v>
      </c>
      <c r="DB227" s="32">
        <v>124.4</v>
      </c>
      <c r="DC227" s="32">
        <v>26.7</v>
      </c>
      <c r="DD227" s="32">
        <v>26.7</v>
      </c>
      <c r="DE227" s="32">
        <v>74.400000000000006</v>
      </c>
      <c r="DF227" s="32">
        <v>73.400000000000006</v>
      </c>
      <c r="DG227" s="32">
        <v>79.099999999999994</v>
      </c>
      <c r="DH227" s="32">
        <v>88.8</v>
      </c>
      <c r="DI227" s="32">
        <v>126</v>
      </c>
      <c r="DJ227" s="32">
        <v>67.099999999999994</v>
      </c>
      <c r="DK227" s="32">
        <v>67.099999999999994</v>
      </c>
      <c r="DL227" s="32">
        <v>58.2</v>
      </c>
      <c r="DM227" s="32">
        <v>91.9</v>
      </c>
      <c r="DN227" s="32">
        <v>93.2</v>
      </c>
      <c r="DO227" s="32">
        <v>91.2</v>
      </c>
      <c r="DP227" s="32">
        <v>93.9</v>
      </c>
      <c r="DQ227" s="32">
        <v>88</v>
      </c>
      <c r="DR227" s="32">
        <v>84.8</v>
      </c>
      <c r="DS227" s="32">
        <v>85.2</v>
      </c>
      <c r="DT227" s="32">
        <v>81.3</v>
      </c>
      <c r="DU227" s="32">
        <v>84.1</v>
      </c>
      <c r="DV227" s="32">
        <v>94.9</v>
      </c>
      <c r="DW227" s="32">
        <v>73.099999999999994</v>
      </c>
      <c r="DX227" s="32">
        <v>75.3</v>
      </c>
      <c r="DY227" s="32">
        <v>99.6</v>
      </c>
      <c r="DZ227" s="32">
        <v>88.5</v>
      </c>
      <c r="EA227" s="32">
        <v>88.5</v>
      </c>
      <c r="EB227" s="32">
        <v>82.5</v>
      </c>
      <c r="EC227" s="32">
        <v>90.7</v>
      </c>
      <c r="ED227" s="32">
        <v>71.400000000000006</v>
      </c>
      <c r="EE227" s="32">
        <v>76.400000000000006</v>
      </c>
      <c r="EF227" s="32">
        <v>60.7</v>
      </c>
      <c r="EG227" s="32">
        <v>93.1</v>
      </c>
      <c r="EH227" s="32">
        <v>111.2</v>
      </c>
      <c r="EI227" s="32">
        <v>93.2</v>
      </c>
      <c r="EJ227" s="32">
        <v>105.4</v>
      </c>
      <c r="EK227" s="32">
        <v>82.5</v>
      </c>
      <c r="EL227" s="32">
        <v>87.2</v>
      </c>
      <c r="EM227" s="32">
        <v>72.3</v>
      </c>
      <c r="EN227" s="32">
        <v>88.3</v>
      </c>
      <c r="EO227" s="32">
        <v>91.4</v>
      </c>
      <c r="EP227" s="32">
        <v>84.8</v>
      </c>
      <c r="EQ227" s="32">
        <v>84.8</v>
      </c>
      <c r="ER227" s="32">
        <v>85</v>
      </c>
      <c r="ES227" s="32">
        <v>85</v>
      </c>
      <c r="ET227" s="32">
        <v>104.1</v>
      </c>
      <c r="EU227" s="32">
        <v>114.9</v>
      </c>
      <c r="EV227" s="32">
        <v>114.9</v>
      </c>
      <c r="EW227" s="32">
        <v>93.4</v>
      </c>
      <c r="EX227" s="32">
        <v>94.6</v>
      </c>
      <c r="EY227" s="32">
        <v>92.4</v>
      </c>
      <c r="EZ227" s="32">
        <v>95.6</v>
      </c>
      <c r="FA227" s="32">
        <v>101.6</v>
      </c>
      <c r="FB227" s="32">
        <v>111.5</v>
      </c>
      <c r="FC227" s="32">
        <v>93.4</v>
      </c>
      <c r="FD227" s="32">
        <v>98.6</v>
      </c>
      <c r="FE227" s="32">
        <v>150.5</v>
      </c>
      <c r="FF227" s="32">
        <v>90.5</v>
      </c>
      <c r="FG227" s="32">
        <v>90.2</v>
      </c>
      <c r="FH227" s="32">
        <v>84.6</v>
      </c>
      <c r="FI227" s="32">
        <v>114</v>
      </c>
      <c r="FJ227" s="32">
        <v>89.8</v>
      </c>
      <c r="FK227" s="32">
        <v>109.7</v>
      </c>
      <c r="FL227" s="32">
        <v>109.7</v>
      </c>
    </row>
    <row r="228" spans="1:168" x14ac:dyDescent="0.2">
      <c r="A228" s="34" t="s">
        <v>1208</v>
      </c>
      <c r="B228" s="32">
        <v>90.5</v>
      </c>
      <c r="C228" s="32">
        <v>96.9</v>
      </c>
      <c r="D228" s="32">
        <v>97.4</v>
      </c>
      <c r="E228" s="32">
        <v>99.3</v>
      </c>
      <c r="F228" s="32">
        <v>110.4</v>
      </c>
      <c r="G228" s="32">
        <v>1669.6</v>
      </c>
      <c r="H228" s="32">
        <v>100.8</v>
      </c>
      <c r="I228" s="32">
        <v>138.19999999999999</v>
      </c>
      <c r="J228" s="32">
        <v>96.6</v>
      </c>
      <c r="K228" s="32">
        <v>83.3</v>
      </c>
      <c r="L228" s="32">
        <v>81</v>
      </c>
      <c r="M228" s="32">
        <v>55.3</v>
      </c>
      <c r="N228" s="32">
        <v>74.099999999999994</v>
      </c>
      <c r="O228" s="32">
        <v>179.7</v>
      </c>
      <c r="P228" s="32">
        <v>136.6</v>
      </c>
      <c r="Q228" s="32">
        <v>111</v>
      </c>
      <c r="R228" s="32">
        <v>79.400000000000006</v>
      </c>
      <c r="S228" s="32">
        <v>83.5</v>
      </c>
      <c r="T228" s="32">
        <v>198.8</v>
      </c>
      <c r="U228" s="32">
        <v>93.2</v>
      </c>
      <c r="V228" s="32">
        <v>94.2</v>
      </c>
      <c r="W228" s="32">
        <v>94.2</v>
      </c>
      <c r="X228" s="32">
        <v>69.8</v>
      </c>
      <c r="Y228" s="32">
        <v>144.80000000000001</v>
      </c>
      <c r="Z228" s="32">
        <v>106.9</v>
      </c>
      <c r="AA228" s="32">
        <v>103.8</v>
      </c>
      <c r="AB228" s="32">
        <v>111.6</v>
      </c>
      <c r="AC228" s="32">
        <v>98.7</v>
      </c>
      <c r="AD228" s="32">
        <v>105.1</v>
      </c>
      <c r="AE228" s="32">
        <v>126.8</v>
      </c>
      <c r="AF228" s="32">
        <v>126.8</v>
      </c>
      <c r="AG228" s="32">
        <v>129.80000000000001</v>
      </c>
      <c r="AH228" s="32">
        <v>129.80000000000001</v>
      </c>
      <c r="AI228" s="32">
        <v>92.3</v>
      </c>
      <c r="AJ228" s="32">
        <v>257.10000000000002</v>
      </c>
      <c r="AK228" s="32">
        <v>126.3</v>
      </c>
      <c r="AL228" s="32">
        <v>114.3</v>
      </c>
      <c r="AM228" s="32">
        <v>81.3</v>
      </c>
      <c r="AN228" s="32">
        <v>198.8</v>
      </c>
      <c r="AO228" s="32">
        <v>89.3</v>
      </c>
      <c r="AP228" s="32">
        <v>89.3</v>
      </c>
      <c r="AQ228" s="32">
        <v>116</v>
      </c>
      <c r="AR228" s="32">
        <v>127.8</v>
      </c>
      <c r="AS228" s="32">
        <v>101.4</v>
      </c>
      <c r="AT228" s="32">
        <v>83.9</v>
      </c>
      <c r="AU228" s="32">
        <v>118.8</v>
      </c>
      <c r="AV228" s="32">
        <v>107.3</v>
      </c>
      <c r="AW228" s="32">
        <v>154.30000000000001</v>
      </c>
      <c r="AX228" s="32">
        <v>320.2</v>
      </c>
      <c r="AY228" s="32">
        <v>90.5</v>
      </c>
      <c r="AZ228" s="32">
        <v>100</v>
      </c>
      <c r="BA228" s="32">
        <v>79.2</v>
      </c>
      <c r="BB228" s="32">
        <v>79.2</v>
      </c>
      <c r="BC228" s="32">
        <v>103.5</v>
      </c>
      <c r="BD228" s="32">
        <v>103.5</v>
      </c>
      <c r="BE228" s="32">
        <v>98.8</v>
      </c>
      <c r="BF228" s="32">
        <v>98.8</v>
      </c>
      <c r="BG228" s="32">
        <v>96.2</v>
      </c>
      <c r="BH228" s="32">
        <v>117.6</v>
      </c>
      <c r="BI228" s="32">
        <v>72.5</v>
      </c>
      <c r="BJ228" s="32">
        <v>33.4</v>
      </c>
      <c r="BK228" s="32">
        <v>81</v>
      </c>
      <c r="BL228" s="32">
        <v>129.4</v>
      </c>
      <c r="BM228" s="32">
        <v>96.4</v>
      </c>
      <c r="BN228" s="32">
        <v>105.5</v>
      </c>
      <c r="BO228" s="32">
        <v>91.5</v>
      </c>
      <c r="BP228" s="32">
        <v>118.6</v>
      </c>
      <c r="BQ228" s="32">
        <v>87.3</v>
      </c>
      <c r="BR228" s="32">
        <v>103.8</v>
      </c>
      <c r="BS228" s="32">
        <v>111.6</v>
      </c>
      <c r="BT228" s="32">
        <v>78.099999999999994</v>
      </c>
      <c r="BU228" s="32">
        <v>129</v>
      </c>
      <c r="BV228" s="32">
        <v>129</v>
      </c>
      <c r="BW228" s="32">
        <v>148.9</v>
      </c>
      <c r="BX228" s="32">
        <v>77</v>
      </c>
      <c r="BY228" s="32">
        <v>91.8</v>
      </c>
      <c r="BZ228" s="32">
        <v>86.5</v>
      </c>
      <c r="CA228" s="32">
        <v>94.3</v>
      </c>
      <c r="CB228" s="32">
        <v>103.3</v>
      </c>
      <c r="CC228" s="32">
        <v>87.1</v>
      </c>
      <c r="CD228" s="32">
        <v>75.3</v>
      </c>
      <c r="CE228" s="32">
        <v>94.7</v>
      </c>
      <c r="CF228" s="32">
        <v>89.2</v>
      </c>
      <c r="CG228" s="32">
        <v>99.3</v>
      </c>
      <c r="CH228" s="32">
        <v>103.2</v>
      </c>
      <c r="CI228" s="32">
        <v>126.2</v>
      </c>
      <c r="CJ228" s="32">
        <v>97</v>
      </c>
      <c r="CK228" s="32">
        <v>103.1</v>
      </c>
      <c r="CL228" s="32">
        <v>94.1</v>
      </c>
      <c r="CM228" s="32">
        <v>105.8</v>
      </c>
      <c r="CN228" s="32">
        <v>165.7</v>
      </c>
      <c r="CO228" s="32">
        <v>92.8</v>
      </c>
      <c r="CP228" s="32">
        <v>153.69999999999999</v>
      </c>
      <c r="CQ228" s="32">
        <v>79.099999999999994</v>
      </c>
      <c r="CR228" s="32">
        <v>103.6</v>
      </c>
      <c r="CS228" s="32">
        <v>97.6</v>
      </c>
      <c r="CT228" s="32">
        <v>91.3</v>
      </c>
      <c r="CU228" s="32">
        <v>90</v>
      </c>
      <c r="CV228" s="32">
        <v>91.9</v>
      </c>
      <c r="CW228" s="32">
        <v>60.3</v>
      </c>
      <c r="CX228" s="32">
        <v>108.9</v>
      </c>
      <c r="CY228" s="32">
        <v>109.4</v>
      </c>
      <c r="CZ228" s="32">
        <v>108.6</v>
      </c>
      <c r="DA228" s="32">
        <v>101.9</v>
      </c>
      <c r="DB228" s="32">
        <v>122</v>
      </c>
      <c r="DC228" s="32">
        <v>26.6</v>
      </c>
      <c r="DD228" s="32">
        <v>26.6</v>
      </c>
      <c r="DE228" s="32">
        <v>75.7</v>
      </c>
      <c r="DF228" s="32">
        <v>75.2</v>
      </c>
      <c r="DG228" s="32">
        <v>78.3</v>
      </c>
      <c r="DH228" s="32">
        <v>89.2</v>
      </c>
      <c r="DI228" s="32">
        <v>126.7</v>
      </c>
      <c r="DJ228" s="32">
        <v>66.099999999999994</v>
      </c>
      <c r="DK228" s="32">
        <v>66.099999999999994</v>
      </c>
      <c r="DL228" s="32">
        <v>59.7</v>
      </c>
      <c r="DM228" s="32">
        <v>92.7</v>
      </c>
      <c r="DN228" s="32">
        <v>94</v>
      </c>
      <c r="DO228" s="32">
        <v>91.9</v>
      </c>
      <c r="DP228" s="32">
        <v>97.6</v>
      </c>
      <c r="DQ228" s="32">
        <v>88.7</v>
      </c>
      <c r="DR228" s="32">
        <v>84.8</v>
      </c>
      <c r="DS228" s="32">
        <v>85.8</v>
      </c>
      <c r="DT228" s="32">
        <v>82.1</v>
      </c>
      <c r="DU228" s="32">
        <v>85.2</v>
      </c>
      <c r="DV228" s="32">
        <v>95.3</v>
      </c>
      <c r="DW228" s="32">
        <v>74.8</v>
      </c>
      <c r="DX228" s="32">
        <v>75.8</v>
      </c>
      <c r="DY228" s="32">
        <v>99.3</v>
      </c>
      <c r="DZ228" s="32">
        <v>88.4</v>
      </c>
      <c r="EA228" s="32">
        <v>88.4</v>
      </c>
      <c r="EB228" s="32">
        <v>80.5</v>
      </c>
      <c r="EC228" s="32">
        <v>86.8</v>
      </c>
      <c r="ED228" s="32">
        <v>72.099999999999994</v>
      </c>
      <c r="EE228" s="32">
        <v>77</v>
      </c>
      <c r="EF228" s="32">
        <v>61.6</v>
      </c>
      <c r="EG228" s="32">
        <v>95.1</v>
      </c>
      <c r="EH228" s="32">
        <v>111.7</v>
      </c>
      <c r="EI228" s="32">
        <v>96.3</v>
      </c>
      <c r="EJ228" s="32">
        <v>108.9</v>
      </c>
      <c r="EK228" s="32">
        <v>84</v>
      </c>
      <c r="EL228" s="32">
        <v>85.4</v>
      </c>
      <c r="EM228" s="32">
        <v>74.099999999999994</v>
      </c>
      <c r="EN228" s="32">
        <v>90.1</v>
      </c>
      <c r="EO228" s="32">
        <v>91.8</v>
      </c>
      <c r="EP228" s="32">
        <v>85.2</v>
      </c>
      <c r="EQ228" s="32">
        <v>85.2</v>
      </c>
      <c r="ER228" s="32">
        <v>85.4</v>
      </c>
      <c r="ES228" s="32">
        <v>85.4</v>
      </c>
      <c r="ET228" s="32">
        <v>104.5</v>
      </c>
      <c r="EU228" s="32">
        <v>115.5</v>
      </c>
      <c r="EV228" s="32">
        <v>115.5</v>
      </c>
      <c r="EW228" s="32">
        <v>93.6</v>
      </c>
      <c r="EX228" s="32">
        <v>94.9</v>
      </c>
      <c r="EY228" s="32">
        <v>92.6</v>
      </c>
      <c r="EZ228" s="32">
        <v>95.9</v>
      </c>
      <c r="FA228" s="32">
        <v>102.7</v>
      </c>
      <c r="FB228" s="32">
        <v>111</v>
      </c>
      <c r="FC228" s="32">
        <v>91.4</v>
      </c>
      <c r="FD228" s="32">
        <v>110</v>
      </c>
      <c r="FE228" s="32">
        <v>146.19999999999999</v>
      </c>
      <c r="FF228" s="32">
        <v>93.4</v>
      </c>
      <c r="FG228" s="32">
        <v>90.6</v>
      </c>
      <c r="FH228" s="32">
        <v>84.8</v>
      </c>
      <c r="FI228" s="32">
        <v>112</v>
      </c>
      <c r="FJ228" s="32">
        <v>90.6</v>
      </c>
      <c r="FK228" s="32">
        <v>100.3</v>
      </c>
      <c r="FL228" s="32">
        <v>100.3</v>
      </c>
    </row>
    <row r="229" spans="1:168" x14ac:dyDescent="0.2">
      <c r="A229" s="34" t="s">
        <v>1209</v>
      </c>
      <c r="B229" s="32">
        <v>90.5</v>
      </c>
      <c r="C229" s="32">
        <v>95.9</v>
      </c>
      <c r="D229" s="32">
        <v>97.3</v>
      </c>
      <c r="E229" s="32">
        <v>99.9</v>
      </c>
      <c r="F229" s="32">
        <v>115.9</v>
      </c>
      <c r="G229" s="32">
        <v>1535.8</v>
      </c>
      <c r="H229" s="32">
        <v>108.1</v>
      </c>
      <c r="I229" s="32">
        <v>135.1</v>
      </c>
      <c r="J229" s="32">
        <v>96.7</v>
      </c>
      <c r="K229" s="32">
        <v>84.1</v>
      </c>
      <c r="L229" s="32">
        <v>82.1</v>
      </c>
      <c r="M229" s="32">
        <v>57.3</v>
      </c>
      <c r="N229" s="32">
        <v>75.900000000000006</v>
      </c>
      <c r="O229" s="32">
        <v>169.9</v>
      </c>
      <c r="P229" s="32">
        <v>136.1</v>
      </c>
      <c r="Q229" s="32">
        <v>110.6</v>
      </c>
      <c r="R229" s="32">
        <v>81.2</v>
      </c>
      <c r="S229" s="32">
        <v>84</v>
      </c>
      <c r="T229" s="32">
        <v>199.1</v>
      </c>
      <c r="U229" s="32">
        <v>90.6</v>
      </c>
      <c r="V229" s="32">
        <v>94.6</v>
      </c>
      <c r="W229" s="32">
        <v>88.6</v>
      </c>
      <c r="X229" s="32">
        <v>69.099999999999994</v>
      </c>
      <c r="Y229" s="32">
        <v>126.3</v>
      </c>
      <c r="Z229" s="32">
        <v>106.3</v>
      </c>
      <c r="AA229" s="32">
        <v>105.4</v>
      </c>
      <c r="AB229" s="32">
        <v>114.8</v>
      </c>
      <c r="AC229" s="32">
        <v>99.2</v>
      </c>
      <c r="AD229" s="32">
        <v>106.5</v>
      </c>
      <c r="AE229" s="32">
        <v>132.19999999999999</v>
      </c>
      <c r="AF229" s="32">
        <v>132.19999999999999</v>
      </c>
      <c r="AG229" s="32">
        <v>128.80000000000001</v>
      </c>
      <c r="AH229" s="32">
        <v>128.80000000000001</v>
      </c>
      <c r="AI229" s="32">
        <v>92.2</v>
      </c>
      <c r="AJ229" s="32">
        <v>258.89999999999998</v>
      </c>
      <c r="AK229" s="32">
        <v>121.9</v>
      </c>
      <c r="AL229" s="32">
        <v>111.7</v>
      </c>
      <c r="AM229" s="32">
        <v>81.599999999999994</v>
      </c>
      <c r="AN229" s="32">
        <v>191.3</v>
      </c>
      <c r="AO229" s="32">
        <v>86.7</v>
      </c>
      <c r="AP229" s="32">
        <v>86.7</v>
      </c>
      <c r="AQ229" s="32">
        <v>114</v>
      </c>
      <c r="AR229" s="32">
        <v>127.3</v>
      </c>
      <c r="AS229" s="32">
        <v>97.2</v>
      </c>
      <c r="AT229" s="32">
        <v>79.7</v>
      </c>
      <c r="AU229" s="32">
        <v>114.7</v>
      </c>
      <c r="AV229" s="32">
        <v>109.8</v>
      </c>
      <c r="AW229" s="32">
        <v>160.30000000000001</v>
      </c>
      <c r="AX229" s="32">
        <v>337.3</v>
      </c>
      <c r="AY229" s="32">
        <v>92.1</v>
      </c>
      <c r="AZ229" s="32">
        <v>101.8</v>
      </c>
      <c r="BA229" s="32">
        <v>79</v>
      </c>
      <c r="BB229" s="32">
        <v>79</v>
      </c>
      <c r="BC229" s="32">
        <v>103.5</v>
      </c>
      <c r="BD229" s="32">
        <v>103.5</v>
      </c>
      <c r="BE229" s="32">
        <v>100.2</v>
      </c>
      <c r="BF229" s="32">
        <v>100.2</v>
      </c>
      <c r="BG229" s="32">
        <v>97.5</v>
      </c>
      <c r="BH229" s="32">
        <v>119.5</v>
      </c>
      <c r="BI229" s="32">
        <v>73.099999999999994</v>
      </c>
      <c r="BJ229" s="32">
        <v>34.200000000000003</v>
      </c>
      <c r="BK229" s="32">
        <v>81.900000000000006</v>
      </c>
      <c r="BL229" s="32">
        <v>124.4</v>
      </c>
      <c r="BM229" s="32">
        <v>94.3</v>
      </c>
      <c r="BN229" s="32">
        <v>102.4</v>
      </c>
      <c r="BO229" s="32">
        <v>85.8</v>
      </c>
      <c r="BP229" s="32">
        <v>118.5</v>
      </c>
      <c r="BQ229" s="32">
        <v>86.2</v>
      </c>
      <c r="BR229" s="32">
        <v>85.8</v>
      </c>
      <c r="BS229" s="32">
        <v>107.8</v>
      </c>
      <c r="BT229" s="32">
        <v>80</v>
      </c>
      <c r="BU229" s="32">
        <v>131.4</v>
      </c>
      <c r="BV229" s="32">
        <v>131.4</v>
      </c>
      <c r="BW229" s="32">
        <v>151.9</v>
      </c>
      <c r="BX229" s="32">
        <v>78.099999999999994</v>
      </c>
      <c r="BY229" s="32">
        <v>90.1</v>
      </c>
      <c r="BZ229" s="32">
        <v>88.3</v>
      </c>
      <c r="CA229" s="32">
        <v>91</v>
      </c>
      <c r="CB229" s="32">
        <v>100.8</v>
      </c>
      <c r="CC229" s="32">
        <v>83</v>
      </c>
      <c r="CD229" s="32">
        <v>71.8</v>
      </c>
      <c r="CE229" s="32">
        <v>93.1</v>
      </c>
      <c r="CF229" s="32">
        <v>89.2</v>
      </c>
      <c r="CG229" s="32">
        <v>98.2</v>
      </c>
      <c r="CH229" s="32">
        <v>101.9</v>
      </c>
      <c r="CI229" s="32">
        <v>121.8</v>
      </c>
      <c r="CJ229" s="32">
        <v>96.1</v>
      </c>
      <c r="CK229" s="32">
        <v>102.2</v>
      </c>
      <c r="CL229" s="32">
        <v>93.5</v>
      </c>
      <c r="CM229" s="32">
        <v>105</v>
      </c>
      <c r="CN229" s="32">
        <v>165.5</v>
      </c>
      <c r="CO229" s="32">
        <v>92</v>
      </c>
      <c r="CP229" s="32">
        <v>154</v>
      </c>
      <c r="CQ229" s="32">
        <v>79.400000000000006</v>
      </c>
      <c r="CR229" s="32">
        <v>102.4</v>
      </c>
      <c r="CS229" s="32">
        <v>97.6</v>
      </c>
      <c r="CT229" s="32">
        <v>90.3</v>
      </c>
      <c r="CU229" s="32">
        <v>88.7</v>
      </c>
      <c r="CV229" s="32">
        <v>91.1</v>
      </c>
      <c r="CW229" s="32">
        <v>61.4</v>
      </c>
      <c r="CX229" s="32">
        <v>106.8</v>
      </c>
      <c r="CY229" s="32">
        <v>108.3</v>
      </c>
      <c r="CZ229" s="32">
        <v>105.9</v>
      </c>
      <c r="DA229" s="32">
        <v>96.2</v>
      </c>
      <c r="DB229" s="32">
        <v>125.5</v>
      </c>
      <c r="DC229" s="32">
        <v>28.6</v>
      </c>
      <c r="DD229" s="32">
        <v>28.6</v>
      </c>
      <c r="DE229" s="32">
        <v>75.5</v>
      </c>
      <c r="DF229" s="32">
        <v>75.8</v>
      </c>
      <c r="DG229" s="32">
        <v>73.5</v>
      </c>
      <c r="DH229" s="32">
        <v>90.1</v>
      </c>
      <c r="DI229" s="32">
        <v>129.19999999999999</v>
      </c>
      <c r="DJ229" s="32">
        <v>65.3</v>
      </c>
      <c r="DK229" s="32">
        <v>65.3</v>
      </c>
      <c r="DL229" s="32">
        <v>60.2</v>
      </c>
      <c r="DM229" s="32">
        <v>92.9</v>
      </c>
      <c r="DN229" s="32">
        <v>94.6</v>
      </c>
      <c r="DO229" s="32">
        <v>92</v>
      </c>
      <c r="DP229" s="32">
        <v>98.2</v>
      </c>
      <c r="DQ229" s="32">
        <v>88.3</v>
      </c>
      <c r="DR229" s="32">
        <v>84.3</v>
      </c>
      <c r="DS229" s="32">
        <v>85.2</v>
      </c>
      <c r="DT229" s="32">
        <v>81.2</v>
      </c>
      <c r="DU229" s="32">
        <v>83.9</v>
      </c>
      <c r="DV229" s="32">
        <v>92.6</v>
      </c>
      <c r="DW229" s="32">
        <v>74.7</v>
      </c>
      <c r="DX229" s="32">
        <v>75.8</v>
      </c>
      <c r="DY229" s="32">
        <v>99.6</v>
      </c>
      <c r="DZ229" s="32">
        <v>86</v>
      </c>
      <c r="EA229" s="32">
        <v>86</v>
      </c>
      <c r="EB229" s="32">
        <v>81.400000000000006</v>
      </c>
      <c r="EC229" s="32">
        <v>89.3</v>
      </c>
      <c r="ED229" s="32">
        <v>70.7</v>
      </c>
      <c r="EE229" s="32">
        <v>74.5</v>
      </c>
      <c r="EF229" s="32">
        <v>62.1</v>
      </c>
      <c r="EG229" s="32">
        <v>94.7</v>
      </c>
      <c r="EH229" s="32">
        <v>111.9</v>
      </c>
      <c r="EI229" s="32">
        <v>95.4</v>
      </c>
      <c r="EJ229" s="32">
        <v>109.5</v>
      </c>
      <c r="EK229" s="32">
        <v>83.6</v>
      </c>
      <c r="EL229" s="32">
        <v>84.8</v>
      </c>
      <c r="EM229" s="32">
        <v>74.900000000000006</v>
      </c>
      <c r="EN229" s="32">
        <v>88.9</v>
      </c>
      <c r="EO229" s="32">
        <v>92</v>
      </c>
      <c r="EP229" s="32">
        <v>85.3</v>
      </c>
      <c r="EQ229" s="32">
        <v>85.3</v>
      </c>
      <c r="ER229" s="32">
        <v>85.2</v>
      </c>
      <c r="ES229" s="32">
        <v>85.2</v>
      </c>
      <c r="ET229" s="32">
        <v>105</v>
      </c>
      <c r="EU229" s="32">
        <v>116.3</v>
      </c>
      <c r="EV229" s="32">
        <v>116.3</v>
      </c>
      <c r="EW229" s="32">
        <v>93.4</v>
      </c>
      <c r="EX229" s="32">
        <v>94.7</v>
      </c>
      <c r="EY229" s="32">
        <v>92.4</v>
      </c>
      <c r="EZ229" s="32">
        <v>94.5</v>
      </c>
      <c r="FA229" s="32">
        <v>101.5</v>
      </c>
      <c r="FB229" s="32">
        <v>109.6</v>
      </c>
      <c r="FC229" s="32">
        <v>93.8</v>
      </c>
      <c r="FD229" s="32">
        <v>100.9</v>
      </c>
      <c r="FE229" s="32">
        <v>142.1</v>
      </c>
      <c r="FF229" s="32">
        <v>92.5</v>
      </c>
      <c r="FG229" s="32">
        <v>88.8</v>
      </c>
      <c r="FH229" s="32">
        <v>85.2</v>
      </c>
      <c r="FI229" s="32">
        <v>110.3</v>
      </c>
      <c r="FJ229" s="32">
        <v>87.8</v>
      </c>
      <c r="FK229" s="32">
        <v>101</v>
      </c>
      <c r="FL229" s="32">
        <v>101</v>
      </c>
    </row>
    <row r="230" spans="1:168" x14ac:dyDescent="0.2">
      <c r="A230" s="34" t="s">
        <v>1210</v>
      </c>
      <c r="B230" s="32">
        <v>90.6</v>
      </c>
      <c r="C230" s="32">
        <v>96.1</v>
      </c>
      <c r="D230" s="32">
        <v>97.3</v>
      </c>
      <c r="E230" s="32">
        <v>99.9</v>
      </c>
      <c r="F230" s="32">
        <v>112.5</v>
      </c>
      <c r="G230" s="32">
        <v>1953.7</v>
      </c>
      <c r="H230" s="32">
        <v>103.7</v>
      </c>
      <c r="I230" s="32">
        <v>136.69999999999999</v>
      </c>
      <c r="J230" s="32">
        <v>97</v>
      </c>
      <c r="K230" s="32">
        <v>85.7</v>
      </c>
      <c r="L230" s="32">
        <v>84.3</v>
      </c>
      <c r="M230" s="32">
        <v>62.3</v>
      </c>
      <c r="N230" s="32">
        <v>77.2</v>
      </c>
      <c r="O230" s="32">
        <v>171</v>
      </c>
      <c r="P230" s="32">
        <v>143.1</v>
      </c>
      <c r="Q230" s="32">
        <v>113.2</v>
      </c>
      <c r="R230" s="32">
        <v>85.4</v>
      </c>
      <c r="S230" s="32">
        <v>82.9</v>
      </c>
      <c r="T230" s="32">
        <v>196.3</v>
      </c>
      <c r="U230" s="32">
        <v>96.4</v>
      </c>
      <c r="V230" s="32">
        <v>92.9</v>
      </c>
      <c r="W230" s="32">
        <v>93.3</v>
      </c>
      <c r="X230" s="32">
        <v>71.5</v>
      </c>
      <c r="Y230" s="32">
        <v>137.9</v>
      </c>
      <c r="Z230" s="32">
        <v>103.5</v>
      </c>
      <c r="AA230" s="32">
        <v>105.8</v>
      </c>
      <c r="AB230" s="32">
        <v>108.9</v>
      </c>
      <c r="AC230" s="32">
        <v>102.1</v>
      </c>
      <c r="AD230" s="32">
        <v>109.1</v>
      </c>
      <c r="AE230" s="32">
        <v>137.9</v>
      </c>
      <c r="AF230" s="32">
        <v>137.9</v>
      </c>
      <c r="AG230" s="32">
        <v>126.7</v>
      </c>
      <c r="AH230" s="32">
        <v>126.7</v>
      </c>
      <c r="AI230" s="32">
        <v>85</v>
      </c>
      <c r="AJ230" s="32">
        <v>249.2</v>
      </c>
      <c r="AK230" s="32">
        <v>125.2</v>
      </c>
      <c r="AL230" s="32">
        <v>114.9</v>
      </c>
      <c r="AM230" s="32">
        <v>80.5</v>
      </c>
      <c r="AN230" s="32">
        <v>193.1</v>
      </c>
      <c r="AO230" s="32">
        <v>87.1</v>
      </c>
      <c r="AP230" s="32">
        <v>87.1</v>
      </c>
      <c r="AQ230" s="32">
        <v>113.1</v>
      </c>
      <c r="AR230" s="32">
        <v>126.8</v>
      </c>
      <c r="AS230" s="32">
        <v>95.7</v>
      </c>
      <c r="AT230" s="32">
        <v>79.900000000000006</v>
      </c>
      <c r="AU230" s="32">
        <v>111.6</v>
      </c>
      <c r="AV230" s="32">
        <v>105.9</v>
      </c>
      <c r="AW230" s="32">
        <v>136.80000000000001</v>
      </c>
      <c r="AX230" s="32">
        <v>253.8</v>
      </c>
      <c r="AY230" s="32">
        <v>94.6</v>
      </c>
      <c r="AZ230" s="32">
        <v>102.3</v>
      </c>
      <c r="BA230" s="32">
        <v>79.400000000000006</v>
      </c>
      <c r="BB230" s="32">
        <v>79.400000000000006</v>
      </c>
      <c r="BC230" s="32">
        <v>104.9</v>
      </c>
      <c r="BD230" s="32">
        <v>104.9</v>
      </c>
      <c r="BE230" s="32">
        <v>98.3</v>
      </c>
      <c r="BF230" s="32">
        <v>98.3</v>
      </c>
      <c r="BG230" s="32">
        <v>99.3</v>
      </c>
      <c r="BH230" s="32">
        <v>122.5</v>
      </c>
      <c r="BI230" s="32">
        <v>73.599999999999994</v>
      </c>
      <c r="BJ230" s="32">
        <v>35.299999999999997</v>
      </c>
      <c r="BK230" s="32">
        <v>81.5</v>
      </c>
      <c r="BL230" s="32">
        <v>130.6</v>
      </c>
      <c r="BM230" s="32">
        <v>96.3</v>
      </c>
      <c r="BN230" s="32">
        <v>106</v>
      </c>
      <c r="BO230" s="32">
        <v>88.8</v>
      </c>
      <c r="BP230" s="32">
        <v>122.6</v>
      </c>
      <c r="BQ230" s="32">
        <v>86.6</v>
      </c>
      <c r="BR230" s="32">
        <v>74.900000000000006</v>
      </c>
      <c r="BS230" s="32">
        <v>115.3</v>
      </c>
      <c r="BT230" s="32">
        <v>80.099999999999994</v>
      </c>
      <c r="BU230" s="32">
        <v>134</v>
      </c>
      <c r="BV230" s="32">
        <v>134</v>
      </c>
      <c r="BW230" s="32">
        <v>151.80000000000001</v>
      </c>
      <c r="BX230" s="32">
        <v>82.9</v>
      </c>
      <c r="BY230" s="32">
        <v>88.3</v>
      </c>
      <c r="BZ230" s="32">
        <v>87.5</v>
      </c>
      <c r="CA230" s="32">
        <v>88.7</v>
      </c>
      <c r="CB230" s="32">
        <v>94.2</v>
      </c>
      <c r="CC230" s="32">
        <v>84.5</v>
      </c>
      <c r="CD230" s="32">
        <v>74.400000000000006</v>
      </c>
      <c r="CE230" s="32">
        <v>93</v>
      </c>
      <c r="CF230" s="32">
        <v>89.2</v>
      </c>
      <c r="CG230" s="32">
        <v>99.2</v>
      </c>
      <c r="CH230" s="32">
        <v>102.4</v>
      </c>
      <c r="CI230" s="32">
        <v>125.5</v>
      </c>
      <c r="CJ230" s="32">
        <v>93.4</v>
      </c>
      <c r="CK230" s="32">
        <v>104.2</v>
      </c>
      <c r="CL230" s="32">
        <v>94.6</v>
      </c>
      <c r="CM230" s="32">
        <v>106.1</v>
      </c>
      <c r="CN230" s="32">
        <v>163.69999999999999</v>
      </c>
      <c r="CO230" s="32">
        <v>93.5</v>
      </c>
      <c r="CP230" s="32">
        <v>153.30000000000001</v>
      </c>
      <c r="CQ230" s="32">
        <v>80.3</v>
      </c>
      <c r="CR230" s="32">
        <v>104.5</v>
      </c>
      <c r="CS230" s="32">
        <v>98</v>
      </c>
      <c r="CT230" s="32">
        <v>92.7</v>
      </c>
      <c r="CU230" s="32">
        <v>92.6</v>
      </c>
      <c r="CV230" s="32">
        <v>92.9</v>
      </c>
      <c r="CW230" s="32">
        <v>60.4</v>
      </c>
      <c r="CX230" s="32">
        <v>105.2</v>
      </c>
      <c r="CY230" s="32">
        <v>104.4</v>
      </c>
      <c r="CZ230" s="32">
        <v>105.5</v>
      </c>
      <c r="DA230" s="32">
        <v>95.8</v>
      </c>
      <c r="DB230" s="32">
        <v>125</v>
      </c>
      <c r="DC230" s="32">
        <v>28.4</v>
      </c>
      <c r="DD230" s="32">
        <v>28.4</v>
      </c>
      <c r="DE230" s="32">
        <v>73.7</v>
      </c>
      <c r="DF230" s="32">
        <v>73.3</v>
      </c>
      <c r="DG230" s="32">
        <v>75.599999999999994</v>
      </c>
      <c r="DH230" s="32">
        <v>89.9</v>
      </c>
      <c r="DI230" s="32">
        <v>130</v>
      </c>
      <c r="DJ230" s="32">
        <v>64.900000000000006</v>
      </c>
      <c r="DK230" s="32">
        <v>64.900000000000006</v>
      </c>
      <c r="DL230" s="32">
        <v>59.1</v>
      </c>
      <c r="DM230" s="32">
        <v>93.1</v>
      </c>
      <c r="DN230" s="32">
        <v>95</v>
      </c>
      <c r="DO230" s="32">
        <v>92.1</v>
      </c>
      <c r="DP230" s="32">
        <v>97.4</v>
      </c>
      <c r="DQ230" s="32">
        <v>87.8</v>
      </c>
      <c r="DR230" s="32">
        <v>84</v>
      </c>
      <c r="DS230" s="32">
        <v>85.7</v>
      </c>
      <c r="DT230" s="32">
        <v>82.3</v>
      </c>
      <c r="DU230" s="32">
        <v>85.2</v>
      </c>
      <c r="DV230" s="32">
        <v>95.5</v>
      </c>
      <c r="DW230" s="32">
        <v>74.599999999999994</v>
      </c>
      <c r="DX230" s="32">
        <v>76.099999999999994</v>
      </c>
      <c r="DY230" s="32">
        <v>98.5</v>
      </c>
      <c r="DZ230" s="32">
        <v>78.400000000000006</v>
      </c>
      <c r="EA230" s="32">
        <v>78.400000000000006</v>
      </c>
      <c r="EB230" s="32">
        <v>81.400000000000006</v>
      </c>
      <c r="EC230" s="32">
        <v>87.4</v>
      </c>
      <c r="ED230" s="32">
        <v>73.3</v>
      </c>
      <c r="EE230" s="32">
        <v>78.3</v>
      </c>
      <c r="EF230" s="32">
        <v>62.4</v>
      </c>
      <c r="EG230" s="32">
        <v>93.9</v>
      </c>
      <c r="EH230" s="32">
        <v>111.9</v>
      </c>
      <c r="EI230" s="32">
        <v>93.1</v>
      </c>
      <c r="EJ230" s="32">
        <v>110.9</v>
      </c>
      <c r="EK230" s="32">
        <v>83.1</v>
      </c>
      <c r="EL230" s="32">
        <v>88.3</v>
      </c>
      <c r="EM230" s="32">
        <v>75.400000000000006</v>
      </c>
      <c r="EN230" s="32">
        <v>87.2</v>
      </c>
      <c r="EO230" s="32">
        <v>92</v>
      </c>
      <c r="EP230" s="32">
        <v>85.5</v>
      </c>
      <c r="EQ230" s="32">
        <v>85.5</v>
      </c>
      <c r="ER230" s="32">
        <v>85.3</v>
      </c>
      <c r="ES230" s="32">
        <v>85.3</v>
      </c>
      <c r="ET230" s="32">
        <v>104.9</v>
      </c>
      <c r="EU230" s="32">
        <v>116.2</v>
      </c>
      <c r="EV230" s="32">
        <v>116.2</v>
      </c>
      <c r="EW230" s="32">
        <v>93.2</v>
      </c>
      <c r="EX230" s="32">
        <v>94.1</v>
      </c>
      <c r="EY230" s="32">
        <v>92.6</v>
      </c>
      <c r="EZ230" s="32">
        <v>96.2</v>
      </c>
      <c r="FA230" s="32">
        <v>102.3</v>
      </c>
      <c r="FB230" s="32">
        <v>109.8</v>
      </c>
      <c r="FC230" s="32">
        <v>96.5</v>
      </c>
      <c r="FD230" s="32">
        <v>98.5</v>
      </c>
      <c r="FE230" s="32">
        <v>139.30000000000001</v>
      </c>
      <c r="FF230" s="32">
        <v>93.9</v>
      </c>
      <c r="FG230" s="32">
        <v>90.2</v>
      </c>
      <c r="FH230" s="32">
        <v>86.4</v>
      </c>
      <c r="FI230" s="32">
        <v>116.9</v>
      </c>
      <c r="FJ230" s="32">
        <v>88.7</v>
      </c>
      <c r="FK230" s="32">
        <v>119.9</v>
      </c>
      <c r="FL230" s="32">
        <v>119.9</v>
      </c>
    </row>
    <row r="231" spans="1:168" x14ac:dyDescent="0.2">
      <c r="A231" s="34" t="s">
        <v>1211</v>
      </c>
      <c r="B231" s="32">
        <v>91</v>
      </c>
      <c r="C231" s="32">
        <v>97.2</v>
      </c>
      <c r="D231" s="32">
        <v>98.5</v>
      </c>
      <c r="E231" s="32">
        <v>100.9</v>
      </c>
      <c r="F231" s="32">
        <v>116.1</v>
      </c>
      <c r="G231" s="32">
        <v>2141.5</v>
      </c>
      <c r="H231" s="32">
        <v>106.4</v>
      </c>
      <c r="I231" s="32">
        <v>140.6</v>
      </c>
      <c r="J231" s="32">
        <v>97.7</v>
      </c>
      <c r="K231" s="32">
        <v>87.5</v>
      </c>
      <c r="L231" s="32">
        <v>86.6</v>
      </c>
      <c r="M231" s="32">
        <v>71.5</v>
      </c>
      <c r="N231" s="32">
        <v>78.099999999999994</v>
      </c>
      <c r="O231" s="32">
        <v>192</v>
      </c>
      <c r="P231" s="32">
        <v>153.6</v>
      </c>
      <c r="Q231" s="32">
        <v>114.5</v>
      </c>
      <c r="R231" s="32">
        <v>84.2</v>
      </c>
      <c r="S231" s="32">
        <v>84.7</v>
      </c>
      <c r="T231" s="32">
        <v>194.1</v>
      </c>
      <c r="U231" s="32">
        <v>99.2</v>
      </c>
      <c r="V231" s="32">
        <v>91.6</v>
      </c>
      <c r="W231" s="32">
        <v>94.6</v>
      </c>
      <c r="X231" s="32">
        <v>72.2</v>
      </c>
      <c r="Y231" s="32">
        <v>138.6</v>
      </c>
      <c r="Z231" s="32">
        <v>102.2</v>
      </c>
      <c r="AA231" s="32">
        <v>106.6</v>
      </c>
      <c r="AB231" s="32">
        <v>108</v>
      </c>
      <c r="AC231" s="32">
        <v>102.5</v>
      </c>
      <c r="AD231" s="32">
        <v>111.5</v>
      </c>
      <c r="AE231" s="32">
        <v>155.80000000000001</v>
      </c>
      <c r="AF231" s="32">
        <v>155.80000000000001</v>
      </c>
      <c r="AG231" s="32">
        <v>127.8</v>
      </c>
      <c r="AH231" s="32">
        <v>127.8</v>
      </c>
      <c r="AI231" s="32">
        <v>86.8</v>
      </c>
      <c r="AJ231" s="32">
        <v>255.2</v>
      </c>
      <c r="AK231" s="32">
        <v>123.6</v>
      </c>
      <c r="AL231" s="32">
        <v>109.3</v>
      </c>
      <c r="AM231" s="32">
        <v>84.5</v>
      </c>
      <c r="AN231" s="32">
        <v>185.2</v>
      </c>
      <c r="AO231" s="32">
        <v>89.2</v>
      </c>
      <c r="AP231" s="32">
        <v>89.2</v>
      </c>
      <c r="AQ231" s="32">
        <v>113.3</v>
      </c>
      <c r="AR231" s="32">
        <v>126.9</v>
      </c>
      <c r="AS231" s="32">
        <v>96.4</v>
      </c>
      <c r="AT231" s="32">
        <v>79.400000000000006</v>
      </c>
      <c r="AU231" s="32">
        <v>113.4</v>
      </c>
      <c r="AV231" s="32">
        <v>107.9</v>
      </c>
      <c r="AW231" s="32">
        <v>156.80000000000001</v>
      </c>
      <c r="AX231" s="32">
        <v>325.89999999999998</v>
      </c>
      <c r="AY231" s="32">
        <v>93.3</v>
      </c>
      <c r="AZ231" s="32">
        <v>100.5</v>
      </c>
      <c r="BA231" s="32">
        <v>79.099999999999994</v>
      </c>
      <c r="BB231" s="32">
        <v>79.099999999999994</v>
      </c>
      <c r="BC231" s="32">
        <v>104.6</v>
      </c>
      <c r="BD231" s="32">
        <v>104.6</v>
      </c>
      <c r="BE231" s="32">
        <v>96.1</v>
      </c>
      <c r="BF231" s="32">
        <v>96.1</v>
      </c>
      <c r="BG231" s="32">
        <v>101.3</v>
      </c>
      <c r="BH231" s="32">
        <v>125.8</v>
      </c>
      <c r="BI231" s="32">
        <v>74.400000000000006</v>
      </c>
      <c r="BJ231" s="32">
        <v>37.299999999999997</v>
      </c>
      <c r="BK231" s="32">
        <v>82.6</v>
      </c>
      <c r="BL231" s="32">
        <v>124.1</v>
      </c>
      <c r="BM231" s="32">
        <v>91.4</v>
      </c>
      <c r="BN231" s="32">
        <v>101.7</v>
      </c>
      <c r="BO231" s="32">
        <v>87.7</v>
      </c>
      <c r="BP231" s="32">
        <v>114.8</v>
      </c>
      <c r="BQ231" s="32">
        <v>81.2</v>
      </c>
      <c r="BR231" s="32">
        <v>78.3</v>
      </c>
      <c r="BS231" s="32">
        <v>87.6</v>
      </c>
      <c r="BT231" s="32">
        <v>79.5</v>
      </c>
      <c r="BU231" s="32">
        <v>136.80000000000001</v>
      </c>
      <c r="BV231" s="32">
        <v>136.80000000000001</v>
      </c>
      <c r="BW231" s="32">
        <v>159.69999999999999</v>
      </c>
      <c r="BX231" s="32">
        <v>80.3</v>
      </c>
      <c r="BY231" s="32">
        <v>89.1</v>
      </c>
      <c r="BZ231" s="32">
        <v>90.2</v>
      </c>
      <c r="CA231" s="32">
        <v>88.5</v>
      </c>
      <c r="CB231" s="32">
        <v>95.6</v>
      </c>
      <c r="CC231" s="32">
        <v>83.1</v>
      </c>
      <c r="CD231" s="32">
        <v>73.2</v>
      </c>
      <c r="CE231" s="32">
        <v>94.6</v>
      </c>
      <c r="CF231" s="32">
        <v>89.5</v>
      </c>
      <c r="CG231" s="32">
        <v>98.9</v>
      </c>
      <c r="CH231" s="32">
        <v>101.5</v>
      </c>
      <c r="CI231" s="32">
        <v>122</v>
      </c>
      <c r="CJ231" s="32">
        <v>93.6</v>
      </c>
      <c r="CK231" s="32">
        <v>103.1</v>
      </c>
      <c r="CL231" s="32">
        <v>94.6</v>
      </c>
      <c r="CM231" s="32">
        <v>105.6</v>
      </c>
      <c r="CN231" s="32">
        <v>161.80000000000001</v>
      </c>
      <c r="CO231" s="32">
        <v>93.1</v>
      </c>
      <c r="CP231" s="32">
        <v>150.6</v>
      </c>
      <c r="CQ231" s="32">
        <v>86.6</v>
      </c>
      <c r="CR231" s="32">
        <v>102.8</v>
      </c>
      <c r="CS231" s="32">
        <v>101.4</v>
      </c>
      <c r="CT231" s="32">
        <v>93.9</v>
      </c>
      <c r="CU231" s="32">
        <v>94.7</v>
      </c>
      <c r="CV231" s="32">
        <v>93.6</v>
      </c>
      <c r="CW231" s="32">
        <v>62.3</v>
      </c>
      <c r="CX231" s="32">
        <v>111.5</v>
      </c>
      <c r="CY231" s="32">
        <v>110.9</v>
      </c>
      <c r="CZ231" s="32">
        <v>111.7</v>
      </c>
      <c r="DA231" s="32">
        <v>105.6</v>
      </c>
      <c r="DB231" s="32">
        <v>124.1</v>
      </c>
      <c r="DC231" s="32">
        <v>29.1</v>
      </c>
      <c r="DD231" s="32">
        <v>29.1</v>
      </c>
      <c r="DE231" s="32">
        <v>74.8</v>
      </c>
      <c r="DF231" s="32">
        <v>74.3</v>
      </c>
      <c r="DG231" s="32">
        <v>76.7</v>
      </c>
      <c r="DH231" s="32">
        <v>89.1</v>
      </c>
      <c r="DI231" s="32">
        <v>131.19999999999999</v>
      </c>
      <c r="DJ231" s="32">
        <v>65.599999999999994</v>
      </c>
      <c r="DK231" s="32">
        <v>65.599999999999994</v>
      </c>
      <c r="DL231" s="32">
        <v>54.8</v>
      </c>
      <c r="DM231" s="32">
        <v>93.4</v>
      </c>
      <c r="DN231" s="32">
        <v>94.4</v>
      </c>
      <c r="DO231" s="32">
        <v>93</v>
      </c>
      <c r="DP231" s="32">
        <v>93.6</v>
      </c>
      <c r="DQ231" s="32">
        <v>88.3</v>
      </c>
      <c r="DR231" s="32">
        <v>85</v>
      </c>
      <c r="DS231" s="32">
        <v>86.4</v>
      </c>
      <c r="DT231" s="32">
        <v>82</v>
      </c>
      <c r="DU231" s="32">
        <v>84.4</v>
      </c>
      <c r="DV231" s="32">
        <v>95</v>
      </c>
      <c r="DW231" s="32">
        <v>73.400000000000006</v>
      </c>
      <c r="DX231" s="32">
        <v>77.099999999999994</v>
      </c>
      <c r="DY231" s="32">
        <v>102.4</v>
      </c>
      <c r="DZ231" s="32">
        <v>84.4</v>
      </c>
      <c r="EA231" s="32">
        <v>84.4</v>
      </c>
      <c r="EB231" s="32">
        <v>81.400000000000006</v>
      </c>
      <c r="EC231" s="32">
        <v>85.9</v>
      </c>
      <c r="ED231" s="32">
        <v>75.5</v>
      </c>
      <c r="EE231" s="32">
        <v>81.099999999999994</v>
      </c>
      <c r="EF231" s="32">
        <v>63.5</v>
      </c>
      <c r="EG231" s="32">
        <v>93.6</v>
      </c>
      <c r="EH231" s="32">
        <v>111</v>
      </c>
      <c r="EI231" s="32">
        <v>91.2</v>
      </c>
      <c r="EJ231" s="32">
        <v>112.3</v>
      </c>
      <c r="EK231" s="32">
        <v>83.7</v>
      </c>
      <c r="EL231" s="32">
        <v>87.7</v>
      </c>
      <c r="EM231" s="32">
        <v>73.8</v>
      </c>
      <c r="EN231" s="32">
        <v>89.4</v>
      </c>
      <c r="EO231" s="32">
        <v>92.3</v>
      </c>
      <c r="EP231" s="32">
        <v>86.7</v>
      </c>
      <c r="EQ231" s="32">
        <v>86.7</v>
      </c>
      <c r="ER231" s="32">
        <v>85.4</v>
      </c>
      <c r="ES231" s="32">
        <v>85.4</v>
      </c>
      <c r="ET231" s="32">
        <v>104.7</v>
      </c>
      <c r="EU231" s="32">
        <v>115.8</v>
      </c>
      <c r="EV231" s="32">
        <v>115.8</v>
      </c>
      <c r="EW231" s="32">
        <v>93.7</v>
      </c>
      <c r="EX231" s="32">
        <v>94</v>
      </c>
      <c r="EY231" s="32">
        <v>93.5</v>
      </c>
      <c r="EZ231" s="32">
        <v>95</v>
      </c>
      <c r="FA231" s="32">
        <v>98.7</v>
      </c>
      <c r="FB231" s="32">
        <v>105.8</v>
      </c>
      <c r="FC231" s="32">
        <v>89.1</v>
      </c>
      <c r="FD231" s="32">
        <v>101.7</v>
      </c>
      <c r="FE231" s="32">
        <v>137.5</v>
      </c>
      <c r="FF231" s="32">
        <v>90.6</v>
      </c>
      <c r="FG231" s="32">
        <v>89.4</v>
      </c>
      <c r="FH231" s="32">
        <v>87.6</v>
      </c>
      <c r="FI231" s="32">
        <v>109.2</v>
      </c>
      <c r="FJ231" s="32">
        <v>87.9</v>
      </c>
      <c r="FK231" s="32">
        <v>141.69999999999999</v>
      </c>
      <c r="FL231" s="32">
        <v>141.69999999999999</v>
      </c>
    </row>
    <row r="232" spans="1:168" x14ac:dyDescent="0.2">
      <c r="A232" s="34" t="s">
        <v>1212</v>
      </c>
      <c r="B232" s="32">
        <v>90.8</v>
      </c>
      <c r="C232" s="32">
        <v>96.6</v>
      </c>
      <c r="D232" s="32">
        <v>97.2</v>
      </c>
      <c r="E232" s="32">
        <v>99.5</v>
      </c>
      <c r="F232" s="32">
        <v>116.7</v>
      </c>
      <c r="G232" s="32">
        <v>2116.3000000000002</v>
      </c>
      <c r="H232" s="32">
        <v>109.4</v>
      </c>
      <c r="I232" s="32">
        <v>133.9</v>
      </c>
      <c r="J232" s="32">
        <v>96.5</v>
      </c>
      <c r="K232" s="32">
        <v>87.9</v>
      </c>
      <c r="L232" s="32">
        <v>87.5</v>
      </c>
      <c r="M232" s="32">
        <v>73.5</v>
      </c>
      <c r="N232" s="32">
        <v>81.900000000000006</v>
      </c>
      <c r="O232" s="32">
        <v>174.3</v>
      </c>
      <c r="P232" s="32">
        <v>156.80000000000001</v>
      </c>
      <c r="Q232" s="32">
        <v>112.9</v>
      </c>
      <c r="R232" s="32">
        <v>81.900000000000006</v>
      </c>
      <c r="S232" s="32">
        <v>85.5</v>
      </c>
      <c r="T232" s="32">
        <v>193.8</v>
      </c>
      <c r="U232" s="32">
        <v>105.5</v>
      </c>
      <c r="V232" s="32">
        <v>88.5</v>
      </c>
      <c r="W232" s="32">
        <v>91.1</v>
      </c>
      <c r="X232" s="32">
        <v>77</v>
      </c>
      <c r="Y232" s="32">
        <v>118.4</v>
      </c>
      <c r="Z232" s="32">
        <v>95.4</v>
      </c>
      <c r="AA232" s="32">
        <v>109.4</v>
      </c>
      <c r="AB232" s="32">
        <v>111.7</v>
      </c>
      <c r="AC232" s="32">
        <v>105.3</v>
      </c>
      <c r="AD232" s="32">
        <v>113.8</v>
      </c>
      <c r="AE232" s="32">
        <v>159.6</v>
      </c>
      <c r="AF232" s="32">
        <v>159.6</v>
      </c>
      <c r="AG232" s="32">
        <v>126.5</v>
      </c>
      <c r="AH232" s="32">
        <v>126.5</v>
      </c>
      <c r="AI232" s="32">
        <v>88.3</v>
      </c>
      <c r="AJ232" s="32">
        <v>238.8</v>
      </c>
      <c r="AK232" s="32">
        <v>126.5</v>
      </c>
      <c r="AL232" s="32">
        <v>105.2</v>
      </c>
      <c r="AM232" s="32">
        <v>86.1</v>
      </c>
      <c r="AN232" s="32">
        <v>189.9</v>
      </c>
      <c r="AO232" s="32">
        <v>79.8</v>
      </c>
      <c r="AP232" s="32">
        <v>79.8</v>
      </c>
      <c r="AQ232" s="32">
        <v>110.8</v>
      </c>
      <c r="AR232" s="32">
        <v>122.8</v>
      </c>
      <c r="AS232" s="32">
        <v>95.9</v>
      </c>
      <c r="AT232" s="32">
        <v>79.8</v>
      </c>
      <c r="AU232" s="32">
        <v>112</v>
      </c>
      <c r="AV232" s="32">
        <v>104.5</v>
      </c>
      <c r="AW232" s="32">
        <v>140.5</v>
      </c>
      <c r="AX232" s="32">
        <v>272.5</v>
      </c>
      <c r="AY232" s="32">
        <v>91.9</v>
      </c>
      <c r="AZ232" s="32">
        <v>99.4</v>
      </c>
      <c r="BA232" s="32">
        <v>80.3</v>
      </c>
      <c r="BB232" s="32">
        <v>80.3</v>
      </c>
      <c r="BC232" s="32">
        <v>101.2</v>
      </c>
      <c r="BD232" s="32">
        <v>101.2</v>
      </c>
      <c r="BE232" s="32">
        <v>94.1</v>
      </c>
      <c r="BF232" s="32">
        <v>94.1</v>
      </c>
      <c r="BG232" s="32">
        <v>99.3</v>
      </c>
      <c r="BH232" s="32">
        <v>120.4</v>
      </c>
      <c r="BI232" s="32">
        <v>75.7</v>
      </c>
      <c r="BJ232" s="32">
        <v>38.9</v>
      </c>
      <c r="BK232" s="32">
        <v>84.1</v>
      </c>
      <c r="BL232" s="32">
        <v>118.3</v>
      </c>
      <c r="BM232" s="32">
        <v>95.8</v>
      </c>
      <c r="BN232" s="32">
        <v>104.1</v>
      </c>
      <c r="BO232" s="32">
        <v>94.9</v>
      </c>
      <c r="BP232" s="32">
        <v>111.9</v>
      </c>
      <c r="BQ232" s="32">
        <v>87.5</v>
      </c>
      <c r="BR232" s="32">
        <v>73.7</v>
      </c>
      <c r="BS232" s="32">
        <v>115.1</v>
      </c>
      <c r="BT232" s="32">
        <v>81.2</v>
      </c>
      <c r="BU232" s="32">
        <v>130.69999999999999</v>
      </c>
      <c r="BV232" s="32">
        <v>130.69999999999999</v>
      </c>
      <c r="BW232" s="32">
        <v>154.9</v>
      </c>
      <c r="BX232" s="32">
        <v>73.400000000000006</v>
      </c>
      <c r="BY232" s="32">
        <v>89</v>
      </c>
      <c r="BZ232" s="32">
        <v>90.1</v>
      </c>
      <c r="CA232" s="32">
        <v>88.4</v>
      </c>
      <c r="CB232" s="32">
        <v>98.3</v>
      </c>
      <c r="CC232" s="32">
        <v>80.3</v>
      </c>
      <c r="CD232" s="32">
        <v>70.2</v>
      </c>
      <c r="CE232" s="32">
        <v>93.4</v>
      </c>
      <c r="CF232" s="32">
        <v>89.6</v>
      </c>
      <c r="CG232" s="32">
        <v>98.2</v>
      </c>
      <c r="CH232" s="32">
        <v>101.3</v>
      </c>
      <c r="CI232" s="32">
        <v>120.4</v>
      </c>
      <c r="CJ232" s="32">
        <v>93</v>
      </c>
      <c r="CK232" s="32">
        <v>103.6</v>
      </c>
      <c r="CL232" s="32">
        <v>93.3</v>
      </c>
      <c r="CM232" s="32">
        <v>106.7</v>
      </c>
      <c r="CN232" s="32">
        <v>161.69999999999999</v>
      </c>
      <c r="CO232" s="32">
        <v>94.3</v>
      </c>
      <c r="CP232" s="32">
        <v>147.19999999999999</v>
      </c>
      <c r="CQ232" s="32">
        <v>88.1</v>
      </c>
      <c r="CR232" s="32">
        <v>103</v>
      </c>
      <c r="CS232" s="32">
        <v>90.8</v>
      </c>
      <c r="CT232" s="32">
        <v>92.5</v>
      </c>
      <c r="CU232" s="32">
        <v>90.6</v>
      </c>
      <c r="CV232" s="32">
        <v>93.4</v>
      </c>
      <c r="CW232" s="32">
        <v>63.3</v>
      </c>
      <c r="CX232" s="32">
        <v>111.2</v>
      </c>
      <c r="CY232" s="32">
        <v>111.2</v>
      </c>
      <c r="CZ232" s="32">
        <v>111.1</v>
      </c>
      <c r="DA232" s="32">
        <v>104.1</v>
      </c>
      <c r="DB232" s="32">
        <v>125.1</v>
      </c>
      <c r="DC232" s="32">
        <v>30</v>
      </c>
      <c r="DD232" s="32">
        <v>30</v>
      </c>
      <c r="DE232" s="32">
        <v>76.3</v>
      </c>
      <c r="DF232" s="32">
        <v>76.2</v>
      </c>
      <c r="DG232" s="32">
        <v>76.900000000000006</v>
      </c>
      <c r="DH232" s="32">
        <v>90.5</v>
      </c>
      <c r="DI232" s="32">
        <v>132.6</v>
      </c>
      <c r="DJ232" s="32">
        <v>66.599999999999994</v>
      </c>
      <c r="DK232" s="32">
        <v>66.599999999999994</v>
      </c>
      <c r="DL232" s="32">
        <v>56.4</v>
      </c>
      <c r="DM232" s="32">
        <v>93.6</v>
      </c>
      <c r="DN232" s="32">
        <v>94.4</v>
      </c>
      <c r="DO232" s="32">
        <v>93.2</v>
      </c>
      <c r="DP232" s="32">
        <v>91.8</v>
      </c>
      <c r="DQ232" s="32">
        <v>87.3</v>
      </c>
      <c r="DR232" s="32">
        <v>84.3</v>
      </c>
      <c r="DS232" s="32">
        <v>85.6</v>
      </c>
      <c r="DT232" s="32">
        <v>82.1</v>
      </c>
      <c r="DU232" s="32">
        <v>84.6</v>
      </c>
      <c r="DV232" s="32">
        <v>95</v>
      </c>
      <c r="DW232" s="32">
        <v>73.900000000000006</v>
      </c>
      <c r="DX232" s="32">
        <v>77</v>
      </c>
      <c r="DY232" s="32">
        <v>98.4</v>
      </c>
      <c r="DZ232" s="32">
        <v>83.3</v>
      </c>
      <c r="EA232" s="32">
        <v>83.3</v>
      </c>
      <c r="EB232" s="32">
        <v>81</v>
      </c>
      <c r="EC232" s="32">
        <v>84.6</v>
      </c>
      <c r="ED232" s="32">
        <v>76.2</v>
      </c>
      <c r="EE232" s="32">
        <v>82.6</v>
      </c>
      <c r="EF232" s="32">
        <v>62.7</v>
      </c>
      <c r="EG232" s="32">
        <v>92.2</v>
      </c>
      <c r="EH232" s="32">
        <v>111.1</v>
      </c>
      <c r="EI232" s="32">
        <v>87.6</v>
      </c>
      <c r="EJ232" s="32">
        <v>109</v>
      </c>
      <c r="EK232" s="32">
        <v>83.7</v>
      </c>
      <c r="EL232" s="32">
        <v>92.8</v>
      </c>
      <c r="EM232" s="32">
        <v>72.2</v>
      </c>
      <c r="EN232" s="32">
        <v>89.7</v>
      </c>
      <c r="EO232" s="32">
        <v>92.5</v>
      </c>
      <c r="EP232" s="32">
        <v>87.2</v>
      </c>
      <c r="EQ232" s="32">
        <v>87.2</v>
      </c>
      <c r="ER232" s="32">
        <v>85.3</v>
      </c>
      <c r="ES232" s="32">
        <v>85.3</v>
      </c>
      <c r="ET232" s="32">
        <v>104.8</v>
      </c>
      <c r="EU232" s="32">
        <v>115.7</v>
      </c>
      <c r="EV232" s="32">
        <v>115.7</v>
      </c>
      <c r="EW232" s="32">
        <v>94.2</v>
      </c>
      <c r="EX232" s="32">
        <v>93.8</v>
      </c>
      <c r="EY232" s="32">
        <v>94.6</v>
      </c>
      <c r="EZ232" s="32">
        <v>97.3</v>
      </c>
      <c r="FA232" s="32">
        <v>100.6</v>
      </c>
      <c r="FB232" s="32">
        <v>108.9</v>
      </c>
      <c r="FC232" s="32">
        <v>96.5</v>
      </c>
      <c r="FD232" s="32">
        <v>101.7</v>
      </c>
      <c r="FE232" s="32">
        <v>134.5</v>
      </c>
      <c r="FF232" s="32">
        <v>91.3</v>
      </c>
      <c r="FG232" s="32">
        <v>90.9</v>
      </c>
      <c r="FH232" s="32">
        <v>86.6</v>
      </c>
      <c r="FI232" s="32">
        <v>114.2</v>
      </c>
      <c r="FJ232" s="32">
        <v>90.1</v>
      </c>
      <c r="FK232" s="32">
        <v>160.80000000000001</v>
      </c>
      <c r="FL232" s="32">
        <v>160.80000000000001</v>
      </c>
    </row>
    <row r="233" spans="1:168" x14ac:dyDescent="0.2">
      <c r="A233" s="34" t="s">
        <v>1213</v>
      </c>
      <c r="B233" s="32">
        <v>91.1</v>
      </c>
      <c r="C233" s="32">
        <v>94</v>
      </c>
      <c r="D233" s="32">
        <v>97.5</v>
      </c>
      <c r="E233" s="32">
        <v>98.9</v>
      </c>
      <c r="F233" s="32">
        <v>114.6</v>
      </c>
      <c r="G233" s="32">
        <v>2028.2</v>
      </c>
      <c r="H233" s="32">
        <v>109.3</v>
      </c>
      <c r="I233" s="32">
        <v>126.3</v>
      </c>
      <c r="J233" s="32">
        <v>96.5</v>
      </c>
      <c r="K233" s="32">
        <v>90.2</v>
      </c>
      <c r="L233" s="32">
        <v>90.3</v>
      </c>
      <c r="M233" s="32">
        <v>82.4</v>
      </c>
      <c r="N233" s="32">
        <v>83.5</v>
      </c>
      <c r="O233" s="32">
        <v>152.9</v>
      </c>
      <c r="P233" s="32">
        <v>164.7</v>
      </c>
      <c r="Q233" s="32">
        <v>112.7</v>
      </c>
      <c r="R233" s="32">
        <v>83.4</v>
      </c>
      <c r="S233" s="32">
        <v>84.6</v>
      </c>
      <c r="T233" s="32">
        <v>188.4</v>
      </c>
      <c r="U233" s="32">
        <v>109.2</v>
      </c>
      <c r="V233" s="32">
        <v>88.2</v>
      </c>
      <c r="W233" s="32">
        <v>87.4</v>
      </c>
      <c r="X233" s="32">
        <v>75.099999999999994</v>
      </c>
      <c r="Y233" s="32">
        <v>110.9</v>
      </c>
      <c r="Z233" s="32">
        <v>95.3</v>
      </c>
      <c r="AA233" s="32">
        <v>108.8</v>
      </c>
      <c r="AB233" s="32">
        <v>112.6</v>
      </c>
      <c r="AC233" s="32">
        <v>103.5</v>
      </c>
      <c r="AD233" s="32">
        <v>113.2</v>
      </c>
      <c r="AE233" s="32">
        <v>155</v>
      </c>
      <c r="AF233" s="32">
        <v>155</v>
      </c>
      <c r="AG233" s="32">
        <v>121</v>
      </c>
      <c r="AH233" s="32">
        <v>121</v>
      </c>
      <c r="AI233" s="32">
        <v>85.6</v>
      </c>
      <c r="AJ233" s="32">
        <v>224.3</v>
      </c>
      <c r="AK233" s="32">
        <v>101.1</v>
      </c>
      <c r="AL233" s="32">
        <v>103</v>
      </c>
      <c r="AM233" s="32">
        <v>89</v>
      </c>
      <c r="AN233" s="32">
        <v>171.6</v>
      </c>
      <c r="AO233" s="32">
        <v>82.6</v>
      </c>
      <c r="AP233" s="32">
        <v>82.6</v>
      </c>
      <c r="AQ233" s="32">
        <v>109.9</v>
      </c>
      <c r="AR233" s="32">
        <v>120.7</v>
      </c>
      <c r="AS233" s="32">
        <v>96.4</v>
      </c>
      <c r="AT233" s="32">
        <v>80.099999999999994</v>
      </c>
      <c r="AU233" s="32">
        <v>112.7</v>
      </c>
      <c r="AV233" s="32">
        <v>103.5</v>
      </c>
      <c r="AW233" s="32">
        <v>143.4</v>
      </c>
      <c r="AX233" s="32">
        <v>277.2</v>
      </c>
      <c r="AY233" s="32">
        <v>94.3</v>
      </c>
      <c r="AZ233" s="32">
        <v>97.6</v>
      </c>
      <c r="BA233" s="32">
        <v>83</v>
      </c>
      <c r="BB233" s="32">
        <v>83</v>
      </c>
      <c r="BC233" s="32">
        <v>99.8</v>
      </c>
      <c r="BD233" s="32">
        <v>99.8</v>
      </c>
      <c r="BE233" s="32">
        <v>93.8</v>
      </c>
      <c r="BF233" s="32">
        <v>93.8</v>
      </c>
      <c r="BG233" s="32">
        <v>98.1</v>
      </c>
      <c r="BH233" s="32">
        <v>117.6</v>
      </c>
      <c r="BI233" s="32">
        <v>76</v>
      </c>
      <c r="BJ233" s="32">
        <v>40.4</v>
      </c>
      <c r="BK233" s="32">
        <v>84.6</v>
      </c>
      <c r="BL233" s="32">
        <v>111.3</v>
      </c>
      <c r="BM233" s="32">
        <v>96.1</v>
      </c>
      <c r="BN233" s="32">
        <v>104.4</v>
      </c>
      <c r="BO233" s="32">
        <v>94.2</v>
      </c>
      <c r="BP233" s="32">
        <v>113.4</v>
      </c>
      <c r="BQ233" s="32">
        <v>87.8</v>
      </c>
      <c r="BR233" s="32">
        <v>65</v>
      </c>
      <c r="BS233" s="32">
        <v>107.9</v>
      </c>
      <c r="BT233" s="32">
        <v>84.8</v>
      </c>
      <c r="BU233" s="32">
        <v>122.8</v>
      </c>
      <c r="BV233" s="32">
        <v>122.8</v>
      </c>
      <c r="BW233" s="32">
        <v>148.19999999999999</v>
      </c>
      <c r="BX233" s="32">
        <v>64.8</v>
      </c>
      <c r="BY233" s="32">
        <v>91.3</v>
      </c>
      <c r="BZ233" s="32">
        <v>90.1</v>
      </c>
      <c r="CA233" s="32">
        <v>91.8</v>
      </c>
      <c r="CB233" s="32">
        <v>102.7</v>
      </c>
      <c r="CC233" s="32">
        <v>82.8</v>
      </c>
      <c r="CD233" s="32">
        <v>73.400000000000006</v>
      </c>
      <c r="CE233" s="32">
        <v>96</v>
      </c>
      <c r="CF233" s="32">
        <v>89.9</v>
      </c>
      <c r="CG233" s="32">
        <v>98.8</v>
      </c>
      <c r="CH233" s="32">
        <v>102.3</v>
      </c>
      <c r="CI233" s="32">
        <v>124</v>
      </c>
      <c r="CJ233" s="32">
        <v>95</v>
      </c>
      <c r="CK233" s="32">
        <v>103.3</v>
      </c>
      <c r="CL233" s="32">
        <v>92.5</v>
      </c>
      <c r="CM233" s="32">
        <v>106.2</v>
      </c>
      <c r="CN233" s="32">
        <v>163.4</v>
      </c>
      <c r="CO233" s="32">
        <v>93.6</v>
      </c>
      <c r="CP233" s="32">
        <v>142.80000000000001</v>
      </c>
      <c r="CQ233" s="32">
        <v>88.2</v>
      </c>
      <c r="CR233" s="32">
        <v>101.6</v>
      </c>
      <c r="CS233" s="32">
        <v>90.5</v>
      </c>
      <c r="CT233" s="32">
        <v>93.7</v>
      </c>
      <c r="CU233" s="32">
        <v>92.7</v>
      </c>
      <c r="CV233" s="32">
        <v>94.2</v>
      </c>
      <c r="CW233" s="32">
        <v>62.7</v>
      </c>
      <c r="CX233" s="32">
        <v>105.3</v>
      </c>
      <c r="CY233" s="32">
        <v>110.7</v>
      </c>
      <c r="CZ233" s="32">
        <v>102.4</v>
      </c>
      <c r="DA233" s="32">
        <v>94.1</v>
      </c>
      <c r="DB233" s="32">
        <v>118.8</v>
      </c>
      <c r="DC233" s="32">
        <v>30.4</v>
      </c>
      <c r="DD233" s="32">
        <v>30.4</v>
      </c>
      <c r="DE233" s="32">
        <v>76.8</v>
      </c>
      <c r="DF233" s="32">
        <v>76.5</v>
      </c>
      <c r="DG233" s="32">
        <v>77.599999999999994</v>
      </c>
      <c r="DH233" s="32">
        <v>93.7</v>
      </c>
      <c r="DI233" s="32">
        <v>134.4</v>
      </c>
      <c r="DJ233" s="32">
        <v>67.2</v>
      </c>
      <c r="DK233" s="32">
        <v>67.2</v>
      </c>
      <c r="DL233" s="32">
        <v>62.9</v>
      </c>
      <c r="DM233" s="32">
        <v>93.9</v>
      </c>
      <c r="DN233" s="32">
        <v>94.5</v>
      </c>
      <c r="DO233" s="32">
        <v>93.7</v>
      </c>
      <c r="DP233" s="32">
        <v>92.1</v>
      </c>
      <c r="DQ233" s="32">
        <v>86</v>
      </c>
      <c r="DR233" s="32">
        <v>83.2</v>
      </c>
      <c r="DS233" s="32">
        <v>84.6</v>
      </c>
      <c r="DT233" s="32">
        <v>80.8</v>
      </c>
      <c r="DU233" s="32">
        <v>82.9</v>
      </c>
      <c r="DV233" s="32">
        <v>94.4</v>
      </c>
      <c r="DW233" s="32">
        <v>71.2</v>
      </c>
      <c r="DX233" s="32">
        <v>76.3</v>
      </c>
      <c r="DY233" s="32">
        <v>98.4</v>
      </c>
      <c r="DZ233" s="32">
        <v>80.900000000000006</v>
      </c>
      <c r="EA233" s="32">
        <v>80.900000000000006</v>
      </c>
      <c r="EB233" s="32">
        <v>80.099999999999994</v>
      </c>
      <c r="EC233" s="32">
        <v>83</v>
      </c>
      <c r="ED233" s="32">
        <v>76.2</v>
      </c>
      <c r="EE233" s="32">
        <v>81.7</v>
      </c>
      <c r="EF233" s="32">
        <v>64.5</v>
      </c>
      <c r="EG233" s="32">
        <v>90.6</v>
      </c>
      <c r="EH233" s="32">
        <v>104.6</v>
      </c>
      <c r="EI233" s="32">
        <v>89</v>
      </c>
      <c r="EJ233" s="32">
        <v>114.1</v>
      </c>
      <c r="EK233" s="32">
        <v>80.599999999999994</v>
      </c>
      <c r="EL233" s="32">
        <v>95</v>
      </c>
      <c r="EM233" s="32">
        <v>67.3</v>
      </c>
      <c r="EN233" s="32">
        <v>86.9</v>
      </c>
      <c r="EO233" s="32">
        <v>92.8</v>
      </c>
      <c r="EP233" s="32">
        <v>87.6</v>
      </c>
      <c r="EQ233" s="32">
        <v>87.6</v>
      </c>
      <c r="ER233" s="32">
        <v>85.3</v>
      </c>
      <c r="ES233" s="32">
        <v>85.3</v>
      </c>
      <c r="ET233" s="32">
        <v>105.4</v>
      </c>
      <c r="EU233" s="32">
        <v>116</v>
      </c>
      <c r="EV233" s="32">
        <v>116</v>
      </c>
      <c r="EW233" s="32">
        <v>95.3</v>
      </c>
      <c r="EX233" s="32">
        <v>94.4</v>
      </c>
      <c r="EY233" s="32">
        <v>96</v>
      </c>
      <c r="EZ233" s="32">
        <v>97.9</v>
      </c>
      <c r="FA233" s="32">
        <v>100.2</v>
      </c>
      <c r="FB233" s="32">
        <v>109.4</v>
      </c>
      <c r="FC233" s="32">
        <v>98.9</v>
      </c>
      <c r="FD233" s="32">
        <v>105.8</v>
      </c>
      <c r="FE233" s="32">
        <v>129.6</v>
      </c>
      <c r="FF233" s="32">
        <v>89.9</v>
      </c>
      <c r="FG233" s="32">
        <v>92.3</v>
      </c>
      <c r="FH233" s="32">
        <v>84.6</v>
      </c>
      <c r="FI233" s="32">
        <v>127.2</v>
      </c>
      <c r="FJ233" s="32">
        <v>91.7</v>
      </c>
      <c r="FK233" s="32">
        <v>162.9</v>
      </c>
      <c r="FL233" s="32">
        <v>162.9</v>
      </c>
    </row>
    <row r="234" spans="1:168" x14ac:dyDescent="0.2">
      <c r="A234" s="34" t="s">
        <v>1214</v>
      </c>
      <c r="B234" s="32">
        <v>91.2</v>
      </c>
      <c r="C234" s="32">
        <v>90.6</v>
      </c>
      <c r="D234" s="32">
        <v>97.4</v>
      </c>
      <c r="E234" s="32">
        <v>99.3</v>
      </c>
      <c r="F234" s="32">
        <v>116.6</v>
      </c>
      <c r="G234" s="32">
        <v>892.7</v>
      </c>
      <c r="H234" s="32">
        <v>114.3</v>
      </c>
      <c r="I234" s="32">
        <v>121.7</v>
      </c>
      <c r="J234" s="32">
        <v>96.1</v>
      </c>
      <c r="K234" s="32">
        <v>90.1</v>
      </c>
      <c r="L234" s="32">
        <v>90.7</v>
      </c>
      <c r="M234" s="32">
        <v>82.2</v>
      </c>
      <c r="N234" s="32">
        <v>84.7</v>
      </c>
      <c r="O234" s="32">
        <v>131.19999999999999</v>
      </c>
      <c r="P234" s="32">
        <v>174.9</v>
      </c>
      <c r="Q234" s="32">
        <v>109.8</v>
      </c>
      <c r="R234" s="32">
        <v>79.8</v>
      </c>
      <c r="S234" s="32">
        <v>86.6</v>
      </c>
      <c r="T234" s="32">
        <v>183.5</v>
      </c>
      <c r="U234" s="32">
        <v>111.8</v>
      </c>
      <c r="V234" s="32">
        <v>84.5</v>
      </c>
      <c r="W234" s="32">
        <v>90</v>
      </c>
      <c r="X234" s="32">
        <v>79</v>
      </c>
      <c r="Y234" s="32">
        <v>111.1</v>
      </c>
      <c r="Z234" s="32">
        <v>102.7</v>
      </c>
      <c r="AA234" s="32">
        <v>109.7</v>
      </c>
      <c r="AB234" s="32">
        <v>117.1</v>
      </c>
      <c r="AC234" s="32">
        <v>97</v>
      </c>
      <c r="AD234" s="32">
        <v>118.1</v>
      </c>
      <c r="AE234" s="32">
        <v>154.80000000000001</v>
      </c>
      <c r="AF234" s="32">
        <v>154.80000000000001</v>
      </c>
      <c r="AG234" s="32">
        <v>114</v>
      </c>
      <c r="AH234" s="32">
        <v>114</v>
      </c>
      <c r="AI234" s="32">
        <v>81.8</v>
      </c>
      <c r="AJ234" s="32">
        <v>200.5</v>
      </c>
      <c r="AK234" s="32">
        <v>121.8</v>
      </c>
      <c r="AL234" s="32">
        <v>97.7</v>
      </c>
      <c r="AM234" s="32">
        <v>83.3</v>
      </c>
      <c r="AN234" s="32">
        <v>161.6</v>
      </c>
      <c r="AO234" s="32">
        <v>77.900000000000006</v>
      </c>
      <c r="AP234" s="32">
        <v>77.900000000000006</v>
      </c>
      <c r="AQ234" s="32">
        <v>111.4</v>
      </c>
      <c r="AR234" s="32">
        <v>118.3</v>
      </c>
      <c r="AS234" s="32">
        <v>102.8</v>
      </c>
      <c r="AT234" s="32">
        <v>81.3</v>
      </c>
      <c r="AU234" s="32">
        <v>124.4</v>
      </c>
      <c r="AV234" s="32">
        <v>108.7</v>
      </c>
      <c r="AW234" s="32">
        <v>146.1</v>
      </c>
      <c r="AX234" s="32">
        <v>272.60000000000002</v>
      </c>
      <c r="AY234" s="32">
        <v>100.1</v>
      </c>
      <c r="AZ234" s="32">
        <v>103.4</v>
      </c>
      <c r="BA234" s="32">
        <v>83.8</v>
      </c>
      <c r="BB234" s="32">
        <v>83.8</v>
      </c>
      <c r="BC234" s="32">
        <v>100.5</v>
      </c>
      <c r="BD234" s="32">
        <v>100.5</v>
      </c>
      <c r="BE234" s="32">
        <v>91.9</v>
      </c>
      <c r="BF234" s="32">
        <v>91.9</v>
      </c>
      <c r="BG234" s="32">
        <v>96.7</v>
      </c>
      <c r="BH234" s="32">
        <v>114</v>
      </c>
      <c r="BI234" s="32">
        <v>76.7</v>
      </c>
      <c r="BJ234" s="32">
        <v>41.7</v>
      </c>
      <c r="BK234" s="32">
        <v>84.9</v>
      </c>
      <c r="BL234" s="32">
        <v>112.6</v>
      </c>
      <c r="BM234" s="32">
        <v>93.9</v>
      </c>
      <c r="BN234" s="32">
        <v>104</v>
      </c>
      <c r="BO234" s="32">
        <v>90.3</v>
      </c>
      <c r="BP234" s="32">
        <v>116.7</v>
      </c>
      <c r="BQ234" s="32">
        <v>83.9</v>
      </c>
      <c r="BR234" s="32">
        <v>61.3</v>
      </c>
      <c r="BS234" s="32">
        <v>99.9</v>
      </c>
      <c r="BT234" s="32">
        <v>82</v>
      </c>
      <c r="BU234" s="32">
        <v>130</v>
      </c>
      <c r="BV234" s="32">
        <v>130</v>
      </c>
      <c r="BW234" s="32">
        <v>152.19999999999999</v>
      </c>
      <c r="BX234" s="32">
        <v>75.2</v>
      </c>
      <c r="BY234" s="32">
        <v>91.7</v>
      </c>
      <c r="BZ234" s="32">
        <v>92.6</v>
      </c>
      <c r="CA234" s="32">
        <v>91.3</v>
      </c>
      <c r="CB234" s="32">
        <v>101.2</v>
      </c>
      <c r="CC234" s="32">
        <v>83</v>
      </c>
      <c r="CD234" s="32">
        <v>75.5</v>
      </c>
      <c r="CE234" s="32">
        <v>94.6</v>
      </c>
      <c r="CF234" s="32">
        <v>90.1</v>
      </c>
      <c r="CG234" s="32">
        <v>99</v>
      </c>
      <c r="CH234" s="32">
        <v>102</v>
      </c>
      <c r="CI234" s="32">
        <v>119.4</v>
      </c>
      <c r="CJ234" s="32">
        <v>92.4</v>
      </c>
      <c r="CK234" s="32">
        <v>105.5</v>
      </c>
      <c r="CL234" s="32">
        <v>94.9</v>
      </c>
      <c r="CM234" s="32">
        <v>107.4</v>
      </c>
      <c r="CN234" s="32">
        <v>160.80000000000001</v>
      </c>
      <c r="CO234" s="32">
        <v>95.1</v>
      </c>
      <c r="CP234" s="32">
        <v>140.30000000000001</v>
      </c>
      <c r="CQ234" s="32">
        <v>92.4</v>
      </c>
      <c r="CR234" s="32">
        <v>101.7</v>
      </c>
      <c r="CS234" s="32">
        <v>102.7</v>
      </c>
      <c r="CT234" s="32">
        <v>92.5</v>
      </c>
      <c r="CU234" s="32">
        <v>88.6</v>
      </c>
      <c r="CV234" s="32">
        <v>94.1</v>
      </c>
      <c r="CW234" s="32">
        <v>63.2</v>
      </c>
      <c r="CX234" s="32">
        <v>106.1</v>
      </c>
      <c r="CY234" s="32">
        <v>109.4</v>
      </c>
      <c r="CZ234" s="32">
        <v>104.2</v>
      </c>
      <c r="DA234" s="32">
        <v>92.7</v>
      </c>
      <c r="DB234" s="32">
        <v>127.1</v>
      </c>
      <c r="DC234" s="32">
        <v>30.8</v>
      </c>
      <c r="DD234" s="32">
        <v>30.8</v>
      </c>
      <c r="DE234" s="32">
        <v>77.099999999999994</v>
      </c>
      <c r="DF234" s="32">
        <v>76.5</v>
      </c>
      <c r="DG234" s="32">
        <v>79.400000000000006</v>
      </c>
      <c r="DH234" s="32">
        <v>94</v>
      </c>
      <c r="DI234" s="32">
        <v>136.80000000000001</v>
      </c>
      <c r="DJ234" s="32">
        <v>66.7</v>
      </c>
      <c r="DK234" s="32">
        <v>66.7</v>
      </c>
      <c r="DL234" s="32">
        <v>61.2</v>
      </c>
      <c r="DM234" s="32">
        <v>94.2</v>
      </c>
      <c r="DN234" s="32">
        <v>95.1</v>
      </c>
      <c r="DO234" s="32">
        <v>94.1</v>
      </c>
      <c r="DP234" s="32">
        <v>87.8</v>
      </c>
      <c r="DQ234" s="32">
        <v>87.1</v>
      </c>
      <c r="DR234" s="32">
        <v>83.6</v>
      </c>
      <c r="DS234" s="32">
        <v>83.8</v>
      </c>
      <c r="DT234" s="32">
        <v>81.099999999999994</v>
      </c>
      <c r="DU234" s="32">
        <v>83</v>
      </c>
      <c r="DV234" s="32">
        <v>94.2</v>
      </c>
      <c r="DW234" s="32">
        <v>71.5</v>
      </c>
      <c r="DX234" s="32">
        <v>77.2</v>
      </c>
      <c r="DY234" s="32">
        <v>93.7</v>
      </c>
      <c r="DZ234" s="32">
        <v>84.5</v>
      </c>
      <c r="EA234" s="32">
        <v>84.5</v>
      </c>
      <c r="EB234" s="32">
        <v>82.7</v>
      </c>
      <c r="EC234" s="32">
        <v>84</v>
      </c>
      <c r="ED234" s="32">
        <v>80.900000000000006</v>
      </c>
      <c r="EE234" s="32">
        <v>88.2</v>
      </c>
      <c r="EF234" s="32">
        <v>65.5</v>
      </c>
      <c r="EG234" s="32">
        <v>92.9</v>
      </c>
      <c r="EH234" s="32">
        <v>102.6</v>
      </c>
      <c r="EI234" s="32">
        <v>91.6</v>
      </c>
      <c r="EJ234" s="32">
        <v>109.5</v>
      </c>
      <c r="EK234" s="32">
        <v>85.9</v>
      </c>
      <c r="EL234" s="32">
        <v>90.2</v>
      </c>
      <c r="EM234" s="32">
        <v>74.2</v>
      </c>
      <c r="EN234" s="32">
        <v>92.8</v>
      </c>
      <c r="EO234" s="32">
        <v>92.6</v>
      </c>
      <c r="EP234" s="32">
        <v>87.7</v>
      </c>
      <c r="EQ234" s="32">
        <v>87.7</v>
      </c>
      <c r="ER234" s="32">
        <v>84.8</v>
      </c>
      <c r="ES234" s="32">
        <v>84.8</v>
      </c>
      <c r="ET234" s="32">
        <v>105.2</v>
      </c>
      <c r="EU234" s="32">
        <v>115</v>
      </c>
      <c r="EV234" s="32">
        <v>115</v>
      </c>
      <c r="EW234" s="32">
        <v>96.5</v>
      </c>
      <c r="EX234" s="32">
        <v>95.6</v>
      </c>
      <c r="EY234" s="32">
        <v>97.3</v>
      </c>
      <c r="EZ234" s="32">
        <v>94.7</v>
      </c>
      <c r="FA234" s="32">
        <v>94.9</v>
      </c>
      <c r="FB234" s="32">
        <v>100.8</v>
      </c>
      <c r="FC234" s="32">
        <v>87</v>
      </c>
      <c r="FD234" s="32">
        <v>104.8</v>
      </c>
      <c r="FE234" s="32">
        <v>122.7</v>
      </c>
      <c r="FF234" s="32">
        <v>88.3</v>
      </c>
      <c r="FG234" s="32">
        <v>90.9</v>
      </c>
      <c r="FH234" s="32">
        <v>81.599999999999994</v>
      </c>
      <c r="FI234" s="32">
        <v>112.1</v>
      </c>
      <c r="FJ234" s="32">
        <v>92.5</v>
      </c>
      <c r="FK234" s="32">
        <v>155.30000000000001</v>
      </c>
      <c r="FL234" s="32">
        <v>155.30000000000001</v>
      </c>
    </row>
    <row r="235" spans="1:168" x14ac:dyDescent="0.2">
      <c r="A235" s="34" t="s">
        <v>1215</v>
      </c>
      <c r="B235" s="32">
        <v>91.4</v>
      </c>
      <c r="C235" s="32">
        <v>88</v>
      </c>
      <c r="D235" s="32">
        <v>97</v>
      </c>
      <c r="E235" s="32">
        <v>99.1</v>
      </c>
      <c r="F235" s="32">
        <v>119.6</v>
      </c>
      <c r="G235" s="32">
        <v>785.6</v>
      </c>
      <c r="H235" s="32">
        <v>120.6</v>
      </c>
      <c r="I235" s="32">
        <v>115.1</v>
      </c>
      <c r="J235" s="32">
        <v>95.9</v>
      </c>
      <c r="K235" s="32">
        <v>91.2</v>
      </c>
      <c r="L235" s="32">
        <v>92.9</v>
      </c>
      <c r="M235" s="32">
        <v>85.3</v>
      </c>
      <c r="N235" s="32">
        <v>81.900000000000006</v>
      </c>
      <c r="O235" s="32">
        <v>111.9</v>
      </c>
      <c r="P235" s="32">
        <v>181.1</v>
      </c>
      <c r="Q235" s="32">
        <v>110.7</v>
      </c>
      <c r="R235" s="32">
        <v>83.4</v>
      </c>
      <c r="S235" s="32">
        <v>88.6</v>
      </c>
      <c r="T235" s="32">
        <v>187</v>
      </c>
      <c r="U235" s="32">
        <v>104.9</v>
      </c>
      <c r="V235" s="32">
        <v>82.8</v>
      </c>
      <c r="W235" s="32">
        <v>82.9</v>
      </c>
      <c r="X235" s="32">
        <v>73.3</v>
      </c>
      <c r="Y235" s="32">
        <v>101.2</v>
      </c>
      <c r="Z235" s="32">
        <v>97.7</v>
      </c>
      <c r="AA235" s="32">
        <v>113.2</v>
      </c>
      <c r="AB235" s="32">
        <v>126</v>
      </c>
      <c r="AC235" s="32">
        <v>97.9</v>
      </c>
      <c r="AD235" s="32">
        <v>120.1</v>
      </c>
      <c r="AE235" s="32">
        <v>150.1</v>
      </c>
      <c r="AF235" s="32">
        <v>150.1</v>
      </c>
      <c r="AG235" s="32">
        <v>107.5</v>
      </c>
      <c r="AH235" s="32">
        <v>107.5</v>
      </c>
      <c r="AI235" s="32">
        <v>77</v>
      </c>
      <c r="AJ235" s="32">
        <v>182.8</v>
      </c>
      <c r="AK235" s="32">
        <v>111.2</v>
      </c>
      <c r="AL235" s="32">
        <v>97.5</v>
      </c>
      <c r="AM235" s="32">
        <v>81</v>
      </c>
      <c r="AN235" s="32">
        <v>149.4</v>
      </c>
      <c r="AO235" s="32">
        <v>82.4</v>
      </c>
      <c r="AP235" s="32">
        <v>82.4</v>
      </c>
      <c r="AQ235" s="32">
        <v>109.6</v>
      </c>
      <c r="AR235" s="32">
        <v>114.7</v>
      </c>
      <c r="AS235" s="32">
        <v>103.5</v>
      </c>
      <c r="AT235" s="32">
        <v>86.4</v>
      </c>
      <c r="AU235" s="32">
        <v>120.3</v>
      </c>
      <c r="AV235" s="32">
        <v>109.4</v>
      </c>
      <c r="AW235" s="32">
        <v>144.5</v>
      </c>
      <c r="AX235" s="32">
        <v>276.2</v>
      </c>
      <c r="AY235" s="32">
        <v>96.1</v>
      </c>
      <c r="AZ235" s="32">
        <v>104.6</v>
      </c>
      <c r="BA235" s="32">
        <v>82.5</v>
      </c>
      <c r="BB235" s="32">
        <v>82.5</v>
      </c>
      <c r="BC235" s="32">
        <v>101.6</v>
      </c>
      <c r="BD235" s="32">
        <v>101.6</v>
      </c>
      <c r="BE235" s="32">
        <v>92.9</v>
      </c>
      <c r="BF235" s="32">
        <v>92.9</v>
      </c>
      <c r="BG235" s="32">
        <v>95</v>
      </c>
      <c r="BH235" s="32">
        <v>109.7</v>
      </c>
      <c r="BI235" s="32">
        <v>77.7</v>
      </c>
      <c r="BJ235" s="32">
        <v>42.5</v>
      </c>
      <c r="BK235" s="32">
        <v>86.4</v>
      </c>
      <c r="BL235" s="32">
        <v>106.7</v>
      </c>
      <c r="BM235" s="32">
        <v>93.2</v>
      </c>
      <c r="BN235" s="32">
        <v>104.6</v>
      </c>
      <c r="BO235" s="32">
        <v>95.2</v>
      </c>
      <c r="BP235" s="32">
        <v>112.6</v>
      </c>
      <c r="BQ235" s="32">
        <v>82.1</v>
      </c>
      <c r="BR235" s="32">
        <v>51.8</v>
      </c>
      <c r="BS235" s="32">
        <v>90.3</v>
      </c>
      <c r="BT235" s="32">
        <v>83.3</v>
      </c>
      <c r="BU235" s="32">
        <v>128.69999999999999</v>
      </c>
      <c r="BV235" s="32">
        <v>128.69999999999999</v>
      </c>
      <c r="BW235" s="32">
        <v>149.19999999999999</v>
      </c>
      <c r="BX235" s="32">
        <v>76.400000000000006</v>
      </c>
      <c r="BY235" s="32">
        <v>90.8</v>
      </c>
      <c r="BZ235" s="32">
        <v>92.8</v>
      </c>
      <c r="CA235" s="32">
        <v>89.8</v>
      </c>
      <c r="CB235" s="32">
        <v>97.1</v>
      </c>
      <c r="CC235" s="32">
        <v>83.9</v>
      </c>
      <c r="CD235" s="32">
        <v>76.3</v>
      </c>
      <c r="CE235" s="32">
        <v>94</v>
      </c>
      <c r="CF235" s="32">
        <v>90.5</v>
      </c>
      <c r="CG235" s="32">
        <v>99.4</v>
      </c>
      <c r="CH235" s="32">
        <v>102</v>
      </c>
      <c r="CI235" s="32">
        <v>119</v>
      </c>
      <c r="CJ235" s="32">
        <v>94.5</v>
      </c>
      <c r="CK235" s="32">
        <v>104.2</v>
      </c>
      <c r="CL235" s="32">
        <v>94.3</v>
      </c>
      <c r="CM235" s="32">
        <v>107.3</v>
      </c>
      <c r="CN235" s="32">
        <v>162.4</v>
      </c>
      <c r="CO235" s="32">
        <v>94.8</v>
      </c>
      <c r="CP235" s="32">
        <v>139.6</v>
      </c>
      <c r="CQ235" s="32">
        <v>99.8</v>
      </c>
      <c r="CR235" s="32">
        <v>100.9</v>
      </c>
      <c r="CS235" s="32">
        <v>96.9</v>
      </c>
      <c r="CT235" s="32">
        <v>95.2</v>
      </c>
      <c r="CU235" s="32">
        <v>94.6</v>
      </c>
      <c r="CV235" s="32">
        <v>95.6</v>
      </c>
      <c r="CW235" s="32">
        <v>64.099999999999994</v>
      </c>
      <c r="CX235" s="32">
        <v>108.1</v>
      </c>
      <c r="CY235" s="32">
        <v>104.2</v>
      </c>
      <c r="CZ235" s="32">
        <v>110.2</v>
      </c>
      <c r="DA235" s="32">
        <v>97.2</v>
      </c>
      <c r="DB235" s="32">
        <v>136.1</v>
      </c>
      <c r="DC235" s="32">
        <v>30.1</v>
      </c>
      <c r="DD235" s="32">
        <v>30.1</v>
      </c>
      <c r="DE235" s="32">
        <v>80.2</v>
      </c>
      <c r="DF235" s="32">
        <v>79.3</v>
      </c>
      <c r="DG235" s="32">
        <v>84.5</v>
      </c>
      <c r="DH235" s="32">
        <v>94.8</v>
      </c>
      <c r="DI235" s="32">
        <v>138.80000000000001</v>
      </c>
      <c r="DJ235" s="32">
        <v>66.5</v>
      </c>
      <c r="DK235" s="32">
        <v>66.5</v>
      </c>
      <c r="DL235" s="32">
        <v>61.2</v>
      </c>
      <c r="DM235" s="32">
        <v>94.2</v>
      </c>
      <c r="DN235" s="32">
        <v>94.8</v>
      </c>
      <c r="DO235" s="32">
        <v>94.3</v>
      </c>
      <c r="DP235" s="32">
        <v>85.5</v>
      </c>
      <c r="DQ235" s="32">
        <v>87.2</v>
      </c>
      <c r="DR235" s="32">
        <v>83</v>
      </c>
      <c r="DS235" s="32">
        <v>84.2</v>
      </c>
      <c r="DT235" s="32">
        <v>81.400000000000006</v>
      </c>
      <c r="DU235" s="32">
        <v>84.2</v>
      </c>
      <c r="DV235" s="32">
        <v>94.1</v>
      </c>
      <c r="DW235" s="32">
        <v>74.099999999999994</v>
      </c>
      <c r="DX235" s="32">
        <v>75.7</v>
      </c>
      <c r="DY235" s="32">
        <v>94.6</v>
      </c>
      <c r="DZ235" s="32">
        <v>89</v>
      </c>
      <c r="EA235" s="32">
        <v>89</v>
      </c>
      <c r="EB235" s="32">
        <v>77.3</v>
      </c>
      <c r="EC235" s="32">
        <v>78.099999999999994</v>
      </c>
      <c r="ED235" s="32">
        <v>76.3</v>
      </c>
      <c r="EE235" s="32">
        <v>81.7</v>
      </c>
      <c r="EF235" s="32">
        <v>64.599999999999994</v>
      </c>
      <c r="EG235" s="32">
        <v>94</v>
      </c>
      <c r="EH235" s="32">
        <v>108.8</v>
      </c>
      <c r="EI235" s="32">
        <v>88.2</v>
      </c>
      <c r="EJ235" s="32">
        <v>121.7</v>
      </c>
      <c r="EK235" s="32">
        <v>85.7</v>
      </c>
      <c r="EL235" s="32">
        <v>85.6</v>
      </c>
      <c r="EM235" s="32">
        <v>72.2</v>
      </c>
      <c r="EN235" s="32">
        <v>94.4</v>
      </c>
      <c r="EO235" s="32">
        <v>93</v>
      </c>
      <c r="EP235" s="32">
        <v>88.1</v>
      </c>
      <c r="EQ235" s="32">
        <v>88.1</v>
      </c>
      <c r="ER235" s="32">
        <v>84.8</v>
      </c>
      <c r="ES235" s="32">
        <v>84.8</v>
      </c>
      <c r="ET235" s="32">
        <v>106</v>
      </c>
      <c r="EU235" s="32">
        <v>115.8</v>
      </c>
      <c r="EV235" s="32">
        <v>115.8</v>
      </c>
      <c r="EW235" s="32">
        <v>97.5</v>
      </c>
      <c r="EX235" s="32">
        <v>96.9</v>
      </c>
      <c r="EY235" s="32">
        <v>97.9</v>
      </c>
      <c r="EZ235" s="32">
        <v>95.3</v>
      </c>
      <c r="FA235" s="32">
        <v>97.8</v>
      </c>
      <c r="FB235" s="32">
        <v>99.2</v>
      </c>
      <c r="FC235" s="32">
        <v>90</v>
      </c>
      <c r="FD235" s="32">
        <v>98.7</v>
      </c>
      <c r="FE235" s="32">
        <v>115.6</v>
      </c>
      <c r="FF235" s="32">
        <v>96.2</v>
      </c>
      <c r="FG235" s="32">
        <v>90.4</v>
      </c>
      <c r="FH235" s="32">
        <v>80.099999999999994</v>
      </c>
      <c r="FI235" s="32">
        <v>120.3</v>
      </c>
      <c r="FJ235" s="32">
        <v>91.4</v>
      </c>
      <c r="FK235" s="32">
        <v>147.5</v>
      </c>
      <c r="FL235" s="32">
        <v>147.5</v>
      </c>
    </row>
    <row r="236" spans="1:168" x14ac:dyDescent="0.2">
      <c r="A236" s="34" t="s">
        <v>1216</v>
      </c>
      <c r="B236" s="32">
        <v>91.6</v>
      </c>
      <c r="C236" s="32">
        <v>87.3</v>
      </c>
      <c r="D236" s="32">
        <v>96.8</v>
      </c>
      <c r="E236" s="32">
        <v>99.1</v>
      </c>
      <c r="F236" s="32">
        <v>119.5</v>
      </c>
      <c r="G236" s="32">
        <v>857.8</v>
      </c>
      <c r="H236" s="32">
        <v>121.1</v>
      </c>
      <c r="I236" s="32">
        <v>113.6</v>
      </c>
      <c r="J236" s="32">
        <v>95.2</v>
      </c>
      <c r="K236" s="32">
        <v>91.1</v>
      </c>
      <c r="L236" s="32">
        <v>92.5</v>
      </c>
      <c r="M236" s="32">
        <v>87.9</v>
      </c>
      <c r="N236" s="32">
        <v>86.8</v>
      </c>
      <c r="O236" s="32">
        <v>100.8</v>
      </c>
      <c r="P236" s="32">
        <v>185.8</v>
      </c>
      <c r="Q236" s="32">
        <v>106.2</v>
      </c>
      <c r="R236" s="32">
        <v>80.599999999999994</v>
      </c>
      <c r="S236" s="32">
        <v>84.7</v>
      </c>
      <c r="T236" s="32">
        <v>175.9</v>
      </c>
      <c r="U236" s="32">
        <v>114.1</v>
      </c>
      <c r="V236" s="32">
        <v>81.8</v>
      </c>
      <c r="W236" s="32">
        <v>78.2</v>
      </c>
      <c r="X236" s="32">
        <v>74.400000000000006</v>
      </c>
      <c r="Y236" s="32">
        <v>83.7</v>
      </c>
      <c r="Z236" s="32">
        <v>97.4</v>
      </c>
      <c r="AA236" s="32">
        <v>110.3</v>
      </c>
      <c r="AB236" s="32">
        <v>116.3</v>
      </c>
      <c r="AC236" s="32">
        <v>99.6</v>
      </c>
      <c r="AD236" s="32">
        <v>117.8</v>
      </c>
      <c r="AE236" s="32">
        <v>136.80000000000001</v>
      </c>
      <c r="AF236" s="32">
        <v>136.80000000000001</v>
      </c>
      <c r="AG236" s="32">
        <v>103.9</v>
      </c>
      <c r="AH236" s="32">
        <v>103.9</v>
      </c>
      <c r="AI236" s="32">
        <v>75.900000000000006</v>
      </c>
      <c r="AJ236" s="32">
        <v>169.5</v>
      </c>
      <c r="AK236" s="32">
        <v>111</v>
      </c>
      <c r="AL236" s="32">
        <v>90</v>
      </c>
      <c r="AM236" s="32">
        <v>77.900000000000006</v>
      </c>
      <c r="AN236" s="32">
        <v>154.9</v>
      </c>
      <c r="AO236" s="32">
        <v>83.2</v>
      </c>
      <c r="AP236" s="32">
        <v>83.2</v>
      </c>
      <c r="AQ236" s="32">
        <v>107.2</v>
      </c>
      <c r="AR236" s="32">
        <v>111.6</v>
      </c>
      <c r="AS236" s="32">
        <v>102</v>
      </c>
      <c r="AT236" s="32">
        <v>81.8</v>
      </c>
      <c r="AU236" s="32">
        <v>122.1</v>
      </c>
      <c r="AV236" s="32">
        <v>108.9</v>
      </c>
      <c r="AW236" s="32">
        <v>152</v>
      </c>
      <c r="AX236" s="32">
        <v>300.7</v>
      </c>
      <c r="AY236" s="32">
        <v>96.7</v>
      </c>
      <c r="AZ236" s="32">
        <v>102.6</v>
      </c>
      <c r="BA236" s="32">
        <v>81.7</v>
      </c>
      <c r="BB236" s="32">
        <v>81.7</v>
      </c>
      <c r="BC236" s="32">
        <v>99.9</v>
      </c>
      <c r="BD236" s="32">
        <v>99.9</v>
      </c>
      <c r="BE236" s="32">
        <v>92</v>
      </c>
      <c r="BF236" s="32">
        <v>92</v>
      </c>
      <c r="BG236" s="32">
        <v>97.3</v>
      </c>
      <c r="BH236" s="32">
        <v>112</v>
      </c>
      <c r="BI236" s="32">
        <v>79.8</v>
      </c>
      <c r="BJ236" s="32">
        <v>42.9</v>
      </c>
      <c r="BK236" s="32">
        <v>88.3</v>
      </c>
      <c r="BL236" s="32">
        <v>119.3</v>
      </c>
      <c r="BM236" s="32">
        <v>93.6</v>
      </c>
      <c r="BN236" s="32">
        <v>99.8</v>
      </c>
      <c r="BO236" s="32">
        <v>92.3</v>
      </c>
      <c r="BP236" s="32">
        <v>105.8</v>
      </c>
      <c r="BQ236" s="32">
        <v>87.5</v>
      </c>
      <c r="BR236" s="32">
        <v>53.4</v>
      </c>
      <c r="BS236" s="32">
        <v>98.3</v>
      </c>
      <c r="BT236" s="32">
        <v>88.5</v>
      </c>
      <c r="BU236" s="32">
        <v>134.4</v>
      </c>
      <c r="BV236" s="32">
        <v>134.4</v>
      </c>
      <c r="BW236" s="32">
        <v>154.19999999999999</v>
      </c>
      <c r="BX236" s="32">
        <v>82.1</v>
      </c>
      <c r="BY236" s="32">
        <v>90.9</v>
      </c>
      <c r="BZ236" s="32">
        <v>93.8</v>
      </c>
      <c r="CA236" s="32">
        <v>89.5</v>
      </c>
      <c r="CB236" s="32">
        <v>97.6</v>
      </c>
      <c r="CC236" s="32">
        <v>83</v>
      </c>
      <c r="CD236" s="32">
        <v>73.900000000000006</v>
      </c>
      <c r="CE236" s="32">
        <v>93.4</v>
      </c>
      <c r="CF236" s="32">
        <v>90.7</v>
      </c>
      <c r="CG236" s="32">
        <v>100</v>
      </c>
      <c r="CH236" s="32">
        <v>103</v>
      </c>
      <c r="CI236" s="32">
        <v>122.9</v>
      </c>
      <c r="CJ236" s="32">
        <v>96.2</v>
      </c>
      <c r="CK236" s="32">
        <v>104.2</v>
      </c>
      <c r="CL236" s="32">
        <v>93.8</v>
      </c>
      <c r="CM236" s="32">
        <v>107.5</v>
      </c>
      <c r="CN236" s="32">
        <v>163.5</v>
      </c>
      <c r="CO236" s="32">
        <v>94.8</v>
      </c>
      <c r="CP236" s="32">
        <v>137.9</v>
      </c>
      <c r="CQ236" s="32">
        <v>100.9</v>
      </c>
      <c r="CR236" s="32">
        <v>100.6</v>
      </c>
      <c r="CS236" s="32">
        <v>93.7</v>
      </c>
      <c r="CT236" s="32">
        <v>96.4</v>
      </c>
      <c r="CU236" s="32">
        <v>98.2</v>
      </c>
      <c r="CV236" s="32">
        <v>95.7</v>
      </c>
      <c r="CW236" s="32">
        <v>64.7</v>
      </c>
      <c r="CX236" s="32">
        <v>108.5</v>
      </c>
      <c r="CY236" s="32">
        <v>106.5</v>
      </c>
      <c r="CZ236" s="32">
        <v>109.6</v>
      </c>
      <c r="DA236" s="32">
        <v>97.1</v>
      </c>
      <c r="DB236" s="32">
        <v>134.4</v>
      </c>
      <c r="DC236" s="32">
        <v>31.2</v>
      </c>
      <c r="DD236" s="32">
        <v>31.2</v>
      </c>
      <c r="DE236" s="32">
        <v>79.7</v>
      </c>
      <c r="DF236" s="32">
        <v>79.900000000000006</v>
      </c>
      <c r="DG236" s="32">
        <v>78.3</v>
      </c>
      <c r="DH236" s="32">
        <v>94.9</v>
      </c>
      <c r="DI236" s="32">
        <v>139</v>
      </c>
      <c r="DJ236" s="32">
        <v>66.8</v>
      </c>
      <c r="DK236" s="32">
        <v>66.8</v>
      </c>
      <c r="DL236" s="32">
        <v>61</v>
      </c>
      <c r="DM236" s="32">
        <v>94.4</v>
      </c>
      <c r="DN236" s="32">
        <v>94.6</v>
      </c>
      <c r="DO236" s="32">
        <v>94.5</v>
      </c>
      <c r="DP236" s="32">
        <v>89.8</v>
      </c>
      <c r="DQ236" s="32">
        <v>87.3</v>
      </c>
      <c r="DR236" s="32">
        <v>83.7</v>
      </c>
      <c r="DS236" s="32">
        <v>86</v>
      </c>
      <c r="DT236" s="32">
        <v>82.5</v>
      </c>
      <c r="DU236" s="32">
        <v>85.5</v>
      </c>
      <c r="DV236" s="32">
        <v>91.6</v>
      </c>
      <c r="DW236" s="32">
        <v>79</v>
      </c>
      <c r="DX236" s="32">
        <v>76.2</v>
      </c>
      <c r="DY236" s="32">
        <v>98.8</v>
      </c>
      <c r="DZ236" s="32">
        <v>80.900000000000006</v>
      </c>
      <c r="EA236" s="32">
        <v>80.900000000000006</v>
      </c>
      <c r="EB236" s="32">
        <v>78.2</v>
      </c>
      <c r="EC236" s="32">
        <v>79.400000000000006</v>
      </c>
      <c r="ED236" s="32">
        <v>76.599999999999994</v>
      </c>
      <c r="EE236" s="32">
        <v>81.3</v>
      </c>
      <c r="EF236" s="32">
        <v>66.3</v>
      </c>
      <c r="EG236" s="32">
        <v>93.1</v>
      </c>
      <c r="EH236" s="32">
        <v>106.5</v>
      </c>
      <c r="EI236" s="32">
        <v>87.9</v>
      </c>
      <c r="EJ236" s="32">
        <v>117.7</v>
      </c>
      <c r="EK236" s="32">
        <v>85.7</v>
      </c>
      <c r="EL236" s="32">
        <v>85.4</v>
      </c>
      <c r="EM236" s="32">
        <v>74.5</v>
      </c>
      <c r="EN236" s="32">
        <v>92.9</v>
      </c>
      <c r="EO236" s="32">
        <v>92.8</v>
      </c>
      <c r="EP236" s="32">
        <v>88.4</v>
      </c>
      <c r="EQ236" s="32">
        <v>88.4</v>
      </c>
      <c r="ER236" s="32">
        <v>84.7</v>
      </c>
      <c r="ES236" s="32">
        <v>84.7</v>
      </c>
      <c r="ET236" s="32">
        <v>105.4</v>
      </c>
      <c r="EU236" s="32">
        <v>114.7</v>
      </c>
      <c r="EV236" s="32">
        <v>114.7</v>
      </c>
      <c r="EW236" s="32">
        <v>97.7</v>
      </c>
      <c r="EX236" s="32">
        <v>98</v>
      </c>
      <c r="EY236" s="32">
        <v>97.4</v>
      </c>
      <c r="EZ236" s="32">
        <v>96.5</v>
      </c>
      <c r="FA236" s="32">
        <v>98.8</v>
      </c>
      <c r="FB236" s="32">
        <v>98.9</v>
      </c>
      <c r="FC236" s="32">
        <v>91.5</v>
      </c>
      <c r="FD236" s="32">
        <v>105.2</v>
      </c>
      <c r="FE236" s="32">
        <v>108.4</v>
      </c>
      <c r="FF236" s="32">
        <v>98.8</v>
      </c>
      <c r="FG236" s="32">
        <v>91.6</v>
      </c>
      <c r="FH236" s="32">
        <v>80.099999999999994</v>
      </c>
      <c r="FI236" s="32">
        <v>132.69999999999999</v>
      </c>
      <c r="FJ236" s="32">
        <v>91.9</v>
      </c>
      <c r="FK236" s="32">
        <v>148</v>
      </c>
      <c r="FL236" s="32">
        <v>148</v>
      </c>
    </row>
    <row r="237" spans="1:168" x14ac:dyDescent="0.2">
      <c r="A237" s="34" t="s">
        <v>1217</v>
      </c>
      <c r="B237" s="32">
        <v>92.1</v>
      </c>
      <c r="C237" s="32">
        <v>87.5</v>
      </c>
      <c r="D237" s="32">
        <v>98.5</v>
      </c>
      <c r="E237" s="32">
        <v>101.5</v>
      </c>
      <c r="F237" s="32">
        <v>121.2</v>
      </c>
      <c r="G237" s="32">
        <v>874.2</v>
      </c>
      <c r="H237" s="32">
        <v>123.8</v>
      </c>
      <c r="I237" s="32">
        <v>112.9</v>
      </c>
      <c r="J237" s="32">
        <v>97.5</v>
      </c>
      <c r="K237" s="32">
        <v>92.5</v>
      </c>
      <c r="L237" s="32">
        <v>94.4</v>
      </c>
      <c r="M237" s="32">
        <v>88.4</v>
      </c>
      <c r="N237" s="32">
        <v>90.4</v>
      </c>
      <c r="O237" s="32">
        <v>87.3</v>
      </c>
      <c r="P237" s="32">
        <v>185</v>
      </c>
      <c r="Q237" s="32">
        <v>103.2</v>
      </c>
      <c r="R237" s="32">
        <v>79.8</v>
      </c>
      <c r="S237" s="32">
        <v>90</v>
      </c>
      <c r="T237" s="32">
        <v>180</v>
      </c>
      <c r="U237" s="32">
        <v>110</v>
      </c>
      <c r="V237" s="32">
        <v>82.7</v>
      </c>
      <c r="W237" s="32">
        <v>81.8</v>
      </c>
      <c r="X237" s="32">
        <v>77.099999999999994</v>
      </c>
      <c r="Y237" s="32">
        <v>89.1</v>
      </c>
      <c r="Z237" s="32">
        <v>103.9</v>
      </c>
      <c r="AA237" s="32">
        <v>112.7</v>
      </c>
      <c r="AB237" s="32">
        <v>122.9</v>
      </c>
      <c r="AC237" s="32">
        <v>99.6</v>
      </c>
      <c r="AD237" s="32">
        <v>119.5</v>
      </c>
      <c r="AE237" s="32">
        <v>135.9</v>
      </c>
      <c r="AF237" s="32">
        <v>135.9</v>
      </c>
      <c r="AG237" s="32">
        <v>104.8</v>
      </c>
      <c r="AH237" s="32">
        <v>104.8</v>
      </c>
      <c r="AI237" s="32">
        <v>72.599999999999994</v>
      </c>
      <c r="AJ237" s="32">
        <v>158.1</v>
      </c>
      <c r="AK237" s="32">
        <v>103.2</v>
      </c>
      <c r="AL237" s="32">
        <v>95.2</v>
      </c>
      <c r="AM237" s="32">
        <v>82.1</v>
      </c>
      <c r="AN237" s="32">
        <v>164</v>
      </c>
      <c r="AO237" s="32">
        <v>84.2</v>
      </c>
      <c r="AP237" s="32">
        <v>84.2</v>
      </c>
      <c r="AQ237" s="32">
        <v>108.9</v>
      </c>
      <c r="AR237" s="32">
        <v>113</v>
      </c>
      <c r="AS237" s="32">
        <v>104.2</v>
      </c>
      <c r="AT237" s="32">
        <v>86.7</v>
      </c>
      <c r="AU237" s="32">
        <v>121.4</v>
      </c>
      <c r="AV237" s="32">
        <v>110.4</v>
      </c>
      <c r="AW237" s="32">
        <v>158.9</v>
      </c>
      <c r="AX237" s="32">
        <v>318.3</v>
      </c>
      <c r="AY237" s="32">
        <v>99</v>
      </c>
      <c r="AZ237" s="32">
        <v>103.1</v>
      </c>
      <c r="BA237" s="32">
        <v>89.9</v>
      </c>
      <c r="BB237" s="32">
        <v>89.9</v>
      </c>
      <c r="BC237" s="32">
        <v>99.2</v>
      </c>
      <c r="BD237" s="32">
        <v>99.2</v>
      </c>
      <c r="BE237" s="32">
        <v>94.2</v>
      </c>
      <c r="BF237" s="32">
        <v>94.2</v>
      </c>
      <c r="BG237" s="32">
        <v>100.6</v>
      </c>
      <c r="BH237" s="32">
        <v>118.1</v>
      </c>
      <c r="BI237" s="32">
        <v>80.400000000000006</v>
      </c>
      <c r="BJ237" s="32">
        <v>42.6</v>
      </c>
      <c r="BK237" s="32">
        <v>90.1</v>
      </c>
      <c r="BL237" s="32">
        <v>109</v>
      </c>
      <c r="BM237" s="32">
        <v>94.8</v>
      </c>
      <c r="BN237" s="32">
        <v>100.8</v>
      </c>
      <c r="BO237" s="32">
        <v>94.7</v>
      </c>
      <c r="BP237" s="32">
        <v>105.3</v>
      </c>
      <c r="BQ237" s="32">
        <v>88.8</v>
      </c>
      <c r="BR237" s="32">
        <v>57.6</v>
      </c>
      <c r="BS237" s="32">
        <v>99.8</v>
      </c>
      <c r="BT237" s="32">
        <v>89.4</v>
      </c>
      <c r="BU237" s="32">
        <v>140.69999999999999</v>
      </c>
      <c r="BV237" s="32">
        <v>140.69999999999999</v>
      </c>
      <c r="BW237" s="32">
        <v>159.6</v>
      </c>
      <c r="BX237" s="32">
        <v>88.7</v>
      </c>
      <c r="BY237" s="32">
        <v>91.5</v>
      </c>
      <c r="BZ237" s="32">
        <v>91.9</v>
      </c>
      <c r="CA237" s="32">
        <v>91.3</v>
      </c>
      <c r="CB237" s="32">
        <v>101.3</v>
      </c>
      <c r="CC237" s="32">
        <v>83</v>
      </c>
      <c r="CD237" s="32">
        <v>72.7</v>
      </c>
      <c r="CE237" s="32">
        <v>93.3</v>
      </c>
      <c r="CF237" s="32">
        <v>91</v>
      </c>
      <c r="CG237" s="32">
        <v>99.9</v>
      </c>
      <c r="CH237" s="32">
        <v>102.6</v>
      </c>
      <c r="CI237" s="32">
        <v>119.6</v>
      </c>
      <c r="CJ237" s="32">
        <v>96.3</v>
      </c>
      <c r="CK237" s="32">
        <v>104</v>
      </c>
      <c r="CL237" s="32">
        <v>95.5</v>
      </c>
      <c r="CM237" s="32">
        <v>109</v>
      </c>
      <c r="CN237" s="32">
        <v>164.5</v>
      </c>
      <c r="CO237" s="32">
        <v>96.3</v>
      </c>
      <c r="CP237" s="32">
        <v>135.30000000000001</v>
      </c>
      <c r="CQ237" s="32">
        <v>102.2</v>
      </c>
      <c r="CR237" s="32">
        <v>102.4</v>
      </c>
      <c r="CS237" s="32">
        <v>98.5</v>
      </c>
      <c r="CT237" s="32">
        <v>95.1</v>
      </c>
      <c r="CU237" s="32">
        <v>96.7</v>
      </c>
      <c r="CV237" s="32">
        <v>94.5</v>
      </c>
      <c r="CW237" s="32">
        <v>65.3</v>
      </c>
      <c r="CX237" s="32">
        <v>106.4</v>
      </c>
      <c r="CY237" s="32">
        <v>109.1</v>
      </c>
      <c r="CZ237" s="32">
        <v>104.9</v>
      </c>
      <c r="DA237" s="32">
        <v>92.7</v>
      </c>
      <c r="DB237" s="32">
        <v>129.1</v>
      </c>
      <c r="DC237" s="32">
        <v>32.299999999999997</v>
      </c>
      <c r="DD237" s="32">
        <v>32.299999999999997</v>
      </c>
      <c r="DE237" s="32">
        <v>80.3</v>
      </c>
      <c r="DF237" s="32">
        <v>79.900000000000006</v>
      </c>
      <c r="DG237" s="32">
        <v>81.900000000000006</v>
      </c>
      <c r="DH237" s="32">
        <v>94.8</v>
      </c>
      <c r="DI237" s="32">
        <v>138.4</v>
      </c>
      <c r="DJ237" s="32">
        <v>67</v>
      </c>
      <c r="DK237" s="32">
        <v>67</v>
      </c>
      <c r="DL237" s="32">
        <v>61.3</v>
      </c>
      <c r="DM237" s="32">
        <v>94.1</v>
      </c>
      <c r="DN237" s="32">
        <v>94.1</v>
      </c>
      <c r="DO237" s="32">
        <v>94.3</v>
      </c>
      <c r="DP237" s="32">
        <v>88.9</v>
      </c>
      <c r="DQ237" s="32">
        <v>88.5</v>
      </c>
      <c r="DR237" s="32">
        <v>85.5</v>
      </c>
      <c r="DS237" s="32">
        <v>87.5</v>
      </c>
      <c r="DT237" s="32">
        <v>84.5</v>
      </c>
      <c r="DU237" s="32">
        <v>88</v>
      </c>
      <c r="DV237" s="32">
        <v>94.7</v>
      </c>
      <c r="DW237" s="32">
        <v>80.8</v>
      </c>
      <c r="DX237" s="32">
        <v>77.2</v>
      </c>
      <c r="DY237" s="32">
        <v>98.9</v>
      </c>
      <c r="DZ237" s="32">
        <v>80.8</v>
      </c>
      <c r="EA237" s="32">
        <v>80.8</v>
      </c>
      <c r="EB237" s="32">
        <v>81.599999999999994</v>
      </c>
      <c r="EC237" s="32">
        <v>83.7</v>
      </c>
      <c r="ED237" s="32">
        <v>78.8</v>
      </c>
      <c r="EE237" s="32">
        <v>83.9</v>
      </c>
      <c r="EF237" s="32">
        <v>67.8</v>
      </c>
      <c r="EG237" s="32">
        <v>93.4</v>
      </c>
      <c r="EH237" s="32">
        <v>103.1</v>
      </c>
      <c r="EI237" s="32">
        <v>90</v>
      </c>
      <c r="EJ237" s="32">
        <v>120.3</v>
      </c>
      <c r="EK237" s="32">
        <v>85.6</v>
      </c>
      <c r="EL237" s="32">
        <v>84.3</v>
      </c>
      <c r="EM237" s="32">
        <v>77</v>
      </c>
      <c r="EN237" s="32">
        <v>91.2</v>
      </c>
      <c r="EO237" s="32">
        <v>93.1</v>
      </c>
      <c r="EP237" s="32">
        <v>87.9</v>
      </c>
      <c r="EQ237" s="32">
        <v>87.9</v>
      </c>
      <c r="ER237" s="32">
        <v>85.1</v>
      </c>
      <c r="ES237" s="32">
        <v>85.1</v>
      </c>
      <c r="ET237" s="32">
        <v>106.2</v>
      </c>
      <c r="EU237" s="32">
        <v>116.3</v>
      </c>
      <c r="EV237" s="32">
        <v>116.3</v>
      </c>
      <c r="EW237" s="32">
        <v>97</v>
      </c>
      <c r="EX237" s="32">
        <v>98.3</v>
      </c>
      <c r="EY237" s="32">
        <v>95.9</v>
      </c>
      <c r="EZ237" s="32">
        <v>96</v>
      </c>
      <c r="FA237" s="32">
        <v>95.7</v>
      </c>
      <c r="FB237" s="32">
        <v>95</v>
      </c>
      <c r="FC237" s="32">
        <v>90</v>
      </c>
      <c r="FD237" s="32">
        <v>99</v>
      </c>
      <c r="FE237" s="32">
        <v>101.5</v>
      </c>
      <c r="FF237" s="32">
        <v>96.5</v>
      </c>
      <c r="FG237" s="32">
        <v>92.7</v>
      </c>
      <c r="FH237" s="32">
        <v>81.7</v>
      </c>
      <c r="FI237" s="32">
        <v>129.30000000000001</v>
      </c>
      <c r="FJ237" s="32">
        <v>93.3</v>
      </c>
      <c r="FK237" s="32">
        <v>156.4</v>
      </c>
      <c r="FL237" s="32">
        <v>156.4</v>
      </c>
    </row>
    <row r="238" spans="1:168" x14ac:dyDescent="0.2">
      <c r="A238" s="34" t="s">
        <v>1218</v>
      </c>
      <c r="B238" s="32">
        <v>91.9</v>
      </c>
      <c r="C238" s="32">
        <v>88.7</v>
      </c>
      <c r="D238" s="32">
        <v>97.3</v>
      </c>
      <c r="E238" s="32">
        <v>99.9</v>
      </c>
      <c r="F238" s="32">
        <v>124</v>
      </c>
      <c r="G238" s="32">
        <v>865.9</v>
      </c>
      <c r="H238" s="32">
        <v>128.69999999999999</v>
      </c>
      <c r="I238" s="32">
        <v>109.6</v>
      </c>
      <c r="J238" s="32">
        <v>96.5</v>
      </c>
      <c r="K238" s="32">
        <v>94.4</v>
      </c>
      <c r="L238" s="32">
        <v>95.9</v>
      </c>
      <c r="M238" s="32">
        <v>92.3</v>
      </c>
      <c r="N238" s="32">
        <v>90.1</v>
      </c>
      <c r="O238" s="32">
        <v>79.8</v>
      </c>
      <c r="P238" s="32">
        <v>189</v>
      </c>
      <c r="Q238" s="32">
        <v>104.5</v>
      </c>
      <c r="R238" s="32">
        <v>81.599999999999994</v>
      </c>
      <c r="S238" s="32">
        <v>90.2</v>
      </c>
      <c r="T238" s="32">
        <v>170.4</v>
      </c>
      <c r="U238" s="32">
        <v>124</v>
      </c>
      <c r="V238" s="32">
        <v>83.1</v>
      </c>
      <c r="W238" s="32">
        <v>75.5</v>
      </c>
      <c r="X238" s="32">
        <v>76.400000000000006</v>
      </c>
      <c r="Y238" s="32">
        <v>71.2</v>
      </c>
      <c r="Z238" s="32">
        <v>98.2</v>
      </c>
      <c r="AA238" s="32">
        <v>112.7</v>
      </c>
      <c r="AB238" s="32">
        <v>119.4</v>
      </c>
      <c r="AC238" s="32">
        <v>98.4</v>
      </c>
      <c r="AD238" s="32">
        <v>123</v>
      </c>
      <c r="AE238" s="32">
        <v>160.9</v>
      </c>
      <c r="AF238" s="32">
        <v>160.9</v>
      </c>
      <c r="AG238" s="32">
        <v>101.6</v>
      </c>
      <c r="AH238" s="32">
        <v>101.6</v>
      </c>
      <c r="AI238" s="32">
        <v>74.900000000000006</v>
      </c>
      <c r="AJ238" s="32">
        <v>153.6</v>
      </c>
      <c r="AK238" s="32">
        <v>104.1</v>
      </c>
      <c r="AL238" s="32">
        <v>90.9</v>
      </c>
      <c r="AM238" s="32">
        <v>80.599999999999994</v>
      </c>
      <c r="AN238" s="32">
        <v>151.30000000000001</v>
      </c>
      <c r="AO238" s="32">
        <v>78.7</v>
      </c>
      <c r="AP238" s="32">
        <v>78.7</v>
      </c>
      <c r="AQ238" s="32">
        <v>104.4</v>
      </c>
      <c r="AR238" s="32">
        <v>106.6</v>
      </c>
      <c r="AS238" s="32">
        <v>101.9</v>
      </c>
      <c r="AT238" s="32">
        <v>86.1</v>
      </c>
      <c r="AU238" s="32">
        <v>117.2</v>
      </c>
      <c r="AV238" s="32">
        <v>111.7</v>
      </c>
      <c r="AW238" s="32">
        <v>166.5</v>
      </c>
      <c r="AX238" s="32">
        <v>345.7</v>
      </c>
      <c r="AY238" s="32">
        <v>98.3</v>
      </c>
      <c r="AZ238" s="32">
        <v>103.3</v>
      </c>
      <c r="BA238" s="32">
        <v>86.7</v>
      </c>
      <c r="BB238" s="32">
        <v>86.7</v>
      </c>
      <c r="BC238" s="32">
        <v>96.9</v>
      </c>
      <c r="BD238" s="32">
        <v>96.9</v>
      </c>
      <c r="BE238" s="32">
        <v>90.1</v>
      </c>
      <c r="BF238" s="32">
        <v>90.1</v>
      </c>
      <c r="BG238" s="32">
        <v>99.8</v>
      </c>
      <c r="BH238" s="32">
        <v>114</v>
      </c>
      <c r="BI238" s="32">
        <v>82.7</v>
      </c>
      <c r="BJ238" s="32">
        <v>42.7</v>
      </c>
      <c r="BK238" s="32">
        <v>93.9</v>
      </c>
      <c r="BL238" s="32">
        <v>105.8</v>
      </c>
      <c r="BM238" s="32">
        <v>94.5</v>
      </c>
      <c r="BN238" s="32">
        <v>98.4</v>
      </c>
      <c r="BO238" s="32">
        <v>92.2</v>
      </c>
      <c r="BP238" s="32">
        <v>103.1</v>
      </c>
      <c r="BQ238" s="32">
        <v>90.7</v>
      </c>
      <c r="BR238" s="32">
        <v>57.4</v>
      </c>
      <c r="BS238" s="32">
        <v>100.6</v>
      </c>
      <c r="BT238" s="32">
        <v>91.8</v>
      </c>
      <c r="BU238" s="32">
        <v>130.30000000000001</v>
      </c>
      <c r="BV238" s="32">
        <v>130.30000000000001</v>
      </c>
      <c r="BW238" s="32">
        <v>150.80000000000001</v>
      </c>
      <c r="BX238" s="32">
        <v>77.5</v>
      </c>
      <c r="BY238" s="32">
        <v>91.9</v>
      </c>
      <c r="BZ238" s="32">
        <v>93.1</v>
      </c>
      <c r="CA238" s="32">
        <v>91.4</v>
      </c>
      <c r="CB238" s="32">
        <v>100.7</v>
      </c>
      <c r="CC238" s="32">
        <v>83.9</v>
      </c>
      <c r="CD238" s="32">
        <v>70.8</v>
      </c>
      <c r="CE238" s="32">
        <v>93</v>
      </c>
      <c r="CF238" s="32">
        <v>91</v>
      </c>
      <c r="CG238" s="32">
        <v>100.1</v>
      </c>
      <c r="CH238" s="32">
        <v>102.6</v>
      </c>
      <c r="CI238" s="32">
        <v>114.8</v>
      </c>
      <c r="CJ238" s="32">
        <v>95.6</v>
      </c>
      <c r="CK238" s="32">
        <v>105.7</v>
      </c>
      <c r="CL238" s="32">
        <v>94.8</v>
      </c>
      <c r="CM238" s="32">
        <v>107.8</v>
      </c>
      <c r="CN238" s="32">
        <v>164.2</v>
      </c>
      <c r="CO238" s="32">
        <v>95</v>
      </c>
      <c r="CP238" s="32">
        <v>134.30000000000001</v>
      </c>
      <c r="CQ238" s="32">
        <v>107</v>
      </c>
      <c r="CR238" s="32">
        <v>101.1</v>
      </c>
      <c r="CS238" s="32">
        <v>97.8</v>
      </c>
      <c r="CT238" s="32">
        <v>96.4</v>
      </c>
      <c r="CU238" s="32">
        <v>96.4</v>
      </c>
      <c r="CV238" s="32">
        <v>96.6</v>
      </c>
      <c r="CW238" s="32">
        <v>65.8</v>
      </c>
      <c r="CX238" s="32">
        <v>103.5</v>
      </c>
      <c r="CY238" s="32">
        <v>104.4</v>
      </c>
      <c r="CZ238" s="32">
        <v>102.9</v>
      </c>
      <c r="DA238" s="32">
        <v>90.3</v>
      </c>
      <c r="DB238" s="32">
        <v>128</v>
      </c>
      <c r="DC238" s="32">
        <v>32.9</v>
      </c>
      <c r="DD238" s="32">
        <v>32.9</v>
      </c>
      <c r="DE238" s="32">
        <v>82.2</v>
      </c>
      <c r="DF238" s="32">
        <v>82.8</v>
      </c>
      <c r="DG238" s="32">
        <v>79</v>
      </c>
      <c r="DH238" s="32">
        <v>95.7</v>
      </c>
      <c r="DI238" s="32">
        <v>138.6</v>
      </c>
      <c r="DJ238" s="32">
        <v>68</v>
      </c>
      <c r="DK238" s="32">
        <v>68</v>
      </c>
      <c r="DL238" s="32">
        <v>62.7</v>
      </c>
      <c r="DM238" s="32">
        <v>94</v>
      </c>
      <c r="DN238" s="32">
        <v>93.2</v>
      </c>
      <c r="DO238" s="32">
        <v>94.6</v>
      </c>
      <c r="DP238" s="32">
        <v>87.1</v>
      </c>
      <c r="DQ238" s="32">
        <v>88.3</v>
      </c>
      <c r="DR238" s="32">
        <v>85.6</v>
      </c>
      <c r="DS238" s="32">
        <v>86.1</v>
      </c>
      <c r="DT238" s="32">
        <v>83.6</v>
      </c>
      <c r="DU238" s="32">
        <v>86.2</v>
      </c>
      <c r="DV238" s="32">
        <v>93.6</v>
      </c>
      <c r="DW238" s="32">
        <v>78.400000000000006</v>
      </c>
      <c r="DX238" s="32">
        <v>78.099999999999994</v>
      </c>
      <c r="DY238" s="32">
        <v>95.6</v>
      </c>
      <c r="DZ238" s="32">
        <v>91.8</v>
      </c>
      <c r="EA238" s="32">
        <v>91.8</v>
      </c>
      <c r="EB238" s="32">
        <v>82</v>
      </c>
      <c r="EC238" s="32">
        <v>83.8</v>
      </c>
      <c r="ED238" s="32">
        <v>79.5</v>
      </c>
      <c r="EE238" s="32">
        <v>84.6</v>
      </c>
      <c r="EF238" s="32">
        <v>68.5</v>
      </c>
      <c r="EG238" s="32">
        <v>92.7</v>
      </c>
      <c r="EH238" s="32">
        <v>107.8</v>
      </c>
      <c r="EI238" s="32">
        <v>88.1</v>
      </c>
      <c r="EJ238" s="32">
        <v>122.7</v>
      </c>
      <c r="EK238" s="32">
        <v>82.9</v>
      </c>
      <c r="EL238" s="32">
        <v>87.5</v>
      </c>
      <c r="EM238" s="32">
        <v>76.3</v>
      </c>
      <c r="EN238" s="32">
        <v>86.4</v>
      </c>
      <c r="EO238" s="32">
        <v>92.6</v>
      </c>
      <c r="EP238" s="32">
        <v>88</v>
      </c>
      <c r="EQ238" s="32">
        <v>88</v>
      </c>
      <c r="ER238" s="32">
        <v>84.3</v>
      </c>
      <c r="ES238" s="32">
        <v>84.3</v>
      </c>
      <c r="ET238" s="32">
        <v>105.6</v>
      </c>
      <c r="EU238" s="32">
        <v>115.6</v>
      </c>
      <c r="EV238" s="32">
        <v>115.6</v>
      </c>
      <c r="EW238" s="32">
        <v>96.6</v>
      </c>
      <c r="EX238" s="32">
        <v>98.4</v>
      </c>
      <c r="EY238" s="32">
        <v>95.2</v>
      </c>
      <c r="EZ238" s="32">
        <v>95.8</v>
      </c>
      <c r="FA238" s="32">
        <v>95.7</v>
      </c>
      <c r="FB238" s="32">
        <v>94.9</v>
      </c>
      <c r="FC238" s="32">
        <v>91.9</v>
      </c>
      <c r="FD238" s="32">
        <v>99.8</v>
      </c>
      <c r="FE238" s="32">
        <v>97.4</v>
      </c>
      <c r="FF238" s="32">
        <v>96.7</v>
      </c>
      <c r="FG238" s="32">
        <v>91.8</v>
      </c>
      <c r="FH238" s="32">
        <v>83.4</v>
      </c>
      <c r="FI238" s="32">
        <v>123.9</v>
      </c>
      <c r="FJ238" s="32">
        <v>91.8</v>
      </c>
      <c r="FK238" s="32">
        <v>161.80000000000001</v>
      </c>
      <c r="FL238" s="32">
        <v>161.80000000000001</v>
      </c>
    </row>
    <row r="239" spans="1:168" x14ac:dyDescent="0.2">
      <c r="A239" s="34" t="s">
        <v>1219</v>
      </c>
      <c r="B239" s="32">
        <v>92.1</v>
      </c>
      <c r="C239" s="32">
        <v>89.5</v>
      </c>
      <c r="D239" s="32">
        <v>96.8</v>
      </c>
      <c r="E239" s="32">
        <v>99.4</v>
      </c>
      <c r="F239" s="32">
        <v>121.1</v>
      </c>
      <c r="G239" s="32">
        <v>813.4</v>
      </c>
      <c r="H239" s="32">
        <v>125.3</v>
      </c>
      <c r="I239" s="32">
        <v>108.4</v>
      </c>
      <c r="J239" s="32">
        <v>96</v>
      </c>
      <c r="K239" s="32">
        <v>94.3</v>
      </c>
      <c r="L239" s="32">
        <v>96.4</v>
      </c>
      <c r="M239" s="32">
        <v>94.1</v>
      </c>
      <c r="N239" s="32">
        <v>90.2</v>
      </c>
      <c r="O239" s="32">
        <v>75.400000000000006</v>
      </c>
      <c r="P239" s="32">
        <v>188.8</v>
      </c>
      <c r="Q239" s="32">
        <v>108.3</v>
      </c>
      <c r="R239" s="32">
        <v>81.900000000000006</v>
      </c>
      <c r="S239" s="32">
        <v>89.6</v>
      </c>
      <c r="T239" s="32">
        <v>167.5</v>
      </c>
      <c r="U239" s="32">
        <v>118.5</v>
      </c>
      <c r="V239" s="32">
        <v>81.5</v>
      </c>
      <c r="W239" s="32">
        <v>75.900000000000006</v>
      </c>
      <c r="X239" s="32">
        <v>77.400000000000006</v>
      </c>
      <c r="Y239" s="32">
        <v>70.400000000000006</v>
      </c>
      <c r="Z239" s="32">
        <v>98.3</v>
      </c>
      <c r="AA239" s="32">
        <v>114.2</v>
      </c>
      <c r="AB239" s="32">
        <v>120.5</v>
      </c>
      <c r="AC239" s="32">
        <v>100.5</v>
      </c>
      <c r="AD239" s="32">
        <v>124.2</v>
      </c>
      <c r="AE239" s="32">
        <v>156.30000000000001</v>
      </c>
      <c r="AF239" s="32">
        <v>156.30000000000001</v>
      </c>
      <c r="AG239" s="32">
        <v>99.2</v>
      </c>
      <c r="AH239" s="32">
        <v>99.2</v>
      </c>
      <c r="AI239" s="32">
        <v>61.2</v>
      </c>
      <c r="AJ239" s="32">
        <v>148.4</v>
      </c>
      <c r="AK239" s="32">
        <v>104.7</v>
      </c>
      <c r="AL239" s="32">
        <v>88</v>
      </c>
      <c r="AM239" s="32">
        <v>79.3</v>
      </c>
      <c r="AN239" s="32">
        <v>157.19999999999999</v>
      </c>
      <c r="AO239" s="32">
        <v>76</v>
      </c>
      <c r="AP239" s="32">
        <v>76</v>
      </c>
      <c r="AQ239" s="32">
        <v>102.5</v>
      </c>
      <c r="AR239" s="32">
        <v>103.2</v>
      </c>
      <c r="AS239" s="32">
        <v>101.9</v>
      </c>
      <c r="AT239" s="32">
        <v>85.3</v>
      </c>
      <c r="AU239" s="32">
        <v>118.1</v>
      </c>
      <c r="AV239" s="32">
        <v>109</v>
      </c>
      <c r="AW239" s="32">
        <v>151.5</v>
      </c>
      <c r="AX239" s="32">
        <v>313.3</v>
      </c>
      <c r="AY239" s="32">
        <v>89.8</v>
      </c>
      <c r="AZ239" s="32">
        <v>102.8</v>
      </c>
      <c r="BA239" s="32">
        <v>86.8</v>
      </c>
      <c r="BB239" s="32">
        <v>86.8</v>
      </c>
      <c r="BC239" s="32">
        <v>98.8</v>
      </c>
      <c r="BD239" s="32">
        <v>98.8</v>
      </c>
      <c r="BE239" s="32">
        <v>88.9</v>
      </c>
      <c r="BF239" s="32">
        <v>88.9</v>
      </c>
      <c r="BG239" s="32">
        <v>99.1</v>
      </c>
      <c r="BH239" s="32">
        <v>111</v>
      </c>
      <c r="BI239" s="32">
        <v>84.1</v>
      </c>
      <c r="BJ239" s="32">
        <v>42.3</v>
      </c>
      <c r="BK239" s="32">
        <v>95.5</v>
      </c>
      <c r="BL239" s="32">
        <v>113</v>
      </c>
      <c r="BM239" s="32">
        <v>99.8</v>
      </c>
      <c r="BN239" s="32">
        <v>97.2</v>
      </c>
      <c r="BO239" s="32">
        <v>89.9</v>
      </c>
      <c r="BP239" s="32">
        <v>103.2</v>
      </c>
      <c r="BQ239" s="32">
        <v>102.2</v>
      </c>
      <c r="BR239" s="32">
        <v>94.1</v>
      </c>
      <c r="BS239" s="32">
        <v>103.5</v>
      </c>
      <c r="BT239" s="32">
        <v>102.5</v>
      </c>
      <c r="BU239" s="32">
        <v>131.30000000000001</v>
      </c>
      <c r="BV239" s="32">
        <v>131.30000000000001</v>
      </c>
      <c r="BW239" s="32">
        <v>150.9</v>
      </c>
      <c r="BX239" s="32">
        <v>79.5</v>
      </c>
      <c r="BY239" s="32">
        <v>90.6</v>
      </c>
      <c r="BZ239" s="32">
        <v>91.5</v>
      </c>
      <c r="CA239" s="32">
        <v>90.1</v>
      </c>
      <c r="CB239" s="32">
        <v>98.5</v>
      </c>
      <c r="CC239" s="32">
        <v>83.7</v>
      </c>
      <c r="CD239" s="32">
        <v>69</v>
      </c>
      <c r="CE239" s="32">
        <v>92.3</v>
      </c>
      <c r="CF239" s="32">
        <v>91.3</v>
      </c>
      <c r="CG239" s="32">
        <v>100.5</v>
      </c>
      <c r="CH239" s="32">
        <v>102.4</v>
      </c>
      <c r="CI239" s="32">
        <v>114.2</v>
      </c>
      <c r="CJ239" s="32">
        <v>98.1</v>
      </c>
      <c r="CK239" s="32">
        <v>103.7</v>
      </c>
      <c r="CL239" s="32">
        <v>95.9</v>
      </c>
      <c r="CM239" s="32">
        <v>110.2</v>
      </c>
      <c r="CN239" s="32">
        <v>165.8</v>
      </c>
      <c r="CO239" s="32">
        <v>97.4</v>
      </c>
      <c r="CP239" s="32">
        <v>134.6</v>
      </c>
      <c r="CQ239" s="32">
        <v>109.7</v>
      </c>
      <c r="CR239" s="32">
        <v>101.3</v>
      </c>
      <c r="CS239" s="32">
        <v>97.4</v>
      </c>
      <c r="CT239" s="32">
        <v>98</v>
      </c>
      <c r="CU239" s="32">
        <v>99.2</v>
      </c>
      <c r="CV239" s="32">
        <v>97.6</v>
      </c>
      <c r="CW239" s="32">
        <v>67.7</v>
      </c>
      <c r="CX239" s="32">
        <v>111.2</v>
      </c>
      <c r="CY239" s="32">
        <v>104.5</v>
      </c>
      <c r="CZ239" s="32">
        <v>114.8</v>
      </c>
      <c r="DA239" s="32">
        <v>101.3</v>
      </c>
      <c r="DB239" s="32">
        <v>141.69999999999999</v>
      </c>
      <c r="DC239" s="32">
        <v>34.299999999999997</v>
      </c>
      <c r="DD239" s="32">
        <v>34.299999999999997</v>
      </c>
      <c r="DE239" s="32">
        <v>81.400000000000006</v>
      </c>
      <c r="DF239" s="32">
        <v>82</v>
      </c>
      <c r="DG239" s="32">
        <v>78.400000000000006</v>
      </c>
      <c r="DH239" s="32">
        <v>95.8</v>
      </c>
      <c r="DI239" s="32">
        <v>139.30000000000001</v>
      </c>
      <c r="DJ239" s="32">
        <v>69.5</v>
      </c>
      <c r="DK239" s="32">
        <v>69.5</v>
      </c>
      <c r="DL239" s="32">
        <v>61.2</v>
      </c>
      <c r="DM239" s="32">
        <v>94.4</v>
      </c>
      <c r="DN239" s="32">
        <v>94.2</v>
      </c>
      <c r="DO239" s="32">
        <v>94.9</v>
      </c>
      <c r="DP239" s="32">
        <v>84.3</v>
      </c>
      <c r="DQ239" s="32">
        <v>88.1</v>
      </c>
      <c r="DR239" s="32">
        <v>84.8</v>
      </c>
      <c r="DS239" s="32">
        <v>87.1</v>
      </c>
      <c r="DT239" s="32">
        <v>83.8</v>
      </c>
      <c r="DU239" s="32">
        <v>85.6</v>
      </c>
      <c r="DV239" s="32">
        <v>95.1</v>
      </c>
      <c r="DW239" s="32">
        <v>75.8</v>
      </c>
      <c r="DX239" s="32">
        <v>80</v>
      </c>
      <c r="DY239" s="32">
        <v>99.4</v>
      </c>
      <c r="DZ239" s="32">
        <v>79</v>
      </c>
      <c r="EA239" s="32">
        <v>79</v>
      </c>
      <c r="EB239" s="32">
        <v>80.599999999999994</v>
      </c>
      <c r="EC239" s="32">
        <v>81.2</v>
      </c>
      <c r="ED239" s="32">
        <v>79.8</v>
      </c>
      <c r="EE239" s="32">
        <v>85</v>
      </c>
      <c r="EF239" s="32">
        <v>68.5</v>
      </c>
      <c r="EG239" s="32">
        <v>93.4</v>
      </c>
      <c r="EH239" s="32">
        <v>108.9</v>
      </c>
      <c r="EI239" s="32">
        <v>88.1</v>
      </c>
      <c r="EJ239" s="32">
        <v>120.6</v>
      </c>
      <c r="EK239" s="32">
        <v>84.6</v>
      </c>
      <c r="EL239" s="32">
        <v>87.3</v>
      </c>
      <c r="EM239" s="32">
        <v>77.400000000000006</v>
      </c>
      <c r="EN239" s="32">
        <v>88.7</v>
      </c>
      <c r="EO239" s="32">
        <v>92.7</v>
      </c>
      <c r="EP239" s="32">
        <v>88.4</v>
      </c>
      <c r="EQ239" s="32">
        <v>88.4</v>
      </c>
      <c r="ER239" s="32">
        <v>84</v>
      </c>
      <c r="ES239" s="32">
        <v>84</v>
      </c>
      <c r="ET239" s="32">
        <v>105.8</v>
      </c>
      <c r="EU239" s="32">
        <v>115.9</v>
      </c>
      <c r="EV239" s="32">
        <v>115.9</v>
      </c>
      <c r="EW239" s="32">
        <v>96.4</v>
      </c>
      <c r="EX239" s="32">
        <v>98</v>
      </c>
      <c r="EY239" s="32">
        <v>95.3</v>
      </c>
      <c r="EZ239" s="32">
        <v>96</v>
      </c>
      <c r="FA239" s="32">
        <v>95.6</v>
      </c>
      <c r="FB239" s="32">
        <v>93.8</v>
      </c>
      <c r="FC239" s="32">
        <v>92</v>
      </c>
      <c r="FD239" s="32">
        <v>95.7</v>
      </c>
      <c r="FE239" s="32">
        <v>95.7</v>
      </c>
      <c r="FF239" s="32">
        <v>97.7</v>
      </c>
      <c r="FG239" s="32">
        <v>92.3</v>
      </c>
      <c r="FH239" s="32">
        <v>82.9</v>
      </c>
      <c r="FI239" s="32">
        <v>125</v>
      </c>
      <c r="FJ239" s="32">
        <v>92.6</v>
      </c>
      <c r="FK239" s="32">
        <v>163.4</v>
      </c>
      <c r="FL239" s="32">
        <v>163.4</v>
      </c>
    </row>
    <row r="240" spans="1:168" x14ac:dyDescent="0.2">
      <c r="A240" s="34" t="s">
        <v>1220</v>
      </c>
      <c r="B240" s="32">
        <v>92.2</v>
      </c>
      <c r="C240" s="32">
        <v>90</v>
      </c>
      <c r="D240" s="32">
        <v>96.6</v>
      </c>
      <c r="E240" s="32">
        <v>99.1</v>
      </c>
      <c r="F240" s="32">
        <v>135</v>
      </c>
      <c r="G240" s="32">
        <v>895.3</v>
      </c>
      <c r="H240" s="32">
        <v>145</v>
      </c>
      <c r="I240" s="32">
        <v>105.4</v>
      </c>
      <c r="J240" s="32">
        <v>94.8</v>
      </c>
      <c r="K240" s="32">
        <v>92.5</v>
      </c>
      <c r="L240" s="32">
        <v>95.7</v>
      </c>
      <c r="M240" s="32">
        <v>94.8</v>
      </c>
      <c r="N240" s="32">
        <v>91.6</v>
      </c>
      <c r="O240" s="32">
        <v>73.2</v>
      </c>
      <c r="P240" s="32">
        <v>183.9</v>
      </c>
      <c r="Q240" s="32">
        <v>103.5</v>
      </c>
      <c r="R240" s="32">
        <v>79</v>
      </c>
      <c r="S240" s="32">
        <v>89.9</v>
      </c>
      <c r="T240" s="32">
        <v>163.1</v>
      </c>
      <c r="U240" s="32">
        <v>119.4</v>
      </c>
      <c r="V240" s="32">
        <v>73.400000000000006</v>
      </c>
      <c r="W240" s="32">
        <v>75.2</v>
      </c>
      <c r="X240" s="32">
        <v>78.8</v>
      </c>
      <c r="Y240" s="32">
        <v>63.7</v>
      </c>
      <c r="Z240" s="32">
        <v>108</v>
      </c>
      <c r="AA240" s="32">
        <v>112.9</v>
      </c>
      <c r="AB240" s="32">
        <v>116.9</v>
      </c>
      <c r="AC240" s="32">
        <v>101.3</v>
      </c>
      <c r="AD240" s="32">
        <v>122.7</v>
      </c>
      <c r="AE240" s="32">
        <v>155.1</v>
      </c>
      <c r="AF240" s="32">
        <v>155.1</v>
      </c>
      <c r="AG240" s="32">
        <v>99.9</v>
      </c>
      <c r="AH240" s="32">
        <v>99.9</v>
      </c>
      <c r="AI240" s="32">
        <v>73.099999999999994</v>
      </c>
      <c r="AJ240" s="32">
        <v>153.4</v>
      </c>
      <c r="AK240" s="32">
        <v>98.6</v>
      </c>
      <c r="AL240" s="32">
        <v>85.8</v>
      </c>
      <c r="AM240" s="32">
        <v>79.900000000000006</v>
      </c>
      <c r="AN240" s="32">
        <v>149.4</v>
      </c>
      <c r="AO240" s="32">
        <v>71</v>
      </c>
      <c r="AP240" s="32">
        <v>71</v>
      </c>
      <c r="AQ240" s="32">
        <v>101.3</v>
      </c>
      <c r="AR240" s="32">
        <v>101.8</v>
      </c>
      <c r="AS240" s="32">
        <v>101.1</v>
      </c>
      <c r="AT240" s="32">
        <v>85.3</v>
      </c>
      <c r="AU240" s="32">
        <v>116.5</v>
      </c>
      <c r="AV240" s="32">
        <v>111.6</v>
      </c>
      <c r="AW240" s="32">
        <v>163.80000000000001</v>
      </c>
      <c r="AX240" s="32">
        <v>340.9</v>
      </c>
      <c r="AY240" s="32">
        <v>95.8</v>
      </c>
      <c r="AZ240" s="32">
        <v>103.6</v>
      </c>
      <c r="BA240" s="32">
        <v>89.5</v>
      </c>
      <c r="BB240" s="32">
        <v>89.5</v>
      </c>
      <c r="BC240" s="32">
        <v>95.5</v>
      </c>
      <c r="BD240" s="32">
        <v>95.5</v>
      </c>
      <c r="BE240" s="32">
        <v>89.4</v>
      </c>
      <c r="BF240" s="32">
        <v>89.4</v>
      </c>
      <c r="BG240" s="32">
        <v>97</v>
      </c>
      <c r="BH240" s="32">
        <v>108.5</v>
      </c>
      <c r="BI240" s="32">
        <v>82.4</v>
      </c>
      <c r="BJ240" s="32">
        <v>41.7</v>
      </c>
      <c r="BK240" s="32">
        <v>94.8</v>
      </c>
      <c r="BL240" s="32">
        <v>96.4</v>
      </c>
      <c r="BM240" s="32">
        <v>93.7</v>
      </c>
      <c r="BN240" s="32">
        <v>97.4</v>
      </c>
      <c r="BO240" s="32">
        <v>93.3</v>
      </c>
      <c r="BP240" s="32">
        <v>99.9</v>
      </c>
      <c r="BQ240" s="32">
        <v>90</v>
      </c>
      <c r="BR240" s="32">
        <v>104.2</v>
      </c>
      <c r="BS240" s="32">
        <v>98.2</v>
      </c>
      <c r="BT240" s="32">
        <v>85.6</v>
      </c>
      <c r="BU240" s="32">
        <v>129.80000000000001</v>
      </c>
      <c r="BV240" s="32">
        <v>129.80000000000001</v>
      </c>
      <c r="BW240" s="32">
        <v>149.80000000000001</v>
      </c>
      <c r="BX240" s="32">
        <v>77.7</v>
      </c>
      <c r="BY240" s="32">
        <v>91.9</v>
      </c>
      <c r="BZ240" s="32">
        <v>93.8</v>
      </c>
      <c r="CA240" s="32">
        <v>90.9</v>
      </c>
      <c r="CB240" s="32">
        <v>101.9</v>
      </c>
      <c r="CC240" s="32">
        <v>82</v>
      </c>
      <c r="CD240" s="32">
        <v>66.3</v>
      </c>
      <c r="CE240" s="32">
        <v>92.5</v>
      </c>
      <c r="CF240" s="32">
        <v>91.5</v>
      </c>
      <c r="CG240" s="32">
        <v>99.9</v>
      </c>
      <c r="CH240" s="32">
        <v>102.1</v>
      </c>
      <c r="CI240" s="32">
        <v>111.1</v>
      </c>
      <c r="CJ240" s="32">
        <v>94.8</v>
      </c>
      <c r="CK240" s="32">
        <v>106.1</v>
      </c>
      <c r="CL240" s="32">
        <v>95.7</v>
      </c>
      <c r="CM240" s="32">
        <v>108.7</v>
      </c>
      <c r="CN240" s="32">
        <v>164.8</v>
      </c>
      <c r="CO240" s="32">
        <v>95.9</v>
      </c>
      <c r="CP240" s="32">
        <v>135.5</v>
      </c>
      <c r="CQ240" s="32">
        <v>112.5</v>
      </c>
      <c r="CR240" s="32">
        <v>101.6</v>
      </c>
      <c r="CS240" s="32">
        <v>97.5</v>
      </c>
      <c r="CT240" s="32">
        <v>95.7</v>
      </c>
      <c r="CU240" s="32">
        <v>97</v>
      </c>
      <c r="CV240" s="32">
        <v>95.3</v>
      </c>
      <c r="CW240" s="32">
        <v>67.8</v>
      </c>
      <c r="CX240" s="32">
        <v>108.7</v>
      </c>
      <c r="CY240" s="32">
        <v>105.2</v>
      </c>
      <c r="CZ240" s="32">
        <v>110.6</v>
      </c>
      <c r="DA240" s="32">
        <v>101.3</v>
      </c>
      <c r="DB240" s="32">
        <v>129.4</v>
      </c>
      <c r="DC240" s="32">
        <v>34.9</v>
      </c>
      <c r="DD240" s="32">
        <v>34.9</v>
      </c>
      <c r="DE240" s="32">
        <v>81.8</v>
      </c>
      <c r="DF240" s="32">
        <v>82</v>
      </c>
      <c r="DG240" s="32">
        <v>80.400000000000006</v>
      </c>
      <c r="DH240" s="32">
        <v>97.3</v>
      </c>
      <c r="DI240" s="32">
        <v>137.69999999999999</v>
      </c>
      <c r="DJ240" s="32">
        <v>71.2</v>
      </c>
      <c r="DK240" s="32">
        <v>71.2</v>
      </c>
      <c r="DL240" s="32">
        <v>66.2</v>
      </c>
      <c r="DM240" s="32">
        <v>94.2</v>
      </c>
      <c r="DN240" s="32">
        <v>93.7</v>
      </c>
      <c r="DO240" s="32">
        <v>94.9</v>
      </c>
      <c r="DP240" s="32">
        <v>83.2</v>
      </c>
      <c r="DQ240" s="32">
        <v>88</v>
      </c>
      <c r="DR240" s="32">
        <v>84.8</v>
      </c>
      <c r="DS240" s="32">
        <v>87.4</v>
      </c>
      <c r="DT240" s="32">
        <v>84.9</v>
      </c>
      <c r="DU240" s="32">
        <v>86.6</v>
      </c>
      <c r="DV240" s="32">
        <v>98.2</v>
      </c>
      <c r="DW240" s="32">
        <v>74.8</v>
      </c>
      <c r="DX240" s="32">
        <v>81.2</v>
      </c>
      <c r="DY240" s="32">
        <v>96.7</v>
      </c>
      <c r="DZ240" s="32">
        <v>77.7</v>
      </c>
      <c r="EA240" s="32">
        <v>77.7</v>
      </c>
      <c r="EB240" s="32">
        <v>80.400000000000006</v>
      </c>
      <c r="EC240" s="32">
        <v>82.3</v>
      </c>
      <c r="ED240" s="32">
        <v>78</v>
      </c>
      <c r="EE240" s="32">
        <v>82.4</v>
      </c>
      <c r="EF240" s="32">
        <v>68.400000000000006</v>
      </c>
      <c r="EG240" s="32">
        <v>93.2</v>
      </c>
      <c r="EH240" s="32">
        <v>110.8</v>
      </c>
      <c r="EI240" s="32">
        <v>87.4</v>
      </c>
      <c r="EJ240" s="32">
        <v>119</v>
      </c>
      <c r="EK240" s="32">
        <v>84.2</v>
      </c>
      <c r="EL240" s="32">
        <v>87.2</v>
      </c>
      <c r="EM240" s="32">
        <v>78</v>
      </c>
      <c r="EN240" s="32">
        <v>87.6</v>
      </c>
      <c r="EO240" s="32">
        <v>93.1</v>
      </c>
      <c r="EP240" s="32">
        <v>88.7</v>
      </c>
      <c r="EQ240" s="32">
        <v>88.7</v>
      </c>
      <c r="ER240" s="32">
        <v>84</v>
      </c>
      <c r="ES240" s="32">
        <v>84</v>
      </c>
      <c r="ET240" s="32">
        <v>106.6</v>
      </c>
      <c r="EU240" s="32">
        <v>117.1</v>
      </c>
      <c r="EV240" s="32">
        <v>117.1</v>
      </c>
      <c r="EW240" s="32">
        <v>96.6</v>
      </c>
      <c r="EX240" s="32">
        <v>97.4</v>
      </c>
      <c r="EY240" s="32">
        <v>96</v>
      </c>
      <c r="EZ240" s="32">
        <v>97.8</v>
      </c>
      <c r="FA240" s="32">
        <v>99.1</v>
      </c>
      <c r="FB240" s="32">
        <v>94.2</v>
      </c>
      <c r="FC240" s="32">
        <v>92.1</v>
      </c>
      <c r="FD240" s="32">
        <v>97.7</v>
      </c>
      <c r="FE240" s="32">
        <v>95.9</v>
      </c>
      <c r="FF240" s="32">
        <v>104.6</v>
      </c>
      <c r="FG240" s="32">
        <v>92.9</v>
      </c>
      <c r="FH240" s="32">
        <v>82</v>
      </c>
      <c r="FI240" s="32">
        <v>127.2</v>
      </c>
      <c r="FJ240" s="32">
        <v>93.8</v>
      </c>
      <c r="FK240" s="32">
        <v>162.19999999999999</v>
      </c>
      <c r="FL240" s="32">
        <v>162.19999999999999</v>
      </c>
    </row>
    <row r="241" spans="1:168" x14ac:dyDescent="0.2">
      <c r="A241" s="34" t="s">
        <v>1221</v>
      </c>
      <c r="B241" s="32">
        <v>92.4</v>
      </c>
      <c r="C241" s="32">
        <v>89.9</v>
      </c>
      <c r="D241" s="32">
        <v>96.1</v>
      </c>
      <c r="E241" s="32">
        <v>98.8</v>
      </c>
      <c r="F241" s="32">
        <v>129.5</v>
      </c>
      <c r="G241" s="32">
        <v>863.7</v>
      </c>
      <c r="H241" s="32">
        <v>138.5</v>
      </c>
      <c r="I241" s="32">
        <v>103.3</v>
      </c>
      <c r="J241" s="32">
        <v>94.7</v>
      </c>
      <c r="K241" s="32">
        <v>92.8</v>
      </c>
      <c r="L241" s="32">
        <v>95.6</v>
      </c>
      <c r="M241" s="32">
        <v>96.1</v>
      </c>
      <c r="N241" s="32">
        <v>89.1</v>
      </c>
      <c r="O241" s="32">
        <v>78.7</v>
      </c>
      <c r="P241" s="32">
        <v>183.2</v>
      </c>
      <c r="Q241" s="32">
        <v>106.1</v>
      </c>
      <c r="R241" s="32">
        <v>80.5</v>
      </c>
      <c r="S241" s="32">
        <v>88.1</v>
      </c>
      <c r="T241" s="32">
        <v>161.19999999999999</v>
      </c>
      <c r="U241" s="32">
        <v>125.9</v>
      </c>
      <c r="V241" s="32">
        <v>74.3</v>
      </c>
      <c r="W241" s="32">
        <v>76.2</v>
      </c>
      <c r="X241" s="32">
        <v>77</v>
      </c>
      <c r="Y241" s="32">
        <v>69.599999999999994</v>
      </c>
      <c r="Z241" s="32">
        <v>115.5</v>
      </c>
      <c r="AA241" s="32">
        <v>114.5</v>
      </c>
      <c r="AB241" s="32">
        <v>121.1</v>
      </c>
      <c r="AC241" s="32">
        <v>102.3</v>
      </c>
      <c r="AD241" s="32">
        <v>123</v>
      </c>
      <c r="AE241" s="32">
        <v>148.1</v>
      </c>
      <c r="AF241" s="32">
        <v>148.1</v>
      </c>
      <c r="AG241" s="32">
        <v>97.6</v>
      </c>
      <c r="AH241" s="32">
        <v>97.6</v>
      </c>
      <c r="AI241" s="32">
        <v>69.8</v>
      </c>
      <c r="AJ241" s="32">
        <v>148.5</v>
      </c>
      <c r="AK241" s="32">
        <v>93.7</v>
      </c>
      <c r="AL241" s="32">
        <v>79</v>
      </c>
      <c r="AM241" s="32">
        <v>79.7</v>
      </c>
      <c r="AN241" s="32">
        <v>148.9</v>
      </c>
      <c r="AO241" s="32">
        <v>72.8</v>
      </c>
      <c r="AP241" s="32">
        <v>72.8</v>
      </c>
      <c r="AQ241" s="32">
        <v>101.9</v>
      </c>
      <c r="AR241" s="32">
        <v>101.7</v>
      </c>
      <c r="AS241" s="32">
        <v>102.6</v>
      </c>
      <c r="AT241" s="32">
        <v>85.6</v>
      </c>
      <c r="AU241" s="32">
        <v>119.1</v>
      </c>
      <c r="AV241" s="32">
        <v>109.9</v>
      </c>
      <c r="AW241" s="32">
        <v>155.19999999999999</v>
      </c>
      <c r="AX241" s="32">
        <v>317.60000000000002</v>
      </c>
      <c r="AY241" s="32">
        <v>92.8</v>
      </c>
      <c r="AZ241" s="32">
        <v>103.1</v>
      </c>
      <c r="BA241" s="32">
        <v>89.6</v>
      </c>
      <c r="BB241" s="32">
        <v>89.6</v>
      </c>
      <c r="BC241" s="32">
        <v>96</v>
      </c>
      <c r="BD241" s="32">
        <v>96</v>
      </c>
      <c r="BE241" s="32">
        <v>90.4</v>
      </c>
      <c r="BF241" s="32">
        <v>90.4</v>
      </c>
      <c r="BG241" s="32">
        <v>96.6</v>
      </c>
      <c r="BH241" s="32">
        <v>107.8</v>
      </c>
      <c r="BI241" s="32">
        <v>82.4</v>
      </c>
      <c r="BJ241" s="32">
        <v>41.8</v>
      </c>
      <c r="BK241" s="32">
        <v>95</v>
      </c>
      <c r="BL241" s="32">
        <v>93.2</v>
      </c>
      <c r="BM241" s="32">
        <v>92.9</v>
      </c>
      <c r="BN241" s="32">
        <v>95.5</v>
      </c>
      <c r="BO241" s="32">
        <v>93</v>
      </c>
      <c r="BP241" s="32">
        <v>96.3</v>
      </c>
      <c r="BQ241" s="32">
        <v>90.3</v>
      </c>
      <c r="BR241" s="32">
        <v>120.4</v>
      </c>
      <c r="BS241" s="32">
        <v>90.6</v>
      </c>
      <c r="BT241" s="32">
        <v>86.1</v>
      </c>
      <c r="BU241" s="32">
        <v>129.19999999999999</v>
      </c>
      <c r="BV241" s="32">
        <v>129.19999999999999</v>
      </c>
      <c r="BW241" s="32">
        <v>150.69999999999999</v>
      </c>
      <c r="BX241" s="32">
        <v>74.900000000000006</v>
      </c>
      <c r="BY241" s="32">
        <v>91.6</v>
      </c>
      <c r="BZ241" s="32">
        <v>94.3</v>
      </c>
      <c r="CA241" s="32">
        <v>90.3</v>
      </c>
      <c r="CB241" s="32">
        <v>100.3</v>
      </c>
      <c r="CC241" s="32">
        <v>82.2</v>
      </c>
      <c r="CD241" s="32">
        <v>69</v>
      </c>
      <c r="CE241" s="32">
        <v>91.8</v>
      </c>
      <c r="CF241" s="32">
        <v>91.9</v>
      </c>
      <c r="CG241" s="32">
        <v>100.7</v>
      </c>
      <c r="CH241" s="32">
        <v>102.5</v>
      </c>
      <c r="CI241" s="32">
        <v>111</v>
      </c>
      <c r="CJ241" s="32">
        <v>96.3</v>
      </c>
      <c r="CK241" s="32">
        <v>105.9</v>
      </c>
      <c r="CL241" s="32">
        <v>96.1</v>
      </c>
      <c r="CM241" s="32">
        <v>109.2</v>
      </c>
      <c r="CN241" s="32">
        <v>165.1</v>
      </c>
      <c r="CO241" s="32">
        <v>96.4</v>
      </c>
      <c r="CP241" s="32">
        <v>136.30000000000001</v>
      </c>
      <c r="CQ241" s="32">
        <v>114</v>
      </c>
      <c r="CR241" s="32">
        <v>101.5</v>
      </c>
      <c r="CS241" s="32">
        <v>98.1</v>
      </c>
      <c r="CT241" s="32">
        <v>98.3</v>
      </c>
      <c r="CU241" s="32">
        <v>100.6</v>
      </c>
      <c r="CV241" s="32">
        <v>97.5</v>
      </c>
      <c r="CW241" s="32">
        <v>68.900000000000006</v>
      </c>
      <c r="CX241" s="32">
        <v>110.5</v>
      </c>
      <c r="CY241" s="32">
        <v>107</v>
      </c>
      <c r="CZ241" s="32">
        <v>112.3</v>
      </c>
      <c r="DA241" s="32">
        <v>101.9</v>
      </c>
      <c r="DB241" s="32">
        <v>133.30000000000001</v>
      </c>
      <c r="DC241" s="32">
        <v>35.9</v>
      </c>
      <c r="DD241" s="32">
        <v>35.9</v>
      </c>
      <c r="DE241" s="32">
        <v>82.6</v>
      </c>
      <c r="DF241" s="32">
        <v>82.9</v>
      </c>
      <c r="DG241" s="32">
        <v>80.400000000000006</v>
      </c>
      <c r="DH241" s="32">
        <v>100.7</v>
      </c>
      <c r="DI241" s="32">
        <v>138.19999999999999</v>
      </c>
      <c r="DJ241" s="32">
        <v>72.900000000000006</v>
      </c>
      <c r="DK241" s="32">
        <v>72.900000000000006</v>
      </c>
      <c r="DL241" s="32">
        <v>74</v>
      </c>
      <c r="DM241" s="32">
        <v>93.8</v>
      </c>
      <c r="DN241" s="32">
        <v>93.4</v>
      </c>
      <c r="DO241" s="32">
        <v>94.5</v>
      </c>
      <c r="DP241" s="32">
        <v>81.099999999999994</v>
      </c>
      <c r="DQ241" s="32">
        <v>87.4</v>
      </c>
      <c r="DR241" s="32">
        <v>84.3</v>
      </c>
      <c r="DS241" s="32">
        <v>86.4</v>
      </c>
      <c r="DT241" s="32">
        <v>84.1</v>
      </c>
      <c r="DU241" s="32">
        <v>85.4</v>
      </c>
      <c r="DV241" s="32">
        <v>94.7</v>
      </c>
      <c r="DW241" s="32">
        <v>75.7</v>
      </c>
      <c r="DX241" s="32">
        <v>81.400000000000006</v>
      </c>
      <c r="DY241" s="32">
        <v>95.1</v>
      </c>
      <c r="DZ241" s="32">
        <v>81.8</v>
      </c>
      <c r="EA241" s="32">
        <v>81.8</v>
      </c>
      <c r="EB241" s="32">
        <v>79.3</v>
      </c>
      <c r="EC241" s="32">
        <v>79.5</v>
      </c>
      <c r="ED241" s="32">
        <v>79.099999999999994</v>
      </c>
      <c r="EE241" s="32">
        <v>84.3</v>
      </c>
      <c r="EF241" s="32">
        <v>67.900000000000006</v>
      </c>
      <c r="EG241" s="32">
        <v>92.5</v>
      </c>
      <c r="EH241" s="32">
        <v>110.2</v>
      </c>
      <c r="EI241" s="32">
        <v>86.5</v>
      </c>
      <c r="EJ241" s="32">
        <v>118.7</v>
      </c>
      <c r="EK241" s="32">
        <v>83.3</v>
      </c>
      <c r="EL241" s="32">
        <v>87.8</v>
      </c>
      <c r="EM241" s="32">
        <v>76.400000000000006</v>
      </c>
      <c r="EN241" s="32">
        <v>87</v>
      </c>
      <c r="EO241" s="32">
        <v>93.3</v>
      </c>
      <c r="EP241" s="32">
        <v>88.8</v>
      </c>
      <c r="EQ241" s="32">
        <v>88.8</v>
      </c>
      <c r="ER241" s="32">
        <v>85</v>
      </c>
      <c r="ES241" s="32">
        <v>85</v>
      </c>
      <c r="ET241" s="32">
        <v>106.1</v>
      </c>
      <c r="EU241" s="32">
        <v>116.3</v>
      </c>
      <c r="EV241" s="32">
        <v>116.3</v>
      </c>
      <c r="EW241" s="32">
        <v>96.8</v>
      </c>
      <c r="EX241" s="32">
        <v>97.1</v>
      </c>
      <c r="EY241" s="32">
        <v>96.6</v>
      </c>
      <c r="EZ241" s="32">
        <v>96</v>
      </c>
      <c r="FA241" s="32">
        <v>94.3</v>
      </c>
      <c r="FB241" s="32">
        <v>91.6</v>
      </c>
      <c r="FC241" s="32">
        <v>86.5</v>
      </c>
      <c r="FD241" s="32">
        <v>99.2</v>
      </c>
      <c r="FE241" s="32">
        <v>96.4</v>
      </c>
      <c r="FF241" s="32">
        <v>97.1</v>
      </c>
      <c r="FG241" s="32">
        <v>93.5</v>
      </c>
      <c r="FH241" s="32">
        <v>80.5</v>
      </c>
      <c r="FI241" s="32">
        <v>135.6</v>
      </c>
      <c r="FJ241" s="32">
        <v>94.3</v>
      </c>
      <c r="FK241" s="32">
        <v>159.6</v>
      </c>
      <c r="FL241" s="32">
        <v>159.6</v>
      </c>
    </row>
    <row r="242" spans="1:168" x14ac:dyDescent="0.2">
      <c r="A242" s="34" t="s">
        <v>1222</v>
      </c>
      <c r="B242" s="32">
        <v>92.9</v>
      </c>
      <c r="C242" s="32">
        <v>89.6</v>
      </c>
      <c r="D242" s="32">
        <v>96.3</v>
      </c>
      <c r="E242" s="32">
        <v>98.9</v>
      </c>
      <c r="F242" s="32">
        <v>124.2</v>
      </c>
      <c r="G242" s="32">
        <v>731.3</v>
      </c>
      <c r="H242" s="32">
        <v>131.19999999999999</v>
      </c>
      <c r="I242" s="32">
        <v>103.7</v>
      </c>
      <c r="J242" s="32">
        <v>95.4</v>
      </c>
      <c r="K242" s="32">
        <v>93.2</v>
      </c>
      <c r="L242" s="32">
        <v>96.4</v>
      </c>
      <c r="M242" s="32">
        <v>95.3</v>
      </c>
      <c r="N242" s="32">
        <v>89.9</v>
      </c>
      <c r="O242" s="32">
        <v>81.900000000000006</v>
      </c>
      <c r="P242" s="32">
        <v>186.2</v>
      </c>
      <c r="Q242" s="32">
        <v>105.6</v>
      </c>
      <c r="R242" s="32">
        <v>81.7</v>
      </c>
      <c r="S242" s="32">
        <v>89.6</v>
      </c>
      <c r="T242" s="32">
        <v>166.9</v>
      </c>
      <c r="U242" s="32">
        <v>133.80000000000001</v>
      </c>
      <c r="V242" s="32">
        <v>70.7</v>
      </c>
      <c r="W242" s="32">
        <v>77.599999999999994</v>
      </c>
      <c r="X242" s="32">
        <v>77.400000000000006</v>
      </c>
      <c r="Y242" s="32">
        <v>75.900000000000006</v>
      </c>
      <c r="Z242" s="32">
        <v>100.8</v>
      </c>
      <c r="AA242" s="32">
        <v>113.9</v>
      </c>
      <c r="AB242" s="32">
        <v>121.9</v>
      </c>
      <c r="AC242" s="32">
        <v>102.8</v>
      </c>
      <c r="AD242" s="32">
        <v>120.5</v>
      </c>
      <c r="AE242" s="32">
        <v>153.5</v>
      </c>
      <c r="AF242" s="32">
        <v>153.5</v>
      </c>
      <c r="AG242" s="32">
        <v>97.4</v>
      </c>
      <c r="AH242" s="32">
        <v>97.4</v>
      </c>
      <c r="AI242" s="32">
        <v>73.599999999999994</v>
      </c>
      <c r="AJ242" s="32">
        <v>148.6</v>
      </c>
      <c r="AK242" s="32">
        <v>103.1</v>
      </c>
      <c r="AL242" s="32">
        <v>80.7</v>
      </c>
      <c r="AM242" s="32">
        <v>78.400000000000006</v>
      </c>
      <c r="AN242" s="32">
        <v>143.1</v>
      </c>
      <c r="AO242" s="32">
        <v>74.2</v>
      </c>
      <c r="AP242" s="32">
        <v>74.2</v>
      </c>
      <c r="AQ242" s="32">
        <v>102.2</v>
      </c>
      <c r="AR242" s="32">
        <v>102</v>
      </c>
      <c r="AS242" s="32">
        <v>102.9</v>
      </c>
      <c r="AT242" s="32">
        <v>85.6</v>
      </c>
      <c r="AU242" s="32">
        <v>119.8</v>
      </c>
      <c r="AV242" s="32">
        <v>109.7</v>
      </c>
      <c r="AW242" s="32">
        <v>165.3</v>
      </c>
      <c r="AX242" s="32">
        <v>347</v>
      </c>
      <c r="AY242" s="32">
        <v>94.9</v>
      </c>
      <c r="AZ242" s="32">
        <v>101</v>
      </c>
      <c r="BA242" s="32">
        <v>90.2</v>
      </c>
      <c r="BB242" s="32">
        <v>90.2</v>
      </c>
      <c r="BC242" s="32">
        <v>98.9</v>
      </c>
      <c r="BD242" s="32">
        <v>98.9</v>
      </c>
      <c r="BE242" s="32">
        <v>89.4</v>
      </c>
      <c r="BF242" s="32">
        <v>89.4</v>
      </c>
      <c r="BG242" s="32">
        <v>96.7</v>
      </c>
      <c r="BH242" s="32">
        <v>107.3</v>
      </c>
      <c r="BI242" s="32">
        <v>83.2</v>
      </c>
      <c r="BJ242" s="32">
        <v>42.5</v>
      </c>
      <c r="BK242" s="32">
        <v>94.6</v>
      </c>
      <c r="BL242" s="32">
        <v>107.7</v>
      </c>
      <c r="BM242" s="32">
        <v>96.6</v>
      </c>
      <c r="BN242" s="32">
        <v>97.9</v>
      </c>
      <c r="BO242" s="32">
        <v>94.7</v>
      </c>
      <c r="BP242" s="32">
        <v>99.4</v>
      </c>
      <c r="BQ242" s="32">
        <v>95.3</v>
      </c>
      <c r="BR242" s="32">
        <v>136.30000000000001</v>
      </c>
      <c r="BS242" s="32">
        <v>90.6</v>
      </c>
      <c r="BT242" s="32">
        <v>91.2</v>
      </c>
      <c r="BU242" s="32">
        <v>128.5</v>
      </c>
      <c r="BV242" s="32">
        <v>128.5</v>
      </c>
      <c r="BW242" s="32">
        <v>152.6</v>
      </c>
      <c r="BX242" s="32">
        <v>70.3</v>
      </c>
      <c r="BY242" s="32">
        <v>90.9</v>
      </c>
      <c r="BZ242" s="32">
        <v>96</v>
      </c>
      <c r="CA242" s="32">
        <v>88.5</v>
      </c>
      <c r="CB242" s="32">
        <v>99.1</v>
      </c>
      <c r="CC242" s="32">
        <v>79.8</v>
      </c>
      <c r="CD242" s="32">
        <v>64.7</v>
      </c>
      <c r="CE242" s="32">
        <v>92.1</v>
      </c>
      <c r="CF242" s="32">
        <v>92.4</v>
      </c>
      <c r="CG242" s="32">
        <v>102.2</v>
      </c>
      <c r="CH242" s="32">
        <v>104.3</v>
      </c>
      <c r="CI242" s="32">
        <v>120.5</v>
      </c>
      <c r="CJ242" s="32">
        <v>97.1</v>
      </c>
      <c r="CK242" s="32">
        <v>106.5</v>
      </c>
      <c r="CL242" s="32">
        <v>97</v>
      </c>
      <c r="CM242" s="32">
        <v>111.1</v>
      </c>
      <c r="CN242" s="32">
        <v>165.1</v>
      </c>
      <c r="CO242" s="32">
        <v>98.4</v>
      </c>
      <c r="CP242" s="32">
        <v>136.9</v>
      </c>
      <c r="CQ242" s="32">
        <v>115.9</v>
      </c>
      <c r="CR242" s="32">
        <v>101.1</v>
      </c>
      <c r="CS242" s="32">
        <v>99.6</v>
      </c>
      <c r="CT242" s="32">
        <v>100.3</v>
      </c>
      <c r="CU242" s="32">
        <v>99.9</v>
      </c>
      <c r="CV242" s="32">
        <v>100.5</v>
      </c>
      <c r="CW242" s="32">
        <v>69.599999999999994</v>
      </c>
      <c r="CX242" s="32">
        <v>112.5</v>
      </c>
      <c r="CY242" s="32">
        <v>106</v>
      </c>
      <c r="CZ242" s="32">
        <v>115.9</v>
      </c>
      <c r="DA242" s="32">
        <v>109.8</v>
      </c>
      <c r="DB242" s="32">
        <v>128.5</v>
      </c>
      <c r="DC242" s="32">
        <v>36.700000000000003</v>
      </c>
      <c r="DD242" s="32">
        <v>36.700000000000003</v>
      </c>
      <c r="DE242" s="32">
        <v>82.1</v>
      </c>
      <c r="DF242" s="32">
        <v>81.7</v>
      </c>
      <c r="DG242" s="32">
        <v>83.8</v>
      </c>
      <c r="DH242" s="32">
        <v>101.5</v>
      </c>
      <c r="DI242" s="32">
        <v>138.6</v>
      </c>
      <c r="DJ242" s="32">
        <v>74.8</v>
      </c>
      <c r="DK242" s="32">
        <v>74.8</v>
      </c>
      <c r="DL242" s="32">
        <v>74.5</v>
      </c>
      <c r="DM242" s="32">
        <v>93.7</v>
      </c>
      <c r="DN242" s="32">
        <v>93.2</v>
      </c>
      <c r="DO242" s="32">
        <v>94.5</v>
      </c>
      <c r="DP242" s="32">
        <v>79.2</v>
      </c>
      <c r="DQ242" s="32">
        <v>88.3</v>
      </c>
      <c r="DR242" s="32">
        <v>84.3</v>
      </c>
      <c r="DS242" s="32">
        <v>86.1</v>
      </c>
      <c r="DT242" s="32">
        <v>83.4</v>
      </c>
      <c r="DU242" s="32">
        <v>84.7</v>
      </c>
      <c r="DV242" s="32">
        <v>93</v>
      </c>
      <c r="DW242" s="32">
        <v>76</v>
      </c>
      <c r="DX242" s="32">
        <v>80.5</v>
      </c>
      <c r="DY242" s="32">
        <v>96.4</v>
      </c>
      <c r="DZ242" s="32">
        <v>81.8</v>
      </c>
      <c r="EA242" s="32">
        <v>81.8</v>
      </c>
      <c r="EB242" s="32">
        <v>80</v>
      </c>
      <c r="EC242" s="32">
        <v>79.400000000000006</v>
      </c>
      <c r="ED242" s="32">
        <v>80.7</v>
      </c>
      <c r="EE242" s="32">
        <v>85.9</v>
      </c>
      <c r="EF242" s="32">
        <v>69.7</v>
      </c>
      <c r="EG242" s="32">
        <v>94.9</v>
      </c>
      <c r="EH242" s="32">
        <v>114.2</v>
      </c>
      <c r="EI242" s="32">
        <v>88.4</v>
      </c>
      <c r="EJ242" s="32">
        <v>120.1</v>
      </c>
      <c r="EK242" s="32">
        <v>85.8</v>
      </c>
      <c r="EL242" s="32">
        <v>87.6</v>
      </c>
      <c r="EM242" s="32">
        <v>78</v>
      </c>
      <c r="EN242" s="32">
        <v>90.5</v>
      </c>
      <c r="EO242" s="32">
        <v>93</v>
      </c>
      <c r="EP242" s="32">
        <v>89.1</v>
      </c>
      <c r="EQ242" s="32">
        <v>89.1</v>
      </c>
      <c r="ER242" s="32">
        <v>84.3</v>
      </c>
      <c r="ES242" s="32">
        <v>84.3</v>
      </c>
      <c r="ET242" s="32">
        <v>105.6</v>
      </c>
      <c r="EU242" s="32">
        <v>115.4</v>
      </c>
      <c r="EV242" s="32">
        <v>115.4</v>
      </c>
      <c r="EW242" s="32">
        <v>97</v>
      </c>
      <c r="EX242" s="32">
        <v>97.3</v>
      </c>
      <c r="EY242" s="32">
        <v>96.7</v>
      </c>
      <c r="EZ242" s="32">
        <v>95.5</v>
      </c>
      <c r="FA242" s="32">
        <v>93.2</v>
      </c>
      <c r="FB242" s="32">
        <v>92.8</v>
      </c>
      <c r="FC242" s="32">
        <v>88.1</v>
      </c>
      <c r="FD242" s="32">
        <v>101</v>
      </c>
      <c r="FE242" s="32">
        <v>96.6</v>
      </c>
      <c r="FF242" s="32">
        <v>93.7</v>
      </c>
      <c r="FG242" s="32">
        <v>93.4</v>
      </c>
      <c r="FH242" s="32">
        <v>81.2</v>
      </c>
      <c r="FI242" s="32">
        <v>132</v>
      </c>
      <c r="FJ242" s="32">
        <v>94.3</v>
      </c>
      <c r="FK242" s="32">
        <v>159.9</v>
      </c>
      <c r="FL242" s="32">
        <v>159.9</v>
      </c>
    </row>
    <row r="243" spans="1:168" x14ac:dyDescent="0.2">
      <c r="A243" s="34" t="s">
        <v>1223</v>
      </c>
      <c r="B243" s="32">
        <v>92.7</v>
      </c>
      <c r="C243" s="32">
        <v>89</v>
      </c>
      <c r="D243" s="32">
        <v>94.6</v>
      </c>
      <c r="E243" s="32">
        <v>97</v>
      </c>
      <c r="F243" s="32">
        <v>113.7</v>
      </c>
      <c r="G243" s="32">
        <v>561.20000000000005</v>
      </c>
      <c r="H243" s="32">
        <v>117.7</v>
      </c>
      <c r="I243" s="32">
        <v>101.5</v>
      </c>
      <c r="J243" s="32">
        <v>93.2</v>
      </c>
      <c r="K243" s="32">
        <v>90.5</v>
      </c>
      <c r="L243" s="32">
        <v>93.4</v>
      </c>
      <c r="M243" s="32">
        <v>93.3</v>
      </c>
      <c r="N243" s="32">
        <v>89.9</v>
      </c>
      <c r="O243" s="32">
        <v>84.7</v>
      </c>
      <c r="P243" s="32">
        <v>164.6</v>
      </c>
      <c r="Q243" s="32">
        <v>101.4</v>
      </c>
      <c r="R243" s="32">
        <v>79.900000000000006</v>
      </c>
      <c r="S243" s="32">
        <v>88.1</v>
      </c>
      <c r="T243" s="32">
        <v>155.69999999999999</v>
      </c>
      <c r="U243" s="32">
        <v>130.30000000000001</v>
      </c>
      <c r="V243" s="32">
        <v>69.8</v>
      </c>
      <c r="W243" s="32">
        <v>75.7</v>
      </c>
      <c r="X243" s="32">
        <v>78.099999999999994</v>
      </c>
      <c r="Y243" s="32">
        <v>67.900000000000006</v>
      </c>
      <c r="Z243" s="32">
        <v>102.6</v>
      </c>
      <c r="AA243" s="32">
        <v>114</v>
      </c>
      <c r="AB243" s="32">
        <v>114.2</v>
      </c>
      <c r="AC243" s="32">
        <v>102.5</v>
      </c>
      <c r="AD243" s="32">
        <v>126.2</v>
      </c>
      <c r="AE243" s="32">
        <v>152.4</v>
      </c>
      <c r="AF243" s="32">
        <v>152.4</v>
      </c>
      <c r="AG243" s="32">
        <v>94.3</v>
      </c>
      <c r="AH243" s="32">
        <v>94.3</v>
      </c>
      <c r="AI243" s="32">
        <v>67.8</v>
      </c>
      <c r="AJ243" s="32">
        <v>147.19999999999999</v>
      </c>
      <c r="AK243" s="32">
        <v>101.5</v>
      </c>
      <c r="AL243" s="32">
        <v>80.599999999999994</v>
      </c>
      <c r="AM243" s="32">
        <v>76.5</v>
      </c>
      <c r="AN243" s="32">
        <v>131.80000000000001</v>
      </c>
      <c r="AO243" s="32">
        <v>72.7</v>
      </c>
      <c r="AP243" s="32">
        <v>72.7</v>
      </c>
      <c r="AQ243" s="32">
        <v>100.5</v>
      </c>
      <c r="AR243" s="32">
        <v>99</v>
      </c>
      <c r="AS243" s="32">
        <v>102.9</v>
      </c>
      <c r="AT243" s="32">
        <v>86.8</v>
      </c>
      <c r="AU243" s="32">
        <v>118.4</v>
      </c>
      <c r="AV243" s="32">
        <v>107.4</v>
      </c>
      <c r="AW243" s="32">
        <v>160</v>
      </c>
      <c r="AX243" s="32">
        <v>335.6</v>
      </c>
      <c r="AY243" s="32">
        <v>91.1</v>
      </c>
      <c r="AZ243" s="32">
        <v>99.2</v>
      </c>
      <c r="BA243" s="32">
        <v>91.2</v>
      </c>
      <c r="BB243" s="32">
        <v>91.2</v>
      </c>
      <c r="BC243" s="32">
        <v>100.2</v>
      </c>
      <c r="BD243" s="32">
        <v>100.2</v>
      </c>
      <c r="BE243" s="32">
        <v>86.4</v>
      </c>
      <c r="BF243" s="32">
        <v>86.4</v>
      </c>
      <c r="BG243" s="32">
        <v>93.2</v>
      </c>
      <c r="BH243" s="32">
        <v>103.7</v>
      </c>
      <c r="BI243" s="32">
        <v>80.2</v>
      </c>
      <c r="BJ243" s="32">
        <v>42.3</v>
      </c>
      <c r="BK243" s="32">
        <v>91</v>
      </c>
      <c r="BL243" s="32">
        <v>97.4</v>
      </c>
      <c r="BM243" s="32">
        <v>93.4</v>
      </c>
      <c r="BN243" s="32">
        <v>97.3</v>
      </c>
      <c r="BO243" s="32">
        <v>94.1</v>
      </c>
      <c r="BP243" s="32">
        <v>98.9</v>
      </c>
      <c r="BQ243" s="32">
        <v>89.6</v>
      </c>
      <c r="BR243" s="32">
        <v>128.69999999999999</v>
      </c>
      <c r="BS243" s="32">
        <v>94.3</v>
      </c>
      <c r="BT243" s="32">
        <v>83.1</v>
      </c>
      <c r="BU243" s="32">
        <v>128.69999999999999</v>
      </c>
      <c r="BV243" s="32">
        <v>128.69999999999999</v>
      </c>
      <c r="BW243" s="32">
        <v>147.1</v>
      </c>
      <c r="BX243" s="32">
        <v>79.099999999999994</v>
      </c>
      <c r="BY243" s="32">
        <v>93.9</v>
      </c>
      <c r="BZ243" s="32">
        <v>95.3</v>
      </c>
      <c r="CA243" s="32">
        <v>93.2</v>
      </c>
      <c r="CB243" s="32">
        <v>109.6</v>
      </c>
      <c r="CC243" s="32">
        <v>79.2</v>
      </c>
      <c r="CD243" s="32">
        <v>63.5</v>
      </c>
      <c r="CE243" s="32">
        <v>90.8</v>
      </c>
      <c r="CF243" s="32">
        <v>92.6</v>
      </c>
      <c r="CG243" s="32">
        <v>102.1</v>
      </c>
      <c r="CH243" s="32">
        <v>104.5</v>
      </c>
      <c r="CI243" s="32">
        <v>117.2</v>
      </c>
      <c r="CJ243" s="32">
        <v>96.6</v>
      </c>
      <c r="CK243" s="32">
        <v>108.1</v>
      </c>
      <c r="CL243" s="32">
        <v>96.7</v>
      </c>
      <c r="CM243" s="32">
        <v>110.9</v>
      </c>
      <c r="CN243" s="32">
        <v>164</v>
      </c>
      <c r="CO243" s="32">
        <v>98.4</v>
      </c>
      <c r="CP243" s="32">
        <v>136.69999999999999</v>
      </c>
      <c r="CQ243" s="32">
        <v>113.8</v>
      </c>
      <c r="CR243" s="32">
        <v>100.7</v>
      </c>
      <c r="CS243" s="32">
        <v>99.9</v>
      </c>
      <c r="CT243" s="32">
        <v>98.7</v>
      </c>
      <c r="CU243" s="32">
        <v>100</v>
      </c>
      <c r="CV243" s="32">
        <v>98.3</v>
      </c>
      <c r="CW243" s="32">
        <v>69.8</v>
      </c>
      <c r="CX243" s="32">
        <v>106.6</v>
      </c>
      <c r="CY243" s="32">
        <v>104.5</v>
      </c>
      <c r="CZ243" s="32">
        <v>107.8</v>
      </c>
      <c r="DA243" s="32">
        <v>98.9</v>
      </c>
      <c r="DB243" s="32">
        <v>125.6</v>
      </c>
      <c r="DC243" s="32">
        <v>38</v>
      </c>
      <c r="DD243" s="32">
        <v>38</v>
      </c>
      <c r="DE243" s="32">
        <v>82.9</v>
      </c>
      <c r="DF243" s="32">
        <v>82.9</v>
      </c>
      <c r="DG243" s="32">
        <v>83</v>
      </c>
      <c r="DH243" s="32">
        <v>102.5</v>
      </c>
      <c r="DI243" s="32">
        <v>136.9</v>
      </c>
      <c r="DJ243" s="32">
        <v>76.5</v>
      </c>
      <c r="DK243" s="32">
        <v>76.5</v>
      </c>
      <c r="DL243" s="32">
        <v>78.099999999999994</v>
      </c>
      <c r="DM243" s="32">
        <v>93.9</v>
      </c>
      <c r="DN243" s="32">
        <v>93.7</v>
      </c>
      <c r="DO243" s="32">
        <v>94.5</v>
      </c>
      <c r="DP243" s="32">
        <v>81.8</v>
      </c>
      <c r="DQ243" s="32">
        <v>88.3</v>
      </c>
      <c r="DR243" s="32">
        <v>84.7</v>
      </c>
      <c r="DS243" s="32">
        <v>86.5</v>
      </c>
      <c r="DT243" s="32">
        <v>83.9</v>
      </c>
      <c r="DU243" s="32">
        <v>85.9</v>
      </c>
      <c r="DV243" s="32">
        <v>96.7</v>
      </c>
      <c r="DW243" s="32">
        <v>74.8</v>
      </c>
      <c r="DX243" s="32">
        <v>79.7</v>
      </c>
      <c r="DY243" s="32">
        <v>96</v>
      </c>
      <c r="DZ243" s="32">
        <v>78.5</v>
      </c>
      <c r="EA243" s="32">
        <v>78.5</v>
      </c>
      <c r="EB243" s="32">
        <v>82.3</v>
      </c>
      <c r="EC243" s="32">
        <v>82.1</v>
      </c>
      <c r="ED243" s="32">
        <v>82.6</v>
      </c>
      <c r="EE243" s="32">
        <v>88.9</v>
      </c>
      <c r="EF243" s="32">
        <v>69.2</v>
      </c>
      <c r="EG243" s="32">
        <v>94</v>
      </c>
      <c r="EH243" s="32">
        <v>115.6</v>
      </c>
      <c r="EI243" s="32">
        <v>87.8</v>
      </c>
      <c r="EJ243" s="32">
        <v>118.9</v>
      </c>
      <c r="EK243" s="32">
        <v>83.7</v>
      </c>
      <c r="EL243" s="32">
        <v>91.9</v>
      </c>
      <c r="EM243" s="32">
        <v>78.7</v>
      </c>
      <c r="EN243" s="32">
        <v>85.4</v>
      </c>
      <c r="EO243" s="32">
        <v>93.3</v>
      </c>
      <c r="EP243" s="32">
        <v>89.2</v>
      </c>
      <c r="EQ243" s="32">
        <v>89.2</v>
      </c>
      <c r="ER243" s="32">
        <v>84.1</v>
      </c>
      <c r="ES243" s="32">
        <v>84.1</v>
      </c>
      <c r="ET243" s="32">
        <v>106.8</v>
      </c>
      <c r="EU243" s="32">
        <v>117.3</v>
      </c>
      <c r="EV243" s="32">
        <v>117.3</v>
      </c>
      <c r="EW243" s="32">
        <v>96.8</v>
      </c>
      <c r="EX243" s="32">
        <v>97.5</v>
      </c>
      <c r="EY243" s="32">
        <v>96.2</v>
      </c>
      <c r="EZ243" s="32">
        <v>95.2</v>
      </c>
      <c r="FA243" s="32">
        <v>94.3</v>
      </c>
      <c r="FB243" s="32">
        <v>91.5</v>
      </c>
      <c r="FC243" s="32">
        <v>83.6</v>
      </c>
      <c r="FD243" s="32">
        <v>108.7</v>
      </c>
      <c r="FE243" s="32">
        <v>96.5</v>
      </c>
      <c r="FF243" s="32">
        <v>97.3</v>
      </c>
      <c r="FG243" s="32">
        <v>91.9</v>
      </c>
      <c r="FH243" s="32">
        <v>83.9</v>
      </c>
      <c r="FI243" s="32">
        <v>120</v>
      </c>
      <c r="FJ243" s="32">
        <v>92.1</v>
      </c>
      <c r="FK243" s="32">
        <v>161.30000000000001</v>
      </c>
      <c r="FL243" s="32">
        <v>161.30000000000001</v>
      </c>
    </row>
    <row r="244" spans="1:168" x14ac:dyDescent="0.2">
      <c r="A244" s="34" t="s">
        <v>1224</v>
      </c>
      <c r="B244" s="32">
        <v>93.1</v>
      </c>
      <c r="C244" s="32">
        <v>89.9</v>
      </c>
      <c r="D244" s="32">
        <v>95.7</v>
      </c>
      <c r="E244" s="32">
        <v>98.4</v>
      </c>
      <c r="F244" s="32">
        <v>122</v>
      </c>
      <c r="G244" s="32">
        <v>511.2</v>
      </c>
      <c r="H244" s="32">
        <v>129.80000000000001</v>
      </c>
      <c r="I244" s="32">
        <v>100</v>
      </c>
      <c r="J244" s="32">
        <v>94.2</v>
      </c>
      <c r="K244" s="32">
        <v>90</v>
      </c>
      <c r="L244" s="32">
        <v>92.3</v>
      </c>
      <c r="M244" s="32">
        <v>92.2</v>
      </c>
      <c r="N244" s="32">
        <v>86.9</v>
      </c>
      <c r="O244" s="32">
        <v>104.8</v>
      </c>
      <c r="P244" s="32">
        <v>159.5</v>
      </c>
      <c r="Q244" s="32">
        <v>110.4</v>
      </c>
      <c r="R244" s="32">
        <v>79.3</v>
      </c>
      <c r="S244" s="32">
        <v>86.8</v>
      </c>
      <c r="T244" s="32">
        <v>145.9</v>
      </c>
      <c r="U244" s="32">
        <v>134</v>
      </c>
      <c r="V244" s="32">
        <v>71.2</v>
      </c>
      <c r="W244" s="32">
        <v>76.2</v>
      </c>
      <c r="X244" s="32">
        <v>78.3</v>
      </c>
      <c r="Y244" s="32">
        <v>65.599999999999994</v>
      </c>
      <c r="Z244" s="32">
        <v>118.6</v>
      </c>
      <c r="AA244" s="32">
        <v>115.2</v>
      </c>
      <c r="AB244" s="32">
        <v>120.2</v>
      </c>
      <c r="AC244" s="32">
        <v>102.2</v>
      </c>
      <c r="AD244" s="32">
        <v>125.7</v>
      </c>
      <c r="AE244" s="32">
        <v>156.1</v>
      </c>
      <c r="AF244" s="32">
        <v>156.1</v>
      </c>
      <c r="AG244" s="32">
        <v>93.9</v>
      </c>
      <c r="AH244" s="32">
        <v>93.9</v>
      </c>
      <c r="AI244" s="32">
        <v>76</v>
      </c>
      <c r="AJ244" s="32">
        <v>141.1</v>
      </c>
      <c r="AK244" s="32">
        <v>99.4</v>
      </c>
      <c r="AL244" s="32">
        <v>75.8</v>
      </c>
      <c r="AM244" s="32">
        <v>78.2</v>
      </c>
      <c r="AN244" s="32">
        <v>129.9</v>
      </c>
      <c r="AO244" s="32">
        <v>76.400000000000006</v>
      </c>
      <c r="AP244" s="32">
        <v>76.400000000000006</v>
      </c>
      <c r="AQ244" s="32">
        <v>101.6</v>
      </c>
      <c r="AR244" s="32">
        <v>101.5</v>
      </c>
      <c r="AS244" s="32">
        <v>102.1</v>
      </c>
      <c r="AT244" s="32">
        <v>85.2</v>
      </c>
      <c r="AU244" s="32">
        <v>118.7</v>
      </c>
      <c r="AV244" s="32">
        <v>108.4</v>
      </c>
      <c r="AW244" s="32">
        <v>152.5</v>
      </c>
      <c r="AX244" s="32">
        <v>301.89999999999998</v>
      </c>
      <c r="AY244" s="32">
        <v>95.2</v>
      </c>
      <c r="AZ244" s="32">
        <v>101.9</v>
      </c>
      <c r="BA244" s="32">
        <v>90.6</v>
      </c>
      <c r="BB244" s="32">
        <v>90.6</v>
      </c>
      <c r="BC244" s="32">
        <v>104.8</v>
      </c>
      <c r="BD244" s="32">
        <v>104.8</v>
      </c>
      <c r="BE244" s="32">
        <v>88.4</v>
      </c>
      <c r="BF244" s="32">
        <v>88.4</v>
      </c>
      <c r="BG244" s="32">
        <v>97.5</v>
      </c>
      <c r="BH244" s="32">
        <v>110.9</v>
      </c>
      <c r="BI244" s="32">
        <v>81</v>
      </c>
      <c r="BJ244" s="32">
        <v>44.3</v>
      </c>
      <c r="BK244" s="32">
        <v>91.5</v>
      </c>
      <c r="BL244" s="32">
        <v>96.3</v>
      </c>
      <c r="BM244" s="32">
        <v>89.1</v>
      </c>
      <c r="BN244" s="32">
        <v>97.5</v>
      </c>
      <c r="BO244" s="32">
        <v>92.5</v>
      </c>
      <c r="BP244" s="32">
        <v>100.9</v>
      </c>
      <c r="BQ244" s="32">
        <v>80.8</v>
      </c>
      <c r="BR244" s="32">
        <v>58.7</v>
      </c>
      <c r="BS244" s="32">
        <v>85.6</v>
      </c>
      <c r="BT244" s="32">
        <v>81.900000000000006</v>
      </c>
      <c r="BU244" s="32">
        <v>132.30000000000001</v>
      </c>
      <c r="BV244" s="32">
        <v>132.30000000000001</v>
      </c>
      <c r="BW244" s="32">
        <v>149.9</v>
      </c>
      <c r="BX244" s="32">
        <v>84</v>
      </c>
      <c r="BY244" s="32">
        <v>93.2</v>
      </c>
      <c r="BZ244" s="32">
        <v>97.3</v>
      </c>
      <c r="CA244" s="32">
        <v>91.2</v>
      </c>
      <c r="CB244" s="32">
        <v>105.1</v>
      </c>
      <c r="CC244" s="32">
        <v>79.7</v>
      </c>
      <c r="CD244" s="32">
        <v>62.5</v>
      </c>
      <c r="CE244" s="32">
        <v>91.2</v>
      </c>
      <c r="CF244" s="32">
        <v>92.8</v>
      </c>
      <c r="CG244" s="32">
        <v>102.1</v>
      </c>
      <c r="CH244" s="32">
        <v>104.5</v>
      </c>
      <c r="CI244" s="32">
        <v>116.1</v>
      </c>
      <c r="CJ244" s="32">
        <v>97.3</v>
      </c>
      <c r="CK244" s="32">
        <v>107.9</v>
      </c>
      <c r="CL244" s="32">
        <v>95.8</v>
      </c>
      <c r="CM244" s="32">
        <v>110.3</v>
      </c>
      <c r="CN244" s="32">
        <v>166.7</v>
      </c>
      <c r="CO244" s="32">
        <v>97.4</v>
      </c>
      <c r="CP244" s="32">
        <v>136.69999999999999</v>
      </c>
      <c r="CQ244" s="32">
        <v>113.6</v>
      </c>
      <c r="CR244" s="32">
        <v>100.4</v>
      </c>
      <c r="CS244" s="32">
        <v>96.1</v>
      </c>
      <c r="CT244" s="32">
        <v>100.1</v>
      </c>
      <c r="CU244" s="32">
        <v>101.3</v>
      </c>
      <c r="CV244" s="32">
        <v>99.7</v>
      </c>
      <c r="CW244" s="32">
        <v>69.400000000000006</v>
      </c>
      <c r="CX244" s="32">
        <v>106</v>
      </c>
      <c r="CY244" s="32">
        <v>106.6</v>
      </c>
      <c r="CZ244" s="32">
        <v>105.5</v>
      </c>
      <c r="DA244" s="32">
        <v>94.2</v>
      </c>
      <c r="DB244" s="32">
        <v>128.1</v>
      </c>
      <c r="DC244" s="32">
        <v>38.4</v>
      </c>
      <c r="DD244" s="32">
        <v>38.4</v>
      </c>
      <c r="DE244" s="32">
        <v>81.599999999999994</v>
      </c>
      <c r="DF244" s="32">
        <v>81.5</v>
      </c>
      <c r="DG244" s="32">
        <v>81.7</v>
      </c>
      <c r="DH244" s="32">
        <v>103</v>
      </c>
      <c r="DI244" s="32">
        <v>137.4</v>
      </c>
      <c r="DJ244" s="32">
        <v>78.400000000000006</v>
      </c>
      <c r="DK244" s="32">
        <v>78.400000000000006</v>
      </c>
      <c r="DL244" s="32">
        <v>77.400000000000006</v>
      </c>
      <c r="DM244" s="32">
        <v>94.1</v>
      </c>
      <c r="DN244" s="32">
        <v>94.3</v>
      </c>
      <c r="DO244" s="32">
        <v>94.5</v>
      </c>
      <c r="DP244" s="32">
        <v>81.900000000000006</v>
      </c>
      <c r="DQ244" s="32">
        <v>88.4</v>
      </c>
      <c r="DR244" s="32">
        <v>84.6</v>
      </c>
      <c r="DS244" s="32">
        <v>86.9</v>
      </c>
      <c r="DT244" s="32">
        <v>84.1</v>
      </c>
      <c r="DU244" s="32">
        <v>86.2</v>
      </c>
      <c r="DV244" s="32">
        <v>95.6</v>
      </c>
      <c r="DW244" s="32">
        <v>76.5</v>
      </c>
      <c r="DX244" s="32">
        <v>79.599999999999994</v>
      </c>
      <c r="DY244" s="32">
        <v>97.6</v>
      </c>
      <c r="DZ244" s="32">
        <v>74.8</v>
      </c>
      <c r="EA244" s="32">
        <v>74.8</v>
      </c>
      <c r="EB244" s="32">
        <v>81.8</v>
      </c>
      <c r="EC244" s="32">
        <v>81.5</v>
      </c>
      <c r="ED244" s="32">
        <v>82.3</v>
      </c>
      <c r="EE244" s="32">
        <v>87.9</v>
      </c>
      <c r="EF244" s="32">
        <v>70.3</v>
      </c>
      <c r="EG244" s="32">
        <v>94.7</v>
      </c>
      <c r="EH244" s="32">
        <v>114</v>
      </c>
      <c r="EI244" s="32">
        <v>90</v>
      </c>
      <c r="EJ244" s="32">
        <v>122</v>
      </c>
      <c r="EK244" s="32">
        <v>83.8</v>
      </c>
      <c r="EL244" s="32">
        <v>88.3</v>
      </c>
      <c r="EM244" s="32">
        <v>81.7</v>
      </c>
      <c r="EN244" s="32">
        <v>84.3</v>
      </c>
      <c r="EO244" s="32">
        <v>93.7</v>
      </c>
      <c r="EP244" s="32">
        <v>89.6</v>
      </c>
      <c r="EQ244" s="32">
        <v>89.6</v>
      </c>
      <c r="ER244" s="32">
        <v>84</v>
      </c>
      <c r="ES244" s="32">
        <v>84</v>
      </c>
      <c r="ET244" s="32">
        <v>107.6</v>
      </c>
      <c r="EU244" s="32">
        <v>118.5</v>
      </c>
      <c r="EV244" s="32">
        <v>118.5</v>
      </c>
      <c r="EW244" s="32">
        <v>96.9</v>
      </c>
      <c r="EX244" s="32">
        <v>97.9</v>
      </c>
      <c r="EY244" s="32">
        <v>96.2</v>
      </c>
      <c r="EZ244" s="32">
        <v>98</v>
      </c>
      <c r="FA244" s="32">
        <v>98.7</v>
      </c>
      <c r="FB244" s="32">
        <v>95.5</v>
      </c>
      <c r="FC244" s="32">
        <v>91.5</v>
      </c>
      <c r="FD244" s="32">
        <v>103</v>
      </c>
      <c r="FE244" s="32">
        <v>98.3</v>
      </c>
      <c r="FF244" s="32">
        <v>102.3</v>
      </c>
      <c r="FG244" s="32">
        <v>93.7</v>
      </c>
      <c r="FH244" s="32">
        <v>86.7</v>
      </c>
      <c r="FI244" s="32">
        <v>126.4</v>
      </c>
      <c r="FJ244" s="32">
        <v>92.9</v>
      </c>
      <c r="FK244" s="32">
        <v>161.6</v>
      </c>
      <c r="FL244" s="32">
        <v>161.6</v>
      </c>
    </row>
    <row r="245" spans="1:168" x14ac:dyDescent="0.2">
      <c r="A245" s="34" t="s">
        <v>1225</v>
      </c>
      <c r="B245" s="32">
        <v>93.7</v>
      </c>
      <c r="C245" s="32">
        <v>91.9</v>
      </c>
      <c r="D245" s="32">
        <v>98.1</v>
      </c>
      <c r="E245" s="32">
        <v>100.4</v>
      </c>
      <c r="F245" s="32">
        <v>123.4</v>
      </c>
      <c r="G245" s="32">
        <v>413.5</v>
      </c>
      <c r="H245" s="32">
        <v>130.69999999999999</v>
      </c>
      <c r="I245" s="32">
        <v>103.5</v>
      </c>
      <c r="J245" s="32">
        <v>97.2</v>
      </c>
      <c r="K245" s="32">
        <v>90.8</v>
      </c>
      <c r="L245" s="32">
        <v>92.5</v>
      </c>
      <c r="M245" s="32">
        <v>92.1</v>
      </c>
      <c r="N245" s="32">
        <v>87.3</v>
      </c>
      <c r="O245" s="32">
        <v>110</v>
      </c>
      <c r="P245" s="32">
        <v>142.80000000000001</v>
      </c>
      <c r="Q245" s="32">
        <v>112.6</v>
      </c>
      <c r="R245" s="32">
        <v>85.3</v>
      </c>
      <c r="S245" s="32">
        <v>87.5</v>
      </c>
      <c r="T245" s="32">
        <v>131.6</v>
      </c>
      <c r="U245" s="32">
        <v>135.30000000000001</v>
      </c>
      <c r="V245" s="32">
        <v>74</v>
      </c>
      <c r="W245" s="32">
        <v>86.6</v>
      </c>
      <c r="X245" s="32">
        <v>91.4</v>
      </c>
      <c r="Y245" s="32">
        <v>74.2</v>
      </c>
      <c r="Z245" s="32">
        <v>109.8</v>
      </c>
      <c r="AA245" s="32">
        <v>117.7</v>
      </c>
      <c r="AB245" s="32">
        <v>124.1</v>
      </c>
      <c r="AC245" s="32">
        <v>104.8</v>
      </c>
      <c r="AD245" s="32">
        <v>126.9</v>
      </c>
      <c r="AE245" s="32">
        <v>147.4</v>
      </c>
      <c r="AF245" s="32">
        <v>147.4</v>
      </c>
      <c r="AG245" s="32">
        <v>94.8</v>
      </c>
      <c r="AH245" s="32">
        <v>94.8</v>
      </c>
      <c r="AI245" s="32">
        <v>79.5</v>
      </c>
      <c r="AJ245" s="32">
        <v>144.1</v>
      </c>
      <c r="AK245" s="32">
        <v>117.6</v>
      </c>
      <c r="AL245" s="32">
        <v>77.099999999999994</v>
      </c>
      <c r="AM245" s="32">
        <v>75.8</v>
      </c>
      <c r="AN245" s="32">
        <v>128</v>
      </c>
      <c r="AO245" s="32">
        <v>85.2</v>
      </c>
      <c r="AP245" s="32">
        <v>85.2</v>
      </c>
      <c r="AQ245" s="32">
        <v>102.6</v>
      </c>
      <c r="AR245" s="32">
        <v>102.9</v>
      </c>
      <c r="AS245" s="32">
        <v>102.6</v>
      </c>
      <c r="AT245" s="32">
        <v>86.5</v>
      </c>
      <c r="AU245" s="32">
        <v>118.2</v>
      </c>
      <c r="AV245" s="32">
        <v>114</v>
      </c>
      <c r="AW245" s="32">
        <v>166.2</v>
      </c>
      <c r="AX245" s="32">
        <v>334.7</v>
      </c>
      <c r="AY245" s="32">
        <v>100.5</v>
      </c>
      <c r="AZ245" s="32">
        <v>106</v>
      </c>
      <c r="BA245" s="32">
        <v>97.9</v>
      </c>
      <c r="BB245" s="32">
        <v>97.9</v>
      </c>
      <c r="BC245" s="32">
        <v>102.4</v>
      </c>
      <c r="BD245" s="32">
        <v>102.4</v>
      </c>
      <c r="BE245" s="32">
        <v>90.5</v>
      </c>
      <c r="BF245" s="32">
        <v>90.5</v>
      </c>
      <c r="BG245" s="32">
        <v>96.8</v>
      </c>
      <c r="BH245" s="32">
        <v>109.3</v>
      </c>
      <c r="BI245" s="32">
        <v>81.400000000000006</v>
      </c>
      <c r="BJ245" s="32">
        <v>46.4</v>
      </c>
      <c r="BK245" s="32">
        <v>91.1</v>
      </c>
      <c r="BL245" s="32">
        <v>97.5</v>
      </c>
      <c r="BM245" s="32">
        <v>94.9</v>
      </c>
      <c r="BN245" s="32">
        <v>99.5</v>
      </c>
      <c r="BO245" s="32">
        <v>91.5</v>
      </c>
      <c r="BP245" s="32">
        <v>105.8</v>
      </c>
      <c r="BQ245" s="32">
        <v>90.4</v>
      </c>
      <c r="BR245" s="32">
        <v>62</v>
      </c>
      <c r="BS245" s="32">
        <v>86</v>
      </c>
      <c r="BT245" s="32">
        <v>95.2</v>
      </c>
      <c r="BU245" s="32">
        <v>127.3</v>
      </c>
      <c r="BV245" s="32">
        <v>127.3</v>
      </c>
      <c r="BW245" s="32">
        <v>146.9</v>
      </c>
      <c r="BX245" s="32">
        <v>76</v>
      </c>
      <c r="BY245" s="32">
        <v>92.8</v>
      </c>
      <c r="BZ245" s="32">
        <v>95.8</v>
      </c>
      <c r="CA245" s="32">
        <v>91.3</v>
      </c>
      <c r="CB245" s="32">
        <v>104.7</v>
      </c>
      <c r="CC245" s="32">
        <v>80.3</v>
      </c>
      <c r="CD245" s="32">
        <v>60.7</v>
      </c>
      <c r="CE245" s="32">
        <v>94.4</v>
      </c>
      <c r="CF245" s="32">
        <v>93.1</v>
      </c>
      <c r="CG245" s="32">
        <v>103.1</v>
      </c>
      <c r="CH245" s="32">
        <v>106.1</v>
      </c>
      <c r="CI245" s="32">
        <v>121</v>
      </c>
      <c r="CJ245" s="32">
        <v>101.1</v>
      </c>
      <c r="CK245" s="32">
        <v>107.1</v>
      </c>
      <c r="CL245" s="32">
        <v>95.6</v>
      </c>
      <c r="CM245" s="32">
        <v>110.6</v>
      </c>
      <c r="CN245" s="32">
        <v>169.1</v>
      </c>
      <c r="CO245" s="32">
        <v>97.4</v>
      </c>
      <c r="CP245" s="32">
        <v>135.30000000000001</v>
      </c>
      <c r="CQ245" s="32">
        <v>115.5</v>
      </c>
      <c r="CR245" s="32">
        <v>102.7</v>
      </c>
      <c r="CS245" s="32">
        <v>89.6</v>
      </c>
      <c r="CT245" s="32">
        <v>101.2</v>
      </c>
      <c r="CU245" s="32">
        <v>101.8</v>
      </c>
      <c r="CV245" s="32">
        <v>101</v>
      </c>
      <c r="CW245" s="32">
        <v>68.900000000000006</v>
      </c>
      <c r="CX245" s="32">
        <v>103.1</v>
      </c>
      <c r="CY245" s="32">
        <v>103.8</v>
      </c>
      <c r="CZ245" s="32">
        <v>102.5</v>
      </c>
      <c r="DA245" s="32">
        <v>90.7</v>
      </c>
      <c r="DB245" s="32">
        <v>126</v>
      </c>
      <c r="DC245" s="32">
        <v>39</v>
      </c>
      <c r="DD245" s="32">
        <v>39</v>
      </c>
      <c r="DE245" s="32">
        <v>80.900000000000006</v>
      </c>
      <c r="DF245" s="32">
        <v>80.400000000000006</v>
      </c>
      <c r="DG245" s="32">
        <v>83.4</v>
      </c>
      <c r="DH245" s="32">
        <v>102.6</v>
      </c>
      <c r="DI245" s="32">
        <v>137.4</v>
      </c>
      <c r="DJ245" s="32">
        <v>78.900000000000006</v>
      </c>
      <c r="DK245" s="32">
        <v>78.900000000000006</v>
      </c>
      <c r="DL245" s="32">
        <v>75.900000000000006</v>
      </c>
      <c r="DM245" s="32">
        <v>93.7</v>
      </c>
      <c r="DN245" s="32">
        <v>93.9</v>
      </c>
      <c r="DO245" s="32">
        <v>94</v>
      </c>
      <c r="DP245" s="32">
        <v>83.8</v>
      </c>
      <c r="DQ245" s="32">
        <v>89</v>
      </c>
      <c r="DR245" s="32">
        <v>85.4</v>
      </c>
      <c r="DS245" s="32">
        <v>86.3</v>
      </c>
      <c r="DT245" s="32">
        <v>82.8</v>
      </c>
      <c r="DU245" s="32">
        <v>84.2</v>
      </c>
      <c r="DV245" s="32">
        <v>96.2</v>
      </c>
      <c r="DW245" s="32">
        <v>71.900000000000006</v>
      </c>
      <c r="DX245" s="32">
        <v>79.900000000000006</v>
      </c>
      <c r="DY245" s="32">
        <v>99.2</v>
      </c>
      <c r="DZ245" s="32">
        <v>82.8</v>
      </c>
      <c r="EA245" s="32">
        <v>82.8</v>
      </c>
      <c r="EB245" s="32">
        <v>83.6</v>
      </c>
      <c r="EC245" s="32">
        <v>84.5</v>
      </c>
      <c r="ED245" s="32">
        <v>82.3</v>
      </c>
      <c r="EE245" s="32">
        <v>87.4</v>
      </c>
      <c r="EF245" s="32">
        <v>71.400000000000006</v>
      </c>
      <c r="EG245" s="32">
        <v>94.9</v>
      </c>
      <c r="EH245" s="32">
        <v>114.5</v>
      </c>
      <c r="EI245" s="32">
        <v>89.5</v>
      </c>
      <c r="EJ245" s="32">
        <v>126</v>
      </c>
      <c r="EK245" s="32">
        <v>83.7</v>
      </c>
      <c r="EL245" s="32">
        <v>88.1</v>
      </c>
      <c r="EM245" s="32">
        <v>80.7</v>
      </c>
      <c r="EN245" s="32">
        <v>84.7</v>
      </c>
      <c r="EO245" s="32">
        <v>94</v>
      </c>
      <c r="EP245" s="32">
        <v>89.6</v>
      </c>
      <c r="EQ245" s="32">
        <v>89.6</v>
      </c>
      <c r="ER245" s="32">
        <v>84.2</v>
      </c>
      <c r="ES245" s="32">
        <v>84.2</v>
      </c>
      <c r="ET245" s="32">
        <v>108.1</v>
      </c>
      <c r="EU245" s="32">
        <v>119.2</v>
      </c>
      <c r="EV245" s="32">
        <v>119.2</v>
      </c>
      <c r="EW245" s="32">
        <v>97.2</v>
      </c>
      <c r="EX245" s="32">
        <v>97.9</v>
      </c>
      <c r="EY245" s="32">
        <v>96.7</v>
      </c>
      <c r="EZ245" s="32">
        <v>98.3</v>
      </c>
      <c r="FA245" s="32">
        <v>96.6</v>
      </c>
      <c r="FB245" s="32">
        <v>99.9</v>
      </c>
      <c r="FC245" s="32">
        <v>97.6</v>
      </c>
      <c r="FD245" s="32">
        <v>101.9</v>
      </c>
      <c r="FE245" s="32">
        <v>102.6</v>
      </c>
      <c r="FF245" s="32">
        <v>92.8</v>
      </c>
      <c r="FG245" s="32">
        <v>96.1</v>
      </c>
      <c r="FH245" s="32">
        <v>89.1</v>
      </c>
      <c r="FI245" s="32">
        <v>140.1</v>
      </c>
      <c r="FJ245" s="32">
        <v>94.1</v>
      </c>
      <c r="FK245" s="32">
        <v>157.30000000000001</v>
      </c>
      <c r="FL245" s="32">
        <v>157.30000000000001</v>
      </c>
    </row>
    <row r="246" spans="1:168" x14ac:dyDescent="0.2">
      <c r="A246" s="34" t="s">
        <v>1226</v>
      </c>
      <c r="B246" s="32">
        <v>93.9</v>
      </c>
      <c r="C246" s="32">
        <v>94.3</v>
      </c>
      <c r="D246" s="32">
        <v>97.6</v>
      </c>
      <c r="E246" s="32">
        <v>99.1</v>
      </c>
      <c r="F246" s="32">
        <v>120.2</v>
      </c>
      <c r="G246" s="32">
        <v>248.7</v>
      </c>
      <c r="H246" s="32">
        <v>129.19999999999999</v>
      </c>
      <c r="I246" s="32">
        <v>96.2</v>
      </c>
      <c r="J246" s="32">
        <v>95.5</v>
      </c>
      <c r="K246" s="32">
        <v>90.3</v>
      </c>
      <c r="L246" s="32">
        <v>90.7</v>
      </c>
      <c r="M246" s="32">
        <v>87.9</v>
      </c>
      <c r="N246" s="32">
        <v>82.5</v>
      </c>
      <c r="O246" s="32">
        <v>126.3</v>
      </c>
      <c r="P246" s="32">
        <v>132.19999999999999</v>
      </c>
      <c r="Q246" s="32">
        <v>107.9</v>
      </c>
      <c r="R246" s="32">
        <v>84.1</v>
      </c>
      <c r="S246" s="32">
        <v>89.2</v>
      </c>
      <c r="T246" s="32">
        <v>139</v>
      </c>
      <c r="U246" s="32">
        <v>130.19999999999999</v>
      </c>
      <c r="V246" s="32">
        <v>80</v>
      </c>
      <c r="W246" s="32">
        <v>86.5</v>
      </c>
      <c r="X246" s="32">
        <v>87.6</v>
      </c>
      <c r="Y246" s="32">
        <v>81.7</v>
      </c>
      <c r="Z246" s="32">
        <v>111.4</v>
      </c>
      <c r="AA246" s="32">
        <v>114.2</v>
      </c>
      <c r="AB246" s="32">
        <v>115.6</v>
      </c>
      <c r="AC246" s="32">
        <v>103.4</v>
      </c>
      <c r="AD246" s="32">
        <v>124.9</v>
      </c>
      <c r="AE246" s="32">
        <v>144.69999999999999</v>
      </c>
      <c r="AF246" s="32">
        <v>144.69999999999999</v>
      </c>
      <c r="AG246" s="32">
        <v>95.7</v>
      </c>
      <c r="AH246" s="32">
        <v>95.7</v>
      </c>
      <c r="AI246" s="32">
        <v>77.3</v>
      </c>
      <c r="AJ246" s="32">
        <v>147.19999999999999</v>
      </c>
      <c r="AK246" s="32">
        <v>105.3</v>
      </c>
      <c r="AL246" s="32">
        <v>75.8</v>
      </c>
      <c r="AM246" s="32">
        <v>80.400000000000006</v>
      </c>
      <c r="AN246" s="32">
        <v>126.2</v>
      </c>
      <c r="AO246" s="32">
        <v>74.8</v>
      </c>
      <c r="AP246" s="32">
        <v>74.8</v>
      </c>
      <c r="AQ246" s="32">
        <v>102</v>
      </c>
      <c r="AR246" s="32">
        <v>102</v>
      </c>
      <c r="AS246" s="32">
        <v>102.6</v>
      </c>
      <c r="AT246" s="32">
        <v>86.2</v>
      </c>
      <c r="AU246" s="32">
        <v>118.5</v>
      </c>
      <c r="AV246" s="32">
        <v>108.3</v>
      </c>
      <c r="AW246" s="32">
        <v>158.4</v>
      </c>
      <c r="AX246" s="32">
        <v>327.2</v>
      </c>
      <c r="AY246" s="32">
        <v>91.5</v>
      </c>
      <c r="AZ246" s="32">
        <v>100.7</v>
      </c>
      <c r="BA246" s="32">
        <v>93.9</v>
      </c>
      <c r="BB246" s="32">
        <v>93.9</v>
      </c>
      <c r="BC246" s="32">
        <v>102</v>
      </c>
      <c r="BD246" s="32">
        <v>102</v>
      </c>
      <c r="BE246" s="32">
        <v>89.8</v>
      </c>
      <c r="BF246" s="32">
        <v>89.8</v>
      </c>
      <c r="BG246" s="32">
        <v>100.4</v>
      </c>
      <c r="BH246" s="32">
        <v>114.7</v>
      </c>
      <c r="BI246" s="32">
        <v>82.9</v>
      </c>
      <c r="BJ246" s="32">
        <v>48.3</v>
      </c>
      <c r="BK246" s="32">
        <v>92.5</v>
      </c>
      <c r="BL246" s="32">
        <v>98.3</v>
      </c>
      <c r="BM246" s="32">
        <v>94.5</v>
      </c>
      <c r="BN246" s="32">
        <v>104.4</v>
      </c>
      <c r="BO246" s="32">
        <v>95.2</v>
      </c>
      <c r="BP246" s="32">
        <v>112.1</v>
      </c>
      <c r="BQ246" s="32">
        <v>84.6</v>
      </c>
      <c r="BR246" s="32">
        <v>75.400000000000006</v>
      </c>
      <c r="BS246" s="32">
        <v>78</v>
      </c>
      <c r="BT246" s="32">
        <v>87.8</v>
      </c>
      <c r="BU246" s="32">
        <v>127.4</v>
      </c>
      <c r="BV246" s="32">
        <v>127.4</v>
      </c>
      <c r="BW246" s="32">
        <v>146</v>
      </c>
      <c r="BX246" s="32">
        <v>78</v>
      </c>
      <c r="BY246" s="32">
        <v>94.7</v>
      </c>
      <c r="BZ246" s="32">
        <v>95.5</v>
      </c>
      <c r="CA246" s="32">
        <v>94.2</v>
      </c>
      <c r="CB246" s="32">
        <v>106.7</v>
      </c>
      <c r="CC246" s="32">
        <v>84.4</v>
      </c>
      <c r="CD246" s="32">
        <v>61.7</v>
      </c>
      <c r="CE246" s="32">
        <v>95.6</v>
      </c>
      <c r="CF246" s="32">
        <v>93.3</v>
      </c>
      <c r="CG246" s="32">
        <v>102.8</v>
      </c>
      <c r="CH246" s="32">
        <v>105</v>
      </c>
      <c r="CI246" s="32">
        <v>118.6</v>
      </c>
      <c r="CJ246" s="32">
        <v>99.4</v>
      </c>
      <c r="CK246" s="32">
        <v>106.9</v>
      </c>
      <c r="CL246" s="32">
        <v>96.4</v>
      </c>
      <c r="CM246" s="32">
        <v>109.3</v>
      </c>
      <c r="CN246" s="32">
        <v>171.4</v>
      </c>
      <c r="CO246" s="32">
        <v>95.9</v>
      </c>
      <c r="CP246" s="32">
        <v>134.4</v>
      </c>
      <c r="CQ246" s="32">
        <v>117.7</v>
      </c>
      <c r="CR246" s="32">
        <v>101.5</v>
      </c>
      <c r="CS246" s="32">
        <v>99.2</v>
      </c>
      <c r="CT246" s="32">
        <v>101.6</v>
      </c>
      <c r="CU246" s="32">
        <v>98.8</v>
      </c>
      <c r="CV246" s="32">
        <v>102.9</v>
      </c>
      <c r="CW246" s="32">
        <v>68.099999999999994</v>
      </c>
      <c r="CX246" s="32">
        <v>101.7</v>
      </c>
      <c r="CY246" s="32">
        <v>103.4</v>
      </c>
      <c r="CZ246" s="32">
        <v>100.6</v>
      </c>
      <c r="DA246" s="32">
        <v>91.6</v>
      </c>
      <c r="DB246" s="32">
        <v>118.6</v>
      </c>
      <c r="DC246" s="32">
        <v>39.299999999999997</v>
      </c>
      <c r="DD246" s="32">
        <v>39.299999999999997</v>
      </c>
      <c r="DE246" s="32">
        <v>79</v>
      </c>
      <c r="DF246" s="32">
        <v>78.2</v>
      </c>
      <c r="DG246" s="32">
        <v>83</v>
      </c>
      <c r="DH246" s="32">
        <v>101.7</v>
      </c>
      <c r="DI246" s="32">
        <v>135.80000000000001</v>
      </c>
      <c r="DJ246" s="32">
        <v>80.2</v>
      </c>
      <c r="DK246" s="32">
        <v>80.2</v>
      </c>
      <c r="DL246" s="32">
        <v>74.099999999999994</v>
      </c>
      <c r="DM246" s="32">
        <v>93.6</v>
      </c>
      <c r="DN246" s="32">
        <v>94.3</v>
      </c>
      <c r="DO246" s="32">
        <v>93.7</v>
      </c>
      <c r="DP246" s="32">
        <v>84.4</v>
      </c>
      <c r="DQ246" s="32">
        <v>90.2</v>
      </c>
      <c r="DR246" s="32">
        <v>86.8</v>
      </c>
      <c r="DS246" s="32">
        <v>89.6</v>
      </c>
      <c r="DT246" s="32">
        <v>87</v>
      </c>
      <c r="DU246" s="32">
        <v>89.9</v>
      </c>
      <c r="DV246" s="32">
        <v>101.8</v>
      </c>
      <c r="DW246" s="32">
        <v>77.7</v>
      </c>
      <c r="DX246" s="32">
        <v>81</v>
      </c>
      <c r="DY246" s="32">
        <v>99.5</v>
      </c>
      <c r="DZ246" s="32">
        <v>81.3</v>
      </c>
      <c r="EA246" s="32">
        <v>81.3</v>
      </c>
      <c r="EB246" s="32">
        <v>80.8</v>
      </c>
      <c r="EC246" s="32">
        <v>81.3</v>
      </c>
      <c r="ED246" s="32">
        <v>80</v>
      </c>
      <c r="EE246" s="32">
        <v>84.1</v>
      </c>
      <c r="EF246" s="32">
        <v>71.3</v>
      </c>
      <c r="EG246" s="32">
        <v>95.9</v>
      </c>
      <c r="EH246" s="32">
        <v>118.2</v>
      </c>
      <c r="EI246" s="32">
        <v>92.3</v>
      </c>
      <c r="EJ246" s="32">
        <v>128.6</v>
      </c>
      <c r="EK246" s="32">
        <v>81.900000000000006</v>
      </c>
      <c r="EL246" s="32">
        <v>89.7</v>
      </c>
      <c r="EM246" s="32">
        <v>77.3</v>
      </c>
      <c r="EN246" s="32">
        <v>83.6</v>
      </c>
      <c r="EO246" s="32">
        <v>95.2</v>
      </c>
      <c r="EP246" s="32">
        <v>89.6</v>
      </c>
      <c r="EQ246" s="32">
        <v>89.6</v>
      </c>
      <c r="ER246" s="32">
        <v>84.4</v>
      </c>
      <c r="ES246" s="32">
        <v>84.4</v>
      </c>
      <c r="ET246" s="32">
        <v>111.4</v>
      </c>
      <c r="EU246" s="32">
        <v>124.4</v>
      </c>
      <c r="EV246" s="32">
        <v>124.4</v>
      </c>
      <c r="EW246" s="32">
        <v>97.4</v>
      </c>
      <c r="EX246" s="32">
        <v>97.2</v>
      </c>
      <c r="EY246" s="32">
        <v>97.6</v>
      </c>
      <c r="EZ246" s="32">
        <v>99.3</v>
      </c>
      <c r="FA246" s="32">
        <v>100</v>
      </c>
      <c r="FB246" s="32">
        <v>101.4</v>
      </c>
      <c r="FC246" s="32">
        <v>96.5</v>
      </c>
      <c r="FD246" s="32">
        <v>103.8</v>
      </c>
      <c r="FE246" s="32">
        <v>108.8</v>
      </c>
      <c r="FF246" s="32">
        <v>98.3</v>
      </c>
      <c r="FG246" s="32">
        <v>95.5</v>
      </c>
      <c r="FH246" s="32">
        <v>90.2</v>
      </c>
      <c r="FI246" s="32">
        <v>128.69999999999999</v>
      </c>
      <c r="FJ246" s="32">
        <v>93.9</v>
      </c>
      <c r="FK246" s="32">
        <v>154.1</v>
      </c>
      <c r="FL246" s="32">
        <v>154.1</v>
      </c>
    </row>
    <row r="247" spans="1:168" x14ac:dyDescent="0.2">
      <c r="A247" s="34" t="s">
        <v>1227</v>
      </c>
      <c r="B247" s="32">
        <v>94</v>
      </c>
      <c r="C247" s="32">
        <v>95.9</v>
      </c>
      <c r="D247" s="32">
        <v>97.3</v>
      </c>
      <c r="E247" s="32">
        <v>98.5</v>
      </c>
      <c r="F247" s="32">
        <v>115.5</v>
      </c>
      <c r="G247" s="32">
        <v>228.8</v>
      </c>
      <c r="H247" s="32">
        <v>122.7</v>
      </c>
      <c r="I247" s="32">
        <v>95.9</v>
      </c>
      <c r="J247" s="32">
        <v>95.2</v>
      </c>
      <c r="K247" s="32">
        <v>88.2</v>
      </c>
      <c r="L247" s="32">
        <v>88.4</v>
      </c>
      <c r="M247" s="32">
        <v>82.2</v>
      </c>
      <c r="N247" s="32">
        <v>80.7</v>
      </c>
      <c r="O247" s="32">
        <v>140.69999999999999</v>
      </c>
      <c r="P247" s="32">
        <v>120.4</v>
      </c>
      <c r="Q247" s="32">
        <v>107.8</v>
      </c>
      <c r="R247" s="32">
        <v>84.6</v>
      </c>
      <c r="S247" s="32">
        <v>88.3</v>
      </c>
      <c r="T247" s="32">
        <v>134.30000000000001</v>
      </c>
      <c r="U247" s="32">
        <v>135.69999999999999</v>
      </c>
      <c r="V247" s="32">
        <v>76.400000000000006</v>
      </c>
      <c r="W247" s="32">
        <v>90.8</v>
      </c>
      <c r="X247" s="32">
        <v>92.6</v>
      </c>
      <c r="Y247" s="32">
        <v>85.2</v>
      </c>
      <c r="Z247" s="32">
        <v>112.2</v>
      </c>
      <c r="AA247" s="32">
        <v>111.3</v>
      </c>
      <c r="AB247" s="32">
        <v>106.8</v>
      </c>
      <c r="AC247" s="32">
        <v>104.8</v>
      </c>
      <c r="AD247" s="32">
        <v>121.9</v>
      </c>
      <c r="AE247" s="32">
        <v>141.9</v>
      </c>
      <c r="AF247" s="32">
        <v>141.9</v>
      </c>
      <c r="AG247" s="32">
        <v>93.9</v>
      </c>
      <c r="AH247" s="32">
        <v>93.9</v>
      </c>
      <c r="AI247" s="32">
        <v>74.7</v>
      </c>
      <c r="AJ247" s="32">
        <v>151.6</v>
      </c>
      <c r="AK247" s="32">
        <v>88.3</v>
      </c>
      <c r="AL247" s="32">
        <v>75.400000000000006</v>
      </c>
      <c r="AM247" s="32">
        <v>77.599999999999994</v>
      </c>
      <c r="AN247" s="32">
        <v>125.7</v>
      </c>
      <c r="AO247" s="32">
        <v>71.599999999999994</v>
      </c>
      <c r="AP247" s="32">
        <v>71.599999999999994</v>
      </c>
      <c r="AQ247" s="32">
        <v>101.8</v>
      </c>
      <c r="AR247" s="32">
        <v>102.3</v>
      </c>
      <c r="AS247" s="32">
        <v>101.6</v>
      </c>
      <c r="AT247" s="32">
        <v>84.8</v>
      </c>
      <c r="AU247" s="32">
        <v>118</v>
      </c>
      <c r="AV247" s="32">
        <v>105.6</v>
      </c>
      <c r="AW247" s="32">
        <v>156</v>
      </c>
      <c r="AX247" s="32">
        <v>311.10000000000002</v>
      </c>
      <c r="AY247" s="32">
        <v>95.3</v>
      </c>
      <c r="AZ247" s="32">
        <v>97.9</v>
      </c>
      <c r="BA247" s="32">
        <v>92.9</v>
      </c>
      <c r="BB247" s="32">
        <v>92.9</v>
      </c>
      <c r="BC247" s="32">
        <v>104.2</v>
      </c>
      <c r="BD247" s="32">
        <v>104.2</v>
      </c>
      <c r="BE247" s="32">
        <v>95.4</v>
      </c>
      <c r="BF247" s="32">
        <v>95.4</v>
      </c>
      <c r="BG247" s="32">
        <v>101.5</v>
      </c>
      <c r="BH247" s="32">
        <v>115.2</v>
      </c>
      <c r="BI247" s="32">
        <v>84.8</v>
      </c>
      <c r="BJ247" s="32">
        <v>50.7</v>
      </c>
      <c r="BK247" s="32">
        <v>94.7</v>
      </c>
      <c r="BL247" s="32">
        <v>94.6</v>
      </c>
      <c r="BM247" s="32">
        <v>95.9</v>
      </c>
      <c r="BN247" s="32">
        <v>105.1</v>
      </c>
      <c r="BO247" s="32">
        <v>96.1</v>
      </c>
      <c r="BP247" s="32">
        <v>112.4</v>
      </c>
      <c r="BQ247" s="32">
        <v>86.8</v>
      </c>
      <c r="BR247" s="32">
        <v>89.8</v>
      </c>
      <c r="BS247" s="32">
        <v>78.7</v>
      </c>
      <c r="BT247" s="32">
        <v>89</v>
      </c>
      <c r="BU247" s="32">
        <v>124.2</v>
      </c>
      <c r="BV247" s="32">
        <v>124.2</v>
      </c>
      <c r="BW247" s="32">
        <v>143.6</v>
      </c>
      <c r="BX247" s="32">
        <v>73.7</v>
      </c>
      <c r="BY247" s="32">
        <v>95.4</v>
      </c>
      <c r="BZ247" s="32">
        <v>94.6</v>
      </c>
      <c r="CA247" s="32">
        <v>95.7</v>
      </c>
      <c r="CB247" s="32">
        <v>107.7</v>
      </c>
      <c r="CC247" s="32">
        <v>86.5</v>
      </c>
      <c r="CD247" s="32">
        <v>61.2</v>
      </c>
      <c r="CE247" s="32">
        <v>96</v>
      </c>
      <c r="CF247" s="32">
        <v>93.6</v>
      </c>
      <c r="CG247" s="32">
        <v>103.7</v>
      </c>
      <c r="CH247" s="32">
        <v>105.6</v>
      </c>
      <c r="CI247" s="32">
        <v>120.5</v>
      </c>
      <c r="CJ247" s="32">
        <v>98.6</v>
      </c>
      <c r="CK247" s="32">
        <v>108</v>
      </c>
      <c r="CL247" s="32">
        <v>96.9</v>
      </c>
      <c r="CM247" s="32">
        <v>109.6</v>
      </c>
      <c r="CN247" s="32">
        <v>171.7</v>
      </c>
      <c r="CO247" s="32">
        <v>96.2</v>
      </c>
      <c r="CP247" s="32">
        <v>134.69999999999999</v>
      </c>
      <c r="CQ247" s="32">
        <v>121</v>
      </c>
      <c r="CR247" s="32">
        <v>101.7</v>
      </c>
      <c r="CS247" s="32">
        <v>100.3</v>
      </c>
      <c r="CT247" s="32">
        <v>104.3</v>
      </c>
      <c r="CU247" s="32">
        <v>100.7</v>
      </c>
      <c r="CV247" s="32">
        <v>105.8</v>
      </c>
      <c r="CW247" s="32">
        <v>68.5</v>
      </c>
      <c r="CX247" s="32">
        <v>102</v>
      </c>
      <c r="CY247" s="32">
        <v>102.6</v>
      </c>
      <c r="CZ247" s="32">
        <v>101.6</v>
      </c>
      <c r="DA247" s="32">
        <v>90.9</v>
      </c>
      <c r="DB247" s="32">
        <v>123.1</v>
      </c>
      <c r="DC247" s="32">
        <v>39.1</v>
      </c>
      <c r="DD247" s="32">
        <v>39.1</v>
      </c>
      <c r="DE247" s="32">
        <v>80.3</v>
      </c>
      <c r="DF247" s="32">
        <v>80.400000000000006</v>
      </c>
      <c r="DG247" s="32">
        <v>79.099999999999994</v>
      </c>
      <c r="DH247" s="32">
        <v>102.4</v>
      </c>
      <c r="DI247" s="32">
        <v>137.69999999999999</v>
      </c>
      <c r="DJ247" s="32">
        <v>82.1</v>
      </c>
      <c r="DK247" s="32">
        <v>82.1</v>
      </c>
      <c r="DL247" s="32">
        <v>72.2</v>
      </c>
      <c r="DM247" s="32">
        <v>93.4</v>
      </c>
      <c r="DN247" s="32">
        <v>94.3</v>
      </c>
      <c r="DO247" s="32">
        <v>93.5</v>
      </c>
      <c r="DP247" s="32">
        <v>83.8</v>
      </c>
      <c r="DQ247" s="32">
        <v>89.8</v>
      </c>
      <c r="DR247" s="32">
        <v>85.3</v>
      </c>
      <c r="DS247" s="32">
        <v>88.2</v>
      </c>
      <c r="DT247" s="32">
        <v>84.4</v>
      </c>
      <c r="DU247" s="32">
        <v>86.3</v>
      </c>
      <c r="DV247" s="32">
        <v>95</v>
      </c>
      <c r="DW247" s="32">
        <v>77.099999999999994</v>
      </c>
      <c r="DX247" s="32">
        <v>80.599999999999994</v>
      </c>
      <c r="DY247" s="32">
        <v>101.8</v>
      </c>
      <c r="DZ247" s="32">
        <v>72.400000000000006</v>
      </c>
      <c r="EA247" s="32">
        <v>72.400000000000006</v>
      </c>
      <c r="EB247" s="32">
        <v>82.5</v>
      </c>
      <c r="EC247" s="32">
        <v>82.9</v>
      </c>
      <c r="ED247" s="32">
        <v>82</v>
      </c>
      <c r="EE247" s="32">
        <v>87</v>
      </c>
      <c r="EF247" s="32">
        <v>71.400000000000006</v>
      </c>
      <c r="EG247" s="32">
        <v>97.1</v>
      </c>
      <c r="EH247" s="32">
        <v>117.7</v>
      </c>
      <c r="EI247" s="32">
        <v>93.6</v>
      </c>
      <c r="EJ247" s="32">
        <v>123.9</v>
      </c>
      <c r="EK247" s="32">
        <v>85</v>
      </c>
      <c r="EL247" s="32">
        <v>92.1</v>
      </c>
      <c r="EM247" s="32">
        <v>82.3</v>
      </c>
      <c r="EN247" s="32">
        <v>85.5</v>
      </c>
      <c r="EO247" s="32">
        <v>95.3</v>
      </c>
      <c r="EP247" s="32">
        <v>89.8</v>
      </c>
      <c r="EQ247" s="32">
        <v>89.8</v>
      </c>
      <c r="ER247" s="32">
        <v>85.3</v>
      </c>
      <c r="ES247" s="32">
        <v>85.3</v>
      </c>
      <c r="ET247" s="32">
        <v>110.7</v>
      </c>
      <c r="EU247" s="32">
        <v>123.1</v>
      </c>
      <c r="EV247" s="32">
        <v>123.1</v>
      </c>
      <c r="EW247" s="32">
        <v>97.7</v>
      </c>
      <c r="EX247" s="32">
        <v>96.4</v>
      </c>
      <c r="EY247" s="32">
        <v>98.9</v>
      </c>
      <c r="EZ247" s="32">
        <v>100</v>
      </c>
      <c r="FA247" s="32">
        <v>100.7</v>
      </c>
      <c r="FB247" s="32">
        <v>102.4</v>
      </c>
      <c r="FC247" s="32">
        <v>94.5</v>
      </c>
      <c r="FD247" s="32">
        <v>105.2</v>
      </c>
      <c r="FE247" s="32">
        <v>114.7</v>
      </c>
      <c r="FF247" s="32">
        <v>98.7</v>
      </c>
      <c r="FG247" s="32">
        <v>96.5</v>
      </c>
      <c r="FH247" s="32">
        <v>91.7</v>
      </c>
      <c r="FI247" s="32">
        <v>126.9</v>
      </c>
      <c r="FJ247" s="32">
        <v>95.1</v>
      </c>
      <c r="FK247" s="32">
        <v>150.5</v>
      </c>
      <c r="FL247" s="32">
        <v>150.5</v>
      </c>
    </row>
    <row r="248" spans="1:168" x14ac:dyDescent="0.2">
      <c r="A248" s="34" t="s">
        <v>1228</v>
      </c>
      <c r="B248" s="32">
        <v>94.1</v>
      </c>
      <c r="C248" s="32">
        <v>96.1</v>
      </c>
      <c r="D248" s="32">
        <v>96.9</v>
      </c>
      <c r="E248" s="32">
        <v>97.7</v>
      </c>
      <c r="F248" s="32">
        <v>116.1</v>
      </c>
      <c r="G248" s="32">
        <v>158.4</v>
      </c>
      <c r="H248" s="32">
        <v>123.4</v>
      </c>
      <c r="I248" s="32">
        <v>96.6</v>
      </c>
      <c r="J248" s="32">
        <v>94.7</v>
      </c>
      <c r="K248" s="32">
        <v>87.5</v>
      </c>
      <c r="L248" s="32">
        <v>87.1</v>
      </c>
      <c r="M248" s="32">
        <v>79.5</v>
      </c>
      <c r="N248" s="32">
        <v>76</v>
      </c>
      <c r="O248" s="32">
        <v>151.5</v>
      </c>
      <c r="P248" s="32">
        <v>109.2</v>
      </c>
      <c r="Q248" s="32">
        <v>108</v>
      </c>
      <c r="R248" s="32">
        <v>86.7</v>
      </c>
      <c r="S248" s="32">
        <v>88.5</v>
      </c>
      <c r="T248" s="32">
        <v>131.30000000000001</v>
      </c>
      <c r="U248" s="32">
        <v>139.19999999999999</v>
      </c>
      <c r="V248" s="32">
        <v>77.5</v>
      </c>
      <c r="W248" s="32">
        <v>93.8</v>
      </c>
      <c r="X248" s="32">
        <v>94.4</v>
      </c>
      <c r="Y248" s="32">
        <v>90.9</v>
      </c>
      <c r="Z248" s="32">
        <v>114.2</v>
      </c>
      <c r="AA248" s="32">
        <v>114.2</v>
      </c>
      <c r="AB248" s="32">
        <v>112</v>
      </c>
      <c r="AC248" s="32">
        <v>103.8</v>
      </c>
      <c r="AD248" s="32">
        <v>127</v>
      </c>
      <c r="AE248" s="32">
        <v>142.69999999999999</v>
      </c>
      <c r="AF248" s="32">
        <v>142.69999999999999</v>
      </c>
      <c r="AG248" s="32">
        <v>95.4</v>
      </c>
      <c r="AH248" s="32">
        <v>95.4</v>
      </c>
      <c r="AI248" s="32">
        <v>72.900000000000006</v>
      </c>
      <c r="AJ248" s="32">
        <v>158</v>
      </c>
      <c r="AK248" s="32">
        <v>101.1</v>
      </c>
      <c r="AL248" s="32">
        <v>74.900000000000006</v>
      </c>
      <c r="AM248" s="32">
        <v>75.7</v>
      </c>
      <c r="AN248" s="32">
        <v>130.4</v>
      </c>
      <c r="AO248" s="32">
        <v>70.900000000000006</v>
      </c>
      <c r="AP248" s="32">
        <v>70.900000000000006</v>
      </c>
      <c r="AQ248" s="32">
        <v>102.6</v>
      </c>
      <c r="AR248" s="32">
        <v>101.6</v>
      </c>
      <c r="AS248" s="32">
        <v>104.5</v>
      </c>
      <c r="AT248" s="32">
        <v>86.3</v>
      </c>
      <c r="AU248" s="32">
        <v>122.3</v>
      </c>
      <c r="AV248" s="32">
        <v>105</v>
      </c>
      <c r="AW248" s="32">
        <v>150.4</v>
      </c>
      <c r="AX248" s="32">
        <v>288.2</v>
      </c>
      <c r="AY248" s="32">
        <v>97.8</v>
      </c>
      <c r="AZ248" s="32">
        <v>98.2</v>
      </c>
      <c r="BA248" s="32">
        <v>87.8</v>
      </c>
      <c r="BB248" s="32">
        <v>87.8</v>
      </c>
      <c r="BC248" s="32">
        <v>100.6</v>
      </c>
      <c r="BD248" s="32">
        <v>100.6</v>
      </c>
      <c r="BE248" s="32">
        <v>91.2</v>
      </c>
      <c r="BF248" s="32">
        <v>91.2</v>
      </c>
      <c r="BG248" s="32">
        <v>102.3</v>
      </c>
      <c r="BH248" s="32">
        <v>115.1</v>
      </c>
      <c r="BI248" s="32">
        <v>86.7</v>
      </c>
      <c r="BJ248" s="32">
        <v>52.8</v>
      </c>
      <c r="BK248" s="32">
        <v>96.4</v>
      </c>
      <c r="BL248" s="32">
        <v>96.8</v>
      </c>
      <c r="BM248" s="32">
        <v>96.3</v>
      </c>
      <c r="BN248" s="32">
        <v>104</v>
      </c>
      <c r="BO248" s="32">
        <v>93.3</v>
      </c>
      <c r="BP248" s="32">
        <v>113.1</v>
      </c>
      <c r="BQ248" s="32">
        <v>88.7</v>
      </c>
      <c r="BR248" s="32">
        <v>76.599999999999994</v>
      </c>
      <c r="BS248" s="32">
        <v>87.9</v>
      </c>
      <c r="BT248" s="32">
        <v>90.4</v>
      </c>
      <c r="BU248" s="32">
        <v>117.6</v>
      </c>
      <c r="BV248" s="32">
        <v>117.6</v>
      </c>
      <c r="BW248" s="32">
        <v>135.6</v>
      </c>
      <c r="BX248" s="32">
        <v>70.900000000000006</v>
      </c>
      <c r="BY248" s="32">
        <v>95.6</v>
      </c>
      <c r="BZ248" s="32">
        <v>93</v>
      </c>
      <c r="CA248" s="32">
        <v>96.9</v>
      </c>
      <c r="CB248" s="32">
        <v>108.1</v>
      </c>
      <c r="CC248" s="32">
        <v>88.4</v>
      </c>
      <c r="CD248" s="32">
        <v>62.6</v>
      </c>
      <c r="CE248" s="32">
        <v>96.6</v>
      </c>
      <c r="CF248" s="32">
        <v>93.7</v>
      </c>
      <c r="CG248" s="32">
        <v>103.8</v>
      </c>
      <c r="CH248" s="32">
        <v>106</v>
      </c>
      <c r="CI248" s="32">
        <v>126.7</v>
      </c>
      <c r="CJ248" s="32">
        <v>98.2</v>
      </c>
      <c r="CK248" s="32">
        <v>107.7</v>
      </c>
      <c r="CL248" s="32">
        <v>97.1</v>
      </c>
      <c r="CM248" s="32">
        <v>109.5</v>
      </c>
      <c r="CN248" s="32">
        <v>169.1</v>
      </c>
      <c r="CO248" s="32">
        <v>96.3</v>
      </c>
      <c r="CP248" s="32">
        <v>136.9</v>
      </c>
      <c r="CQ248" s="32">
        <v>123.4</v>
      </c>
      <c r="CR248" s="32">
        <v>102</v>
      </c>
      <c r="CS248" s="32">
        <v>99.9</v>
      </c>
      <c r="CT248" s="32">
        <v>103.3</v>
      </c>
      <c r="CU248" s="32">
        <v>99.4</v>
      </c>
      <c r="CV248" s="32">
        <v>105</v>
      </c>
      <c r="CW248" s="32">
        <v>68.900000000000006</v>
      </c>
      <c r="CX248" s="32">
        <v>103.5</v>
      </c>
      <c r="CY248" s="32">
        <v>103.1</v>
      </c>
      <c r="CZ248" s="32">
        <v>103.7</v>
      </c>
      <c r="DA248" s="32">
        <v>96</v>
      </c>
      <c r="DB248" s="32">
        <v>119.3</v>
      </c>
      <c r="DC248" s="32">
        <v>38.1</v>
      </c>
      <c r="DD248" s="32">
        <v>38.1</v>
      </c>
      <c r="DE248" s="32">
        <v>82.3</v>
      </c>
      <c r="DF248" s="32">
        <v>82.5</v>
      </c>
      <c r="DG248" s="32">
        <v>80.7</v>
      </c>
      <c r="DH248" s="32">
        <v>102.9</v>
      </c>
      <c r="DI248" s="32">
        <v>137.4</v>
      </c>
      <c r="DJ248" s="32">
        <v>84.6</v>
      </c>
      <c r="DK248" s="32">
        <v>84.6</v>
      </c>
      <c r="DL248" s="32">
        <v>72.2</v>
      </c>
      <c r="DM248" s="32">
        <v>93.2</v>
      </c>
      <c r="DN248" s="32">
        <v>94.3</v>
      </c>
      <c r="DO248" s="32">
        <v>93.4</v>
      </c>
      <c r="DP248" s="32">
        <v>79</v>
      </c>
      <c r="DQ248" s="32">
        <v>90.1</v>
      </c>
      <c r="DR248" s="32">
        <v>85.1</v>
      </c>
      <c r="DS248" s="32">
        <v>88.5</v>
      </c>
      <c r="DT248" s="32">
        <v>85.1</v>
      </c>
      <c r="DU248" s="32">
        <v>87.1</v>
      </c>
      <c r="DV248" s="32">
        <v>96.9</v>
      </c>
      <c r="DW248" s="32">
        <v>77</v>
      </c>
      <c r="DX248" s="32">
        <v>80.900000000000006</v>
      </c>
      <c r="DY248" s="32">
        <v>101.1</v>
      </c>
      <c r="DZ248" s="32">
        <v>73.599999999999994</v>
      </c>
      <c r="EA248" s="32">
        <v>73.599999999999994</v>
      </c>
      <c r="EB248" s="32">
        <v>80</v>
      </c>
      <c r="EC248" s="32">
        <v>77.7</v>
      </c>
      <c r="ED248" s="32">
        <v>83.2</v>
      </c>
      <c r="EE248" s="32">
        <v>88</v>
      </c>
      <c r="EF248" s="32">
        <v>73.2</v>
      </c>
      <c r="EG248" s="32">
        <v>98.2</v>
      </c>
      <c r="EH248" s="32">
        <v>122.1</v>
      </c>
      <c r="EI248" s="32">
        <v>94.8</v>
      </c>
      <c r="EJ248" s="32">
        <v>120.6</v>
      </c>
      <c r="EK248" s="32">
        <v>85.7</v>
      </c>
      <c r="EL248" s="32">
        <v>94.3</v>
      </c>
      <c r="EM248" s="32">
        <v>80.900000000000006</v>
      </c>
      <c r="EN248" s="32">
        <v>87.3</v>
      </c>
      <c r="EO248" s="32">
        <v>95.2</v>
      </c>
      <c r="EP248" s="32">
        <v>90</v>
      </c>
      <c r="EQ248" s="32">
        <v>90</v>
      </c>
      <c r="ER248" s="32">
        <v>84.6</v>
      </c>
      <c r="ES248" s="32">
        <v>84.6</v>
      </c>
      <c r="ET248" s="32">
        <v>110.8</v>
      </c>
      <c r="EU248" s="32">
        <v>123</v>
      </c>
      <c r="EV248" s="32">
        <v>123</v>
      </c>
      <c r="EW248" s="32">
        <v>98.1</v>
      </c>
      <c r="EX248" s="32">
        <v>95.5</v>
      </c>
      <c r="EY248" s="32">
        <v>100.3</v>
      </c>
      <c r="EZ248" s="32">
        <v>100.7</v>
      </c>
      <c r="FA248" s="32">
        <v>100.6</v>
      </c>
      <c r="FB248" s="32">
        <v>103.8</v>
      </c>
      <c r="FC248" s="32">
        <v>95.5</v>
      </c>
      <c r="FD248" s="32">
        <v>101.9</v>
      </c>
      <c r="FE248" s="32">
        <v>119.4</v>
      </c>
      <c r="FF248" s="32">
        <v>97</v>
      </c>
      <c r="FG248" s="32">
        <v>98</v>
      </c>
      <c r="FH248" s="32">
        <v>93.1</v>
      </c>
      <c r="FI248" s="32">
        <v>133.19999999999999</v>
      </c>
      <c r="FJ248" s="32">
        <v>96.1</v>
      </c>
      <c r="FK248" s="32">
        <v>149.1</v>
      </c>
      <c r="FL248" s="32">
        <v>149.1</v>
      </c>
    </row>
    <row r="249" spans="1:168" x14ac:dyDescent="0.2">
      <c r="A249" s="34" t="s">
        <v>1229</v>
      </c>
      <c r="B249" s="32">
        <v>94.4</v>
      </c>
      <c r="C249" s="32">
        <v>95.5</v>
      </c>
      <c r="D249" s="32">
        <v>97.4</v>
      </c>
      <c r="E249" s="32">
        <v>98</v>
      </c>
      <c r="F249" s="32">
        <v>113.2</v>
      </c>
      <c r="G249" s="32">
        <v>107.2</v>
      </c>
      <c r="H249" s="32">
        <v>119.8</v>
      </c>
      <c r="I249" s="32">
        <v>96.1</v>
      </c>
      <c r="J249" s="32">
        <v>95.3</v>
      </c>
      <c r="K249" s="32">
        <v>88</v>
      </c>
      <c r="L249" s="32">
        <v>86.8</v>
      </c>
      <c r="M249" s="32">
        <v>76.599999999999994</v>
      </c>
      <c r="N249" s="32">
        <v>78.5</v>
      </c>
      <c r="O249" s="32">
        <v>169.7</v>
      </c>
      <c r="P249" s="32">
        <v>103.7</v>
      </c>
      <c r="Q249" s="32">
        <v>107</v>
      </c>
      <c r="R249" s="32">
        <v>88</v>
      </c>
      <c r="S249" s="32">
        <v>88.9</v>
      </c>
      <c r="T249" s="32">
        <v>127.7</v>
      </c>
      <c r="U249" s="32">
        <v>142.19999999999999</v>
      </c>
      <c r="V249" s="32">
        <v>80.5</v>
      </c>
      <c r="W249" s="32">
        <v>93.5</v>
      </c>
      <c r="X249" s="32">
        <v>93.6</v>
      </c>
      <c r="Y249" s="32">
        <v>92.7</v>
      </c>
      <c r="Z249" s="32">
        <v>109.3</v>
      </c>
      <c r="AA249" s="32">
        <v>113.6</v>
      </c>
      <c r="AB249" s="32">
        <v>108.9</v>
      </c>
      <c r="AC249" s="32">
        <v>106.5</v>
      </c>
      <c r="AD249" s="32">
        <v>124.9</v>
      </c>
      <c r="AE249" s="32">
        <v>143.5</v>
      </c>
      <c r="AF249" s="32">
        <v>143.5</v>
      </c>
      <c r="AG249" s="32">
        <v>98.1</v>
      </c>
      <c r="AH249" s="32">
        <v>98.1</v>
      </c>
      <c r="AI249" s="32">
        <v>77.599999999999994</v>
      </c>
      <c r="AJ249" s="32">
        <v>165.5</v>
      </c>
      <c r="AK249" s="32">
        <v>106.3</v>
      </c>
      <c r="AL249" s="32">
        <v>75.400000000000006</v>
      </c>
      <c r="AM249" s="32">
        <v>79.3</v>
      </c>
      <c r="AN249" s="32">
        <v>124.4</v>
      </c>
      <c r="AO249" s="32">
        <v>73.2</v>
      </c>
      <c r="AP249" s="32">
        <v>73.2</v>
      </c>
      <c r="AQ249" s="32">
        <v>103.6</v>
      </c>
      <c r="AR249" s="32">
        <v>104.9</v>
      </c>
      <c r="AS249" s="32">
        <v>102.5</v>
      </c>
      <c r="AT249" s="32">
        <v>88.4</v>
      </c>
      <c r="AU249" s="32">
        <v>116</v>
      </c>
      <c r="AV249" s="32">
        <v>104.4</v>
      </c>
      <c r="AW249" s="32">
        <v>146.6</v>
      </c>
      <c r="AX249" s="32">
        <v>283.39999999999998</v>
      </c>
      <c r="AY249" s="32">
        <v>94.4</v>
      </c>
      <c r="AZ249" s="32">
        <v>98.2</v>
      </c>
      <c r="BA249" s="32">
        <v>91.8</v>
      </c>
      <c r="BB249" s="32">
        <v>91.8</v>
      </c>
      <c r="BC249" s="32">
        <v>105.3</v>
      </c>
      <c r="BD249" s="32">
        <v>105.3</v>
      </c>
      <c r="BE249" s="32">
        <v>91.5</v>
      </c>
      <c r="BF249" s="32">
        <v>91.5</v>
      </c>
      <c r="BG249" s="32">
        <v>103</v>
      </c>
      <c r="BH249" s="32">
        <v>114.9</v>
      </c>
      <c r="BI249" s="32">
        <v>88.5</v>
      </c>
      <c r="BJ249" s="32">
        <v>55.3</v>
      </c>
      <c r="BK249" s="32">
        <v>97.8</v>
      </c>
      <c r="BL249" s="32">
        <v>101.1</v>
      </c>
      <c r="BM249" s="32">
        <v>91.6</v>
      </c>
      <c r="BN249" s="32">
        <v>99.6</v>
      </c>
      <c r="BO249" s="32">
        <v>93.4</v>
      </c>
      <c r="BP249" s="32">
        <v>104.3</v>
      </c>
      <c r="BQ249" s="32">
        <v>83.6</v>
      </c>
      <c r="BR249" s="32">
        <v>98.2</v>
      </c>
      <c r="BS249" s="32">
        <v>75.3</v>
      </c>
      <c r="BT249" s="32">
        <v>84.5</v>
      </c>
      <c r="BU249" s="32">
        <v>122.2</v>
      </c>
      <c r="BV249" s="32">
        <v>122.2</v>
      </c>
      <c r="BW249" s="32">
        <v>140.6</v>
      </c>
      <c r="BX249" s="32">
        <v>74</v>
      </c>
      <c r="BY249" s="32">
        <v>92.6</v>
      </c>
      <c r="BZ249" s="32">
        <v>92.9</v>
      </c>
      <c r="CA249" s="32">
        <v>92.5</v>
      </c>
      <c r="CB249" s="32">
        <v>98.6</v>
      </c>
      <c r="CC249" s="32">
        <v>89</v>
      </c>
      <c r="CD249" s="32">
        <v>60.4</v>
      </c>
      <c r="CE249" s="32">
        <v>97.2</v>
      </c>
      <c r="CF249" s="32">
        <v>94.1</v>
      </c>
      <c r="CG249" s="32">
        <v>104.6</v>
      </c>
      <c r="CH249" s="32">
        <v>107.1</v>
      </c>
      <c r="CI249" s="32">
        <v>120.3</v>
      </c>
      <c r="CJ249" s="32">
        <v>99.9</v>
      </c>
      <c r="CK249" s="32">
        <v>110.1</v>
      </c>
      <c r="CL249" s="32">
        <v>96.7</v>
      </c>
      <c r="CM249" s="32">
        <v>107.4</v>
      </c>
      <c r="CN249" s="32">
        <v>169.2</v>
      </c>
      <c r="CO249" s="32">
        <v>94.1</v>
      </c>
      <c r="CP249" s="32">
        <v>140.4</v>
      </c>
      <c r="CQ249" s="32">
        <v>132.30000000000001</v>
      </c>
      <c r="CR249" s="32">
        <v>102</v>
      </c>
      <c r="CS249" s="32">
        <v>97.4</v>
      </c>
      <c r="CT249" s="32">
        <v>104.5</v>
      </c>
      <c r="CU249" s="32">
        <v>101.1</v>
      </c>
      <c r="CV249" s="32">
        <v>106</v>
      </c>
      <c r="CW249" s="32">
        <v>69.099999999999994</v>
      </c>
      <c r="CX249" s="32">
        <v>99.7</v>
      </c>
      <c r="CY249" s="32">
        <v>100.3</v>
      </c>
      <c r="CZ249" s="32">
        <v>99.2</v>
      </c>
      <c r="DA249" s="32">
        <v>90.1</v>
      </c>
      <c r="DB249" s="32">
        <v>117.5</v>
      </c>
      <c r="DC249" s="32">
        <v>40.200000000000003</v>
      </c>
      <c r="DD249" s="32">
        <v>40.200000000000003</v>
      </c>
      <c r="DE249" s="32">
        <v>81.900000000000006</v>
      </c>
      <c r="DF249" s="32">
        <v>82.3</v>
      </c>
      <c r="DG249" s="32">
        <v>79.400000000000006</v>
      </c>
      <c r="DH249" s="32">
        <v>103.7</v>
      </c>
      <c r="DI249" s="32">
        <v>136.19999999999999</v>
      </c>
      <c r="DJ249" s="32">
        <v>87.2</v>
      </c>
      <c r="DK249" s="32">
        <v>87.2</v>
      </c>
      <c r="DL249" s="32">
        <v>73.8</v>
      </c>
      <c r="DM249" s="32">
        <v>93.6</v>
      </c>
      <c r="DN249" s="32">
        <v>94.6</v>
      </c>
      <c r="DO249" s="32">
        <v>93.6</v>
      </c>
      <c r="DP249" s="32">
        <v>83.1</v>
      </c>
      <c r="DQ249" s="32">
        <v>89.7</v>
      </c>
      <c r="DR249" s="32">
        <v>85.7</v>
      </c>
      <c r="DS249" s="32">
        <v>89.3</v>
      </c>
      <c r="DT249" s="32">
        <v>85.5</v>
      </c>
      <c r="DU249" s="32">
        <v>87.9</v>
      </c>
      <c r="DV249" s="32">
        <v>99</v>
      </c>
      <c r="DW249" s="32">
        <v>76.5</v>
      </c>
      <c r="DX249" s="32">
        <v>80.5</v>
      </c>
      <c r="DY249" s="32">
        <v>103.2</v>
      </c>
      <c r="DZ249" s="32">
        <v>70.2</v>
      </c>
      <c r="EA249" s="32">
        <v>70.2</v>
      </c>
      <c r="EB249" s="32">
        <v>82</v>
      </c>
      <c r="EC249" s="32">
        <v>81</v>
      </c>
      <c r="ED249" s="32">
        <v>83.4</v>
      </c>
      <c r="EE249" s="32">
        <v>88.8</v>
      </c>
      <c r="EF249" s="32">
        <v>71.7</v>
      </c>
      <c r="EG249" s="32">
        <v>96.1</v>
      </c>
      <c r="EH249" s="32">
        <v>120.9</v>
      </c>
      <c r="EI249" s="32">
        <v>90.2</v>
      </c>
      <c r="EJ249" s="32">
        <v>111.8</v>
      </c>
      <c r="EK249" s="32">
        <v>86.1</v>
      </c>
      <c r="EL249" s="32">
        <v>95</v>
      </c>
      <c r="EM249" s="32">
        <v>80.7</v>
      </c>
      <c r="EN249" s="32">
        <v>88.1</v>
      </c>
      <c r="EO249" s="32">
        <v>95.6</v>
      </c>
      <c r="EP249" s="32">
        <v>90.5</v>
      </c>
      <c r="EQ249" s="32">
        <v>90.5</v>
      </c>
      <c r="ER249" s="32">
        <v>84.8</v>
      </c>
      <c r="ES249" s="32">
        <v>84.8</v>
      </c>
      <c r="ET249" s="32">
        <v>111.3</v>
      </c>
      <c r="EU249" s="32">
        <v>123.7</v>
      </c>
      <c r="EV249" s="32">
        <v>123.7</v>
      </c>
      <c r="EW249" s="32">
        <v>98.4</v>
      </c>
      <c r="EX249" s="32">
        <v>94.7</v>
      </c>
      <c r="EY249" s="32">
        <v>101.6</v>
      </c>
      <c r="EZ249" s="32">
        <v>102.5</v>
      </c>
      <c r="FA249" s="32">
        <v>103.6</v>
      </c>
      <c r="FB249" s="32">
        <v>104.8</v>
      </c>
      <c r="FC249" s="32">
        <v>94.4</v>
      </c>
      <c r="FD249" s="32">
        <v>104.5</v>
      </c>
      <c r="FE249" s="32">
        <v>123.4</v>
      </c>
      <c r="FF249" s="32">
        <v>102.1</v>
      </c>
      <c r="FG249" s="32">
        <v>98.8</v>
      </c>
      <c r="FH249" s="32">
        <v>94.5</v>
      </c>
      <c r="FI249" s="32">
        <v>124.8</v>
      </c>
      <c r="FJ249" s="32">
        <v>97.6</v>
      </c>
      <c r="FK249" s="32">
        <v>151</v>
      </c>
      <c r="FL249" s="32">
        <v>151</v>
      </c>
    </row>
    <row r="250" spans="1:168" x14ac:dyDescent="0.2">
      <c r="A250" s="34" t="s">
        <v>1230</v>
      </c>
      <c r="B250" s="32">
        <v>94.6</v>
      </c>
      <c r="C250" s="32">
        <v>94.3</v>
      </c>
      <c r="D250" s="32">
        <v>97.4</v>
      </c>
      <c r="E250" s="32">
        <v>98.5</v>
      </c>
      <c r="F250" s="32">
        <v>113.6</v>
      </c>
      <c r="G250" s="32">
        <v>75.3</v>
      </c>
      <c r="H250" s="32">
        <v>121.3</v>
      </c>
      <c r="I250" s="32">
        <v>93.3</v>
      </c>
      <c r="J250" s="32">
        <v>96.1</v>
      </c>
      <c r="K250" s="32">
        <v>87.2</v>
      </c>
      <c r="L250" s="32">
        <v>86.1</v>
      </c>
      <c r="M250" s="32">
        <v>73</v>
      </c>
      <c r="N250" s="32">
        <v>78</v>
      </c>
      <c r="O250" s="32">
        <v>187.1</v>
      </c>
      <c r="P250" s="32">
        <v>96.7</v>
      </c>
      <c r="Q250" s="32">
        <v>107.9</v>
      </c>
      <c r="R250" s="32">
        <v>89.9</v>
      </c>
      <c r="S250" s="32">
        <v>88.8</v>
      </c>
      <c r="T250" s="32">
        <v>129</v>
      </c>
      <c r="U250" s="32">
        <v>139.6</v>
      </c>
      <c r="V250" s="32">
        <v>80.099999999999994</v>
      </c>
      <c r="W250" s="32">
        <v>95.3</v>
      </c>
      <c r="X250" s="32">
        <v>94</v>
      </c>
      <c r="Y250" s="32">
        <v>97.8</v>
      </c>
      <c r="Z250" s="32">
        <v>109</v>
      </c>
      <c r="AA250" s="32">
        <v>114</v>
      </c>
      <c r="AB250" s="32">
        <v>109.7</v>
      </c>
      <c r="AC250" s="32">
        <v>106.8</v>
      </c>
      <c r="AD250" s="32">
        <v>125</v>
      </c>
      <c r="AE250" s="32">
        <v>143.6</v>
      </c>
      <c r="AF250" s="32">
        <v>143.6</v>
      </c>
      <c r="AG250" s="32">
        <v>96.3</v>
      </c>
      <c r="AH250" s="32">
        <v>96.3</v>
      </c>
      <c r="AI250" s="32">
        <v>76.900000000000006</v>
      </c>
      <c r="AJ250" s="32">
        <v>159</v>
      </c>
      <c r="AK250" s="32">
        <v>106.7</v>
      </c>
      <c r="AL250" s="32">
        <v>74.2</v>
      </c>
      <c r="AM250" s="32">
        <v>78</v>
      </c>
      <c r="AN250" s="32">
        <v>124.1</v>
      </c>
      <c r="AO250" s="32">
        <v>76.2</v>
      </c>
      <c r="AP250" s="32">
        <v>76.2</v>
      </c>
      <c r="AQ250" s="32">
        <v>103.8</v>
      </c>
      <c r="AR250" s="32">
        <v>104.3</v>
      </c>
      <c r="AS250" s="32">
        <v>103.6</v>
      </c>
      <c r="AT250" s="32">
        <v>88.3</v>
      </c>
      <c r="AU250" s="32">
        <v>118.4</v>
      </c>
      <c r="AV250" s="32">
        <v>104.5</v>
      </c>
      <c r="AW250" s="32">
        <v>146.80000000000001</v>
      </c>
      <c r="AX250" s="32">
        <v>274.3</v>
      </c>
      <c r="AY250" s="32">
        <v>99.6</v>
      </c>
      <c r="AZ250" s="32">
        <v>98.3</v>
      </c>
      <c r="BA250" s="32">
        <v>93.2</v>
      </c>
      <c r="BB250" s="32">
        <v>93.2</v>
      </c>
      <c r="BC250" s="32">
        <v>104</v>
      </c>
      <c r="BD250" s="32">
        <v>104</v>
      </c>
      <c r="BE250" s="32">
        <v>95.3</v>
      </c>
      <c r="BF250" s="32">
        <v>95.3</v>
      </c>
      <c r="BG250" s="32">
        <v>103.5</v>
      </c>
      <c r="BH250" s="32">
        <v>115.6</v>
      </c>
      <c r="BI250" s="32">
        <v>88.9</v>
      </c>
      <c r="BJ250" s="32">
        <v>57.4</v>
      </c>
      <c r="BK250" s="32">
        <v>97.6</v>
      </c>
      <c r="BL250" s="32">
        <v>100.6</v>
      </c>
      <c r="BM250" s="32">
        <v>94.1</v>
      </c>
      <c r="BN250" s="32">
        <v>100.8</v>
      </c>
      <c r="BO250" s="32">
        <v>92.5</v>
      </c>
      <c r="BP250" s="32">
        <v>107.5</v>
      </c>
      <c r="BQ250" s="32">
        <v>87.4</v>
      </c>
      <c r="BR250" s="32">
        <v>112.2</v>
      </c>
      <c r="BS250" s="32">
        <v>87.4</v>
      </c>
      <c r="BT250" s="32">
        <v>84.4</v>
      </c>
      <c r="BU250" s="32">
        <v>124.9</v>
      </c>
      <c r="BV250" s="32">
        <v>124.9</v>
      </c>
      <c r="BW250" s="32">
        <v>144</v>
      </c>
      <c r="BX250" s="32">
        <v>75.400000000000006</v>
      </c>
      <c r="BY250" s="32">
        <v>88.5</v>
      </c>
      <c r="BZ250" s="32">
        <v>94.8</v>
      </c>
      <c r="CA250" s="32">
        <v>85.4</v>
      </c>
      <c r="CB250" s="32">
        <v>86.8</v>
      </c>
      <c r="CC250" s="32">
        <v>86.4</v>
      </c>
      <c r="CD250" s="32">
        <v>59.1</v>
      </c>
      <c r="CE250" s="32">
        <v>96.2</v>
      </c>
      <c r="CF250" s="32">
        <v>94.3</v>
      </c>
      <c r="CG250" s="32">
        <v>103.6</v>
      </c>
      <c r="CH250" s="32">
        <v>105.7</v>
      </c>
      <c r="CI250" s="32">
        <v>121.9</v>
      </c>
      <c r="CJ250" s="32">
        <v>96.9</v>
      </c>
      <c r="CK250" s="32">
        <v>109.1</v>
      </c>
      <c r="CL250" s="32">
        <v>96.9</v>
      </c>
      <c r="CM250" s="32">
        <v>106.3</v>
      </c>
      <c r="CN250" s="32">
        <v>163.80000000000001</v>
      </c>
      <c r="CO250" s="32">
        <v>93.6</v>
      </c>
      <c r="CP250" s="32">
        <v>143.6</v>
      </c>
      <c r="CQ250" s="32">
        <v>133.4</v>
      </c>
      <c r="CR250" s="32">
        <v>101</v>
      </c>
      <c r="CS250" s="32">
        <v>100.8</v>
      </c>
      <c r="CT250" s="32">
        <v>103.6</v>
      </c>
      <c r="CU250" s="32">
        <v>98.9</v>
      </c>
      <c r="CV250" s="32">
        <v>105.6</v>
      </c>
      <c r="CW250" s="32">
        <v>69.400000000000006</v>
      </c>
      <c r="CX250" s="32">
        <v>100.6</v>
      </c>
      <c r="CY250" s="32">
        <v>100.1</v>
      </c>
      <c r="CZ250" s="32">
        <v>100.8</v>
      </c>
      <c r="DA250" s="32">
        <v>92.3</v>
      </c>
      <c r="DB250" s="32">
        <v>118</v>
      </c>
      <c r="DC250" s="32">
        <v>40</v>
      </c>
      <c r="DD250" s="32">
        <v>40</v>
      </c>
      <c r="DE250" s="32">
        <v>82.5</v>
      </c>
      <c r="DF250" s="32">
        <v>82.3</v>
      </c>
      <c r="DG250" s="32">
        <v>83.2</v>
      </c>
      <c r="DH250" s="32">
        <v>104</v>
      </c>
      <c r="DI250" s="32">
        <v>135.69999999999999</v>
      </c>
      <c r="DJ250" s="32">
        <v>88.2</v>
      </c>
      <c r="DK250" s="32">
        <v>88.2</v>
      </c>
      <c r="DL250" s="32">
        <v>74.5</v>
      </c>
      <c r="DM250" s="32">
        <v>93.9</v>
      </c>
      <c r="DN250" s="32">
        <v>94.8</v>
      </c>
      <c r="DO250" s="32">
        <v>93.9</v>
      </c>
      <c r="DP250" s="32">
        <v>85.7</v>
      </c>
      <c r="DQ250" s="32">
        <v>91.1</v>
      </c>
      <c r="DR250" s="32">
        <v>86.5</v>
      </c>
      <c r="DS250" s="32">
        <v>89.3</v>
      </c>
      <c r="DT250" s="32">
        <v>85.4</v>
      </c>
      <c r="DU250" s="32">
        <v>88.1</v>
      </c>
      <c r="DV250" s="32">
        <v>96.7</v>
      </c>
      <c r="DW250" s="32">
        <v>79.099999999999994</v>
      </c>
      <c r="DX250" s="32">
        <v>79.900000000000006</v>
      </c>
      <c r="DY250" s="32">
        <v>103.5</v>
      </c>
      <c r="DZ250" s="32">
        <v>70.599999999999994</v>
      </c>
      <c r="EA250" s="32">
        <v>70.599999999999994</v>
      </c>
      <c r="EB250" s="32">
        <v>85.3</v>
      </c>
      <c r="EC250" s="32">
        <v>84</v>
      </c>
      <c r="ED250" s="32">
        <v>87.2</v>
      </c>
      <c r="EE250" s="32">
        <v>93.6</v>
      </c>
      <c r="EF250" s="32">
        <v>73.5</v>
      </c>
      <c r="EG250" s="32">
        <v>98.6</v>
      </c>
      <c r="EH250" s="32">
        <v>122.9</v>
      </c>
      <c r="EI250" s="32">
        <v>94.8</v>
      </c>
      <c r="EJ250" s="32">
        <v>115.9</v>
      </c>
      <c r="EK250" s="32">
        <v>87</v>
      </c>
      <c r="EL250" s="32">
        <v>92.8</v>
      </c>
      <c r="EM250" s="32">
        <v>82.6</v>
      </c>
      <c r="EN250" s="32">
        <v>88.8</v>
      </c>
      <c r="EO250" s="32">
        <v>95.8</v>
      </c>
      <c r="EP250" s="32">
        <v>90.7</v>
      </c>
      <c r="EQ250" s="32">
        <v>90.7</v>
      </c>
      <c r="ER250" s="32">
        <v>84.8</v>
      </c>
      <c r="ES250" s="32">
        <v>84.8</v>
      </c>
      <c r="ET250" s="32">
        <v>111.6</v>
      </c>
      <c r="EU250" s="32">
        <v>124.1</v>
      </c>
      <c r="EV250" s="32">
        <v>124.1</v>
      </c>
      <c r="EW250" s="32">
        <v>98.5</v>
      </c>
      <c r="EX250" s="32">
        <v>94.1</v>
      </c>
      <c r="EY250" s="32">
        <v>102.2</v>
      </c>
      <c r="EZ250" s="32">
        <v>102.5</v>
      </c>
      <c r="FA250" s="32">
        <v>103.3</v>
      </c>
      <c r="FB250" s="32">
        <v>106.1</v>
      </c>
      <c r="FC250" s="32">
        <v>95.6</v>
      </c>
      <c r="FD250" s="32">
        <v>101.2</v>
      </c>
      <c r="FE250" s="32">
        <v>126.9</v>
      </c>
      <c r="FF250" s="32">
        <v>100</v>
      </c>
      <c r="FG250" s="32">
        <v>98.9</v>
      </c>
      <c r="FH250" s="32">
        <v>95.4</v>
      </c>
      <c r="FI250" s="32">
        <v>126.6</v>
      </c>
      <c r="FJ250" s="32">
        <v>97.2</v>
      </c>
      <c r="FK250" s="32">
        <v>153.4</v>
      </c>
      <c r="FL250" s="32">
        <v>153.4</v>
      </c>
    </row>
    <row r="251" spans="1:168" x14ac:dyDescent="0.2">
      <c r="A251" s="34" t="s">
        <v>1231</v>
      </c>
      <c r="B251" s="32">
        <v>94.6</v>
      </c>
      <c r="C251" s="32">
        <v>93.4</v>
      </c>
      <c r="D251" s="32">
        <v>97.4</v>
      </c>
      <c r="E251" s="32">
        <v>98.4</v>
      </c>
      <c r="F251" s="32">
        <v>114.2</v>
      </c>
      <c r="G251" s="32">
        <v>78</v>
      </c>
      <c r="H251" s="32">
        <v>122.3</v>
      </c>
      <c r="I251" s="32">
        <v>93.1</v>
      </c>
      <c r="J251" s="32">
        <v>96.1</v>
      </c>
      <c r="K251" s="32">
        <v>88.8</v>
      </c>
      <c r="L251" s="32">
        <v>85.5</v>
      </c>
      <c r="M251" s="32">
        <v>72.599999999999994</v>
      </c>
      <c r="N251" s="32">
        <v>76.3</v>
      </c>
      <c r="O251" s="32">
        <v>167.5</v>
      </c>
      <c r="P251" s="32">
        <v>96.3</v>
      </c>
      <c r="Q251" s="32">
        <v>109.8</v>
      </c>
      <c r="R251" s="32">
        <v>89.6</v>
      </c>
      <c r="S251" s="32">
        <v>88.4</v>
      </c>
      <c r="T251" s="32">
        <v>126.8</v>
      </c>
      <c r="U251" s="32">
        <v>145.4</v>
      </c>
      <c r="V251" s="32">
        <v>88.7</v>
      </c>
      <c r="W251" s="32">
        <v>94.2</v>
      </c>
      <c r="X251" s="32">
        <v>89</v>
      </c>
      <c r="Y251" s="32">
        <v>104.9</v>
      </c>
      <c r="Z251" s="32">
        <v>108.5</v>
      </c>
      <c r="AA251" s="32">
        <v>113.2</v>
      </c>
      <c r="AB251" s="32">
        <v>107.2</v>
      </c>
      <c r="AC251" s="32">
        <v>108.4</v>
      </c>
      <c r="AD251" s="32">
        <v>123.1</v>
      </c>
      <c r="AE251" s="32">
        <v>142.9</v>
      </c>
      <c r="AF251" s="32">
        <v>142.9</v>
      </c>
      <c r="AG251" s="32">
        <v>97.9</v>
      </c>
      <c r="AH251" s="32">
        <v>97.9</v>
      </c>
      <c r="AI251" s="32">
        <v>80.2</v>
      </c>
      <c r="AJ251" s="32">
        <v>166.8</v>
      </c>
      <c r="AK251" s="32">
        <v>104.8</v>
      </c>
      <c r="AL251" s="32">
        <v>77.900000000000006</v>
      </c>
      <c r="AM251" s="32">
        <v>77.2</v>
      </c>
      <c r="AN251" s="32">
        <v>123.6</v>
      </c>
      <c r="AO251" s="32">
        <v>73.3</v>
      </c>
      <c r="AP251" s="32">
        <v>73.3</v>
      </c>
      <c r="AQ251" s="32">
        <v>101.6</v>
      </c>
      <c r="AR251" s="32">
        <v>101.4</v>
      </c>
      <c r="AS251" s="32">
        <v>102.4</v>
      </c>
      <c r="AT251" s="32">
        <v>87.4</v>
      </c>
      <c r="AU251" s="32">
        <v>116.8</v>
      </c>
      <c r="AV251" s="32">
        <v>105.6</v>
      </c>
      <c r="AW251" s="32">
        <v>142</v>
      </c>
      <c r="AX251" s="32">
        <v>255.5</v>
      </c>
      <c r="AY251" s="32">
        <v>101.4</v>
      </c>
      <c r="AZ251" s="32">
        <v>100.5</v>
      </c>
      <c r="BA251" s="32">
        <v>98.3</v>
      </c>
      <c r="BB251" s="32">
        <v>98.3</v>
      </c>
      <c r="BC251" s="32">
        <v>109.4</v>
      </c>
      <c r="BD251" s="32">
        <v>109.4</v>
      </c>
      <c r="BE251" s="32">
        <v>92.9</v>
      </c>
      <c r="BF251" s="32">
        <v>92.9</v>
      </c>
      <c r="BG251" s="32">
        <v>98.9</v>
      </c>
      <c r="BH251" s="32">
        <v>108</v>
      </c>
      <c r="BI251" s="32">
        <v>87.7</v>
      </c>
      <c r="BJ251" s="32">
        <v>58.9</v>
      </c>
      <c r="BK251" s="32">
        <v>95.4</v>
      </c>
      <c r="BL251" s="32">
        <v>100.5</v>
      </c>
      <c r="BM251" s="32">
        <v>99</v>
      </c>
      <c r="BN251" s="32">
        <v>102.4</v>
      </c>
      <c r="BO251" s="32">
        <v>91.9</v>
      </c>
      <c r="BP251" s="32">
        <v>111.2</v>
      </c>
      <c r="BQ251" s="32">
        <v>95.6</v>
      </c>
      <c r="BR251" s="32">
        <v>106</v>
      </c>
      <c r="BS251" s="32">
        <v>98.1</v>
      </c>
      <c r="BT251" s="32">
        <v>93.5</v>
      </c>
      <c r="BU251" s="32">
        <v>124</v>
      </c>
      <c r="BV251" s="32">
        <v>124</v>
      </c>
      <c r="BW251" s="32">
        <v>144.19999999999999</v>
      </c>
      <c r="BX251" s="32">
        <v>72.5</v>
      </c>
      <c r="BY251" s="32">
        <v>87.6</v>
      </c>
      <c r="BZ251" s="32">
        <v>96</v>
      </c>
      <c r="CA251" s="32">
        <v>83.5</v>
      </c>
      <c r="CB251" s="32">
        <v>80.900000000000006</v>
      </c>
      <c r="CC251" s="32">
        <v>88.3</v>
      </c>
      <c r="CD251" s="32">
        <v>60.4</v>
      </c>
      <c r="CE251" s="32">
        <v>96.5</v>
      </c>
      <c r="CF251" s="32">
        <v>94.3</v>
      </c>
      <c r="CG251" s="32">
        <v>103.7</v>
      </c>
      <c r="CH251" s="32">
        <v>106.4</v>
      </c>
      <c r="CI251" s="32">
        <v>123.9</v>
      </c>
      <c r="CJ251" s="32">
        <v>97.7</v>
      </c>
      <c r="CK251" s="32">
        <v>109.5</v>
      </c>
      <c r="CL251" s="32">
        <v>95.9</v>
      </c>
      <c r="CM251" s="32">
        <v>103.6</v>
      </c>
      <c r="CN251" s="32">
        <v>161.5</v>
      </c>
      <c r="CO251" s="32">
        <v>90.9</v>
      </c>
      <c r="CP251" s="32">
        <v>145.30000000000001</v>
      </c>
      <c r="CQ251" s="32">
        <v>135.69999999999999</v>
      </c>
      <c r="CR251" s="32">
        <v>100.2</v>
      </c>
      <c r="CS251" s="32">
        <v>100.6</v>
      </c>
      <c r="CT251" s="32">
        <v>103</v>
      </c>
      <c r="CU251" s="32">
        <v>97.9</v>
      </c>
      <c r="CV251" s="32">
        <v>105.3</v>
      </c>
      <c r="CW251" s="32">
        <v>69.8</v>
      </c>
      <c r="CX251" s="32">
        <v>99.1</v>
      </c>
      <c r="CY251" s="32">
        <v>102.5</v>
      </c>
      <c r="CZ251" s="32">
        <v>97.1</v>
      </c>
      <c r="DA251" s="32">
        <v>89</v>
      </c>
      <c r="DB251" s="32">
        <v>113.4</v>
      </c>
      <c r="DC251" s="32">
        <v>40.5</v>
      </c>
      <c r="DD251" s="32">
        <v>40.5</v>
      </c>
      <c r="DE251" s="32">
        <v>83.5</v>
      </c>
      <c r="DF251" s="32">
        <v>84</v>
      </c>
      <c r="DG251" s="32">
        <v>80.5</v>
      </c>
      <c r="DH251" s="32">
        <v>104.1</v>
      </c>
      <c r="DI251" s="32">
        <v>135.80000000000001</v>
      </c>
      <c r="DJ251" s="32">
        <v>87.2</v>
      </c>
      <c r="DK251" s="32">
        <v>87.2</v>
      </c>
      <c r="DL251" s="32">
        <v>75.5</v>
      </c>
      <c r="DM251" s="32">
        <v>94.1</v>
      </c>
      <c r="DN251" s="32">
        <v>95</v>
      </c>
      <c r="DO251" s="32">
        <v>94</v>
      </c>
      <c r="DP251" s="32">
        <v>86.5</v>
      </c>
      <c r="DQ251" s="32">
        <v>91</v>
      </c>
      <c r="DR251" s="32">
        <v>86.6</v>
      </c>
      <c r="DS251" s="32">
        <v>88.8</v>
      </c>
      <c r="DT251" s="32">
        <v>85.2</v>
      </c>
      <c r="DU251" s="32">
        <v>88.1</v>
      </c>
      <c r="DV251" s="32">
        <v>98</v>
      </c>
      <c r="DW251" s="32">
        <v>77.900000000000006</v>
      </c>
      <c r="DX251" s="32">
        <v>79.099999999999994</v>
      </c>
      <c r="DY251" s="32">
        <v>101.8</v>
      </c>
      <c r="DZ251" s="32">
        <v>74.099999999999994</v>
      </c>
      <c r="EA251" s="32">
        <v>74.099999999999994</v>
      </c>
      <c r="EB251" s="32">
        <v>85.6</v>
      </c>
      <c r="EC251" s="32">
        <v>85</v>
      </c>
      <c r="ED251" s="32">
        <v>86.5</v>
      </c>
      <c r="EE251" s="32">
        <v>91.3</v>
      </c>
      <c r="EF251" s="32">
        <v>76.3</v>
      </c>
      <c r="EG251" s="32">
        <v>98.1</v>
      </c>
      <c r="EH251" s="32">
        <v>122.3</v>
      </c>
      <c r="EI251" s="32">
        <v>96.1</v>
      </c>
      <c r="EJ251" s="32">
        <v>115.4</v>
      </c>
      <c r="EK251" s="32">
        <v>85.4</v>
      </c>
      <c r="EL251" s="32">
        <v>92.9</v>
      </c>
      <c r="EM251" s="32">
        <v>80.5</v>
      </c>
      <c r="EN251" s="32">
        <v>87.4</v>
      </c>
      <c r="EO251" s="32">
        <v>95.5</v>
      </c>
      <c r="EP251" s="32">
        <v>90.7</v>
      </c>
      <c r="EQ251" s="32">
        <v>90.7</v>
      </c>
      <c r="ER251" s="32">
        <v>84.9</v>
      </c>
      <c r="ES251" s="32">
        <v>84.9</v>
      </c>
      <c r="ET251" s="32">
        <v>110.9</v>
      </c>
      <c r="EU251" s="32">
        <v>123</v>
      </c>
      <c r="EV251" s="32">
        <v>123</v>
      </c>
      <c r="EW251" s="32">
        <v>98.4</v>
      </c>
      <c r="EX251" s="32">
        <v>94</v>
      </c>
      <c r="EY251" s="32">
        <v>102</v>
      </c>
      <c r="EZ251" s="32">
        <v>101.4</v>
      </c>
      <c r="FA251" s="32">
        <v>101.3</v>
      </c>
      <c r="FB251" s="32">
        <v>107.1</v>
      </c>
      <c r="FC251" s="32">
        <v>95.6</v>
      </c>
      <c r="FD251" s="32">
        <v>100.9</v>
      </c>
      <c r="FE251" s="32">
        <v>130.6</v>
      </c>
      <c r="FF251" s="32">
        <v>94.7</v>
      </c>
      <c r="FG251" s="32">
        <v>98</v>
      </c>
      <c r="FH251" s="32">
        <v>94.8</v>
      </c>
      <c r="FI251" s="32">
        <v>121.8</v>
      </c>
      <c r="FJ251" s="32">
        <v>96.7</v>
      </c>
      <c r="FK251" s="32">
        <v>158.6</v>
      </c>
      <c r="FL251" s="32">
        <v>158.6</v>
      </c>
    </row>
    <row r="252" spans="1:168" x14ac:dyDescent="0.2">
      <c r="A252" s="34" t="s">
        <v>1232</v>
      </c>
      <c r="B252" s="32">
        <v>94.8</v>
      </c>
      <c r="C252" s="32">
        <v>93</v>
      </c>
      <c r="D252" s="32">
        <v>97.7</v>
      </c>
      <c r="E252" s="32">
        <v>99.2</v>
      </c>
      <c r="F252" s="32">
        <v>114</v>
      </c>
      <c r="G252" s="32">
        <v>81.900000000000006</v>
      </c>
      <c r="H252" s="32">
        <v>121.8</v>
      </c>
      <c r="I252" s="32">
        <v>93.4</v>
      </c>
      <c r="J252" s="32">
        <v>96.6</v>
      </c>
      <c r="K252" s="32">
        <v>88.4</v>
      </c>
      <c r="L252" s="32">
        <v>87.1</v>
      </c>
      <c r="M252" s="32">
        <v>72.3</v>
      </c>
      <c r="N252" s="32">
        <v>77.900000000000006</v>
      </c>
      <c r="O252" s="32">
        <v>185.8</v>
      </c>
      <c r="P252" s="32">
        <v>95.8</v>
      </c>
      <c r="Q252" s="32">
        <v>111.2</v>
      </c>
      <c r="R252" s="32">
        <v>90.1</v>
      </c>
      <c r="S252" s="32">
        <v>92.3</v>
      </c>
      <c r="T252" s="32">
        <v>127.1</v>
      </c>
      <c r="U252" s="32">
        <v>133.4</v>
      </c>
      <c r="V252" s="32">
        <v>83.8</v>
      </c>
      <c r="W252" s="32">
        <v>95.6</v>
      </c>
      <c r="X252" s="32">
        <v>90.8</v>
      </c>
      <c r="Y252" s="32">
        <v>105.2</v>
      </c>
      <c r="Z252" s="32">
        <v>109.9</v>
      </c>
      <c r="AA252" s="32">
        <v>111.9</v>
      </c>
      <c r="AB252" s="32">
        <v>108.3</v>
      </c>
      <c r="AC252" s="32">
        <v>108.2</v>
      </c>
      <c r="AD252" s="32">
        <v>118.7</v>
      </c>
      <c r="AE252" s="32">
        <v>125.9</v>
      </c>
      <c r="AF252" s="32">
        <v>125.9</v>
      </c>
      <c r="AG252" s="32">
        <v>96.6</v>
      </c>
      <c r="AH252" s="32">
        <v>96.6</v>
      </c>
      <c r="AI252" s="32">
        <v>81.5</v>
      </c>
      <c r="AJ252" s="32">
        <v>158.6</v>
      </c>
      <c r="AK252" s="32">
        <v>109.9</v>
      </c>
      <c r="AL252" s="32">
        <v>77.7</v>
      </c>
      <c r="AM252" s="32">
        <v>76.7</v>
      </c>
      <c r="AN252" s="32">
        <v>122.7</v>
      </c>
      <c r="AO252" s="32">
        <v>72.900000000000006</v>
      </c>
      <c r="AP252" s="32">
        <v>72.900000000000006</v>
      </c>
      <c r="AQ252" s="32">
        <v>102.6</v>
      </c>
      <c r="AR252" s="32">
        <v>104.2</v>
      </c>
      <c r="AS252" s="32">
        <v>101.1</v>
      </c>
      <c r="AT252" s="32">
        <v>89.1</v>
      </c>
      <c r="AU252" s="32">
        <v>112.4</v>
      </c>
      <c r="AV252" s="32">
        <v>103.8</v>
      </c>
      <c r="AW252" s="32">
        <v>136.5</v>
      </c>
      <c r="AX252" s="32">
        <v>236.6</v>
      </c>
      <c r="AY252" s="32">
        <v>102.3</v>
      </c>
      <c r="AZ252" s="32">
        <v>99.3</v>
      </c>
      <c r="BA252" s="32">
        <v>91.7</v>
      </c>
      <c r="BB252" s="32">
        <v>91.7</v>
      </c>
      <c r="BC252" s="32">
        <v>110.2</v>
      </c>
      <c r="BD252" s="32">
        <v>110.2</v>
      </c>
      <c r="BE252" s="32">
        <v>96.7</v>
      </c>
      <c r="BF252" s="32">
        <v>96.7</v>
      </c>
      <c r="BG252" s="32">
        <v>107</v>
      </c>
      <c r="BH252" s="32">
        <v>123.8</v>
      </c>
      <c r="BI252" s="32">
        <v>86.7</v>
      </c>
      <c r="BJ252" s="32">
        <v>60.4</v>
      </c>
      <c r="BK252" s="32">
        <v>93.2</v>
      </c>
      <c r="BL252" s="32">
        <v>102.5</v>
      </c>
      <c r="BM252" s="32">
        <v>98.9</v>
      </c>
      <c r="BN252" s="32">
        <v>104.2</v>
      </c>
      <c r="BO252" s="32">
        <v>92.1</v>
      </c>
      <c r="BP252" s="32">
        <v>114.6</v>
      </c>
      <c r="BQ252" s="32">
        <v>93.8</v>
      </c>
      <c r="BR252" s="32">
        <v>118.6</v>
      </c>
      <c r="BS252" s="32">
        <v>85.7</v>
      </c>
      <c r="BT252" s="32">
        <v>93.4</v>
      </c>
      <c r="BU252" s="32">
        <v>123.8</v>
      </c>
      <c r="BV252" s="32">
        <v>123.8</v>
      </c>
      <c r="BW252" s="32">
        <v>143.5</v>
      </c>
      <c r="BX252" s="32">
        <v>73.3</v>
      </c>
      <c r="BY252" s="32">
        <v>91.7</v>
      </c>
      <c r="BZ252" s="32">
        <v>93.6</v>
      </c>
      <c r="CA252" s="32">
        <v>90.7</v>
      </c>
      <c r="CB252" s="32">
        <v>96.3</v>
      </c>
      <c r="CC252" s="32">
        <v>87.7</v>
      </c>
      <c r="CD252" s="32">
        <v>59.6</v>
      </c>
      <c r="CE252" s="32">
        <v>95.7</v>
      </c>
      <c r="CF252" s="32">
        <v>94.5</v>
      </c>
      <c r="CG252" s="32">
        <v>104.8</v>
      </c>
      <c r="CH252" s="32">
        <v>107.3</v>
      </c>
      <c r="CI252" s="32">
        <v>124.7</v>
      </c>
      <c r="CJ252" s="32">
        <v>99.6</v>
      </c>
      <c r="CK252" s="32">
        <v>109.7</v>
      </c>
      <c r="CL252" s="32">
        <v>96.4</v>
      </c>
      <c r="CM252" s="32">
        <v>106</v>
      </c>
      <c r="CN252" s="32">
        <v>158.69999999999999</v>
      </c>
      <c r="CO252" s="32">
        <v>93.8</v>
      </c>
      <c r="CP252" s="32">
        <v>146.30000000000001</v>
      </c>
      <c r="CQ252" s="32">
        <v>137.80000000000001</v>
      </c>
      <c r="CR252" s="32">
        <v>98.8</v>
      </c>
      <c r="CS252" s="32">
        <v>100</v>
      </c>
      <c r="CT252" s="32">
        <v>105.4</v>
      </c>
      <c r="CU252" s="32">
        <v>100.9</v>
      </c>
      <c r="CV252" s="32">
        <v>107.4</v>
      </c>
      <c r="CW252" s="32">
        <v>69</v>
      </c>
      <c r="CX252" s="32">
        <v>94.9</v>
      </c>
      <c r="CY252" s="32">
        <v>101.8</v>
      </c>
      <c r="CZ252" s="32">
        <v>90.8</v>
      </c>
      <c r="DA252" s="32">
        <v>86.1</v>
      </c>
      <c r="DB252" s="32">
        <v>100.6</v>
      </c>
      <c r="DC252" s="32">
        <v>41.7</v>
      </c>
      <c r="DD252" s="32">
        <v>41.7</v>
      </c>
      <c r="DE252" s="32">
        <v>81.5</v>
      </c>
      <c r="DF252" s="32">
        <v>82</v>
      </c>
      <c r="DG252" s="32">
        <v>78.900000000000006</v>
      </c>
      <c r="DH252" s="32">
        <v>104.9</v>
      </c>
      <c r="DI252" s="32">
        <v>136.30000000000001</v>
      </c>
      <c r="DJ252" s="32">
        <v>85.6</v>
      </c>
      <c r="DK252" s="32">
        <v>85.6</v>
      </c>
      <c r="DL252" s="32">
        <v>78.5</v>
      </c>
      <c r="DM252" s="32">
        <v>94.3</v>
      </c>
      <c r="DN252" s="32">
        <v>95.1</v>
      </c>
      <c r="DO252" s="32">
        <v>94.2</v>
      </c>
      <c r="DP252" s="32">
        <v>87.2</v>
      </c>
      <c r="DQ252" s="32">
        <v>91</v>
      </c>
      <c r="DR252" s="32">
        <v>87</v>
      </c>
      <c r="DS252" s="32">
        <v>89.8</v>
      </c>
      <c r="DT252" s="32">
        <v>86.4</v>
      </c>
      <c r="DU252" s="32">
        <v>90.2</v>
      </c>
      <c r="DV252" s="32">
        <v>98.8</v>
      </c>
      <c r="DW252" s="32">
        <v>81.099999999999994</v>
      </c>
      <c r="DX252" s="32">
        <v>78.8</v>
      </c>
      <c r="DY252" s="32">
        <v>102.3</v>
      </c>
      <c r="DZ252" s="32">
        <v>73.5</v>
      </c>
      <c r="EA252" s="32">
        <v>73.5</v>
      </c>
      <c r="EB252" s="32">
        <v>84.7</v>
      </c>
      <c r="EC252" s="32">
        <v>84.5</v>
      </c>
      <c r="ED252" s="32">
        <v>85.1</v>
      </c>
      <c r="EE252" s="32">
        <v>90</v>
      </c>
      <c r="EF252" s="32">
        <v>74.900000000000006</v>
      </c>
      <c r="EG252" s="32">
        <v>97.5</v>
      </c>
      <c r="EH252" s="32">
        <v>123.1</v>
      </c>
      <c r="EI252" s="32">
        <v>97.2</v>
      </c>
      <c r="EJ252" s="32">
        <v>112.9</v>
      </c>
      <c r="EK252" s="32">
        <v>83.4</v>
      </c>
      <c r="EL252" s="32">
        <v>91.3</v>
      </c>
      <c r="EM252" s="32">
        <v>78.599999999999994</v>
      </c>
      <c r="EN252" s="32">
        <v>85.3</v>
      </c>
      <c r="EO252" s="32">
        <v>95.3</v>
      </c>
      <c r="EP252" s="32">
        <v>90.8</v>
      </c>
      <c r="EQ252" s="32">
        <v>90.8</v>
      </c>
      <c r="ER252" s="32">
        <v>85.1</v>
      </c>
      <c r="ES252" s="32">
        <v>85.1</v>
      </c>
      <c r="ET252" s="32">
        <v>110</v>
      </c>
      <c r="EU252" s="32">
        <v>121.9</v>
      </c>
      <c r="EV252" s="32">
        <v>121.9</v>
      </c>
      <c r="EW252" s="32">
        <v>98</v>
      </c>
      <c r="EX252" s="32">
        <v>94.1</v>
      </c>
      <c r="EY252" s="32">
        <v>101.4</v>
      </c>
      <c r="EZ252" s="32">
        <v>101.9</v>
      </c>
      <c r="FA252" s="32">
        <v>103.1</v>
      </c>
      <c r="FB252" s="32">
        <v>107.7</v>
      </c>
      <c r="FC252" s="32">
        <v>94.7</v>
      </c>
      <c r="FD252" s="32">
        <v>100.8</v>
      </c>
      <c r="FE252" s="32">
        <v>134.19999999999999</v>
      </c>
      <c r="FF252" s="32">
        <v>97.7</v>
      </c>
      <c r="FG252" s="32">
        <v>97.5</v>
      </c>
      <c r="FH252" s="32">
        <v>94.4</v>
      </c>
      <c r="FI252" s="32">
        <v>119.6</v>
      </c>
      <c r="FJ252" s="32">
        <v>96.2</v>
      </c>
      <c r="FK252" s="32">
        <v>159.19999999999999</v>
      </c>
      <c r="FL252" s="32">
        <v>159.19999999999999</v>
      </c>
    </row>
    <row r="253" spans="1:168" x14ac:dyDescent="0.2">
      <c r="A253" s="34" t="s">
        <v>1233</v>
      </c>
      <c r="B253" s="32">
        <v>95</v>
      </c>
      <c r="C253" s="32">
        <v>93</v>
      </c>
      <c r="D253" s="32">
        <v>98.3</v>
      </c>
      <c r="E253" s="32">
        <v>99.3</v>
      </c>
      <c r="F253" s="32">
        <v>110.9</v>
      </c>
      <c r="G253" s="32">
        <v>104.7</v>
      </c>
      <c r="H253" s="32">
        <v>118.3</v>
      </c>
      <c r="I253" s="32">
        <v>91.6</v>
      </c>
      <c r="J253" s="32">
        <v>97.1</v>
      </c>
      <c r="K253" s="32">
        <v>88.2</v>
      </c>
      <c r="L253" s="32">
        <v>87</v>
      </c>
      <c r="M253" s="32">
        <v>71.8</v>
      </c>
      <c r="N253" s="32">
        <v>78</v>
      </c>
      <c r="O253" s="32">
        <v>185.9</v>
      </c>
      <c r="P253" s="32">
        <v>99.1</v>
      </c>
      <c r="Q253" s="32">
        <v>113.9</v>
      </c>
      <c r="R253" s="32">
        <v>92.9</v>
      </c>
      <c r="S253" s="32">
        <v>89.7</v>
      </c>
      <c r="T253" s="32">
        <v>122.4</v>
      </c>
      <c r="U253" s="32">
        <v>128.1</v>
      </c>
      <c r="V253" s="32">
        <v>84.2</v>
      </c>
      <c r="W253" s="32">
        <v>97.8</v>
      </c>
      <c r="X253" s="32">
        <v>92.4</v>
      </c>
      <c r="Y253" s="32">
        <v>109.8</v>
      </c>
      <c r="Z253" s="32">
        <v>107.7</v>
      </c>
      <c r="AA253" s="32">
        <v>115.4</v>
      </c>
      <c r="AB253" s="32">
        <v>107.4</v>
      </c>
      <c r="AC253" s="32">
        <v>109.4</v>
      </c>
      <c r="AD253" s="32">
        <v>127.9</v>
      </c>
      <c r="AE253" s="32">
        <v>137.30000000000001</v>
      </c>
      <c r="AF253" s="32">
        <v>137.30000000000001</v>
      </c>
      <c r="AG253" s="32">
        <v>98</v>
      </c>
      <c r="AH253" s="32">
        <v>98</v>
      </c>
      <c r="AI253" s="32">
        <v>78.2</v>
      </c>
      <c r="AJ253" s="32">
        <v>159.80000000000001</v>
      </c>
      <c r="AK253" s="32">
        <v>118.3</v>
      </c>
      <c r="AL253" s="32">
        <v>83.7</v>
      </c>
      <c r="AM253" s="32">
        <v>77.099999999999994</v>
      </c>
      <c r="AN253" s="32">
        <v>124.1</v>
      </c>
      <c r="AO253" s="32">
        <v>79</v>
      </c>
      <c r="AP253" s="32">
        <v>79</v>
      </c>
      <c r="AQ253" s="32">
        <v>103.6</v>
      </c>
      <c r="AR253" s="32">
        <v>105.3</v>
      </c>
      <c r="AS253" s="32">
        <v>101.9</v>
      </c>
      <c r="AT253" s="32">
        <v>90.5</v>
      </c>
      <c r="AU253" s="32">
        <v>112.5</v>
      </c>
      <c r="AV253" s="32">
        <v>105.6</v>
      </c>
      <c r="AW253" s="32">
        <v>139.80000000000001</v>
      </c>
      <c r="AX253" s="32">
        <v>237.9</v>
      </c>
      <c r="AY253" s="32">
        <v>107.3</v>
      </c>
      <c r="AZ253" s="32">
        <v>100.9</v>
      </c>
      <c r="BA253" s="32">
        <v>92.7</v>
      </c>
      <c r="BB253" s="32">
        <v>92.7</v>
      </c>
      <c r="BC253" s="32">
        <v>104.7</v>
      </c>
      <c r="BD253" s="32">
        <v>104.7</v>
      </c>
      <c r="BE253" s="32">
        <v>97.4</v>
      </c>
      <c r="BF253" s="32">
        <v>97.4</v>
      </c>
      <c r="BG253" s="32">
        <v>102.9</v>
      </c>
      <c r="BH253" s="32">
        <v>116.8</v>
      </c>
      <c r="BI253" s="32">
        <v>86.1</v>
      </c>
      <c r="BJ253" s="32">
        <v>61.1</v>
      </c>
      <c r="BK253" s="32">
        <v>92.2</v>
      </c>
      <c r="BL253" s="32">
        <v>100.4</v>
      </c>
      <c r="BM253" s="32">
        <v>96.7</v>
      </c>
      <c r="BN253" s="32">
        <v>103.9</v>
      </c>
      <c r="BO253" s="32">
        <v>94.7</v>
      </c>
      <c r="BP253" s="32">
        <v>111.4</v>
      </c>
      <c r="BQ253" s="32">
        <v>89.7</v>
      </c>
      <c r="BR253" s="32">
        <v>105.9</v>
      </c>
      <c r="BS253" s="32">
        <v>88.6</v>
      </c>
      <c r="BT253" s="32">
        <v>88.1</v>
      </c>
      <c r="BU253" s="32">
        <v>123.2</v>
      </c>
      <c r="BV253" s="32">
        <v>123.2</v>
      </c>
      <c r="BW253" s="32">
        <v>141.6</v>
      </c>
      <c r="BX253" s="32">
        <v>75.099999999999994</v>
      </c>
      <c r="BY253" s="32">
        <v>91.9</v>
      </c>
      <c r="BZ253" s="32">
        <v>93</v>
      </c>
      <c r="CA253" s="32">
        <v>91.3</v>
      </c>
      <c r="CB253" s="32">
        <v>97.4</v>
      </c>
      <c r="CC253" s="32">
        <v>87.8</v>
      </c>
      <c r="CD253" s="32">
        <v>59.9</v>
      </c>
      <c r="CE253" s="32">
        <v>97.4</v>
      </c>
      <c r="CF253" s="32">
        <v>94.5</v>
      </c>
      <c r="CG253" s="32">
        <v>104.8</v>
      </c>
      <c r="CH253" s="32">
        <v>107.6</v>
      </c>
      <c r="CI253" s="32">
        <v>125.1</v>
      </c>
      <c r="CJ253" s="32">
        <v>98.9</v>
      </c>
      <c r="CK253" s="32">
        <v>110.6</v>
      </c>
      <c r="CL253" s="32">
        <v>96.9</v>
      </c>
      <c r="CM253" s="32">
        <v>106</v>
      </c>
      <c r="CN253" s="32">
        <v>158.19999999999999</v>
      </c>
      <c r="CO253" s="32">
        <v>93.9</v>
      </c>
      <c r="CP253" s="32">
        <v>145.80000000000001</v>
      </c>
      <c r="CQ253" s="32">
        <v>135.4</v>
      </c>
      <c r="CR253" s="32">
        <v>100.2</v>
      </c>
      <c r="CS253" s="32">
        <v>101.3</v>
      </c>
      <c r="CT253" s="32">
        <v>104</v>
      </c>
      <c r="CU253" s="32">
        <v>99.1</v>
      </c>
      <c r="CV253" s="32">
        <v>106.1</v>
      </c>
      <c r="CW253" s="32">
        <v>70.2</v>
      </c>
      <c r="CX253" s="32">
        <v>101.1</v>
      </c>
      <c r="CY253" s="32">
        <v>100.4</v>
      </c>
      <c r="CZ253" s="32">
        <v>101.4</v>
      </c>
      <c r="DA253" s="32">
        <v>91.9</v>
      </c>
      <c r="DB253" s="32">
        <v>120.4</v>
      </c>
      <c r="DC253" s="32">
        <v>41.8</v>
      </c>
      <c r="DD253" s="32">
        <v>41.8</v>
      </c>
      <c r="DE253" s="32">
        <v>81.7</v>
      </c>
      <c r="DF253" s="32">
        <v>82.4</v>
      </c>
      <c r="DG253" s="32">
        <v>77.900000000000006</v>
      </c>
      <c r="DH253" s="32">
        <v>104.7</v>
      </c>
      <c r="DI253" s="32">
        <v>135.80000000000001</v>
      </c>
      <c r="DJ253" s="32">
        <v>85.1</v>
      </c>
      <c r="DK253" s="32">
        <v>85.1</v>
      </c>
      <c r="DL253" s="32">
        <v>79</v>
      </c>
      <c r="DM253" s="32">
        <v>94.4</v>
      </c>
      <c r="DN253" s="32">
        <v>95.3</v>
      </c>
      <c r="DO253" s="32">
        <v>94.3</v>
      </c>
      <c r="DP253" s="32">
        <v>87.8</v>
      </c>
      <c r="DQ253" s="32">
        <v>90.4</v>
      </c>
      <c r="DR253" s="32">
        <v>86.4</v>
      </c>
      <c r="DS253" s="32">
        <v>88.6</v>
      </c>
      <c r="DT253" s="32">
        <v>85.2</v>
      </c>
      <c r="DU253" s="32">
        <v>88.4</v>
      </c>
      <c r="DV253" s="32">
        <v>97.3</v>
      </c>
      <c r="DW253" s="32">
        <v>79.099999999999994</v>
      </c>
      <c r="DX253" s="32">
        <v>78.7</v>
      </c>
      <c r="DY253" s="32">
        <v>101</v>
      </c>
      <c r="DZ253" s="32">
        <v>73.599999999999994</v>
      </c>
      <c r="EA253" s="32">
        <v>73.599999999999994</v>
      </c>
      <c r="EB253" s="32">
        <v>85.6</v>
      </c>
      <c r="EC253" s="32">
        <v>86.3</v>
      </c>
      <c r="ED253" s="32">
        <v>84.7</v>
      </c>
      <c r="EE253" s="32">
        <v>88</v>
      </c>
      <c r="EF253" s="32">
        <v>77.599999999999994</v>
      </c>
      <c r="EG253" s="32">
        <v>97</v>
      </c>
      <c r="EH253" s="32">
        <v>120.7</v>
      </c>
      <c r="EI253" s="32">
        <v>97.6</v>
      </c>
      <c r="EJ253" s="32">
        <v>112.4</v>
      </c>
      <c r="EK253" s="32">
        <v>83.2</v>
      </c>
      <c r="EL253" s="32">
        <v>95.1</v>
      </c>
      <c r="EM253" s="32">
        <v>79.8</v>
      </c>
      <c r="EN253" s="32">
        <v>83.5</v>
      </c>
      <c r="EO253" s="32">
        <v>95.1</v>
      </c>
      <c r="EP253" s="32">
        <v>90.7</v>
      </c>
      <c r="EQ253" s="32">
        <v>90.7</v>
      </c>
      <c r="ER253" s="32">
        <v>85.2</v>
      </c>
      <c r="ES253" s="32">
        <v>85.2</v>
      </c>
      <c r="ET253" s="32">
        <v>109.5</v>
      </c>
      <c r="EU253" s="32">
        <v>121.2</v>
      </c>
      <c r="EV253" s="32">
        <v>121.2</v>
      </c>
      <c r="EW253" s="32">
        <v>97.6</v>
      </c>
      <c r="EX253" s="32">
        <v>93.9</v>
      </c>
      <c r="EY253" s="32">
        <v>100.7</v>
      </c>
      <c r="EZ253" s="32">
        <v>103.4</v>
      </c>
      <c r="FA253" s="32">
        <v>103.2</v>
      </c>
      <c r="FB253" s="32">
        <v>109.6</v>
      </c>
      <c r="FC253" s="32">
        <v>96.7</v>
      </c>
      <c r="FD253" s="32">
        <v>101</v>
      </c>
      <c r="FE253" s="32">
        <v>136.5</v>
      </c>
      <c r="FF253" s="32">
        <v>96</v>
      </c>
      <c r="FG253" s="32">
        <v>100.2</v>
      </c>
      <c r="FH253" s="32">
        <v>93.4</v>
      </c>
      <c r="FI253" s="32">
        <v>129.4</v>
      </c>
      <c r="FJ253" s="32">
        <v>99.8</v>
      </c>
      <c r="FK253" s="32">
        <v>157.9</v>
      </c>
      <c r="FL253" s="32">
        <v>157.9</v>
      </c>
    </row>
    <row r="254" spans="1:168" x14ac:dyDescent="0.2">
      <c r="A254" s="34" t="s">
        <v>1234</v>
      </c>
      <c r="B254" s="32">
        <v>95.4</v>
      </c>
      <c r="C254" s="32">
        <v>93.1</v>
      </c>
      <c r="D254" s="32">
        <v>99.2</v>
      </c>
      <c r="E254" s="32">
        <v>101.2</v>
      </c>
      <c r="F254" s="32">
        <v>114.1</v>
      </c>
      <c r="G254" s="32">
        <v>130.4</v>
      </c>
      <c r="H254" s="32">
        <v>122.6</v>
      </c>
      <c r="I254" s="32">
        <v>91.9</v>
      </c>
      <c r="J254" s="32">
        <v>98.9</v>
      </c>
      <c r="K254" s="32">
        <v>88.8</v>
      </c>
      <c r="L254" s="32">
        <v>87.3</v>
      </c>
      <c r="M254" s="32">
        <v>71.599999999999994</v>
      </c>
      <c r="N254" s="32">
        <v>78.3</v>
      </c>
      <c r="O254" s="32">
        <v>181.7</v>
      </c>
      <c r="P254" s="32">
        <v>104.2</v>
      </c>
      <c r="Q254" s="32">
        <v>120.1</v>
      </c>
      <c r="R254" s="32">
        <v>91.8</v>
      </c>
      <c r="S254" s="32">
        <v>90.1</v>
      </c>
      <c r="T254" s="32">
        <v>117.3</v>
      </c>
      <c r="U254" s="32">
        <v>135.19999999999999</v>
      </c>
      <c r="V254" s="32">
        <v>84.6</v>
      </c>
      <c r="W254" s="32">
        <v>98.9</v>
      </c>
      <c r="X254" s="32">
        <v>94</v>
      </c>
      <c r="Y254" s="32">
        <v>109.5</v>
      </c>
      <c r="Z254" s="32">
        <v>109.8</v>
      </c>
      <c r="AA254" s="32">
        <v>115.2</v>
      </c>
      <c r="AB254" s="32">
        <v>110.4</v>
      </c>
      <c r="AC254" s="32">
        <v>107.8</v>
      </c>
      <c r="AD254" s="32">
        <v>126.8</v>
      </c>
      <c r="AE254" s="32">
        <v>133.30000000000001</v>
      </c>
      <c r="AF254" s="32">
        <v>133.30000000000001</v>
      </c>
      <c r="AG254" s="32">
        <v>99.3</v>
      </c>
      <c r="AH254" s="32">
        <v>99.3</v>
      </c>
      <c r="AI254" s="32">
        <v>77.5</v>
      </c>
      <c r="AJ254" s="32">
        <v>162.5</v>
      </c>
      <c r="AK254" s="32">
        <v>115.7</v>
      </c>
      <c r="AL254" s="32">
        <v>80.3</v>
      </c>
      <c r="AM254" s="32">
        <v>79.2</v>
      </c>
      <c r="AN254" s="32">
        <v>129.19999999999999</v>
      </c>
      <c r="AO254" s="32">
        <v>77.599999999999994</v>
      </c>
      <c r="AP254" s="32">
        <v>77.599999999999994</v>
      </c>
      <c r="AQ254" s="32">
        <v>104.9</v>
      </c>
      <c r="AR254" s="32">
        <v>106.7</v>
      </c>
      <c r="AS254" s="32">
        <v>102.9</v>
      </c>
      <c r="AT254" s="32">
        <v>90.9</v>
      </c>
      <c r="AU254" s="32">
        <v>114.2</v>
      </c>
      <c r="AV254" s="32">
        <v>106.9</v>
      </c>
      <c r="AW254" s="32">
        <v>141.1</v>
      </c>
      <c r="AX254" s="32">
        <v>228.8</v>
      </c>
      <c r="AY254" s="32">
        <v>114</v>
      </c>
      <c r="AZ254" s="32">
        <v>102.2</v>
      </c>
      <c r="BA254" s="32">
        <v>99.2</v>
      </c>
      <c r="BB254" s="32">
        <v>99.2</v>
      </c>
      <c r="BC254" s="32">
        <v>110.9</v>
      </c>
      <c r="BD254" s="32">
        <v>110.9</v>
      </c>
      <c r="BE254" s="32">
        <v>100.8</v>
      </c>
      <c r="BF254" s="32">
        <v>100.8</v>
      </c>
      <c r="BG254" s="32">
        <v>104</v>
      </c>
      <c r="BH254" s="32">
        <v>117.4</v>
      </c>
      <c r="BI254" s="32">
        <v>87.8</v>
      </c>
      <c r="BJ254" s="32">
        <v>62.1</v>
      </c>
      <c r="BK254" s="32">
        <v>94.1</v>
      </c>
      <c r="BL254" s="32">
        <v>102.7</v>
      </c>
      <c r="BM254" s="32">
        <v>101.8</v>
      </c>
      <c r="BN254" s="32">
        <v>105.5</v>
      </c>
      <c r="BO254" s="32">
        <v>95.1</v>
      </c>
      <c r="BP254" s="32">
        <v>114.2</v>
      </c>
      <c r="BQ254" s="32">
        <v>98.1</v>
      </c>
      <c r="BR254" s="32">
        <v>117</v>
      </c>
      <c r="BS254" s="32">
        <v>107.3</v>
      </c>
      <c r="BT254" s="32">
        <v>92.8</v>
      </c>
      <c r="BU254" s="32">
        <v>123.9</v>
      </c>
      <c r="BV254" s="32">
        <v>123.9</v>
      </c>
      <c r="BW254" s="32">
        <v>141</v>
      </c>
      <c r="BX254" s="32">
        <v>78.099999999999994</v>
      </c>
      <c r="BY254" s="32">
        <v>94.4</v>
      </c>
      <c r="BZ254" s="32">
        <v>93.3</v>
      </c>
      <c r="CA254" s="32">
        <v>94.9</v>
      </c>
      <c r="CB254" s="32">
        <v>106.9</v>
      </c>
      <c r="CC254" s="32">
        <v>85.9</v>
      </c>
      <c r="CD254" s="32">
        <v>58.7</v>
      </c>
      <c r="CE254" s="32">
        <v>96.2</v>
      </c>
      <c r="CF254" s="32">
        <v>94.9</v>
      </c>
      <c r="CG254" s="32">
        <v>105.2</v>
      </c>
      <c r="CH254" s="32">
        <v>108.1</v>
      </c>
      <c r="CI254" s="32">
        <v>131.9</v>
      </c>
      <c r="CJ254" s="32">
        <v>98.7</v>
      </c>
      <c r="CK254" s="32">
        <v>110.1</v>
      </c>
      <c r="CL254" s="32">
        <v>97.3</v>
      </c>
      <c r="CM254" s="32">
        <v>106.1</v>
      </c>
      <c r="CN254" s="32">
        <v>154.9</v>
      </c>
      <c r="CO254" s="32">
        <v>94.4</v>
      </c>
      <c r="CP254" s="32">
        <v>144.69999999999999</v>
      </c>
      <c r="CQ254" s="32">
        <v>138.9</v>
      </c>
      <c r="CR254" s="32">
        <v>101.4</v>
      </c>
      <c r="CS254" s="32">
        <v>100.7</v>
      </c>
      <c r="CT254" s="32">
        <v>104</v>
      </c>
      <c r="CU254" s="32">
        <v>99.8</v>
      </c>
      <c r="CV254" s="32">
        <v>105.9</v>
      </c>
      <c r="CW254" s="32">
        <v>70.5</v>
      </c>
      <c r="CX254" s="32">
        <v>98.4</v>
      </c>
      <c r="CY254" s="32">
        <v>100.7</v>
      </c>
      <c r="CZ254" s="32">
        <v>96.9</v>
      </c>
      <c r="DA254" s="32">
        <v>89.6</v>
      </c>
      <c r="DB254" s="32">
        <v>111.6</v>
      </c>
      <c r="DC254" s="32">
        <v>42.1</v>
      </c>
      <c r="DD254" s="32">
        <v>42.1</v>
      </c>
      <c r="DE254" s="32">
        <v>83.6</v>
      </c>
      <c r="DF254" s="32">
        <v>84.1</v>
      </c>
      <c r="DG254" s="32">
        <v>81</v>
      </c>
      <c r="DH254" s="32">
        <v>104.9</v>
      </c>
      <c r="DI254" s="32">
        <v>134</v>
      </c>
      <c r="DJ254" s="32">
        <v>86.8</v>
      </c>
      <c r="DK254" s="32">
        <v>86.8</v>
      </c>
      <c r="DL254" s="32">
        <v>80.400000000000006</v>
      </c>
      <c r="DM254" s="32">
        <v>94.6</v>
      </c>
      <c r="DN254" s="32">
        <v>94.8</v>
      </c>
      <c r="DO254" s="32">
        <v>94.7</v>
      </c>
      <c r="DP254" s="32">
        <v>87</v>
      </c>
      <c r="DQ254" s="32">
        <v>90.6</v>
      </c>
      <c r="DR254" s="32">
        <v>86.6</v>
      </c>
      <c r="DS254" s="32">
        <v>87.8</v>
      </c>
      <c r="DT254" s="32">
        <v>84.5</v>
      </c>
      <c r="DU254" s="32">
        <v>87.2</v>
      </c>
      <c r="DV254" s="32">
        <v>97.2</v>
      </c>
      <c r="DW254" s="32">
        <v>76.7</v>
      </c>
      <c r="DX254" s="32">
        <v>79.099999999999994</v>
      </c>
      <c r="DY254" s="32">
        <v>100.1</v>
      </c>
      <c r="DZ254" s="32">
        <v>77.599999999999994</v>
      </c>
      <c r="EA254" s="32">
        <v>77.599999999999994</v>
      </c>
      <c r="EB254" s="32">
        <v>86.8</v>
      </c>
      <c r="EC254" s="32">
        <v>88.4</v>
      </c>
      <c r="ED254" s="32">
        <v>84.8</v>
      </c>
      <c r="EE254" s="32">
        <v>88.5</v>
      </c>
      <c r="EF254" s="32">
        <v>76.900000000000006</v>
      </c>
      <c r="EG254" s="32">
        <v>97</v>
      </c>
      <c r="EH254" s="32">
        <v>119.5</v>
      </c>
      <c r="EI254" s="32">
        <v>97.2</v>
      </c>
      <c r="EJ254" s="32">
        <v>111.9</v>
      </c>
      <c r="EK254" s="32">
        <v>84.1</v>
      </c>
      <c r="EL254" s="32">
        <v>95.9</v>
      </c>
      <c r="EM254" s="32">
        <v>80.2</v>
      </c>
      <c r="EN254" s="32">
        <v>84.8</v>
      </c>
      <c r="EO254" s="32">
        <v>95.8</v>
      </c>
      <c r="EP254" s="32">
        <v>90.8</v>
      </c>
      <c r="EQ254" s="32">
        <v>90.8</v>
      </c>
      <c r="ER254" s="32">
        <v>85.8</v>
      </c>
      <c r="ES254" s="32">
        <v>85.8</v>
      </c>
      <c r="ET254" s="32">
        <v>110.7</v>
      </c>
      <c r="EU254" s="32">
        <v>123.3</v>
      </c>
      <c r="EV254" s="32">
        <v>123.3</v>
      </c>
      <c r="EW254" s="32">
        <v>97.1</v>
      </c>
      <c r="EX254" s="32">
        <v>93.2</v>
      </c>
      <c r="EY254" s="32">
        <v>100.3</v>
      </c>
      <c r="EZ254" s="32">
        <v>103.1</v>
      </c>
      <c r="FA254" s="32">
        <v>102.9</v>
      </c>
      <c r="FB254" s="32">
        <v>109.1</v>
      </c>
      <c r="FC254" s="32">
        <v>95</v>
      </c>
      <c r="FD254" s="32">
        <v>103.2</v>
      </c>
      <c r="FE254" s="32">
        <v>137.19999999999999</v>
      </c>
      <c r="FF254" s="32">
        <v>95.7</v>
      </c>
      <c r="FG254" s="32">
        <v>99.9</v>
      </c>
      <c r="FH254" s="32">
        <v>92</v>
      </c>
      <c r="FI254" s="32">
        <v>127</v>
      </c>
      <c r="FJ254" s="32">
        <v>100.2</v>
      </c>
      <c r="FK254" s="32">
        <v>158.69999999999999</v>
      </c>
      <c r="FL254" s="32">
        <v>158.69999999999999</v>
      </c>
    </row>
    <row r="255" spans="1:168" x14ac:dyDescent="0.2">
      <c r="A255" s="34" t="s">
        <v>1235</v>
      </c>
      <c r="B255" s="32">
        <v>95.4</v>
      </c>
      <c r="C255" s="32">
        <v>93.4</v>
      </c>
      <c r="D255" s="32">
        <v>99.2</v>
      </c>
      <c r="E255" s="32">
        <v>101.6</v>
      </c>
      <c r="F255" s="32">
        <v>118.8</v>
      </c>
      <c r="G255" s="32">
        <v>219.2</v>
      </c>
      <c r="H255" s="32">
        <v>127.6</v>
      </c>
      <c r="I255" s="32">
        <v>93</v>
      </c>
      <c r="J255" s="32">
        <v>99.6</v>
      </c>
      <c r="K255" s="32">
        <v>90.8</v>
      </c>
      <c r="L255" s="32">
        <v>89.1</v>
      </c>
      <c r="M255" s="32">
        <v>72.3</v>
      </c>
      <c r="N255" s="32">
        <v>80.400000000000006</v>
      </c>
      <c r="O255" s="32">
        <v>180.1</v>
      </c>
      <c r="P255" s="32">
        <v>108</v>
      </c>
      <c r="Q255" s="32">
        <v>122</v>
      </c>
      <c r="R255" s="32">
        <v>93.3</v>
      </c>
      <c r="S255" s="32">
        <v>92.7</v>
      </c>
      <c r="T255" s="32">
        <v>121.8</v>
      </c>
      <c r="U255" s="32">
        <v>132.30000000000001</v>
      </c>
      <c r="V255" s="32">
        <v>88.8</v>
      </c>
      <c r="W255" s="32">
        <v>96.1</v>
      </c>
      <c r="X255" s="32">
        <v>92.3</v>
      </c>
      <c r="Y255" s="32">
        <v>106</v>
      </c>
      <c r="Z255" s="32">
        <v>99.3</v>
      </c>
      <c r="AA255" s="32">
        <v>115.9</v>
      </c>
      <c r="AB255" s="32">
        <v>112.6</v>
      </c>
      <c r="AC255" s="32">
        <v>109.4</v>
      </c>
      <c r="AD255" s="32">
        <v>125.5</v>
      </c>
      <c r="AE255" s="32">
        <v>131.1</v>
      </c>
      <c r="AF255" s="32">
        <v>131.1</v>
      </c>
      <c r="AG255" s="32">
        <v>96.4</v>
      </c>
      <c r="AH255" s="32">
        <v>96.4</v>
      </c>
      <c r="AI255" s="32">
        <v>71.900000000000006</v>
      </c>
      <c r="AJ255" s="32">
        <v>154.30000000000001</v>
      </c>
      <c r="AK255" s="32">
        <v>118.7</v>
      </c>
      <c r="AL255" s="32">
        <v>82.1</v>
      </c>
      <c r="AM255" s="32">
        <v>77.5</v>
      </c>
      <c r="AN255" s="32">
        <v>122.7</v>
      </c>
      <c r="AO255" s="32">
        <v>79.099999999999994</v>
      </c>
      <c r="AP255" s="32">
        <v>79.099999999999994</v>
      </c>
      <c r="AQ255" s="32">
        <v>105.9</v>
      </c>
      <c r="AR255" s="32">
        <v>106.8</v>
      </c>
      <c r="AS255" s="32">
        <v>105.3</v>
      </c>
      <c r="AT255" s="32">
        <v>94.2</v>
      </c>
      <c r="AU255" s="32">
        <v>115.6</v>
      </c>
      <c r="AV255" s="32">
        <v>111</v>
      </c>
      <c r="AW255" s="32">
        <v>148</v>
      </c>
      <c r="AX255" s="32">
        <v>238.5</v>
      </c>
      <c r="AY255" s="32">
        <v>119.7</v>
      </c>
      <c r="AZ255" s="32">
        <v>105.8</v>
      </c>
      <c r="BA255" s="32">
        <v>92.1</v>
      </c>
      <c r="BB255" s="32">
        <v>92.1</v>
      </c>
      <c r="BC255" s="32">
        <v>111.4</v>
      </c>
      <c r="BD255" s="32">
        <v>111.4</v>
      </c>
      <c r="BE255" s="32">
        <v>101.3</v>
      </c>
      <c r="BF255" s="32">
        <v>101.3</v>
      </c>
      <c r="BG255" s="32">
        <v>111.3</v>
      </c>
      <c r="BH255" s="32">
        <v>128.4</v>
      </c>
      <c r="BI255" s="32">
        <v>90.7</v>
      </c>
      <c r="BJ255" s="32">
        <v>62.7</v>
      </c>
      <c r="BK255" s="32">
        <v>97.6</v>
      </c>
      <c r="BL255" s="32">
        <v>108.3</v>
      </c>
      <c r="BM255" s="32">
        <v>96.9</v>
      </c>
      <c r="BN255" s="32">
        <v>105.8</v>
      </c>
      <c r="BO255" s="32">
        <v>95.7</v>
      </c>
      <c r="BP255" s="32">
        <v>114.4</v>
      </c>
      <c r="BQ255" s="32">
        <v>88.2</v>
      </c>
      <c r="BR255" s="32">
        <v>116.6</v>
      </c>
      <c r="BS255" s="32">
        <v>75.7</v>
      </c>
      <c r="BT255" s="32">
        <v>88.9</v>
      </c>
      <c r="BU255" s="32">
        <v>120.3</v>
      </c>
      <c r="BV255" s="32">
        <v>120.3</v>
      </c>
      <c r="BW255" s="32">
        <v>140.4</v>
      </c>
      <c r="BX255" s="32">
        <v>69.900000000000006</v>
      </c>
      <c r="BY255" s="32">
        <v>92.4</v>
      </c>
      <c r="BZ255" s="32">
        <v>95.3</v>
      </c>
      <c r="CA255" s="32">
        <v>91</v>
      </c>
      <c r="CB255" s="32">
        <v>97</v>
      </c>
      <c r="CC255" s="32">
        <v>87.6</v>
      </c>
      <c r="CD255" s="32">
        <v>60.8</v>
      </c>
      <c r="CE255" s="32">
        <v>95.4</v>
      </c>
      <c r="CF255" s="32">
        <v>94.9</v>
      </c>
      <c r="CG255" s="32">
        <v>104.4</v>
      </c>
      <c r="CH255" s="32">
        <v>107.5</v>
      </c>
      <c r="CI255" s="32">
        <v>125.6</v>
      </c>
      <c r="CJ255" s="32">
        <v>98.3</v>
      </c>
      <c r="CK255" s="32">
        <v>110.7</v>
      </c>
      <c r="CL255" s="32">
        <v>97.7</v>
      </c>
      <c r="CM255" s="32">
        <v>104.5</v>
      </c>
      <c r="CN255" s="32">
        <v>148.69999999999999</v>
      </c>
      <c r="CO255" s="32">
        <v>93.3</v>
      </c>
      <c r="CP255" s="32">
        <v>143.6</v>
      </c>
      <c r="CQ255" s="32">
        <v>141.80000000000001</v>
      </c>
      <c r="CR255" s="32">
        <v>104.7</v>
      </c>
      <c r="CS255" s="32">
        <v>100.4</v>
      </c>
      <c r="CT255" s="32">
        <v>100.9</v>
      </c>
      <c r="CU255" s="32">
        <v>98.6</v>
      </c>
      <c r="CV255" s="32">
        <v>102</v>
      </c>
      <c r="CW255" s="32">
        <v>71</v>
      </c>
      <c r="CX255" s="32">
        <v>100.8</v>
      </c>
      <c r="CY255" s="32">
        <v>106</v>
      </c>
      <c r="CZ255" s="32">
        <v>97.7</v>
      </c>
      <c r="DA255" s="32">
        <v>91.4</v>
      </c>
      <c r="DB255" s="32">
        <v>110.8</v>
      </c>
      <c r="DC255" s="32">
        <v>42.5</v>
      </c>
      <c r="DD255" s="32">
        <v>42.5</v>
      </c>
      <c r="DE255" s="32">
        <v>82.8</v>
      </c>
      <c r="DF255" s="32">
        <v>83.2</v>
      </c>
      <c r="DG255" s="32">
        <v>80.5</v>
      </c>
      <c r="DH255" s="32">
        <v>104.7</v>
      </c>
      <c r="DI255" s="32">
        <v>131.9</v>
      </c>
      <c r="DJ255" s="32">
        <v>90.2</v>
      </c>
      <c r="DK255" s="32">
        <v>90.2</v>
      </c>
      <c r="DL255" s="32">
        <v>79.3</v>
      </c>
      <c r="DM255" s="32">
        <v>95</v>
      </c>
      <c r="DN255" s="32">
        <v>95</v>
      </c>
      <c r="DO255" s="32">
        <v>95.3</v>
      </c>
      <c r="DP255" s="32">
        <v>88.4</v>
      </c>
      <c r="DQ255" s="32">
        <v>90</v>
      </c>
      <c r="DR255" s="32">
        <v>85.8</v>
      </c>
      <c r="DS255" s="32">
        <v>87.4</v>
      </c>
      <c r="DT255" s="32">
        <v>83.9</v>
      </c>
      <c r="DU255" s="32">
        <v>85.9</v>
      </c>
      <c r="DV255" s="32">
        <v>97</v>
      </c>
      <c r="DW255" s="32">
        <v>74.3</v>
      </c>
      <c r="DX255" s="32">
        <v>80</v>
      </c>
      <c r="DY255" s="32">
        <v>100.1</v>
      </c>
      <c r="DZ255" s="32">
        <v>76</v>
      </c>
      <c r="EA255" s="32">
        <v>76</v>
      </c>
      <c r="EB255" s="32">
        <v>85.5</v>
      </c>
      <c r="EC255" s="32">
        <v>85.8</v>
      </c>
      <c r="ED255" s="32">
        <v>85.1</v>
      </c>
      <c r="EE255" s="32">
        <v>88.4</v>
      </c>
      <c r="EF255" s="32">
        <v>78.3</v>
      </c>
      <c r="EG255" s="32">
        <v>96.9</v>
      </c>
      <c r="EH255" s="32">
        <v>120.8</v>
      </c>
      <c r="EI255" s="32">
        <v>96.8</v>
      </c>
      <c r="EJ255" s="32">
        <v>111.9</v>
      </c>
      <c r="EK255" s="32">
        <v>83.6</v>
      </c>
      <c r="EL255" s="32">
        <v>97.2</v>
      </c>
      <c r="EM255" s="32">
        <v>81</v>
      </c>
      <c r="EN255" s="32">
        <v>83.3</v>
      </c>
      <c r="EO255" s="32">
        <v>96.5</v>
      </c>
      <c r="EP255" s="32">
        <v>91.3</v>
      </c>
      <c r="EQ255" s="32">
        <v>91.3</v>
      </c>
      <c r="ER255" s="32">
        <v>86.3</v>
      </c>
      <c r="ES255" s="32">
        <v>86.3</v>
      </c>
      <c r="ET255" s="32">
        <v>111.8</v>
      </c>
      <c r="EU255" s="32">
        <v>125.3</v>
      </c>
      <c r="EV255" s="32">
        <v>125.3</v>
      </c>
      <c r="EW255" s="32">
        <v>97.1</v>
      </c>
      <c r="EX255" s="32">
        <v>92.7</v>
      </c>
      <c r="EY255" s="32">
        <v>100.7</v>
      </c>
      <c r="EZ255" s="32">
        <v>103.4</v>
      </c>
      <c r="FA255" s="32">
        <v>103.5</v>
      </c>
      <c r="FB255" s="32">
        <v>109.3</v>
      </c>
      <c r="FC255" s="32">
        <v>95.3</v>
      </c>
      <c r="FD255" s="32">
        <v>104.4</v>
      </c>
      <c r="FE255" s="32">
        <v>136.6</v>
      </c>
      <c r="FF255" s="32">
        <v>96.9</v>
      </c>
      <c r="FG255" s="32">
        <v>100</v>
      </c>
      <c r="FH255" s="32">
        <v>91</v>
      </c>
      <c r="FI255" s="32">
        <v>119.6</v>
      </c>
      <c r="FJ255" s="32">
        <v>101.6</v>
      </c>
      <c r="FK255" s="32">
        <v>158.80000000000001</v>
      </c>
      <c r="FL255" s="32">
        <v>158.80000000000001</v>
      </c>
    </row>
    <row r="256" spans="1:168" x14ac:dyDescent="0.2">
      <c r="A256" s="34" t="s">
        <v>1236</v>
      </c>
      <c r="B256" s="32">
        <v>95.6</v>
      </c>
      <c r="C256" s="32">
        <v>92.3</v>
      </c>
      <c r="D256" s="32">
        <v>100.2</v>
      </c>
      <c r="E256" s="32">
        <v>102.1</v>
      </c>
      <c r="F256" s="32">
        <v>119.2</v>
      </c>
      <c r="G256" s="32">
        <v>231.6</v>
      </c>
      <c r="H256" s="32">
        <v>127.2</v>
      </c>
      <c r="I256" s="32">
        <v>96.2</v>
      </c>
      <c r="J256" s="32">
        <v>100.2</v>
      </c>
      <c r="K256" s="32">
        <v>93.1</v>
      </c>
      <c r="L256" s="32">
        <v>91.3</v>
      </c>
      <c r="M256" s="32">
        <v>73.900000000000006</v>
      </c>
      <c r="N256" s="32">
        <v>82.2</v>
      </c>
      <c r="O256" s="32">
        <v>177.1</v>
      </c>
      <c r="P256" s="32">
        <v>116.3</v>
      </c>
      <c r="Q256" s="32">
        <v>128.30000000000001</v>
      </c>
      <c r="R256" s="32">
        <v>96</v>
      </c>
      <c r="S256" s="32">
        <v>93</v>
      </c>
      <c r="T256" s="32">
        <v>125.1</v>
      </c>
      <c r="U256" s="32">
        <v>137.5</v>
      </c>
      <c r="V256" s="32">
        <v>90.7</v>
      </c>
      <c r="W256" s="32">
        <v>98.3</v>
      </c>
      <c r="X256" s="32">
        <v>93.1</v>
      </c>
      <c r="Y256" s="32">
        <v>110.6</v>
      </c>
      <c r="Z256" s="32">
        <v>104.6</v>
      </c>
      <c r="AA256" s="32">
        <v>116.4</v>
      </c>
      <c r="AB256" s="32">
        <v>111.7</v>
      </c>
      <c r="AC256" s="32">
        <v>108.3</v>
      </c>
      <c r="AD256" s="32">
        <v>128.5</v>
      </c>
      <c r="AE256" s="32">
        <v>124.2</v>
      </c>
      <c r="AF256" s="32">
        <v>124.2</v>
      </c>
      <c r="AG256" s="32">
        <v>98.2</v>
      </c>
      <c r="AH256" s="32">
        <v>98.2</v>
      </c>
      <c r="AI256" s="32">
        <v>73.5</v>
      </c>
      <c r="AJ256" s="32">
        <v>167.7</v>
      </c>
      <c r="AK256" s="32">
        <v>118.5</v>
      </c>
      <c r="AL256" s="32">
        <v>83.4</v>
      </c>
      <c r="AM256" s="32">
        <v>76.5</v>
      </c>
      <c r="AN256" s="32">
        <v>122.6</v>
      </c>
      <c r="AO256" s="32">
        <v>81.2</v>
      </c>
      <c r="AP256" s="32">
        <v>81.2</v>
      </c>
      <c r="AQ256" s="32">
        <v>108.2</v>
      </c>
      <c r="AR256" s="32">
        <v>109.6</v>
      </c>
      <c r="AS256" s="32">
        <v>106.9</v>
      </c>
      <c r="AT256" s="32">
        <v>93.5</v>
      </c>
      <c r="AU256" s="32">
        <v>119.7</v>
      </c>
      <c r="AV256" s="32">
        <v>110.7</v>
      </c>
      <c r="AW256" s="32">
        <v>148.4</v>
      </c>
      <c r="AX256" s="32">
        <v>223.3</v>
      </c>
      <c r="AY256" s="32">
        <v>128.9</v>
      </c>
      <c r="AZ256" s="32">
        <v>105.5</v>
      </c>
      <c r="BA256" s="32">
        <v>92.1</v>
      </c>
      <c r="BB256" s="32">
        <v>92.1</v>
      </c>
      <c r="BC256" s="32">
        <v>111</v>
      </c>
      <c r="BD256" s="32">
        <v>111</v>
      </c>
      <c r="BE256" s="32">
        <v>103.6</v>
      </c>
      <c r="BF256" s="32">
        <v>103.6</v>
      </c>
      <c r="BG256" s="32">
        <v>105.8</v>
      </c>
      <c r="BH256" s="32">
        <v>115.9</v>
      </c>
      <c r="BI256" s="32">
        <v>93.3</v>
      </c>
      <c r="BJ256" s="32">
        <v>63</v>
      </c>
      <c r="BK256" s="32">
        <v>101</v>
      </c>
      <c r="BL256" s="32">
        <v>112.4</v>
      </c>
      <c r="BM256" s="32">
        <v>100.1</v>
      </c>
      <c r="BN256" s="32">
        <v>109.2</v>
      </c>
      <c r="BO256" s="32">
        <v>95</v>
      </c>
      <c r="BP256" s="32">
        <v>121.6</v>
      </c>
      <c r="BQ256" s="32">
        <v>91.1</v>
      </c>
      <c r="BR256" s="32">
        <v>113.3</v>
      </c>
      <c r="BS256" s="32">
        <v>86.2</v>
      </c>
      <c r="BT256" s="32">
        <v>90</v>
      </c>
      <c r="BU256" s="32">
        <v>122.4</v>
      </c>
      <c r="BV256" s="32">
        <v>122.4</v>
      </c>
      <c r="BW256" s="32">
        <v>140</v>
      </c>
      <c r="BX256" s="32">
        <v>75.599999999999994</v>
      </c>
      <c r="BY256" s="32">
        <v>92.3</v>
      </c>
      <c r="BZ256" s="32">
        <v>94.6</v>
      </c>
      <c r="CA256" s="32">
        <v>91.1</v>
      </c>
      <c r="CB256" s="32">
        <v>97.3</v>
      </c>
      <c r="CC256" s="32">
        <v>87.5</v>
      </c>
      <c r="CD256" s="32">
        <v>62.1</v>
      </c>
      <c r="CE256" s="32">
        <v>97.2</v>
      </c>
      <c r="CF256" s="32">
        <v>94.9</v>
      </c>
      <c r="CG256" s="32">
        <v>103.9</v>
      </c>
      <c r="CH256" s="32">
        <v>107.6</v>
      </c>
      <c r="CI256" s="32">
        <v>124.7</v>
      </c>
      <c r="CJ256" s="32">
        <v>99.1</v>
      </c>
      <c r="CK256" s="32">
        <v>110.5</v>
      </c>
      <c r="CL256" s="32">
        <v>96.9</v>
      </c>
      <c r="CM256" s="32">
        <v>103</v>
      </c>
      <c r="CN256" s="32">
        <v>142.1</v>
      </c>
      <c r="CO256" s="32">
        <v>92.5</v>
      </c>
      <c r="CP256" s="32">
        <v>140.5</v>
      </c>
      <c r="CQ256" s="32">
        <v>141.9</v>
      </c>
      <c r="CR256" s="32">
        <v>104.3</v>
      </c>
      <c r="CS256" s="32">
        <v>100.6</v>
      </c>
      <c r="CT256" s="32">
        <v>99.3</v>
      </c>
      <c r="CU256" s="32">
        <v>100.1</v>
      </c>
      <c r="CV256" s="32">
        <v>99.1</v>
      </c>
      <c r="CW256" s="32">
        <v>71.7</v>
      </c>
      <c r="CX256" s="32">
        <v>99.6</v>
      </c>
      <c r="CY256" s="32">
        <v>102.5</v>
      </c>
      <c r="CZ256" s="32">
        <v>97.9</v>
      </c>
      <c r="DA256" s="32">
        <v>95.2</v>
      </c>
      <c r="DB256" s="32">
        <v>103.4</v>
      </c>
      <c r="DC256" s="32">
        <v>43.8</v>
      </c>
      <c r="DD256" s="32">
        <v>43.8</v>
      </c>
      <c r="DE256" s="32">
        <v>83.5</v>
      </c>
      <c r="DF256" s="32">
        <v>83.9</v>
      </c>
      <c r="DG256" s="32">
        <v>81.400000000000006</v>
      </c>
      <c r="DH256" s="32">
        <v>106</v>
      </c>
      <c r="DI256" s="32">
        <v>131.5</v>
      </c>
      <c r="DJ256" s="32">
        <v>92.8</v>
      </c>
      <c r="DK256" s="32">
        <v>92.8</v>
      </c>
      <c r="DL256" s="32">
        <v>81.900000000000006</v>
      </c>
      <c r="DM256" s="32">
        <v>95.3</v>
      </c>
      <c r="DN256" s="32">
        <v>95.2</v>
      </c>
      <c r="DO256" s="32">
        <v>95.7</v>
      </c>
      <c r="DP256" s="32">
        <v>88.5</v>
      </c>
      <c r="DQ256" s="32">
        <v>90.6</v>
      </c>
      <c r="DR256" s="32">
        <v>86.7</v>
      </c>
      <c r="DS256" s="32">
        <v>87.8</v>
      </c>
      <c r="DT256" s="32">
        <v>84.1</v>
      </c>
      <c r="DU256" s="32">
        <v>86.1</v>
      </c>
      <c r="DV256" s="32">
        <v>96.5</v>
      </c>
      <c r="DW256" s="32">
        <v>75.3</v>
      </c>
      <c r="DX256" s="32">
        <v>80.099999999999994</v>
      </c>
      <c r="DY256" s="32">
        <v>101.5</v>
      </c>
      <c r="DZ256" s="32">
        <v>81.8</v>
      </c>
      <c r="EA256" s="32">
        <v>81.8</v>
      </c>
      <c r="EB256" s="32">
        <v>85.6</v>
      </c>
      <c r="EC256" s="32">
        <v>87.1</v>
      </c>
      <c r="ED256" s="32">
        <v>83.8</v>
      </c>
      <c r="EE256" s="32">
        <v>87</v>
      </c>
      <c r="EF256" s="32">
        <v>77.099999999999994</v>
      </c>
      <c r="EG256" s="32">
        <v>96.8</v>
      </c>
      <c r="EH256" s="32">
        <v>117.8</v>
      </c>
      <c r="EI256" s="32">
        <v>97.1</v>
      </c>
      <c r="EJ256" s="32">
        <v>114.6</v>
      </c>
      <c r="EK256" s="32">
        <v>83.9</v>
      </c>
      <c r="EL256" s="32">
        <v>96</v>
      </c>
      <c r="EM256" s="32">
        <v>80.2</v>
      </c>
      <c r="EN256" s="32">
        <v>84.4</v>
      </c>
      <c r="EO256" s="32">
        <v>95.5</v>
      </c>
      <c r="EP256" s="32">
        <v>91.3</v>
      </c>
      <c r="EQ256" s="32">
        <v>91.3</v>
      </c>
      <c r="ER256" s="32">
        <v>85.4</v>
      </c>
      <c r="ES256" s="32">
        <v>85.4</v>
      </c>
      <c r="ET256" s="32">
        <v>110</v>
      </c>
      <c r="EU256" s="32">
        <v>122.3</v>
      </c>
      <c r="EV256" s="32">
        <v>122.3</v>
      </c>
      <c r="EW256" s="32">
        <v>97</v>
      </c>
      <c r="EX256" s="32">
        <v>91.9</v>
      </c>
      <c r="EY256" s="32">
        <v>101.3</v>
      </c>
      <c r="EZ256" s="32">
        <v>103.2</v>
      </c>
      <c r="FA256" s="32">
        <v>103.2</v>
      </c>
      <c r="FB256" s="32">
        <v>108.6</v>
      </c>
      <c r="FC256" s="32">
        <v>96.4</v>
      </c>
      <c r="FD256" s="32">
        <v>100.8</v>
      </c>
      <c r="FE256" s="32">
        <v>134</v>
      </c>
      <c r="FF256" s="32">
        <v>97.1</v>
      </c>
      <c r="FG256" s="32">
        <v>100.1</v>
      </c>
      <c r="FH256" s="32">
        <v>90.3</v>
      </c>
      <c r="FI256" s="32">
        <v>121.1</v>
      </c>
      <c r="FJ256" s="32">
        <v>101.9</v>
      </c>
      <c r="FK256" s="32">
        <v>156.30000000000001</v>
      </c>
      <c r="FL256" s="32">
        <v>156.30000000000001</v>
      </c>
    </row>
    <row r="257" spans="1:168" x14ac:dyDescent="0.2">
      <c r="A257" s="34" t="s">
        <v>1237</v>
      </c>
      <c r="B257" s="32">
        <v>95.9</v>
      </c>
      <c r="C257" s="32">
        <v>89.9</v>
      </c>
      <c r="D257" s="32">
        <v>100.9</v>
      </c>
      <c r="E257" s="32">
        <v>101.9</v>
      </c>
      <c r="F257" s="32">
        <v>94.4</v>
      </c>
      <c r="G257" s="32">
        <v>230.2</v>
      </c>
      <c r="H257" s="32">
        <v>94.3</v>
      </c>
      <c r="I257" s="32">
        <v>99.7</v>
      </c>
      <c r="J257" s="32">
        <v>101.4</v>
      </c>
      <c r="K257" s="32">
        <v>93.5</v>
      </c>
      <c r="L257" s="32">
        <v>93.2</v>
      </c>
      <c r="M257" s="32">
        <v>74.599999999999994</v>
      </c>
      <c r="N257" s="32">
        <v>83.5</v>
      </c>
      <c r="O257" s="32">
        <v>176.4</v>
      </c>
      <c r="P257" s="32">
        <v>126.7</v>
      </c>
      <c r="Q257" s="32">
        <v>134.30000000000001</v>
      </c>
      <c r="R257" s="32">
        <v>96.3</v>
      </c>
      <c r="S257" s="32">
        <v>94.9</v>
      </c>
      <c r="T257" s="32">
        <v>123.7</v>
      </c>
      <c r="U257" s="32">
        <v>137.5</v>
      </c>
      <c r="V257" s="32">
        <v>85.2</v>
      </c>
      <c r="W257" s="32">
        <v>99.4</v>
      </c>
      <c r="X257" s="32">
        <v>92.1</v>
      </c>
      <c r="Y257" s="32">
        <v>116.2</v>
      </c>
      <c r="Z257" s="32">
        <v>103.9</v>
      </c>
      <c r="AA257" s="32">
        <v>117.3</v>
      </c>
      <c r="AB257" s="32">
        <v>118</v>
      </c>
      <c r="AC257" s="32">
        <v>108.7</v>
      </c>
      <c r="AD257" s="32">
        <v>126.4</v>
      </c>
      <c r="AE257" s="32">
        <v>124.7</v>
      </c>
      <c r="AF257" s="32">
        <v>124.7</v>
      </c>
      <c r="AG257" s="32">
        <v>97.5</v>
      </c>
      <c r="AH257" s="32">
        <v>97.5</v>
      </c>
      <c r="AI257" s="32">
        <v>67.8</v>
      </c>
      <c r="AJ257" s="32">
        <v>164.3</v>
      </c>
      <c r="AK257" s="32">
        <v>117.4</v>
      </c>
      <c r="AL257" s="32">
        <v>79.7</v>
      </c>
      <c r="AM257" s="32">
        <v>80.8</v>
      </c>
      <c r="AN257" s="32">
        <v>116.9</v>
      </c>
      <c r="AO257" s="32">
        <v>80.8</v>
      </c>
      <c r="AP257" s="32">
        <v>80.8</v>
      </c>
      <c r="AQ257" s="32">
        <v>105.8</v>
      </c>
      <c r="AR257" s="32">
        <v>104.3</v>
      </c>
      <c r="AS257" s="32">
        <v>108.3</v>
      </c>
      <c r="AT257" s="32">
        <v>94.7</v>
      </c>
      <c r="AU257" s="32">
        <v>121.3</v>
      </c>
      <c r="AV257" s="32">
        <v>114.8</v>
      </c>
      <c r="AW257" s="32">
        <v>149</v>
      </c>
      <c r="AX257" s="32">
        <v>211.7</v>
      </c>
      <c r="AY257" s="32">
        <v>136.69999999999999</v>
      </c>
      <c r="AZ257" s="32">
        <v>110.2</v>
      </c>
      <c r="BA257" s="32">
        <v>96</v>
      </c>
      <c r="BB257" s="32">
        <v>96</v>
      </c>
      <c r="BC257" s="32">
        <v>110.2</v>
      </c>
      <c r="BD257" s="32">
        <v>110.2</v>
      </c>
      <c r="BE257" s="32">
        <v>106.5</v>
      </c>
      <c r="BF257" s="32">
        <v>106.5</v>
      </c>
      <c r="BG257" s="32">
        <v>106.1</v>
      </c>
      <c r="BH257" s="32">
        <v>115</v>
      </c>
      <c r="BI257" s="32">
        <v>95.4</v>
      </c>
      <c r="BJ257" s="32">
        <v>63.2</v>
      </c>
      <c r="BK257" s="32">
        <v>103.8</v>
      </c>
      <c r="BL257" s="32">
        <v>111.8</v>
      </c>
      <c r="BM257" s="32">
        <v>104.1</v>
      </c>
      <c r="BN257" s="32">
        <v>108.3</v>
      </c>
      <c r="BO257" s="32">
        <v>99.2</v>
      </c>
      <c r="BP257" s="32">
        <v>115.8</v>
      </c>
      <c r="BQ257" s="32">
        <v>99.9</v>
      </c>
      <c r="BR257" s="32">
        <v>98.9</v>
      </c>
      <c r="BS257" s="32">
        <v>93.7</v>
      </c>
      <c r="BT257" s="32">
        <v>102</v>
      </c>
      <c r="BU257" s="32">
        <v>124.9</v>
      </c>
      <c r="BV257" s="32">
        <v>124.9</v>
      </c>
      <c r="BW257" s="32">
        <v>141.69999999999999</v>
      </c>
      <c r="BX257" s="32">
        <v>79.099999999999994</v>
      </c>
      <c r="BY257" s="32">
        <v>92.3</v>
      </c>
      <c r="BZ257" s="32">
        <v>97.3</v>
      </c>
      <c r="CA257" s="32">
        <v>90</v>
      </c>
      <c r="CB257" s="32">
        <v>96.4</v>
      </c>
      <c r="CC257" s="32">
        <v>85.9</v>
      </c>
      <c r="CD257" s="32">
        <v>61.7</v>
      </c>
      <c r="CE257" s="32">
        <v>100</v>
      </c>
      <c r="CF257" s="32">
        <v>95.1</v>
      </c>
      <c r="CG257" s="32">
        <v>103.7</v>
      </c>
      <c r="CH257" s="32">
        <v>107.4</v>
      </c>
      <c r="CI257" s="32">
        <v>125.3</v>
      </c>
      <c r="CJ257" s="32">
        <v>99.2</v>
      </c>
      <c r="CK257" s="32">
        <v>110</v>
      </c>
      <c r="CL257" s="32">
        <v>96.3</v>
      </c>
      <c r="CM257" s="32">
        <v>101.9</v>
      </c>
      <c r="CN257" s="32">
        <v>136.1</v>
      </c>
      <c r="CO257" s="32">
        <v>92.1</v>
      </c>
      <c r="CP257" s="32">
        <v>136.6</v>
      </c>
      <c r="CQ257" s="32">
        <v>141.19999999999999</v>
      </c>
      <c r="CR257" s="32">
        <v>104.2</v>
      </c>
      <c r="CS257" s="32">
        <v>100.5</v>
      </c>
      <c r="CT257" s="32">
        <v>99.1</v>
      </c>
      <c r="CU257" s="32">
        <v>100.9</v>
      </c>
      <c r="CV257" s="32">
        <v>98.4</v>
      </c>
      <c r="CW257" s="32">
        <v>72.099999999999994</v>
      </c>
      <c r="CX257" s="32">
        <v>98.2</v>
      </c>
      <c r="CY257" s="32">
        <v>98.9</v>
      </c>
      <c r="CZ257" s="32">
        <v>97.6</v>
      </c>
      <c r="DA257" s="32">
        <v>92.9</v>
      </c>
      <c r="DB257" s="32">
        <v>107.4</v>
      </c>
      <c r="DC257" s="32">
        <v>45.9</v>
      </c>
      <c r="DD257" s="32">
        <v>45.9</v>
      </c>
      <c r="DE257" s="32">
        <v>82.6</v>
      </c>
      <c r="DF257" s="32">
        <v>82.2</v>
      </c>
      <c r="DG257" s="32">
        <v>84.7</v>
      </c>
      <c r="DH257" s="32">
        <v>108.3</v>
      </c>
      <c r="DI257" s="32">
        <v>136.80000000000001</v>
      </c>
      <c r="DJ257" s="32">
        <v>93.5</v>
      </c>
      <c r="DK257" s="32">
        <v>93.5</v>
      </c>
      <c r="DL257" s="32">
        <v>81.7</v>
      </c>
      <c r="DM257" s="32">
        <v>95.6</v>
      </c>
      <c r="DN257" s="32">
        <v>94.8</v>
      </c>
      <c r="DO257" s="32">
        <v>96.3</v>
      </c>
      <c r="DP257" s="32">
        <v>87.7</v>
      </c>
      <c r="DQ257" s="32">
        <v>91.6</v>
      </c>
      <c r="DR257" s="32">
        <v>88.2</v>
      </c>
      <c r="DS257" s="32">
        <v>87.6</v>
      </c>
      <c r="DT257" s="32">
        <v>83.4</v>
      </c>
      <c r="DU257" s="32">
        <v>85.2</v>
      </c>
      <c r="DV257" s="32">
        <v>92.7</v>
      </c>
      <c r="DW257" s="32">
        <v>77.3</v>
      </c>
      <c r="DX257" s="32">
        <v>79.8</v>
      </c>
      <c r="DY257" s="32">
        <v>102.9</v>
      </c>
      <c r="DZ257" s="32">
        <v>101.9</v>
      </c>
      <c r="EA257" s="32">
        <v>101.9</v>
      </c>
      <c r="EB257" s="32">
        <v>84</v>
      </c>
      <c r="EC257" s="32">
        <v>85.4</v>
      </c>
      <c r="ED257" s="32">
        <v>82.1</v>
      </c>
      <c r="EE257" s="32">
        <v>84.8</v>
      </c>
      <c r="EF257" s="32">
        <v>76.599999999999994</v>
      </c>
      <c r="EG257" s="32">
        <v>97</v>
      </c>
      <c r="EH257" s="32">
        <v>111</v>
      </c>
      <c r="EI257" s="32">
        <v>97.9</v>
      </c>
      <c r="EJ257" s="32">
        <v>115.8</v>
      </c>
      <c r="EK257" s="32">
        <v>86.1</v>
      </c>
      <c r="EL257" s="32">
        <v>94.9</v>
      </c>
      <c r="EM257" s="32">
        <v>81.5</v>
      </c>
      <c r="EN257" s="32">
        <v>87.6</v>
      </c>
      <c r="EO257" s="32">
        <v>94</v>
      </c>
      <c r="EP257" s="32">
        <v>91.1</v>
      </c>
      <c r="EQ257" s="32">
        <v>91.1</v>
      </c>
      <c r="ER257" s="32">
        <v>86.3</v>
      </c>
      <c r="ES257" s="32">
        <v>86.3</v>
      </c>
      <c r="ET257" s="32">
        <v>105.2</v>
      </c>
      <c r="EU257" s="32">
        <v>114.5</v>
      </c>
      <c r="EV257" s="32">
        <v>114.5</v>
      </c>
      <c r="EW257" s="32">
        <v>97.3</v>
      </c>
      <c r="EX257" s="32">
        <v>91.4</v>
      </c>
      <c r="EY257" s="32">
        <v>102.1</v>
      </c>
      <c r="EZ257" s="32">
        <v>103.7</v>
      </c>
      <c r="FA257" s="32">
        <v>103.4</v>
      </c>
      <c r="FB257" s="32">
        <v>109.1</v>
      </c>
      <c r="FC257" s="32">
        <v>97.6</v>
      </c>
      <c r="FD257" s="32">
        <v>106.9</v>
      </c>
      <c r="FE257" s="32">
        <v>130.30000000000001</v>
      </c>
      <c r="FF257" s="32">
        <v>96.9</v>
      </c>
      <c r="FG257" s="32">
        <v>100.8</v>
      </c>
      <c r="FH257" s="32">
        <v>90.6</v>
      </c>
      <c r="FI257" s="32">
        <v>131.4</v>
      </c>
      <c r="FJ257" s="32">
        <v>101.7</v>
      </c>
      <c r="FK257" s="32">
        <v>157.6</v>
      </c>
      <c r="FL257" s="32">
        <v>157.6</v>
      </c>
    </row>
    <row r="258" spans="1:168" x14ac:dyDescent="0.2">
      <c r="A258" s="34" t="s">
        <v>1238</v>
      </c>
      <c r="B258" s="32">
        <v>95.7</v>
      </c>
      <c r="C258" s="32">
        <v>87.4</v>
      </c>
      <c r="D258" s="32">
        <v>100.7</v>
      </c>
      <c r="E258" s="32">
        <v>103.3</v>
      </c>
      <c r="F258" s="32">
        <v>120.3</v>
      </c>
      <c r="G258" s="32">
        <v>165.8</v>
      </c>
      <c r="H258" s="32">
        <v>129.6</v>
      </c>
      <c r="I258" s="32">
        <v>94.1</v>
      </c>
      <c r="J258" s="32">
        <v>102.3</v>
      </c>
      <c r="K258" s="32">
        <v>95.8</v>
      </c>
      <c r="L258" s="32">
        <v>95.1</v>
      </c>
      <c r="M258" s="32">
        <v>76.900000000000006</v>
      </c>
      <c r="N258" s="32">
        <v>86.5</v>
      </c>
      <c r="O258" s="32">
        <v>161.80000000000001</v>
      </c>
      <c r="P258" s="32">
        <v>134.6</v>
      </c>
      <c r="Q258" s="32">
        <v>138.69999999999999</v>
      </c>
      <c r="R258" s="32">
        <v>96.5</v>
      </c>
      <c r="S258" s="32">
        <v>95.3</v>
      </c>
      <c r="T258" s="32">
        <v>126.6</v>
      </c>
      <c r="U258" s="32">
        <v>134.9</v>
      </c>
      <c r="V258" s="32">
        <v>89.9</v>
      </c>
      <c r="W258" s="32">
        <v>96.6</v>
      </c>
      <c r="X258" s="32">
        <v>90.5</v>
      </c>
      <c r="Y258" s="32">
        <v>112.2</v>
      </c>
      <c r="Z258" s="32">
        <v>93.3</v>
      </c>
      <c r="AA258" s="32">
        <v>116.9</v>
      </c>
      <c r="AB258" s="32">
        <v>115.8</v>
      </c>
      <c r="AC258" s="32">
        <v>109</v>
      </c>
      <c r="AD258" s="32">
        <v>126.6</v>
      </c>
      <c r="AE258" s="32">
        <v>120.6</v>
      </c>
      <c r="AF258" s="32">
        <v>120.6</v>
      </c>
      <c r="AG258" s="32">
        <v>96.3</v>
      </c>
      <c r="AH258" s="32">
        <v>96.3</v>
      </c>
      <c r="AI258" s="32">
        <v>69</v>
      </c>
      <c r="AJ258" s="32">
        <v>164.4</v>
      </c>
      <c r="AK258" s="32">
        <v>115.6</v>
      </c>
      <c r="AL258" s="32">
        <v>92.1</v>
      </c>
      <c r="AM258" s="32">
        <v>77.099999999999994</v>
      </c>
      <c r="AN258" s="32">
        <v>108.6</v>
      </c>
      <c r="AO258" s="32">
        <v>78.400000000000006</v>
      </c>
      <c r="AP258" s="32">
        <v>78.400000000000006</v>
      </c>
      <c r="AQ258" s="32">
        <v>108.2</v>
      </c>
      <c r="AR258" s="32">
        <v>109.8</v>
      </c>
      <c r="AS258" s="32">
        <v>106.8</v>
      </c>
      <c r="AT258" s="32">
        <v>94.1</v>
      </c>
      <c r="AU258" s="32">
        <v>118.9</v>
      </c>
      <c r="AV258" s="32">
        <v>110.9</v>
      </c>
      <c r="AW258" s="32">
        <v>152</v>
      </c>
      <c r="AX258" s="32">
        <v>203.6</v>
      </c>
      <c r="AY258" s="32">
        <v>146.5</v>
      </c>
      <c r="AZ258" s="32">
        <v>104.9</v>
      </c>
      <c r="BA258" s="32">
        <v>100.1</v>
      </c>
      <c r="BB258" s="32">
        <v>100.1</v>
      </c>
      <c r="BC258" s="32">
        <v>107.7</v>
      </c>
      <c r="BD258" s="32">
        <v>107.7</v>
      </c>
      <c r="BE258" s="32">
        <v>109.4</v>
      </c>
      <c r="BF258" s="32">
        <v>109.4</v>
      </c>
      <c r="BG258" s="32">
        <v>111.3</v>
      </c>
      <c r="BH258" s="32">
        <v>123.6</v>
      </c>
      <c r="BI258" s="32">
        <v>96.4</v>
      </c>
      <c r="BJ258" s="32">
        <v>63.4</v>
      </c>
      <c r="BK258" s="32">
        <v>105.1</v>
      </c>
      <c r="BL258" s="32">
        <v>113.8</v>
      </c>
      <c r="BM258" s="32">
        <v>103.5</v>
      </c>
      <c r="BN258" s="32">
        <v>109.3</v>
      </c>
      <c r="BO258" s="32">
        <v>102.2</v>
      </c>
      <c r="BP258" s="32">
        <v>114.8</v>
      </c>
      <c r="BQ258" s="32">
        <v>97.7</v>
      </c>
      <c r="BR258" s="32">
        <v>127.8</v>
      </c>
      <c r="BS258" s="32">
        <v>98.7</v>
      </c>
      <c r="BT258" s="32">
        <v>93.6</v>
      </c>
      <c r="BU258" s="32">
        <v>118.7</v>
      </c>
      <c r="BV258" s="32">
        <v>118.7</v>
      </c>
      <c r="BW258" s="32">
        <v>135.1</v>
      </c>
      <c r="BX258" s="32">
        <v>74.3</v>
      </c>
      <c r="BY258" s="32">
        <v>91.3</v>
      </c>
      <c r="BZ258" s="32">
        <v>96.7</v>
      </c>
      <c r="CA258" s="32">
        <v>88.8</v>
      </c>
      <c r="CB258" s="32">
        <v>94.4</v>
      </c>
      <c r="CC258" s="32">
        <v>85.4</v>
      </c>
      <c r="CD258" s="32">
        <v>62.3</v>
      </c>
      <c r="CE258" s="32">
        <v>96.5</v>
      </c>
      <c r="CF258" s="32">
        <v>94.9</v>
      </c>
      <c r="CG258" s="32">
        <v>103</v>
      </c>
      <c r="CH258" s="32">
        <v>106.6</v>
      </c>
      <c r="CI258" s="32">
        <v>126.2</v>
      </c>
      <c r="CJ258" s="32">
        <v>98.3</v>
      </c>
      <c r="CK258" s="32">
        <v>108.8</v>
      </c>
      <c r="CL258" s="32">
        <v>96.5</v>
      </c>
      <c r="CM258" s="32">
        <v>102.7</v>
      </c>
      <c r="CN258" s="32">
        <v>135</v>
      </c>
      <c r="CO258" s="32">
        <v>93.1</v>
      </c>
      <c r="CP258" s="32">
        <v>133.9</v>
      </c>
      <c r="CQ258" s="32">
        <v>143.6</v>
      </c>
      <c r="CR258" s="32">
        <v>104.6</v>
      </c>
      <c r="CS258" s="32">
        <v>99.8</v>
      </c>
      <c r="CT258" s="32">
        <v>98</v>
      </c>
      <c r="CU258" s="32">
        <v>99.6</v>
      </c>
      <c r="CV258" s="32">
        <v>97.3</v>
      </c>
      <c r="CW258" s="32">
        <v>73.7</v>
      </c>
      <c r="CX258" s="32">
        <v>99.6</v>
      </c>
      <c r="CY258" s="32">
        <v>100.2</v>
      </c>
      <c r="CZ258" s="32">
        <v>99.2</v>
      </c>
      <c r="DA258" s="32">
        <v>95.4</v>
      </c>
      <c r="DB258" s="32">
        <v>106.7</v>
      </c>
      <c r="DC258" s="32">
        <v>48.6</v>
      </c>
      <c r="DD258" s="32">
        <v>48.6</v>
      </c>
      <c r="DE258" s="32">
        <v>83</v>
      </c>
      <c r="DF258" s="32">
        <v>82.6</v>
      </c>
      <c r="DG258" s="32">
        <v>84.3</v>
      </c>
      <c r="DH258" s="32">
        <v>104.5</v>
      </c>
      <c r="DI258" s="32">
        <v>127.6</v>
      </c>
      <c r="DJ258" s="32">
        <v>93.2</v>
      </c>
      <c r="DK258" s="32">
        <v>93.2</v>
      </c>
      <c r="DL258" s="32">
        <v>82</v>
      </c>
      <c r="DM258" s="32">
        <v>95.8</v>
      </c>
      <c r="DN258" s="32">
        <v>94.6</v>
      </c>
      <c r="DO258" s="32">
        <v>96.7</v>
      </c>
      <c r="DP258" s="32">
        <v>85.5</v>
      </c>
      <c r="DQ258" s="32">
        <v>91</v>
      </c>
      <c r="DR258" s="32">
        <v>87.6</v>
      </c>
      <c r="DS258" s="32">
        <v>88.7</v>
      </c>
      <c r="DT258" s="32">
        <v>85.2</v>
      </c>
      <c r="DU258" s="32">
        <v>87.9</v>
      </c>
      <c r="DV258" s="32">
        <v>98.2</v>
      </c>
      <c r="DW258" s="32">
        <v>77.2</v>
      </c>
      <c r="DX258" s="32">
        <v>79.7</v>
      </c>
      <c r="DY258" s="32">
        <v>101.5</v>
      </c>
      <c r="DZ258" s="32">
        <v>82.3</v>
      </c>
      <c r="EA258" s="32">
        <v>82.3</v>
      </c>
      <c r="EB258" s="32">
        <v>86.7</v>
      </c>
      <c r="EC258" s="32">
        <v>89.7</v>
      </c>
      <c r="ED258" s="32">
        <v>82.7</v>
      </c>
      <c r="EE258" s="32">
        <v>84.9</v>
      </c>
      <c r="EF258" s="32">
        <v>78.099999999999994</v>
      </c>
      <c r="EG258" s="32">
        <v>96.4</v>
      </c>
      <c r="EH258" s="32">
        <v>111.7</v>
      </c>
      <c r="EI258" s="32">
        <v>97.1</v>
      </c>
      <c r="EJ258" s="32">
        <v>116</v>
      </c>
      <c r="EK258" s="32">
        <v>85.1</v>
      </c>
      <c r="EL258" s="32">
        <v>98.5</v>
      </c>
      <c r="EM258" s="32">
        <v>81.5</v>
      </c>
      <c r="EN258" s="32">
        <v>85.4</v>
      </c>
      <c r="EO258" s="32">
        <v>95.2</v>
      </c>
      <c r="EP258" s="32">
        <v>90.9</v>
      </c>
      <c r="EQ258" s="32">
        <v>90.9</v>
      </c>
      <c r="ER258" s="32">
        <v>86.3</v>
      </c>
      <c r="ES258" s="32">
        <v>86.3</v>
      </c>
      <c r="ET258" s="32">
        <v>108.6</v>
      </c>
      <c r="EU258" s="32">
        <v>119.6</v>
      </c>
      <c r="EV258" s="32">
        <v>119.6</v>
      </c>
      <c r="EW258" s="32">
        <v>97.7</v>
      </c>
      <c r="EX258" s="32">
        <v>91.4</v>
      </c>
      <c r="EY258" s="32">
        <v>103</v>
      </c>
      <c r="EZ258" s="32">
        <v>103.7</v>
      </c>
      <c r="FA258" s="32">
        <v>102.6</v>
      </c>
      <c r="FB258" s="32">
        <v>107.7</v>
      </c>
      <c r="FC258" s="32">
        <v>96.9</v>
      </c>
      <c r="FD258" s="32">
        <v>108.1</v>
      </c>
      <c r="FE258" s="32">
        <v>126.5</v>
      </c>
      <c r="FF258" s="32">
        <v>96.7</v>
      </c>
      <c r="FG258" s="32">
        <v>101.2</v>
      </c>
      <c r="FH258" s="32">
        <v>91.4</v>
      </c>
      <c r="FI258" s="32">
        <v>124.5</v>
      </c>
      <c r="FJ258" s="32">
        <v>102.8</v>
      </c>
      <c r="FK258" s="32">
        <v>161.30000000000001</v>
      </c>
      <c r="FL258" s="32">
        <v>161.30000000000001</v>
      </c>
    </row>
    <row r="259" spans="1:168" x14ac:dyDescent="0.2">
      <c r="A259" s="34" t="s">
        <v>1239</v>
      </c>
      <c r="B259" s="32">
        <v>95.8</v>
      </c>
      <c r="C259" s="32">
        <v>85</v>
      </c>
      <c r="D259" s="32">
        <v>101.1</v>
      </c>
      <c r="E259" s="32">
        <v>103.9</v>
      </c>
      <c r="F259" s="32">
        <v>119.6</v>
      </c>
      <c r="G259" s="32">
        <v>213.7</v>
      </c>
      <c r="H259" s="32">
        <v>128</v>
      </c>
      <c r="I259" s="32">
        <v>95.5</v>
      </c>
      <c r="J259" s="32">
        <v>102.2</v>
      </c>
      <c r="K259" s="32">
        <v>97.5</v>
      </c>
      <c r="L259" s="32">
        <v>97.1</v>
      </c>
      <c r="M259" s="32">
        <v>79.400000000000006</v>
      </c>
      <c r="N259" s="32">
        <v>87.2</v>
      </c>
      <c r="O259" s="32">
        <v>160.6</v>
      </c>
      <c r="P259" s="32">
        <v>142.6</v>
      </c>
      <c r="Q259" s="32">
        <v>144</v>
      </c>
      <c r="R259" s="32">
        <v>97.9</v>
      </c>
      <c r="S259" s="32">
        <v>96.6</v>
      </c>
      <c r="T259" s="32">
        <v>123.1</v>
      </c>
      <c r="U259" s="32">
        <v>136.6</v>
      </c>
      <c r="V259" s="32">
        <v>90.7</v>
      </c>
      <c r="W259" s="32">
        <v>93.4</v>
      </c>
      <c r="X259" s="32">
        <v>86.8</v>
      </c>
      <c r="Y259" s="32">
        <v>108.2</v>
      </c>
      <c r="Z259" s="32">
        <v>97.7</v>
      </c>
      <c r="AA259" s="32">
        <v>117.2</v>
      </c>
      <c r="AB259" s="32">
        <v>115.6</v>
      </c>
      <c r="AC259" s="32">
        <v>108</v>
      </c>
      <c r="AD259" s="32">
        <v>128.5</v>
      </c>
      <c r="AE259" s="32">
        <v>116.6</v>
      </c>
      <c r="AF259" s="32">
        <v>116.6</v>
      </c>
      <c r="AG259" s="32">
        <v>100.4</v>
      </c>
      <c r="AH259" s="32">
        <v>100.4</v>
      </c>
      <c r="AI259" s="32">
        <v>71</v>
      </c>
      <c r="AJ259" s="32">
        <v>165.4</v>
      </c>
      <c r="AK259" s="32">
        <v>127.8</v>
      </c>
      <c r="AL259" s="32">
        <v>86.1</v>
      </c>
      <c r="AM259" s="32">
        <v>82.8</v>
      </c>
      <c r="AN259" s="32">
        <v>117.9</v>
      </c>
      <c r="AO259" s="32">
        <v>78.8</v>
      </c>
      <c r="AP259" s="32">
        <v>78.8</v>
      </c>
      <c r="AQ259" s="32">
        <v>107</v>
      </c>
      <c r="AR259" s="32">
        <v>106.4</v>
      </c>
      <c r="AS259" s="32">
        <v>108.3</v>
      </c>
      <c r="AT259" s="32">
        <v>95.3</v>
      </c>
      <c r="AU259" s="32">
        <v>120.5</v>
      </c>
      <c r="AV259" s="32">
        <v>113</v>
      </c>
      <c r="AW259" s="32">
        <v>157.19999999999999</v>
      </c>
      <c r="AX259" s="32">
        <v>196.3</v>
      </c>
      <c r="AY259" s="32">
        <v>159.80000000000001</v>
      </c>
      <c r="AZ259" s="32">
        <v>106.5</v>
      </c>
      <c r="BA259" s="32">
        <v>97.9</v>
      </c>
      <c r="BB259" s="32">
        <v>97.9</v>
      </c>
      <c r="BC259" s="32">
        <v>105.1</v>
      </c>
      <c r="BD259" s="32">
        <v>105.1</v>
      </c>
      <c r="BE259" s="32">
        <v>107.1</v>
      </c>
      <c r="BF259" s="32">
        <v>107.1</v>
      </c>
      <c r="BG259" s="32">
        <v>110.9</v>
      </c>
      <c r="BH259" s="32">
        <v>122.9</v>
      </c>
      <c r="BI259" s="32">
        <v>96.5</v>
      </c>
      <c r="BJ259" s="32">
        <v>63.3</v>
      </c>
      <c r="BK259" s="32">
        <v>105</v>
      </c>
      <c r="BL259" s="32">
        <v>115.3</v>
      </c>
      <c r="BM259" s="32">
        <v>102</v>
      </c>
      <c r="BN259" s="32">
        <v>107.2</v>
      </c>
      <c r="BO259" s="32">
        <v>98.9</v>
      </c>
      <c r="BP259" s="32">
        <v>113.8</v>
      </c>
      <c r="BQ259" s="32">
        <v>96.8</v>
      </c>
      <c r="BR259" s="32">
        <v>152</v>
      </c>
      <c r="BS259" s="32">
        <v>94.4</v>
      </c>
      <c r="BT259" s="32">
        <v>90.8</v>
      </c>
      <c r="BU259" s="32">
        <v>126.6</v>
      </c>
      <c r="BV259" s="32">
        <v>126.6</v>
      </c>
      <c r="BW259" s="32">
        <v>143.6</v>
      </c>
      <c r="BX259" s="32">
        <v>80.2</v>
      </c>
      <c r="BY259" s="32">
        <v>91.6</v>
      </c>
      <c r="BZ259" s="32">
        <v>99.7</v>
      </c>
      <c r="CA259" s="32">
        <v>87.8</v>
      </c>
      <c r="CB259" s="32">
        <v>94.2</v>
      </c>
      <c r="CC259" s="32">
        <v>83.6</v>
      </c>
      <c r="CD259" s="32">
        <v>61.7</v>
      </c>
      <c r="CE259" s="32">
        <v>96.3</v>
      </c>
      <c r="CF259" s="32">
        <v>94.9</v>
      </c>
      <c r="CG259" s="32">
        <v>102.4</v>
      </c>
      <c r="CH259" s="32">
        <v>105.9</v>
      </c>
      <c r="CI259" s="32">
        <v>123.7</v>
      </c>
      <c r="CJ259" s="32">
        <v>97.2</v>
      </c>
      <c r="CK259" s="32">
        <v>108.8</v>
      </c>
      <c r="CL259" s="32">
        <v>95.9</v>
      </c>
      <c r="CM259" s="32">
        <v>101.3</v>
      </c>
      <c r="CN259" s="32">
        <v>136.6</v>
      </c>
      <c r="CO259" s="32">
        <v>91.4</v>
      </c>
      <c r="CP259" s="32">
        <v>133.1</v>
      </c>
      <c r="CQ259" s="32">
        <v>146.19999999999999</v>
      </c>
      <c r="CR259" s="32">
        <v>104.2</v>
      </c>
      <c r="CS259" s="32">
        <v>99.6</v>
      </c>
      <c r="CT259" s="32">
        <v>97.4</v>
      </c>
      <c r="CU259" s="32">
        <v>99.7</v>
      </c>
      <c r="CV259" s="32">
        <v>96.5</v>
      </c>
      <c r="CW259" s="32">
        <v>73.599999999999994</v>
      </c>
      <c r="CX259" s="32">
        <v>97</v>
      </c>
      <c r="CY259" s="32">
        <v>102.1</v>
      </c>
      <c r="CZ259" s="32">
        <v>94.1</v>
      </c>
      <c r="DA259" s="32">
        <v>93</v>
      </c>
      <c r="DB259" s="32">
        <v>96</v>
      </c>
      <c r="DC259" s="32">
        <v>50.8</v>
      </c>
      <c r="DD259" s="32">
        <v>50.8</v>
      </c>
      <c r="DE259" s="32">
        <v>81</v>
      </c>
      <c r="DF259" s="32">
        <v>80.400000000000006</v>
      </c>
      <c r="DG259" s="32">
        <v>84.2</v>
      </c>
      <c r="DH259" s="32">
        <v>104.7</v>
      </c>
      <c r="DI259" s="32">
        <v>128.69999999999999</v>
      </c>
      <c r="DJ259" s="32">
        <v>92.5</v>
      </c>
      <c r="DK259" s="32">
        <v>92.5</v>
      </c>
      <c r="DL259" s="32">
        <v>81.900000000000006</v>
      </c>
      <c r="DM259" s="32">
        <v>95.9</v>
      </c>
      <c r="DN259" s="32">
        <v>94.1</v>
      </c>
      <c r="DO259" s="32">
        <v>97.1</v>
      </c>
      <c r="DP259" s="32">
        <v>85.1</v>
      </c>
      <c r="DQ259" s="32">
        <v>90</v>
      </c>
      <c r="DR259" s="32">
        <v>86.4</v>
      </c>
      <c r="DS259" s="32">
        <v>87</v>
      </c>
      <c r="DT259" s="32">
        <v>83.5</v>
      </c>
      <c r="DU259" s="32">
        <v>85.2</v>
      </c>
      <c r="DV259" s="32">
        <v>93.2</v>
      </c>
      <c r="DW259" s="32">
        <v>76.900000000000006</v>
      </c>
      <c r="DX259" s="32">
        <v>79.900000000000006</v>
      </c>
      <c r="DY259" s="32">
        <v>99.6</v>
      </c>
      <c r="DZ259" s="32">
        <v>83</v>
      </c>
      <c r="EA259" s="32">
        <v>83</v>
      </c>
      <c r="EB259" s="32">
        <v>86.5</v>
      </c>
      <c r="EC259" s="32">
        <v>89</v>
      </c>
      <c r="ED259" s="32">
        <v>83.2</v>
      </c>
      <c r="EE259" s="32">
        <v>85.2</v>
      </c>
      <c r="EF259" s="32">
        <v>79.099999999999994</v>
      </c>
      <c r="EG259" s="32">
        <v>95.9</v>
      </c>
      <c r="EH259" s="32">
        <v>108.7</v>
      </c>
      <c r="EI259" s="32">
        <v>96.8</v>
      </c>
      <c r="EJ259" s="32">
        <v>114.8</v>
      </c>
      <c r="EK259" s="32">
        <v>85.4</v>
      </c>
      <c r="EL259" s="32">
        <v>100.3</v>
      </c>
      <c r="EM259" s="32">
        <v>84.2</v>
      </c>
      <c r="EN259" s="32">
        <v>84.1</v>
      </c>
      <c r="EO259" s="32">
        <v>96.5</v>
      </c>
      <c r="EP259" s="32">
        <v>90.9</v>
      </c>
      <c r="EQ259" s="32">
        <v>90.9</v>
      </c>
      <c r="ER259" s="32">
        <v>86.6</v>
      </c>
      <c r="ES259" s="32">
        <v>86.6</v>
      </c>
      <c r="ET259" s="32">
        <v>111.6</v>
      </c>
      <c r="EU259" s="32">
        <v>124.7</v>
      </c>
      <c r="EV259" s="32">
        <v>124.7</v>
      </c>
      <c r="EW259" s="32">
        <v>97.5</v>
      </c>
      <c r="EX259" s="32">
        <v>91.2</v>
      </c>
      <c r="EY259" s="32">
        <v>102.7</v>
      </c>
      <c r="EZ259" s="32">
        <v>103.5</v>
      </c>
      <c r="FA259" s="32">
        <v>101.6</v>
      </c>
      <c r="FB259" s="32">
        <v>108.5</v>
      </c>
      <c r="FC259" s="32">
        <v>100.9</v>
      </c>
      <c r="FD259" s="32">
        <v>105.4</v>
      </c>
      <c r="FE259" s="32">
        <v>123.4</v>
      </c>
      <c r="FF259" s="32">
        <v>93.6</v>
      </c>
      <c r="FG259" s="32">
        <v>101.5</v>
      </c>
      <c r="FH259" s="32">
        <v>91.9</v>
      </c>
      <c r="FI259" s="32">
        <v>126.2</v>
      </c>
      <c r="FJ259" s="32">
        <v>102.8</v>
      </c>
      <c r="FK259" s="32">
        <v>162.30000000000001</v>
      </c>
      <c r="FL259" s="32">
        <v>162.30000000000001</v>
      </c>
    </row>
    <row r="260" spans="1:168" x14ac:dyDescent="0.2">
      <c r="A260" s="34" t="s">
        <v>1240</v>
      </c>
      <c r="B260" s="32">
        <v>95.7</v>
      </c>
      <c r="C260" s="32">
        <v>83.5</v>
      </c>
      <c r="D260" s="32">
        <v>100</v>
      </c>
      <c r="E260" s="32">
        <v>103</v>
      </c>
      <c r="F260" s="32">
        <v>113.3</v>
      </c>
      <c r="G260" s="32">
        <v>185.6</v>
      </c>
      <c r="H260" s="32">
        <v>120.2</v>
      </c>
      <c r="I260" s="32">
        <v>95</v>
      </c>
      <c r="J260" s="32">
        <v>101.4</v>
      </c>
      <c r="K260" s="32">
        <v>98.6</v>
      </c>
      <c r="L260" s="32">
        <v>99</v>
      </c>
      <c r="M260" s="32">
        <v>82.2</v>
      </c>
      <c r="N260" s="32">
        <v>86.6</v>
      </c>
      <c r="O260" s="32">
        <v>150.69999999999999</v>
      </c>
      <c r="P260" s="32">
        <v>151</v>
      </c>
      <c r="Q260" s="32">
        <v>143.9</v>
      </c>
      <c r="R260" s="32">
        <v>99.6</v>
      </c>
      <c r="S260" s="32">
        <v>97.8</v>
      </c>
      <c r="T260" s="32">
        <v>126.1</v>
      </c>
      <c r="U260" s="32">
        <v>132.5</v>
      </c>
      <c r="V260" s="32">
        <v>89.6</v>
      </c>
      <c r="W260" s="32">
        <v>94.4</v>
      </c>
      <c r="X260" s="32">
        <v>90.7</v>
      </c>
      <c r="Y260" s="32">
        <v>104.7</v>
      </c>
      <c r="Z260" s="32">
        <v>92.2</v>
      </c>
      <c r="AA260" s="32">
        <v>116.1</v>
      </c>
      <c r="AB260" s="32">
        <v>115.4</v>
      </c>
      <c r="AC260" s="32">
        <v>108.7</v>
      </c>
      <c r="AD260" s="32">
        <v>125</v>
      </c>
      <c r="AE260" s="32">
        <v>123.3</v>
      </c>
      <c r="AF260" s="32">
        <v>123.3</v>
      </c>
      <c r="AG260" s="32">
        <v>98.9</v>
      </c>
      <c r="AH260" s="32">
        <v>98.9</v>
      </c>
      <c r="AI260" s="32">
        <v>66.599999999999994</v>
      </c>
      <c r="AJ260" s="32">
        <v>162.69999999999999</v>
      </c>
      <c r="AK260" s="32">
        <v>115.6</v>
      </c>
      <c r="AL260" s="32">
        <v>89.7</v>
      </c>
      <c r="AM260" s="32">
        <v>83.4</v>
      </c>
      <c r="AN260" s="32">
        <v>114.6</v>
      </c>
      <c r="AO260" s="32">
        <v>72.599999999999994</v>
      </c>
      <c r="AP260" s="32">
        <v>72.599999999999994</v>
      </c>
      <c r="AQ260" s="32">
        <v>106.7</v>
      </c>
      <c r="AR260" s="32">
        <v>107.5</v>
      </c>
      <c r="AS260" s="32">
        <v>106.3</v>
      </c>
      <c r="AT260" s="32">
        <v>94.2</v>
      </c>
      <c r="AU260" s="32">
        <v>117.7</v>
      </c>
      <c r="AV260" s="32">
        <v>113.1</v>
      </c>
      <c r="AW260" s="32">
        <v>164.9</v>
      </c>
      <c r="AX260" s="32">
        <v>196.5</v>
      </c>
      <c r="AY260" s="32">
        <v>173.3</v>
      </c>
      <c r="AZ260" s="32">
        <v>105.2</v>
      </c>
      <c r="BA260" s="32">
        <v>98.1</v>
      </c>
      <c r="BB260" s="32">
        <v>98.1</v>
      </c>
      <c r="BC260" s="32">
        <v>104.3</v>
      </c>
      <c r="BD260" s="32">
        <v>104.3</v>
      </c>
      <c r="BE260" s="32">
        <v>109.3</v>
      </c>
      <c r="BF260" s="32">
        <v>109.3</v>
      </c>
      <c r="BG260" s="32">
        <v>106.5</v>
      </c>
      <c r="BH260" s="32">
        <v>116.6</v>
      </c>
      <c r="BI260" s="32">
        <v>94.2</v>
      </c>
      <c r="BJ260" s="32">
        <v>63</v>
      </c>
      <c r="BK260" s="32">
        <v>103</v>
      </c>
      <c r="BL260" s="32">
        <v>102.4</v>
      </c>
      <c r="BM260" s="32">
        <v>102.6</v>
      </c>
      <c r="BN260" s="32">
        <v>108.5</v>
      </c>
      <c r="BO260" s="32">
        <v>101.7</v>
      </c>
      <c r="BP260" s="32">
        <v>113.6</v>
      </c>
      <c r="BQ260" s="32">
        <v>96.8</v>
      </c>
      <c r="BR260" s="32">
        <v>129.19999999999999</v>
      </c>
      <c r="BS260" s="32">
        <v>93</v>
      </c>
      <c r="BT260" s="32">
        <v>94</v>
      </c>
      <c r="BU260" s="32">
        <v>127.1</v>
      </c>
      <c r="BV260" s="32">
        <v>127.1</v>
      </c>
      <c r="BW260" s="32">
        <v>142.1</v>
      </c>
      <c r="BX260" s="32">
        <v>83.7</v>
      </c>
      <c r="BY260" s="32">
        <v>92</v>
      </c>
      <c r="BZ260" s="32">
        <v>99.6</v>
      </c>
      <c r="CA260" s="32">
        <v>88.3</v>
      </c>
      <c r="CB260" s="32">
        <v>95.4</v>
      </c>
      <c r="CC260" s="32">
        <v>83.5</v>
      </c>
      <c r="CD260" s="32">
        <v>63</v>
      </c>
      <c r="CE260" s="32">
        <v>94.6</v>
      </c>
      <c r="CF260" s="32">
        <v>95.1</v>
      </c>
      <c r="CG260" s="32">
        <v>101.9</v>
      </c>
      <c r="CH260" s="32">
        <v>104.3</v>
      </c>
      <c r="CI260" s="32">
        <v>122.7</v>
      </c>
      <c r="CJ260" s="32">
        <v>95.9</v>
      </c>
      <c r="CK260" s="32">
        <v>106.8</v>
      </c>
      <c r="CL260" s="32">
        <v>96.3</v>
      </c>
      <c r="CM260" s="32">
        <v>102.5</v>
      </c>
      <c r="CN260" s="32">
        <v>134.19999999999999</v>
      </c>
      <c r="CO260" s="32">
        <v>92.9</v>
      </c>
      <c r="CP260" s="32">
        <v>135.19999999999999</v>
      </c>
      <c r="CQ260" s="32">
        <v>154.1</v>
      </c>
      <c r="CR260" s="32">
        <v>101.6</v>
      </c>
      <c r="CS260" s="32">
        <v>101</v>
      </c>
      <c r="CT260" s="32">
        <v>99.5</v>
      </c>
      <c r="CU260" s="32">
        <v>101.9</v>
      </c>
      <c r="CV260" s="32">
        <v>98.6</v>
      </c>
      <c r="CW260" s="32">
        <v>75.7</v>
      </c>
      <c r="CX260" s="32">
        <v>102.1</v>
      </c>
      <c r="CY260" s="32">
        <v>103.7</v>
      </c>
      <c r="CZ260" s="32">
        <v>101.1</v>
      </c>
      <c r="DA260" s="32">
        <v>100.2</v>
      </c>
      <c r="DB260" s="32">
        <v>102.3</v>
      </c>
      <c r="DC260" s="32">
        <v>51.7</v>
      </c>
      <c r="DD260" s="32">
        <v>51.7</v>
      </c>
      <c r="DE260" s="32">
        <v>82.8</v>
      </c>
      <c r="DF260" s="32">
        <v>82.4</v>
      </c>
      <c r="DG260" s="32">
        <v>84.9</v>
      </c>
      <c r="DH260" s="32">
        <v>105.3</v>
      </c>
      <c r="DI260" s="32">
        <v>130.30000000000001</v>
      </c>
      <c r="DJ260" s="32">
        <v>91.9</v>
      </c>
      <c r="DK260" s="32">
        <v>91.9</v>
      </c>
      <c r="DL260" s="32">
        <v>82.2</v>
      </c>
      <c r="DM260" s="32">
        <v>95.9</v>
      </c>
      <c r="DN260" s="32">
        <v>94</v>
      </c>
      <c r="DO260" s="32">
        <v>97.1</v>
      </c>
      <c r="DP260" s="32">
        <v>84.3</v>
      </c>
      <c r="DQ260" s="32">
        <v>89.6</v>
      </c>
      <c r="DR260" s="32">
        <v>85.6</v>
      </c>
      <c r="DS260" s="32">
        <v>86.9</v>
      </c>
      <c r="DT260" s="32">
        <v>84.1</v>
      </c>
      <c r="DU260" s="32">
        <v>86.3</v>
      </c>
      <c r="DV260" s="32">
        <v>95.5</v>
      </c>
      <c r="DW260" s="32">
        <v>76.8</v>
      </c>
      <c r="DX260" s="32">
        <v>79.5</v>
      </c>
      <c r="DY260" s="32">
        <v>97.1</v>
      </c>
      <c r="DZ260" s="32">
        <v>76.8</v>
      </c>
      <c r="EA260" s="32">
        <v>76.8</v>
      </c>
      <c r="EB260" s="32">
        <v>85.8</v>
      </c>
      <c r="EC260" s="32">
        <v>88.7</v>
      </c>
      <c r="ED260" s="32">
        <v>82</v>
      </c>
      <c r="EE260" s="32">
        <v>82.7</v>
      </c>
      <c r="EF260" s="32">
        <v>80.599999999999994</v>
      </c>
      <c r="EG260" s="32">
        <v>96</v>
      </c>
      <c r="EH260" s="32">
        <v>112.2</v>
      </c>
      <c r="EI260" s="32">
        <v>96.4</v>
      </c>
      <c r="EJ260" s="32">
        <v>116.4</v>
      </c>
      <c r="EK260" s="32">
        <v>84.3</v>
      </c>
      <c r="EL260" s="32">
        <v>101.3</v>
      </c>
      <c r="EM260" s="32">
        <v>81.2</v>
      </c>
      <c r="EN260" s="32">
        <v>83.9</v>
      </c>
      <c r="EO260" s="32">
        <v>96.7</v>
      </c>
      <c r="EP260" s="32">
        <v>90.6</v>
      </c>
      <c r="EQ260" s="32">
        <v>90.6</v>
      </c>
      <c r="ER260" s="32">
        <v>86.6</v>
      </c>
      <c r="ES260" s="32">
        <v>86.6</v>
      </c>
      <c r="ET260" s="32">
        <v>112.6</v>
      </c>
      <c r="EU260" s="32">
        <v>126.7</v>
      </c>
      <c r="EV260" s="32">
        <v>126.7</v>
      </c>
      <c r="EW260" s="32">
        <v>96.6</v>
      </c>
      <c r="EX260" s="32">
        <v>91.1</v>
      </c>
      <c r="EY260" s="32">
        <v>101.1</v>
      </c>
      <c r="EZ260" s="32">
        <v>103.8</v>
      </c>
      <c r="FA260" s="32">
        <v>101.2</v>
      </c>
      <c r="FB260" s="32">
        <v>108.4</v>
      </c>
      <c r="FC260" s="32">
        <v>100</v>
      </c>
      <c r="FD260" s="32">
        <v>111.2</v>
      </c>
      <c r="FE260" s="32">
        <v>121.8</v>
      </c>
      <c r="FF260" s="32">
        <v>92.8</v>
      </c>
      <c r="FG260" s="32">
        <v>102.2</v>
      </c>
      <c r="FH260" s="32">
        <v>92.1</v>
      </c>
      <c r="FI260" s="32">
        <v>131.9</v>
      </c>
      <c r="FJ260" s="32">
        <v>103.1</v>
      </c>
      <c r="FK260" s="32">
        <v>166</v>
      </c>
      <c r="FL260" s="32">
        <v>166</v>
      </c>
    </row>
    <row r="261" spans="1:168" x14ac:dyDescent="0.2">
      <c r="A261" s="34" t="s">
        <v>1241</v>
      </c>
      <c r="B261" s="32">
        <v>95.7</v>
      </c>
      <c r="C261" s="32">
        <v>82.2</v>
      </c>
      <c r="D261" s="32">
        <v>99.7</v>
      </c>
      <c r="E261" s="32">
        <v>103.2</v>
      </c>
      <c r="F261" s="32">
        <v>124.8</v>
      </c>
      <c r="G261" s="32">
        <v>237.7</v>
      </c>
      <c r="H261" s="32">
        <v>134.30000000000001</v>
      </c>
      <c r="I261" s="32">
        <v>95.4</v>
      </c>
      <c r="J261" s="32">
        <v>101.7</v>
      </c>
      <c r="K261" s="32">
        <v>99.7</v>
      </c>
      <c r="L261" s="32">
        <v>99.7</v>
      </c>
      <c r="M261" s="32">
        <v>83.9</v>
      </c>
      <c r="N261" s="32">
        <v>90.3</v>
      </c>
      <c r="O261" s="32">
        <v>143.6</v>
      </c>
      <c r="P261" s="32">
        <v>155.30000000000001</v>
      </c>
      <c r="Q261" s="32">
        <v>145.30000000000001</v>
      </c>
      <c r="R261" s="32">
        <v>95.3</v>
      </c>
      <c r="S261" s="32">
        <v>98.4</v>
      </c>
      <c r="T261" s="32">
        <v>129</v>
      </c>
      <c r="U261" s="32">
        <v>132.6</v>
      </c>
      <c r="V261" s="32">
        <v>92.2</v>
      </c>
      <c r="W261" s="32">
        <v>94.3</v>
      </c>
      <c r="X261" s="32">
        <v>87</v>
      </c>
      <c r="Y261" s="32">
        <v>111.8</v>
      </c>
      <c r="Z261" s="32">
        <v>92.4</v>
      </c>
      <c r="AA261" s="32">
        <v>116.3</v>
      </c>
      <c r="AB261" s="32">
        <v>114.7</v>
      </c>
      <c r="AC261" s="32">
        <v>107.4</v>
      </c>
      <c r="AD261" s="32">
        <v>127.1</v>
      </c>
      <c r="AE261" s="32">
        <v>120.8</v>
      </c>
      <c r="AF261" s="32">
        <v>120.8</v>
      </c>
      <c r="AG261" s="32">
        <v>101.5</v>
      </c>
      <c r="AH261" s="32">
        <v>101.5</v>
      </c>
      <c r="AI261" s="32">
        <v>68.8</v>
      </c>
      <c r="AJ261" s="32">
        <v>167.8</v>
      </c>
      <c r="AK261" s="32">
        <v>124.3</v>
      </c>
      <c r="AL261" s="32">
        <v>89.2</v>
      </c>
      <c r="AM261" s="32">
        <v>84.3</v>
      </c>
      <c r="AN261" s="32">
        <v>119.3</v>
      </c>
      <c r="AO261" s="32">
        <v>77</v>
      </c>
      <c r="AP261" s="32">
        <v>77</v>
      </c>
      <c r="AQ261" s="32">
        <v>105.7</v>
      </c>
      <c r="AR261" s="32">
        <v>105.3</v>
      </c>
      <c r="AS261" s="32">
        <v>106.8</v>
      </c>
      <c r="AT261" s="32">
        <v>95.3</v>
      </c>
      <c r="AU261" s="32">
        <v>117.5</v>
      </c>
      <c r="AV261" s="32">
        <v>111.9</v>
      </c>
      <c r="AW261" s="32">
        <v>167.2</v>
      </c>
      <c r="AX261" s="32">
        <v>199.3</v>
      </c>
      <c r="AY261" s="32">
        <v>176.1</v>
      </c>
      <c r="AZ261" s="32">
        <v>103.2</v>
      </c>
      <c r="BA261" s="32">
        <v>96.2</v>
      </c>
      <c r="BB261" s="32">
        <v>96.2</v>
      </c>
      <c r="BC261" s="32">
        <v>104.5</v>
      </c>
      <c r="BD261" s="32">
        <v>104.5</v>
      </c>
      <c r="BE261" s="32">
        <v>110.6</v>
      </c>
      <c r="BF261" s="32">
        <v>110.6</v>
      </c>
      <c r="BG261" s="32">
        <v>104.8</v>
      </c>
      <c r="BH261" s="32">
        <v>114.5</v>
      </c>
      <c r="BI261" s="32">
        <v>93</v>
      </c>
      <c r="BJ261" s="32">
        <v>62.3</v>
      </c>
      <c r="BK261" s="32">
        <v>100.9</v>
      </c>
      <c r="BL261" s="32">
        <v>110.9</v>
      </c>
      <c r="BM261" s="32">
        <v>103.5</v>
      </c>
      <c r="BN261" s="32">
        <v>107.2</v>
      </c>
      <c r="BO261" s="32">
        <v>101.2</v>
      </c>
      <c r="BP261" s="32">
        <v>111.7</v>
      </c>
      <c r="BQ261" s="32">
        <v>99.7</v>
      </c>
      <c r="BR261" s="32">
        <v>123.1</v>
      </c>
      <c r="BS261" s="32">
        <v>97.5</v>
      </c>
      <c r="BT261" s="32">
        <v>97.6</v>
      </c>
      <c r="BU261" s="32">
        <v>119</v>
      </c>
      <c r="BV261" s="32">
        <v>119</v>
      </c>
      <c r="BW261" s="32">
        <v>137.9</v>
      </c>
      <c r="BX261" s="32">
        <v>70.599999999999994</v>
      </c>
      <c r="BY261" s="32">
        <v>92</v>
      </c>
      <c r="BZ261" s="32">
        <v>99.2</v>
      </c>
      <c r="CA261" s="32">
        <v>88.6</v>
      </c>
      <c r="CB261" s="32">
        <v>96.6</v>
      </c>
      <c r="CC261" s="32">
        <v>82.8</v>
      </c>
      <c r="CD261" s="32">
        <v>64.099999999999994</v>
      </c>
      <c r="CE261" s="32">
        <v>93.5</v>
      </c>
      <c r="CF261" s="32">
        <v>95.1</v>
      </c>
      <c r="CG261" s="32">
        <v>102.1</v>
      </c>
      <c r="CH261" s="32">
        <v>104.4</v>
      </c>
      <c r="CI261" s="32">
        <v>121.4</v>
      </c>
      <c r="CJ261" s="32">
        <v>96</v>
      </c>
      <c r="CK261" s="32">
        <v>107.3</v>
      </c>
      <c r="CL261" s="32">
        <v>96.5</v>
      </c>
      <c r="CM261" s="32">
        <v>100.9</v>
      </c>
      <c r="CN261" s="32">
        <v>141.9</v>
      </c>
      <c r="CO261" s="32">
        <v>90.4</v>
      </c>
      <c r="CP261" s="32">
        <v>137.69999999999999</v>
      </c>
      <c r="CQ261" s="32">
        <v>168.2</v>
      </c>
      <c r="CR261" s="32">
        <v>102</v>
      </c>
      <c r="CS261" s="32">
        <v>99.7</v>
      </c>
      <c r="CT261" s="32">
        <v>99.7</v>
      </c>
      <c r="CU261" s="32">
        <v>100.9</v>
      </c>
      <c r="CV261" s="32">
        <v>99.2</v>
      </c>
      <c r="CW261" s="32">
        <v>75.900000000000006</v>
      </c>
      <c r="CX261" s="32">
        <v>99.6</v>
      </c>
      <c r="CY261" s="32">
        <v>105</v>
      </c>
      <c r="CZ261" s="32">
        <v>96.4</v>
      </c>
      <c r="DA261" s="32">
        <v>94.7</v>
      </c>
      <c r="DB261" s="32">
        <v>99.6</v>
      </c>
      <c r="DC261" s="32">
        <v>53.1</v>
      </c>
      <c r="DD261" s="32">
        <v>53.1</v>
      </c>
      <c r="DE261" s="32">
        <v>82.9</v>
      </c>
      <c r="DF261" s="32">
        <v>82.4</v>
      </c>
      <c r="DG261" s="32">
        <v>85.6</v>
      </c>
      <c r="DH261" s="32">
        <v>103.8</v>
      </c>
      <c r="DI261" s="32">
        <v>127.5</v>
      </c>
      <c r="DJ261" s="32">
        <v>91.3</v>
      </c>
      <c r="DK261" s="32">
        <v>91.3</v>
      </c>
      <c r="DL261" s="32">
        <v>81.5</v>
      </c>
      <c r="DM261" s="32">
        <v>95.4</v>
      </c>
      <c r="DN261" s="32">
        <v>93.5</v>
      </c>
      <c r="DO261" s="32">
        <v>96.6</v>
      </c>
      <c r="DP261" s="32">
        <v>85.9</v>
      </c>
      <c r="DQ261" s="32">
        <v>91.3</v>
      </c>
      <c r="DR261" s="32">
        <v>87.9</v>
      </c>
      <c r="DS261" s="32">
        <v>88.1</v>
      </c>
      <c r="DT261" s="32">
        <v>85.1</v>
      </c>
      <c r="DU261" s="32">
        <v>87.8</v>
      </c>
      <c r="DV261" s="32">
        <v>96.3</v>
      </c>
      <c r="DW261" s="32">
        <v>79</v>
      </c>
      <c r="DX261" s="32">
        <v>79.3</v>
      </c>
      <c r="DY261" s="32">
        <v>99.1</v>
      </c>
      <c r="DZ261" s="32">
        <v>93.2</v>
      </c>
      <c r="EA261" s="32">
        <v>93.2</v>
      </c>
      <c r="EB261" s="32">
        <v>85.1</v>
      </c>
      <c r="EC261" s="32">
        <v>87.5</v>
      </c>
      <c r="ED261" s="32">
        <v>81.8</v>
      </c>
      <c r="EE261" s="32">
        <v>80.8</v>
      </c>
      <c r="EF261" s="32">
        <v>84.3</v>
      </c>
      <c r="EG261" s="32">
        <v>96.9</v>
      </c>
      <c r="EH261" s="32">
        <v>116.1</v>
      </c>
      <c r="EI261" s="32">
        <v>96</v>
      </c>
      <c r="EJ261" s="32">
        <v>117.8</v>
      </c>
      <c r="EK261" s="32">
        <v>84.8</v>
      </c>
      <c r="EL261" s="32">
        <v>103.9</v>
      </c>
      <c r="EM261" s="32">
        <v>80.2</v>
      </c>
      <c r="EN261" s="32">
        <v>84.8</v>
      </c>
      <c r="EO261" s="32">
        <v>96.3</v>
      </c>
      <c r="EP261" s="32">
        <v>90.1</v>
      </c>
      <c r="EQ261" s="32">
        <v>90.1</v>
      </c>
      <c r="ER261" s="32">
        <v>87.8</v>
      </c>
      <c r="ES261" s="32">
        <v>87.8</v>
      </c>
      <c r="ET261" s="32">
        <v>110.8</v>
      </c>
      <c r="EU261" s="32">
        <v>124.7</v>
      </c>
      <c r="EV261" s="32">
        <v>124.7</v>
      </c>
      <c r="EW261" s="32">
        <v>95.2</v>
      </c>
      <c r="EX261" s="32">
        <v>90.9</v>
      </c>
      <c r="EY261" s="32">
        <v>98.7</v>
      </c>
      <c r="EZ261" s="32">
        <v>103.5</v>
      </c>
      <c r="FA261" s="32">
        <v>101.4</v>
      </c>
      <c r="FB261" s="32">
        <v>107</v>
      </c>
      <c r="FC261" s="32">
        <v>98.7</v>
      </c>
      <c r="FD261" s="32">
        <v>108.1</v>
      </c>
      <c r="FE261" s="32">
        <v>121.1</v>
      </c>
      <c r="FF261" s="32">
        <v>94.9</v>
      </c>
      <c r="FG261" s="32">
        <v>101.6</v>
      </c>
      <c r="FH261" s="32">
        <v>91.8</v>
      </c>
      <c r="FI261" s="32">
        <v>127.8</v>
      </c>
      <c r="FJ261" s="32">
        <v>102.8</v>
      </c>
      <c r="FK261" s="32">
        <v>164.7</v>
      </c>
      <c r="FL261" s="32">
        <v>164.7</v>
      </c>
    </row>
    <row r="262" spans="1:168" x14ac:dyDescent="0.2">
      <c r="A262" s="34" t="s">
        <v>1242</v>
      </c>
      <c r="B262" s="32">
        <v>95.9</v>
      </c>
      <c r="C262" s="32">
        <v>81.900000000000006</v>
      </c>
      <c r="D262" s="32">
        <v>99.5</v>
      </c>
      <c r="E262" s="32">
        <v>102.2</v>
      </c>
      <c r="F262" s="32">
        <v>122.1</v>
      </c>
      <c r="G262" s="32">
        <v>180.7</v>
      </c>
      <c r="H262" s="32">
        <v>130</v>
      </c>
      <c r="I262" s="32">
        <v>100.8</v>
      </c>
      <c r="J262" s="32">
        <v>101.5</v>
      </c>
      <c r="K262" s="32">
        <v>102</v>
      </c>
      <c r="L262" s="32">
        <v>103.2</v>
      </c>
      <c r="M262" s="32">
        <v>86.3</v>
      </c>
      <c r="N262" s="32">
        <v>94.9</v>
      </c>
      <c r="O262" s="32">
        <v>145.5</v>
      </c>
      <c r="P262" s="32">
        <v>173.1</v>
      </c>
      <c r="Q262" s="32">
        <v>151.6</v>
      </c>
      <c r="R262" s="32">
        <v>97.7</v>
      </c>
      <c r="S262" s="32">
        <v>99.3</v>
      </c>
      <c r="T262" s="32">
        <v>128</v>
      </c>
      <c r="U262" s="32">
        <v>138.4</v>
      </c>
      <c r="V262" s="32">
        <v>88.9</v>
      </c>
      <c r="W262" s="32">
        <v>95.6</v>
      </c>
      <c r="X262" s="32">
        <v>87.2</v>
      </c>
      <c r="Y262" s="32">
        <v>114</v>
      </c>
      <c r="Z262" s="32">
        <v>100.6</v>
      </c>
      <c r="AA262" s="32">
        <v>120.7</v>
      </c>
      <c r="AB262" s="32">
        <v>120.6</v>
      </c>
      <c r="AC262" s="32">
        <v>109.7</v>
      </c>
      <c r="AD262" s="32">
        <v>132.80000000000001</v>
      </c>
      <c r="AE262" s="32">
        <v>118.2</v>
      </c>
      <c r="AF262" s="32">
        <v>118.2</v>
      </c>
      <c r="AG262" s="32">
        <v>102.5</v>
      </c>
      <c r="AH262" s="32">
        <v>102.5</v>
      </c>
      <c r="AI262" s="32">
        <v>69.2</v>
      </c>
      <c r="AJ262" s="32">
        <v>169.8</v>
      </c>
      <c r="AK262" s="32">
        <v>124.8</v>
      </c>
      <c r="AL262" s="32">
        <v>96.7</v>
      </c>
      <c r="AM262" s="32">
        <v>83.2</v>
      </c>
      <c r="AN262" s="32">
        <v>121.1</v>
      </c>
      <c r="AO262" s="32">
        <v>75.599999999999994</v>
      </c>
      <c r="AP262" s="32">
        <v>75.599999999999994</v>
      </c>
      <c r="AQ262" s="32">
        <v>109.8</v>
      </c>
      <c r="AR262" s="32">
        <v>108.8</v>
      </c>
      <c r="AS262" s="32">
        <v>111.6</v>
      </c>
      <c r="AT262" s="32">
        <v>96.8</v>
      </c>
      <c r="AU262" s="32">
        <v>125.8</v>
      </c>
      <c r="AV262" s="32">
        <v>106.9</v>
      </c>
      <c r="AW262" s="32">
        <v>157.69999999999999</v>
      </c>
      <c r="AX262" s="32">
        <v>168.8</v>
      </c>
      <c r="AY262" s="32">
        <v>177.4</v>
      </c>
      <c r="AZ262" s="32">
        <v>99</v>
      </c>
      <c r="BA262" s="32">
        <v>95.6</v>
      </c>
      <c r="BB262" s="32">
        <v>95.6</v>
      </c>
      <c r="BC262" s="32">
        <v>104.4</v>
      </c>
      <c r="BD262" s="32">
        <v>104.4</v>
      </c>
      <c r="BE262" s="32">
        <v>106.5</v>
      </c>
      <c r="BF262" s="32">
        <v>106.5</v>
      </c>
      <c r="BG262" s="32">
        <v>104</v>
      </c>
      <c r="BH262" s="32">
        <v>116.3</v>
      </c>
      <c r="BI262" s="32">
        <v>89.2</v>
      </c>
      <c r="BJ262" s="32">
        <v>61.5</v>
      </c>
      <c r="BK262" s="32">
        <v>96.1</v>
      </c>
      <c r="BL262" s="32">
        <v>107.4</v>
      </c>
      <c r="BM262" s="32">
        <v>101.9</v>
      </c>
      <c r="BN262" s="32">
        <v>106.6</v>
      </c>
      <c r="BO262" s="32">
        <v>99.4</v>
      </c>
      <c r="BP262" s="32">
        <v>112.3</v>
      </c>
      <c r="BQ262" s="32">
        <v>97</v>
      </c>
      <c r="BR262" s="32">
        <v>107.7</v>
      </c>
      <c r="BS262" s="32">
        <v>98.6</v>
      </c>
      <c r="BT262" s="32">
        <v>95.1</v>
      </c>
      <c r="BU262" s="32">
        <v>110.2</v>
      </c>
      <c r="BV262" s="32">
        <v>110.2</v>
      </c>
      <c r="BW262" s="32">
        <v>129.6</v>
      </c>
      <c r="BX262" s="32">
        <v>62.3</v>
      </c>
      <c r="BY262" s="32">
        <v>92.6</v>
      </c>
      <c r="BZ262" s="32">
        <v>100.1</v>
      </c>
      <c r="CA262" s="32">
        <v>89</v>
      </c>
      <c r="CB262" s="32">
        <v>96</v>
      </c>
      <c r="CC262" s="32">
        <v>83.9</v>
      </c>
      <c r="CD262" s="32">
        <v>66.900000000000006</v>
      </c>
      <c r="CE262" s="32">
        <v>95.1</v>
      </c>
      <c r="CF262" s="32">
        <v>95.5</v>
      </c>
      <c r="CG262" s="32">
        <v>103.7</v>
      </c>
      <c r="CH262" s="32">
        <v>105.8</v>
      </c>
      <c r="CI262" s="32">
        <v>122.1</v>
      </c>
      <c r="CJ262" s="32">
        <v>97.1</v>
      </c>
      <c r="CK262" s="32">
        <v>109.1</v>
      </c>
      <c r="CL262" s="32">
        <v>98.6</v>
      </c>
      <c r="CM262" s="32">
        <v>103.5</v>
      </c>
      <c r="CN262" s="32">
        <v>146.6</v>
      </c>
      <c r="CO262" s="32">
        <v>92.5</v>
      </c>
      <c r="CP262" s="32">
        <v>140.6</v>
      </c>
      <c r="CQ262" s="32">
        <v>168.5</v>
      </c>
      <c r="CR262" s="32">
        <v>103.2</v>
      </c>
      <c r="CS262" s="32">
        <v>104.5</v>
      </c>
      <c r="CT262" s="32">
        <v>101.2</v>
      </c>
      <c r="CU262" s="32">
        <v>102.3</v>
      </c>
      <c r="CV262" s="32">
        <v>100.8</v>
      </c>
      <c r="CW262" s="32">
        <v>76.3</v>
      </c>
      <c r="CX262" s="32">
        <v>98</v>
      </c>
      <c r="CY262" s="32">
        <v>102.2</v>
      </c>
      <c r="CZ262" s="32">
        <v>95.5</v>
      </c>
      <c r="DA262" s="32">
        <v>92.7</v>
      </c>
      <c r="DB262" s="32">
        <v>100.7</v>
      </c>
      <c r="DC262" s="32">
        <v>54.4</v>
      </c>
      <c r="DD262" s="32">
        <v>54.4</v>
      </c>
      <c r="DE262" s="32">
        <v>83.3</v>
      </c>
      <c r="DF262" s="32">
        <v>82.8</v>
      </c>
      <c r="DG262" s="32">
        <v>85.5</v>
      </c>
      <c r="DH262" s="32">
        <v>103.6</v>
      </c>
      <c r="DI262" s="32">
        <v>127.4</v>
      </c>
      <c r="DJ262" s="32">
        <v>91</v>
      </c>
      <c r="DK262" s="32">
        <v>91</v>
      </c>
      <c r="DL262" s="32">
        <v>81.3</v>
      </c>
      <c r="DM262" s="32">
        <v>95.4</v>
      </c>
      <c r="DN262" s="32">
        <v>93.6</v>
      </c>
      <c r="DO262" s="32">
        <v>96.6</v>
      </c>
      <c r="DP262" s="32">
        <v>84.8</v>
      </c>
      <c r="DQ262" s="32">
        <v>91.1</v>
      </c>
      <c r="DR262" s="32">
        <v>87.5</v>
      </c>
      <c r="DS262" s="32">
        <v>87.2</v>
      </c>
      <c r="DT262" s="32">
        <v>84.3</v>
      </c>
      <c r="DU262" s="32">
        <v>87</v>
      </c>
      <c r="DV262" s="32">
        <v>96.4</v>
      </c>
      <c r="DW262" s="32">
        <v>77.3</v>
      </c>
      <c r="DX262" s="32">
        <v>78.7</v>
      </c>
      <c r="DY262" s="32">
        <v>97.8</v>
      </c>
      <c r="DZ262" s="32">
        <v>94.6</v>
      </c>
      <c r="EA262" s="32">
        <v>94.6</v>
      </c>
      <c r="EB262" s="32">
        <v>84.9</v>
      </c>
      <c r="EC262" s="32">
        <v>87.6</v>
      </c>
      <c r="ED262" s="32">
        <v>81.400000000000006</v>
      </c>
      <c r="EE262" s="32">
        <v>81</v>
      </c>
      <c r="EF262" s="32">
        <v>82.4</v>
      </c>
      <c r="EG262" s="32">
        <v>97</v>
      </c>
      <c r="EH262" s="32">
        <v>113.8</v>
      </c>
      <c r="EI262" s="32">
        <v>98.2</v>
      </c>
      <c r="EJ262" s="32">
        <v>115.7</v>
      </c>
      <c r="EK262" s="32">
        <v>84.9</v>
      </c>
      <c r="EL262" s="32">
        <v>102.6</v>
      </c>
      <c r="EM262" s="32">
        <v>81.2</v>
      </c>
      <c r="EN262" s="32">
        <v>84.6</v>
      </c>
      <c r="EO262" s="32">
        <v>96.3</v>
      </c>
      <c r="EP262" s="32">
        <v>90.3</v>
      </c>
      <c r="EQ262" s="32">
        <v>90.3</v>
      </c>
      <c r="ER262" s="32">
        <v>87.8</v>
      </c>
      <c r="ES262" s="32">
        <v>87.8</v>
      </c>
      <c r="ET262" s="32">
        <v>110.6</v>
      </c>
      <c r="EU262" s="32">
        <v>124.7</v>
      </c>
      <c r="EV262" s="32">
        <v>124.7</v>
      </c>
      <c r="EW262" s="32">
        <v>94.5</v>
      </c>
      <c r="EX262" s="32">
        <v>91.4</v>
      </c>
      <c r="EY262" s="32">
        <v>97.1</v>
      </c>
      <c r="EZ262" s="32">
        <v>104.1</v>
      </c>
      <c r="FA262" s="32">
        <v>102.8</v>
      </c>
      <c r="FB262" s="32">
        <v>105.9</v>
      </c>
      <c r="FC262" s="32">
        <v>96.6</v>
      </c>
      <c r="FD262" s="32">
        <v>106.4</v>
      </c>
      <c r="FE262" s="32">
        <v>121.9</v>
      </c>
      <c r="FF262" s="32">
        <v>99.2</v>
      </c>
      <c r="FG262" s="32">
        <v>101.9</v>
      </c>
      <c r="FH262" s="32">
        <v>92.4</v>
      </c>
      <c r="FI262" s="32">
        <v>129</v>
      </c>
      <c r="FJ262" s="32">
        <v>102.8</v>
      </c>
      <c r="FK262" s="32">
        <v>161.80000000000001</v>
      </c>
      <c r="FL262" s="32">
        <v>161.80000000000001</v>
      </c>
    </row>
    <row r="263" spans="1:168" x14ac:dyDescent="0.2">
      <c r="A263" s="34" t="s">
        <v>1243</v>
      </c>
      <c r="B263" s="32">
        <v>96.2</v>
      </c>
      <c r="C263" s="32">
        <v>81.8</v>
      </c>
      <c r="D263" s="32">
        <v>101.2</v>
      </c>
      <c r="E263" s="32">
        <v>104.4</v>
      </c>
      <c r="F263" s="32">
        <v>128.30000000000001</v>
      </c>
      <c r="G263" s="32">
        <v>164.7</v>
      </c>
      <c r="H263" s="32">
        <v>137.4</v>
      </c>
      <c r="I263" s="32">
        <v>103.7</v>
      </c>
      <c r="J263" s="32">
        <v>103.2</v>
      </c>
      <c r="K263" s="32">
        <v>103</v>
      </c>
      <c r="L263" s="32">
        <v>104.6</v>
      </c>
      <c r="M263" s="32">
        <v>88</v>
      </c>
      <c r="N263" s="32">
        <v>98.9</v>
      </c>
      <c r="O263" s="32">
        <v>143</v>
      </c>
      <c r="P263" s="32">
        <v>173.1</v>
      </c>
      <c r="Q263" s="32">
        <v>147.19999999999999</v>
      </c>
      <c r="R263" s="32">
        <v>98.6</v>
      </c>
      <c r="S263" s="32">
        <v>100.7</v>
      </c>
      <c r="T263" s="32">
        <v>130.1</v>
      </c>
      <c r="U263" s="32">
        <v>132.30000000000001</v>
      </c>
      <c r="V263" s="32">
        <v>90.4</v>
      </c>
      <c r="W263" s="32">
        <v>96</v>
      </c>
      <c r="X263" s="32">
        <v>90</v>
      </c>
      <c r="Y263" s="32">
        <v>109.4</v>
      </c>
      <c r="Z263" s="32">
        <v>102.1</v>
      </c>
      <c r="AA263" s="32">
        <v>121.3</v>
      </c>
      <c r="AB263" s="32">
        <v>121</v>
      </c>
      <c r="AC263" s="32">
        <v>108</v>
      </c>
      <c r="AD263" s="32">
        <v>135.80000000000001</v>
      </c>
      <c r="AE263" s="32">
        <v>123.5</v>
      </c>
      <c r="AF263" s="32">
        <v>123.5</v>
      </c>
      <c r="AG263" s="32">
        <v>106</v>
      </c>
      <c r="AH263" s="32">
        <v>106</v>
      </c>
      <c r="AI263" s="32">
        <v>75.7</v>
      </c>
      <c r="AJ263" s="32">
        <v>176.5</v>
      </c>
      <c r="AK263" s="32">
        <v>124</v>
      </c>
      <c r="AL263" s="32">
        <v>95.3</v>
      </c>
      <c r="AM263" s="32">
        <v>87.5</v>
      </c>
      <c r="AN263" s="32">
        <v>123.3</v>
      </c>
      <c r="AO263" s="32">
        <v>79.3</v>
      </c>
      <c r="AP263" s="32">
        <v>79.3</v>
      </c>
      <c r="AQ263" s="32">
        <v>112.8</v>
      </c>
      <c r="AR263" s="32">
        <v>110.5</v>
      </c>
      <c r="AS263" s="32">
        <v>116.2</v>
      </c>
      <c r="AT263" s="32">
        <v>97.9</v>
      </c>
      <c r="AU263" s="32">
        <v>134</v>
      </c>
      <c r="AV263" s="32">
        <v>111.5</v>
      </c>
      <c r="AW263" s="32">
        <v>160</v>
      </c>
      <c r="AX263" s="32">
        <v>192.1</v>
      </c>
      <c r="AY263" s="32">
        <v>168.2</v>
      </c>
      <c r="AZ263" s="32">
        <v>104.2</v>
      </c>
      <c r="BA263" s="32">
        <v>96.4</v>
      </c>
      <c r="BB263" s="32">
        <v>96.4</v>
      </c>
      <c r="BC263" s="32">
        <v>101.7</v>
      </c>
      <c r="BD263" s="32">
        <v>101.7</v>
      </c>
      <c r="BE263" s="32">
        <v>108.2</v>
      </c>
      <c r="BF263" s="32">
        <v>108.2</v>
      </c>
      <c r="BG263" s="32">
        <v>103.7</v>
      </c>
      <c r="BH263" s="32">
        <v>113.1</v>
      </c>
      <c r="BI263" s="32">
        <v>92.3</v>
      </c>
      <c r="BJ263" s="32">
        <v>61.2</v>
      </c>
      <c r="BK263" s="32">
        <v>100.3</v>
      </c>
      <c r="BL263" s="32">
        <v>110.6</v>
      </c>
      <c r="BM263" s="32">
        <v>103.4</v>
      </c>
      <c r="BN263" s="32">
        <v>107.6</v>
      </c>
      <c r="BO263" s="32">
        <v>100.8</v>
      </c>
      <c r="BP263" s="32">
        <v>112.9</v>
      </c>
      <c r="BQ263" s="32">
        <v>99.2</v>
      </c>
      <c r="BR263" s="32">
        <v>108.1</v>
      </c>
      <c r="BS263" s="32">
        <v>100.7</v>
      </c>
      <c r="BT263" s="32">
        <v>97.5</v>
      </c>
      <c r="BU263" s="32">
        <v>113.2</v>
      </c>
      <c r="BV263" s="32">
        <v>113.2</v>
      </c>
      <c r="BW263" s="32">
        <v>131.80000000000001</v>
      </c>
      <c r="BX263" s="32">
        <v>66.099999999999994</v>
      </c>
      <c r="BY263" s="32">
        <v>95.5</v>
      </c>
      <c r="BZ263" s="32">
        <v>103.6</v>
      </c>
      <c r="CA263" s="32">
        <v>91.7</v>
      </c>
      <c r="CB263" s="32">
        <v>98.4</v>
      </c>
      <c r="CC263" s="32">
        <v>86.8</v>
      </c>
      <c r="CD263" s="32">
        <v>72.2</v>
      </c>
      <c r="CE263" s="32">
        <v>95.7</v>
      </c>
      <c r="CF263" s="32">
        <v>95.5</v>
      </c>
      <c r="CG263" s="32">
        <v>103.9</v>
      </c>
      <c r="CH263" s="32">
        <v>105.6</v>
      </c>
      <c r="CI263" s="32">
        <v>120.1</v>
      </c>
      <c r="CJ263" s="32">
        <v>98.4</v>
      </c>
      <c r="CK263" s="32">
        <v>108.4</v>
      </c>
      <c r="CL263" s="32">
        <v>99.1</v>
      </c>
      <c r="CM263" s="32">
        <v>104</v>
      </c>
      <c r="CN263" s="32">
        <v>149.6</v>
      </c>
      <c r="CO263" s="32">
        <v>92.8</v>
      </c>
      <c r="CP263" s="32">
        <v>141.19999999999999</v>
      </c>
      <c r="CQ263" s="32">
        <v>175</v>
      </c>
      <c r="CR263" s="32">
        <v>103.2</v>
      </c>
      <c r="CS263" s="32">
        <v>104</v>
      </c>
      <c r="CT263" s="32">
        <v>102.2</v>
      </c>
      <c r="CU263" s="32">
        <v>103.8</v>
      </c>
      <c r="CV263" s="32">
        <v>101.6</v>
      </c>
      <c r="CW263" s="32">
        <v>76.400000000000006</v>
      </c>
      <c r="CX263" s="32">
        <v>95.8</v>
      </c>
      <c r="CY263" s="32">
        <v>98</v>
      </c>
      <c r="CZ263" s="32">
        <v>94.4</v>
      </c>
      <c r="DA263" s="32">
        <v>90.9</v>
      </c>
      <c r="DB263" s="32">
        <v>101.2</v>
      </c>
      <c r="DC263" s="32">
        <v>53.9</v>
      </c>
      <c r="DD263" s="32">
        <v>53.9</v>
      </c>
      <c r="DE263" s="32">
        <v>85.2</v>
      </c>
      <c r="DF263" s="32">
        <v>85.3</v>
      </c>
      <c r="DG263" s="32">
        <v>84.3</v>
      </c>
      <c r="DH263" s="32">
        <v>102.4</v>
      </c>
      <c r="DI263" s="32">
        <v>125.4</v>
      </c>
      <c r="DJ263" s="32">
        <v>90.6</v>
      </c>
      <c r="DK263" s="32">
        <v>90.6</v>
      </c>
      <c r="DL263" s="32">
        <v>80.7</v>
      </c>
      <c r="DM263" s="32">
        <v>96.1</v>
      </c>
      <c r="DN263" s="32">
        <v>95.2</v>
      </c>
      <c r="DO263" s="32">
        <v>96.8</v>
      </c>
      <c r="DP263" s="32">
        <v>89.5</v>
      </c>
      <c r="DQ263" s="32">
        <v>90.7</v>
      </c>
      <c r="DR263" s="32">
        <v>85.7</v>
      </c>
      <c r="DS263" s="32">
        <v>85.9</v>
      </c>
      <c r="DT263" s="32">
        <v>83.5</v>
      </c>
      <c r="DU263" s="32">
        <v>85.7</v>
      </c>
      <c r="DV263" s="32">
        <v>95.4</v>
      </c>
      <c r="DW263" s="32">
        <v>75.599999999999994</v>
      </c>
      <c r="DX263" s="32">
        <v>78.900000000000006</v>
      </c>
      <c r="DY263" s="32">
        <v>94.6</v>
      </c>
      <c r="DZ263" s="32">
        <v>84.8</v>
      </c>
      <c r="EA263" s="32">
        <v>84.8</v>
      </c>
      <c r="EB263" s="32">
        <v>85.4</v>
      </c>
      <c r="EC263" s="32">
        <v>87.9</v>
      </c>
      <c r="ED263" s="32">
        <v>82.1</v>
      </c>
      <c r="EE263" s="32">
        <v>81.5</v>
      </c>
      <c r="EF263" s="32">
        <v>83.6</v>
      </c>
      <c r="EG263" s="32">
        <v>98.9</v>
      </c>
      <c r="EH263" s="32">
        <v>116.9</v>
      </c>
      <c r="EI263" s="32">
        <v>101</v>
      </c>
      <c r="EJ263" s="32">
        <v>117.8</v>
      </c>
      <c r="EK263" s="32">
        <v>85.7</v>
      </c>
      <c r="EL263" s="32">
        <v>103.4</v>
      </c>
      <c r="EM263" s="32">
        <v>82</v>
      </c>
      <c r="EN263" s="32">
        <v>85.5</v>
      </c>
      <c r="EO263" s="32">
        <v>96.5</v>
      </c>
      <c r="EP263" s="32">
        <v>90.7</v>
      </c>
      <c r="EQ263" s="32">
        <v>90.7</v>
      </c>
      <c r="ER263" s="32">
        <v>88.5</v>
      </c>
      <c r="ES263" s="32">
        <v>88.5</v>
      </c>
      <c r="ET263" s="32">
        <v>110</v>
      </c>
      <c r="EU263" s="32">
        <v>123.6</v>
      </c>
      <c r="EV263" s="32">
        <v>123.6</v>
      </c>
      <c r="EW263" s="32">
        <v>94.8</v>
      </c>
      <c r="EX263" s="32">
        <v>92.5</v>
      </c>
      <c r="EY263" s="32">
        <v>96.7</v>
      </c>
      <c r="EZ263" s="32">
        <v>104.8</v>
      </c>
      <c r="FA263" s="32">
        <v>103</v>
      </c>
      <c r="FB263" s="32">
        <v>106.3</v>
      </c>
      <c r="FC263" s="32">
        <v>96.6</v>
      </c>
      <c r="FD263" s="32">
        <v>106.2</v>
      </c>
      <c r="FE263" s="32">
        <v>123.2</v>
      </c>
      <c r="FF263" s="32">
        <v>99.3</v>
      </c>
      <c r="FG263" s="32">
        <v>102.8</v>
      </c>
      <c r="FH263" s="32">
        <v>93.8</v>
      </c>
      <c r="FI263" s="32">
        <v>132.4</v>
      </c>
      <c r="FJ263" s="32">
        <v>103.2</v>
      </c>
      <c r="FK263" s="32">
        <v>164.7</v>
      </c>
      <c r="FL263" s="32">
        <v>164.7</v>
      </c>
    </row>
    <row r="264" spans="1:168" x14ac:dyDescent="0.2">
      <c r="A264" s="34" t="s">
        <v>1244</v>
      </c>
      <c r="B264" s="32">
        <v>96</v>
      </c>
      <c r="C264" s="32">
        <v>81.7</v>
      </c>
      <c r="D264" s="32">
        <v>100.3</v>
      </c>
      <c r="E264" s="32">
        <v>103.2</v>
      </c>
      <c r="F264" s="32">
        <v>117.3</v>
      </c>
      <c r="G264" s="32">
        <v>156.30000000000001</v>
      </c>
      <c r="H264" s="32">
        <v>123.4</v>
      </c>
      <c r="I264" s="32">
        <v>103.1</v>
      </c>
      <c r="J264" s="32">
        <v>102.1</v>
      </c>
      <c r="K264" s="32">
        <v>104</v>
      </c>
      <c r="L264" s="32">
        <v>104.9</v>
      </c>
      <c r="M264" s="32">
        <v>87.1</v>
      </c>
      <c r="N264" s="32">
        <v>99.8</v>
      </c>
      <c r="O264" s="32">
        <v>141.1</v>
      </c>
      <c r="P264" s="32">
        <v>175.5</v>
      </c>
      <c r="Q264" s="32">
        <v>148.19999999999999</v>
      </c>
      <c r="R264" s="32">
        <v>98.3</v>
      </c>
      <c r="S264" s="32">
        <v>100.4</v>
      </c>
      <c r="T264" s="32">
        <v>138</v>
      </c>
      <c r="U264" s="32">
        <v>144</v>
      </c>
      <c r="V264" s="32">
        <v>91.8</v>
      </c>
      <c r="W264" s="32">
        <v>98.3</v>
      </c>
      <c r="X264" s="32">
        <v>91.5</v>
      </c>
      <c r="Y264" s="32">
        <v>114.1</v>
      </c>
      <c r="Z264" s="32">
        <v>100.3</v>
      </c>
      <c r="AA264" s="32">
        <v>121.4</v>
      </c>
      <c r="AB264" s="32">
        <v>123.2</v>
      </c>
      <c r="AC264" s="32">
        <v>109.4</v>
      </c>
      <c r="AD264" s="32">
        <v>133.19999999999999</v>
      </c>
      <c r="AE264" s="32">
        <v>116</v>
      </c>
      <c r="AF264" s="32">
        <v>116</v>
      </c>
      <c r="AG264" s="32">
        <v>107.1</v>
      </c>
      <c r="AH264" s="32">
        <v>107.1</v>
      </c>
      <c r="AI264" s="32">
        <v>75</v>
      </c>
      <c r="AJ264" s="32">
        <v>181.1</v>
      </c>
      <c r="AK264" s="32">
        <v>122.6</v>
      </c>
      <c r="AL264" s="32">
        <v>99.1</v>
      </c>
      <c r="AM264" s="32">
        <v>88.3</v>
      </c>
      <c r="AN264" s="32">
        <v>122</v>
      </c>
      <c r="AO264" s="32">
        <v>72.7</v>
      </c>
      <c r="AP264" s="32">
        <v>72.7</v>
      </c>
      <c r="AQ264" s="32">
        <v>111.7</v>
      </c>
      <c r="AR264" s="32">
        <v>111.4</v>
      </c>
      <c r="AS264" s="32">
        <v>112.6</v>
      </c>
      <c r="AT264" s="32">
        <v>97</v>
      </c>
      <c r="AU264" s="32">
        <v>127.5</v>
      </c>
      <c r="AV264" s="32">
        <v>111.1</v>
      </c>
      <c r="AW264" s="32">
        <v>151.4</v>
      </c>
      <c r="AX264" s="32">
        <v>176.8</v>
      </c>
      <c r="AY264" s="32">
        <v>162.1</v>
      </c>
      <c r="AZ264" s="32">
        <v>105.4</v>
      </c>
      <c r="BA264" s="32">
        <v>92.6</v>
      </c>
      <c r="BB264" s="32">
        <v>92.6</v>
      </c>
      <c r="BC264" s="32">
        <v>105.1</v>
      </c>
      <c r="BD264" s="32">
        <v>105.1</v>
      </c>
      <c r="BE264" s="32">
        <v>107.2</v>
      </c>
      <c r="BF264" s="32">
        <v>107.2</v>
      </c>
      <c r="BG264" s="32">
        <v>102.8</v>
      </c>
      <c r="BH264" s="32">
        <v>110.7</v>
      </c>
      <c r="BI264" s="32">
        <v>93.2</v>
      </c>
      <c r="BJ264" s="32">
        <v>61</v>
      </c>
      <c r="BK264" s="32">
        <v>101.9</v>
      </c>
      <c r="BL264" s="32">
        <v>105.9</v>
      </c>
      <c r="BM264" s="32">
        <v>102</v>
      </c>
      <c r="BN264" s="32">
        <v>108.5</v>
      </c>
      <c r="BO264" s="32">
        <v>99.9</v>
      </c>
      <c r="BP264" s="32">
        <v>115.5</v>
      </c>
      <c r="BQ264" s="32">
        <v>95.6</v>
      </c>
      <c r="BR264" s="32">
        <v>91.6</v>
      </c>
      <c r="BS264" s="32">
        <v>99.6</v>
      </c>
      <c r="BT264" s="32">
        <v>94.6</v>
      </c>
      <c r="BU264" s="32">
        <v>115.8</v>
      </c>
      <c r="BV264" s="32">
        <v>115.8</v>
      </c>
      <c r="BW264" s="32">
        <v>133.1</v>
      </c>
      <c r="BX264" s="32">
        <v>70.5</v>
      </c>
      <c r="BY264" s="32">
        <v>95.2</v>
      </c>
      <c r="BZ264" s="32">
        <v>105.9</v>
      </c>
      <c r="CA264" s="32">
        <v>90.1</v>
      </c>
      <c r="CB264" s="32">
        <v>98.6</v>
      </c>
      <c r="CC264" s="32">
        <v>83.6</v>
      </c>
      <c r="CD264" s="32">
        <v>68.7</v>
      </c>
      <c r="CE264" s="32">
        <v>95.3</v>
      </c>
      <c r="CF264" s="32">
        <v>95.5</v>
      </c>
      <c r="CG264" s="32">
        <v>103.9</v>
      </c>
      <c r="CH264" s="32">
        <v>105.6</v>
      </c>
      <c r="CI264" s="32">
        <v>118.1</v>
      </c>
      <c r="CJ264" s="32">
        <v>98.2</v>
      </c>
      <c r="CK264" s="32">
        <v>108.9</v>
      </c>
      <c r="CL264" s="32">
        <v>99.4</v>
      </c>
      <c r="CM264" s="32">
        <v>104.8</v>
      </c>
      <c r="CN264" s="32">
        <v>147.1</v>
      </c>
      <c r="CO264" s="32">
        <v>93.9</v>
      </c>
      <c r="CP264" s="32">
        <v>140</v>
      </c>
      <c r="CQ264" s="32">
        <v>180.1</v>
      </c>
      <c r="CR264" s="32">
        <v>103.3</v>
      </c>
      <c r="CS264" s="32">
        <v>102.9</v>
      </c>
      <c r="CT264" s="32">
        <v>101.7</v>
      </c>
      <c r="CU264" s="32">
        <v>103.1</v>
      </c>
      <c r="CV264" s="32">
        <v>101.2</v>
      </c>
      <c r="CW264" s="32">
        <v>76</v>
      </c>
      <c r="CX264" s="32">
        <v>96.5</v>
      </c>
      <c r="CY264" s="32">
        <v>95.8</v>
      </c>
      <c r="CZ264" s="32">
        <v>96.7</v>
      </c>
      <c r="DA264" s="32">
        <v>94.4</v>
      </c>
      <c r="DB264" s="32">
        <v>100.9</v>
      </c>
      <c r="DC264" s="32">
        <v>54.9</v>
      </c>
      <c r="DD264" s="32">
        <v>54.9</v>
      </c>
      <c r="DE264" s="32">
        <v>82.6</v>
      </c>
      <c r="DF264" s="32">
        <v>82.1</v>
      </c>
      <c r="DG264" s="32">
        <v>84.5</v>
      </c>
      <c r="DH264" s="32">
        <v>102</v>
      </c>
      <c r="DI264" s="32">
        <v>125.6</v>
      </c>
      <c r="DJ264" s="32">
        <v>89.6</v>
      </c>
      <c r="DK264" s="32">
        <v>89.6</v>
      </c>
      <c r="DL264" s="32">
        <v>79.8</v>
      </c>
      <c r="DM264" s="32">
        <v>96.3</v>
      </c>
      <c r="DN264" s="32">
        <v>95.3</v>
      </c>
      <c r="DO264" s="32">
        <v>97.1</v>
      </c>
      <c r="DP264" s="32">
        <v>87.3</v>
      </c>
      <c r="DQ264" s="32">
        <v>90.7</v>
      </c>
      <c r="DR264" s="32">
        <v>86.3</v>
      </c>
      <c r="DS264" s="32">
        <v>86.6</v>
      </c>
      <c r="DT264" s="32">
        <v>83.7</v>
      </c>
      <c r="DU264" s="32">
        <v>86</v>
      </c>
      <c r="DV264" s="32">
        <v>95.3</v>
      </c>
      <c r="DW264" s="32">
        <v>76.2</v>
      </c>
      <c r="DX264" s="32">
        <v>79.099999999999994</v>
      </c>
      <c r="DY264" s="32">
        <v>96.9</v>
      </c>
      <c r="DZ264" s="32">
        <v>87.4</v>
      </c>
      <c r="EA264" s="32">
        <v>87.4</v>
      </c>
      <c r="EB264" s="32">
        <v>85.1</v>
      </c>
      <c r="EC264" s="32">
        <v>86.6</v>
      </c>
      <c r="ED264" s="32">
        <v>83</v>
      </c>
      <c r="EE264" s="32">
        <v>82.9</v>
      </c>
      <c r="EF264" s="32">
        <v>83.5</v>
      </c>
      <c r="EG264" s="32">
        <v>97.7</v>
      </c>
      <c r="EH264" s="32">
        <v>114.5</v>
      </c>
      <c r="EI264" s="32">
        <v>98.5</v>
      </c>
      <c r="EJ264" s="32">
        <v>114.1</v>
      </c>
      <c r="EK264" s="32">
        <v>86.3</v>
      </c>
      <c r="EL264" s="32">
        <v>104.5</v>
      </c>
      <c r="EM264" s="32">
        <v>81.8</v>
      </c>
      <c r="EN264" s="32">
        <v>86.4</v>
      </c>
      <c r="EO264" s="32">
        <v>96.9</v>
      </c>
      <c r="EP264" s="32">
        <v>91.4</v>
      </c>
      <c r="EQ264" s="32">
        <v>91.4</v>
      </c>
      <c r="ER264" s="32">
        <v>88.9</v>
      </c>
      <c r="ES264" s="32">
        <v>88.9</v>
      </c>
      <c r="ET264" s="32">
        <v>110.2</v>
      </c>
      <c r="EU264" s="32">
        <v>123.6</v>
      </c>
      <c r="EV264" s="32">
        <v>123.6</v>
      </c>
      <c r="EW264" s="32">
        <v>95.4</v>
      </c>
      <c r="EX264" s="32">
        <v>93.5</v>
      </c>
      <c r="EY264" s="32">
        <v>97</v>
      </c>
      <c r="EZ264" s="32">
        <v>103.8</v>
      </c>
      <c r="FA264" s="32">
        <v>101.3</v>
      </c>
      <c r="FB264" s="32">
        <v>108.6</v>
      </c>
      <c r="FC264" s="32">
        <v>100.3</v>
      </c>
      <c r="FD264" s="32">
        <v>107.1</v>
      </c>
      <c r="FE264" s="32">
        <v>123.9</v>
      </c>
      <c r="FF264" s="32">
        <v>93</v>
      </c>
      <c r="FG264" s="32">
        <v>101.9</v>
      </c>
      <c r="FH264" s="32">
        <v>95.2</v>
      </c>
      <c r="FI264" s="32">
        <v>115.4</v>
      </c>
      <c r="FJ264" s="32">
        <v>103.1</v>
      </c>
      <c r="FK264" s="32">
        <v>168.6</v>
      </c>
      <c r="FL264" s="32">
        <v>168.6</v>
      </c>
    </row>
    <row r="265" spans="1:168" x14ac:dyDescent="0.2">
      <c r="A265" s="34" t="s">
        <v>1245</v>
      </c>
      <c r="B265" s="32">
        <v>96.3</v>
      </c>
      <c r="C265" s="32">
        <v>82.4</v>
      </c>
      <c r="D265" s="32">
        <v>100.2</v>
      </c>
      <c r="E265" s="32">
        <v>103.4</v>
      </c>
      <c r="F265" s="32">
        <v>126.4</v>
      </c>
      <c r="G265" s="32">
        <v>171.7</v>
      </c>
      <c r="H265" s="32">
        <v>134.5</v>
      </c>
      <c r="I265" s="32">
        <v>105</v>
      </c>
      <c r="J265" s="32">
        <v>101.8</v>
      </c>
      <c r="K265" s="32">
        <v>103.4</v>
      </c>
      <c r="L265" s="32">
        <v>105.4</v>
      </c>
      <c r="M265" s="32">
        <v>86.2</v>
      </c>
      <c r="N265" s="32">
        <v>101.5</v>
      </c>
      <c r="O265" s="32">
        <v>156.6</v>
      </c>
      <c r="P265" s="32">
        <v>181.4</v>
      </c>
      <c r="Q265" s="32">
        <v>153.1</v>
      </c>
      <c r="R265" s="32">
        <v>97.3</v>
      </c>
      <c r="S265" s="32">
        <v>100.4</v>
      </c>
      <c r="T265" s="32">
        <v>136.1</v>
      </c>
      <c r="U265" s="32">
        <v>140.80000000000001</v>
      </c>
      <c r="V265" s="32">
        <v>87.2</v>
      </c>
      <c r="W265" s="32">
        <v>97.7</v>
      </c>
      <c r="X265" s="32">
        <v>94.8</v>
      </c>
      <c r="Y265" s="32">
        <v>105.7</v>
      </c>
      <c r="Z265" s="32">
        <v>99</v>
      </c>
      <c r="AA265" s="32">
        <v>118.8</v>
      </c>
      <c r="AB265" s="32">
        <v>124.6</v>
      </c>
      <c r="AC265" s="32">
        <v>104.8</v>
      </c>
      <c r="AD265" s="32">
        <v>129.69999999999999</v>
      </c>
      <c r="AE265" s="32">
        <v>122.6</v>
      </c>
      <c r="AF265" s="32">
        <v>122.6</v>
      </c>
      <c r="AG265" s="32">
        <v>105.7</v>
      </c>
      <c r="AH265" s="32">
        <v>105.7</v>
      </c>
      <c r="AI265" s="32">
        <v>80.7</v>
      </c>
      <c r="AJ265" s="32">
        <v>182.3</v>
      </c>
      <c r="AK265" s="32">
        <v>116.8</v>
      </c>
      <c r="AL265" s="32">
        <v>98.5</v>
      </c>
      <c r="AM265" s="32">
        <v>83.7</v>
      </c>
      <c r="AN265" s="32">
        <v>122.8</v>
      </c>
      <c r="AO265" s="32">
        <v>76.900000000000006</v>
      </c>
      <c r="AP265" s="32">
        <v>76.900000000000006</v>
      </c>
      <c r="AQ265" s="32">
        <v>110.3</v>
      </c>
      <c r="AR265" s="32">
        <v>109.1</v>
      </c>
      <c r="AS265" s="32">
        <v>112.4</v>
      </c>
      <c r="AT265" s="32">
        <v>96.3</v>
      </c>
      <c r="AU265" s="32">
        <v>127.9</v>
      </c>
      <c r="AV265" s="32">
        <v>109.6</v>
      </c>
      <c r="AW265" s="32">
        <v>142.4</v>
      </c>
      <c r="AX265" s="32">
        <v>164.8</v>
      </c>
      <c r="AY265" s="32">
        <v>153.30000000000001</v>
      </c>
      <c r="AZ265" s="32">
        <v>105.3</v>
      </c>
      <c r="BA265" s="32">
        <v>93.6</v>
      </c>
      <c r="BB265" s="32">
        <v>93.6</v>
      </c>
      <c r="BC265" s="32">
        <v>106.2</v>
      </c>
      <c r="BD265" s="32">
        <v>106.2</v>
      </c>
      <c r="BE265" s="32">
        <v>107.5</v>
      </c>
      <c r="BF265" s="32">
        <v>107.5</v>
      </c>
      <c r="BG265" s="32">
        <v>101.5</v>
      </c>
      <c r="BH265" s="32">
        <v>107.7</v>
      </c>
      <c r="BI265" s="32">
        <v>93.9</v>
      </c>
      <c r="BJ265" s="32">
        <v>61</v>
      </c>
      <c r="BK265" s="32">
        <v>102.6</v>
      </c>
      <c r="BL265" s="32">
        <v>109.7</v>
      </c>
      <c r="BM265" s="32">
        <v>100.5</v>
      </c>
      <c r="BN265" s="32">
        <v>105.6</v>
      </c>
      <c r="BO265" s="32">
        <v>96.4</v>
      </c>
      <c r="BP265" s="32">
        <v>113.1</v>
      </c>
      <c r="BQ265" s="32">
        <v>95.4</v>
      </c>
      <c r="BR265" s="32">
        <v>93.9</v>
      </c>
      <c r="BS265" s="32">
        <v>102.4</v>
      </c>
      <c r="BT265" s="32">
        <v>93.1</v>
      </c>
      <c r="BU265" s="32">
        <v>115.8</v>
      </c>
      <c r="BV265" s="32">
        <v>115.8</v>
      </c>
      <c r="BW265" s="32">
        <v>131.80000000000001</v>
      </c>
      <c r="BX265" s="32">
        <v>72.400000000000006</v>
      </c>
      <c r="BY265" s="32">
        <v>94.9</v>
      </c>
      <c r="BZ265" s="32">
        <v>102.8</v>
      </c>
      <c r="CA265" s="32">
        <v>91.2</v>
      </c>
      <c r="CB265" s="32">
        <v>99.3</v>
      </c>
      <c r="CC265" s="32">
        <v>85.1</v>
      </c>
      <c r="CD265" s="32">
        <v>71.2</v>
      </c>
      <c r="CE265" s="32">
        <v>94.5</v>
      </c>
      <c r="CF265" s="32">
        <v>95.8</v>
      </c>
      <c r="CG265" s="32">
        <v>103.8</v>
      </c>
      <c r="CH265" s="32">
        <v>105</v>
      </c>
      <c r="CI265" s="32">
        <v>117.8</v>
      </c>
      <c r="CJ265" s="32">
        <v>96.6</v>
      </c>
      <c r="CK265" s="32">
        <v>109.1</v>
      </c>
      <c r="CL265" s="32">
        <v>100.3</v>
      </c>
      <c r="CM265" s="32">
        <v>106.1</v>
      </c>
      <c r="CN265" s="32">
        <v>147.69999999999999</v>
      </c>
      <c r="CO265" s="32">
        <v>95.2</v>
      </c>
      <c r="CP265" s="32">
        <v>138.30000000000001</v>
      </c>
      <c r="CQ265" s="32">
        <v>188.6</v>
      </c>
      <c r="CR265" s="32">
        <v>103.2</v>
      </c>
      <c r="CS265" s="32">
        <v>104.5</v>
      </c>
      <c r="CT265" s="32">
        <v>101.6</v>
      </c>
      <c r="CU265" s="32">
        <v>102</v>
      </c>
      <c r="CV265" s="32">
        <v>101.5</v>
      </c>
      <c r="CW265" s="32">
        <v>78.7</v>
      </c>
      <c r="CX265" s="32">
        <v>98.6</v>
      </c>
      <c r="CY265" s="32">
        <v>101</v>
      </c>
      <c r="CZ265" s="32">
        <v>97.1</v>
      </c>
      <c r="DA265" s="32">
        <v>96.1</v>
      </c>
      <c r="DB265" s="32">
        <v>98.5</v>
      </c>
      <c r="DC265" s="32">
        <v>56.4</v>
      </c>
      <c r="DD265" s="32">
        <v>56.4</v>
      </c>
      <c r="DE265" s="32">
        <v>86.8</v>
      </c>
      <c r="DF265" s="32">
        <v>87.3</v>
      </c>
      <c r="DG265" s="32">
        <v>83.9</v>
      </c>
      <c r="DH265" s="32">
        <v>101.2</v>
      </c>
      <c r="DI265" s="32">
        <v>125.1</v>
      </c>
      <c r="DJ265" s="32">
        <v>88.8</v>
      </c>
      <c r="DK265" s="32">
        <v>88.8</v>
      </c>
      <c r="DL265" s="32">
        <v>78.8</v>
      </c>
      <c r="DM265" s="32">
        <v>96.5</v>
      </c>
      <c r="DN265" s="32">
        <v>95.3</v>
      </c>
      <c r="DO265" s="32">
        <v>97.4</v>
      </c>
      <c r="DP265" s="32">
        <v>86.1</v>
      </c>
      <c r="DQ265" s="32">
        <v>90.6</v>
      </c>
      <c r="DR265" s="32">
        <v>86.3</v>
      </c>
      <c r="DS265" s="32">
        <v>86.5</v>
      </c>
      <c r="DT265" s="32">
        <v>83.7</v>
      </c>
      <c r="DU265" s="32">
        <v>85.5</v>
      </c>
      <c r="DV265" s="32">
        <v>92.9</v>
      </c>
      <c r="DW265" s="32">
        <v>77.7</v>
      </c>
      <c r="DX265" s="32">
        <v>80</v>
      </c>
      <c r="DY265" s="32">
        <v>96.8</v>
      </c>
      <c r="DZ265" s="32">
        <v>86.4</v>
      </c>
      <c r="EA265" s="32">
        <v>86.4</v>
      </c>
      <c r="EB265" s="32">
        <v>85.5</v>
      </c>
      <c r="EC265" s="32">
        <v>86.9</v>
      </c>
      <c r="ED265" s="32">
        <v>83.7</v>
      </c>
      <c r="EE265" s="32">
        <v>83.2</v>
      </c>
      <c r="EF265" s="32">
        <v>85.1</v>
      </c>
      <c r="EG265" s="32">
        <v>97.5</v>
      </c>
      <c r="EH265" s="32">
        <v>115.8</v>
      </c>
      <c r="EI265" s="32">
        <v>98.1</v>
      </c>
      <c r="EJ265" s="32">
        <v>110.6</v>
      </c>
      <c r="EK265" s="32">
        <v>86.3</v>
      </c>
      <c r="EL265" s="32">
        <v>101.3</v>
      </c>
      <c r="EM265" s="32">
        <v>82.7</v>
      </c>
      <c r="EN265" s="32">
        <v>86.3</v>
      </c>
      <c r="EO265" s="32">
        <v>97.3</v>
      </c>
      <c r="EP265" s="32">
        <v>92</v>
      </c>
      <c r="EQ265" s="32">
        <v>92</v>
      </c>
      <c r="ER265" s="32">
        <v>89.5</v>
      </c>
      <c r="ES265" s="32">
        <v>89.5</v>
      </c>
      <c r="ET265" s="32">
        <v>110.2</v>
      </c>
      <c r="EU265" s="32">
        <v>123.3</v>
      </c>
      <c r="EV265" s="32">
        <v>123.3</v>
      </c>
      <c r="EW265" s="32">
        <v>95.9</v>
      </c>
      <c r="EX265" s="32">
        <v>93.9</v>
      </c>
      <c r="EY265" s="32">
        <v>97.6</v>
      </c>
      <c r="EZ265" s="32">
        <v>104.8</v>
      </c>
      <c r="FA265" s="32">
        <v>101.7</v>
      </c>
      <c r="FB265" s="32">
        <v>108.7</v>
      </c>
      <c r="FC265" s="32">
        <v>101.4</v>
      </c>
      <c r="FD265" s="32">
        <v>105.3</v>
      </c>
      <c r="FE265" s="32">
        <v>123.4</v>
      </c>
      <c r="FF265" s="32">
        <v>93.7</v>
      </c>
      <c r="FG265" s="32">
        <v>103.3</v>
      </c>
      <c r="FH265" s="32">
        <v>96</v>
      </c>
      <c r="FI265" s="32">
        <v>124.3</v>
      </c>
      <c r="FJ265" s="32">
        <v>104</v>
      </c>
      <c r="FK265" s="32">
        <v>172</v>
      </c>
      <c r="FL265" s="32">
        <v>172</v>
      </c>
    </row>
    <row r="266" spans="1:168" x14ac:dyDescent="0.2">
      <c r="A266" s="34" t="s">
        <v>1246</v>
      </c>
      <c r="B266" s="32">
        <v>96.5</v>
      </c>
      <c r="C266" s="32">
        <v>83.7</v>
      </c>
      <c r="D266" s="32">
        <v>100.1</v>
      </c>
      <c r="E266" s="32">
        <v>103</v>
      </c>
      <c r="F266" s="32">
        <v>121.4</v>
      </c>
      <c r="G266" s="32">
        <v>196</v>
      </c>
      <c r="H266" s="32">
        <v>128.19999999999999</v>
      </c>
      <c r="I266" s="32">
        <v>102.7</v>
      </c>
      <c r="J266" s="32">
        <v>101.6</v>
      </c>
      <c r="K266" s="32">
        <v>102.4</v>
      </c>
      <c r="L266" s="32">
        <v>104.9</v>
      </c>
      <c r="M266" s="32">
        <v>87.3</v>
      </c>
      <c r="N266" s="32">
        <v>101</v>
      </c>
      <c r="O266" s="32">
        <v>158.4</v>
      </c>
      <c r="P266" s="32">
        <v>176.9</v>
      </c>
      <c r="Q266" s="32">
        <v>147.80000000000001</v>
      </c>
      <c r="R266" s="32">
        <v>96.5</v>
      </c>
      <c r="S266" s="32">
        <v>100.6</v>
      </c>
      <c r="T266" s="32">
        <v>137.1</v>
      </c>
      <c r="U266" s="32">
        <v>131.9</v>
      </c>
      <c r="V266" s="32">
        <v>86.2</v>
      </c>
      <c r="W266" s="32">
        <v>97</v>
      </c>
      <c r="X266" s="32">
        <v>94.4</v>
      </c>
      <c r="Y266" s="32">
        <v>103.9</v>
      </c>
      <c r="Z266" s="32">
        <v>101</v>
      </c>
      <c r="AA266" s="32">
        <v>120.3</v>
      </c>
      <c r="AB266" s="32">
        <v>126.3</v>
      </c>
      <c r="AC266" s="32">
        <v>109.3</v>
      </c>
      <c r="AD266" s="32">
        <v>128.19999999999999</v>
      </c>
      <c r="AE266" s="32">
        <v>115.9</v>
      </c>
      <c r="AF266" s="32">
        <v>115.9</v>
      </c>
      <c r="AG266" s="32">
        <v>111.1</v>
      </c>
      <c r="AH266" s="32">
        <v>111.1</v>
      </c>
      <c r="AI266" s="32">
        <v>82.2</v>
      </c>
      <c r="AJ266" s="32">
        <v>192.4</v>
      </c>
      <c r="AK266" s="32">
        <v>115.2</v>
      </c>
      <c r="AL266" s="32">
        <v>100.3</v>
      </c>
      <c r="AM266" s="32">
        <v>91.7</v>
      </c>
      <c r="AN266" s="32">
        <v>126.4</v>
      </c>
      <c r="AO266" s="32">
        <v>79.2</v>
      </c>
      <c r="AP266" s="32">
        <v>79.2</v>
      </c>
      <c r="AQ266" s="32">
        <v>111.6</v>
      </c>
      <c r="AR266" s="32">
        <v>111.4</v>
      </c>
      <c r="AS266" s="32">
        <v>112.4</v>
      </c>
      <c r="AT266" s="32">
        <v>96.9</v>
      </c>
      <c r="AU266" s="32">
        <v>127.4</v>
      </c>
      <c r="AV266" s="32">
        <v>107.6</v>
      </c>
      <c r="AW266" s="32">
        <v>137.80000000000001</v>
      </c>
      <c r="AX266" s="32">
        <v>168</v>
      </c>
      <c r="AY266" s="32">
        <v>143.5</v>
      </c>
      <c r="AZ266" s="32">
        <v>103.8</v>
      </c>
      <c r="BA266" s="32">
        <v>88.7</v>
      </c>
      <c r="BB266" s="32">
        <v>88.7</v>
      </c>
      <c r="BC266" s="32">
        <v>105.8</v>
      </c>
      <c r="BD266" s="32">
        <v>105.8</v>
      </c>
      <c r="BE266" s="32">
        <v>104.9</v>
      </c>
      <c r="BF266" s="32">
        <v>104.9</v>
      </c>
      <c r="BG266" s="32">
        <v>100.1</v>
      </c>
      <c r="BH266" s="32">
        <v>105.3</v>
      </c>
      <c r="BI266" s="32">
        <v>93.6</v>
      </c>
      <c r="BJ266" s="32">
        <v>61.6</v>
      </c>
      <c r="BK266" s="32">
        <v>102.4</v>
      </c>
      <c r="BL266" s="32">
        <v>105.8</v>
      </c>
      <c r="BM266" s="32">
        <v>104.9</v>
      </c>
      <c r="BN266" s="32">
        <v>108.3</v>
      </c>
      <c r="BO266" s="32">
        <v>100</v>
      </c>
      <c r="BP266" s="32">
        <v>115</v>
      </c>
      <c r="BQ266" s="32">
        <v>101.4</v>
      </c>
      <c r="BR266" s="32">
        <v>92.1</v>
      </c>
      <c r="BS266" s="32">
        <v>108.3</v>
      </c>
      <c r="BT266" s="32">
        <v>100.2</v>
      </c>
      <c r="BU266" s="32">
        <v>115.2</v>
      </c>
      <c r="BV266" s="32">
        <v>115.2</v>
      </c>
      <c r="BW266" s="32">
        <v>129.9</v>
      </c>
      <c r="BX266" s="32">
        <v>74.2</v>
      </c>
      <c r="BY266" s="32">
        <v>95.6</v>
      </c>
      <c r="BZ266" s="32">
        <v>102.4</v>
      </c>
      <c r="CA266" s="32">
        <v>92.4</v>
      </c>
      <c r="CB266" s="32">
        <v>101.8</v>
      </c>
      <c r="CC266" s="32">
        <v>84.9</v>
      </c>
      <c r="CD266" s="32">
        <v>72</v>
      </c>
      <c r="CE266" s="32">
        <v>95</v>
      </c>
      <c r="CF266" s="32">
        <v>96</v>
      </c>
      <c r="CG266" s="32">
        <v>104.4</v>
      </c>
      <c r="CH266" s="32">
        <v>105.4</v>
      </c>
      <c r="CI266" s="32">
        <v>119.9</v>
      </c>
      <c r="CJ266" s="32">
        <v>97.7</v>
      </c>
      <c r="CK266" s="32">
        <v>108.4</v>
      </c>
      <c r="CL266" s="32">
        <v>101.2</v>
      </c>
      <c r="CM266" s="32">
        <v>108.1</v>
      </c>
      <c r="CN266" s="32">
        <v>152.19999999999999</v>
      </c>
      <c r="CO266" s="32">
        <v>96.8</v>
      </c>
      <c r="CP266" s="32">
        <v>136.4</v>
      </c>
      <c r="CQ266" s="32">
        <v>195.5</v>
      </c>
      <c r="CR266" s="32">
        <v>102.8</v>
      </c>
      <c r="CS266" s="32">
        <v>105.4</v>
      </c>
      <c r="CT266" s="32">
        <v>102.7</v>
      </c>
      <c r="CU266" s="32">
        <v>102.9</v>
      </c>
      <c r="CV266" s="32">
        <v>102.7</v>
      </c>
      <c r="CW266" s="32">
        <v>79.7</v>
      </c>
      <c r="CX266" s="32">
        <v>98.8</v>
      </c>
      <c r="CY266" s="32">
        <v>98.6</v>
      </c>
      <c r="CZ266" s="32">
        <v>98.8</v>
      </c>
      <c r="DA266" s="32">
        <v>98.6</v>
      </c>
      <c r="DB266" s="32">
        <v>98.6</v>
      </c>
      <c r="DC266" s="32">
        <v>58.1</v>
      </c>
      <c r="DD266" s="32">
        <v>58.1</v>
      </c>
      <c r="DE266" s="32">
        <v>87.3</v>
      </c>
      <c r="DF266" s="32">
        <v>88.2</v>
      </c>
      <c r="DG266" s="32">
        <v>82.4</v>
      </c>
      <c r="DH266" s="32">
        <v>100.8</v>
      </c>
      <c r="DI266" s="32">
        <v>125.2</v>
      </c>
      <c r="DJ266" s="32">
        <v>87.8</v>
      </c>
      <c r="DK266" s="32">
        <v>87.8</v>
      </c>
      <c r="DL266" s="32">
        <v>78.099999999999994</v>
      </c>
      <c r="DM266" s="32">
        <v>96.8</v>
      </c>
      <c r="DN266" s="32">
        <v>96.3</v>
      </c>
      <c r="DO266" s="32">
        <v>97.5</v>
      </c>
      <c r="DP266" s="32">
        <v>87.1</v>
      </c>
      <c r="DQ266" s="32">
        <v>90.9</v>
      </c>
      <c r="DR266" s="32">
        <v>86.4</v>
      </c>
      <c r="DS266" s="32">
        <v>86.3</v>
      </c>
      <c r="DT266" s="32">
        <v>84.6</v>
      </c>
      <c r="DU266" s="32">
        <v>86.6</v>
      </c>
      <c r="DV266" s="32">
        <v>93.3</v>
      </c>
      <c r="DW266" s="32">
        <v>79.5</v>
      </c>
      <c r="DX266" s="32">
        <v>80.400000000000006</v>
      </c>
      <c r="DY266" s="32">
        <v>92.5</v>
      </c>
      <c r="DZ266" s="32">
        <v>91.5</v>
      </c>
      <c r="EA266" s="32">
        <v>91.5</v>
      </c>
      <c r="EB266" s="32">
        <v>84.5</v>
      </c>
      <c r="EC266" s="32">
        <v>84.6</v>
      </c>
      <c r="ED266" s="32">
        <v>84.3</v>
      </c>
      <c r="EE266" s="32">
        <v>84.4</v>
      </c>
      <c r="EF266" s="32">
        <v>84.4</v>
      </c>
      <c r="EG266" s="32">
        <v>98.3</v>
      </c>
      <c r="EH266" s="32">
        <v>118</v>
      </c>
      <c r="EI266" s="32">
        <v>98.5</v>
      </c>
      <c r="EJ266" s="32">
        <v>107.7</v>
      </c>
      <c r="EK266" s="32">
        <v>87.4</v>
      </c>
      <c r="EL266" s="32">
        <v>102.6</v>
      </c>
      <c r="EM266" s="32">
        <v>83.5</v>
      </c>
      <c r="EN266" s="32">
        <v>87.7</v>
      </c>
      <c r="EO266" s="32">
        <v>97.1</v>
      </c>
      <c r="EP266" s="32">
        <v>92.2</v>
      </c>
      <c r="EQ266" s="32">
        <v>92.2</v>
      </c>
      <c r="ER266" s="32">
        <v>89.2</v>
      </c>
      <c r="ES266" s="32">
        <v>89.2</v>
      </c>
      <c r="ET266" s="32">
        <v>109.9</v>
      </c>
      <c r="EU266" s="32">
        <v>123</v>
      </c>
      <c r="EV266" s="32">
        <v>123</v>
      </c>
      <c r="EW266" s="32">
        <v>95.8</v>
      </c>
      <c r="EX266" s="32">
        <v>93.4</v>
      </c>
      <c r="EY266" s="32">
        <v>97.8</v>
      </c>
      <c r="EZ266" s="32">
        <v>104.1</v>
      </c>
      <c r="FA266" s="32">
        <v>102</v>
      </c>
      <c r="FB266" s="32">
        <v>106.4</v>
      </c>
      <c r="FC266" s="32">
        <v>98.6</v>
      </c>
      <c r="FD266" s="32">
        <v>104.5</v>
      </c>
      <c r="FE266" s="32">
        <v>120.9</v>
      </c>
      <c r="FF266" s="32">
        <v>96.9</v>
      </c>
      <c r="FG266" s="32">
        <v>101.8</v>
      </c>
      <c r="FH266" s="32">
        <v>95.6</v>
      </c>
      <c r="FI266" s="32">
        <v>122.2</v>
      </c>
      <c r="FJ266" s="32">
        <v>102.1</v>
      </c>
      <c r="FK266" s="32">
        <v>170.1</v>
      </c>
      <c r="FL266" s="32">
        <v>170.1</v>
      </c>
    </row>
    <row r="267" spans="1:168" x14ac:dyDescent="0.2">
      <c r="A267" s="34" t="s">
        <v>1247</v>
      </c>
      <c r="B267" s="32">
        <v>96.4</v>
      </c>
      <c r="C267" s="32">
        <v>85.2</v>
      </c>
      <c r="D267" s="32">
        <v>99.4</v>
      </c>
      <c r="E267" s="32">
        <v>102</v>
      </c>
      <c r="F267" s="32">
        <v>124.3</v>
      </c>
      <c r="G267" s="32">
        <v>154.6</v>
      </c>
      <c r="H267" s="32">
        <v>131.9</v>
      </c>
      <c r="I267" s="32">
        <v>104.3</v>
      </c>
      <c r="J267" s="32">
        <v>100</v>
      </c>
      <c r="K267" s="32">
        <v>102.3</v>
      </c>
      <c r="L267" s="32">
        <v>104.6</v>
      </c>
      <c r="M267" s="32">
        <v>87.5</v>
      </c>
      <c r="N267" s="32">
        <v>100.1</v>
      </c>
      <c r="O267" s="32">
        <v>167.2</v>
      </c>
      <c r="P267" s="32">
        <v>180.1</v>
      </c>
      <c r="Q267" s="32">
        <v>152.4</v>
      </c>
      <c r="R267" s="32">
        <v>98.3</v>
      </c>
      <c r="S267" s="32">
        <v>98.7</v>
      </c>
      <c r="T267" s="32">
        <v>126.7</v>
      </c>
      <c r="U267" s="32">
        <v>133.6</v>
      </c>
      <c r="V267" s="32">
        <v>86.2</v>
      </c>
      <c r="W267" s="32">
        <v>94.2</v>
      </c>
      <c r="X267" s="32">
        <v>91</v>
      </c>
      <c r="Y267" s="32">
        <v>102.7</v>
      </c>
      <c r="Z267" s="32">
        <v>95.7</v>
      </c>
      <c r="AA267" s="32">
        <v>119.3</v>
      </c>
      <c r="AB267" s="32">
        <v>128.4</v>
      </c>
      <c r="AC267" s="32">
        <v>109</v>
      </c>
      <c r="AD267" s="32">
        <v>124.5</v>
      </c>
      <c r="AE267" s="32">
        <v>109.4</v>
      </c>
      <c r="AF267" s="32">
        <v>109.4</v>
      </c>
      <c r="AG267" s="32">
        <v>109.4</v>
      </c>
      <c r="AH267" s="32">
        <v>109.4</v>
      </c>
      <c r="AI267" s="32">
        <v>81.3</v>
      </c>
      <c r="AJ267" s="32">
        <v>189.5</v>
      </c>
      <c r="AK267" s="32">
        <v>117.3</v>
      </c>
      <c r="AL267" s="32">
        <v>98.9</v>
      </c>
      <c r="AM267" s="32">
        <v>87.6</v>
      </c>
      <c r="AN267" s="32">
        <v>129</v>
      </c>
      <c r="AO267" s="32">
        <v>78.7</v>
      </c>
      <c r="AP267" s="32">
        <v>78.7</v>
      </c>
      <c r="AQ267" s="32">
        <v>110.5</v>
      </c>
      <c r="AR267" s="32">
        <v>110.7</v>
      </c>
      <c r="AS267" s="32">
        <v>110.6</v>
      </c>
      <c r="AT267" s="32">
        <v>94</v>
      </c>
      <c r="AU267" s="32">
        <v>126.5</v>
      </c>
      <c r="AV267" s="32">
        <v>104.9</v>
      </c>
      <c r="AW267" s="32">
        <v>122</v>
      </c>
      <c r="AX267" s="32">
        <v>153.69999999999999</v>
      </c>
      <c r="AY267" s="32">
        <v>125.6</v>
      </c>
      <c r="AZ267" s="32">
        <v>103.5</v>
      </c>
      <c r="BA267" s="32">
        <v>90.7</v>
      </c>
      <c r="BB267" s="32">
        <v>90.7</v>
      </c>
      <c r="BC267" s="32">
        <v>109.5</v>
      </c>
      <c r="BD267" s="32">
        <v>109.5</v>
      </c>
      <c r="BE267" s="32">
        <v>101.9</v>
      </c>
      <c r="BF267" s="32">
        <v>101.9</v>
      </c>
      <c r="BG267" s="32">
        <v>95.5</v>
      </c>
      <c r="BH267" s="32">
        <v>97.5</v>
      </c>
      <c r="BI267" s="32">
        <v>92.9</v>
      </c>
      <c r="BJ267" s="32">
        <v>62.5</v>
      </c>
      <c r="BK267" s="32">
        <v>101</v>
      </c>
      <c r="BL267" s="32">
        <v>107.3</v>
      </c>
      <c r="BM267" s="32">
        <v>101.8</v>
      </c>
      <c r="BN267" s="32">
        <v>105.5</v>
      </c>
      <c r="BO267" s="32">
        <v>97.8</v>
      </c>
      <c r="BP267" s="32">
        <v>111.5</v>
      </c>
      <c r="BQ267" s="32">
        <v>98.1</v>
      </c>
      <c r="BR267" s="32">
        <v>93.9</v>
      </c>
      <c r="BS267" s="32">
        <v>102.6</v>
      </c>
      <c r="BT267" s="32">
        <v>97</v>
      </c>
      <c r="BU267" s="32">
        <v>116.5</v>
      </c>
      <c r="BV267" s="32">
        <v>116.5</v>
      </c>
      <c r="BW267" s="32">
        <v>128.5</v>
      </c>
      <c r="BX267" s="32">
        <v>79.900000000000006</v>
      </c>
      <c r="BY267" s="32">
        <v>94.8</v>
      </c>
      <c r="BZ267" s="32">
        <v>102.7</v>
      </c>
      <c r="CA267" s="32">
        <v>91.1</v>
      </c>
      <c r="CB267" s="32">
        <v>99.1</v>
      </c>
      <c r="CC267" s="32">
        <v>84.9</v>
      </c>
      <c r="CD267" s="32">
        <v>73.400000000000006</v>
      </c>
      <c r="CE267" s="32">
        <v>95.1</v>
      </c>
      <c r="CF267" s="32">
        <v>96.1</v>
      </c>
      <c r="CG267" s="32">
        <v>104.5</v>
      </c>
      <c r="CH267" s="32">
        <v>105.2</v>
      </c>
      <c r="CI267" s="32">
        <v>117.9</v>
      </c>
      <c r="CJ267" s="32">
        <v>98.8</v>
      </c>
      <c r="CK267" s="32">
        <v>107.8</v>
      </c>
      <c r="CL267" s="32">
        <v>102.2</v>
      </c>
      <c r="CM267" s="32">
        <v>107.2</v>
      </c>
      <c r="CN267" s="32">
        <v>152.1</v>
      </c>
      <c r="CO267" s="32">
        <v>95.8</v>
      </c>
      <c r="CP267" s="32">
        <v>134.5</v>
      </c>
      <c r="CQ267" s="32">
        <v>197</v>
      </c>
      <c r="CR267" s="32">
        <v>105.7</v>
      </c>
      <c r="CS267" s="32">
        <v>108.4</v>
      </c>
      <c r="CT267" s="32">
        <v>102.5</v>
      </c>
      <c r="CU267" s="32">
        <v>101.9</v>
      </c>
      <c r="CV267" s="32">
        <v>102.7</v>
      </c>
      <c r="CW267" s="32">
        <v>79.2</v>
      </c>
      <c r="CX267" s="32">
        <v>96</v>
      </c>
      <c r="CY267" s="32">
        <v>98.4</v>
      </c>
      <c r="CZ267" s="32">
        <v>94.5</v>
      </c>
      <c r="DA267" s="32">
        <v>93.8</v>
      </c>
      <c r="DB267" s="32">
        <v>95.3</v>
      </c>
      <c r="DC267" s="32">
        <v>58.2</v>
      </c>
      <c r="DD267" s="32">
        <v>58.2</v>
      </c>
      <c r="DE267" s="32">
        <v>87.1</v>
      </c>
      <c r="DF267" s="32">
        <v>87.8</v>
      </c>
      <c r="DG267" s="32">
        <v>83.3</v>
      </c>
      <c r="DH267" s="32">
        <v>100.3</v>
      </c>
      <c r="DI267" s="32">
        <v>124.1</v>
      </c>
      <c r="DJ267" s="32">
        <v>87.2</v>
      </c>
      <c r="DK267" s="32">
        <v>87.2</v>
      </c>
      <c r="DL267" s="32">
        <v>78.7</v>
      </c>
      <c r="DM267" s="32">
        <v>97</v>
      </c>
      <c r="DN267" s="32">
        <v>96.7</v>
      </c>
      <c r="DO267" s="32">
        <v>97.6</v>
      </c>
      <c r="DP267" s="32">
        <v>87.4</v>
      </c>
      <c r="DQ267" s="32">
        <v>90.9</v>
      </c>
      <c r="DR267" s="32">
        <v>86.6</v>
      </c>
      <c r="DS267" s="32">
        <v>86.8</v>
      </c>
      <c r="DT267" s="32">
        <v>84.9</v>
      </c>
      <c r="DU267" s="32">
        <v>87.1</v>
      </c>
      <c r="DV267" s="32">
        <v>95</v>
      </c>
      <c r="DW267" s="32">
        <v>78.8</v>
      </c>
      <c r="DX267" s="32">
        <v>80.5</v>
      </c>
      <c r="DY267" s="32">
        <v>93.7</v>
      </c>
      <c r="DZ267" s="32">
        <v>87.6</v>
      </c>
      <c r="EA267" s="32">
        <v>87.6</v>
      </c>
      <c r="EB267" s="32">
        <v>85.5</v>
      </c>
      <c r="EC267" s="32">
        <v>85.5</v>
      </c>
      <c r="ED267" s="32">
        <v>85.7</v>
      </c>
      <c r="EE267" s="32">
        <v>86</v>
      </c>
      <c r="EF267" s="32">
        <v>85.1</v>
      </c>
      <c r="EG267" s="32">
        <v>97.9</v>
      </c>
      <c r="EH267" s="32">
        <v>117.5</v>
      </c>
      <c r="EI267" s="32">
        <v>100.6</v>
      </c>
      <c r="EJ267" s="32">
        <v>111.2</v>
      </c>
      <c r="EK267" s="32">
        <v>84.9</v>
      </c>
      <c r="EL267" s="32">
        <v>99.3</v>
      </c>
      <c r="EM267" s="32">
        <v>82.6</v>
      </c>
      <c r="EN267" s="32">
        <v>84.3</v>
      </c>
      <c r="EO267" s="32">
        <v>97.3</v>
      </c>
      <c r="EP267" s="32">
        <v>92.5</v>
      </c>
      <c r="EQ267" s="32">
        <v>92.5</v>
      </c>
      <c r="ER267" s="32">
        <v>89.7</v>
      </c>
      <c r="ES267" s="32">
        <v>89.7</v>
      </c>
      <c r="ET267" s="32">
        <v>109.6</v>
      </c>
      <c r="EU267" s="32">
        <v>122.9</v>
      </c>
      <c r="EV267" s="32">
        <v>122.9</v>
      </c>
      <c r="EW267" s="32">
        <v>95.2</v>
      </c>
      <c r="EX267" s="32">
        <v>92.3</v>
      </c>
      <c r="EY267" s="32">
        <v>97.6</v>
      </c>
      <c r="EZ267" s="32">
        <v>104.8</v>
      </c>
      <c r="FA267" s="32">
        <v>102.6</v>
      </c>
      <c r="FB267" s="32">
        <v>106.3</v>
      </c>
      <c r="FC267" s="32">
        <v>100.5</v>
      </c>
      <c r="FD267" s="32">
        <v>103.2</v>
      </c>
      <c r="FE267" s="32">
        <v>117.9</v>
      </c>
      <c r="FF267" s="32">
        <v>98.3</v>
      </c>
      <c r="FG267" s="32">
        <v>102.2</v>
      </c>
      <c r="FH267" s="32">
        <v>95.2</v>
      </c>
      <c r="FI267" s="32">
        <v>115.8</v>
      </c>
      <c r="FJ267" s="32">
        <v>103.6</v>
      </c>
      <c r="FK267" s="32">
        <v>178.9</v>
      </c>
      <c r="FL267" s="32">
        <v>178.9</v>
      </c>
    </row>
    <row r="268" spans="1:168" x14ac:dyDescent="0.2">
      <c r="A268" s="34" t="s">
        <v>1248</v>
      </c>
      <c r="B268" s="32">
        <v>96.5</v>
      </c>
      <c r="C268" s="32">
        <v>86.7</v>
      </c>
      <c r="D268" s="32">
        <v>98.7</v>
      </c>
      <c r="E268" s="32">
        <v>101</v>
      </c>
      <c r="F268" s="32">
        <v>120.9</v>
      </c>
      <c r="G268" s="32">
        <v>172.3</v>
      </c>
      <c r="H268" s="32">
        <v>128.30000000000001</v>
      </c>
      <c r="I268" s="32">
        <v>101.1</v>
      </c>
      <c r="J268" s="32">
        <v>99.2</v>
      </c>
      <c r="K268" s="32">
        <v>101.6</v>
      </c>
      <c r="L268" s="32">
        <v>104.4</v>
      </c>
      <c r="M268" s="32">
        <v>88.9</v>
      </c>
      <c r="N268" s="32">
        <v>96.4</v>
      </c>
      <c r="O268" s="32">
        <v>180.4</v>
      </c>
      <c r="P268" s="32">
        <v>180.4</v>
      </c>
      <c r="Q268" s="32">
        <v>146.19999999999999</v>
      </c>
      <c r="R268" s="32">
        <v>96.2</v>
      </c>
      <c r="S268" s="32">
        <v>99</v>
      </c>
      <c r="T268" s="32">
        <v>136.4</v>
      </c>
      <c r="U268" s="32">
        <v>126.5</v>
      </c>
      <c r="V268" s="32">
        <v>85.1</v>
      </c>
      <c r="W268" s="32">
        <v>99.4</v>
      </c>
      <c r="X268" s="32">
        <v>94.8</v>
      </c>
      <c r="Y268" s="32">
        <v>110.1</v>
      </c>
      <c r="Z268" s="32">
        <v>104.8</v>
      </c>
      <c r="AA268" s="32">
        <v>121.5</v>
      </c>
      <c r="AB268" s="32">
        <v>127.8</v>
      </c>
      <c r="AC268" s="32">
        <v>113.1</v>
      </c>
      <c r="AD268" s="32">
        <v>126.9</v>
      </c>
      <c r="AE268" s="32">
        <v>104.9</v>
      </c>
      <c r="AF268" s="32">
        <v>104.9</v>
      </c>
      <c r="AG268" s="32">
        <v>112.9</v>
      </c>
      <c r="AH268" s="32">
        <v>112.9</v>
      </c>
      <c r="AI268" s="32">
        <v>72.7</v>
      </c>
      <c r="AJ268" s="32">
        <v>180</v>
      </c>
      <c r="AK268" s="32">
        <v>120</v>
      </c>
      <c r="AL268" s="32">
        <v>111</v>
      </c>
      <c r="AM268" s="32">
        <v>92</v>
      </c>
      <c r="AN268" s="32">
        <v>147.5</v>
      </c>
      <c r="AO268" s="32">
        <v>81</v>
      </c>
      <c r="AP268" s="32">
        <v>81</v>
      </c>
      <c r="AQ268" s="32">
        <v>108.9</v>
      </c>
      <c r="AR268" s="32">
        <v>108.7</v>
      </c>
      <c r="AS268" s="32">
        <v>109.7</v>
      </c>
      <c r="AT268" s="32">
        <v>94</v>
      </c>
      <c r="AU268" s="32">
        <v>124.8</v>
      </c>
      <c r="AV268" s="32">
        <v>93.4</v>
      </c>
      <c r="AW268" s="32">
        <v>113.3</v>
      </c>
      <c r="AX268" s="32">
        <v>159.19999999999999</v>
      </c>
      <c r="AY268" s="32">
        <v>105.8</v>
      </c>
      <c r="AZ268" s="32">
        <v>91.2</v>
      </c>
      <c r="BA268" s="32">
        <v>90.9</v>
      </c>
      <c r="BB268" s="32">
        <v>90.9</v>
      </c>
      <c r="BC268" s="32">
        <v>109.7</v>
      </c>
      <c r="BD268" s="32">
        <v>109.7</v>
      </c>
      <c r="BE268" s="32">
        <v>102.4</v>
      </c>
      <c r="BF268" s="32">
        <v>102.4</v>
      </c>
      <c r="BG268" s="32">
        <v>94.6</v>
      </c>
      <c r="BH268" s="32">
        <v>96.5</v>
      </c>
      <c r="BI268" s="32">
        <v>92.2</v>
      </c>
      <c r="BJ268" s="32">
        <v>63.8</v>
      </c>
      <c r="BK268" s="32">
        <v>99.7</v>
      </c>
      <c r="BL268" s="32">
        <v>104.7</v>
      </c>
      <c r="BM268" s="32">
        <v>102.3</v>
      </c>
      <c r="BN268" s="32">
        <v>106.2</v>
      </c>
      <c r="BO268" s="32">
        <v>97.4</v>
      </c>
      <c r="BP268" s="32">
        <v>113.2</v>
      </c>
      <c r="BQ268" s="32">
        <v>98.4</v>
      </c>
      <c r="BR268" s="32">
        <v>88.5</v>
      </c>
      <c r="BS268" s="32">
        <v>102.1</v>
      </c>
      <c r="BT268" s="32">
        <v>98.3</v>
      </c>
      <c r="BU268" s="32">
        <v>115.8</v>
      </c>
      <c r="BV268" s="32">
        <v>115.8</v>
      </c>
      <c r="BW268" s="32">
        <v>127.9</v>
      </c>
      <c r="BX268" s="32">
        <v>79.099999999999994</v>
      </c>
      <c r="BY268" s="32">
        <v>93.8</v>
      </c>
      <c r="BZ268" s="32">
        <v>102.4</v>
      </c>
      <c r="CA268" s="32">
        <v>89.7</v>
      </c>
      <c r="CB268" s="32">
        <v>96.1</v>
      </c>
      <c r="CC268" s="32">
        <v>85</v>
      </c>
      <c r="CD268" s="32">
        <v>72.8</v>
      </c>
      <c r="CE268" s="32">
        <v>94.9</v>
      </c>
      <c r="CF268" s="32">
        <v>96.4</v>
      </c>
      <c r="CG268" s="32">
        <v>105.4</v>
      </c>
      <c r="CH268" s="32">
        <v>106</v>
      </c>
      <c r="CI268" s="32">
        <v>116.9</v>
      </c>
      <c r="CJ268" s="32">
        <v>99.4</v>
      </c>
      <c r="CK268" s="32">
        <v>109.2</v>
      </c>
      <c r="CL268" s="32">
        <v>102.5</v>
      </c>
      <c r="CM268" s="32">
        <v>108.9</v>
      </c>
      <c r="CN268" s="32">
        <v>153</v>
      </c>
      <c r="CO268" s="32">
        <v>97.6</v>
      </c>
      <c r="CP268" s="32">
        <v>131.5</v>
      </c>
      <c r="CQ268" s="32">
        <v>206.7</v>
      </c>
      <c r="CR268" s="32">
        <v>105.7</v>
      </c>
      <c r="CS268" s="32">
        <v>105.7</v>
      </c>
      <c r="CT268" s="32">
        <v>104.3</v>
      </c>
      <c r="CU268" s="32">
        <v>103.8</v>
      </c>
      <c r="CV268" s="32">
        <v>104.5</v>
      </c>
      <c r="CW268" s="32">
        <v>79.5</v>
      </c>
      <c r="CX268" s="32">
        <v>94.4</v>
      </c>
      <c r="CY268" s="32">
        <v>99</v>
      </c>
      <c r="CZ268" s="32">
        <v>91.8</v>
      </c>
      <c r="DA268" s="32">
        <v>92.8</v>
      </c>
      <c r="DB268" s="32">
        <v>89.2</v>
      </c>
      <c r="DC268" s="32">
        <v>60.1</v>
      </c>
      <c r="DD268" s="32">
        <v>60.1</v>
      </c>
      <c r="DE268" s="32">
        <v>86.9</v>
      </c>
      <c r="DF268" s="32">
        <v>87.7</v>
      </c>
      <c r="DG268" s="32">
        <v>82.2</v>
      </c>
      <c r="DH268" s="32">
        <v>100.7</v>
      </c>
      <c r="DI268" s="32">
        <v>124.7</v>
      </c>
      <c r="DJ268" s="32">
        <v>86.3</v>
      </c>
      <c r="DK268" s="32">
        <v>86.3</v>
      </c>
      <c r="DL268" s="32">
        <v>79.400000000000006</v>
      </c>
      <c r="DM268" s="32">
        <v>97.2</v>
      </c>
      <c r="DN268" s="32">
        <v>96.8</v>
      </c>
      <c r="DO268" s="32">
        <v>97.7</v>
      </c>
      <c r="DP268" s="32">
        <v>88.1</v>
      </c>
      <c r="DQ268" s="32">
        <v>91.7</v>
      </c>
      <c r="DR268" s="32">
        <v>87.9</v>
      </c>
      <c r="DS268" s="32">
        <v>87.2</v>
      </c>
      <c r="DT268" s="32">
        <v>84.5</v>
      </c>
      <c r="DU268" s="32">
        <v>86.2</v>
      </c>
      <c r="DV268" s="32">
        <v>94.5</v>
      </c>
      <c r="DW268" s="32">
        <v>77.5</v>
      </c>
      <c r="DX268" s="32">
        <v>81</v>
      </c>
      <c r="DY268" s="32">
        <v>96.8</v>
      </c>
      <c r="DZ268" s="32">
        <v>94.9</v>
      </c>
      <c r="EA268" s="32">
        <v>94.9</v>
      </c>
      <c r="EB268" s="32">
        <v>86.6</v>
      </c>
      <c r="EC268" s="32">
        <v>85.2</v>
      </c>
      <c r="ED268" s="32">
        <v>88.4</v>
      </c>
      <c r="EE268" s="32">
        <v>90.7</v>
      </c>
      <c r="EF268" s="32">
        <v>83.8</v>
      </c>
      <c r="EG268" s="32">
        <v>98</v>
      </c>
      <c r="EH268" s="32">
        <v>119.8</v>
      </c>
      <c r="EI268" s="32">
        <v>100</v>
      </c>
      <c r="EJ268" s="32">
        <v>115.8</v>
      </c>
      <c r="EK268" s="32">
        <v>83.7</v>
      </c>
      <c r="EL268" s="32">
        <v>96.9</v>
      </c>
      <c r="EM268" s="32">
        <v>81.599999999999994</v>
      </c>
      <c r="EN268" s="32">
        <v>83.1</v>
      </c>
      <c r="EO268" s="32">
        <v>97.2</v>
      </c>
      <c r="EP268" s="32">
        <v>92.6</v>
      </c>
      <c r="EQ268" s="32">
        <v>92.6</v>
      </c>
      <c r="ER268" s="32">
        <v>90.8</v>
      </c>
      <c r="ES268" s="32">
        <v>90.8</v>
      </c>
      <c r="ET268" s="32">
        <v>108.4</v>
      </c>
      <c r="EU268" s="32">
        <v>121.3</v>
      </c>
      <c r="EV268" s="32">
        <v>121.3</v>
      </c>
      <c r="EW268" s="32">
        <v>94.4</v>
      </c>
      <c r="EX268" s="32">
        <v>91.4</v>
      </c>
      <c r="EY268" s="32">
        <v>97</v>
      </c>
      <c r="EZ268" s="32">
        <v>104.1</v>
      </c>
      <c r="FA268" s="32">
        <v>102.1</v>
      </c>
      <c r="FB268" s="32">
        <v>105.9</v>
      </c>
      <c r="FC268" s="32">
        <v>98.9</v>
      </c>
      <c r="FD268" s="32">
        <v>109</v>
      </c>
      <c r="FE268" s="32">
        <v>116.5</v>
      </c>
      <c r="FF268" s="32">
        <v>97.8</v>
      </c>
      <c r="FG268" s="32">
        <v>101.3</v>
      </c>
      <c r="FH268" s="32">
        <v>93.7</v>
      </c>
      <c r="FI268" s="32">
        <v>117.5</v>
      </c>
      <c r="FJ268" s="32">
        <v>102.7</v>
      </c>
      <c r="FK268" s="32">
        <v>175.5</v>
      </c>
      <c r="FL268" s="32">
        <v>175.5</v>
      </c>
    </row>
    <row r="269" spans="1:168" x14ac:dyDescent="0.2">
      <c r="A269" s="34" t="s">
        <v>1249</v>
      </c>
      <c r="B269" s="32">
        <v>96.2</v>
      </c>
      <c r="C269" s="32">
        <v>87.9</v>
      </c>
      <c r="D269" s="32">
        <v>97.7</v>
      </c>
      <c r="E269" s="32">
        <v>100.7</v>
      </c>
      <c r="F269" s="32">
        <v>120.2</v>
      </c>
      <c r="G269" s="32">
        <v>173.3</v>
      </c>
      <c r="H269" s="32">
        <v>127.3</v>
      </c>
      <c r="I269" s="32">
        <v>102.2</v>
      </c>
      <c r="J269" s="32">
        <v>99</v>
      </c>
      <c r="K269" s="32">
        <v>101.4</v>
      </c>
      <c r="L269" s="32">
        <v>104.4</v>
      </c>
      <c r="M269" s="32">
        <v>87.1</v>
      </c>
      <c r="N269" s="32">
        <v>99.6</v>
      </c>
      <c r="O269" s="32">
        <v>191.5</v>
      </c>
      <c r="P269" s="32">
        <v>173</v>
      </c>
      <c r="Q269" s="32">
        <v>151.5</v>
      </c>
      <c r="R269" s="32">
        <v>95.8</v>
      </c>
      <c r="S269" s="32">
        <v>98.2</v>
      </c>
      <c r="T269" s="32">
        <v>151.30000000000001</v>
      </c>
      <c r="U269" s="32">
        <v>130.69999999999999</v>
      </c>
      <c r="V269" s="32">
        <v>83.3</v>
      </c>
      <c r="W269" s="32">
        <v>100.8</v>
      </c>
      <c r="X269" s="32">
        <v>98.3</v>
      </c>
      <c r="Y269" s="32">
        <v>105.7</v>
      </c>
      <c r="Z269" s="32">
        <v>118.5</v>
      </c>
      <c r="AA269" s="32">
        <v>117.7</v>
      </c>
      <c r="AB269" s="32">
        <v>124.6</v>
      </c>
      <c r="AC269" s="32">
        <v>109.1</v>
      </c>
      <c r="AD269" s="32">
        <v>122.8</v>
      </c>
      <c r="AE269" s="32">
        <v>99.4</v>
      </c>
      <c r="AF269" s="32">
        <v>99.4</v>
      </c>
      <c r="AG269" s="32">
        <v>115.9</v>
      </c>
      <c r="AH269" s="32">
        <v>115.9</v>
      </c>
      <c r="AI269" s="32">
        <v>79.2</v>
      </c>
      <c r="AJ269" s="32">
        <v>191</v>
      </c>
      <c r="AK269" s="32">
        <v>119.5</v>
      </c>
      <c r="AL269" s="32">
        <v>105.9</v>
      </c>
      <c r="AM269" s="32">
        <v>97.2</v>
      </c>
      <c r="AN269" s="32">
        <v>141.9</v>
      </c>
      <c r="AO269" s="32">
        <v>86.3</v>
      </c>
      <c r="AP269" s="32">
        <v>86.3</v>
      </c>
      <c r="AQ269" s="32">
        <v>106.8</v>
      </c>
      <c r="AR269" s="32">
        <v>107.2</v>
      </c>
      <c r="AS269" s="32">
        <v>106.7</v>
      </c>
      <c r="AT269" s="32">
        <v>93.7</v>
      </c>
      <c r="AU269" s="32">
        <v>119.3</v>
      </c>
      <c r="AV269" s="32">
        <v>95.5</v>
      </c>
      <c r="AW269" s="32">
        <v>105.7</v>
      </c>
      <c r="AX269" s="32">
        <v>158.19999999999999</v>
      </c>
      <c r="AY269" s="32">
        <v>92.3</v>
      </c>
      <c r="AZ269" s="32">
        <v>95.3</v>
      </c>
      <c r="BA269" s="32">
        <v>92.1</v>
      </c>
      <c r="BB269" s="32">
        <v>92.1</v>
      </c>
      <c r="BC269" s="32">
        <v>111.4</v>
      </c>
      <c r="BD269" s="32">
        <v>111.4</v>
      </c>
      <c r="BE269" s="32">
        <v>102.1</v>
      </c>
      <c r="BF269" s="32">
        <v>102.1</v>
      </c>
      <c r="BG269" s="32">
        <v>91.9</v>
      </c>
      <c r="BH269" s="32">
        <v>91.5</v>
      </c>
      <c r="BI269" s="32">
        <v>92.2</v>
      </c>
      <c r="BJ269" s="32">
        <v>65.3</v>
      </c>
      <c r="BK269" s="32">
        <v>98.9</v>
      </c>
      <c r="BL269" s="32">
        <v>109.3</v>
      </c>
      <c r="BM269" s="32">
        <v>97.8</v>
      </c>
      <c r="BN269" s="32">
        <v>102.4</v>
      </c>
      <c r="BO269" s="32">
        <v>96</v>
      </c>
      <c r="BP269" s="32">
        <v>107.4</v>
      </c>
      <c r="BQ269" s="32">
        <v>93.2</v>
      </c>
      <c r="BR269" s="32">
        <v>105.3</v>
      </c>
      <c r="BS269" s="32">
        <v>98.9</v>
      </c>
      <c r="BT269" s="32">
        <v>89.7</v>
      </c>
      <c r="BU269" s="32">
        <v>114.7</v>
      </c>
      <c r="BV269" s="32">
        <v>114.7</v>
      </c>
      <c r="BW269" s="32">
        <v>128.5</v>
      </c>
      <c r="BX269" s="32">
        <v>75.2</v>
      </c>
      <c r="BY269" s="32">
        <v>93.4</v>
      </c>
      <c r="BZ269" s="32">
        <v>100.6</v>
      </c>
      <c r="CA269" s="32">
        <v>90</v>
      </c>
      <c r="CB269" s="32">
        <v>94.2</v>
      </c>
      <c r="CC269" s="32">
        <v>87.1</v>
      </c>
      <c r="CD269" s="32">
        <v>74.099999999999994</v>
      </c>
      <c r="CE269" s="32">
        <v>92.6</v>
      </c>
      <c r="CF269" s="32">
        <v>96.3</v>
      </c>
      <c r="CG269" s="32">
        <v>105.2</v>
      </c>
      <c r="CH269" s="32">
        <v>105.9</v>
      </c>
      <c r="CI269" s="32">
        <v>115.3</v>
      </c>
      <c r="CJ269" s="32">
        <v>98.8</v>
      </c>
      <c r="CK269" s="32">
        <v>109.8</v>
      </c>
      <c r="CL269" s="32">
        <v>102.1</v>
      </c>
      <c r="CM269" s="32">
        <v>109.7</v>
      </c>
      <c r="CN269" s="32">
        <v>150.1</v>
      </c>
      <c r="CO269" s="32">
        <v>98.8</v>
      </c>
      <c r="CP269" s="32">
        <v>131.80000000000001</v>
      </c>
      <c r="CQ269" s="32">
        <v>210.7</v>
      </c>
      <c r="CR269" s="32">
        <v>103.6</v>
      </c>
      <c r="CS269" s="32">
        <v>104.2</v>
      </c>
      <c r="CT269" s="32">
        <v>104.3</v>
      </c>
      <c r="CU269" s="32">
        <v>105.1</v>
      </c>
      <c r="CV269" s="32">
        <v>104</v>
      </c>
      <c r="CW269" s="32">
        <v>82</v>
      </c>
      <c r="CX269" s="32">
        <v>99.9</v>
      </c>
      <c r="CY269" s="32">
        <v>98.1</v>
      </c>
      <c r="CZ269" s="32">
        <v>100.7</v>
      </c>
      <c r="DA269" s="32">
        <v>102.1</v>
      </c>
      <c r="DB269" s="32">
        <v>97.5</v>
      </c>
      <c r="DC269" s="32">
        <v>61.1</v>
      </c>
      <c r="DD269" s="32">
        <v>61.1</v>
      </c>
      <c r="DE269" s="32">
        <v>89.2</v>
      </c>
      <c r="DF269" s="32">
        <v>88.7</v>
      </c>
      <c r="DG269" s="32">
        <v>91.5</v>
      </c>
      <c r="DH269" s="32">
        <v>100.6</v>
      </c>
      <c r="DI269" s="32">
        <v>126</v>
      </c>
      <c r="DJ269" s="32">
        <v>85.4</v>
      </c>
      <c r="DK269" s="32">
        <v>85.4</v>
      </c>
      <c r="DL269" s="32">
        <v>78.3</v>
      </c>
      <c r="DM269" s="32">
        <v>96.8</v>
      </c>
      <c r="DN269" s="32">
        <v>94.8</v>
      </c>
      <c r="DO269" s="32">
        <v>98</v>
      </c>
      <c r="DP269" s="32">
        <v>86.4</v>
      </c>
      <c r="DQ269" s="32">
        <v>90.5</v>
      </c>
      <c r="DR269" s="32">
        <v>86.6</v>
      </c>
      <c r="DS269" s="32">
        <v>87.2</v>
      </c>
      <c r="DT269" s="32">
        <v>85</v>
      </c>
      <c r="DU269" s="32">
        <v>86.7</v>
      </c>
      <c r="DV269" s="32">
        <v>96.5</v>
      </c>
      <c r="DW269" s="32">
        <v>76.400000000000006</v>
      </c>
      <c r="DX269" s="32">
        <v>81.599999999999994</v>
      </c>
      <c r="DY269" s="32">
        <v>95</v>
      </c>
      <c r="DZ269" s="32">
        <v>84.3</v>
      </c>
      <c r="EA269" s="32">
        <v>84.3</v>
      </c>
      <c r="EB269" s="32">
        <v>85.9</v>
      </c>
      <c r="EC269" s="32">
        <v>86.2</v>
      </c>
      <c r="ED269" s="32">
        <v>85.6</v>
      </c>
      <c r="EE269" s="32">
        <v>87.3</v>
      </c>
      <c r="EF269" s="32">
        <v>82.1</v>
      </c>
      <c r="EG269" s="32">
        <v>96.9</v>
      </c>
      <c r="EH269" s="32">
        <v>120.1</v>
      </c>
      <c r="EI269" s="32">
        <v>95.7</v>
      </c>
      <c r="EJ269" s="32">
        <v>114.5</v>
      </c>
      <c r="EK269" s="32">
        <v>84.1</v>
      </c>
      <c r="EL269" s="32">
        <v>99.3</v>
      </c>
      <c r="EM269" s="32">
        <v>82.8</v>
      </c>
      <c r="EN269" s="32">
        <v>82.8</v>
      </c>
      <c r="EO269" s="32">
        <v>96.9</v>
      </c>
      <c r="EP269" s="32">
        <v>92.9</v>
      </c>
      <c r="EQ269" s="32">
        <v>92.9</v>
      </c>
      <c r="ER269" s="32">
        <v>91.4</v>
      </c>
      <c r="ES269" s="32">
        <v>91.4</v>
      </c>
      <c r="ET269" s="32">
        <v>106.8</v>
      </c>
      <c r="EU269" s="32">
        <v>119.1</v>
      </c>
      <c r="EV269" s="32">
        <v>119.1</v>
      </c>
      <c r="EW269" s="32">
        <v>93.9</v>
      </c>
      <c r="EX269" s="32">
        <v>91.3</v>
      </c>
      <c r="EY269" s="32">
        <v>96.1</v>
      </c>
      <c r="EZ269" s="32">
        <v>105.1</v>
      </c>
      <c r="FA269" s="32">
        <v>105</v>
      </c>
      <c r="FB269" s="32">
        <v>109.1</v>
      </c>
      <c r="FC269" s="32">
        <v>107</v>
      </c>
      <c r="FD269" s="32">
        <v>99.3</v>
      </c>
      <c r="FE269" s="32">
        <v>117.9</v>
      </c>
      <c r="FF269" s="32">
        <v>100.3</v>
      </c>
      <c r="FG269" s="32">
        <v>100.8</v>
      </c>
      <c r="FH269" s="32">
        <v>94.2</v>
      </c>
      <c r="FI269" s="32">
        <v>128.69999999999999</v>
      </c>
      <c r="FJ269" s="32">
        <v>100.4</v>
      </c>
      <c r="FK269" s="32">
        <v>178.2</v>
      </c>
      <c r="FL269" s="32">
        <v>178.2</v>
      </c>
    </row>
    <row r="270" spans="1:168" x14ac:dyDescent="0.2">
      <c r="A270" s="34" t="s">
        <v>1250</v>
      </c>
      <c r="B270" s="32">
        <v>96.7</v>
      </c>
      <c r="C270" s="32">
        <v>89.2</v>
      </c>
      <c r="D270" s="32">
        <v>99.3</v>
      </c>
      <c r="E270" s="32">
        <v>102.1</v>
      </c>
      <c r="F270" s="32">
        <v>118.7</v>
      </c>
      <c r="G270" s="32">
        <v>159.69999999999999</v>
      </c>
      <c r="H270" s="32">
        <v>124.9</v>
      </c>
      <c r="I270" s="32">
        <v>104.8</v>
      </c>
      <c r="J270" s="32">
        <v>100.4</v>
      </c>
      <c r="K270" s="32">
        <v>102.8</v>
      </c>
      <c r="L270" s="32">
        <v>105.9</v>
      </c>
      <c r="M270" s="32">
        <v>92.2</v>
      </c>
      <c r="N270" s="32">
        <v>102.9</v>
      </c>
      <c r="O270" s="32">
        <v>231.1</v>
      </c>
      <c r="P270" s="32">
        <v>173.4</v>
      </c>
      <c r="Q270" s="32">
        <v>151.80000000000001</v>
      </c>
      <c r="R270" s="32">
        <v>95.3</v>
      </c>
      <c r="S270" s="32">
        <v>98.6</v>
      </c>
      <c r="T270" s="32">
        <v>144.69999999999999</v>
      </c>
      <c r="U270" s="32">
        <v>131.6</v>
      </c>
      <c r="V270" s="32">
        <v>84.4</v>
      </c>
      <c r="W270" s="32">
        <v>106.7</v>
      </c>
      <c r="X270" s="32">
        <v>107</v>
      </c>
      <c r="Y270" s="32">
        <v>107.6</v>
      </c>
      <c r="Z270" s="32">
        <v>116.4</v>
      </c>
      <c r="AA270" s="32">
        <v>121.3</v>
      </c>
      <c r="AB270" s="32">
        <v>121.1</v>
      </c>
      <c r="AC270" s="32">
        <v>117.9</v>
      </c>
      <c r="AD270" s="32">
        <v>126.3</v>
      </c>
      <c r="AE270" s="32">
        <v>104.7</v>
      </c>
      <c r="AF270" s="32">
        <v>104.7</v>
      </c>
      <c r="AG270" s="32">
        <v>116</v>
      </c>
      <c r="AH270" s="32">
        <v>116</v>
      </c>
      <c r="AI270" s="32">
        <v>76.900000000000006</v>
      </c>
      <c r="AJ270" s="32">
        <v>207</v>
      </c>
      <c r="AK270" s="32">
        <v>117.6</v>
      </c>
      <c r="AL270" s="32">
        <v>103.5</v>
      </c>
      <c r="AM270" s="32">
        <v>95.7</v>
      </c>
      <c r="AN270" s="32">
        <v>135.80000000000001</v>
      </c>
      <c r="AO270" s="32">
        <v>88.4</v>
      </c>
      <c r="AP270" s="32">
        <v>88.4</v>
      </c>
      <c r="AQ270" s="32">
        <v>107.4</v>
      </c>
      <c r="AR270" s="32">
        <v>109.7</v>
      </c>
      <c r="AS270" s="32">
        <v>104.9</v>
      </c>
      <c r="AT270" s="32">
        <v>90</v>
      </c>
      <c r="AU270" s="32">
        <v>119.2</v>
      </c>
      <c r="AV270" s="32">
        <v>100.5</v>
      </c>
      <c r="AW270" s="32">
        <v>101.3</v>
      </c>
      <c r="AX270" s="32">
        <v>167.3</v>
      </c>
      <c r="AY270" s="32">
        <v>78.2</v>
      </c>
      <c r="AZ270" s="32">
        <v>102</v>
      </c>
      <c r="BA270" s="32">
        <v>91.9</v>
      </c>
      <c r="BB270" s="32">
        <v>91.9</v>
      </c>
      <c r="BC270" s="32">
        <v>113.6</v>
      </c>
      <c r="BD270" s="32">
        <v>113.6</v>
      </c>
      <c r="BE270" s="32">
        <v>98.5</v>
      </c>
      <c r="BF270" s="32">
        <v>98.5</v>
      </c>
      <c r="BG270" s="32">
        <v>94.4</v>
      </c>
      <c r="BH270" s="32">
        <v>95.2</v>
      </c>
      <c r="BI270" s="32">
        <v>93.2</v>
      </c>
      <c r="BJ270" s="32">
        <v>67.3</v>
      </c>
      <c r="BK270" s="32">
        <v>99.5</v>
      </c>
      <c r="BL270" s="32">
        <v>111.9</v>
      </c>
      <c r="BM270" s="32">
        <v>97</v>
      </c>
      <c r="BN270" s="32">
        <v>105.9</v>
      </c>
      <c r="BO270" s="32">
        <v>97</v>
      </c>
      <c r="BP270" s="32">
        <v>113.2</v>
      </c>
      <c r="BQ270" s="32">
        <v>88.1</v>
      </c>
      <c r="BR270" s="32">
        <v>94</v>
      </c>
      <c r="BS270" s="32">
        <v>97.3</v>
      </c>
      <c r="BT270" s="32">
        <v>84.2</v>
      </c>
      <c r="BU270" s="32">
        <v>120.2</v>
      </c>
      <c r="BV270" s="32">
        <v>120.2</v>
      </c>
      <c r="BW270" s="32">
        <v>132.30000000000001</v>
      </c>
      <c r="BX270" s="32">
        <v>83.4</v>
      </c>
      <c r="BY270" s="32">
        <v>93.2</v>
      </c>
      <c r="BZ270" s="32">
        <v>101.8</v>
      </c>
      <c r="CA270" s="32">
        <v>89.1</v>
      </c>
      <c r="CB270" s="32">
        <v>93.8</v>
      </c>
      <c r="CC270" s="32">
        <v>85.9</v>
      </c>
      <c r="CD270" s="32">
        <v>71.5</v>
      </c>
      <c r="CE270" s="32">
        <v>94.6</v>
      </c>
      <c r="CF270" s="32">
        <v>96.4</v>
      </c>
      <c r="CG270" s="32">
        <v>105.7</v>
      </c>
      <c r="CH270" s="32">
        <v>106.5</v>
      </c>
      <c r="CI270" s="32">
        <v>115.8</v>
      </c>
      <c r="CJ270" s="32">
        <v>101.2</v>
      </c>
      <c r="CK270" s="32">
        <v>109</v>
      </c>
      <c r="CL270" s="32">
        <v>102.5</v>
      </c>
      <c r="CM270" s="32">
        <v>108.1</v>
      </c>
      <c r="CN270" s="32">
        <v>139</v>
      </c>
      <c r="CO270" s="32">
        <v>98.5</v>
      </c>
      <c r="CP270" s="32">
        <v>133.1</v>
      </c>
      <c r="CQ270" s="32">
        <v>212.6</v>
      </c>
      <c r="CR270" s="32">
        <v>106.5</v>
      </c>
      <c r="CS270" s="32">
        <v>104.7</v>
      </c>
      <c r="CT270" s="32">
        <v>104.5</v>
      </c>
      <c r="CU270" s="32">
        <v>106.5</v>
      </c>
      <c r="CV270" s="32">
        <v>103.8</v>
      </c>
      <c r="CW270" s="32">
        <v>80.8</v>
      </c>
      <c r="CX270" s="32">
        <v>100.1</v>
      </c>
      <c r="CY270" s="32">
        <v>102</v>
      </c>
      <c r="CZ270" s="32">
        <v>99</v>
      </c>
      <c r="DA270" s="32">
        <v>97.6</v>
      </c>
      <c r="DB270" s="32">
        <v>101.3</v>
      </c>
      <c r="DC270" s="32">
        <v>60.6</v>
      </c>
      <c r="DD270" s="32">
        <v>60.6</v>
      </c>
      <c r="DE270" s="32">
        <v>86.8</v>
      </c>
      <c r="DF270" s="32">
        <v>87.5</v>
      </c>
      <c r="DG270" s="32">
        <v>82.6</v>
      </c>
      <c r="DH270" s="32">
        <v>99.8</v>
      </c>
      <c r="DI270" s="32">
        <v>123.9</v>
      </c>
      <c r="DJ270" s="32">
        <v>84.4</v>
      </c>
      <c r="DK270" s="32">
        <v>84.4</v>
      </c>
      <c r="DL270" s="32">
        <v>79</v>
      </c>
      <c r="DM270" s="32">
        <v>97.2</v>
      </c>
      <c r="DN270" s="32">
        <v>95.4</v>
      </c>
      <c r="DO270" s="32">
        <v>98.3</v>
      </c>
      <c r="DP270" s="32">
        <v>86.8</v>
      </c>
      <c r="DQ270" s="32">
        <v>90.7</v>
      </c>
      <c r="DR270" s="32">
        <v>86.2</v>
      </c>
      <c r="DS270" s="32">
        <v>86.4</v>
      </c>
      <c r="DT270" s="32">
        <v>84</v>
      </c>
      <c r="DU270" s="32">
        <v>85.5</v>
      </c>
      <c r="DV270" s="32">
        <v>96.7</v>
      </c>
      <c r="DW270" s="32">
        <v>73.900000000000006</v>
      </c>
      <c r="DX270" s="32">
        <v>80.900000000000006</v>
      </c>
      <c r="DY270" s="32">
        <v>94.9</v>
      </c>
      <c r="DZ270" s="32">
        <v>87.6</v>
      </c>
      <c r="EA270" s="32">
        <v>87.6</v>
      </c>
      <c r="EB270" s="32">
        <v>85</v>
      </c>
      <c r="EC270" s="32">
        <v>84.8</v>
      </c>
      <c r="ED270" s="32">
        <v>85.4</v>
      </c>
      <c r="EE270" s="32">
        <v>87.2</v>
      </c>
      <c r="EF270" s="32">
        <v>81.7</v>
      </c>
      <c r="EG270" s="32">
        <v>98.1</v>
      </c>
      <c r="EH270" s="32">
        <v>117.8</v>
      </c>
      <c r="EI270" s="32">
        <v>96.7</v>
      </c>
      <c r="EJ270" s="32">
        <v>119.8</v>
      </c>
      <c r="EK270" s="32">
        <v>86</v>
      </c>
      <c r="EL270" s="32">
        <v>102</v>
      </c>
      <c r="EM270" s="32">
        <v>83.8</v>
      </c>
      <c r="EN270" s="32">
        <v>85</v>
      </c>
      <c r="EO270" s="32">
        <v>97.5</v>
      </c>
      <c r="EP270" s="32">
        <v>94.2</v>
      </c>
      <c r="EQ270" s="32">
        <v>94.2</v>
      </c>
      <c r="ER270" s="32">
        <v>92.6</v>
      </c>
      <c r="ES270" s="32">
        <v>92.6</v>
      </c>
      <c r="ET270" s="32">
        <v>106.2</v>
      </c>
      <c r="EU270" s="32">
        <v>118.6</v>
      </c>
      <c r="EV270" s="32">
        <v>118.6</v>
      </c>
      <c r="EW270" s="32">
        <v>93.2</v>
      </c>
      <c r="EX270" s="32">
        <v>91.9</v>
      </c>
      <c r="EY270" s="32">
        <v>94.3</v>
      </c>
      <c r="EZ270" s="32">
        <v>104.7</v>
      </c>
      <c r="FA270" s="32">
        <v>105.6</v>
      </c>
      <c r="FB270" s="32">
        <v>109.7</v>
      </c>
      <c r="FC270" s="32">
        <v>106</v>
      </c>
      <c r="FD270" s="32">
        <v>98.3</v>
      </c>
      <c r="FE270" s="32">
        <v>121.7</v>
      </c>
      <c r="FF270" s="32">
        <v>101</v>
      </c>
      <c r="FG270" s="32">
        <v>99.5</v>
      </c>
      <c r="FH270" s="32">
        <v>95.9</v>
      </c>
      <c r="FI270" s="32">
        <v>117.9</v>
      </c>
      <c r="FJ270" s="32">
        <v>98.9</v>
      </c>
      <c r="FK270" s="32">
        <v>179.1</v>
      </c>
      <c r="FL270" s="32">
        <v>179.1</v>
      </c>
    </row>
    <row r="271" spans="1:168" x14ac:dyDescent="0.2">
      <c r="A271" s="34" t="s">
        <v>1251</v>
      </c>
      <c r="B271" s="32">
        <v>97.3</v>
      </c>
      <c r="C271" s="32">
        <v>90.3</v>
      </c>
      <c r="D271" s="32">
        <v>100.2</v>
      </c>
      <c r="E271" s="32">
        <v>102.5</v>
      </c>
      <c r="F271" s="32">
        <v>122.4</v>
      </c>
      <c r="G271" s="32">
        <v>167.9</v>
      </c>
      <c r="H271" s="32">
        <v>129.19999999999999</v>
      </c>
      <c r="I271" s="32">
        <v>106.1</v>
      </c>
      <c r="J271" s="32">
        <v>101.1</v>
      </c>
      <c r="K271" s="32">
        <v>102.3</v>
      </c>
      <c r="L271" s="32">
        <v>105.7</v>
      </c>
      <c r="M271" s="32">
        <v>91.8</v>
      </c>
      <c r="N271" s="32">
        <v>105.5</v>
      </c>
      <c r="O271" s="32">
        <v>245.3</v>
      </c>
      <c r="P271" s="32">
        <v>166.4</v>
      </c>
      <c r="Q271" s="32">
        <v>152.4</v>
      </c>
      <c r="R271" s="32">
        <v>95.3</v>
      </c>
      <c r="S271" s="32">
        <v>98.1</v>
      </c>
      <c r="T271" s="32">
        <v>147</v>
      </c>
      <c r="U271" s="32">
        <v>126.1</v>
      </c>
      <c r="V271" s="32">
        <v>84.7</v>
      </c>
      <c r="W271" s="32">
        <v>110.8</v>
      </c>
      <c r="X271" s="32">
        <v>108.3</v>
      </c>
      <c r="Y271" s="32">
        <v>118.9</v>
      </c>
      <c r="Z271" s="32">
        <v>112.7</v>
      </c>
      <c r="AA271" s="32">
        <v>122</v>
      </c>
      <c r="AB271" s="32">
        <v>127.5</v>
      </c>
      <c r="AC271" s="32">
        <v>118.1</v>
      </c>
      <c r="AD271" s="32">
        <v>123.8</v>
      </c>
      <c r="AE271" s="32">
        <v>102.1</v>
      </c>
      <c r="AF271" s="32">
        <v>102.1</v>
      </c>
      <c r="AG271" s="32">
        <v>120.9</v>
      </c>
      <c r="AH271" s="32">
        <v>120.9</v>
      </c>
      <c r="AI271" s="32">
        <v>77.2</v>
      </c>
      <c r="AJ271" s="32">
        <v>220.8</v>
      </c>
      <c r="AK271" s="32">
        <v>117.3</v>
      </c>
      <c r="AL271" s="32">
        <v>103.3</v>
      </c>
      <c r="AM271" s="32">
        <v>97.2</v>
      </c>
      <c r="AN271" s="32">
        <v>153</v>
      </c>
      <c r="AO271" s="32">
        <v>84.1</v>
      </c>
      <c r="AP271" s="32">
        <v>84.1</v>
      </c>
      <c r="AQ271" s="32">
        <v>109</v>
      </c>
      <c r="AR271" s="32">
        <v>111.9</v>
      </c>
      <c r="AS271" s="32">
        <v>105.8</v>
      </c>
      <c r="AT271" s="32">
        <v>93.4</v>
      </c>
      <c r="AU271" s="32">
        <v>117.6</v>
      </c>
      <c r="AV271" s="32">
        <v>100.1</v>
      </c>
      <c r="AW271" s="32">
        <v>103.2</v>
      </c>
      <c r="AX271" s="32">
        <v>185.5</v>
      </c>
      <c r="AY271" s="32">
        <v>69.900000000000006</v>
      </c>
      <c r="AZ271" s="32">
        <v>101.2</v>
      </c>
      <c r="BA271" s="32">
        <v>93.3</v>
      </c>
      <c r="BB271" s="32">
        <v>93.3</v>
      </c>
      <c r="BC271" s="32">
        <v>115</v>
      </c>
      <c r="BD271" s="32">
        <v>115</v>
      </c>
      <c r="BE271" s="32">
        <v>100.8</v>
      </c>
      <c r="BF271" s="32">
        <v>100.8</v>
      </c>
      <c r="BG271" s="32">
        <v>96.1</v>
      </c>
      <c r="BH271" s="32">
        <v>95.3</v>
      </c>
      <c r="BI271" s="32">
        <v>96.7</v>
      </c>
      <c r="BJ271" s="32">
        <v>69.3</v>
      </c>
      <c r="BK271" s="32">
        <v>103.4</v>
      </c>
      <c r="BL271" s="32">
        <v>115</v>
      </c>
      <c r="BM271" s="32">
        <v>97.9</v>
      </c>
      <c r="BN271" s="32">
        <v>105.7</v>
      </c>
      <c r="BO271" s="32">
        <v>94</v>
      </c>
      <c r="BP271" s="32">
        <v>115.5</v>
      </c>
      <c r="BQ271" s="32">
        <v>90</v>
      </c>
      <c r="BR271" s="32">
        <v>114.8</v>
      </c>
      <c r="BS271" s="32">
        <v>102.9</v>
      </c>
      <c r="BT271" s="32">
        <v>82.6</v>
      </c>
      <c r="BU271" s="32">
        <v>116.3</v>
      </c>
      <c r="BV271" s="32">
        <v>116.3</v>
      </c>
      <c r="BW271" s="32">
        <v>131.1</v>
      </c>
      <c r="BX271" s="32">
        <v>74.900000000000006</v>
      </c>
      <c r="BY271" s="32">
        <v>92.5</v>
      </c>
      <c r="BZ271" s="32">
        <v>96.5</v>
      </c>
      <c r="CA271" s="32">
        <v>90.6</v>
      </c>
      <c r="CB271" s="32">
        <v>94.2</v>
      </c>
      <c r="CC271" s="32">
        <v>88.4</v>
      </c>
      <c r="CD271" s="32">
        <v>74</v>
      </c>
      <c r="CE271" s="32">
        <v>96.7</v>
      </c>
      <c r="CF271" s="32">
        <v>97</v>
      </c>
      <c r="CG271" s="32">
        <v>105.8</v>
      </c>
      <c r="CH271" s="32">
        <v>106.7</v>
      </c>
      <c r="CI271" s="32">
        <v>115</v>
      </c>
      <c r="CJ271" s="32">
        <v>101.5</v>
      </c>
      <c r="CK271" s="32">
        <v>109.4</v>
      </c>
      <c r="CL271" s="32">
        <v>103.5</v>
      </c>
      <c r="CM271" s="32">
        <v>110.3</v>
      </c>
      <c r="CN271" s="32">
        <v>139.6</v>
      </c>
      <c r="CO271" s="32">
        <v>100.8</v>
      </c>
      <c r="CP271" s="32">
        <v>134.30000000000001</v>
      </c>
      <c r="CQ271" s="32">
        <v>213.2</v>
      </c>
      <c r="CR271" s="32">
        <v>107.2</v>
      </c>
      <c r="CS271" s="32">
        <v>104.4</v>
      </c>
      <c r="CT271" s="32">
        <v>103.1</v>
      </c>
      <c r="CU271" s="32">
        <v>106.8</v>
      </c>
      <c r="CV271" s="32">
        <v>101.7</v>
      </c>
      <c r="CW271" s="32">
        <v>81.3</v>
      </c>
      <c r="CX271" s="32">
        <v>97.9</v>
      </c>
      <c r="CY271" s="32">
        <v>99.8</v>
      </c>
      <c r="CZ271" s="32">
        <v>96.8</v>
      </c>
      <c r="DA271" s="32">
        <v>94.9</v>
      </c>
      <c r="DB271" s="32">
        <v>100.1</v>
      </c>
      <c r="DC271" s="32">
        <v>61.8</v>
      </c>
      <c r="DD271" s="32">
        <v>61.8</v>
      </c>
      <c r="DE271" s="32">
        <v>88.3</v>
      </c>
      <c r="DF271" s="32">
        <v>89.4</v>
      </c>
      <c r="DG271" s="32">
        <v>82</v>
      </c>
      <c r="DH271" s="32">
        <v>98.9</v>
      </c>
      <c r="DI271" s="32">
        <v>121.2</v>
      </c>
      <c r="DJ271" s="32">
        <v>83.8</v>
      </c>
      <c r="DK271" s="32">
        <v>83.8</v>
      </c>
      <c r="DL271" s="32">
        <v>80.099999999999994</v>
      </c>
      <c r="DM271" s="32">
        <v>97.3</v>
      </c>
      <c r="DN271" s="32">
        <v>95.5</v>
      </c>
      <c r="DO271" s="32">
        <v>98.5</v>
      </c>
      <c r="DP271" s="32">
        <v>86.5</v>
      </c>
      <c r="DQ271" s="32">
        <v>92.5</v>
      </c>
      <c r="DR271" s="32">
        <v>88.4</v>
      </c>
      <c r="DS271" s="32">
        <v>86.7</v>
      </c>
      <c r="DT271" s="32">
        <v>83.9</v>
      </c>
      <c r="DU271" s="32">
        <v>85.6</v>
      </c>
      <c r="DV271" s="32">
        <v>95.7</v>
      </c>
      <c r="DW271" s="32">
        <v>75.099999999999994</v>
      </c>
      <c r="DX271" s="32">
        <v>80.3</v>
      </c>
      <c r="DY271" s="32">
        <v>97</v>
      </c>
      <c r="DZ271" s="32">
        <v>104.3</v>
      </c>
      <c r="EA271" s="32">
        <v>104.3</v>
      </c>
      <c r="EB271" s="32">
        <v>86</v>
      </c>
      <c r="EC271" s="32">
        <v>85.6</v>
      </c>
      <c r="ED271" s="32">
        <v>86.5</v>
      </c>
      <c r="EE271" s="32">
        <v>88.4</v>
      </c>
      <c r="EF271" s="32">
        <v>82.7</v>
      </c>
      <c r="EG271" s="32">
        <v>99.2</v>
      </c>
      <c r="EH271" s="32">
        <v>118.9</v>
      </c>
      <c r="EI271" s="32">
        <v>97.7</v>
      </c>
      <c r="EJ271" s="32">
        <v>119.2</v>
      </c>
      <c r="EK271" s="32">
        <v>87.3</v>
      </c>
      <c r="EL271" s="32">
        <v>101.2</v>
      </c>
      <c r="EM271" s="32">
        <v>86.1</v>
      </c>
      <c r="EN271" s="32">
        <v>86.1</v>
      </c>
      <c r="EO271" s="32">
        <v>98.4</v>
      </c>
      <c r="EP271" s="32">
        <v>94.7</v>
      </c>
      <c r="EQ271" s="32">
        <v>94.7</v>
      </c>
      <c r="ER271" s="32">
        <v>93.2</v>
      </c>
      <c r="ES271" s="32">
        <v>93.2</v>
      </c>
      <c r="ET271" s="32">
        <v>107.9</v>
      </c>
      <c r="EU271" s="32">
        <v>121.5</v>
      </c>
      <c r="EV271" s="32">
        <v>121.5</v>
      </c>
      <c r="EW271" s="32">
        <v>92.8</v>
      </c>
      <c r="EX271" s="32">
        <v>92.1</v>
      </c>
      <c r="EY271" s="32">
        <v>93.4</v>
      </c>
      <c r="EZ271" s="32">
        <v>106.5</v>
      </c>
      <c r="FA271" s="32">
        <v>107.3</v>
      </c>
      <c r="FB271" s="32">
        <v>114.5</v>
      </c>
      <c r="FC271" s="32">
        <v>110.3</v>
      </c>
      <c r="FD271" s="32">
        <v>107</v>
      </c>
      <c r="FE271" s="32">
        <v>125.5</v>
      </c>
      <c r="FF271" s="32">
        <v>99.1</v>
      </c>
      <c r="FG271" s="32">
        <v>101.1</v>
      </c>
      <c r="FH271" s="32">
        <v>97.4</v>
      </c>
      <c r="FI271" s="32">
        <v>115.1</v>
      </c>
      <c r="FJ271" s="32">
        <v>101.1</v>
      </c>
      <c r="FK271" s="32">
        <v>183.2</v>
      </c>
      <c r="FL271" s="32">
        <v>183.2</v>
      </c>
    </row>
    <row r="272" spans="1:168" x14ac:dyDescent="0.2">
      <c r="A272" s="34" t="s">
        <v>1252</v>
      </c>
      <c r="B272" s="32">
        <v>97.3</v>
      </c>
      <c r="C272" s="32">
        <v>91.5</v>
      </c>
      <c r="D272" s="32">
        <v>100.3</v>
      </c>
      <c r="E272" s="32">
        <v>103.3</v>
      </c>
      <c r="F272" s="32">
        <v>123.2</v>
      </c>
      <c r="G272" s="32">
        <v>142</v>
      </c>
      <c r="H272" s="32">
        <v>130.4</v>
      </c>
      <c r="I272" s="32">
        <v>105.2</v>
      </c>
      <c r="J272" s="32">
        <v>102</v>
      </c>
      <c r="K272" s="32">
        <v>103</v>
      </c>
      <c r="L272" s="32">
        <v>106</v>
      </c>
      <c r="M272" s="32">
        <v>93.1</v>
      </c>
      <c r="N272" s="32">
        <v>107.6</v>
      </c>
      <c r="O272" s="32">
        <v>254.5</v>
      </c>
      <c r="P272" s="32">
        <v>158.69999999999999</v>
      </c>
      <c r="Q272" s="32">
        <v>139.69999999999999</v>
      </c>
      <c r="R272" s="32">
        <v>94.3</v>
      </c>
      <c r="S272" s="32">
        <v>99.7</v>
      </c>
      <c r="T272" s="32">
        <v>154.69999999999999</v>
      </c>
      <c r="U272" s="32">
        <v>129.4</v>
      </c>
      <c r="V272" s="32">
        <v>86.4</v>
      </c>
      <c r="W272" s="32">
        <v>115.1</v>
      </c>
      <c r="X272" s="32">
        <v>110.9</v>
      </c>
      <c r="Y272" s="32">
        <v>126.9</v>
      </c>
      <c r="Z272" s="32">
        <v>113.4</v>
      </c>
      <c r="AA272" s="32">
        <v>124.1</v>
      </c>
      <c r="AB272" s="32">
        <v>128.6</v>
      </c>
      <c r="AC272" s="32">
        <v>120.4</v>
      </c>
      <c r="AD272" s="32">
        <v>126.2</v>
      </c>
      <c r="AE272" s="32">
        <v>95.6</v>
      </c>
      <c r="AF272" s="32">
        <v>95.6</v>
      </c>
      <c r="AG272" s="32">
        <v>121.8</v>
      </c>
      <c r="AH272" s="32">
        <v>121.8</v>
      </c>
      <c r="AI272" s="32">
        <v>82.3</v>
      </c>
      <c r="AJ272" s="32">
        <v>211.5</v>
      </c>
      <c r="AK272" s="32">
        <v>118.8</v>
      </c>
      <c r="AL272" s="32">
        <v>103.3</v>
      </c>
      <c r="AM272" s="32">
        <v>99.9</v>
      </c>
      <c r="AN272" s="32">
        <v>156.1</v>
      </c>
      <c r="AO272" s="32">
        <v>86.5</v>
      </c>
      <c r="AP272" s="32">
        <v>86.5</v>
      </c>
      <c r="AQ272" s="32">
        <v>109.5</v>
      </c>
      <c r="AR272" s="32">
        <v>113.1</v>
      </c>
      <c r="AS272" s="32">
        <v>105.3</v>
      </c>
      <c r="AT272" s="32">
        <v>90.8</v>
      </c>
      <c r="AU272" s="32">
        <v>119.1</v>
      </c>
      <c r="AV272" s="32">
        <v>99.3</v>
      </c>
      <c r="AW272" s="32">
        <v>98.6</v>
      </c>
      <c r="AX272" s="32">
        <v>185.4</v>
      </c>
      <c r="AY272" s="32">
        <v>61.2</v>
      </c>
      <c r="AZ272" s="32">
        <v>101.1</v>
      </c>
      <c r="BA272" s="32">
        <v>93.7</v>
      </c>
      <c r="BB272" s="32">
        <v>93.7</v>
      </c>
      <c r="BC272" s="32">
        <v>116.5</v>
      </c>
      <c r="BD272" s="32">
        <v>116.5</v>
      </c>
      <c r="BE272" s="32">
        <v>99.2</v>
      </c>
      <c r="BF272" s="32">
        <v>99.2</v>
      </c>
      <c r="BG272" s="32">
        <v>98.5</v>
      </c>
      <c r="BH272" s="32">
        <v>97.3</v>
      </c>
      <c r="BI272" s="32">
        <v>99.7</v>
      </c>
      <c r="BJ272" s="32">
        <v>71.2</v>
      </c>
      <c r="BK272" s="32">
        <v>106.7</v>
      </c>
      <c r="BL272" s="32">
        <v>118</v>
      </c>
      <c r="BM272" s="32">
        <v>99.4</v>
      </c>
      <c r="BN272" s="32">
        <v>109.5</v>
      </c>
      <c r="BO272" s="32">
        <v>97.1</v>
      </c>
      <c r="BP272" s="32">
        <v>119.9</v>
      </c>
      <c r="BQ272" s="32">
        <v>89.3</v>
      </c>
      <c r="BR272" s="32">
        <v>120.9</v>
      </c>
      <c r="BS272" s="32">
        <v>93</v>
      </c>
      <c r="BT272" s="32">
        <v>84.1</v>
      </c>
      <c r="BU272" s="32">
        <v>118.2</v>
      </c>
      <c r="BV272" s="32">
        <v>118.2</v>
      </c>
      <c r="BW272" s="32">
        <v>133.6</v>
      </c>
      <c r="BX272" s="32">
        <v>75.3</v>
      </c>
      <c r="BY272" s="32">
        <v>92</v>
      </c>
      <c r="BZ272" s="32">
        <v>96.8</v>
      </c>
      <c r="CA272" s="32">
        <v>89.7</v>
      </c>
      <c r="CB272" s="32">
        <v>96.2</v>
      </c>
      <c r="CC272" s="32">
        <v>84.9</v>
      </c>
      <c r="CD272" s="32">
        <v>70.7</v>
      </c>
      <c r="CE272" s="32">
        <v>95</v>
      </c>
      <c r="CF272" s="32">
        <v>96.9</v>
      </c>
      <c r="CG272" s="32">
        <v>105.1</v>
      </c>
      <c r="CH272" s="32">
        <v>106.5</v>
      </c>
      <c r="CI272" s="32">
        <v>114.7</v>
      </c>
      <c r="CJ272" s="32">
        <v>101.3</v>
      </c>
      <c r="CK272" s="32">
        <v>109</v>
      </c>
      <c r="CL272" s="32">
        <v>102.1</v>
      </c>
      <c r="CM272" s="32">
        <v>108.6</v>
      </c>
      <c r="CN272" s="32">
        <v>137.4</v>
      </c>
      <c r="CO272" s="32">
        <v>99.3</v>
      </c>
      <c r="CP272" s="32">
        <v>135.19999999999999</v>
      </c>
      <c r="CQ272" s="32">
        <v>202.2</v>
      </c>
      <c r="CR272" s="32">
        <v>105.6</v>
      </c>
      <c r="CS272" s="32">
        <v>105.2</v>
      </c>
      <c r="CT272" s="32">
        <v>102.2</v>
      </c>
      <c r="CU272" s="32">
        <v>107.5</v>
      </c>
      <c r="CV272" s="32">
        <v>100.1</v>
      </c>
      <c r="CW272" s="32">
        <v>81.900000000000006</v>
      </c>
      <c r="CX272" s="32">
        <v>98.5</v>
      </c>
      <c r="CY272" s="32">
        <v>97.3</v>
      </c>
      <c r="CZ272" s="32">
        <v>99</v>
      </c>
      <c r="DA272" s="32">
        <v>97.3</v>
      </c>
      <c r="DB272" s="32">
        <v>102.1</v>
      </c>
      <c r="DC272" s="32">
        <v>63.8</v>
      </c>
      <c r="DD272" s="32">
        <v>63.8</v>
      </c>
      <c r="DE272" s="32">
        <v>87.6</v>
      </c>
      <c r="DF272" s="32">
        <v>89.2</v>
      </c>
      <c r="DG272" s="32">
        <v>78.3</v>
      </c>
      <c r="DH272" s="32">
        <v>98.1</v>
      </c>
      <c r="DI272" s="32">
        <v>119.5</v>
      </c>
      <c r="DJ272" s="32">
        <v>83.5</v>
      </c>
      <c r="DK272" s="32">
        <v>83.5</v>
      </c>
      <c r="DL272" s="32">
        <v>79.900000000000006</v>
      </c>
      <c r="DM272" s="32">
        <v>97.6</v>
      </c>
      <c r="DN272" s="32">
        <v>96.6</v>
      </c>
      <c r="DO272" s="32">
        <v>98.5</v>
      </c>
      <c r="DP272" s="32">
        <v>84.7</v>
      </c>
      <c r="DQ272" s="32">
        <v>91.7</v>
      </c>
      <c r="DR272" s="32">
        <v>87</v>
      </c>
      <c r="DS272" s="32">
        <v>87.3</v>
      </c>
      <c r="DT272" s="32">
        <v>85.1</v>
      </c>
      <c r="DU272" s="32">
        <v>86.9</v>
      </c>
      <c r="DV272" s="32">
        <v>96.6</v>
      </c>
      <c r="DW272" s="32">
        <v>76.900000000000006</v>
      </c>
      <c r="DX272" s="32">
        <v>81.400000000000006</v>
      </c>
      <c r="DY272" s="32">
        <v>95.5</v>
      </c>
      <c r="DZ272" s="32">
        <v>90.9</v>
      </c>
      <c r="EA272" s="32">
        <v>90.9</v>
      </c>
      <c r="EB272" s="32">
        <v>83.9</v>
      </c>
      <c r="EC272" s="32">
        <v>82.2</v>
      </c>
      <c r="ED272" s="32">
        <v>86.2</v>
      </c>
      <c r="EE272" s="32">
        <v>88.7</v>
      </c>
      <c r="EF272" s="32">
        <v>81</v>
      </c>
      <c r="EG272" s="32">
        <v>99.4</v>
      </c>
      <c r="EH272" s="32">
        <v>119.4</v>
      </c>
      <c r="EI272" s="32">
        <v>99.2</v>
      </c>
      <c r="EJ272" s="32">
        <v>115.2</v>
      </c>
      <c r="EK272" s="32">
        <v>87.5</v>
      </c>
      <c r="EL272" s="32">
        <v>101.2</v>
      </c>
      <c r="EM272" s="32">
        <v>88.5</v>
      </c>
      <c r="EN272" s="32">
        <v>85.1</v>
      </c>
      <c r="EO272" s="32">
        <v>99.2</v>
      </c>
      <c r="EP272" s="32">
        <v>95</v>
      </c>
      <c r="EQ272" s="32">
        <v>95</v>
      </c>
      <c r="ER272" s="32">
        <v>93.1</v>
      </c>
      <c r="ES272" s="32">
        <v>93.1</v>
      </c>
      <c r="ET272" s="32">
        <v>109.9</v>
      </c>
      <c r="EU272" s="32">
        <v>125</v>
      </c>
      <c r="EV272" s="32">
        <v>125</v>
      </c>
      <c r="EW272" s="32">
        <v>92.6</v>
      </c>
      <c r="EX272" s="32">
        <v>91.9</v>
      </c>
      <c r="EY272" s="32">
        <v>93.2</v>
      </c>
      <c r="EZ272" s="32">
        <v>105.8</v>
      </c>
      <c r="FA272" s="32">
        <v>106.9</v>
      </c>
      <c r="FB272" s="32">
        <v>111.4</v>
      </c>
      <c r="FC272" s="32">
        <v>106.1</v>
      </c>
      <c r="FD272" s="32">
        <v>96</v>
      </c>
      <c r="FE272" s="32">
        <v>128.19999999999999</v>
      </c>
      <c r="FF272" s="32">
        <v>101.7</v>
      </c>
      <c r="FG272" s="32">
        <v>100</v>
      </c>
      <c r="FH272" s="32">
        <v>98.6</v>
      </c>
      <c r="FI272" s="32">
        <v>110</v>
      </c>
      <c r="FJ272" s="32">
        <v>99.5</v>
      </c>
      <c r="FK272" s="32">
        <v>185.6</v>
      </c>
      <c r="FL272" s="32">
        <v>185.6</v>
      </c>
    </row>
    <row r="273" spans="1:168" x14ac:dyDescent="0.2">
      <c r="A273" s="34" t="s">
        <v>1253</v>
      </c>
      <c r="B273" s="32">
        <v>97</v>
      </c>
      <c r="C273" s="32">
        <v>93.4</v>
      </c>
      <c r="D273" s="32">
        <v>99.6</v>
      </c>
      <c r="E273" s="32">
        <v>102</v>
      </c>
      <c r="F273" s="32">
        <v>122.8</v>
      </c>
      <c r="G273" s="32">
        <v>141</v>
      </c>
      <c r="H273" s="32">
        <v>129.9</v>
      </c>
      <c r="I273" s="32">
        <v>105.4</v>
      </c>
      <c r="J273" s="32">
        <v>99.6</v>
      </c>
      <c r="K273" s="32">
        <v>101.3</v>
      </c>
      <c r="L273" s="32">
        <v>104.7</v>
      </c>
      <c r="M273" s="32">
        <v>95.2</v>
      </c>
      <c r="N273" s="32">
        <v>107.2</v>
      </c>
      <c r="O273" s="32">
        <v>270.39999999999998</v>
      </c>
      <c r="P273" s="32">
        <v>154.30000000000001</v>
      </c>
      <c r="Q273" s="32">
        <v>139.69999999999999</v>
      </c>
      <c r="R273" s="32">
        <v>92.2</v>
      </c>
      <c r="S273" s="32">
        <v>97.5</v>
      </c>
      <c r="T273" s="32">
        <v>146.5</v>
      </c>
      <c r="U273" s="32">
        <v>127.5</v>
      </c>
      <c r="V273" s="32">
        <v>82.8</v>
      </c>
      <c r="W273" s="32">
        <v>114.2</v>
      </c>
      <c r="X273" s="32">
        <v>113.8</v>
      </c>
      <c r="Y273" s="32">
        <v>118.2</v>
      </c>
      <c r="Z273" s="32">
        <v>115.7</v>
      </c>
      <c r="AA273" s="32">
        <v>122.3</v>
      </c>
      <c r="AB273" s="32">
        <v>126.8</v>
      </c>
      <c r="AC273" s="32">
        <v>119.8</v>
      </c>
      <c r="AD273" s="32">
        <v>123.4</v>
      </c>
      <c r="AE273" s="32">
        <v>93.5</v>
      </c>
      <c r="AF273" s="32">
        <v>93.5</v>
      </c>
      <c r="AG273" s="32">
        <v>117.9</v>
      </c>
      <c r="AH273" s="32">
        <v>117.9</v>
      </c>
      <c r="AI273" s="32">
        <v>86.8</v>
      </c>
      <c r="AJ273" s="32">
        <v>202.8</v>
      </c>
      <c r="AK273" s="32">
        <v>94.7</v>
      </c>
      <c r="AL273" s="32">
        <v>103.3</v>
      </c>
      <c r="AM273" s="32">
        <v>97.3</v>
      </c>
      <c r="AN273" s="32">
        <v>154</v>
      </c>
      <c r="AO273" s="32">
        <v>82.3</v>
      </c>
      <c r="AP273" s="32">
        <v>82.3</v>
      </c>
      <c r="AQ273" s="32">
        <v>108.6</v>
      </c>
      <c r="AR273" s="32">
        <v>110.5</v>
      </c>
      <c r="AS273" s="32">
        <v>106.6</v>
      </c>
      <c r="AT273" s="32">
        <v>90.4</v>
      </c>
      <c r="AU273" s="32">
        <v>122.1</v>
      </c>
      <c r="AV273" s="32">
        <v>97.9</v>
      </c>
      <c r="AW273" s="32">
        <v>95.9</v>
      </c>
      <c r="AX273" s="32">
        <v>182.9</v>
      </c>
      <c r="AY273" s="32">
        <v>57.8</v>
      </c>
      <c r="AZ273" s="32">
        <v>99.8</v>
      </c>
      <c r="BA273" s="32">
        <v>93</v>
      </c>
      <c r="BB273" s="32">
        <v>93</v>
      </c>
      <c r="BC273" s="32">
        <v>120</v>
      </c>
      <c r="BD273" s="32">
        <v>120</v>
      </c>
      <c r="BE273" s="32">
        <v>97.6</v>
      </c>
      <c r="BF273" s="32">
        <v>97.6</v>
      </c>
      <c r="BG273" s="32">
        <v>88.9</v>
      </c>
      <c r="BH273" s="32">
        <v>78.3</v>
      </c>
      <c r="BI273" s="32">
        <v>101.4</v>
      </c>
      <c r="BJ273" s="32">
        <v>72.900000000000006</v>
      </c>
      <c r="BK273" s="32">
        <v>108.3</v>
      </c>
      <c r="BL273" s="32">
        <v>120.5</v>
      </c>
      <c r="BM273" s="32">
        <v>101.9</v>
      </c>
      <c r="BN273" s="32">
        <v>108.6</v>
      </c>
      <c r="BO273" s="32">
        <v>97.6</v>
      </c>
      <c r="BP273" s="32">
        <v>117.7</v>
      </c>
      <c r="BQ273" s="32">
        <v>95.2</v>
      </c>
      <c r="BR273" s="32">
        <v>107.6</v>
      </c>
      <c r="BS273" s="32">
        <v>88.7</v>
      </c>
      <c r="BT273" s="32">
        <v>95.7</v>
      </c>
      <c r="BU273" s="32">
        <v>123.8</v>
      </c>
      <c r="BV273" s="32">
        <v>123.8</v>
      </c>
      <c r="BW273" s="32">
        <v>139.6</v>
      </c>
      <c r="BX273" s="32">
        <v>79.7</v>
      </c>
      <c r="BY273" s="32">
        <v>93</v>
      </c>
      <c r="BZ273" s="32">
        <v>100.1</v>
      </c>
      <c r="CA273" s="32">
        <v>89.6</v>
      </c>
      <c r="CB273" s="32">
        <v>94.8</v>
      </c>
      <c r="CC273" s="32">
        <v>85.9</v>
      </c>
      <c r="CD273" s="32">
        <v>72.099999999999994</v>
      </c>
      <c r="CE273" s="32">
        <v>95.5</v>
      </c>
      <c r="CF273" s="32">
        <v>96.8</v>
      </c>
      <c r="CG273" s="32">
        <v>104.9</v>
      </c>
      <c r="CH273" s="32">
        <v>106.2</v>
      </c>
      <c r="CI273" s="32">
        <v>113.2</v>
      </c>
      <c r="CJ273" s="32">
        <v>101.2</v>
      </c>
      <c r="CK273" s="32">
        <v>108.9</v>
      </c>
      <c r="CL273" s="32">
        <v>103.1</v>
      </c>
      <c r="CM273" s="32">
        <v>109.6</v>
      </c>
      <c r="CN273" s="32">
        <v>134.9</v>
      </c>
      <c r="CO273" s="32">
        <v>100.8</v>
      </c>
      <c r="CP273" s="32">
        <v>136.4</v>
      </c>
      <c r="CQ273" s="32">
        <v>209.5</v>
      </c>
      <c r="CR273" s="32">
        <v>106</v>
      </c>
      <c r="CS273" s="32">
        <v>106.3</v>
      </c>
      <c r="CT273" s="32">
        <v>100.8</v>
      </c>
      <c r="CU273" s="32">
        <v>106.8</v>
      </c>
      <c r="CV273" s="32">
        <v>98.4</v>
      </c>
      <c r="CW273" s="32">
        <v>82</v>
      </c>
      <c r="CX273" s="32">
        <v>97.1</v>
      </c>
      <c r="CY273" s="32">
        <v>98</v>
      </c>
      <c r="CZ273" s="32">
        <v>96.4</v>
      </c>
      <c r="DA273" s="32">
        <v>92.9</v>
      </c>
      <c r="DB273" s="32">
        <v>103.2</v>
      </c>
      <c r="DC273" s="32">
        <v>64</v>
      </c>
      <c r="DD273" s="32">
        <v>64</v>
      </c>
      <c r="DE273" s="32">
        <v>88.2</v>
      </c>
      <c r="DF273" s="32">
        <v>89.6</v>
      </c>
      <c r="DG273" s="32">
        <v>80.2</v>
      </c>
      <c r="DH273" s="32">
        <v>98.9</v>
      </c>
      <c r="DI273" s="32">
        <v>118.1</v>
      </c>
      <c r="DJ273" s="32">
        <v>83.8</v>
      </c>
      <c r="DK273" s="32">
        <v>83.8</v>
      </c>
      <c r="DL273" s="32">
        <v>83.6</v>
      </c>
      <c r="DM273" s="32">
        <v>97.7</v>
      </c>
      <c r="DN273" s="32">
        <v>96.9</v>
      </c>
      <c r="DO273" s="32">
        <v>98.7</v>
      </c>
      <c r="DP273" s="32">
        <v>83.5</v>
      </c>
      <c r="DQ273" s="32">
        <v>91.3</v>
      </c>
      <c r="DR273" s="32">
        <v>87.3</v>
      </c>
      <c r="DS273" s="32">
        <v>87.8</v>
      </c>
      <c r="DT273" s="32">
        <v>86</v>
      </c>
      <c r="DU273" s="32">
        <v>87.6</v>
      </c>
      <c r="DV273" s="32">
        <v>97.3</v>
      </c>
      <c r="DW273" s="32">
        <v>77.599999999999994</v>
      </c>
      <c r="DX273" s="32">
        <v>82.5</v>
      </c>
      <c r="DY273" s="32">
        <v>94.7</v>
      </c>
      <c r="DZ273" s="32">
        <v>83.4</v>
      </c>
      <c r="EA273" s="32">
        <v>83.4</v>
      </c>
      <c r="EB273" s="32">
        <v>87.5</v>
      </c>
      <c r="EC273" s="32">
        <v>85.6</v>
      </c>
      <c r="ED273" s="32">
        <v>90</v>
      </c>
      <c r="EE273" s="32">
        <v>93.3</v>
      </c>
      <c r="EF273" s="32">
        <v>83.3</v>
      </c>
      <c r="EG273" s="32">
        <v>97.7</v>
      </c>
      <c r="EH273" s="32">
        <v>113.9</v>
      </c>
      <c r="EI273" s="32">
        <v>96.5</v>
      </c>
      <c r="EJ273" s="32">
        <v>119</v>
      </c>
      <c r="EK273" s="32">
        <v>87</v>
      </c>
      <c r="EL273" s="32">
        <v>100.7</v>
      </c>
      <c r="EM273" s="32">
        <v>88.9</v>
      </c>
      <c r="EN273" s="32">
        <v>84</v>
      </c>
      <c r="EO273" s="32">
        <v>98.7</v>
      </c>
      <c r="EP273" s="32">
        <v>95.4</v>
      </c>
      <c r="EQ273" s="32">
        <v>95.4</v>
      </c>
      <c r="ER273" s="32">
        <v>92.7</v>
      </c>
      <c r="ES273" s="32">
        <v>92.7</v>
      </c>
      <c r="ET273" s="32">
        <v>108.4</v>
      </c>
      <c r="EU273" s="32">
        <v>122.5</v>
      </c>
      <c r="EV273" s="32">
        <v>122.5</v>
      </c>
      <c r="EW273" s="32">
        <v>92.6</v>
      </c>
      <c r="EX273" s="32">
        <v>90.6</v>
      </c>
      <c r="EY273" s="32">
        <v>94.3</v>
      </c>
      <c r="EZ273" s="32">
        <v>104.9</v>
      </c>
      <c r="FA273" s="32">
        <v>105.8</v>
      </c>
      <c r="FB273" s="32">
        <v>111.4</v>
      </c>
      <c r="FC273" s="32">
        <v>105.4</v>
      </c>
      <c r="FD273" s="32">
        <v>95.3</v>
      </c>
      <c r="FE273" s="32">
        <v>129.69999999999999</v>
      </c>
      <c r="FF273" s="32">
        <v>99.3</v>
      </c>
      <c r="FG273" s="32">
        <v>99.2</v>
      </c>
      <c r="FH273" s="32">
        <v>99.3</v>
      </c>
      <c r="FI273" s="32">
        <v>108.8</v>
      </c>
      <c r="FJ273" s="32">
        <v>98</v>
      </c>
      <c r="FK273" s="32">
        <v>187.4</v>
      </c>
      <c r="FL273" s="32">
        <v>187.4</v>
      </c>
    </row>
    <row r="274" spans="1:168" x14ac:dyDescent="0.2">
      <c r="A274" s="34" t="s">
        <v>1254</v>
      </c>
      <c r="B274" s="32">
        <v>97.4</v>
      </c>
      <c r="C274" s="32">
        <v>94.8</v>
      </c>
      <c r="D274" s="32">
        <v>100.1</v>
      </c>
      <c r="E274" s="32">
        <v>103.1</v>
      </c>
      <c r="F274" s="32">
        <v>125.2</v>
      </c>
      <c r="G274" s="32">
        <v>137.19999999999999</v>
      </c>
      <c r="H274" s="32">
        <v>132.9</v>
      </c>
      <c r="I274" s="32">
        <v>105.3</v>
      </c>
      <c r="J274" s="32">
        <v>100.3</v>
      </c>
      <c r="K274" s="32">
        <v>99.7</v>
      </c>
      <c r="L274" s="32">
        <v>102.8</v>
      </c>
      <c r="M274" s="32">
        <v>93.4</v>
      </c>
      <c r="N274" s="32">
        <v>105.2</v>
      </c>
      <c r="O274" s="32">
        <v>273.5</v>
      </c>
      <c r="P274" s="32">
        <v>152.5</v>
      </c>
      <c r="Q274" s="32">
        <v>134</v>
      </c>
      <c r="R274" s="32">
        <v>88.9</v>
      </c>
      <c r="S274" s="32">
        <v>95.9</v>
      </c>
      <c r="T274" s="32">
        <v>149.69999999999999</v>
      </c>
      <c r="U274" s="32">
        <v>121.8</v>
      </c>
      <c r="V274" s="32">
        <v>83.8</v>
      </c>
      <c r="W274" s="32">
        <v>110.7</v>
      </c>
      <c r="X274" s="32">
        <v>108.7</v>
      </c>
      <c r="Y274" s="32">
        <v>117.2</v>
      </c>
      <c r="Z274" s="32">
        <v>116.5</v>
      </c>
      <c r="AA274" s="32">
        <v>119</v>
      </c>
      <c r="AB274" s="32">
        <v>125.3</v>
      </c>
      <c r="AC274" s="32">
        <v>116.4</v>
      </c>
      <c r="AD274" s="32">
        <v>118.7</v>
      </c>
      <c r="AE274" s="32">
        <v>93.6</v>
      </c>
      <c r="AF274" s="32">
        <v>93.6</v>
      </c>
      <c r="AG274" s="32">
        <v>120.6</v>
      </c>
      <c r="AH274" s="32">
        <v>120.6</v>
      </c>
      <c r="AI274" s="32">
        <v>83</v>
      </c>
      <c r="AJ274" s="32">
        <v>220.1</v>
      </c>
      <c r="AK274" s="32">
        <v>99.9</v>
      </c>
      <c r="AL274" s="32">
        <v>101.3</v>
      </c>
      <c r="AM274" s="32">
        <v>97.2</v>
      </c>
      <c r="AN274" s="32">
        <v>157.9</v>
      </c>
      <c r="AO274" s="32">
        <v>77.099999999999994</v>
      </c>
      <c r="AP274" s="32">
        <v>77.099999999999994</v>
      </c>
      <c r="AQ274" s="32">
        <v>108.6</v>
      </c>
      <c r="AR274" s="32">
        <v>110.2</v>
      </c>
      <c r="AS274" s="32">
        <v>107</v>
      </c>
      <c r="AT274" s="32">
        <v>93</v>
      </c>
      <c r="AU274" s="32">
        <v>120.4</v>
      </c>
      <c r="AV274" s="32">
        <v>99.9</v>
      </c>
      <c r="AW274" s="32">
        <v>96.7</v>
      </c>
      <c r="AX274" s="32">
        <v>186.4</v>
      </c>
      <c r="AY274" s="32">
        <v>56.9</v>
      </c>
      <c r="AZ274" s="32">
        <v>102.1</v>
      </c>
      <c r="BA274" s="32">
        <v>95.6</v>
      </c>
      <c r="BB274" s="32">
        <v>95.6</v>
      </c>
      <c r="BC274" s="32">
        <v>117.7</v>
      </c>
      <c r="BD274" s="32">
        <v>117.7</v>
      </c>
      <c r="BE274" s="32">
        <v>96.8</v>
      </c>
      <c r="BF274" s="32">
        <v>96.8</v>
      </c>
      <c r="BG274" s="32">
        <v>99.3</v>
      </c>
      <c r="BH274" s="32">
        <v>97.1</v>
      </c>
      <c r="BI274" s="32">
        <v>101.7</v>
      </c>
      <c r="BJ274" s="32">
        <v>74.099999999999994</v>
      </c>
      <c r="BK274" s="32">
        <v>108</v>
      </c>
      <c r="BL274" s="32">
        <v>125.7</v>
      </c>
      <c r="BM274" s="32">
        <v>100.8</v>
      </c>
      <c r="BN274" s="32">
        <v>108.2</v>
      </c>
      <c r="BO274" s="32">
        <v>97.4</v>
      </c>
      <c r="BP274" s="32">
        <v>117.3</v>
      </c>
      <c r="BQ274" s="32">
        <v>93.3</v>
      </c>
      <c r="BR274" s="32">
        <v>112.8</v>
      </c>
      <c r="BS274" s="32">
        <v>86.4</v>
      </c>
      <c r="BT274" s="32">
        <v>93.1</v>
      </c>
      <c r="BU274" s="32">
        <v>127.3</v>
      </c>
      <c r="BV274" s="32">
        <v>127.3</v>
      </c>
      <c r="BW274" s="32">
        <v>142.4</v>
      </c>
      <c r="BX274" s="32">
        <v>84.1</v>
      </c>
      <c r="BY274" s="32">
        <v>93.2</v>
      </c>
      <c r="BZ274" s="32">
        <v>98.8</v>
      </c>
      <c r="CA274" s="32">
        <v>90.5</v>
      </c>
      <c r="CB274" s="32">
        <v>93.2</v>
      </c>
      <c r="CC274" s="32">
        <v>89.1</v>
      </c>
      <c r="CD274" s="32">
        <v>75.7</v>
      </c>
      <c r="CE274" s="32">
        <v>95</v>
      </c>
      <c r="CF274" s="32">
        <v>97.1</v>
      </c>
      <c r="CG274" s="32">
        <v>104.5</v>
      </c>
      <c r="CH274" s="32">
        <v>105.6</v>
      </c>
      <c r="CI274" s="32">
        <v>111.1</v>
      </c>
      <c r="CJ274" s="32">
        <v>101.8</v>
      </c>
      <c r="CK274" s="32">
        <v>107.8</v>
      </c>
      <c r="CL274" s="32">
        <v>103.1</v>
      </c>
      <c r="CM274" s="32">
        <v>110.3</v>
      </c>
      <c r="CN274" s="32">
        <v>136.80000000000001</v>
      </c>
      <c r="CO274" s="32">
        <v>101.2</v>
      </c>
      <c r="CP274" s="32">
        <v>136.1</v>
      </c>
      <c r="CQ274" s="32">
        <v>210.9</v>
      </c>
      <c r="CR274" s="32">
        <v>105.9</v>
      </c>
      <c r="CS274" s="32">
        <v>104.6</v>
      </c>
      <c r="CT274" s="32">
        <v>100.3</v>
      </c>
      <c r="CU274" s="32">
        <v>104.8</v>
      </c>
      <c r="CV274" s="32">
        <v>98.5</v>
      </c>
      <c r="CW274" s="32">
        <v>83.2</v>
      </c>
      <c r="CX274" s="32">
        <v>97.7</v>
      </c>
      <c r="CY274" s="32">
        <v>101.6</v>
      </c>
      <c r="CZ274" s="32">
        <v>95.3</v>
      </c>
      <c r="DA274" s="32">
        <v>91.5</v>
      </c>
      <c r="DB274" s="32">
        <v>102.5</v>
      </c>
      <c r="DC274" s="32">
        <v>65.3</v>
      </c>
      <c r="DD274" s="32">
        <v>65.3</v>
      </c>
      <c r="DE274" s="32">
        <v>89.8</v>
      </c>
      <c r="DF274" s="32">
        <v>90.7</v>
      </c>
      <c r="DG274" s="32">
        <v>84.4</v>
      </c>
      <c r="DH274" s="32">
        <v>99.3</v>
      </c>
      <c r="DI274" s="32">
        <v>117.7</v>
      </c>
      <c r="DJ274" s="32">
        <v>83.8</v>
      </c>
      <c r="DK274" s="32">
        <v>83.8</v>
      </c>
      <c r="DL274" s="32">
        <v>85.2</v>
      </c>
      <c r="DM274" s="32">
        <v>98.1</v>
      </c>
      <c r="DN274" s="32">
        <v>97.4</v>
      </c>
      <c r="DO274" s="32">
        <v>98.8</v>
      </c>
      <c r="DP274" s="32">
        <v>88.6</v>
      </c>
      <c r="DQ274" s="32">
        <v>92.1</v>
      </c>
      <c r="DR274" s="32">
        <v>88.1</v>
      </c>
      <c r="DS274" s="32">
        <v>89.8</v>
      </c>
      <c r="DT274" s="32">
        <v>87.8</v>
      </c>
      <c r="DU274" s="32">
        <v>89.3</v>
      </c>
      <c r="DV274" s="32">
        <v>97.8</v>
      </c>
      <c r="DW274" s="32">
        <v>80.400000000000006</v>
      </c>
      <c r="DX274" s="32">
        <v>84.7</v>
      </c>
      <c r="DY274" s="32">
        <v>96.9</v>
      </c>
      <c r="DZ274" s="32">
        <v>83.5</v>
      </c>
      <c r="EA274" s="32">
        <v>83.5</v>
      </c>
      <c r="EB274" s="32">
        <v>85.2</v>
      </c>
      <c r="EC274" s="32">
        <v>81.2</v>
      </c>
      <c r="ED274" s="32">
        <v>90.4</v>
      </c>
      <c r="EE274" s="32">
        <v>95.7</v>
      </c>
      <c r="EF274" s="32">
        <v>79.2</v>
      </c>
      <c r="EG274" s="32">
        <v>98.7</v>
      </c>
      <c r="EH274" s="32">
        <v>114</v>
      </c>
      <c r="EI274" s="32">
        <v>97.9</v>
      </c>
      <c r="EJ274" s="32">
        <v>119.6</v>
      </c>
      <c r="EK274" s="32">
        <v>88</v>
      </c>
      <c r="EL274" s="32">
        <v>101.6</v>
      </c>
      <c r="EM274" s="32">
        <v>88.2</v>
      </c>
      <c r="EN274" s="32">
        <v>86.1</v>
      </c>
      <c r="EO274" s="32">
        <v>98.7</v>
      </c>
      <c r="EP274" s="32">
        <v>95.5</v>
      </c>
      <c r="EQ274" s="32">
        <v>95.5</v>
      </c>
      <c r="ER274" s="32">
        <v>93</v>
      </c>
      <c r="ES274" s="32">
        <v>93</v>
      </c>
      <c r="ET274" s="32">
        <v>108.2</v>
      </c>
      <c r="EU274" s="32">
        <v>122.1</v>
      </c>
      <c r="EV274" s="32">
        <v>122.1</v>
      </c>
      <c r="EW274" s="32">
        <v>92.8</v>
      </c>
      <c r="EX274" s="32">
        <v>89.8</v>
      </c>
      <c r="EY274" s="32">
        <v>95.4</v>
      </c>
      <c r="EZ274" s="32">
        <v>105.3</v>
      </c>
      <c r="FA274" s="32">
        <v>105.4</v>
      </c>
      <c r="FB274" s="32">
        <v>110.9</v>
      </c>
      <c r="FC274" s="32">
        <v>104.8</v>
      </c>
      <c r="FD274" s="32">
        <v>97.3</v>
      </c>
      <c r="FE274" s="32">
        <v>128.4</v>
      </c>
      <c r="FF274" s="32">
        <v>99.1</v>
      </c>
      <c r="FG274" s="32">
        <v>100.4</v>
      </c>
      <c r="FH274" s="32">
        <v>98.7</v>
      </c>
      <c r="FI274" s="32">
        <v>103.2</v>
      </c>
      <c r="FJ274" s="32">
        <v>100.8</v>
      </c>
      <c r="FK274" s="32">
        <v>185.1</v>
      </c>
      <c r="FL274" s="32">
        <v>185.1</v>
      </c>
    </row>
    <row r="275" spans="1:168" x14ac:dyDescent="0.2">
      <c r="A275" s="34" t="s">
        <v>1255</v>
      </c>
      <c r="B275" s="32">
        <v>97.9</v>
      </c>
      <c r="C275" s="32">
        <v>96.2</v>
      </c>
      <c r="D275" s="32">
        <v>100.5</v>
      </c>
      <c r="E275" s="32">
        <v>103.6</v>
      </c>
      <c r="F275" s="32">
        <v>118.7</v>
      </c>
      <c r="G275" s="32">
        <v>117.3</v>
      </c>
      <c r="H275" s="32">
        <v>125.1</v>
      </c>
      <c r="I275" s="32">
        <v>104.2</v>
      </c>
      <c r="J275" s="32">
        <v>101.1</v>
      </c>
      <c r="K275" s="32">
        <v>97.3</v>
      </c>
      <c r="L275" s="32">
        <v>101</v>
      </c>
      <c r="M275" s="32">
        <v>93.8</v>
      </c>
      <c r="N275" s="32">
        <v>102.8</v>
      </c>
      <c r="O275" s="32">
        <v>264.5</v>
      </c>
      <c r="P275" s="32">
        <v>140.4</v>
      </c>
      <c r="Q275" s="32">
        <v>111.8</v>
      </c>
      <c r="R275" s="32">
        <v>89</v>
      </c>
      <c r="S275" s="32">
        <v>96.1</v>
      </c>
      <c r="T275" s="32">
        <v>150.6</v>
      </c>
      <c r="U275" s="32">
        <v>110.4</v>
      </c>
      <c r="V275" s="32">
        <v>81.099999999999994</v>
      </c>
      <c r="W275" s="32">
        <v>109.7</v>
      </c>
      <c r="X275" s="32">
        <v>108.8</v>
      </c>
      <c r="Y275" s="32">
        <v>113.2</v>
      </c>
      <c r="Z275" s="32">
        <v>119.4</v>
      </c>
      <c r="AA275" s="32">
        <v>120.5</v>
      </c>
      <c r="AB275" s="32">
        <v>126.8</v>
      </c>
      <c r="AC275" s="32">
        <v>121.6</v>
      </c>
      <c r="AD275" s="32">
        <v>116.9</v>
      </c>
      <c r="AE275" s="32">
        <v>87.4</v>
      </c>
      <c r="AF275" s="32">
        <v>87.4</v>
      </c>
      <c r="AG275" s="32">
        <v>121.5</v>
      </c>
      <c r="AH275" s="32">
        <v>121.5</v>
      </c>
      <c r="AI275" s="32">
        <v>81.2</v>
      </c>
      <c r="AJ275" s="32">
        <v>211.8</v>
      </c>
      <c r="AK275" s="32">
        <v>109.6</v>
      </c>
      <c r="AL275" s="32">
        <v>103.9</v>
      </c>
      <c r="AM275" s="32">
        <v>100.8</v>
      </c>
      <c r="AN275" s="32">
        <v>157.4</v>
      </c>
      <c r="AO275" s="32">
        <v>81</v>
      </c>
      <c r="AP275" s="32">
        <v>81</v>
      </c>
      <c r="AQ275" s="32">
        <v>110.3</v>
      </c>
      <c r="AR275" s="32">
        <v>112.6</v>
      </c>
      <c r="AS275" s="32">
        <v>107.8</v>
      </c>
      <c r="AT275" s="32">
        <v>94.3</v>
      </c>
      <c r="AU275" s="32">
        <v>120.6</v>
      </c>
      <c r="AV275" s="32">
        <v>100.3</v>
      </c>
      <c r="AW275" s="32">
        <v>100.2</v>
      </c>
      <c r="AX275" s="32">
        <v>193.9</v>
      </c>
      <c r="AY275" s="32">
        <v>58.1</v>
      </c>
      <c r="AZ275" s="32">
        <v>102</v>
      </c>
      <c r="BA275" s="32">
        <v>93.6</v>
      </c>
      <c r="BB275" s="32">
        <v>93.6</v>
      </c>
      <c r="BC275" s="32">
        <v>124.9</v>
      </c>
      <c r="BD275" s="32">
        <v>124.9</v>
      </c>
      <c r="BE275" s="32">
        <v>98.4</v>
      </c>
      <c r="BF275" s="32">
        <v>98.4</v>
      </c>
      <c r="BG275" s="32">
        <v>103</v>
      </c>
      <c r="BH275" s="32">
        <v>104.8</v>
      </c>
      <c r="BI275" s="32">
        <v>100.5</v>
      </c>
      <c r="BJ275" s="32">
        <v>75.3</v>
      </c>
      <c r="BK275" s="32">
        <v>106.2</v>
      </c>
      <c r="BL275" s="32">
        <v>122.6</v>
      </c>
      <c r="BM275" s="32">
        <v>99.9</v>
      </c>
      <c r="BN275" s="32">
        <v>106</v>
      </c>
      <c r="BO275" s="32">
        <v>93.7</v>
      </c>
      <c r="BP275" s="32">
        <v>116.3</v>
      </c>
      <c r="BQ275" s="32">
        <v>93.9</v>
      </c>
      <c r="BR275" s="32">
        <v>134.69999999999999</v>
      </c>
      <c r="BS275" s="32">
        <v>89.2</v>
      </c>
      <c r="BT275" s="32">
        <v>90.2</v>
      </c>
      <c r="BU275" s="32">
        <v>131.69999999999999</v>
      </c>
      <c r="BV275" s="32">
        <v>131.69999999999999</v>
      </c>
      <c r="BW275" s="32">
        <v>146.30000000000001</v>
      </c>
      <c r="BX275" s="32">
        <v>89</v>
      </c>
      <c r="BY275" s="32">
        <v>94.1</v>
      </c>
      <c r="BZ275" s="32">
        <v>99.1</v>
      </c>
      <c r="CA275" s="32">
        <v>91.7</v>
      </c>
      <c r="CB275" s="32">
        <v>95.2</v>
      </c>
      <c r="CC275" s="32">
        <v>89.6</v>
      </c>
      <c r="CD275" s="32">
        <v>74.5</v>
      </c>
      <c r="CE275" s="32">
        <v>95</v>
      </c>
      <c r="CF275" s="32">
        <v>97.6</v>
      </c>
      <c r="CG275" s="32">
        <v>104</v>
      </c>
      <c r="CH275" s="32">
        <v>105.1</v>
      </c>
      <c r="CI275" s="32">
        <v>111</v>
      </c>
      <c r="CJ275" s="32">
        <v>100.1</v>
      </c>
      <c r="CK275" s="32">
        <v>108.2</v>
      </c>
      <c r="CL275" s="32">
        <v>102</v>
      </c>
      <c r="CM275" s="32">
        <v>109.2</v>
      </c>
      <c r="CN275" s="32">
        <v>134.19999999999999</v>
      </c>
      <c r="CO275" s="32">
        <v>100.4</v>
      </c>
      <c r="CP275" s="32">
        <v>134.9</v>
      </c>
      <c r="CQ275" s="32">
        <v>213.4</v>
      </c>
      <c r="CR275" s="32">
        <v>105.4</v>
      </c>
      <c r="CS275" s="32">
        <v>101.1</v>
      </c>
      <c r="CT275" s="32">
        <v>100.3</v>
      </c>
      <c r="CU275" s="32">
        <v>102.3</v>
      </c>
      <c r="CV275" s="32">
        <v>99.6</v>
      </c>
      <c r="CW275" s="32">
        <v>85</v>
      </c>
      <c r="CX275" s="32">
        <v>97.5</v>
      </c>
      <c r="CY275" s="32">
        <v>100.4</v>
      </c>
      <c r="CZ275" s="32">
        <v>95.7</v>
      </c>
      <c r="DA275" s="32">
        <v>91.7</v>
      </c>
      <c r="DB275" s="32">
        <v>103.3</v>
      </c>
      <c r="DC275" s="32">
        <v>68.099999999999994</v>
      </c>
      <c r="DD275" s="32">
        <v>68.099999999999994</v>
      </c>
      <c r="DE275" s="32">
        <v>91.6</v>
      </c>
      <c r="DF275" s="32">
        <v>93.6</v>
      </c>
      <c r="DG275" s="32">
        <v>80.400000000000006</v>
      </c>
      <c r="DH275" s="32">
        <v>100.3</v>
      </c>
      <c r="DI275" s="32">
        <v>118.5</v>
      </c>
      <c r="DJ275" s="32">
        <v>84</v>
      </c>
      <c r="DK275" s="32">
        <v>84</v>
      </c>
      <c r="DL275" s="32">
        <v>86.9</v>
      </c>
      <c r="DM275" s="32">
        <v>98.3</v>
      </c>
      <c r="DN275" s="32">
        <v>98.2</v>
      </c>
      <c r="DO275" s="32">
        <v>98.8</v>
      </c>
      <c r="DP275" s="32">
        <v>87.5</v>
      </c>
      <c r="DQ275" s="32">
        <v>93.2</v>
      </c>
      <c r="DR275" s="32">
        <v>89.5</v>
      </c>
      <c r="DS275" s="32">
        <v>91.4</v>
      </c>
      <c r="DT275" s="32">
        <v>89.2</v>
      </c>
      <c r="DU275" s="32">
        <v>90.6</v>
      </c>
      <c r="DV275" s="32">
        <v>97.8</v>
      </c>
      <c r="DW275" s="32">
        <v>83.1</v>
      </c>
      <c r="DX275" s="32">
        <v>86.1</v>
      </c>
      <c r="DY275" s="32">
        <v>99.6</v>
      </c>
      <c r="DZ275" s="32">
        <v>85.6</v>
      </c>
      <c r="EA275" s="32">
        <v>85.6</v>
      </c>
      <c r="EB275" s="32">
        <v>85.6</v>
      </c>
      <c r="EC275" s="32">
        <v>82.8</v>
      </c>
      <c r="ED275" s="32">
        <v>89.4</v>
      </c>
      <c r="EE275" s="32">
        <v>94.6</v>
      </c>
      <c r="EF275" s="32">
        <v>78.3</v>
      </c>
      <c r="EG275" s="32">
        <v>99.1</v>
      </c>
      <c r="EH275" s="32">
        <v>116.2</v>
      </c>
      <c r="EI275" s="32">
        <v>98.5</v>
      </c>
      <c r="EJ275" s="32">
        <v>116.2</v>
      </c>
      <c r="EK275" s="32">
        <v>88.4</v>
      </c>
      <c r="EL275" s="32">
        <v>102.2</v>
      </c>
      <c r="EM275" s="32">
        <v>89.5</v>
      </c>
      <c r="EN275" s="32">
        <v>86</v>
      </c>
      <c r="EO275" s="32">
        <v>99.2</v>
      </c>
      <c r="EP275" s="32">
        <v>95.6</v>
      </c>
      <c r="EQ275" s="32">
        <v>95.6</v>
      </c>
      <c r="ER275" s="32">
        <v>93.3</v>
      </c>
      <c r="ES275" s="32">
        <v>93.3</v>
      </c>
      <c r="ET275" s="32">
        <v>109.1</v>
      </c>
      <c r="EU275" s="32">
        <v>123</v>
      </c>
      <c r="EV275" s="32">
        <v>123</v>
      </c>
      <c r="EW275" s="32">
        <v>93.7</v>
      </c>
      <c r="EX275" s="32">
        <v>90.6</v>
      </c>
      <c r="EY275" s="32">
        <v>96.3</v>
      </c>
      <c r="EZ275" s="32">
        <v>106.3</v>
      </c>
      <c r="FA275" s="32">
        <v>108.6</v>
      </c>
      <c r="FB275" s="32">
        <v>110.2</v>
      </c>
      <c r="FC275" s="32">
        <v>105.9</v>
      </c>
      <c r="FD275" s="32">
        <v>95.9</v>
      </c>
      <c r="FE275" s="32">
        <v>124.8</v>
      </c>
      <c r="FF275" s="32">
        <v>106.7</v>
      </c>
      <c r="FG275" s="32">
        <v>99.9</v>
      </c>
      <c r="FH275" s="32">
        <v>97.1</v>
      </c>
      <c r="FI275" s="32">
        <v>102.6</v>
      </c>
      <c r="FJ275" s="32">
        <v>100.8</v>
      </c>
      <c r="FK275" s="32">
        <v>181.9</v>
      </c>
      <c r="FL275" s="32">
        <v>181.9</v>
      </c>
    </row>
    <row r="276" spans="1:168" x14ac:dyDescent="0.2">
      <c r="A276" s="34" t="s">
        <v>1256</v>
      </c>
      <c r="B276" s="32">
        <v>98.2</v>
      </c>
      <c r="C276" s="32">
        <v>98.1</v>
      </c>
      <c r="D276" s="32">
        <v>101.4</v>
      </c>
      <c r="E276" s="32">
        <v>104.6</v>
      </c>
      <c r="F276" s="32">
        <v>122.1</v>
      </c>
      <c r="G276" s="32">
        <v>126.5</v>
      </c>
      <c r="H276" s="32">
        <v>129.19999999999999</v>
      </c>
      <c r="I276" s="32">
        <v>105.1</v>
      </c>
      <c r="J276" s="32">
        <v>102</v>
      </c>
      <c r="K276" s="32">
        <v>99.6</v>
      </c>
      <c r="L276" s="32">
        <v>102.4</v>
      </c>
      <c r="M276" s="32">
        <v>95.2</v>
      </c>
      <c r="N276" s="32">
        <v>105.9</v>
      </c>
      <c r="O276" s="32">
        <v>281.7</v>
      </c>
      <c r="P276" s="32">
        <v>144.4</v>
      </c>
      <c r="Q276" s="32">
        <v>115.2</v>
      </c>
      <c r="R276" s="32">
        <v>90.7</v>
      </c>
      <c r="S276" s="32">
        <v>96</v>
      </c>
      <c r="T276" s="32">
        <v>149.6</v>
      </c>
      <c r="U276" s="32">
        <v>122.3</v>
      </c>
      <c r="V276" s="32">
        <v>84.6</v>
      </c>
      <c r="W276" s="32">
        <v>112.7</v>
      </c>
      <c r="X276" s="32">
        <v>112.4</v>
      </c>
      <c r="Y276" s="32">
        <v>112.1</v>
      </c>
      <c r="Z276" s="32">
        <v>141.9</v>
      </c>
      <c r="AA276" s="32">
        <v>116</v>
      </c>
      <c r="AB276" s="32">
        <v>123.8</v>
      </c>
      <c r="AC276" s="32">
        <v>114.6</v>
      </c>
      <c r="AD276" s="32">
        <v>113.5</v>
      </c>
      <c r="AE276" s="32">
        <v>89.7</v>
      </c>
      <c r="AF276" s="32">
        <v>89.7</v>
      </c>
      <c r="AG276" s="32">
        <v>118.5</v>
      </c>
      <c r="AH276" s="32">
        <v>118.5</v>
      </c>
      <c r="AI276" s="32">
        <v>77.099999999999994</v>
      </c>
      <c r="AJ276" s="32">
        <v>208.1</v>
      </c>
      <c r="AK276" s="32">
        <v>107</v>
      </c>
      <c r="AL276" s="32">
        <v>100.6</v>
      </c>
      <c r="AM276" s="32">
        <v>97</v>
      </c>
      <c r="AN276" s="32">
        <v>158.4</v>
      </c>
      <c r="AO276" s="32">
        <v>88.1</v>
      </c>
      <c r="AP276" s="32">
        <v>88.1</v>
      </c>
      <c r="AQ276" s="32">
        <v>111.2</v>
      </c>
      <c r="AR276" s="32">
        <v>113.7</v>
      </c>
      <c r="AS276" s="32">
        <v>108.3</v>
      </c>
      <c r="AT276" s="32">
        <v>94.2</v>
      </c>
      <c r="AU276" s="32">
        <v>121.8</v>
      </c>
      <c r="AV276" s="32">
        <v>102.6</v>
      </c>
      <c r="AW276" s="32">
        <v>106.7</v>
      </c>
      <c r="AX276" s="32">
        <v>209.9</v>
      </c>
      <c r="AY276" s="32">
        <v>59.5</v>
      </c>
      <c r="AZ276" s="32">
        <v>103.4</v>
      </c>
      <c r="BA276" s="32">
        <v>92.9</v>
      </c>
      <c r="BB276" s="32">
        <v>92.9</v>
      </c>
      <c r="BC276" s="32">
        <v>125.3</v>
      </c>
      <c r="BD276" s="32">
        <v>125.3</v>
      </c>
      <c r="BE276" s="32">
        <v>95.7</v>
      </c>
      <c r="BF276" s="32">
        <v>95.7</v>
      </c>
      <c r="BG276" s="32">
        <v>103.1</v>
      </c>
      <c r="BH276" s="32">
        <v>106.6</v>
      </c>
      <c r="BI276" s="32">
        <v>98.6</v>
      </c>
      <c r="BJ276" s="32">
        <v>76.099999999999994</v>
      </c>
      <c r="BK276" s="32">
        <v>102.9</v>
      </c>
      <c r="BL276" s="32">
        <v>125.7</v>
      </c>
      <c r="BM276" s="32">
        <v>101.2</v>
      </c>
      <c r="BN276" s="32">
        <v>108.6</v>
      </c>
      <c r="BO276" s="32">
        <v>97.8</v>
      </c>
      <c r="BP276" s="32">
        <v>117.6</v>
      </c>
      <c r="BQ276" s="32">
        <v>93.9</v>
      </c>
      <c r="BR276" s="32">
        <v>108.7</v>
      </c>
      <c r="BS276" s="32">
        <v>89.3</v>
      </c>
      <c r="BT276" s="32">
        <v>93.5</v>
      </c>
      <c r="BU276" s="32">
        <v>132.9</v>
      </c>
      <c r="BV276" s="32">
        <v>132.9</v>
      </c>
      <c r="BW276" s="32">
        <v>147.19999999999999</v>
      </c>
      <c r="BX276" s="32">
        <v>90.6</v>
      </c>
      <c r="BY276" s="32">
        <v>93.8</v>
      </c>
      <c r="BZ276" s="32">
        <v>98.8</v>
      </c>
      <c r="CA276" s="32">
        <v>91.3</v>
      </c>
      <c r="CB276" s="32">
        <v>95.3</v>
      </c>
      <c r="CC276" s="32">
        <v>88.7</v>
      </c>
      <c r="CD276" s="32">
        <v>76.2</v>
      </c>
      <c r="CE276" s="32">
        <v>95.7</v>
      </c>
      <c r="CF276" s="32">
        <v>97.7</v>
      </c>
      <c r="CG276" s="32">
        <v>103.8</v>
      </c>
      <c r="CH276" s="32">
        <v>104.3</v>
      </c>
      <c r="CI276" s="32">
        <v>107.3</v>
      </c>
      <c r="CJ276" s="32">
        <v>99</v>
      </c>
      <c r="CK276" s="32">
        <v>108.3</v>
      </c>
      <c r="CL276" s="32">
        <v>103.4</v>
      </c>
      <c r="CM276" s="32">
        <v>110.1</v>
      </c>
      <c r="CN276" s="32">
        <v>134</v>
      </c>
      <c r="CO276" s="32">
        <v>101.4</v>
      </c>
      <c r="CP276" s="32">
        <v>132.5</v>
      </c>
      <c r="CQ276" s="32">
        <v>214.7</v>
      </c>
      <c r="CR276" s="32">
        <v>107.2</v>
      </c>
      <c r="CS276" s="32">
        <v>104.7</v>
      </c>
      <c r="CT276" s="32">
        <v>100.5</v>
      </c>
      <c r="CU276" s="32">
        <v>101.9</v>
      </c>
      <c r="CV276" s="32">
        <v>99.9</v>
      </c>
      <c r="CW276" s="32">
        <v>84.7</v>
      </c>
      <c r="CX276" s="32">
        <v>97.9</v>
      </c>
      <c r="CY276" s="32">
        <v>101.9</v>
      </c>
      <c r="CZ276" s="32">
        <v>95.4</v>
      </c>
      <c r="DA276" s="32">
        <v>90.4</v>
      </c>
      <c r="DB276" s="32">
        <v>105.2</v>
      </c>
      <c r="DC276" s="32">
        <v>68.599999999999994</v>
      </c>
      <c r="DD276" s="32">
        <v>68.599999999999994</v>
      </c>
      <c r="DE276" s="32">
        <v>90.3</v>
      </c>
      <c r="DF276" s="32">
        <v>91.8</v>
      </c>
      <c r="DG276" s="32">
        <v>81.900000000000006</v>
      </c>
      <c r="DH276" s="32">
        <v>100.5</v>
      </c>
      <c r="DI276" s="32">
        <v>119.4</v>
      </c>
      <c r="DJ276" s="32">
        <v>84.4</v>
      </c>
      <c r="DK276" s="32">
        <v>84.4</v>
      </c>
      <c r="DL276" s="32">
        <v>86.1</v>
      </c>
      <c r="DM276" s="32">
        <v>98.1</v>
      </c>
      <c r="DN276" s="32">
        <v>97.6</v>
      </c>
      <c r="DO276" s="32">
        <v>98.8</v>
      </c>
      <c r="DP276" s="32">
        <v>85.3</v>
      </c>
      <c r="DQ276" s="32">
        <v>93.9</v>
      </c>
      <c r="DR276" s="32">
        <v>90.1</v>
      </c>
      <c r="DS276" s="32">
        <v>90.4</v>
      </c>
      <c r="DT276" s="32">
        <v>88.7</v>
      </c>
      <c r="DU276" s="32">
        <v>89.8</v>
      </c>
      <c r="DV276" s="32">
        <v>98.1</v>
      </c>
      <c r="DW276" s="32">
        <v>81.2</v>
      </c>
      <c r="DX276" s="32">
        <v>86.5</v>
      </c>
      <c r="DY276" s="32">
        <v>96.4</v>
      </c>
      <c r="DZ276" s="32">
        <v>88.9</v>
      </c>
      <c r="EA276" s="32">
        <v>88.9</v>
      </c>
      <c r="EB276" s="32">
        <v>89.8</v>
      </c>
      <c r="EC276" s="32">
        <v>88.9</v>
      </c>
      <c r="ED276" s="32">
        <v>90.9</v>
      </c>
      <c r="EE276" s="32">
        <v>96.8</v>
      </c>
      <c r="EF276" s="32">
        <v>78.5</v>
      </c>
      <c r="EG276" s="32">
        <v>99.9</v>
      </c>
      <c r="EH276" s="32">
        <v>122.9</v>
      </c>
      <c r="EI276" s="32">
        <v>98.4</v>
      </c>
      <c r="EJ276" s="32">
        <v>114.7</v>
      </c>
      <c r="EK276" s="32">
        <v>87.8</v>
      </c>
      <c r="EL276" s="32">
        <v>100.9</v>
      </c>
      <c r="EM276" s="32">
        <v>87.2</v>
      </c>
      <c r="EN276" s="32">
        <v>86.4</v>
      </c>
      <c r="EO276" s="32">
        <v>100</v>
      </c>
      <c r="EP276" s="32">
        <v>95.5</v>
      </c>
      <c r="EQ276" s="32">
        <v>95.5</v>
      </c>
      <c r="ER276" s="32">
        <v>93.6</v>
      </c>
      <c r="ES276" s="32">
        <v>93.6</v>
      </c>
      <c r="ET276" s="32">
        <v>111.2</v>
      </c>
      <c r="EU276" s="32">
        <v>125.8</v>
      </c>
      <c r="EV276" s="32">
        <v>125.8</v>
      </c>
      <c r="EW276" s="32">
        <v>94.5</v>
      </c>
      <c r="EX276" s="32">
        <v>92.3</v>
      </c>
      <c r="EY276" s="32">
        <v>96.4</v>
      </c>
      <c r="EZ276" s="32">
        <v>104.3</v>
      </c>
      <c r="FA276" s="32">
        <v>104.8</v>
      </c>
      <c r="FB276" s="32">
        <v>110.9</v>
      </c>
      <c r="FC276" s="32">
        <v>108.6</v>
      </c>
      <c r="FD276" s="32">
        <v>99.7</v>
      </c>
      <c r="FE276" s="32">
        <v>120.6</v>
      </c>
      <c r="FF276" s="32">
        <v>97.8</v>
      </c>
      <c r="FG276" s="32">
        <v>99.2</v>
      </c>
      <c r="FH276" s="32">
        <v>95.4</v>
      </c>
      <c r="FI276" s="32">
        <v>98.2</v>
      </c>
      <c r="FJ276" s="32">
        <v>100.9</v>
      </c>
      <c r="FK276" s="32">
        <v>182.9</v>
      </c>
      <c r="FL276" s="32">
        <v>182.9</v>
      </c>
    </row>
    <row r="277" spans="1:168" x14ac:dyDescent="0.2">
      <c r="A277" s="34" t="s">
        <v>1257</v>
      </c>
      <c r="B277" s="32">
        <v>98</v>
      </c>
      <c r="C277" s="32">
        <v>100.6</v>
      </c>
      <c r="D277" s="32">
        <v>101.3</v>
      </c>
      <c r="E277" s="32">
        <v>104.3</v>
      </c>
      <c r="F277" s="32">
        <v>123.2</v>
      </c>
      <c r="G277" s="32">
        <v>120.8</v>
      </c>
      <c r="H277" s="32">
        <v>129.5</v>
      </c>
      <c r="I277" s="32">
        <v>110</v>
      </c>
      <c r="J277" s="32">
        <v>101.3</v>
      </c>
      <c r="K277" s="32">
        <v>100.5</v>
      </c>
      <c r="L277" s="32">
        <v>102.9</v>
      </c>
      <c r="M277" s="32">
        <v>97.3</v>
      </c>
      <c r="N277" s="32">
        <v>105.4</v>
      </c>
      <c r="O277" s="32">
        <v>257.2</v>
      </c>
      <c r="P277" s="32">
        <v>140.19999999999999</v>
      </c>
      <c r="Q277" s="32">
        <v>111.6</v>
      </c>
      <c r="R277" s="32">
        <v>91.5</v>
      </c>
      <c r="S277" s="32">
        <v>97.2</v>
      </c>
      <c r="T277" s="32">
        <v>149.19999999999999</v>
      </c>
      <c r="U277" s="32">
        <v>117.9</v>
      </c>
      <c r="V277" s="32">
        <v>88.7</v>
      </c>
      <c r="W277" s="32">
        <v>108.7</v>
      </c>
      <c r="X277" s="32">
        <v>112.4</v>
      </c>
      <c r="Y277" s="32">
        <v>105</v>
      </c>
      <c r="Z277" s="32">
        <v>108.5</v>
      </c>
      <c r="AA277" s="32">
        <v>121.9</v>
      </c>
      <c r="AB277" s="32">
        <v>128.19999999999999</v>
      </c>
      <c r="AC277" s="32">
        <v>120.4</v>
      </c>
      <c r="AD277" s="32">
        <v>120.8</v>
      </c>
      <c r="AE277" s="32">
        <v>88.8</v>
      </c>
      <c r="AF277" s="32">
        <v>88.8</v>
      </c>
      <c r="AG277" s="32">
        <v>120.7</v>
      </c>
      <c r="AH277" s="32">
        <v>120.7</v>
      </c>
      <c r="AI277" s="32">
        <v>81.5</v>
      </c>
      <c r="AJ277" s="32">
        <v>213.1</v>
      </c>
      <c r="AK277" s="32">
        <v>103.8</v>
      </c>
      <c r="AL277" s="32">
        <v>103.3</v>
      </c>
      <c r="AM277" s="32">
        <v>98.3</v>
      </c>
      <c r="AN277" s="32">
        <v>160.80000000000001</v>
      </c>
      <c r="AO277" s="32">
        <v>79.3</v>
      </c>
      <c r="AP277" s="32">
        <v>79.3</v>
      </c>
      <c r="AQ277" s="32">
        <v>110.9</v>
      </c>
      <c r="AR277" s="32">
        <v>112.6</v>
      </c>
      <c r="AS277" s="32">
        <v>109.1</v>
      </c>
      <c r="AT277" s="32">
        <v>96</v>
      </c>
      <c r="AU277" s="32">
        <v>121.6</v>
      </c>
      <c r="AV277" s="32">
        <v>103.4</v>
      </c>
      <c r="AW277" s="32">
        <v>104.3</v>
      </c>
      <c r="AX277" s="32">
        <v>198.1</v>
      </c>
      <c r="AY277" s="32">
        <v>62.7</v>
      </c>
      <c r="AZ277" s="32">
        <v>104.9</v>
      </c>
      <c r="BA277" s="32">
        <v>93</v>
      </c>
      <c r="BB277" s="32">
        <v>93</v>
      </c>
      <c r="BC277" s="32">
        <v>124.3</v>
      </c>
      <c r="BD277" s="32">
        <v>124.3</v>
      </c>
      <c r="BE277" s="32">
        <v>96.5</v>
      </c>
      <c r="BF277" s="32">
        <v>96.5</v>
      </c>
      <c r="BG277" s="32">
        <v>100.7</v>
      </c>
      <c r="BH277" s="32">
        <v>104</v>
      </c>
      <c r="BI277" s="32">
        <v>96.5</v>
      </c>
      <c r="BJ277" s="32">
        <v>76.400000000000006</v>
      </c>
      <c r="BK277" s="32">
        <v>99.8</v>
      </c>
      <c r="BL277" s="32">
        <v>127.7</v>
      </c>
      <c r="BM277" s="32">
        <v>99.8</v>
      </c>
      <c r="BN277" s="32">
        <v>107.6</v>
      </c>
      <c r="BO277" s="32">
        <v>101.2</v>
      </c>
      <c r="BP277" s="32">
        <v>112.5</v>
      </c>
      <c r="BQ277" s="32">
        <v>91.9</v>
      </c>
      <c r="BR277" s="32">
        <v>116.4</v>
      </c>
      <c r="BS277" s="32">
        <v>88.4</v>
      </c>
      <c r="BT277" s="32">
        <v>89.9</v>
      </c>
      <c r="BU277" s="32">
        <v>133</v>
      </c>
      <c r="BV277" s="32">
        <v>133</v>
      </c>
      <c r="BW277" s="32">
        <v>150.69999999999999</v>
      </c>
      <c r="BX277" s="32">
        <v>84.5</v>
      </c>
      <c r="BY277" s="32">
        <v>94.9</v>
      </c>
      <c r="BZ277" s="32">
        <v>100.2</v>
      </c>
      <c r="CA277" s="32">
        <v>92.4</v>
      </c>
      <c r="CB277" s="32">
        <v>95.9</v>
      </c>
      <c r="CC277" s="32">
        <v>90.2</v>
      </c>
      <c r="CD277" s="32">
        <v>77.400000000000006</v>
      </c>
      <c r="CE277" s="32">
        <v>96.2</v>
      </c>
      <c r="CF277" s="32">
        <v>97.6</v>
      </c>
      <c r="CG277" s="32">
        <v>103.6</v>
      </c>
      <c r="CH277" s="32">
        <v>104</v>
      </c>
      <c r="CI277" s="32">
        <v>108.2</v>
      </c>
      <c r="CJ277" s="32">
        <v>98.8</v>
      </c>
      <c r="CK277" s="32">
        <v>107.7</v>
      </c>
      <c r="CL277" s="32">
        <v>102.1</v>
      </c>
      <c r="CM277" s="32">
        <v>107.3</v>
      </c>
      <c r="CN277" s="32">
        <v>133</v>
      </c>
      <c r="CO277" s="32">
        <v>98.4</v>
      </c>
      <c r="CP277" s="32">
        <v>131</v>
      </c>
      <c r="CQ277" s="32">
        <v>215.3</v>
      </c>
      <c r="CR277" s="32">
        <v>105.8</v>
      </c>
      <c r="CS277" s="32">
        <v>106.1</v>
      </c>
      <c r="CT277" s="32">
        <v>101.5</v>
      </c>
      <c r="CU277" s="32">
        <v>104.8</v>
      </c>
      <c r="CV277" s="32">
        <v>100.2</v>
      </c>
      <c r="CW277" s="32">
        <v>84.8</v>
      </c>
      <c r="CX277" s="32">
        <v>97</v>
      </c>
      <c r="CY277" s="32">
        <v>102.5</v>
      </c>
      <c r="CZ277" s="32">
        <v>93.9</v>
      </c>
      <c r="DA277" s="32">
        <v>89.3</v>
      </c>
      <c r="DB277" s="32">
        <v>102.8</v>
      </c>
      <c r="DC277" s="32">
        <v>68.900000000000006</v>
      </c>
      <c r="DD277" s="32">
        <v>68.900000000000006</v>
      </c>
      <c r="DE277" s="32">
        <v>90.7</v>
      </c>
      <c r="DF277" s="32">
        <v>93.1</v>
      </c>
      <c r="DG277" s="32">
        <v>76.8</v>
      </c>
      <c r="DH277" s="32">
        <v>100.6</v>
      </c>
      <c r="DI277" s="32">
        <v>119.2</v>
      </c>
      <c r="DJ277" s="32">
        <v>84.9</v>
      </c>
      <c r="DK277" s="32">
        <v>84.9</v>
      </c>
      <c r="DL277" s="32">
        <v>86.2</v>
      </c>
      <c r="DM277" s="32">
        <v>98.2</v>
      </c>
      <c r="DN277" s="32">
        <v>98.1</v>
      </c>
      <c r="DO277" s="32">
        <v>98.8</v>
      </c>
      <c r="DP277" s="32">
        <v>82.8</v>
      </c>
      <c r="DQ277" s="32">
        <v>94.2</v>
      </c>
      <c r="DR277" s="32">
        <v>90.8</v>
      </c>
      <c r="DS277" s="32">
        <v>93</v>
      </c>
      <c r="DT277" s="32">
        <v>91.4</v>
      </c>
      <c r="DU277" s="32">
        <v>93.5</v>
      </c>
      <c r="DV277" s="32">
        <v>101.6</v>
      </c>
      <c r="DW277" s="32">
        <v>85.1</v>
      </c>
      <c r="DX277" s="32">
        <v>87</v>
      </c>
      <c r="DY277" s="32">
        <v>98.6</v>
      </c>
      <c r="DZ277" s="32">
        <v>81</v>
      </c>
      <c r="EA277" s="32">
        <v>81</v>
      </c>
      <c r="EB277" s="32">
        <v>88.9</v>
      </c>
      <c r="EC277" s="32">
        <v>87.5</v>
      </c>
      <c r="ED277" s="32">
        <v>90.7</v>
      </c>
      <c r="EE277" s="32">
        <v>96.1</v>
      </c>
      <c r="EF277" s="32">
        <v>79.2</v>
      </c>
      <c r="EG277" s="32">
        <v>99.8</v>
      </c>
      <c r="EH277" s="32">
        <v>120.1</v>
      </c>
      <c r="EI277" s="32">
        <v>100.1</v>
      </c>
      <c r="EJ277" s="32">
        <v>115.9</v>
      </c>
      <c r="EK277" s="32">
        <v>87.2</v>
      </c>
      <c r="EL277" s="32">
        <v>100.5</v>
      </c>
      <c r="EM277" s="32">
        <v>90.3</v>
      </c>
      <c r="EN277" s="32">
        <v>83.7</v>
      </c>
      <c r="EO277" s="32">
        <v>98.9</v>
      </c>
      <c r="EP277" s="32">
        <v>95.4</v>
      </c>
      <c r="EQ277" s="32">
        <v>95.4</v>
      </c>
      <c r="ER277" s="32">
        <v>93</v>
      </c>
      <c r="ES277" s="32">
        <v>93</v>
      </c>
      <c r="ET277" s="32">
        <v>108.7</v>
      </c>
      <c r="EU277" s="32">
        <v>121.8</v>
      </c>
      <c r="EV277" s="32">
        <v>121.8</v>
      </c>
      <c r="EW277" s="32">
        <v>94.4</v>
      </c>
      <c r="EX277" s="32">
        <v>92.8</v>
      </c>
      <c r="EY277" s="32">
        <v>95.7</v>
      </c>
      <c r="EZ277" s="32">
        <v>106</v>
      </c>
      <c r="FA277" s="32">
        <v>106.4</v>
      </c>
      <c r="FB277" s="32">
        <v>108.8</v>
      </c>
      <c r="FC277" s="32">
        <v>106.5</v>
      </c>
      <c r="FD277" s="32">
        <v>100.5</v>
      </c>
      <c r="FE277" s="32">
        <v>117.2</v>
      </c>
      <c r="FF277" s="32">
        <v>103.5</v>
      </c>
      <c r="FG277" s="32">
        <v>101.3</v>
      </c>
      <c r="FH277" s="32">
        <v>94.6</v>
      </c>
      <c r="FI277" s="32">
        <v>100.6</v>
      </c>
      <c r="FJ277" s="32">
        <v>104.2</v>
      </c>
      <c r="FK277" s="32">
        <v>178.6</v>
      </c>
      <c r="FL277" s="32">
        <v>178.6</v>
      </c>
    </row>
    <row r="278" spans="1:168" x14ac:dyDescent="0.2">
      <c r="A278" s="34" t="s">
        <v>1258</v>
      </c>
      <c r="B278" s="32">
        <v>98.5</v>
      </c>
      <c r="C278" s="32">
        <v>103.8</v>
      </c>
      <c r="D278" s="32">
        <v>102.4</v>
      </c>
      <c r="E278" s="32">
        <v>106.1</v>
      </c>
      <c r="F278" s="32">
        <v>127.7</v>
      </c>
      <c r="G278" s="32">
        <v>118.6</v>
      </c>
      <c r="H278" s="32">
        <v>134.80000000000001</v>
      </c>
      <c r="I278" s="32">
        <v>111.9</v>
      </c>
      <c r="J278" s="32">
        <v>102.7</v>
      </c>
      <c r="K278" s="32">
        <v>101.7</v>
      </c>
      <c r="L278" s="32">
        <v>103.8</v>
      </c>
      <c r="M278" s="32">
        <v>100</v>
      </c>
      <c r="N278" s="32">
        <v>104.1</v>
      </c>
      <c r="O278" s="32">
        <v>262.3</v>
      </c>
      <c r="P278" s="32">
        <v>138.9</v>
      </c>
      <c r="Q278" s="32">
        <v>110.9</v>
      </c>
      <c r="R278" s="32">
        <v>91.7</v>
      </c>
      <c r="S278" s="32">
        <v>98.2</v>
      </c>
      <c r="T278" s="32">
        <v>154.30000000000001</v>
      </c>
      <c r="U278" s="32">
        <v>113.4</v>
      </c>
      <c r="V278" s="32">
        <v>92.6</v>
      </c>
      <c r="W278" s="32">
        <v>108.8</v>
      </c>
      <c r="X278" s="32">
        <v>112</v>
      </c>
      <c r="Y278" s="32">
        <v>106.2</v>
      </c>
      <c r="Z278" s="32">
        <v>108.1</v>
      </c>
      <c r="AA278" s="32">
        <v>121.6</v>
      </c>
      <c r="AB278" s="32">
        <v>126.1</v>
      </c>
      <c r="AC278" s="32">
        <v>119.6</v>
      </c>
      <c r="AD278" s="32">
        <v>122.1</v>
      </c>
      <c r="AE278" s="32">
        <v>86.8</v>
      </c>
      <c r="AF278" s="32">
        <v>86.8</v>
      </c>
      <c r="AG278" s="32">
        <v>123.1</v>
      </c>
      <c r="AH278" s="32">
        <v>123.1</v>
      </c>
      <c r="AI278" s="32">
        <v>80.400000000000006</v>
      </c>
      <c r="AJ278" s="32">
        <v>206</v>
      </c>
      <c r="AK278" s="32">
        <v>111.5</v>
      </c>
      <c r="AL278" s="32">
        <v>104.2</v>
      </c>
      <c r="AM278" s="32">
        <v>103.9</v>
      </c>
      <c r="AN278" s="32">
        <v>165.7</v>
      </c>
      <c r="AO278" s="32">
        <v>79.3</v>
      </c>
      <c r="AP278" s="32">
        <v>79.3</v>
      </c>
      <c r="AQ278" s="32">
        <v>111.4</v>
      </c>
      <c r="AR278" s="32">
        <v>111.1</v>
      </c>
      <c r="AS278" s="32">
        <v>112.4</v>
      </c>
      <c r="AT278" s="32">
        <v>103.5</v>
      </c>
      <c r="AU278" s="32">
        <v>120.8</v>
      </c>
      <c r="AV278" s="32">
        <v>105.7</v>
      </c>
      <c r="AW278" s="32">
        <v>113.6</v>
      </c>
      <c r="AX278" s="32">
        <v>218.9</v>
      </c>
      <c r="AY278" s="32">
        <v>66.3</v>
      </c>
      <c r="AZ278" s="32">
        <v>105.9</v>
      </c>
      <c r="BA278" s="32">
        <v>96.4</v>
      </c>
      <c r="BB278" s="32">
        <v>96.4</v>
      </c>
      <c r="BC278" s="32">
        <v>126.8</v>
      </c>
      <c r="BD278" s="32">
        <v>126.8</v>
      </c>
      <c r="BE278" s="32">
        <v>96.9</v>
      </c>
      <c r="BF278" s="32">
        <v>96.9</v>
      </c>
      <c r="BG278" s="32">
        <v>101.8</v>
      </c>
      <c r="BH278" s="32">
        <v>105.3</v>
      </c>
      <c r="BI278" s="32">
        <v>97.5</v>
      </c>
      <c r="BJ278" s="32">
        <v>76.900000000000006</v>
      </c>
      <c r="BK278" s="32">
        <v>100.7</v>
      </c>
      <c r="BL278" s="32">
        <v>130.19999999999999</v>
      </c>
      <c r="BM278" s="32">
        <v>103.1</v>
      </c>
      <c r="BN278" s="32">
        <v>110.7</v>
      </c>
      <c r="BO278" s="32">
        <v>100.7</v>
      </c>
      <c r="BP278" s="32">
        <v>118.9</v>
      </c>
      <c r="BQ278" s="32">
        <v>95.5</v>
      </c>
      <c r="BR278" s="32">
        <v>113.6</v>
      </c>
      <c r="BS278" s="32">
        <v>92.3</v>
      </c>
      <c r="BT278" s="32">
        <v>94.2</v>
      </c>
      <c r="BU278" s="32">
        <v>138.19999999999999</v>
      </c>
      <c r="BV278" s="32">
        <v>138.19999999999999</v>
      </c>
      <c r="BW278" s="32">
        <v>153.9</v>
      </c>
      <c r="BX278" s="32">
        <v>93</v>
      </c>
      <c r="BY278" s="32">
        <v>94.9</v>
      </c>
      <c r="BZ278" s="32">
        <v>99.4</v>
      </c>
      <c r="CA278" s="32">
        <v>92.7</v>
      </c>
      <c r="CB278" s="32">
        <v>95.9</v>
      </c>
      <c r="CC278" s="32">
        <v>90.7</v>
      </c>
      <c r="CD278" s="32">
        <v>78.3</v>
      </c>
      <c r="CE278" s="32">
        <v>96</v>
      </c>
      <c r="CF278" s="32">
        <v>97.8</v>
      </c>
      <c r="CG278" s="32">
        <v>104.1</v>
      </c>
      <c r="CH278" s="32">
        <v>104.6</v>
      </c>
      <c r="CI278" s="32">
        <v>113.5</v>
      </c>
      <c r="CJ278" s="32">
        <v>99.1</v>
      </c>
      <c r="CK278" s="32">
        <v>107.2</v>
      </c>
      <c r="CL278" s="32">
        <v>102.3</v>
      </c>
      <c r="CM278" s="32">
        <v>107</v>
      </c>
      <c r="CN278" s="32">
        <v>138.30000000000001</v>
      </c>
      <c r="CO278" s="32">
        <v>97.4</v>
      </c>
      <c r="CP278" s="32">
        <v>131.19999999999999</v>
      </c>
      <c r="CQ278" s="32">
        <v>215.8</v>
      </c>
      <c r="CR278" s="32">
        <v>106.4</v>
      </c>
      <c r="CS278" s="32">
        <v>106.4</v>
      </c>
      <c r="CT278" s="32">
        <v>102.6</v>
      </c>
      <c r="CU278" s="32">
        <v>103.6</v>
      </c>
      <c r="CV278" s="32">
        <v>102.2</v>
      </c>
      <c r="CW278" s="32">
        <v>87.3</v>
      </c>
      <c r="CX278" s="32">
        <v>100.2</v>
      </c>
      <c r="CY278" s="32">
        <v>101.5</v>
      </c>
      <c r="CZ278" s="32">
        <v>99.3</v>
      </c>
      <c r="DA278" s="32">
        <v>97.2</v>
      </c>
      <c r="DB278" s="32">
        <v>103.1</v>
      </c>
      <c r="DC278" s="32">
        <v>70.2</v>
      </c>
      <c r="DD278" s="32">
        <v>70.2</v>
      </c>
      <c r="DE278" s="32">
        <v>94</v>
      </c>
      <c r="DF278" s="32">
        <v>96</v>
      </c>
      <c r="DG278" s="32">
        <v>82.4</v>
      </c>
      <c r="DH278" s="32">
        <v>100.4</v>
      </c>
      <c r="DI278" s="32">
        <v>118.2</v>
      </c>
      <c r="DJ278" s="32">
        <v>85.5</v>
      </c>
      <c r="DK278" s="32">
        <v>85.5</v>
      </c>
      <c r="DL278" s="32">
        <v>86.4</v>
      </c>
      <c r="DM278" s="32">
        <v>98.4</v>
      </c>
      <c r="DN278" s="32">
        <v>99.4</v>
      </c>
      <c r="DO278" s="32">
        <v>98.6</v>
      </c>
      <c r="DP278" s="32">
        <v>85.1</v>
      </c>
      <c r="DQ278" s="32">
        <v>92.6</v>
      </c>
      <c r="DR278" s="32">
        <v>89</v>
      </c>
      <c r="DS278" s="32">
        <v>90.1</v>
      </c>
      <c r="DT278" s="32">
        <v>89.6</v>
      </c>
      <c r="DU278" s="32">
        <v>90.3</v>
      </c>
      <c r="DV278" s="32">
        <v>98.4</v>
      </c>
      <c r="DW278" s="32">
        <v>81.7</v>
      </c>
      <c r="DX278" s="32">
        <v>88</v>
      </c>
      <c r="DY278" s="32">
        <v>92.1</v>
      </c>
      <c r="DZ278" s="32">
        <v>81.3</v>
      </c>
      <c r="EA278" s="32">
        <v>81.3</v>
      </c>
      <c r="EB278" s="32">
        <v>89.3</v>
      </c>
      <c r="EC278" s="32">
        <v>85.8</v>
      </c>
      <c r="ED278" s="32">
        <v>93.9</v>
      </c>
      <c r="EE278" s="32">
        <v>100.6</v>
      </c>
      <c r="EF278" s="32">
        <v>80</v>
      </c>
      <c r="EG278" s="32">
        <v>98.5</v>
      </c>
      <c r="EH278" s="32">
        <v>115</v>
      </c>
      <c r="EI278" s="32">
        <v>101</v>
      </c>
      <c r="EJ278" s="32">
        <v>110</v>
      </c>
      <c r="EK278" s="32">
        <v>87.1</v>
      </c>
      <c r="EL278" s="32">
        <v>101.6</v>
      </c>
      <c r="EM278" s="32">
        <v>89.7</v>
      </c>
      <c r="EN278" s="32">
        <v>83.7</v>
      </c>
      <c r="EO278" s="32">
        <v>99.6</v>
      </c>
      <c r="EP278" s="32">
        <v>95.5</v>
      </c>
      <c r="EQ278" s="32">
        <v>95.5</v>
      </c>
      <c r="ER278" s="32">
        <v>94.1</v>
      </c>
      <c r="ES278" s="32">
        <v>94.1</v>
      </c>
      <c r="ET278" s="32">
        <v>109.6</v>
      </c>
      <c r="EU278" s="32">
        <v>123.4</v>
      </c>
      <c r="EV278" s="32">
        <v>123.4</v>
      </c>
      <c r="EW278" s="32">
        <v>93.9</v>
      </c>
      <c r="EX278" s="32">
        <v>93.1</v>
      </c>
      <c r="EY278" s="32">
        <v>94.8</v>
      </c>
      <c r="EZ278" s="32">
        <v>105.7</v>
      </c>
      <c r="FA278" s="32">
        <v>104.4</v>
      </c>
      <c r="FB278" s="32">
        <v>110</v>
      </c>
      <c r="FC278" s="32">
        <v>109.2</v>
      </c>
      <c r="FD278" s="32">
        <v>101.1</v>
      </c>
      <c r="FE278" s="32">
        <v>116.1</v>
      </c>
      <c r="FF278" s="32">
        <v>98</v>
      </c>
      <c r="FG278" s="32">
        <v>102.7</v>
      </c>
      <c r="FH278" s="32">
        <v>95.2</v>
      </c>
      <c r="FI278" s="32">
        <v>98.7</v>
      </c>
      <c r="FJ278" s="32">
        <v>106.3</v>
      </c>
      <c r="FK278" s="32">
        <v>173.4</v>
      </c>
      <c r="FL278" s="32">
        <v>173.4</v>
      </c>
    </row>
    <row r="279" spans="1:168" x14ac:dyDescent="0.2">
      <c r="A279" s="34" t="s">
        <v>1259</v>
      </c>
      <c r="B279" s="32">
        <v>98.3</v>
      </c>
      <c r="C279" s="32">
        <v>106.1</v>
      </c>
      <c r="D279" s="32">
        <v>102.6</v>
      </c>
      <c r="E279" s="32">
        <v>107</v>
      </c>
      <c r="F279" s="32">
        <v>124.4</v>
      </c>
      <c r="G279" s="32">
        <v>114.4</v>
      </c>
      <c r="H279" s="32">
        <v>130.1</v>
      </c>
      <c r="I279" s="32">
        <v>114.1</v>
      </c>
      <c r="J279" s="32">
        <v>103.3</v>
      </c>
      <c r="K279" s="32">
        <v>101.5</v>
      </c>
      <c r="L279" s="32">
        <v>103.7</v>
      </c>
      <c r="M279" s="32">
        <v>98.6</v>
      </c>
      <c r="N279" s="32">
        <v>106.8</v>
      </c>
      <c r="O279" s="32">
        <v>239.4</v>
      </c>
      <c r="P279" s="32">
        <v>136.19999999999999</v>
      </c>
      <c r="Q279" s="32">
        <v>112.4</v>
      </c>
      <c r="R279" s="32">
        <v>92.9</v>
      </c>
      <c r="S279" s="32">
        <v>98.2</v>
      </c>
      <c r="T279" s="32">
        <v>152.19999999999999</v>
      </c>
      <c r="U279" s="32">
        <v>111.5</v>
      </c>
      <c r="V279" s="32">
        <v>92.2</v>
      </c>
      <c r="W279" s="32">
        <v>106.2</v>
      </c>
      <c r="X279" s="32">
        <v>108.1</v>
      </c>
      <c r="Y279" s="32">
        <v>104.6</v>
      </c>
      <c r="Z279" s="32">
        <v>116</v>
      </c>
      <c r="AA279" s="32">
        <v>123.4</v>
      </c>
      <c r="AB279" s="32">
        <v>129.30000000000001</v>
      </c>
      <c r="AC279" s="32">
        <v>121.5</v>
      </c>
      <c r="AD279" s="32">
        <v>123</v>
      </c>
      <c r="AE279" s="32">
        <v>94.1</v>
      </c>
      <c r="AF279" s="32">
        <v>94.1</v>
      </c>
      <c r="AG279" s="32">
        <v>123.1</v>
      </c>
      <c r="AH279" s="32">
        <v>123.1</v>
      </c>
      <c r="AI279" s="32">
        <v>85.8</v>
      </c>
      <c r="AJ279" s="32">
        <v>200.5</v>
      </c>
      <c r="AK279" s="32">
        <v>108.5</v>
      </c>
      <c r="AL279" s="32">
        <v>105.3</v>
      </c>
      <c r="AM279" s="32">
        <v>104.2</v>
      </c>
      <c r="AN279" s="32">
        <v>166.4</v>
      </c>
      <c r="AO279" s="32">
        <v>78.900000000000006</v>
      </c>
      <c r="AP279" s="32">
        <v>78.900000000000006</v>
      </c>
      <c r="AQ279" s="32">
        <v>111.5</v>
      </c>
      <c r="AR279" s="32">
        <v>111.5</v>
      </c>
      <c r="AS279" s="32">
        <v>112</v>
      </c>
      <c r="AT279" s="32">
        <v>98.6</v>
      </c>
      <c r="AU279" s="32">
        <v>124.8</v>
      </c>
      <c r="AV279" s="32">
        <v>107.7</v>
      </c>
      <c r="AW279" s="32">
        <v>122.1</v>
      </c>
      <c r="AX279" s="32">
        <v>226.1</v>
      </c>
      <c r="AY279" s="32">
        <v>76.5</v>
      </c>
      <c r="AZ279" s="32">
        <v>106.8</v>
      </c>
      <c r="BA279" s="32">
        <v>99.3</v>
      </c>
      <c r="BB279" s="32">
        <v>99.3</v>
      </c>
      <c r="BC279" s="32">
        <v>127.2</v>
      </c>
      <c r="BD279" s="32">
        <v>127.2</v>
      </c>
      <c r="BE279" s="32">
        <v>98.6</v>
      </c>
      <c r="BF279" s="32">
        <v>98.6</v>
      </c>
      <c r="BG279" s="32">
        <v>103</v>
      </c>
      <c r="BH279" s="32">
        <v>105.7</v>
      </c>
      <c r="BI279" s="32">
        <v>98.7</v>
      </c>
      <c r="BJ279" s="32">
        <v>78.599999999999994</v>
      </c>
      <c r="BK279" s="32">
        <v>101.7</v>
      </c>
      <c r="BL279" s="32">
        <v>134</v>
      </c>
      <c r="BM279" s="32">
        <v>101.5</v>
      </c>
      <c r="BN279" s="32">
        <v>108.3</v>
      </c>
      <c r="BO279" s="32">
        <v>101</v>
      </c>
      <c r="BP279" s="32">
        <v>114</v>
      </c>
      <c r="BQ279" s="32">
        <v>94.8</v>
      </c>
      <c r="BR279" s="32">
        <v>113.1</v>
      </c>
      <c r="BS279" s="32">
        <v>88.8</v>
      </c>
      <c r="BT279" s="32">
        <v>94.4</v>
      </c>
      <c r="BU279" s="32">
        <v>148.4</v>
      </c>
      <c r="BV279" s="32">
        <v>148.4</v>
      </c>
      <c r="BW279" s="32">
        <v>158.69999999999999</v>
      </c>
      <c r="BX279" s="32">
        <v>112.5</v>
      </c>
      <c r="BY279" s="32">
        <v>94.1</v>
      </c>
      <c r="BZ279" s="32">
        <v>100</v>
      </c>
      <c r="CA279" s="32">
        <v>91.3</v>
      </c>
      <c r="CB279" s="32">
        <v>96</v>
      </c>
      <c r="CC279" s="32">
        <v>87.9</v>
      </c>
      <c r="CD279" s="32">
        <v>76.099999999999994</v>
      </c>
      <c r="CE279" s="32">
        <v>94.5</v>
      </c>
      <c r="CF279" s="32">
        <v>97.6</v>
      </c>
      <c r="CG279" s="32">
        <v>103.7</v>
      </c>
      <c r="CH279" s="32">
        <v>103.7</v>
      </c>
      <c r="CI279" s="32">
        <v>108.9</v>
      </c>
      <c r="CJ279" s="32">
        <v>99.2</v>
      </c>
      <c r="CK279" s="32">
        <v>106.4</v>
      </c>
      <c r="CL279" s="32">
        <v>102.2</v>
      </c>
      <c r="CM279" s="32">
        <v>106.6</v>
      </c>
      <c r="CN279" s="32">
        <v>150.1</v>
      </c>
      <c r="CO279" s="32">
        <v>95.5</v>
      </c>
      <c r="CP279" s="32">
        <v>129.6</v>
      </c>
      <c r="CQ279" s="32">
        <v>213</v>
      </c>
      <c r="CR279" s="32">
        <v>105.9</v>
      </c>
      <c r="CS279" s="32">
        <v>108.4</v>
      </c>
      <c r="CT279" s="32">
        <v>103.3</v>
      </c>
      <c r="CU279" s="32">
        <v>105.2</v>
      </c>
      <c r="CV279" s="32">
        <v>102.6</v>
      </c>
      <c r="CW279" s="32">
        <v>86.2</v>
      </c>
      <c r="CX279" s="32">
        <v>98.6</v>
      </c>
      <c r="CY279" s="32">
        <v>100.6</v>
      </c>
      <c r="CZ279" s="32">
        <v>97.4</v>
      </c>
      <c r="DA279" s="32">
        <v>95</v>
      </c>
      <c r="DB279" s="32">
        <v>101.7</v>
      </c>
      <c r="DC279" s="32">
        <v>70</v>
      </c>
      <c r="DD279" s="32">
        <v>70</v>
      </c>
      <c r="DE279" s="32">
        <v>92.1</v>
      </c>
      <c r="DF279" s="32">
        <v>92.9</v>
      </c>
      <c r="DG279" s="32">
        <v>87.4</v>
      </c>
      <c r="DH279" s="32">
        <v>100.3</v>
      </c>
      <c r="DI279" s="32">
        <v>117.7</v>
      </c>
      <c r="DJ279" s="32">
        <v>85.9</v>
      </c>
      <c r="DK279" s="32">
        <v>85.9</v>
      </c>
      <c r="DL279" s="32">
        <v>86.7</v>
      </c>
      <c r="DM279" s="32">
        <v>98</v>
      </c>
      <c r="DN279" s="32">
        <v>99.1</v>
      </c>
      <c r="DO279" s="32">
        <v>98.2</v>
      </c>
      <c r="DP279" s="32">
        <v>85.4</v>
      </c>
      <c r="DQ279" s="32">
        <v>93.4</v>
      </c>
      <c r="DR279" s="32">
        <v>90.9</v>
      </c>
      <c r="DS279" s="32">
        <v>91.3</v>
      </c>
      <c r="DT279" s="32">
        <v>89.8</v>
      </c>
      <c r="DU279" s="32">
        <v>90.8</v>
      </c>
      <c r="DV279" s="32">
        <v>99.8</v>
      </c>
      <c r="DW279" s="32">
        <v>81.3</v>
      </c>
      <c r="DX279" s="32">
        <v>87.7</v>
      </c>
      <c r="DY279" s="32">
        <v>96.9</v>
      </c>
      <c r="DZ279" s="32">
        <v>90.5</v>
      </c>
      <c r="EA279" s="32">
        <v>90.5</v>
      </c>
      <c r="EB279" s="32">
        <v>89.7</v>
      </c>
      <c r="EC279" s="32">
        <v>86.1</v>
      </c>
      <c r="ED279" s="32">
        <v>94.4</v>
      </c>
      <c r="EE279" s="32">
        <v>101.2</v>
      </c>
      <c r="EF279" s="32">
        <v>80</v>
      </c>
      <c r="EG279" s="32">
        <v>97.4</v>
      </c>
      <c r="EH279" s="32">
        <v>119.4</v>
      </c>
      <c r="EI279" s="32">
        <v>96.4</v>
      </c>
      <c r="EJ279" s="32">
        <v>110.2</v>
      </c>
      <c r="EK279" s="32">
        <v>85.8</v>
      </c>
      <c r="EL279" s="32">
        <v>100.7</v>
      </c>
      <c r="EM279" s="32">
        <v>90.3</v>
      </c>
      <c r="EN279" s="32">
        <v>81.2</v>
      </c>
      <c r="EO279" s="32">
        <v>99.2</v>
      </c>
      <c r="EP279" s="32">
        <v>94.9</v>
      </c>
      <c r="EQ279" s="32">
        <v>94.9</v>
      </c>
      <c r="ER279" s="32">
        <v>94.4</v>
      </c>
      <c r="ES279" s="32">
        <v>94.4</v>
      </c>
      <c r="ET279" s="32">
        <v>108.5</v>
      </c>
      <c r="EU279" s="32">
        <v>122.1</v>
      </c>
      <c r="EV279" s="32">
        <v>122.1</v>
      </c>
      <c r="EW279" s="32">
        <v>93</v>
      </c>
      <c r="EX279" s="32">
        <v>92.7</v>
      </c>
      <c r="EY279" s="32">
        <v>93.3</v>
      </c>
      <c r="EZ279" s="32">
        <v>105.1</v>
      </c>
      <c r="FA279" s="32">
        <v>102.5</v>
      </c>
      <c r="FB279" s="32">
        <v>106.5</v>
      </c>
      <c r="FC279" s="32">
        <v>103.3</v>
      </c>
      <c r="FD279" s="32">
        <v>99.6</v>
      </c>
      <c r="FE279" s="32">
        <v>115.6</v>
      </c>
      <c r="FF279" s="32">
        <v>97.9</v>
      </c>
      <c r="FG279" s="32">
        <v>103.4</v>
      </c>
      <c r="FH279" s="32">
        <v>95.7</v>
      </c>
      <c r="FI279" s="32">
        <v>98.8</v>
      </c>
      <c r="FJ279" s="32">
        <v>107.1</v>
      </c>
      <c r="FK279" s="32">
        <v>171</v>
      </c>
      <c r="FL279" s="32">
        <v>171</v>
      </c>
    </row>
    <row r="280" spans="1:168" x14ac:dyDescent="0.2">
      <c r="A280" s="34" t="s">
        <v>1260</v>
      </c>
      <c r="B280" s="32">
        <v>98.1</v>
      </c>
      <c r="C280" s="32">
        <v>107.1</v>
      </c>
      <c r="D280" s="32">
        <v>103.4</v>
      </c>
      <c r="E280" s="32">
        <v>107.6</v>
      </c>
      <c r="F280" s="32">
        <v>130.9</v>
      </c>
      <c r="G280" s="32">
        <v>104.4</v>
      </c>
      <c r="H280" s="32">
        <v>138.1</v>
      </c>
      <c r="I280" s="32">
        <v>115.8</v>
      </c>
      <c r="J280" s="32">
        <v>102.7</v>
      </c>
      <c r="K280" s="32">
        <v>100.8</v>
      </c>
      <c r="L280" s="32">
        <v>102.5</v>
      </c>
      <c r="M280" s="32">
        <v>98.8</v>
      </c>
      <c r="N280" s="32">
        <v>104.1</v>
      </c>
      <c r="O280" s="32">
        <v>185.7</v>
      </c>
      <c r="P280" s="32">
        <v>129.30000000000001</v>
      </c>
      <c r="Q280" s="32">
        <v>104.8</v>
      </c>
      <c r="R280" s="32">
        <v>94.4</v>
      </c>
      <c r="S280" s="32">
        <v>97.7</v>
      </c>
      <c r="T280" s="32">
        <v>149.9</v>
      </c>
      <c r="U280" s="32">
        <v>107.7</v>
      </c>
      <c r="V280" s="32">
        <v>94</v>
      </c>
      <c r="W280" s="32">
        <v>101.6</v>
      </c>
      <c r="X280" s="32">
        <v>101.6</v>
      </c>
      <c r="Y280" s="32">
        <v>102.4</v>
      </c>
      <c r="Z280" s="32">
        <v>115.8</v>
      </c>
      <c r="AA280" s="32">
        <v>121.2</v>
      </c>
      <c r="AB280" s="32">
        <v>128.1</v>
      </c>
      <c r="AC280" s="32">
        <v>118.3</v>
      </c>
      <c r="AD280" s="32">
        <v>120.9</v>
      </c>
      <c r="AE280" s="32">
        <v>95.2</v>
      </c>
      <c r="AF280" s="32">
        <v>95.2</v>
      </c>
      <c r="AG280" s="32">
        <v>119.7</v>
      </c>
      <c r="AH280" s="32">
        <v>119.7</v>
      </c>
      <c r="AI280" s="32">
        <v>80.400000000000006</v>
      </c>
      <c r="AJ280" s="32">
        <v>204.8</v>
      </c>
      <c r="AK280" s="32">
        <v>97.6</v>
      </c>
      <c r="AL280" s="32">
        <v>101.3</v>
      </c>
      <c r="AM280" s="32">
        <v>101.8</v>
      </c>
      <c r="AN280" s="32">
        <v>158.69999999999999</v>
      </c>
      <c r="AO280" s="32">
        <v>83.2</v>
      </c>
      <c r="AP280" s="32">
        <v>83.2</v>
      </c>
      <c r="AQ280" s="32">
        <v>111.1</v>
      </c>
      <c r="AR280" s="32">
        <v>111.6</v>
      </c>
      <c r="AS280" s="32">
        <v>110.9</v>
      </c>
      <c r="AT280" s="32">
        <v>99.4</v>
      </c>
      <c r="AU280" s="32">
        <v>121.8</v>
      </c>
      <c r="AV280" s="32">
        <v>110.3</v>
      </c>
      <c r="AW280" s="32">
        <v>121.9</v>
      </c>
      <c r="AX280" s="32">
        <v>237</v>
      </c>
      <c r="AY280" s="32">
        <v>72.099999999999994</v>
      </c>
      <c r="AZ280" s="32">
        <v>110</v>
      </c>
      <c r="BA280" s="32">
        <v>98.1</v>
      </c>
      <c r="BB280" s="32">
        <v>98.1</v>
      </c>
      <c r="BC280" s="32">
        <v>130.1</v>
      </c>
      <c r="BD280" s="32">
        <v>130.1</v>
      </c>
      <c r="BE280" s="32">
        <v>93.5</v>
      </c>
      <c r="BF280" s="32">
        <v>93.5</v>
      </c>
      <c r="BG280" s="32">
        <v>99.6</v>
      </c>
      <c r="BH280" s="32">
        <v>96.5</v>
      </c>
      <c r="BI280" s="32">
        <v>103.3</v>
      </c>
      <c r="BJ280" s="32">
        <v>81</v>
      </c>
      <c r="BK280" s="32">
        <v>106.5</v>
      </c>
      <c r="BL280" s="32">
        <v>144.1</v>
      </c>
      <c r="BM280" s="32">
        <v>104.7</v>
      </c>
      <c r="BN280" s="32">
        <v>108.1</v>
      </c>
      <c r="BO280" s="32">
        <v>103.2</v>
      </c>
      <c r="BP280" s="32">
        <v>111.5</v>
      </c>
      <c r="BQ280" s="32">
        <v>101.3</v>
      </c>
      <c r="BR280" s="32">
        <v>110.8</v>
      </c>
      <c r="BS280" s="32">
        <v>97.6</v>
      </c>
      <c r="BT280" s="32">
        <v>101.1</v>
      </c>
      <c r="BU280" s="32">
        <v>154.19999999999999</v>
      </c>
      <c r="BV280" s="32">
        <v>154.19999999999999</v>
      </c>
      <c r="BW280" s="32">
        <v>162.30000000000001</v>
      </c>
      <c r="BX280" s="32">
        <v>123.1</v>
      </c>
      <c r="BY280" s="32">
        <v>94.5</v>
      </c>
      <c r="BZ280" s="32">
        <v>100.1</v>
      </c>
      <c r="CA280" s="32">
        <v>91.8</v>
      </c>
      <c r="CB280" s="32">
        <v>99.2</v>
      </c>
      <c r="CC280" s="32">
        <v>85.9</v>
      </c>
      <c r="CD280" s="32">
        <v>74.5</v>
      </c>
      <c r="CE280" s="32">
        <v>95.9</v>
      </c>
      <c r="CF280" s="32">
        <v>97.1</v>
      </c>
      <c r="CG280" s="32">
        <v>102.6</v>
      </c>
      <c r="CH280" s="32">
        <v>102.1</v>
      </c>
      <c r="CI280" s="32">
        <v>108</v>
      </c>
      <c r="CJ280" s="32">
        <v>95.9</v>
      </c>
      <c r="CK280" s="32">
        <v>106.2</v>
      </c>
      <c r="CL280" s="32">
        <v>99.5</v>
      </c>
      <c r="CM280" s="32">
        <v>103.5</v>
      </c>
      <c r="CN280" s="32">
        <v>156.1</v>
      </c>
      <c r="CO280" s="32">
        <v>91.1</v>
      </c>
      <c r="CP280" s="32">
        <v>127.6</v>
      </c>
      <c r="CQ280" s="32">
        <v>213.5</v>
      </c>
      <c r="CR280" s="32">
        <v>102.3</v>
      </c>
      <c r="CS280" s="32">
        <v>105.1</v>
      </c>
      <c r="CT280" s="32">
        <v>106.2</v>
      </c>
      <c r="CU280" s="32">
        <v>108.1</v>
      </c>
      <c r="CV280" s="32">
        <v>105.5</v>
      </c>
      <c r="CW280" s="32">
        <v>85.3</v>
      </c>
      <c r="CX280" s="32">
        <v>95.7</v>
      </c>
      <c r="CY280" s="32">
        <v>98.9</v>
      </c>
      <c r="CZ280" s="32">
        <v>93.8</v>
      </c>
      <c r="DA280" s="32">
        <v>90.6</v>
      </c>
      <c r="DB280" s="32">
        <v>99.8</v>
      </c>
      <c r="DC280" s="32">
        <v>70.900000000000006</v>
      </c>
      <c r="DD280" s="32">
        <v>70.900000000000006</v>
      </c>
      <c r="DE280" s="32">
        <v>90.8</v>
      </c>
      <c r="DF280" s="32">
        <v>92.1</v>
      </c>
      <c r="DG280" s="32">
        <v>83.1</v>
      </c>
      <c r="DH280" s="32">
        <v>100</v>
      </c>
      <c r="DI280" s="32">
        <v>115.5</v>
      </c>
      <c r="DJ280" s="32">
        <v>86.7</v>
      </c>
      <c r="DK280" s="32">
        <v>86.7</v>
      </c>
      <c r="DL280" s="32">
        <v>87.9</v>
      </c>
      <c r="DM280" s="32">
        <v>98.1</v>
      </c>
      <c r="DN280" s="32">
        <v>99.6</v>
      </c>
      <c r="DO280" s="32">
        <v>98.1</v>
      </c>
      <c r="DP280" s="32">
        <v>85</v>
      </c>
      <c r="DQ280" s="32">
        <v>92.7</v>
      </c>
      <c r="DR280" s="32">
        <v>89.1</v>
      </c>
      <c r="DS280" s="32">
        <v>91.1</v>
      </c>
      <c r="DT280" s="32">
        <v>90.2</v>
      </c>
      <c r="DU280" s="32">
        <v>91.5</v>
      </c>
      <c r="DV280" s="32">
        <v>99.8</v>
      </c>
      <c r="DW280" s="32">
        <v>82.8</v>
      </c>
      <c r="DX280" s="32">
        <v>87.4</v>
      </c>
      <c r="DY280" s="32">
        <v>94.6</v>
      </c>
      <c r="DZ280" s="32">
        <v>75.2</v>
      </c>
      <c r="EA280" s="32">
        <v>75.2</v>
      </c>
      <c r="EB280" s="32">
        <v>89.6</v>
      </c>
      <c r="EC280" s="32">
        <v>88.2</v>
      </c>
      <c r="ED280" s="32">
        <v>91.4</v>
      </c>
      <c r="EE280" s="32">
        <v>97.3</v>
      </c>
      <c r="EF280" s="32">
        <v>78.900000000000006</v>
      </c>
      <c r="EG280" s="32">
        <v>98.6</v>
      </c>
      <c r="EH280" s="32">
        <v>123.3</v>
      </c>
      <c r="EI280" s="32">
        <v>101.3</v>
      </c>
      <c r="EJ280" s="32">
        <v>103.7</v>
      </c>
      <c r="EK280" s="32">
        <v>85.1</v>
      </c>
      <c r="EL280" s="32">
        <v>100</v>
      </c>
      <c r="EM280" s="32">
        <v>87.8</v>
      </c>
      <c r="EN280" s="32">
        <v>81.5</v>
      </c>
      <c r="EO280" s="32">
        <v>98.4</v>
      </c>
      <c r="EP280" s="32">
        <v>94.3</v>
      </c>
      <c r="EQ280" s="32">
        <v>94.3</v>
      </c>
      <c r="ER280" s="32">
        <v>94.5</v>
      </c>
      <c r="ES280" s="32">
        <v>94.5</v>
      </c>
      <c r="ET280" s="32">
        <v>106.7</v>
      </c>
      <c r="EU280" s="32">
        <v>119.5</v>
      </c>
      <c r="EV280" s="32">
        <v>119.5</v>
      </c>
      <c r="EW280" s="32">
        <v>92.2</v>
      </c>
      <c r="EX280" s="32">
        <v>92.6</v>
      </c>
      <c r="EY280" s="32">
        <v>92</v>
      </c>
      <c r="EZ280" s="32">
        <v>107.2</v>
      </c>
      <c r="FA280" s="32">
        <v>105.8</v>
      </c>
      <c r="FB280" s="32">
        <v>108</v>
      </c>
      <c r="FC280" s="32">
        <v>105</v>
      </c>
      <c r="FD280" s="32">
        <v>103.9</v>
      </c>
      <c r="FE280" s="32">
        <v>115.5</v>
      </c>
      <c r="FF280" s="32">
        <v>103.2</v>
      </c>
      <c r="FG280" s="32">
        <v>104.5</v>
      </c>
      <c r="FH280" s="32">
        <v>95.2</v>
      </c>
      <c r="FI280" s="32">
        <v>95.3</v>
      </c>
      <c r="FJ280" s="32">
        <v>109.6</v>
      </c>
      <c r="FK280" s="32">
        <v>172.1</v>
      </c>
      <c r="FL280" s="32">
        <v>172.1</v>
      </c>
    </row>
    <row r="281" spans="1:168" x14ac:dyDescent="0.2">
      <c r="A281" s="34" t="s">
        <v>1261</v>
      </c>
      <c r="B281" s="32">
        <v>98.5</v>
      </c>
      <c r="C281" s="32">
        <v>105.6</v>
      </c>
      <c r="D281" s="32">
        <v>104.4</v>
      </c>
      <c r="E281" s="32">
        <v>108.6</v>
      </c>
      <c r="F281" s="32">
        <v>129.4</v>
      </c>
      <c r="G281" s="32">
        <v>101.9</v>
      </c>
      <c r="H281" s="32">
        <v>136.19999999999999</v>
      </c>
      <c r="I281" s="32">
        <v>115.8</v>
      </c>
      <c r="J281" s="32">
        <v>104.9</v>
      </c>
      <c r="K281" s="32">
        <v>101.9</v>
      </c>
      <c r="L281" s="32">
        <v>102.6</v>
      </c>
      <c r="M281" s="32">
        <v>98.5</v>
      </c>
      <c r="N281" s="32">
        <v>102.5</v>
      </c>
      <c r="O281" s="32">
        <v>164.1</v>
      </c>
      <c r="P281" s="32">
        <v>137.19999999999999</v>
      </c>
      <c r="Q281" s="32">
        <v>104.1</v>
      </c>
      <c r="R281" s="32">
        <v>96.7</v>
      </c>
      <c r="S281" s="32">
        <v>96.6</v>
      </c>
      <c r="T281" s="32">
        <v>144.5</v>
      </c>
      <c r="U281" s="32">
        <v>106.1</v>
      </c>
      <c r="V281" s="32">
        <v>99.7</v>
      </c>
      <c r="W281" s="32">
        <v>95.5</v>
      </c>
      <c r="X281" s="32">
        <v>93.3</v>
      </c>
      <c r="Y281" s="32">
        <v>93.9</v>
      </c>
      <c r="Z281" s="32">
        <v>144.4</v>
      </c>
      <c r="AA281" s="32">
        <v>120</v>
      </c>
      <c r="AB281" s="32">
        <v>129.69999999999999</v>
      </c>
      <c r="AC281" s="32">
        <v>116.1</v>
      </c>
      <c r="AD281" s="32">
        <v>118.7</v>
      </c>
      <c r="AE281" s="32">
        <v>100.3</v>
      </c>
      <c r="AF281" s="32">
        <v>100.3</v>
      </c>
      <c r="AG281" s="32">
        <v>127.2</v>
      </c>
      <c r="AH281" s="32">
        <v>127.2</v>
      </c>
      <c r="AI281" s="32">
        <v>91</v>
      </c>
      <c r="AJ281" s="32">
        <v>226.3</v>
      </c>
      <c r="AK281" s="32">
        <v>110.4</v>
      </c>
      <c r="AL281" s="32">
        <v>106.4</v>
      </c>
      <c r="AM281" s="32">
        <v>104.9</v>
      </c>
      <c r="AN281" s="32">
        <v>161.19999999999999</v>
      </c>
      <c r="AO281" s="32">
        <v>81.3</v>
      </c>
      <c r="AP281" s="32">
        <v>81.3</v>
      </c>
      <c r="AQ281" s="32">
        <v>117.4</v>
      </c>
      <c r="AR281" s="32">
        <v>116</v>
      </c>
      <c r="AS281" s="32">
        <v>119.7</v>
      </c>
      <c r="AT281" s="32">
        <v>107.7</v>
      </c>
      <c r="AU281" s="32">
        <v>131.19999999999999</v>
      </c>
      <c r="AV281" s="32">
        <v>115.4</v>
      </c>
      <c r="AW281" s="32">
        <v>136.9</v>
      </c>
      <c r="AX281" s="32">
        <v>258.7</v>
      </c>
      <c r="AY281" s="32">
        <v>84.3</v>
      </c>
      <c r="AZ281" s="32">
        <v>112.8</v>
      </c>
      <c r="BA281" s="32">
        <v>98.3</v>
      </c>
      <c r="BB281" s="32">
        <v>98.3</v>
      </c>
      <c r="BC281" s="32">
        <v>136.5</v>
      </c>
      <c r="BD281" s="32">
        <v>136.5</v>
      </c>
      <c r="BE281" s="32">
        <v>93.7</v>
      </c>
      <c r="BF281" s="32">
        <v>93.7</v>
      </c>
      <c r="BG281" s="32">
        <v>105</v>
      </c>
      <c r="BH281" s="32">
        <v>100.4</v>
      </c>
      <c r="BI281" s="32">
        <v>111</v>
      </c>
      <c r="BJ281" s="32">
        <v>81.5</v>
      </c>
      <c r="BK281" s="32">
        <v>116.3</v>
      </c>
      <c r="BL281" s="32">
        <v>153</v>
      </c>
      <c r="BM281" s="32">
        <v>104.2</v>
      </c>
      <c r="BN281" s="32">
        <v>111.4</v>
      </c>
      <c r="BO281" s="32">
        <v>107.1</v>
      </c>
      <c r="BP281" s="32">
        <v>114.4</v>
      </c>
      <c r="BQ281" s="32">
        <v>96.8</v>
      </c>
      <c r="BR281" s="32">
        <v>98.8</v>
      </c>
      <c r="BS281" s="32">
        <v>102.6</v>
      </c>
      <c r="BT281" s="32">
        <v>94.6</v>
      </c>
      <c r="BU281" s="32">
        <v>147.9</v>
      </c>
      <c r="BV281" s="32">
        <v>147.9</v>
      </c>
      <c r="BW281" s="32">
        <v>159.5</v>
      </c>
      <c r="BX281" s="32">
        <v>109.5</v>
      </c>
      <c r="BY281" s="32">
        <v>95.3</v>
      </c>
      <c r="BZ281" s="32">
        <v>99.9</v>
      </c>
      <c r="CA281" s="32">
        <v>93</v>
      </c>
      <c r="CB281" s="32">
        <v>100.7</v>
      </c>
      <c r="CC281" s="32">
        <v>86.9</v>
      </c>
      <c r="CD281" s="32">
        <v>76.3</v>
      </c>
      <c r="CE281" s="32">
        <v>96.8</v>
      </c>
      <c r="CF281" s="32">
        <v>97.4</v>
      </c>
      <c r="CG281" s="32">
        <v>102.6</v>
      </c>
      <c r="CH281" s="32">
        <v>101.7</v>
      </c>
      <c r="CI281" s="32">
        <v>109.4</v>
      </c>
      <c r="CJ281" s="32">
        <v>95.3</v>
      </c>
      <c r="CK281" s="32">
        <v>105.5</v>
      </c>
      <c r="CL281" s="32">
        <v>98.7</v>
      </c>
      <c r="CM281" s="32">
        <v>101.3</v>
      </c>
      <c r="CN281" s="32">
        <v>156.4</v>
      </c>
      <c r="CO281" s="32">
        <v>88.6</v>
      </c>
      <c r="CP281" s="32">
        <v>121.7</v>
      </c>
      <c r="CQ281" s="32">
        <v>212.3</v>
      </c>
      <c r="CR281" s="32">
        <v>104.5</v>
      </c>
      <c r="CS281" s="32">
        <v>102.2</v>
      </c>
      <c r="CT281" s="32">
        <v>108.6</v>
      </c>
      <c r="CU281" s="32">
        <v>109.2</v>
      </c>
      <c r="CV281" s="32">
        <v>108.4</v>
      </c>
      <c r="CW281" s="32">
        <v>88.1</v>
      </c>
      <c r="CX281" s="32">
        <v>103.5</v>
      </c>
      <c r="CY281" s="32">
        <v>101.2</v>
      </c>
      <c r="CZ281" s="32">
        <v>104.6</v>
      </c>
      <c r="DA281" s="32">
        <v>106.3</v>
      </c>
      <c r="DB281" s="32">
        <v>100.9</v>
      </c>
      <c r="DC281" s="32">
        <v>72.3</v>
      </c>
      <c r="DD281" s="32">
        <v>72.3</v>
      </c>
      <c r="DE281" s="32">
        <v>92.2</v>
      </c>
      <c r="DF281" s="32">
        <v>93</v>
      </c>
      <c r="DG281" s="32">
        <v>87.1</v>
      </c>
      <c r="DH281" s="32">
        <v>100.2</v>
      </c>
      <c r="DI281" s="32">
        <v>115.3</v>
      </c>
      <c r="DJ281" s="32">
        <v>87.6</v>
      </c>
      <c r="DK281" s="32">
        <v>87.6</v>
      </c>
      <c r="DL281" s="32">
        <v>88.1</v>
      </c>
      <c r="DM281" s="32">
        <v>98.4</v>
      </c>
      <c r="DN281" s="32">
        <v>100.1</v>
      </c>
      <c r="DO281" s="32">
        <v>98.2</v>
      </c>
      <c r="DP281" s="32">
        <v>85.6</v>
      </c>
      <c r="DQ281" s="32">
        <v>92.7</v>
      </c>
      <c r="DR281" s="32">
        <v>88.7</v>
      </c>
      <c r="DS281" s="32">
        <v>91</v>
      </c>
      <c r="DT281" s="32">
        <v>90.3</v>
      </c>
      <c r="DU281" s="32">
        <v>91.8</v>
      </c>
      <c r="DV281" s="32">
        <v>99.2</v>
      </c>
      <c r="DW281" s="32">
        <v>84</v>
      </c>
      <c r="DX281" s="32">
        <v>87.2</v>
      </c>
      <c r="DY281" s="32">
        <v>93.5</v>
      </c>
      <c r="DZ281" s="32">
        <v>71.2</v>
      </c>
      <c r="EA281" s="32">
        <v>71.2</v>
      </c>
      <c r="EB281" s="32">
        <v>90</v>
      </c>
      <c r="EC281" s="32">
        <v>88.8</v>
      </c>
      <c r="ED281" s="32">
        <v>91.4</v>
      </c>
      <c r="EE281" s="32">
        <v>96.9</v>
      </c>
      <c r="EF281" s="32">
        <v>80</v>
      </c>
      <c r="EG281" s="32">
        <v>99.2</v>
      </c>
      <c r="EH281" s="32">
        <v>126.3</v>
      </c>
      <c r="EI281" s="32">
        <v>100.1</v>
      </c>
      <c r="EJ281" s="32">
        <v>105.5</v>
      </c>
      <c r="EK281" s="32">
        <v>85.6</v>
      </c>
      <c r="EL281" s="32">
        <v>101.7</v>
      </c>
      <c r="EM281" s="32">
        <v>89.1</v>
      </c>
      <c r="EN281" s="32">
        <v>81.5</v>
      </c>
      <c r="EO281" s="32">
        <v>98.1</v>
      </c>
      <c r="EP281" s="32">
        <v>93.8</v>
      </c>
      <c r="EQ281" s="32">
        <v>93.8</v>
      </c>
      <c r="ER281" s="32">
        <v>95.3</v>
      </c>
      <c r="ES281" s="32">
        <v>95.3</v>
      </c>
      <c r="ET281" s="32">
        <v>105.5</v>
      </c>
      <c r="EU281" s="32">
        <v>117.8</v>
      </c>
      <c r="EV281" s="32">
        <v>117.8</v>
      </c>
      <c r="EW281" s="32">
        <v>91.5</v>
      </c>
      <c r="EX281" s="32">
        <v>92.4</v>
      </c>
      <c r="EY281" s="32">
        <v>90.9</v>
      </c>
      <c r="EZ281" s="32">
        <v>108.8</v>
      </c>
      <c r="FA281" s="32">
        <v>108.5</v>
      </c>
      <c r="FB281" s="32">
        <v>112.8</v>
      </c>
      <c r="FC281" s="32">
        <v>114.5</v>
      </c>
      <c r="FD281" s="32">
        <v>105.7</v>
      </c>
      <c r="FE281" s="32">
        <v>114</v>
      </c>
      <c r="FF281" s="32">
        <v>103.6</v>
      </c>
      <c r="FG281" s="32">
        <v>105.1</v>
      </c>
      <c r="FH281" s="32">
        <v>92.5</v>
      </c>
      <c r="FI281" s="32">
        <v>95.5</v>
      </c>
      <c r="FJ281" s="32">
        <v>111.5</v>
      </c>
      <c r="FK281" s="32">
        <v>173.5</v>
      </c>
      <c r="FL281" s="32">
        <v>173.5</v>
      </c>
    </row>
    <row r="282" spans="1:168" x14ac:dyDescent="0.2">
      <c r="A282" s="34" t="s">
        <v>1262</v>
      </c>
      <c r="B282" s="32">
        <v>98.6</v>
      </c>
      <c r="C282" s="32">
        <v>102.3</v>
      </c>
      <c r="D282" s="32">
        <v>105.7</v>
      </c>
      <c r="E282" s="32">
        <v>110.6</v>
      </c>
      <c r="F282" s="32">
        <v>132.19999999999999</v>
      </c>
      <c r="G282" s="32">
        <v>91.5</v>
      </c>
      <c r="H282" s="32">
        <v>139.1</v>
      </c>
      <c r="I282" s="32">
        <v>118.8</v>
      </c>
      <c r="J282" s="32">
        <v>107.6</v>
      </c>
      <c r="K282" s="32">
        <v>101.3</v>
      </c>
      <c r="L282" s="32">
        <v>102</v>
      </c>
      <c r="M282" s="32">
        <v>94.7</v>
      </c>
      <c r="N282" s="32">
        <v>103.8</v>
      </c>
      <c r="O282" s="32">
        <v>129.69999999999999</v>
      </c>
      <c r="P282" s="32">
        <v>136.80000000000001</v>
      </c>
      <c r="Q282" s="32">
        <v>103.3</v>
      </c>
      <c r="R282" s="32">
        <v>98.4</v>
      </c>
      <c r="S282" s="32">
        <v>96.3</v>
      </c>
      <c r="T282" s="32">
        <v>145.6</v>
      </c>
      <c r="U282" s="32">
        <v>104.7</v>
      </c>
      <c r="V282" s="32">
        <v>99.2</v>
      </c>
      <c r="W282" s="32">
        <v>90.9</v>
      </c>
      <c r="X282" s="32">
        <v>89.6</v>
      </c>
      <c r="Y282" s="32">
        <v>90.7</v>
      </c>
      <c r="Z282" s="32">
        <v>119.8</v>
      </c>
      <c r="AA282" s="32">
        <v>123.7</v>
      </c>
      <c r="AB282" s="32">
        <v>134.80000000000001</v>
      </c>
      <c r="AC282" s="32">
        <v>114.1</v>
      </c>
      <c r="AD282" s="32">
        <v>126.8</v>
      </c>
      <c r="AE282" s="32">
        <v>97.6</v>
      </c>
      <c r="AF282" s="32">
        <v>97.6</v>
      </c>
      <c r="AG282" s="32">
        <v>132.69999999999999</v>
      </c>
      <c r="AH282" s="32">
        <v>132.69999999999999</v>
      </c>
      <c r="AI282" s="32">
        <v>101.6</v>
      </c>
      <c r="AJ282" s="32">
        <v>230.5</v>
      </c>
      <c r="AK282" s="32">
        <v>115.4</v>
      </c>
      <c r="AL282" s="32">
        <v>118.7</v>
      </c>
      <c r="AM282" s="32">
        <v>107.7</v>
      </c>
      <c r="AN282" s="32">
        <v>165.4</v>
      </c>
      <c r="AO282" s="32">
        <v>87.1</v>
      </c>
      <c r="AP282" s="32">
        <v>87.1</v>
      </c>
      <c r="AQ282" s="32">
        <v>119.4</v>
      </c>
      <c r="AR282" s="32">
        <v>114.4</v>
      </c>
      <c r="AS282" s="32">
        <v>125.9</v>
      </c>
      <c r="AT282" s="32">
        <v>112.3</v>
      </c>
      <c r="AU282" s="32">
        <v>139</v>
      </c>
      <c r="AV282" s="32">
        <v>117</v>
      </c>
      <c r="AW282" s="32">
        <v>144.80000000000001</v>
      </c>
      <c r="AX282" s="32">
        <v>278.2</v>
      </c>
      <c r="AY282" s="32">
        <v>88</v>
      </c>
      <c r="AZ282" s="32">
        <v>112.8</v>
      </c>
      <c r="BA282" s="32">
        <v>99.7</v>
      </c>
      <c r="BB282" s="32">
        <v>99.7</v>
      </c>
      <c r="BC282" s="32">
        <v>136.6</v>
      </c>
      <c r="BD282" s="32">
        <v>136.6</v>
      </c>
      <c r="BE282" s="32">
        <v>91.5</v>
      </c>
      <c r="BF282" s="32">
        <v>91.5</v>
      </c>
      <c r="BG282" s="32">
        <v>114.9</v>
      </c>
      <c r="BH282" s="32">
        <v>111.6</v>
      </c>
      <c r="BI282" s="32">
        <v>119.1</v>
      </c>
      <c r="BJ282" s="32">
        <v>80.5</v>
      </c>
      <c r="BK282" s="32">
        <v>127.8</v>
      </c>
      <c r="BL282" s="32">
        <v>151</v>
      </c>
      <c r="BM282" s="32">
        <v>108.4</v>
      </c>
      <c r="BN282" s="32">
        <v>110.6</v>
      </c>
      <c r="BO282" s="32">
        <v>105.7</v>
      </c>
      <c r="BP282" s="32">
        <v>114.1</v>
      </c>
      <c r="BQ282" s="32">
        <v>106.1</v>
      </c>
      <c r="BR282" s="32">
        <v>110.3</v>
      </c>
      <c r="BS282" s="32">
        <v>103.3</v>
      </c>
      <c r="BT282" s="32">
        <v>106.3</v>
      </c>
      <c r="BU282" s="32">
        <v>143.80000000000001</v>
      </c>
      <c r="BV282" s="32">
        <v>143.80000000000001</v>
      </c>
      <c r="BW282" s="32">
        <v>158.4</v>
      </c>
      <c r="BX282" s="32">
        <v>99.3</v>
      </c>
      <c r="BY282" s="32">
        <v>96.3</v>
      </c>
      <c r="BZ282" s="32">
        <v>98.7</v>
      </c>
      <c r="CA282" s="32">
        <v>95.2</v>
      </c>
      <c r="CB282" s="32">
        <v>102.4</v>
      </c>
      <c r="CC282" s="32">
        <v>89.4</v>
      </c>
      <c r="CD282" s="32">
        <v>81.2</v>
      </c>
      <c r="CE282" s="32">
        <v>96.7</v>
      </c>
      <c r="CF282" s="32">
        <v>97.2</v>
      </c>
      <c r="CG282" s="32">
        <v>101.7</v>
      </c>
      <c r="CH282" s="32">
        <v>100.4</v>
      </c>
      <c r="CI282" s="32">
        <v>107.8</v>
      </c>
      <c r="CJ282" s="32">
        <v>93.6</v>
      </c>
      <c r="CK282" s="32">
        <v>104.6</v>
      </c>
      <c r="CL282" s="32">
        <v>97.1</v>
      </c>
      <c r="CM282" s="32">
        <v>100.7</v>
      </c>
      <c r="CN282" s="32">
        <v>153.69999999999999</v>
      </c>
      <c r="CO282" s="32">
        <v>88.3</v>
      </c>
      <c r="CP282" s="32">
        <v>106.8</v>
      </c>
      <c r="CQ282" s="32">
        <v>201.1</v>
      </c>
      <c r="CR282" s="32">
        <v>100.8</v>
      </c>
      <c r="CS282" s="32">
        <v>108.5</v>
      </c>
      <c r="CT282" s="32">
        <v>110.1</v>
      </c>
      <c r="CU282" s="32">
        <v>111</v>
      </c>
      <c r="CV282" s="32">
        <v>109.7</v>
      </c>
      <c r="CW282" s="32">
        <v>87.2</v>
      </c>
      <c r="CX282" s="32">
        <v>97.4</v>
      </c>
      <c r="CY282" s="32">
        <v>101.8</v>
      </c>
      <c r="CZ282" s="32">
        <v>94.9</v>
      </c>
      <c r="DA282" s="32">
        <v>94.5</v>
      </c>
      <c r="DB282" s="32">
        <v>95.4</v>
      </c>
      <c r="DC282" s="32">
        <v>76.3</v>
      </c>
      <c r="DD282" s="32">
        <v>76.3</v>
      </c>
      <c r="DE282" s="32">
        <v>90.1</v>
      </c>
      <c r="DF282" s="32">
        <v>92.5</v>
      </c>
      <c r="DG282" s="32">
        <v>77.099999999999994</v>
      </c>
      <c r="DH282" s="32">
        <v>98.8</v>
      </c>
      <c r="DI282" s="32">
        <v>113.8</v>
      </c>
      <c r="DJ282" s="32">
        <v>87.8</v>
      </c>
      <c r="DK282" s="32">
        <v>87.8</v>
      </c>
      <c r="DL282" s="32">
        <v>85.8</v>
      </c>
      <c r="DM282" s="32">
        <v>98.4</v>
      </c>
      <c r="DN282" s="32">
        <v>100</v>
      </c>
      <c r="DO282" s="32">
        <v>98.2</v>
      </c>
      <c r="DP282" s="32">
        <v>86.5</v>
      </c>
      <c r="DQ282" s="32">
        <v>94.2</v>
      </c>
      <c r="DR282" s="32">
        <v>90.4</v>
      </c>
      <c r="DS282" s="32">
        <v>90.4</v>
      </c>
      <c r="DT282" s="32">
        <v>89.3</v>
      </c>
      <c r="DU282" s="32">
        <v>90.8</v>
      </c>
      <c r="DV282" s="32">
        <v>98.5</v>
      </c>
      <c r="DW282" s="32">
        <v>82.8</v>
      </c>
      <c r="DX282" s="32">
        <v>86.1</v>
      </c>
      <c r="DY282" s="32">
        <v>94.3</v>
      </c>
      <c r="DZ282" s="32">
        <v>86.2</v>
      </c>
      <c r="EA282" s="32">
        <v>86.2</v>
      </c>
      <c r="EB282" s="32">
        <v>92.3</v>
      </c>
      <c r="EC282" s="32">
        <v>93</v>
      </c>
      <c r="ED282" s="32">
        <v>91.2</v>
      </c>
      <c r="EE282" s="32">
        <v>95.9</v>
      </c>
      <c r="EF282" s="32">
        <v>81.5</v>
      </c>
      <c r="EG282" s="32">
        <v>100.4</v>
      </c>
      <c r="EH282" s="32">
        <v>124.2</v>
      </c>
      <c r="EI282" s="32">
        <v>102.6</v>
      </c>
      <c r="EJ282" s="32">
        <v>107.1</v>
      </c>
      <c r="EK282" s="32">
        <v>87.3</v>
      </c>
      <c r="EL282" s="32">
        <v>100.7</v>
      </c>
      <c r="EM282" s="32">
        <v>92.7</v>
      </c>
      <c r="EN282" s="32">
        <v>82.4</v>
      </c>
      <c r="EO282" s="32">
        <v>98.6</v>
      </c>
      <c r="EP282" s="32">
        <v>92.8</v>
      </c>
      <c r="EQ282" s="32">
        <v>92.8</v>
      </c>
      <c r="ER282" s="32">
        <v>96.7</v>
      </c>
      <c r="ES282" s="32">
        <v>96.7</v>
      </c>
      <c r="ET282" s="32">
        <v>106.4</v>
      </c>
      <c r="EU282" s="32">
        <v>119.4</v>
      </c>
      <c r="EV282" s="32">
        <v>119.4</v>
      </c>
      <c r="EW282" s="32">
        <v>90.7</v>
      </c>
      <c r="EX282" s="32">
        <v>92.2</v>
      </c>
      <c r="EY282" s="32">
        <v>89.7</v>
      </c>
      <c r="EZ282" s="32">
        <v>104.7</v>
      </c>
      <c r="FA282" s="32">
        <v>107.8</v>
      </c>
      <c r="FB282" s="32">
        <v>110.1</v>
      </c>
      <c r="FC282" s="32">
        <v>112</v>
      </c>
      <c r="FD282" s="32">
        <v>105</v>
      </c>
      <c r="FE282" s="32">
        <v>109.8</v>
      </c>
      <c r="FF282" s="32">
        <v>105.1</v>
      </c>
      <c r="FG282" s="32">
        <v>97.3</v>
      </c>
      <c r="FH282" s="32">
        <v>88.8</v>
      </c>
      <c r="FI282" s="32">
        <v>96.7</v>
      </c>
      <c r="FJ282" s="32">
        <v>101.1</v>
      </c>
      <c r="FK282" s="32">
        <v>182.5</v>
      </c>
      <c r="FL282" s="32">
        <v>182.5</v>
      </c>
    </row>
    <row r="283" spans="1:168" x14ac:dyDescent="0.2">
      <c r="A283" s="34" t="s">
        <v>1263</v>
      </c>
      <c r="B283" s="32">
        <v>98.1</v>
      </c>
      <c r="C283" s="32">
        <v>100.9</v>
      </c>
      <c r="D283" s="32">
        <v>107.1</v>
      </c>
      <c r="E283" s="32">
        <v>112.6</v>
      </c>
      <c r="F283" s="32">
        <v>133.4</v>
      </c>
      <c r="G283" s="32">
        <v>115.1</v>
      </c>
      <c r="H283" s="32">
        <v>140.1</v>
      </c>
      <c r="I283" s="32">
        <v>120.4</v>
      </c>
      <c r="J283" s="32">
        <v>109.8</v>
      </c>
      <c r="K283" s="32">
        <v>102</v>
      </c>
      <c r="L283" s="32">
        <v>102.7</v>
      </c>
      <c r="M283" s="32">
        <v>95.8</v>
      </c>
      <c r="N283" s="32">
        <v>102.3</v>
      </c>
      <c r="O283" s="32">
        <v>103.5</v>
      </c>
      <c r="P283" s="32">
        <v>135.9</v>
      </c>
      <c r="Q283" s="32">
        <v>105.8</v>
      </c>
      <c r="R283" s="32">
        <v>100.7</v>
      </c>
      <c r="S283" s="32">
        <v>97.1</v>
      </c>
      <c r="T283" s="32">
        <v>144.69999999999999</v>
      </c>
      <c r="U283" s="32">
        <v>100.2</v>
      </c>
      <c r="V283" s="32">
        <v>101.6</v>
      </c>
      <c r="W283" s="32">
        <v>91.3</v>
      </c>
      <c r="X283" s="32">
        <v>87.4</v>
      </c>
      <c r="Y283" s="32">
        <v>97.2</v>
      </c>
      <c r="Z283" s="32">
        <v>114.8</v>
      </c>
      <c r="AA283" s="32">
        <v>124.5</v>
      </c>
      <c r="AB283" s="32">
        <v>139.4</v>
      </c>
      <c r="AC283" s="32">
        <v>114.8</v>
      </c>
      <c r="AD283" s="32">
        <v>125</v>
      </c>
      <c r="AE283" s="32">
        <v>101.3</v>
      </c>
      <c r="AF283" s="32">
        <v>101.3</v>
      </c>
      <c r="AG283" s="32">
        <v>131.80000000000001</v>
      </c>
      <c r="AH283" s="32">
        <v>131.80000000000001</v>
      </c>
      <c r="AI283" s="32">
        <v>102.7</v>
      </c>
      <c r="AJ283" s="32">
        <v>228.1</v>
      </c>
      <c r="AK283" s="32">
        <v>113.3</v>
      </c>
      <c r="AL283" s="32">
        <v>110.2</v>
      </c>
      <c r="AM283" s="32">
        <v>108.9</v>
      </c>
      <c r="AN283" s="32">
        <v>166.7</v>
      </c>
      <c r="AO283" s="32">
        <v>89.8</v>
      </c>
      <c r="AP283" s="32">
        <v>89.8</v>
      </c>
      <c r="AQ283" s="32">
        <v>121.1</v>
      </c>
      <c r="AR283" s="32">
        <v>116.3</v>
      </c>
      <c r="AS283" s="32">
        <v>127.5</v>
      </c>
      <c r="AT283" s="32">
        <v>118.7</v>
      </c>
      <c r="AU283" s="32">
        <v>135.80000000000001</v>
      </c>
      <c r="AV283" s="32">
        <v>122.1</v>
      </c>
      <c r="AW283" s="32">
        <v>151.30000000000001</v>
      </c>
      <c r="AX283" s="32">
        <v>290.2</v>
      </c>
      <c r="AY283" s="32">
        <v>92.6</v>
      </c>
      <c r="AZ283" s="32">
        <v>117.6</v>
      </c>
      <c r="BA283" s="32">
        <v>100</v>
      </c>
      <c r="BB283" s="32">
        <v>100</v>
      </c>
      <c r="BC283" s="32">
        <v>150.80000000000001</v>
      </c>
      <c r="BD283" s="32">
        <v>150.80000000000001</v>
      </c>
      <c r="BE283" s="32">
        <v>95.8</v>
      </c>
      <c r="BF283" s="32">
        <v>95.8</v>
      </c>
      <c r="BG283" s="32">
        <v>117</v>
      </c>
      <c r="BH283" s="32">
        <v>115.5</v>
      </c>
      <c r="BI283" s="32">
        <v>118.6</v>
      </c>
      <c r="BJ283" s="32">
        <v>79.8</v>
      </c>
      <c r="BK283" s="32">
        <v>127</v>
      </c>
      <c r="BL283" s="32">
        <v>157.1</v>
      </c>
      <c r="BM283" s="32">
        <v>110.1</v>
      </c>
      <c r="BN283" s="32">
        <v>113.8</v>
      </c>
      <c r="BO283" s="32">
        <v>112.7</v>
      </c>
      <c r="BP283" s="32">
        <v>113.5</v>
      </c>
      <c r="BQ283" s="32">
        <v>106.3</v>
      </c>
      <c r="BR283" s="32">
        <v>105.2</v>
      </c>
      <c r="BS283" s="32">
        <v>117.6</v>
      </c>
      <c r="BT283" s="32">
        <v>102.6</v>
      </c>
      <c r="BU283" s="32">
        <v>146.80000000000001</v>
      </c>
      <c r="BV283" s="32">
        <v>146.80000000000001</v>
      </c>
      <c r="BW283" s="32">
        <v>159.5</v>
      </c>
      <c r="BX283" s="32">
        <v>106.8</v>
      </c>
      <c r="BY283" s="32">
        <v>95.9</v>
      </c>
      <c r="BZ283" s="32">
        <v>99.5</v>
      </c>
      <c r="CA283" s="32">
        <v>94.1</v>
      </c>
      <c r="CB283" s="32">
        <v>102.4</v>
      </c>
      <c r="CC283" s="32">
        <v>87.4</v>
      </c>
      <c r="CD283" s="32">
        <v>77.2</v>
      </c>
      <c r="CE283" s="32">
        <v>97.1</v>
      </c>
      <c r="CF283" s="32">
        <v>96.2</v>
      </c>
      <c r="CG283" s="32">
        <v>99.9</v>
      </c>
      <c r="CH283" s="32">
        <v>98.5</v>
      </c>
      <c r="CI283" s="32">
        <v>107.4</v>
      </c>
      <c r="CJ283" s="32">
        <v>90.1</v>
      </c>
      <c r="CK283" s="32">
        <v>103.6</v>
      </c>
      <c r="CL283" s="32">
        <v>93.5</v>
      </c>
      <c r="CM283" s="32">
        <v>98.2</v>
      </c>
      <c r="CN283" s="32">
        <v>140.30000000000001</v>
      </c>
      <c r="CO283" s="32">
        <v>87.5</v>
      </c>
      <c r="CP283" s="32">
        <v>93.9</v>
      </c>
      <c r="CQ283" s="32">
        <v>158.69999999999999</v>
      </c>
      <c r="CR283" s="32">
        <v>100.7</v>
      </c>
      <c r="CS283" s="32">
        <v>105</v>
      </c>
      <c r="CT283" s="32">
        <v>111.2</v>
      </c>
      <c r="CU283" s="32">
        <v>112.5</v>
      </c>
      <c r="CV283" s="32">
        <v>110.7</v>
      </c>
      <c r="CW283" s="32">
        <v>90</v>
      </c>
      <c r="CX283" s="32">
        <v>102</v>
      </c>
      <c r="CY283" s="32">
        <v>107.1</v>
      </c>
      <c r="CZ283" s="32">
        <v>99.1</v>
      </c>
      <c r="DA283" s="32">
        <v>101.4</v>
      </c>
      <c r="DB283" s="32">
        <v>94.2</v>
      </c>
      <c r="DC283" s="32">
        <v>79.400000000000006</v>
      </c>
      <c r="DD283" s="32">
        <v>79.400000000000006</v>
      </c>
      <c r="DE283" s="32">
        <v>91.8</v>
      </c>
      <c r="DF283" s="32">
        <v>94.4</v>
      </c>
      <c r="DG283" s="32">
        <v>76.8</v>
      </c>
      <c r="DH283" s="32">
        <v>98.9</v>
      </c>
      <c r="DI283" s="32">
        <v>113.5</v>
      </c>
      <c r="DJ283" s="32">
        <v>88.9</v>
      </c>
      <c r="DK283" s="32">
        <v>88.9</v>
      </c>
      <c r="DL283" s="32">
        <v>85.9</v>
      </c>
      <c r="DM283" s="32">
        <v>98.6</v>
      </c>
      <c r="DN283" s="32">
        <v>100.6</v>
      </c>
      <c r="DO283" s="32">
        <v>98.4</v>
      </c>
      <c r="DP283" s="32">
        <v>84.8</v>
      </c>
      <c r="DQ283" s="32">
        <v>93.1</v>
      </c>
      <c r="DR283" s="32">
        <v>89.4</v>
      </c>
      <c r="DS283" s="32">
        <v>89.2</v>
      </c>
      <c r="DT283" s="32">
        <v>88.4</v>
      </c>
      <c r="DU283" s="32">
        <v>89.7</v>
      </c>
      <c r="DV283" s="32">
        <v>96</v>
      </c>
      <c r="DW283" s="32">
        <v>83.1</v>
      </c>
      <c r="DX283" s="32">
        <v>85.6</v>
      </c>
      <c r="DY283" s="32">
        <v>92</v>
      </c>
      <c r="DZ283" s="32">
        <v>86.1</v>
      </c>
      <c r="EA283" s="32">
        <v>86.1</v>
      </c>
      <c r="EB283" s="32">
        <v>91.6</v>
      </c>
      <c r="EC283" s="32">
        <v>92.4</v>
      </c>
      <c r="ED283" s="32">
        <v>90.6</v>
      </c>
      <c r="EE283" s="32">
        <v>93.9</v>
      </c>
      <c r="EF283" s="32">
        <v>83.6</v>
      </c>
      <c r="EG283" s="32">
        <v>99.2</v>
      </c>
      <c r="EH283" s="32">
        <v>125.4</v>
      </c>
      <c r="EI283" s="32">
        <v>102.4</v>
      </c>
      <c r="EJ283" s="32">
        <v>104.4</v>
      </c>
      <c r="EK283" s="32">
        <v>84.7</v>
      </c>
      <c r="EL283" s="32">
        <v>99.9</v>
      </c>
      <c r="EM283" s="32">
        <v>89.1</v>
      </c>
      <c r="EN283" s="32">
        <v>80.2</v>
      </c>
      <c r="EO283" s="32">
        <v>95.9</v>
      </c>
      <c r="EP283" s="32">
        <v>92.2</v>
      </c>
      <c r="EQ283" s="32">
        <v>92.2</v>
      </c>
      <c r="ER283" s="32">
        <v>90.6</v>
      </c>
      <c r="ES283" s="32">
        <v>90.6</v>
      </c>
      <c r="ET283" s="32">
        <v>105.1</v>
      </c>
      <c r="EU283" s="32">
        <v>118</v>
      </c>
      <c r="EV283" s="32">
        <v>118</v>
      </c>
      <c r="EW283" s="32">
        <v>89.5</v>
      </c>
      <c r="EX283" s="32">
        <v>92.8</v>
      </c>
      <c r="EY283" s="32">
        <v>87</v>
      </c>
      <c r="EZ283" s="32">
        <v>103</v>
      </c>
      <c r="FA283" s="32">
        <v>105.9</v>
      </c>
      <c r="FB283" s="32">
        <v>107.5</v>
      </c>
      <c r="FC283" s="32">
        <v>111.3</v>
      </c>
      <c r="FD283" s="32">
        <v>104.1</v>
      </c>
      <c r="FE283" s="32">
        <v>103.5</v>
      </c>
      <c r="FF283" s="32">
        <v>103.9</v>
      </c>
      <c r="FG283" s="32">
        <v>96.5</v>
      </c>
      <c r="FH283" s="32">
        <v>85.7</v>
      </c>
      <c r="FI283" s="32">
        <v>88.9</v>
      </c>
      <c r="FJ283" s="32">
        <v>102</v>
      </c>
      <c r="FK283" s="32">
        <v>171.8</v>
      </c>
      <c r="FL283" s="32">
        <v>171.8</v>
      </c>
    </row>
    <row r="284" spans="1:168" x14ac:dyDescent="0.2">
      <c r="A284" s="34" t="s">
        <v>1264</v>
      </c>
      <c r="B284" s="32">
        <v>91</v>
      </c>
      <c r="C284" s="32">
        <v>99.2</v>
      </c>
      <c r="D284" s="32">
        <v>100.2</v>
      </c>
      <c r="E284" s="32">
        <v>104.6</v>
      </c>
      <c r="F284" s="32">
        <v>119.7</v>
      </c>
      <c r="G284" s="32">
        <v>102.8</v>
      </c>
      <c r="H284" s="32">
        <v>124</v>
      </c>
      <c r="I284" s="32">
        <v>115.5</v>
      </c>
      <c r="J284" s="32">
        <v>99.5</v>
      </c>
      <c r="K284" s="32">
        <v>102</v>
      </c>
      <c r="L284" s="32">
        <v>105.6</v>
      </c>
      <c r="M284" s="32">
        <v>101.8</v>
      </c>
      <c r="N284" s="32">
        <v>106.1</v>
      </c>
      <c r="O284" s="32">
        <v>82.9</v>
      </c>
      <c r="P284" s="32">
        <v>142.80000000000001</v>
      </c>
      <c r="Q284" s="32">
        <v>119.2</v>
      </c>
      <c r="R284" s="32">
        <v>101.5</v>
      </c>
      <c r="S284" s="32">
        <v>97.3</v>
      </c>
      <c r="T284" s="32">
        <v>142</v>
      </c>
      <c r="U284" s="32">
        <v>93.1</v>
      </c>
      <c r="V284" s="32">
        <v>92.9</v>
      </c>
      <c r="W284" s="32">
        <v>67.7</v>
      </c>
      <c r="X284" s="32">
        <v>71.2</v>
      </c>
      <c r="Y284" s="32">
        <v>58.7</v>
      </c>
      <c r="Z284" s="32">
        <v>90.9</v>
      </c>
      <c r="AA284" s="32">
        <v>114.2</v>
      </c>
      <c r="AB284" s="32">
        <v>118.9</v>
      </c>
      <c r="AC284" s="32">
        <v>120.9</v>
      </c>
      <c r="AD284" s="32">
        <v>106.4</v>
      </c>
      <c r="AE284" s="32">
        <v>96.1</v>
      </c>
      <c r="AF284" s="32">
        <v>96.1</v>
      </c>
      <c r="AG284" s="32">
        <v>136.69999999999999</v>
      </c>
      <c r="AH284" s="32">
        <v>136.69999999999999</v>
      </c>
      <c r="AI284" s="32">
        <v>108.6</v>
      </c>
      <c r="AJ284" s="32">
        <v>234.9</v>
      </c>
      <c r="AK284" s="32">
        <v>118.4</v>
      </c>
      <c r="AL284" s="32">
        <v>104.1</v>
      </c>
      <c r="AM284" s="32">
        <v>116.4</v>
      </c>
      <c r="AN284" s="32">
        <v>171.1</v>
      </c>
      <c r="AO284" s="32">
        <v>97.5</v>
      </c>
      <c r="AP284" s="32">
        <v>97.5</v>
      </c>
      <c r="AQ284" s="32">
        <v>110.3</v>
      </c>
      <c r="AR284" s="32">
        <v>109.5</v>
      </c>
      <c r="AS284" s="32">
        <v>111.7</v>
      </c>
      <c r="AT284" s="32">
        <v>96.5</v>
      </c>
      <c r="AU284" s="32">
        <v>126.3</v>
      </c>
      <c r="AV284" s="32">
        <v>111.5</v>
      </c>
      <c r="AW284" s="32">
        <v>144.4</v>
      </c>
      <c r="AX284" s="32">
        <v>291.89999999999998</v>
      </c>
      <c r="AY284" s="32">
        <v>83.2</v>
      </c>
      <c r="AZ284" s="32">
        <v>105.8</v>
      </c>
      <c r="BA284" s="32">
        <v>93</v>
      </c>
      <c r="BB284" s="32">
        <v>93</v>
      </c>
      <c r="BC284" s="32">
        <v>146.1</v>
      </c>
      <c r="BD284" s="32">
        <v>146.1</v>
      </c>
      <c r="BE284" s="32">
        <v>68.7</v>
      </c>
      <c r="BF284" s="32">
        <v>68.7</v>
      </c>
      <c r="BG284" s="32">
        <v>87.5</v>
      </c>
      <c r="BH284" s="32">
        <v>72</v>
      </c>
      <c r="BI284" s="32">
        <v>109</v>
      </c>
      <c r="BJ284" s="32">
        <v>59.4</v>
      </c>
      <c r="BK284" s="32">
        <v>119.8</v>
      </c>
      <c r="BL284" s="32">
        <v>156.6</v>
      </c>
      <c r="BM284" s="32">
        <v>101.1</v>
      </c>
      <c r="BN284" s="32">
        <v>104.5</v>
      </c>
      <c r="BO284" s="32">
        <v>93.4</v>
      </c>
      <c r="BP284" s="32">
        <v>113.8</v>
      </c>
      <c r="BQ284" s="32">
        <v>97.6</v>
      </c>
      <c r="BR284" s="32">
        <v>98.5</v>
      </c>
      <c r="BS284" s="32">
        <v>100.8</v>
      </c>
      <c r="BT284" s="32">
        <v>96.2</v>
      </c>
      <c r="BU284" s="32">
        <v>153.19999999999999</v>
      </c>
      <c r="BV284" s="32">
        <v>153.19999999999999</v>
      </c>
      <c r="BW284" s="32">
        <v>162.80000000000001</v>
      </c>
      <c r="BX284" s="32">
        <v>120.3</v>
      </c>
      <c r="BY284" s="32">
        <v>95.4</v>
      </c>
      <c r="BZ284" s="32">
        <v>100.7</v>
      </c>
      <c r="CA284" s="32">
        <v>92.8</v>
      </c>
      <c r="CB284" s="32">
        <v>101.5</v>
      </c>
      <c r="CC284" s="32">
        <v>85.6</v>
      </c>
      <c r="CD284" s="32">
        <v>76.8</v>
      </c>
      <c r="CE284" s="32">
        <v>92.5</v>
      </c>
      <c r="CF284" s="32">
        <v>89.1</v>
      </c>
      <c r="CG284" s="32">
        <v>82.6</v>
      </c>
      <c r="CH284" s="32">
        <v>85</v>
      </c>
      <c r="CI284" s="32">
        <v>73.400000000000006</v>
      </c>
      <c r="CJ284" s="32">
        <v>83.9</v>
      </c>
      <c r="CK284" s="32">
        <v>89.6</v>
      </c>
      <c r="CL284" s="32">
        <v>78.7</v>
      </c>
      <c r="CM284" s="32">
        <v>75.8</v>
      </c>
      <c r="CN284" s="32">
        <v>54.5</v>
      </c>
      <c r="CO284" s="32">
        <v>75.599999999999994</v>
      </c>
      <c r="CP284" s="32">
        <v>73.8</v>
      </c>
      <c r="CQ284" s="32">
        <v>73.3</v>
      </c>
      <c r="CR284" s="32">
        <v>93.8</v>
      </c>
      <c r="CS284" s="32">
        <v>103.3</v>
      </c>
      <c r="CT284" s="32">
        <v>78.099999999999994</v>
      </c>
      <c r="CU284" s="32">
        <v>64.7</v>
      </c>
      <c r="CV284" s="32">
        <v>83.5</v>
      </c>
      <c r="CW284" s="32">
        <v>90.4</v>
      </c>
      <c r="CX284" s="32">
        <v>100.1</v>
      </c>
      <c r="CY284" s="32">
        <v>108.8</v>
      </c>
      <c r="CZ284" s="32">
        <v>95.3</v>
      </c>
      <c r="DA284" s="32">
        <v>93.9</v>
      </c>
      <c r="DB284" s="32">
        <v>97.7</v>
      </c>
      <c r="DC284" s="32">
        <v>80.900000000000006</v>
      </c>
      <c r="DD284" s="32">
        <v>80.900000000000006</v>
      </c>
      <c r="DE284" s="32">
        <v>92.4</v>
      </c>
      <c r="DF284" s="32">
        <v>95.1</v>
      </c>
      <c r="DG284" s="32">
        <v>77</v>
      </c>
      <c r="DH284" s="32">
        <v>98.3</v>
      </c>
      <c r="DI284" s="32">
        <v>112</v>
      </c>
      <c r="DJ284" s="32">
        <v>90.2</v>
      </c>
      <c r="DK284" s="32">
        <v>90.2</v>
      </c>
      <c r="DL284" s="32">
        <v>85</v>
      </c>
      <c r="DM284" s="32">
        <v>98.6</v>
      </c>
      <c r="DN284" s="32">
        <v>100.5</v>
      </c>
      <c r="DO284" s="32">
        <v>98.6</v>
      </c>
      <c r="DP284" s="32">
        <v>82.4</v>
      </c>
      <c r="DQ284" s="32">
        <v>88.8</v>
      </c>
      <c r="DR284" s="32">
        <v>88.3</v>
      </c>
      <c r="DS284" s="32">
        <v>88.9</v>
      </c>
      <c r="DT284" s="32">
        <v>87.9</v>
      </c>
      <c r="DU284" s="32">
        <v>89.8</v>
      </c>
      <c r="DV284" s="32">
        <v>97.2</v>
      </c>
      <c r="DW284" s="32">
        <v>82.1</v>
      </c>
      <c r="DX284" s="32">
        <v>83.9</v>
      </c>
      <c r="DY284" s="32">
        <v>92.7</v>
      </c>
      <c r="DZ284" s="32">
        <v>90.5</v>
      </c>
      <c r="EA284" s="32">
        <v>90.5</v>
      </c>
      <c r="EB284" s="32">
        <v>85</v>
      </c>
      <c r="EC284" s="32">
        <v>83.4</v>
      </c>
      <c r="ED284" s="32">
        <v>87.1</v>
      </c>
      <c r="EE284" s="32">
        <v>90</v>
      </c>
      <c r="EF284" s="32">
        <v>81.2</v>
      </c>
      <c r="EG284" s="32">
        <v>89.7</v>
      </c>
      <c r="EH284" s="32">
        <v>109.8</v>
      </c>
      <c r="EI284" s="32">
        <v>98.7</v>
      </c>
      <c r="EJ284" s="32">
        <v>52.7</v>
      </c>
      <c r="EK284" s="32">
        <v>82.7</v>
      </c>
      <c r="EL284" s="32">
        <v>95.8</v>
      </c>
      <c r="EM284" s="32">
        <v>86.3</v>
      </c>
      <c r="EN284" s="32">
        <v>78.900000000000006</v>
      </c>
      <c r="EO284" s="32">
        <v>86</v>
      </c>
      <c r="EP284" s="32">
        <v>91.6</v>
      </c>
      <c r="EQ284" s="32">
        <v>91.6</v>
      </c>
      <c r="ER284" s="32">
        <v>78.7</v>
      </c>
      <c r="ES284" s="32">
        <v>78.7</v>
      </c>
      <c r="ET284" s="32">
        <v>90.1</v>
      </c>
      <c r="EU284" s="32">
        <v>96.5</v>
      </c>
      <c r="EV284" s="32">
        <v>96.5</v>
      </c>
      <c r="EW284" s="32">
        <v>85.1</v>
      </c>
      <c r="EX284" s="32">
        <v>94</v>
      </c>
      <c r="EY284" s="32">
        <v>78</v>
      </c>
      <c r="EZ284" s="32">
        <v>86.9</v>
      </c>
      <c r="FA284" s="32">
        <v>82.8</v>
      </c>
      <c r="FB284" s="32">
        <v>86.3</v>
      </c>
      <c r="FC284" s="32">
        <v>83.4</v>
      </c>
      <c r="FD284" s="32">
        <v>79.599999999999994</v>
      </c>
      <c r="FE284" s="32">
        <v>94.9</v>
      </c>
      <c r="FF284" s="32">
        <v>78.7</v>
      </c>
      <c r="FG284" s="32">
        <v>87.8</v>
      </c>
      <c r="FH284" s="32">
        <v>81.7</v>
      </c>
      <c r="FI284" s="32">
        <v>85</v>
      </c>
      <c r="FJ284" s="32">
        <v>90.8</v>
      </c>
      <c r="FK284" s="32">
        <v>128.6</v>
      </c>
      <c r="FL284" s="32">
        <v>128.6</v>
      </c>
    </row>
    <row r="285" spans="1:168" x14ac:dyDescent="0.2">
      <c r="A285" s="34" t="s">
        <v>1265</v>
      </c>
      <c r="B285" s="32">
        <v>73.2</v>
      </c>
      <c r="C285" s="32">
        <v>90.3</v>
      </c>
      <c r="D285" s="32">
        <v>76.2</v>
      </c>
      <c r="E285" s="32">
        <v>87.6</v>
      </c>
      <c r="F285" s="32">
        <v>125.8</v>
      </c>
      <c r="G285" s="32">
        <v>71</v>
      </c>
      <c r="H285" s="32">
        <v>138.19999999999999</v>
      </c>
      <c r="I285" s="32">
        <v>89.2</v>
      </c>
      <c r="J285" s="32">
        <v>78.400000000000006</v>
      </c>
      <c r="K285" s="32">
        <v>91.7</v>
      </c>
      <c r="L285" s="32">
        <v>96.9</v>
      </c>
      <c r="M285" s="32">
        <v>90.2</v>
      </c>
      <c r="N285" s="32">
        <v>94.4</v>
      </c>
      <c r="O285" s="32">
        <v>67.2</v>
      </c>
      <c r="P285" s="32">
        <v>150</v>
      </c>
      <c r="Q285" s="32">
        <v>114.3</v>
      </c>
      <c r="R285" s="32">
        <v>91.1</v>
      </c>
      <c r="S285" s="32">
        <v>88</v>
      </c>
      <c r="T285" s="32">
        <v>140.9</v>
      </c>
      <c r="U285" s="32">
        <v>70.3</v>
      </c>
      <c r="V285" s="32">
        <v>79.7</v>
      </c>
      <c r="W285" s="32">
        <v>31.1</v>
      </c>
      <c r="X285" s="32">
        <v>33.1</v>
      </c>
      <c r="Y285" s="32">
        <v>27</v>
      </c>
      <c r="Z285" s="32">
        <v>36.4</v>
      </c>
      <c r="AA285" s="32">
        <v>83.9</v>
      </c>
      <c r="AB285" s="32">
        <v>60.6</v>
      </c>
      <c r="AC285" s="32">
        <v>109.5</v>
      </c>
      <c r="AD285" s="32">
        <v>78</v>
      </c>
      <c r="AE285" s="32">
        <v>75.400000000000006</v>
      </c>
      <c r="AF285" s="32">
        <v>75.400000000000006</v>
      </c>
      <c r="AG285" s="32">
        <v>127.7</v>
      </c>
      <c r="AH285" s="32">
        <v>127.7</v>
      </c>
      <c r="AI285" s="32">
        <v>108.3</v>
      </c>
      <c r="AJ285" s="32">
        <v>220.8</v>
      </c>
      <c r="AK285" s="32">
        <v>114.8</v>
      </c>
      <c r="AL285" s="32">
        <v>82.6</v>
      </c>
      <c r="AM285" s="32">
        <v>107.7</v>
      </c>
      <c r="AN285" s="32">
        <v>167.1</v>
      </c>
      <c r="AO285" s="32">
        <v>109.6</v>
      </c>
      <c r="AP285" s="32">
        <v>109.6</v>
      </c>
      <c r="AQ285" s="32">
        <v>64.099999999999994</v>
      </c>
      <c r="AR285" s="32">
        <v>73.2</v>
      </c>
      <c r="AS285" s="32">
        <v>52.9</v>
      </c>
      <c r="AT285" s="32">
        <v>49.9</v>
      </c>
      <c r="AU285" s="32">
        <v>55.7</v>
      </c>
      <c r="AV285" s="32">
        <v>85.2</v>
      </c>
      <c r="AW285" s="32">
        <v>116.3</v>
      </c>
      <c r="AX285" s="32">
        <v>266</v>
      </c>
      <c r="AY285" s="32">
        <v>56.1</v>
      </c>
      <c r="AZ285" s="32">
        <v>79.3</v>
      </c>
      <c r="BA285" s="32">
        <v>81.900000000000006</v>
      </c>
      <c r="BB285" s="32">
        <v>81.900000000000006</v>
      </c>
      <c r="BC285" s="32">
        <v>133.30000000000001</v>
      </c>
      <c r="BD285" s="32">
        <v>133.30000000000001</v>
      </c>
      <c r="BE285" s="32">
        <v>45.5</v>
      </c>
      <c r="BF285" s="32">
        <v>45.5</v>
      </c>
      <c r="BG285" s="32">
        <v>51</v>
      </c>
      <c r="BH285" s="32">
        <v>22.7</v>
      </c>
      <c r="BI285" s="32">
        <v>90.6</v>
      </c>
      <c r="BJ285" s="32">
        <v>50</v>
      </c>
      <c r="BK285" s="32">
        <v>98.5</v>
      </c>
      <c r="BL285" s="32">
        <v>141.9</v>
      </c>
      <c r="BM285" s="32">
        <v>73.8</v>
      </c>
      <c r="BN285" s="32">
        <v>63.1</v>
      </c>
      <c r="BO285" s="32">
        <v>34</v>
      </c>
      <c r="BP285" s="32">
        <v>89.7</v>
      </c>
      <c r="BQ285" s="32">
        <v>84.4</v>
      </c>
      <c r="BR285" s="32">
        <v>90.2</v>
      </c>
      <c r="BS285" s="32">
        <v>69.2</v>
      </c>
      <c r="BT285" s="32">
        <v>88.3</v>
      </c>
      <c r="BU285" s="32">
        <v>140.6</v>
      </c>
      <c r="BV285" s="32">
        <v>140.6</v>
      </c>
      <c r="BW285" s="32">
        <v>147</v>
      </c>
      <c r="BX285" s="32">
        <v>116.2</v>
      </c>
      <c r="BY285" s="32">
        <v>89.4</v>
      </c>
      <c r="BZ285" s="32">
        <v>101.5</v>
      </c>
      <c r="CA285" s="32">
        <v>83.5</v>
      </c>
      <c r="CB285" s="32">
        <v>95.6</v>
      </c>
      <c r="CC285" s="32">
        <v>73.5</v>
      </c>
      <c r="CD285" s="32">
        <v>59.2</v>
      </c>
      <c r="CE285" s="32">
        <v>54</v>
      </c>
      <c r="CF285" s="32">
        <v>72.599999999999994</v>
      </c>
      <c r="CG285" s="32">
        <v>48</v>
      </c>
      <c r="CH285" s="32">
        <v>59.4</v>
      </c>
      <c r="CI285" s="32">
        <v>7.1</v>
      </c>
      <c r="CJ285" s="32">
        <v>64.900000000000006</v>
      </c>
      <c r="CK285" s="32">
        <v>69.5</v>
      </c>
      <c r="CL285" s="32">
        <v>46.9</v>
      </c>
      <c r="CM285" s="32">
        <v>25.6</v>
      </c>
      <c r="CN285" s="32">
        <v>-149.6</v>
      </c>
      <c r="CO285" s="32">
        <v>51.4</v>
      </c>
      <c r="CP285" s="32">
        <v>59</v>
      </c>
      <c r="CQ285" s="32">
        <v>-153.9</v>
      </c>
      <c r="CR285" s="32">
        <v>80.599999999999994</v>
      </c>
      <c r="CS285" s="32">
        <v>99.9</v>
      </c>
      <c r="CT285" s="32">
        <v>10.199999999999999</v>
      </c>
      <c r="CU285" s="32">
        <v>9.6</v>
      </c>
      <c r="CV285" s="32">
        <v>10.5</v>
      </c>
      <c r="CW285" s="32">
        <v>84</v>
      </c>
      <c r="CX285" s="32">
        <v>80.2</v>
      </c>
      <c r="CY285" s="32">
        <v>94.4</v>
      </c>
      <c r="CZ285" s="32">
        <v>72.400000000000006</v>
      </c>
      <c r="DA285" s="32">
        <v>61.6</v>
      </c>
      <c r="DB285" s="32">
        <v>93.5</v>
      </c>
      <c r="DC285" s="32">
        <v>81.599999999999994</v>
      </c>
      <c r="DD285" s="32">
        <v>81.599999999999994</v>
      </c>
      <c r="DE285" s="32">
        <v>87.2</v>
      </c>
      <c r="DF285" s="32">
        <v>89.8</v>
      </c>
      <c r="DG285" s="32">
        <v>72.8</v>
      </c>
      <c r="DH285" s="32">
        <v>93.5</v>
      </c>
      <c r="DI285" s="32">
        <v>105.6</v>
      </c>
      <c r="DJ285" s="32">
        <v>91.8</v>
      </c>
      <c r="DK285" s="32">
        <v>91.8</v>
      </c>
      <c r="DL285" s="32">
        <v>78.2</v>
      </c>
      <c r="DM285" s="32">
        <v>97</v>
      </c>
      <c r="DN285" s="32">
        <v>96.2</v>
      </c>
      <c r="DO285" s="32">
        <v>98.9</v>
      </c>
      <c r="DP285" s="32">
        <v>61.8</v>
      </c>
      <c r="DQ285" s="32">
        <v>72.5</v>
      </c>
      <c r="DR285" s="32">
        <v>76</v>
      </c>
      <c r="DS285" s="32">
        <v>78.099999999999994</v>
      </c>
      <c r="DT285" s="32">
        <v>78.3</v>
      </c>
      <c r="DU285" s="32">
        <v>80.3</v>
      </c>
      <c r="DV285" s="32">
        <v>88.4</v>
      </c>
      <c r="DW285" s="32">
        <v>71.900000000000006</v>
      </c>
      <c r="DX285" s="32">
        <v>74.099999999999994</v>
      </c>
      <c r="DY285" s="32">
        <v>77.099999999999994</v>
      </c>
      <c r="DZ285" s="32">
        <v>83.6</v>
      </c>
      <c r="EA285" s="32">
        <v>83.6</v>
      </c>
      <c r="EB285" s="32">
        <v>66</v>
      </c>
      <c r="EC285" s="32">
        <v>66.3</v>
      </c>
      <c r="ED285" s="32">
        <v>65.599999999999994</v>
      </c>
      <c r="EE285" s="32">
        <v>69.7</v>
      </c>
      <c r="EF285" s="32">
        <v>57</v>
      </c>
      <c r="EG285" s="32">
        <v>66.8</v>
      </c>
      <c r="EH285" s="32">
        <v>76.900000000000006</v>
      </c>
      <c r="EI285" s="32">
        <v>80</v>
      </c>
      <c r="EJ285" s="32">
        <v>7.1</v>
      </c>
      <c r="EK285" s="32">
        <v>66.099999999999994</v>
      </c>
      <c r="EL285" s="32">
        <v>88.5</v>
      </c>
      <c r="EM285" s="32">
        <v>66.099999999999994</v>
      </c>
      <c r="EN285" s="32">
        <v>63.1</v>
      </c>
      <c r="EO285" s="32">
        <v>67.5</v>
      </c>
      <c r="EP285" s="32">
        <v>91.5</v>
      </c>
      <c r="EQ285" s="32">
        <v>91.5</v>
      </c>
      <c r="ER285" s="32">
        <v>57.8</v>
      </c>
      <c r="ES285" s="32">
        <v>57.8</v>
      </c>
      <c r="ET285" s="32">
        <v>60.1</v>
      </c>
      <c r="EU285" s="32">
        <v>48.7</v>
      </c>
      <c r="EV285" s="32">
        <v>48.7</v>
      </c>
      <c r="EW285" s="32">
        <v>83.4</v>
      </c>
      <c r="EX285" s="32">
        <v>95.5</v>
      </c>
      <c r="EY285" s="32">
        <v>73.599999999999994</v>
      </c>
      <c r="EZ285" s="32">
        <v>57.5</v>
      </c>
      <c r="FA285" s="32">
        <v>53.6</v>
      </c>
      <c r="FB285" s="32">
        <v>65</v>
      </c>
      <c r="FC285" s="32">
        <v>57.2</v>
      </c>
      <c r="FD285" s="32">
        <v>47.3</v>
      </c>
      <c r="FE285" s="32">
        <v>87.1</v>
      </c>
      <c r="FF285" s="32">
        <v>40.6</v>
      </c>
      <c r="FG285" s="32">
        <v>58.9</v>
      </c>
      <c r="FH285" s="32">
        <v>78.599999999999994</v>
      </c>
      <c r="FI285" s="32">
        <v>83.7</v>
      </c>
      <c r="FJ285" s="32">
        <v>47.6</v>
      </c>
      <c r="FK285" s="32">
        <v>88.8</v>
      </c>
      <c r="FL285" s="32">
        <v>88.8</v>
      </c>
    </row>
    <row r="286" spans="1:168" x14ac:dyDescent="0.2">
      <c r="A286" s="34" t="s">
        <v>1266</v>
      </c>
      <c r="B286" s="32">
        <v>74.7</v>
      </c>
      <c r="C286" s="32">
        <v>92.9</v>
      </c>
      <c r="D286" s="32">
        <v>81.900000000000006</v>
      </c>
      <c r="E286" s="32">
        <v>93.5</v>
      </c>
      <c r="F286" s="32">
        <v>128</v>
      </c>
      <c r="G286" s="32">
        <v>81.7</v>
      </c>
      <c r="H286" s="32">
        <v>137.5</v>
      </c>
      <c r="I286" s="32">
        <v>103.7</v>
      </c>
      <c r="J286" s="32">
        <v>86</v>
      </c>
      <c r="K286" s="32">
        <v>93.9</v>
      </c>
      <c r="L286" s="32">
        <v>97.9</v>
      </c>
      <c r="M286" s="32">
        <v>95.5</v>
      </c>
      <c r="N286" s="32">
        <v>98.4</v>
      </c>
      <c r="O286" s="32">
        <v>58.6</v>
      </c>
      <c r="P286" s="32">
        <v>144</v>
      </c>
      <c r="Q286" s="32">
        <v>111.1</v>
      </c>
      <c r="R286" s="32">
        <v>91.8</v>
      </c>
      <c r="S286" s="32">
        <v>86.7</v>
      </c>
      <c r="T286" s="32">
        <v>143.5</v>
      </c>
      <c r="U286" s="32">
        <v>77.5</v>
      </c>
      <c r="V286" s="32">
        <v>85.4</v>
      </c>
      <c r="W286" s="32">
        <v>45.9</v>
      </c>
      <c r="X286" s="32">
        <v>47.8</v>
      </c>
      <c r="Y286" s="32">
        <v>40.200000000000003</v>
      </c>
      <c r="Z286" s="32">
        <v>64.2</v>
      </c>
      <c r="AA286" s="32">
        <v>89.3</v>
      </c>
      <c r="AB286" s="32">
        <v>84.7</v>
      </c>
      <c r="AC286" s="32">
        <v>100.4</v>
      </c>
      <c r="AD286" s="32">
        <v>83.7</v>
      </c>
      <c r="AE286" s="32">
        <v>72</v>
      </c>
      <c r="AF286" s="32">
        <v>72</v>
      </c>
      <c r="AG286" s="32">
        <v>129.30000000000001</v>
      </c>
      <c r="AH286" s="32">
        <v>129.30000000000001</v>
      </c>
      <c r="AI286" s="32">
        <v>88.5</v>
      </c>
      <c r="AJ286" s="32">
        <v>212.9</v>
      </c>
      <c r="AK286" s="32">
        <v>124.5</v>
      </c>
      <c r="AL286" s="32">
        <v>90.1</v>
      </c>
      <c r="AM286" s="32">
        <v>112.5</v>
      </c>
      <c r="AN286" s="32">
        <v>178.9</v>
      </c>
      <c r="AO286" s="32">
        <v>102.9</v>
      </c>
      <c r="AP286" s="32">
        <v>102.9</v>
      </c>
      <c r="AQ286" s="32">
        <v>86.9</v>
      </c>
      <c r="AR286" s="32">
        <v>88</v>
      </c>
      <c r="AS286" s="32">
        <v>85.7</v>
      </c>
      <c r="AT286" s="32">
        <v>79.099999999999994</v>
      </c>
      <c r="AU286" s="32">
        <v>92</v>
      </c>
      <c r="AV286" s="32">
        <v>94.3</v>
      </c>
      <c r="AW286" s="32">
        <v>130.6</v>
      </c>
      <c r="AX286" s="32">
        <v>284.2</v>
      </c>
      <c r="AY286" s="32">
        <v>68.2</v>
      </c>
      <c r="AZ286" s="32">
        <v>87.3</v>
      </c>
      <c r="BA286" s="32">
        <v>93.6</v>
      </c>
      <c r="BB286" s="32">
        <v>93.6</v>
      </c>
      <c r="BC286" s="32">
        <v>147.6</v>
      </c>
      <c r="BD286" s="32">
        <v>147.6</v>
      </c>
      <c r="BE286" s="32">
        <v>66</v>
      </c>
      <c r="BF286" s="32">
        <v>66</v>
      </c>
      <c r="BG286" s="32">
        <v>58</v>
      </c>
      <c r="BH286" s="32">
        <v>36.299999999999997</v>
      </c>
      <c r="BI286" s="32">
        <v>88.4</v>
      </c>
      <c r="BJ286" s="32">
        <v>59.1</v>
      </c>
      <c r="BK286" s="32">
        <v>91.5</v>
      </c>
      <c r="BL286" s="32">
        <v>158.80000000000001</v>
      </c>
      <c r="BM286" s="32">
        <v>80.599999999999994</v>
      </c>
      <c r="BN286" s="32">
        <v>74.7</v>
      </c>
      <c r="BO286" s="32">
        <v>53.5</v>
      </c>
      <c r="BP286" s="32">
        <v>93.9</v>
      </c>
      <c r="BQ286" s="32">
        <v>86.3</v>
      </c>
      <c r="BR286" s="32">
        <v>106.6</v>
      </c>
      <c r="BS286" s="32">
        <v>76.099999999999994</v>
      </c>
      <c r="BT286" s="32">
        <v>86.9</v>
      </c>
      <c r="BU286" s="32">
        <v>141.6</v>
      </c>
      <c r="BV286" s="32">
        <v>141.6</v>
      </c>
      <c r="BW286" s="32">
        <v>152.6</v>
      </c>
      <c r="BX286" s="32">
        <v>106.4</v>
      </c>
      <c r="BY286" s="32">
        <v>89.5</v>
      </c>
      <c r="BZ286" s="32">
        <v>102.9</v>
      </c>
      <c r="CA286" s="32">
        <v>83</v>
      </c>
      <c r="CB286" s="32">
        <v>97.3</v>
      </c>
      <c r="CC286" s="32">
        <v>71</v>
      </c>
      <c r="CD286" s="32">
        <v>55.9</v>
      </c>
      <c r="CE286" s="32">
        <v>59.3</v>
      </c>
      <c r="CF286" s="32">
        <v>73.099999999999994</v>
      </c>
      <c r="CG286" s="32">
        <v>54.2</v>
      </c>
      <c r="CH286" s="32">
        <v>68.599999999999994</v>
      </c>
      <c r="CI286" s="32">
        <v>17.8</v>
      </c>
      <c r="CJ286" s="32">
        <v>69.8</v>
      </c>
      <c r="CK286" s="32">
        <v>82.1</v>
      </c>
      <c r="CL286" s="32">
        <v>48.6</v>
      </c>
      <c r="CM286" s="32">
        <v>19.600000000000001</v>
      </c>
      <c r="CN286" s="32">
        <v>-219.3</v>
      </c>
      <c r="CO286" s="32">
        <v>55.5</v>
      </c>
      <c r="CP286" s="32">
        <v>61.5</v>
      </c>
      <c r="CQ286" s="32">
        <v>-89.2</v>
      </c>
      <c r="CR286" s="32">
        <v>82.3</v>
      </c>
      <c r="CS286" s="32">
        <v>106.7</v>
      </c>
      <c r="CT286" s="32">
        <v>12.2</v>
      </c>
      <c r="CU286" s="32">
        <v>6</v>
      </c>
      <c r="CV286" s="32">
        <v>14.7</v>
      </c>
      <c r="CW286" s="32">
        <v>83.2</v>
      </c>
      <c r="CX286" s="32">
        <v>76.8</v>
      </c>
      <c r="CY286" s="32">
        <v>95.8</v>
      </c>
      <c r="CZ286" s="32">
        <v>66.5</v>
      </c>
      <c r="DA286" s="32">
        <v>53.4</v>
      </c>
      <c r="DB286" s="32">
        <v>91.9</v>
      </c>
      <c r="DC286" s="32">
        <v>82.1</v>
      </c>
      <c r="DD286" s="32">
        <v>82.1</v>
      </c>
      <c r="DE286" s="32">
        <v>86.6</v>
      </c>
      <c r="DF286" s="32">
        <v>88.4</v>
      </c>
      <c r="DG286" s="32">
        <v>76.3</v>
      </c>
      <c r="DH286" s="32">
        <v>94.5</v>
      </c>
      <c r="DI286" s="32">
        <v>103.4</v>
      </c>
      <c r="DJ286" s="32">
        <v>93.4</v>
      </c>
      <c r="DK286" s="32">
        <v>93.4</v>
      </c>
      <c r="DL286" s="32">
        <v>82.8</v>
      </c>
      <c r="DM286" s="32">
        <v>96.8</v>
      </c>
      <c r="DN286" s="32">
        <v>94</v>
      </c>
      <c r="DO286" s="32">
        <v>99.1</v>
      </c>
      <c r="DP286" s="32">
        <v>68.599999999999994</v>
      </c>
      <c r="DQ286" s="32">
        <v>72.099999999999994</v>
      </c>
      <c r="DR286" s="32">
        <v>74.900000000000006</v>
      </c>
      <c r="DS286" s="32">
        <v>77.2</v>
      </c>
      <c r="DT286" s="32">
        <v>77.3</v>
      </c>
      <c r="DU286" s="32">
        <v>79.8</v>
      </c>
      <c r="DV286" s="32">
        <v>85.2</v>
      </c>
      <c r="DW286" s="32">
        <v>73.900000000000006</v>
      </c>
      <c r="DX286" s="32">
        <v>72.099999999999994</v>
      </c>
      <c r="DY286" s="32">
        <v>77</v>
      </c>
      <c r="DZ286" s="32">
        <v>81.599999999999994</v>
      </c>
      <c r="EA286" s="32">
        <v>81.599999999999994</v>
      </c>
      <c r="EB286" s="32">
        <v>64.8</v>
      </c>
      <c r="EC286" s="32">
        <v>64.900000000000006</v>
      </c>
      <c r="ED286" s="32">
        <v>64.7</v>
      </c>
      <c r="EE286" s="32">
        <v>62.3</v>
      </c>
      <c r="EF286" s="32">
        <v>69.599999999999994</v>
      </c>
      <c r="EG286" s="32">
        <v>67.400000000000006</v>
      </c>
      <c r="EH286" s="32">
        <v>80.900000000000006</v>
      </c>
      <c r="EI286" s="32">
        <v>79.599999999999994</v>
      </c>
      <c r="EJ286" s="32">
        <v>4.2</v>
      </c>
      <c r="EK286" s="32">
        <v>66.7</v>
      </c>
      <c r="EL286" s="32">
        <v>86.7</v>
      </c>
      <c r="EM286" s="32">
        <v>66.400000000000006</v>
      </c>
      <c r="EN286" s="32">
        <v>64.099999999999994</v>
      </c>
      <c r="EO286" s="32">
        <v>65</v>
      </c>
      <c r="EP286" s="32">
        <v>91.1</v>
      </c>
      <c r="EQ286" s="32">
        <v>91.1</v>
      </c>
      <c r="ER286" s="32">
        <v>50.9</v>
      </c>
      <c r="ES286" s="32">
        <v>50.9</v>
      </c>
      <c r="ET286" s="32">
        <v>59.8</v>
      </c>
      <c r="EU286" s="32">
        <v>46.8</v>
      </c>
      <c r="EV286" s="32">
        <v>46.8</v>
      </c>
      <c r="EW286" s="32">
        <v>86</v>
      </c>
      <c r="EX286" s="32">
        <v>96.2</v>
      </c>
      <c r="EY286" s="32">
        <v>77.7</v>
      </c>
      <c r="EZ286" s="32">
        <v>55</v>
      </c>
      <c r="FA286" s="32">
        <v>45.6</v>
      </c>
      <c r="FB286" s="32">
        <v>57.7</v>
      </c>
      <c r="FC286" s="32">
        <v>45.1</v>
      </c>
      <c r="FD286" s="32">
        <v>49.2</v>
      </c>
      <c r="FE286" s="32">
        <v>83.1</v>
      </c>
      <c r="FF286" s="32">
        <v>32</v>
      </c>
      <c r="FG286" s="32">
        <v>61.3</v>
      </c>
      <c r="FH286" s="32">
        <v>79.2</v>
      </c>
      <c r="FI286" s="32">
        <v>79.599999999999994</v>
      </c>
      <c r="FJ286" s="32">
        <v>51.6</v>
      </c>
      <c r="FK286" s="32">
        <v>78.3</v>
      </c>
      <c r="FL286" s="32">
        <v>78.3</v>
      </c>
    </row>
    <row r="287" spans="1:168" x14ac:dyDescent="0.2">
      <c r="A287" s="34" t="s">
        <v>1267</v>
      </c>
      <c r="B287" s="32">
        <v>81.7</v>
      </c>
      <c r="C287" s="32">
        <v>93.6</v>
      </c>
      <c r="D287" s="32">
        <v>93.4</v>
      </c>
      <c r="E287" s="32">
        <v>104.2</v>
      </c>
      <c r="F287" s="32">
        <v>133.9</v>
      </c>
      <c r="G287" s="32">
        <v>87.5</v>
      </c>
      <c r="H287" s="32">
        <v>141.69999999999999</v>
      </c>
      <c r="I287" s="32">
        <v>117.4</v>
      </c>
      <c r="J287" s="32">
        <v>98.4</v>
      </c>
      <c r="K287" s="32">
        <v>97.7</v>
      </c>
      <c r="L287" s="32">
        <v>101.6</v>
      </c>
      <c r="M287" s="32">
        <v>99.2</v>
      </c>
      <c r="N287" s="32">
        <v>98.9</v>
      </c>
      <c r="O287" s="32">
        <v>51.1</v>
      </c>
      <c r="P287" s="32">
        <v>143.6</v>
      </c>
      <c r="Q287" s="32">
        <v>121.8</v>
      </c>
      <c r="R287" s="32">
        <v>96</v>
      </c>
      <c r="S287" s="32">
        <v>91</v>
      </c>
      <c r="T287" s="32">
        <v>150</v>
      </c>
      <c r="U287" s="32">
        <v>84.9</v>
      </c>
      <c r="V287" s="32">
        <v>88.6</v>
      </c>
      <c r="W287" s="32">
        <v>63.5</v>
      </c>
      <c r="X287" s="32">
        <v>63.5</v>
      </c>
      <c r="Y287" s="32">
        <v>59.6</v>
      </c>
      <c r="Z287" s="32">
        <v>94.5</v>
      </c>
      <c r="AA287" s="32">
        <v>104.4</v>
      </c>
      <c r="AB287" s="32">
        <v>113.9</v>
      </c>
      <c r="AC287" s="32">
        <v>106.8</v>
      </c>
      <c r="AD287" s="32">
        <v>97</v>
      </c>
      <c r="AE287" s="32">
        <v>74.900000000000006</v>
      </c>
      <c r="AF287" s="32">
        <v>74.900000000000006</v>
      </c>
      <c r="AG287" s="32">
        <v>131.5</v>
      </c>
      <c r="AH287" s="32">
        <v>131.5</v>
      </c>
      <c r="AI287" s="32">
        <v>104.6</v>
      </c>
      <c r="AJ287" s="32">
        <v>199.8</v>
      </c>
      <c r="AK287" s="32">
        <v>126.1</v>
      </c>
      <c r="AL287" s="32">
        <v>113.5</v>
      </c>
      <c r="AM287" s="32">
        <v>108.2</v>
      </c>
      <c r="AN287" s="32">
        <v>183.7</v>
      </c>
      <c r="AO287" s="32">
        <v>101.5</v>
      </c>
      <c r="AP287" s="32">
        <v>101.5</v>
      </c>
      <c r="AQ287" s="32">
        <v>107.8</v>
      </c>
      <c r="AR287" s="32">
        <v>103.5</v>
      </c>
      <c r="AS287" s="32">
        <v>113.4</v>
      </c>
      <c r="AT287" s="32">
        <v>100.4</v>
      </c>
      <c r="AU287" s="32">
        <v>125.9</v>
      </c>
      <c r="AV287" s="32">
        <v>109.2</v>
      </c>
      <c r="AW287" s="32">
        <v>142.9</v>
      </c>
      <c r="AX287" s="32">
        <v>297.7</v>
      </c>
      <c r="AY287" s="32">
        <v>79.099999999999994</v>
      </c>
      <c r="AZ287" s="32">
        <v>102.9</v>
      </c>
      <c r="BA287" s="32">
        <v>92.6</v>
      </c>
      <c r="BB287" s="32">
        <v>92.6</v>
      </c>
      <c r="BC287" s="32">
        <v>175</v>
      </c>
      <c r="BD287" s="32">
        <v>175</v>
      </c>
      <c r="BE287" s="32">
        <v>100.4</v>
      </c>
      <c r="BF287" s="32">
        <v>100.4</v>
      </c>
      <c r="BG287" s="32">
        <v>80</v>
      </c>
      <c r="BH287" s="32">
        <v>66.900000000000006</v>
      </c>
      <c r="BI287" s="32">
        <v>98.3</v>
      </c>
      <c r="BJ287" s="32">
        <v>76.099999999999994</v>
      </c>
      <c r="BK287" s="32">
        <v>99.2</v>
      </c>
      <c r="BL287" s="32">
        <v>170.3</v>
      </c>
      <c r="BM287" s="32">
        <v>88.5</v>
      </c>
      <c r="BN287" s="32">
        <v>90</v>
      </c>
      <c r="BO287" s="32">
        <v>70.900000000000006</v>
      </c>
      <c r="BP287" s="32">
        <v>107</v>
      </c>
      <c r="BQ287" s="32">
        <v>86.8</v>
      </c>
      <c r="BR287" s="32">
        <v>94.8</v>
      </c>
      <c r="BS287" s="32">
        <v>75.900000000000006</v>
      </c>
      <c r="BT287" s="32">
        <v>89.2</v>
      </c>
      <c r="BU287" s="32">
        <v>148.80000000000001</v>
      </c>
      <c r="BV287" s="32">
        <v>148.80000000000001</v>
      </c>
      <c r="BW287" s="32">
        <v>160.9</v>
      </c>
      <c r="BX287" s="32">
        <v>110.9</v>
      </c>
      <c r="BY287" s="32">
        <v>94.5</v>
      </c>
      <c r="BZ287" s="32">
        <v>100.9</v>
      </c>
      <c r="CA287" s="32">
        <v>91.5</v>
      </c>
      <c r="CB287" s="32">
        <v>98.9</v>
      </c>
      <c r="CC287" s="32">
        <v>85.5</v>
      </c>
      <c r="CD287" s="32">
        <v>74.7</v>
      </c>
      <c r="CE287" s="32">
        <v>72.7</v>
      </c>
      <c r="CF287" s="32">
        <v>79.099999999999994</v>
      </c>
      <c r="CG287" s="32">
        <v>70.3</v>
      </c>
      <c r="CH287" s="32">
        <v>87.9</v>
      </c>
      <c r="CI287" s="32">
        <v>84.9</v>
      </c>
      <c r="CJ287" s="32">
        <v>81.5</v>
      </c>
      <c r="CK287" s="32">
        <v>94.6</v>
      </c>
      <c r="CL287" s="32">
        <v>58.2</v>
      </c>
      <c r="CM287" s="32">
        <v>39.200000000000003</v>
      </c>
      <c r="CN287" s="32">
        <v>-192.6</v>
      </c>
      <c r="CO287" s="32">
        <v>73.099999999999994</v>
      </c>
      <c r="CP287" s="32">
        <v>58.7</v>
      </c>
      <c r="CQ287" s="32">
        <v>-51.9</v>
      </c>
      <c r="CR287" s="32">
        <v>82.2</v>
      </c>
      <c r="CS287" s="32">
        <v>116.3</v>
      </c>
      <c r="CT287" s="32">
        <v>26</v>
      </c>
      <c r="CU287" s="32">
        <v>9.1999999999999993</v>
      </c>
      <c r="CV287" s="32">
        <v>32.799999999999997</v>
      </c>
      <c r="CW287" s="32">
        <v>86.8</v>
      </c>
      <c r="CX287" s="32">
        <v>86.9</v>
      </c>
      <c r="CY287" s="32">
        <v>102.7</v>
      </c>
      <c r="CZ287" s="32">
        <v>78.2</v>
      </c>
      <c r="DA287" s="32">
        <v>71.2</v>
      </c>
      <c r="DB287" s="32">
        <v>91.9</v>
      </c>
      <c r="DC287" s="32">
        <v>85.3</v>
      </c>
      <c r="DD287" s="32">
        <v>85.3</v>
      </c>
      <c r="DE287" s="32">
        <v>87.4</v>
      </c>
      <c r="DF287" s="32">
        <v>88.7</v>
      </c>
      <c r="DG287" s="32">
        <v>79.900000000000006</v>
      </c>
      <c r="DH287" s="32">
        <v>96</v>
      </c>
      <c r="DI287" s="32">
        <v>100.2</v>
      </c>
      <c r="DJ287" s="32">
        <v>95</v>
      </c>
      <c r="DK287" s="32">
        <v>95</v>
      </c>
      <c r="DL287" s="32">
        <v>90</v>
      </c>
      <c r="DM287" s="32">
        <v>97</v>
      </c>
      <c r="DN287" s="32">
        <v>93.7</v>
      </c>
      <c r="DO287" s="32">
        <v>99.3</v>
      </c>
      <c r="DP287" s="32">
        <v>73.400000000000006</v>
      </c>
      <c r="DQ287" s="32">
        <v>80.2</v>
      </c>
      <c r="DR287" s="32">
        <v>80.7</v>
      </c>
      <c r="DS287" s="32">
        <v>81.900000000000006</v>
      </c>
      <c r="DT287" s="32">
        <v>80.900000000000006</v>
      </c>
      <c r="DU287" s="32">
        <v>84.5</v>
      </c>
      <c r="DV287" s="32">
        <v>88.8</v>
      </c>
      <c r="DW287" s="32">
        <v>80</v>
      </c>
      <c r="DX287" s="32">
        <v>73.400000000000006</v>
      </c>
      <c r="DY287" s="32">
        <v>85.6</v>
      </c>
      <c r="DZ287" s="32">
        <v>93</v>
      </c>
      <c r="EA287" s="32">
        <v>93</v>
      </c>
      <c r="EB287" s="32">
        <v>71</v>
      </c>
      <c r="EC287" s="32">
        <v>70.099999999999994</v>
      </c>
      <c r="ED287" s="32">
        <v>72.099999999999994</v>
      </c>
      <c r="EE287" s="32">
        <v>66.7</v>
      </c>
      <c r="EF287" s="32">
        <v>83.3</v>
      </c>
      <c r="EG287" s="32">
        <v>79.400000000000006</v>
      </c>
      <c r="EH287" s="32">
        <v>107.5</v>
      </c>
      <c r="EI287" s="32">
        <v>83.8</v>
      </c>
      <c r="EJ287" s="32">
        <v>18.7</v>
      </c>
      <c r="EK287" s="32">
        <v>77</v>
      </c>
      <c r="EL287" s="32">
        <v>92.3</v>
      </c>
      <c r="EM287" s="32">
        <v>70.3</v>
      </c>
      <c r="EN287" s="32">
        <v>78.599999999999994</v>
      </c>
      <c r="EO287" s="32">
        <v>67.7</v>
      </c>
      <c r="EP287" s="32">
        <v>90.9</v>
      </c>
      <c r="EQ287" s="32">
        <v>90.9</v>
      </c>
      <c r="ER287" s="32">
        <v>55.3</v>
      </c>
      <c r="ES287" s="32">
        <v>55.3</v>
      </c>
      <c r="ET287" s="32">
        <v>63.1</v>
      </c>
      <c r="EU287" s="32">
        <v>50.8</v>
      </c>
      <c r="EV287" s="32">
        <v>50.8</v>
      </c>
      <c r="EW287" s="32">
        <v>88.5</v>
      </c>
      <c r="EX287" s="32">
        <v>95.9</v>
      </c>
      <c r="EY287" s="32">
        <v>82.6</v>
      </c>
      <c r="EZ287" s="32">
        <v>60.7</v>
      </c>
      <c r="FA287" s="32">
        <v>56.8</v>
      </c>
      <c r="FB287" s="32">
        <v>60</v>
      </c>
      <c r="FC287" s="32">
        <v>45.5</v>
      </c>
      <c r="FD287" s="32">
        <v>59.1</v>
      </c>
      <c r="FE287" s="32">
        <v>85.1</v>
      </c>
      <c r="FF287" s="32">
        <v>53</v>
      </c>
      <c r="FG287" s="32">
        <v>62.1</v>
      </c>
      <c r="FH287" s="32">
        <v>84.9</v>
      </c>
      <c r="FI287" s="32">
        <v>83.9</v>
      </c>
      <c r="FJ287" s="32">
        <v>50</v>
      </c>
      <c r="FK287" s="32">
        <v>90.6</v>
      </c>
      <c r="FL287" s="32">
        <v>90.6</v>
      </c>
    </row>
    <row r="288" spans="1:168" x14ac:dyDescent="0.2">
      <c r="A288" s="34" t="s">
        <v>1268</v>
      </c>
      <c r="B288" s="32">
        <v>87.1</v>
      </c>
      <c r="C288" s="32">
        <v>91.2</v>
      </c>
      <c r="D288" s="32">
        <v>100.6</v>
      </c>
      <c r="E288" s="32">
        <v>109.5</v>
      </c>
      <c r="F288" s="32">
        <v>131.5</v>
      </c>
      <c r="G288" s="32">
        <v>89.7</v>
      </c>
      <c r="H288" s="32">
        <v>138.5</v>
      </c>
      <c r="I288" s="32">
        <v>117.8</v>
      </c>
      <c r="J288" s="32">
        <v>105.5</v>
      </c>
      <c r="K288" s="32">
        <v>102.2</v>
      </c>
      <c r="L288" s="32">
        <v>102.9</v>
      </c>
      <c r="M288" s="32">
        <v>100.7</v>
      </c>
      <c r="N288" s="32">
        <v>95</v>
      </c>
      <c r="O288" s="32">
        <v>48.2</v>
      </c>
      <c r="P288" s="32">
        <v>144.30000000000001</v>
      </c>
      <c r="Q288" s="32">
        <v>116</v>
      </c>
      <c r="R288" s="32">
        <v>107</v>
      </c>
      <c r="S288" s="32">
        <v>91.1</v>
      </c>
      <c r="T288" s="32">
        <v>138.80000000000001</v>
      </c>
      <c r="U288" s="32">
        <v>82.3</v>
      </c>
      <c r="V288" s="32">
        <v>106.7</v>
      </c>
      <c r="W288" s="32">
        <v>73.7</v>
      </c>
      <c r="X288" s="32">
        <v>72.099999999999994</v>
      </c>
      <c r="Y288" s="32">
        <v>73.8</v>
      </c>
      <c r="Z288" s="32">
        <v>102.6</v>
      </c>
      <c r="AA288" s="32">
        <v>112.2</v>
      </c>
      <c r="AB288" s="32">
        <v>129.4</v>
      </c>
      <c r="AC288" s="32">
        <v>110.7</v>
      </c>
      <c r="AD288" s="32">
        <v>103.1</v>
      </c>
      <c r="AE288" s="32">
        <v>75.099999999999994</v>
      </c>
      <c r="AF288" s="32">
        <v>75.099999999999994</v>
      </c>
      <c r="AG288" s="32">
        <v>134.4</v>
      </c>
      <c r="AH288" s="32">
        <v>134.4</v>
      </c>
      <c r="AI288" s="32">
        <v>110.8</v>
      </c>
      <c r="AJ288" s="32">
        <v>214</v>
      </c>
      <c r="AK288" s="32">
        <v>126.1</v>
      </c>
      <c r="AL288" s="32">
        <v>111.9</v>
      </c>
      <c r="AM288" s="32">
        <v>112.3</v>
      </c>
      <c r="AN288" s="32">
        <v>174</v>
      </c>
      <c r="AO288" s="32">
        <v>104.2</v>
      </c>
      <c r="AP288" s="32">
        <v>104.2</v>
      </c>
      <c r="AQ288" s="32">
        <v>116.5</v>
      </c>
      <c r="AR288" s="32">
        <v>113.4</v>
      </c>
      <c r="AS288" s="32">
        <v>120.7</v>
      </c>
      <c r="AT288" s="32">
        <v>114.9</v>
      </c>
      <c r="AU288" s="32">
        <v>126.2</v>
      </c>
      <c r="AV288" s="32">
        <v>111.1</v>
      </c>
      <c r="AW288" s="32">
        <v>140.69999999999999</v>
      </c>
      <c r="AX288" s="32">
        <v>291.10000000000002</v>
      </c>
      <c r="AY288" s="32">
        <v>78.3</v>
      </c>
      <c r="AZ288" s="32">
        <v>105.8</v>
      </c>
      <c r="BA288" s="32">
        <v>97.9</v>
      </c>
      <c r="BB288" s="32">
        <v>97.9</v>
      </c>
      <c r="BC288" s="32">
        <v>185.3</v>
      </c>
      <c r="BD288" s="32">
        <v>185.3</v>
      </c>
      <c r="BE288" s="32">
        <v>106.5</v>
      </c>
      <c r="BF288" s="32">
        <v>106.5</v>
      </c>
      <c r="BG288" s="32">
        <v>95.9</v>
      </c>
      <c r="BH288" s="32">
        <v>92.3</v>
      </c>
      <c r="BI288" s="32">
        <v>100.7</v>
      </c>
      <c r="BJ288" s="32">
        <v>69.7</v>
      </c>
      <c r="BK288" s="32">
        <v>104.3</v>
      </c>
      <c r="BL288" s="32">
        <v>172.7</v>
      </c>
      <c r="BM288" s="32">
        <v>99.6</v>
      </c>
      <c r="BN288" s="32">
        <v>108.2</v>
      </c>
      <c r="BO288" s="32">
        <v>95.9</v>
      </c>
      <c r="BP288" s="32">
        <v>118.5</v>
      </c>
      <c r="BQ288" s="32">
        <v>91.1</v>
      </c>
      <c r="BR288" s="32">
        <v>97.9</v>
      </c>
      <c r="BS288" s="32">
        <v>72.099999999999994</v>
      </c>
      <c r="BT288" s="32">
        <v>96.2</v>
      </c>
      <c r="BU288" s="32">
        <v>151.1</v>
      </c>
      <c r="BV288" s="32">
        <v>151.1</v>
      </c>
      <c r="BW288" s="32">
        <v>162.5</v>
      </c>
      <c r="BX288" s="32">
        <v>114.7</v>
      </c>
      <c r="BY288" s="32">
        <v>94</v>
      </c>
      <c r="BZ288" s="32">
        <v>99.1</v>
      </c>
      <c r="CA288" s="32">
        <v>91.6</v>
      </c>
      <c r="CB288" s="32">
        <v>97.9</v>
      </c>
      <c r="CC288" s="32">
        <v>86.6</v>
      </c>
      <c r="CD288" s="32">
        <v>75.8</v>
      </c>
      <c r="CE288" s="32">
        <v>83.8</v>
      </c>
      <c r="CF288" s="32">
        <v>84.1</v>
      </c>
      <c r="CG288" s="32">
        <v>81.8</v>
      </c>
      <c r="CH288" s="32">
        <v>92.5</v>
      </c>
      <c r="CI288" s="32">
        <v>111.4</v>
      </c>
      <c r="CJ288" s="32">
        <v>82</v>
      </c>
      <c r="CK288" s="32">
        <v>96.6</v>
      </c>
      <c r="CL288" s="32">
        <v>66.8</v>
      </c>
      <c r="CM288" s="32">
        <v>53.3</v>
      </c>
      <c r="CN288" s="32">
        <v>-102.8</v>
      </c>
      <c r="CO288" s="32">
        <v>74.8</v>
      </c>
      <c r="CP288" s="32">
        <v>51</v>
      </c>
      <c r="CQ288" s="32">
        <v>3.6</v>
      </c>
      <c r="CR288" s="32">
        <v>86.9</v>
      </c>
      <c r="CS288" s="32">
        <v>120.1</v>
      </c>
      <c r="CT288" s="32">
        <v>64.5</v>
      </c>
      <c r="CU288" s="32">
        <v>45.3</v>
      </c>
      <c r="CV288" s="32">
        <v>72.3</v>
      </c>
      <c r="CW288" s="32">
        <v>89.8</v>
      </c>
      <c r="CX288" s="32">
        <v>90.2</v>
      </c>
      <c r="CY288" s="32">
        <v>103.4</v>
      </c>
      <c r="CZ288" s="32">
        <v>82.9</v>
      </c>
      <c r="DA288" s="32">
        <v>80.099999999999994</v>
      </c>
      <c r="DB288" s="32">
        <v>88.3</v>
      </c>
      <c r="DC288" s="32">
        <v>87.5</v>
      </c>
      <c r="DD288" s="32">
        <v>87.5</v>
      </c>
      <c r="DE288" s="32">
        <v>90.9</v>
      </c>
      <c r="DF288" s="32">
        <v>93.1</v>
      </c>
      <c r="DG288" s="32">
        <v>78.7</v>
      </c>
      <c r="DH288" s="32">
        <v>95.9</v>
      </c>
      <c r="DI288" s="32">
        <v>98.4</v>
      </c>
      <c r="DJ288" s="32">
        <v>95.4</v>
      </c>
      <c r="DK288" s="32">
        <v>95.4</v>
      </c>
      <c r="DL288" s="32">
        <v>91.5</v>
      </c>
      <c r="DM288" s="32">
        <v>96.7</v>
      </c>
      <c r="DN288" s="32">
        <v>93.5</v>
      </c>
      <c r="DO288" s="32">
        <v>98.7</v>
      </c>
      <c r="DP288" s="32">
        <v>80.7</v>
      </c>
      <c r="DQ288" s="32">
        <v>81.599999999999994</v>
      </c>
      <c r="DR288" s="32">
        <v>82.3</v>
      </c>
      <c r="DS288" s="32">
        <v>83.6</v>
      </c>
      <c r="DT288" s="32">
        <v>82.1</v>
      </c>
      <c r="DU288" s="32">
        <v>86</v>
      </c>
      <c r="DV288" s="32">
        <v>91.5</v>
      </c>
      <c r="DW288" s="32">
        <v>80.2</v>
      </c>
      <c r="DX288" s="32">
        <v>74.2</v>
      </c>
      <c r="DY288" s="32">
        <v>88.9</v>
      </c>
      <c r="DZ288" s="32">
        <v>83.1</v>
      </c>
      <c r="EA288" s="32">
        <v>83.1</v>
      </c>
      <c r="EB288" s="32">
        <v>78.099999999999994</v>
      </c>
      <c r="EC288" s="32">
        <v>77.8</v>
      </c>
      <c r="ED288" s="32">
        <v>78.5</v>
      </c>
      <c r="EE288" s="32">
        <v>75.7</v>
      </c>
      <c r="EF288" s="32">
        <v>84.3</v>
      </c>
      <c r="EG288" s="32">
        <v>80.400000000000006</v>
      </c>
      <c r="EH288" s="32">
        <v>111.8</v>
      </c>
      <c r="EI288" s="32">
        <v>85.7</v>
      </c>
      <c r="EJ288" s="32">
        <v>24.7</v>
      </c>
      <c r="EK288" s="32">
        <v>74.900000000000006</v>
      </c>
      <c r="EL288" s="32">
        <v>91.6</v>
      </c>
      <c r="EM288" s="32">
        <v>68.599999999999994</v>
      </c>
      <c r="EN288" s="32">
        <v>76.099999999999994</v>
      </c>
      <c r="EO288" s="32">
        <v>73.5</v>
      </c>
      <c r="EP288" s="32">
        <v>89.6</v>
      </c>
      <c r="EQ288" s="32">
        <v>89.6</v>
      </c>
      <c r="ER288" s="32">
        <v>68.8</v>
      </c>
      <c r="ES288" s="32">
        <v>68.8</v>
      </c>
      <c r="ET288" s="32">
        <v>67.7</v>
      </c>
      <c r="EU288" s="32">
        <v>57.5</v>
      </c>
      <c r="EV288" s="32">
        <v>57.5</v>
      </c>
      <c r="EW288" s="32">
        <v>89.6</v>
      </c>
      <c r="EX288" s="32">
        <v>93.9</v>
      </c>
      <c r="EY288" s="32">
        <v>86.3</v>
      </c>
      <c r="EZ288" s="32">
        <v>84</v>
      </c>
      <c r="FA288" s="32">
        <v>68.8</v>
      </c>
      <c r="FB288" s="32">
        <v>66.2</v>
      </c>
      <c r="FC288" s="32">
        <v>48.9</v>
      </c>
      <c r="FD288" s="32">
        <v>79.2</v>
      </c>
      <c r="FE288" s="32">
        <v>89.1</v>
      </c>
      <c r="FF288" s="32">
        <v>71.7</v>
      </c>
      <c r="FG288" s="32">
        <v>94.4</v>
      </c>
      <c r="FH288" s="32">
        <v>83.2</v>
      </c>
      <c r="FI288" s="32">
        <v>85.5</v>
      </c>
      <c r="FJ288" s="32">
        <v>100.3</v>
      </c>
      <c r="FK288" s="32">
        <v>120.9</v>
      </c>
      <c r="FL288" s="32">
        <v>120.9</v>
      </c>
    </row>
    <row r="289" spans="1:168" x14ac:dyDescent="0.2">
      <c r="A289" s="34" t="s">
        <v>1269</v>
      </c>
      <c r="B289" s="32">
        <v>90</v>
      </c>
      <c r="C289" s="32">
        <v>91.4</v>
      </c>
      <c r="D289" s="32">
        <v>103.6</v>
      </c>
      <c r="E289" s="32">
        <v>112.7</v>
      </c>
      <c r="F289" s="32">
        <v>124.8</v>
      </c>
      <c r="G289" s="32">
        <v>64.599999999999994</v>
      </c>
      <c r="H289" s="32">
        <v>130.80000000000001</v>
      </c>
      <c r="I289" s="32">
        <v>114.8</v>
      </c>
      <c r="J289" s="32">
        <v>110.3</v>
      </c>
      <c r="K289" s="32">
        <v>102.7</v>
      </c>
      <c r="L289" s="32">
        <v>101.6</v>
      </c>
      <c r="M289" s="32">
        <v>99</v>
      </c>
      <c r="N289" s="32">
        <v>98.1</v>
      </c>
      <c r="O289" s="32">
        <v>48.3</v>
      </c>
      <c r="P289" s="32">
        <v>145.5</v>
      </c>
      <c r="Q289" s="32">
        <v>115.3</v>
      </c>
      <c r="R289" s="32">
        <v>95.5</v>
      </c>
      <c r="S289" s="32">
        <v>93.4</v>
      </c>
      <c r="T289" s="32">
        <v>143.1</v>
      </c>
      <c r="U289" s="32">
        <v>90.4</v>
      </c>
      <c r="V289" s="32">
        <v>111.3</v>
      </c>
      <c r="W289" s="32">
        <v>77.2</v>
      </c>
      <c r="X289" s="32">
        <v>67.5</v>
      </c>
      <c r="Y289" s="32">
        <v>94.2</v>
      </c>
      <c r="Z289" s="32">
        <v>98.8</v>
      </c>
      <c r="AA289" s="32">
        <v>113.2</v>
      </c>
      <c r="AB289" s="32">
        <v>125.1</v>
      </c>
      <c r="AC289" s="32">
        <v>113.3</v>
      </c>
      <c r="AD289" s="32">
        <v>106.4</v>
      </c>
      <c r="AE289" s="32">
        <v>74.3</v>
      </c>
      <c r="AF289" s="32">
        <v>74.3</v>
      </c>
      <c r="AG289" s="32">
        <v>137.69999999999999</v>
      </c>
      <c r="AH289" s="32">
        <v>137.69999999999999</v>
      </c>
      <c r="AI289" s="32">
        <v>108.8</v>
      </c>
      <c r="AJ289" s="32">
        <v>205.7</v>
      </c>
      <c r="AK289" s="32">
        <v>128</v>
      </c>
      <c r="AL289" s="32">
        <v>117.3</v>
      </c>
      <c r="AM289" s="32">
        <v>116</v>
      </c>
      <c r="AN289" s="32">
        <v>192.3</v>
      </c>
      <c r="AO289" s="32">
        <v>106.3</v>
      </c>
      <c r="AP289" s="32">
        <v>106.3</v>
      </c>
      <c r="AQ289" s="32">
        <v>120.9</v>
      </c>
      <c r="AR289" s="32">
        <v>117.7</v>
      </c>
      <c r="AS289" s="32">
        <v>125.2</v>
      </c>
      <c r="AT289" s="32">
        <v>118.2</v>
      </c>
      <c r="AU289" s="32">
        <v>131.80000000000001</v>
      </c>
      <c r="AV289" s="32">
        <v>113.9</v>
      </c>
      <c r="AW289" s="32">
        <v>141.80000000000001</v>
      </c>
      <c r="AX289" s="32">
        <v>279.3</v>
      </c>
      <c r="AY289" s="32">
        <v>83.4</v>
      </c>
      <c r="AZ289" s="32">
        <v>109.1</v>
      </c>
      <c r="BA289" s="32">
        <v>104</v>
      </c>
      <c r="BB289" s="32">
        <v>104</v>
      </c>
      <c r="BC289" s="32">
        <v>192</v>
      </c>
      <c r="BD289" s="32">
        <v>192</v>
      </c>
      <c r="BE289" s="32">
        <v>113.6</v>
      </c>
      <c r="BF289" s="32">
        <v>113.6</v>
      </c>
      <c r="BG289" s="32">
        <v>111.5</v>
      </c>
      <c r="BH289" s="32">
        <v>111.5</v>
      </c>
      <c r="BI289" s="32">
        <v>111.2</v>
      </c>
      <c r="BJ289" s="32">
        <v>69.2</v>
      </c>
      <c r="BK289" s="32">
        <v>118.4</v>
      </c>
      <c r="BL289" s="32">
        <v>177.5</v>
      </c>
      <c r="BM289" s="32">
        <v>102.4</v>
      </c>
      <c r="BN289" s="32">
        <v>108.1</v>
      </c>
      <c r="BO289" s="32">
        <v>98.1</v>
      </c>
      <c r="BP289" s="32">
        <v>116.4</v>
      </c>
      <c r="BQ289" s="32">
        <v>96.5</v>
      </c>
      <c r="BR289" s="32">
        <v>99.1</v>
      </c>
      <c r="BS289" s="32">
        <v>76.3</v>
      </c>
      <c r="BT289" s="32">
        <v>102.5</v>
      </c>
      <c r="BU289" s="32">
        <v>148.30000000000001</v>
      </c>
      <c r="BV289" s="32">
        <v>148.30000000000001</v>
      </c>
      <c r="BW289" s="32">
        <v>157.69999999999999</v>
      </c>
      <c r="BX289" s="32">
        <v>116.7</v>
      </c>
      <c r="BY289" s="32">
        <v>97</v>
      </c>
      <c r="BZ289" s="32">
        <v>100.2</v>
      </c>
      <c r="CA289" s="32">
        <v>95.5</v>
      </c>
      <c r="CB289" s="32">
        <v>106.6</v>
      </c>
      <c r="CC289" s="32">
        <v>86.2</v>
      </c>
      <c r="CD289" s="32">
        <v>74.8</v>
      </c>
      <c r="CE289" s="32">
        <v>86.3</v>
      </c>
      <c r="CF289" s="32">
        <v>87</v>
      </c>
      <c r="CG289" s="32">
        <v>88.2</v>
      </c>
      <c r="CH289" s="32">
        <v>93.2</v>
      </c>
      <c r="CI289" s="32">
        <v>106.1</v>
      </c>
      <c r="CJ289" s="32">
        <v>84.2</v>
      </c>
      <c r="CK289" s="32">
        <v>97.7</v>
      </c>
      <c r="CL289" s="32">
        <v>67.8</v>
      </c>
      <c r="CM289" s="32">
        <v>58.4</v>
      </c>
      <c r="CN289" s="32">
        <v>-71.5</v>
      </c>
      <c r="CO289" s="32">
        <v>75.599999999999994</v>
      </c>
      <c r="CP289" s="32">
        <v>46.5</v>
      </c>
      <c r="CQ289" s="32">
        <v>17</v>
      </c>
      <c r="CR289" s="32">
        <v>87.8</v>
      </c>
      <c r="CS289" s="32">
        <v>111.7</v>
      </c>
      <c r="CT289" s="32">
        <v>97</v>
      </c>
      <c r="CU289" s="32">
        <v>78</v>
      </c>
      <c r="CV289" s="32">
        <v>104.8</v>
      </c>
      <c r="CW289" s="32">
        <v>89.9</v>
      </c>
      <c r="CX289" s="32">
        <v>90.2</v>
      </c>
      <c r="CY289" s="32">
        <v>106.5</v>
      </c>
      <c r="CZ289" s="32">
        <v>81.3</v>
      </c>
      <c r="DA289" s="32">
        <v>77.900000000000006</v>
      </c>
      <c r="DB289" s="32">
        <v>87.8</v>
      </c>
      <c r="DC289" s="32">
        <v>89.7</v>
      </c>
      <c r="DD289" s="32">
        <v>89.7</v>
      </c>
      <c r="DE289" s="32">
        <v>89.6</v>
      </c>
      <c r="DF289" s="32">
        <v>91.7</v>
      </c>
      <c r="DG289" s="32">
        <v>77.900000000000006</v>
      </c>
      <c r="DH289" s="32">
        <v>96.6</v>
      </c>
      <c r="DI289" s="32">
        <v>100.4</v>
      </c>
      <c r="DJ289" s="32">
        <v>97</v>
      </c>
      <c r="DK289" s="32">
        <v>97</v>
      </c>
      <c r="DL289" s="32">
        <v>90.2</v>
      </c>
      <c r="DM289" s="32">
        <v>97.1</v>
      </c>
      <c r="DN289" s="32">
        <v>94.2</v>
      </c>
      <c r="DO289" s="32">
        <v>98.8</v>
      </c>
      <c r="DP289" s="32">
        <v>84.7</v>
      </c>
      <c r="DQ289" s="32">
        <v>83.4</v>
      </c>
      <c r="DR289" s="32">
        <v>83.9</v>
      </c>
      <c r="DS289" s="32">
        <v>85.5</v>
      </c>
      <c r="DT289" s="32">
        <v>83.9</v>
      </c>
      <c r="DU289" s="32">
        <v>86.7</v>
      </c>
      <c r="DV289" s="32">
        <v>90.8</v>
      </c>
      <c r="DW289" s="32">
        <v>82.4</v>
      </c>
      <c r="DX289" s="32">
        <v>78</v>
      </c>
      <c r="DY289" s="32">
        <v>91.5</v>
      </c>
      <c r="DZ289" s="32">
        <v>83.1</v>
      </c>
      <c r="EA289" s="32">
        <v>83.1</v>
      </c>
      <c r="EB289" s="32">
        <v>79.5</v>
      </c>
      <c r="EC289" s="32">
        <v>79.3</v>
      </c>
      <c r="ED289" s="32">
        <v>79.8</v>
      </c>
      <c r="EE289" s="32">
        <v>79.2</v>
      </c>
      <c r="EF289" s="32">
        <v>81.099999999999994</v>
      </c>
      <c r="EG289" s="32">
        <v>82.5</v>
      </c>
      <c r="EH289" s="32">
        <v>115</v>
      </c>
      <c r="EI289" s="32">
        <v>87.5</v>
      </c>
      <c r="EJ289" s="32">
        <v>32.200000000000003</v>
      </c>
      <c r="EK289" s="32">
        <v>75.5</v>
      </c>
      <c r="EL289" s="32">
        <v>92.5</v>
      </c>
      <c r="EM289" s="32">
        <v>71.400000000000006</v>
      </c>
      <c r="EN289" s="32">
        <v>75.400000000000006</v>
      </c>
      <c r="EO289" s="32">
        <v>79.2</v>
      </c>
      <c r="EP289" s="32">
        <v>89.7</v>
      </c>
      <c r="EQ289" s="32">
        <v>89.7</v>
      </c>
      <c r="ER289" s="32">
        <v>81.900000000000006</v>
      </c>
      <c r="ES289" s="32">
        <v>81.900000000000006</v>
      </c>
      <c r="ET289" s="32">
        <v>71</v>
      </c>
      <c r="EU289" s="32">
        <v>63.2</v>
      </c>
      <c r="EV289" s="32">
        <v>63.2</v>
      </c>
      <c r="EW289" s="32">
        <v>89.4</v>
      </c>
      <c r="EX289" s="32">
        <v>93.4</v>
      </c>
      <c r="EY289" s="32">
        <v>86.2</v>
      </c>
      <c r="EZ289" s="32">
        <v>80.599999999999994</v>
      </c>
      <c r="FA289" s="32">
        <v>69.099999999999994</v>
      </c>
      <c r="FB289" s="32">
        <v>70.099999999999994</v>
      </c>
      <c r="FC289" s="32">
        <v>52.5</v>
      </c>
      <c r="FD289" s="32">
        <v>81.599999999999994</v>
      </c>
      <c r="FE289" s="32">
        <v>94.5</v>
      </c>
      <c r="FF289" s="32">
        <v>67.900000000000006</v>
      </c>
      <c r="FG289" s="32">
        <v>86</v>
      </c>
      <c r="FH289" s="32">
        <v>82.4</v>
      </c>
      <c r="FI289" s="32">
        <v>86.8</v>
      </c>
      <c r="FJ289" s="32">
        <v>87.5</v>
      </c>
      <c r="FK289" s="32">
        <v>146.30000000000001</v>
      </c>
      <c r="FL289" s="32">
        <v>146.30000000000001</v>
      </c>
    </row>
    <row r="290" spans="1:168" x14ac:dyDescent="0.2">
      <c r="A290" s="34" t="s">
        <v>1270</v>
      </c>
      <c r="B290" s="32">
        <v>91.3</v>
      </c>
      <c r="C290" s="32">
        <v>92.9</v>
      </c>
      <c r="D290" s="32">
        <v>105.2</v>
      </c>
      <c r="E290" s="32">
        <v>113.8</v>
      </c>
      <c r="F290" s="32">
        <v>117.7</v>
      </c>
      <c r="G290" s="32">
        <v>54.1</v>
      </c>
      <c r="H290" s="32">
        <v>121.5</v>
      </c>
      <c r="I290" s="32">
        <v>116.3</v>
      </c>
      <c r="J290" s="32">
        <v>113.1</v>
      </c>
      <c r="K290" s="32">
        <v>103</v>
      </c>
      <c r="L290" s="32">
        <v>103.1</v>
      </c>
      <c r="M290" s="32">
        <v>99.9</v>
      </c>
      <c r="N290" s="32">
        <v>100.9</v>
      </c>
      <c r="O290" s="32">
        <v>51.6</v>
      </c>
      <c r="P290" s="32">
        <v>152.19999999999999</v>
      </c>
      <c r="Q290" s="32">
        <v>119.8</v>
      </c>
      <c r="R290" s="32">
        <v>97.6</v>
      </c>
      <c r="S290" s="32">
        <v>93.4</v>
      </c>
      <c r="T290" s="32">
        <v>139.5</v>
      </c>
      <c r="U290" s="32">
        <v>89.3</v>
      </c>
      <c r="V290" s="32">
        <v>107.6</v>
      </c>
      <c r="W290" s="32">
        <v>76.7</v>
      </c>
      <c r="X290" s="32">
        <v>67.099999999999994</v>
      </c>
      <c r="Y290" s="32">
        <v>92.2</v>
      </c>
      <c r="Z290" s="32">
        <v>105.9</v>
      </c>
      <c r="AA290" s="32">
        <v>115.3</v>
      </c>
      <c r="AB290" s="32">
        <v>127.6</v>
      </c>
      <c r="AC290" s="32">
        <v>117.3</v>
      </c>
      <c r="AD290" s="32">
        <v>106.4</v>
      </c>
      <c r="AE290" s="32">
        <v>83.7</v>
      </c>
      <c r="AF290" s="32">
        <v>83.7</v>
      </c>
      <c r="AG290" s="32">
        <v>139.80000000000001</v>
      </c>
      <c r="AH290" s="32">
        <v>139.80000000000001</v>
      </c>
      <c r="AI290" s="32">
        <v>104.7</v>
      </c>
      <c r="AJ290" s="32">
        <v>220.8</v>
      </c>
      <c r="AK290" s="32">
        <v>130.6</v>
      </c>
      <c r="AL290" s="32">
        <v>113.7</v>
      </c>
      <c r="AM290" s="32">
        <v>115.7</v>
      </c>
      <c r="AN290" s="32">
        <v>199</v>
      </c>
      <c r="AO290" s="32">
        <v>99.3</v>
      </c>
      <c r="AP290" s="32">
        <v>99.3</v>
      </c>
      <c r="AQ290" s="32">
        <v>123</v>
      </c>
      <c r="AR290" s="32">
        <v>117.7</v>
      </c>
      <c r="AS290" s="32">
        <v>130</v>
      </c>
      <c r="AT290" s="32">
        <v>120.3</v>
      </c>
      <c r="AU290" s="32">
        <v>139.1</v>
      </c>
      <c r="AV290" s="32">
        <v>121</v>
      </c>
      <c r="AW290" s="32">
        <v>161.9</v>
      </c>
      <c r="AX290" s="32">
        <v>298.8</v>
      </c>
      <c r="AY290" s="32">
        <v>101.6</v>
      </c>
      <c r="AZ290" s="32">
        <v>113.2</v>
      </c>
      <c r="BA290" s="32">
        <v>105</v>
      </c>
      <c r="BB290" s="32">
        <v>105</v>
      </c>
      <c r="BC290" s="32">
        <v>190</v>
      </c>
      <c r="BD290" s="32">
        <v>190</v>
      </c>
      <c r="BE290" s="32">
        <v>124.9</v>
      </c>
      <c r="BF290" s="32">
        <v>124.9</v>
      </c>
      <c r="BG290" s="32">
        <v>117.6</v>
      </c>
      <c r="BH290" s="32">
        <v>115</v>
      </c>
      <c r="BI290" s="32">
        <v>120.9</v>
      </c>
      <c r="BJ290" s="32">
        <v>86.2</v>
      </c>
      <c r="BK290" s="32">
        <v>126.2</v>
      </c>
      <c r="BL290" s="32">
        <v>184</v>
      </c>
      <c r="BM290" s="32">
        <v>103.6</v>
      </c>
      <c r="BN290" s="32">
        <v>111.2</v>
      </c>
      <c r="BO290" s="32">
        <v>101.5</v>
      </c>
      <c r="BP290" s="32">
        <v>119.1</v>
      </c>
      <c r="BQ290" s="32">
        <v>96</v>
      </c>
      <c r="BR290" s="32">
        <v>93.7</v>
      </c>
      <c r="BS290" s="32">
        <v>73.400000000000006</v>
      </c>
      <c r="BT290" s="32">
        <v>103.4</v>
      </c>
      <c r="BU290" s="32">
        <v>144.80000000000001</v>
      </c>
      <c r="BV290" s="32">
        <v>144.80000000000001</v>
      </c>
      <c r="BW290" s="32">
        <v>153.6</v>
      </c>
      <c r="BX290" s="32">
        <v>115.1</v>
      </c>
      <c r="BY290" s="32">
        <v>95.4</v>
      </c>
      <c r="BZ290" s="32">
        <v>100.7</v>
      </c>
      <c r="CA290" s="32">
        <v>92.8</v>
      </c>
      <c r="CB290" s="32">
        <v>98.3</v>
      </c>
      <c r="CC290" s="32">
        <v>88.6</v>
      </c>
      <c r="CD290" s="32">
        <v>77.400000000000006</v>
      </c>
      <c r="CE290" s="32">
        <v>89</v>
      </c>
      <c r="CF290" s="32">
        <v>88.3</v>
      </c>
      <c r="CG290" s="32">
        <v>87.3</v>
      </c>
      <c r="CH290" s="32">
        <v>93.9</v>
      </c>
      <c r="CI290" s="32">
        <v>106.1</v>
      </c>
      <c r="CJ290" s="32">
        <v>84.1</v>
      </c>
      <c r="CK290" s="32">
        <v>99.2</v>
      </c>
      <c r="CL290" s="32">
        <v>70.8</v>
      </c>
      <c r="CM290" s="32">
        <v>65.3</v>
      </c>
      <c r="CN290" s="32">
        <v>-58.8</v>
      </c>
      <c r="CO290" s="32">
        <v>81.3</v>
      </c>
      <c r="CP290" s="32">
        <v>46.2</v>
      </c>
      <c r="CQ290" s="32">
        <v>18.399999999999999</v>
      </c>
      <c r="CR290" s="32">
        <v>87.6</v>
      </c>
      <c r="CS290" s="32">
        <v>115.4</v>
      </c>
      <c r="CT290" s="32">
        <v>85.7</v>
      </c>
      <c r="CU290" s="32">
        <v>69.2</v>
      </c>
      <c r="CV290" s="32">
        <v>92.4</v>
      </c>
      <c r="CW290" s="32">
        <v>90.4</v>
      </c>
      <c r="CX290" s="32">
        <v>91.6</v>
      </c>
      <c r="CY290" s="32">
        <v>104.8</v>
      </c>
      <c r="CZ290" s="32">
        <v>84.3</v>
      </c>
      <c r="DA290" s="32">
        <v>81.8</v>
      </c>
      <c r="DB290" s="32">
        <v>89.1</v>
      </c>
      <c r="DC290" s="32">
        <v>88.5</v>
      </c>
      <c r="DD290" s="32">
        <v>88.5</v>
      </c>
      <c r="DE290" s="32">
        <v>91</v>
      </c>
      <c r="DF290" s="32">
        <v>92.7</v>
      </c>
      <c r="DG290" s="32">
        <v>81.5</v>
      </c>
      <c r="DH290" s="32">
        <v>98.8</v>
      </c>
      <c r="DI290" s="32">
        <v>103.5</v>
      </c>
      <c r="DJ290" s="32">
        <v>98.9</v>
      </c>
      <c r="DK290" s="32">
        <v>98.9</v>
      </c>
      <c r="DL290" s="32">
        <v>91.6</v>
      </c>
      <c r="DM290" s="32">
        <v>97.5</v>
      </c>
      <c r="DN290" s="32">
        <v>95.1</v>
      </c>
      <c r="DO290" s="32">
        <v>99</v>
      </c>
      <c r="DP290" s="32">
        <v>85.3</v>
      </c>
      <c r="DQ290" s="32">
        <v>84.6</v>
      </c>
      <c r="DR290" s="32">
        <v>85.6</v>
      </c>
      <c r="DS290" s="32">
        <v>86</v>
      </c>
      <c r="DT290" s="32">
        <v>85.2</v>
      </c>
      <c r="DU290" s="32">
        <v>87.9</v>
      </c>
      <c r="DV290" s="32">
        <v>91.3</v>
      </c>
      <c r="DW290" s="32">
        <v>84.2</v>
      </c>
      <c r="DX290" s="32">
        <v>79.5</v>
      </c>
      <c r="DY290" s="32">
        <v>89</v>
      </c>
      <c r="DZ290" s="32">
        <v>86</v>
      </c>
      <c r="EA290" s="32">
        <v>86</v>
      </c>
      <c r="EB290" s="32">
        <v>84.1</v>
      </c>
      <c r="EC290" s="32">
        <v>85</v>
      </c>
      <c r="ED290" s="32">
        <v>83.1</v>
      </c>
      <c r="EE290" s="32">
        <v>83.1</v>
      </c>
      <c r="EF290" s="32">
        <v>83</v>
      </c>
      <c r="EG290" s="32">
        <v>83</v>
      </c>
      <c r="EH290" s="32">
        <v>114.2</v>
      </c>
      <c r="EI290" s="32">
        <v>90.2</v>
      </c>
      <c r="EJ290" s="32">
        <v>33.799999999999997</v>
      </c>
      <c r="EK290" s="32">
        <v>75</v>
      </c>
      <c r="EL290" s="32">
        <v>95.4</v>
      </c>
      <c r="EM290" s="32">
        <v>73</v>
      </c>
      <c r="EN290" s="32">
        <v>73.400000000000006</v>
      </c>
      <c r="EO290" s="32">
        <v>82.6</v>
      </c>
      <c r="EP290" s="32">
        <v>90.1</v>
      </c>
      <c r="EQ290" s="32">
        <v>90.1</v>
      </c>
      <c r="ER290" s="32">
        <v>89.2</v>
      </c>
      <c r="ES290" s="32">
        <v>89.2</v>
      </c>
      <c r="ET290" s="32">
        <v>73.3</v>
      </c>
      <c r="EU290" s="32">
        <v>66.7</v>
      </c>
      <c r="EV290" s="32">
        <v>66.7</v>
      </c>
      <c r="EW290" s="32">
        <v>89.7</v>
      </c>
      <c r="EX290" s="32">
        <v>93.6</v>
      </c>
      <c r="EY290" s="32">
        <v>86.6</v>
      </c>
      <c r="EZ290" s="32">
        <v>82.6</v>
      </c>
      <c r="FA290" s="32">
        <v>75.400000000000006</v>
      </c>
      <c r="FB290" s="32">
        <v>76.599999999999994</v>
      </c>
      <c r="FC290" s="32">
        <v>62.9</v>
      </c>
      <c r="FD290" s="32">
        <v>82.1</v>
      </c>
      <c r="FE290" s="32">
        <v>97.2</v>
      </c>
      <c r="FF290" s="32">
        <v>73.900000000000006</v>
      </c>
      <c r="FG290" s="32">
        <v>84.6</v>
      </c>
      <c r="FH290" s="32">
        <v>83.7</v>
      </c>
      <c r="FI290" s="32">
        <v>91.4</v>
      </c>
      <c r="FJ290" s="32">
        <v>84.2</v>
      </c>
      <c r="FK290" s="32">
        <v>148.80000000000001</v>
      </c>
      <c r="FL290" s="32">
        <v>148.80000000000001</v>
      </c>
    </row>
    <row r="291" spans="1:168" x14ac:dyDescent="0.2">
      <c r="A291" s="34" t="s">
        <v>1271</v>
      </c>
      <c r="B291" s="32">
        <v>91.7</v>
      </c>
      <c r="C291" s="32">
        <v>92.9</v>
      </c>
      <c r="D291" s="32">
        <v>104.7</v>
      </c>
      <c r="E291" s="32">
        <v>113</v>
      </c>
      <c r="F291" s="32">
        <v>119.2</v>
      </c>
      <c r="G291" s="32">
        <v>56.7</v>
      </c>
      <c r="H291" s="32">
        <v>123.7</v>
      </c>
      <c r="I291" s="32">
        <v>114.1</v>
      </c>
      <c r="J291" s="32">
        <v>112.2</v>
      </c>
      <c r="K291" s="32">
        <v>101.3</v>
      </c>
      <c r="L291" s="32">
        <v>103.1</v>
      </c>
      <c r="M291" s="32">
        <v>100</v>
      </c>
      <c r="N291" s="32">
        <v>98.4</v>
      </c>
      <c r="O291" s="32">
        <v>61.7</v>
      </c>
      <c r="P291" s="32">
        <v>150.69999999999999</v>
      </c>
      <c r="Q291" s="32">
        <v>120.3</v>
      </c>
      <c r="R291" s="32">
        <v>98</v>
      </c>
      <c r="S291" s="32">
        <v>94.6</v>
      </c>
      <c r="T291" s="32">
        <v>136.6</v>
      </c>
      <c r="U291" s="32">
        <v>86.9</v>
      </c>
      <c r="V291" s="32">
        <v>100</v>
      </c>
      <c r="W291" s="32">
        <v>77.400000000000006</v>
      </c>
      <c r="X291" s="32">
        <v>66.099999999999994</v>
      </c>
      <c r="Y291" s="32">
        <v>96.1</v>
      </c>
      <c r="Z291" s="32">
        <v>111</v>
      </c>
      <c r="AA291" s="32">
        <v>115.2</v>
      </c>
      <c r="AB291" s="32">
        <v>125.7</v>
      </c>
      <c r="AC291" s="32">
        <v>117.9</v>
      </c>
      <c r="AD291" s="32">
        <v>107</v>
      </c>
      <c r="AE291" s="32">
        <v>81.400000000000006</v>
      </c>
      <c r="AF291" s="32">
        <v>81.400000000000006</v>
      </c>
      <c r="AG291" s="32">
        <v>141.30000000000001</v>
      </c>
      <c r="AH291" s="32">
        <v>141.30000000000001</v>
      </c>
      <c r="AI291" s="32">
        <v>112.2</v>
      </c>
      <c r="AJ291" s="32">
        <v>212.3</v>
      </c>
      <c r="AK291" s="32">
        <v>134</v>
      </c>
      <c r="AL291" s="32">
        <v>114.4</v>
      </c>
      <c r="AM291" s="32">
        <v>116.8</v>
      </c>
      <c r="AN291" s="32">
        <v>207.1</v>
      </c>
      <c r="AO291" s="32">
        <v>92.6</v>
      </c>
      <c r="AP291" s="32">
        <v>92.6</v>
      </c>
      <c r="AQ291" s="32">
        <v>121.2</v>
      </c>
      <c r="AR291" s="32">
        <v>117</v>
      </c>
      <c r="AS291" s="32">
        <v>127</v>
      </c>
      <c r="AT291" s="32">
        <v>117.5</v>
      </c>
      <c r="AU291" s="32">
        <v>135.9</v>
      </c>
      <c r="AV291" s="32">
        <v>122.8</v>
      </c>
      <c r="AW291" s="32">
        <v>166</v>
      </c>
      <c r="AX291" s="32">
        <v>288.3</v>
      </c>
      <c r="AY291" s="32">
        <v>110.6</v>
      </c>
      <c r="AZ291" s="32">
        <v>114.2</v>
      </c>
      <c r="BA291" s="32">
        <v>107.5</v>
      </c>
      <c r="BB291" s="32">
        <v>107.5</v>
      </c>
      <c r="BC291" s="32">
        <v>184.2</v>
      </c>
      <c r="BD291" s="32">
        <v>184.2</v>
      </c>
      <c r="BE291" s="32">
        <v>128.5</v>
      </c>
      <c r="BF291" s="32">
        <v>128.5</v>
      </c>
      <c r="BG291" s="32">
        <v>115.7</v>
      </c>
      <c r="BH291" s="32">
        <v>115.1</v>
      </c>
      <c r="BI291" s="32">
        <v>116</v>
      </c>
      <c r="BJ291" s="32">
        <v>78.599999999999994</v>
      </c>
      <c r="BK291" s="32">
        <v>122.3</v>
      </c>
      <c r="BL291" s="32">
        <v>176.1</v>
      </c>
      <c r="BM291" s="32">
        <v>102</v>
      </c>
      <c r="BN291" s="32">
        <v>112.8</v>
      </c>
      <c r="BO291" s="32">
        <v>103.3</v>
      </c>
      <c r="BP291" s="32">
        <v>120.3</v>
      </c>
      <c r="BQ291" s="32">
        <v>91.3</v>
      </c>
      <c r="BR291" s="32">
        <v>91.8</v>
      </c>
      <c r="BS291" s="32">
        <v>65.599999999999994</v>
      </c>
      <c r="BT291" s="32">
        <v>99.3</v>
      </c>
      <c r="BU291" s="32">
        <v>140.6</v>
      </c>
      <c r="BV291" s="32">
        <v>140.6</v>
      </c>
      <c r="BW291" s="32">
        <v>150.69999999999999</v>
      </c>
      <c r="BX291" s="32">
        <v>108.3</v>
      </c>
      <c r="BY291" s="32">
        <v>96.7</v>
      </c>
      <c r="BZ291" s="32">
        <v>100.2</v>
      </c>
      <c r="CA291" s="32">
        <v>95</v>
      </c>
      <c r="CB291" s="32">
        <v>102.3</v>
      </c>
      <c r="CC291" s="32">
        <v>89</v>
      </c>
      <c r="CD291" s="32">
        <v>80.7</v>
      </c>
      <c r="CE291" s="32">
        <v>89.1</v>
      </c>
      <c r="CF291" s="32">
        <v>88.8</v>
      </c>
      <c r="CG291" s="32">
        <v>85.1</v>
      </c>
      <c r="CH291" s="32">
        <v>95.1</v>
      </c>
      <c r="CI291" s="32">
        <v>100.6</v>
      </c>
      <c r="CJ291" s="32">
        <v>88.8</v>
      </c>
      <c r="CK291" s="32">
        <v>99.4</v>
      </c>
      <c r="CL291" s="32">
        <v>69</v>
      </c>
      <c r="CM291" s="32">
        <v>64.099999999999994</v>
      </c>
      <c r="CN291" s="32">
        <v>-51.2</v>
      </c>
      <c r="CO291" s="32">
        <v>79.5</v>
      </c>
      <c r="CP291" s="32">
        <v>47.3</v>
      </c>
      <c r="CQ291" s="32">
        <v>10.1</v>
      </c>
      <c r="CR291" s="32">
        <v>85.5</v>
      </c>
      <c r="CS291" s="32">
        <v>113.1</v>
      </c>
      <c r="CT291" s="32">
        <v>72.400000000000006</v>
      </c>
      <c r="CU291" s="32">
        <v>59</v>
      </c>
      <c r="CV291" s="32">
        <v>77.900000000000006</v>
      </c>
      <c r="CW291" s="32">
        <v>92.4</v>
      </c>
      <c r="CX291" s="32">
        <v>97.8</v>
      </c>
      <c r="CY291" s="32">
        <v>104.9</v>
      </c>
      <c r="CZ291" s="32">
        <v>93.8</v>
      </c>
      <c r="DA291" s="32">
        <v>95.3</v>
      </c>
      <c r="DB291" s="32">
        <v>90.8</v>
      </c>
      <c r="DC291" s="32">
        <v>92.8</v>
      </c>
      <c r="DD291" s="32">
        <v>92.8</v>
      </c>
      <c r="DE291" s="32">
        <v>89</v>
      </c>
      <c r="DF291" s="32">
        <v>90.7</v>
      </c>
      <c r="DG291" s="32">
        <v>79.400000000000006</v>
      </c>
      <c r="DH291" s="32">
        <v>99.8</v>
      </c>
      <c r="DI291" s="32">
        <v>102.7</v>
      </c>
      <c r="DJ291" s="32">
        <v>100.1</v>
      </c>
      <c r="DK291" s="32">
        <v>100.1</v>
      </c>
      <c r="DL291" s="32">
        <v>94.2</v>
      </c>
      <c r="DM291" s="32">
        <v>97.1</v>
      </c>
      <c r="DN291" s="32">
        <v>94.9</v>
      </c>
      <c r="DO291" s="32">
        <v>98.6</v>
      </c>
      <c r="DP291" s="32">
        <v>82.2</v>
      </c>
      <c r="DQ291" s="32">
        <v>86.6</v>
      </c>
      <c r="DR291" s="32">
        <v>88</v>
      </c>
      <c r="DS291" s="32">
        <v>86.9</v>
      </c>
      <c r="DT291" s="32">
        <v>85.1</v>
      </c>
      <c r="DU291" s="32">
        <v>87.6</v>
      </c>
      <c r="DV291" s="32">
        <v>90</v>
      </c>
      <c r="DW291" s="32">
        <v>84.9</v>
      </c>
      <c r="DX291" s="32">
        <v>79.8</v>
      </c>
      <c r="DY291" s="32">
        <v>93.7</v>
      </c>
      <c r="DZ291" s="32">
        <v>99.6</v>
      </c>
      <c r="EA291" s="32">
        <v>99.6</v>
      </c>
      <c r="EB291" s="32">
        <v>85.4</v>
      </c>
      <c r="EC291" s="32">
        <v>85</v>
      </c>
      <c r="ED291" s="32">
        <v>86</v>
      </c>
      <c r="EE291" s="32">
        <v>87.5</v>
      </c>
      <c r="EF291" s="32">
        <v>82.8</v>
      </c>
      <c r="EG291" s="32">
        <v>84.4</v>
      </c>
      <c r="EH291" s="32">
        <v>114.1</v>
      </c>
      <c r="EI291" s="32">
        <v>89.6</v>
      </c>
      <c r="EJ291" s="32">
        <v>38.200000000000003</v>
      </c>
      <c r="EK291" s="32">
        <v>77.7</v>
      </c>
      <c r="EL291" s="32">
        <v>93.2</v>
      </c>
      <c r="EM291" s="32">
        <v>77.8</v>
      </c>
      <c r="EN291" s="32">
        <v>75.5</v>
      </c>
      <c r="EO291" s="32">
        <v>84.3</v>
      </c>
      <c r="EP291" s="32">
        <v>89.9</v>
      </c>
      <c r="EQ291" s="32">
        <v>89.9</v>
      </c>
      <c r="ER291" s="32">
        <v>92.3</v>
      </c>
      <c r="ES291" s="32">
        <v>92.3</v>
      </c>
      <c r="ET291" s="32">
        <v>75.099999999999994</v>
      </c>
      <c r="EU291" s="32">
        <v>69.7</v>
      </c>
      <c r="EV291" s="32">
        <v>69.7</v>
      </c>
      <c r="EW291" s="32">
        <v>89.6</v>
      </c>
      <c r="EX291" s="32">
        <v>93.3</v>
      </c>
      <c r="EY291" s="32">
        <v>86.7</v>
      </c>
      <c r="EZ291" s="32">
        <v>81.5</v>
      </c>
      <c r="FA291" s="32">
        <v>78.900000000000006</v>
      </c>
      <c r="FB291" s="32">
        <v>79.3</v>
      </c>
      <c r="FC291" s="32">
        <v>67.400000000000006</v>
      </c>
      <c r="FD291" s="32">
        <v>84.9</v>
      </c>
      <c r="FE291" s="32">
        <v>96.9</v>
      </c>
      <c r="FF291" s="32">
        <v>78.5</v>
      </c>
      <c r="FG291" s="32">
        <v>80.2</v>
      </c>
      <c r="FH291" s="32">
        <v>84.1</v>
      </c>
      <c r="FI291" s="32">
        <v>97.6</v>
      </c>
      <c r="FJ291" s="32">
        <v>76.599999999999994</v>
      </c>
      <c r="FK291" s="32">
        <v>135.80000000000001</v>
      </c>
      <c r="FL291" s="32">
        <v>135.80000000000001</v>
      </c>
    </row>
    <row r="292" spans="1:168" x14ac:dyDescent="0.2">
      <c r="A292" s="34" t="s">
        <v>1272</v>
      </c>
      <c r="B292" s="32">
        <v>89.7</v>
      </c>
      <c r="C292" s="32">
        <v>94.7</v>
      </c>
      <c r="D292" s="32">
        <v>106.2</v>
      </c>
      <c r="E292" s="32">
        <v>114.7</v>
      </c>
      <c r="F292" s="32">
        <v>114.8</v>
      </c>
      <c r="G292" s="32">
        <v>43.5</v>
      </c>
      <c r="H292" s="32">
        <v>117.6</v>
      </c>
      <c r="I292" s="32">
        <v>114.4</v>
      </c>
      <c r="J292" s="32">
        <v>114.6</v>
      </c>
      <c r="K292" s="32">
        <v>101.9</v>
      </c>
      <c r="L292" s="32">
        <v>105</v>
      </c>
      <c r="M292" s="32">
        <v>100.2</v>
      </c>
      <c r="N292" s="32">
        <v>100.7</v>
      </c>
      <c r="O292" s="32">
        <v>75.2</v>
      </c>
      <c r="P292" s="32">
        <v>151.6</v>
      </c>
      <c r="Q292" s="32">
        <v>121.7</v>
      </c>
      <c r="R292" s="32">
        <v>102.9</v>
      </c>
      <c r="S292" s="32">
        <v>97.5</v>
      </c>
      <c r="T292" s="32">
        <v>129</v>
      </c>
      <c r="U292" s="32">
        <v>90.4</v>
      </c>
      <c r="V292" s="32">
        <v>95.1</v>
      </c>
      <c r="W292" s="32">
        <v>81.2</v>
      </c>
      <c r="X292" s="32">
        <v>70.400000000000006</v>
      </c>
      <c r="Y292" s="32">
        <v>99.8</v>
      </c>
      <c r="Z292" s="32">
        <v>111.1</v>
      </c>
      <c r="AA292" s="32">
        <v>118.2</v>
      </c>
      <c r="AB292" s="32">
        <v>127.6</v>
      </c>
      <c r="AC292" s="32">
        <v>121.1</v>
      </c>
      <c r="AD292" s="32">
        <v>110.6</v>
      </c>
      <c r="AE292" s="32">
        <v>81.8</v>
      </c>
      <c r="AF292" s="32">
        <v>81.8</v>
      </c>
      <c r="AG292" s="32">
        <v>144.1</v>
      </c>
      <c r="AH292" s="32">
        <v>144.1</v>
      </c>
      <c r="AI292" s="32">
        <v>138.1</v>
      </c>
      <c r="AJ292" s="32">
        <v>207.9</v>
      </c>
      <c r="AK292" s="32">
        <v>140.80000000000001</v>
      </c>
      <c r="AL292" s="32">
        <v>112</v>
      </c>
      <c r="AM292" s="32">
        <v>112.2</v>
      </c>
      <c r="AN292" s="32">
        <v>219.5</v>
      </c>
      <c r="AO292" s="32">
        <v>94</v>
      </c>
      <c r="AP292" s="32">
        <v>94</v>
      </c>
      <c r="AQ292" s="32">
        <v>122</v>
      </c>
      <c r="AR292" s="32">
        <v>119.3</v>
      </c>
      <c r="AS292" s="32">
        <v>125.8</v>
      </c>
      <c r="AT292" s="32">
        <v>117.9</v>
      </c>
      <c r="AU292" s="32">
        <v>133.19999999999999</v>
      </c>
      <c r="AV292" s="32">
        <v>122.6</v>
      </c>
      <c r="AW292" s="32">
        <v>172.8</v>
      </c>
      <c r="AX292" s="32">
        <v>281.89999999999998</v>
      </c>
      <c r="AY292" s="32">
        <v>119.8</v>
      </c>
      <c r="AZ292" s="32">
        <v>112.8</v>
      </c>
      <c r="BA292" s="32">
        <v>111.7</v>
      </c>
      <c r="BB292" s="32">
        <v>111.7</v>
      </c>
      <c r="BC292" s="32">
        <v>188.9</v>
      </c>
      <c r="BD292" s="32">
        <v>188.9</v>
      </c>
      <c r="BE292" s="32">
        <v>134.80000000000001</v>
      </c>
      <c r="BF292" s="32">
        <v>134.80000000000001</v>
      </c>
      <c r="BG292" s="32">
        <v>120.5</v>
      </c>
      <c r="BH292" s="32">
        <v>126.4</v>
      </c>
      <c r="BI292" s="32">
        <v>111.9</v>
      </c>
      <c r="BJ292" s="32">
        <v>79.7</v>
      </c>
      <c r="BK292" s="32">
        <v>116.5</v>
      </c>
      <c r="BL292" s="32">
        <v>174.5</v>
      </c>
      <c r="BM292" s="32">
        <v>102.8</v>
      </c>
      <c r="BN292" s="32">
        <v>114.9</v>
      </c>
      <c r="BO292" s="32">
        <v>104.5</v>
      </c>
      <c r="BP292" s="32">
        <v>123.4</v>
      </c>
      <c r="BQ292" s="32">
        <v>90.9</v>
      </c>
      <c r="BR292" s="32">
        <v>96.7</v>
      </c>
      <c r="BS292" s="32">
        <v>58</v>
      </c>
      <c r="BT292" s="32">
        <v>100.5</v>
      </c>
      <c r="BU292" s="32">
        <v>140.80000000000001</v>
      </c>
      <c r="BV292" s="32">
        <v>140.80000000000001</v>
      </c>
      <c r="BW292" s="32">
        <v>151.5</v>
      </c>
      <c r="BX292" s="32">
        <v>106.5</v>
      </c>
      <c r="BY292" s="32">
        <v>97.2</v>
      </c>
      <c r="BZ292" s="32">
        <v>100.8</v>
      </c>
      <c r="CA292" s="32">
        <v>95.5</v>
      </c>
      <c r="CB292" s="32">
        <v>104.3</v>
      </c>
      <c r="CC292" s="32">
        <v>88.3</v>
      </c>
      <c r="CD292" s="32">
        <v>77.7</v>
      </c>
      <c r="CE292" s="32">
        <v>90.1</v>
      </c>
      <c r="CF292" s="32">
        <v>86.2</v>
      </c>
      <c r="CG292" s="32">
        <v>76.2</v>
      </c>
      <c r="CH292" s="32">
        <v>88.8</v>
      </c>
      <c r="CI292" s="32">
        <v>82.2</v>
      </c>
      <c r="CJ292" s="32">
        <v>83.5</v>
      </c>
      <c r="CK292" s="32">
        <v>95.5</v>
      </c>
      <c r="CL292" s="32">
        <v>67.3</v>
      </c>
      <c r="CM292" s="32">
        <v>60.8</v>
      </c>
      <c r="CN292" s="32">
        <v>-71.2</v>
      </c>
      <c r="CO292" s="32">
        <v>78.2</v>
      </c>
      <c r="CP292" s="32">
        <v>48.7</v>
      </c>
      <c r="CQ292" s="32">
        <v>9</v>
      </c>
      <c r="CR292" s="32">
        <v>84.9</v>
      </c>
      <c r="CS292" s="32">
        <v>112.7</v>
      </c>
      <c r="CT292" s="32">
        <v>43</v>
      </c>
      <c r="CU292" s="32">
        <v>28.2</v>
      </c>
      <c r="CV292" s="32">
        <v>49.1</v>
      </c>
      <c r="CW292" s="32">
        <v>90.8</v>
      </c>
      <c r="CX292" s="32">
        <v>94.2</v>
      </c>
      <c r="CY292" s="32">
        <v>105.5</v>
      </c>
      <c r="CZ292" s="32">
        <v>87.9</v>
      </c>
      <c r="DA292" s="32">
        <v>86.1</v>
      </c>
      <c r="DB292" s="32">
        <v>91.2</v>
      </c>
      <c r="DC292" s="32">
        <v>92.6</v>
      </c>
      <c r="DD292" s="32">
        <v>92.6</v>
      </c>
      <c r="DE292" s="32">
        <v>87.8</v>
      </c>
      <c r="DF292" s="32">
        <v>89</v>
      </c>
      <c r="DG292" s="32">
        <v>80.8</v>
      </c>
      <c r="DH292" s="32">
        <v>101.1</v>
      </c>
      <c r="DI292" s="32">
        <v>102.8</v>
      </c>
      <c r="DJ292" s="32">
        <v>101.9</v>
      </c>
      <c r="DK292" s="32">
        <v>101.9</v>
      </c>
      <c r="DL292" s="32">
        <v>97</v>
      </c>
      <c r="DM292" s="32">
        <v>97.2</v>
      </c>
      <c r="DN292" s="32">
        <v>94.8</v>
      </c>
      <c r="DO292" s="32">
        <v>98.8</v>
      </c>
      <c r="DP292" s="32">
        <v>82.1</v>
      </c>
      <c r="DQ292" s="32">
        <v>84.8</v>
      </c>
      <c r="DR292" s="32">
        <v>85.6</v>
      </c>
      <c r="DS292" s="32">
        <v>86.8</v>
      </c>
      <c r="DT292" s="32">
        <v>85.6</v>
      </c>
      <c r="DU292" s="32">
        <v>88.1</v>
      </c>
      <c r="DV292" s="32">
        <v>89.8</v>
      </c>
      <c r="DW292" s="32">
        <v>86.2</v>
      </c>
      <c r="DX292" s="32">
        <v>80.3</v>
      </c>
      <c r="DY292" s="32">
        <v>91.4</v>
      </c>
      <c r="DZ292" s="32">
        <v>82.3</v>
      </c>
      <c r="EA292" s="32">
        <v>82.3</v>
      </c>
      <c r="EB292" s="32">
        <v>83.6</v>
      </c>
      <c r="EC292" s="32">
        <v>85.8</v>
      </c>
      <c r="ED292" s="32">
        <v>80.7</v>
      </c>
      <c r="EE292" s="32">
        <v>79.8</v>
      </c>
      <c r="EF292" s="32">
        <v>82.8</v>
      </c>
      <c r="EG292" s="32">
        <v>83.4</v>
      </c>
      <c r="EH292" s="32">
        <v>109.3</v>
      </c>
      <c r="EI292" s="32">
        <v>89.4</v>
      </c>
      <c r="EJ292" s="32">
        <v>46.8</v>
      </c>
      <c r="EK292" s="32">
        <v>75.8</v>
      </c>
      <c r="EL292" s="32">
        <v>89.9</v>
      </c>
      <c r="EM292" s="32">
        <v>79</v>
      </c>
      <c r="EN292" s="32">
        <v>72.099999999999994</v>
      </c>
      <c r="EO292" s="32">
        <v>83.1</v>
      </c>
      <c r="EP292" s="32">
        <v>90.6</v>
      </c>
      <c r="EQ292" s="32">
        <v>90.6</v>
      </c>
      <c r="ER292" s="32">
        <v>88.2</v>
      </c>
      <c r="ES292" s="32">
        <v>88.2</v>
      </c>
      <c r="ET292" s="32">
        <v>75.2</v>
      </c>
      <c r="EU292" s="32">
        <v>69.7</v>
      </c>
      <c r="EV292" s="32">
        <v>69.7</v>
      </c>
      <c r="EW292" s="32">
        <v>90.2</v>
      </c>
      <c r="EX292" s="32">
        <v>93.7</v>
      </c>
      <c r="EY292" s="32">
        <v>87.5</v>
      </c>
      <c r="EZ292" s="32">
        <v>76.900000000000006</v>
      </c>
      <c r="FA292" s="32">
        <v>70.7</v>
      </c>
      <c r="FB292" s="32">
        <v>81.7</v>
      </c>
      <c r="FC292" s="32">
        <v>75.400000000000006</v>
      </c>
      <c r="FD292" s="32">
        <v>72.8</v>
      </c>
      <c r="FE292" s="32">
        <v>96.9</v>
      </c>
      <c r="FF292" s="32">
        <v>58</v>
      </c>
      <c r="FG292" s="32">
        <v>78.900000000000006</v>
      </c>
      <c r="FH292" s="32">
        <v>84.5</v>
      </c>
      <c r="FI292" s="32">
        <v>86.6</v>
      </c>
      <c r="FJ292" s="32">
        <v>75.8</v>
      </c>
      <c r="FK292" s="32">
        <v>128.1</v>
      </c>
      <c r="FL292" s="32">
        <v>128.1</v>
      </c>
    </row>
    <row r="293" spans="1:168" x14ac:dyDescent="0.2">
      <c r="A293" s="34" t="s">
        <v>1273</v>
      </c>
      <c r="B293" s="32">
        <v>91.1</v>
      </c>
      <c r="C293" s="32">
        <v>96.1</v>
      </c>
      <c r="D293" s="32">
        <v>105.3</v>
      </c>
      <c r="E293" s="32">
        <v>113.8</v>
      </c>
      <c r="F293" s="32">
        <v>120</v>
      </c>
      <c r="G293" s="32">
        <v>50.1</v>
      </c>
      <c r="H293" s="32">
        <v>126.5</v>
      </c>
      <c r="I293" s="32">
        <v>109</v>
      </c>
      <c r="J293" s="32">
        <v>113.1</v>
      </c>
      <c r="K293" s="32">
        <v>101.1</v>
      </c>
      <c r="L293" s="32">
        <v>105.7</v>
      </c>
      <c r="M293" s="32">
        <v>100.5</v>
      </c>
      <c r="N293" s="32">
        <v>103.4</v>
      </c>
      <c r="O293" s="32">
        <v>105.1</v>
      </c>
      <c r="P293" s="32">
        <v>158.4</v>
      </c>
      <c r="Q293" s="32">
        <v>122.1</v>
      </c>
      <c r="R293" s="32">
        <v>101.7</v>
      </c>
      <c r="S293" s="32">
        <v>97.2</v>
      </c>
      <c r="T293" s="32">
        <v>131.30000000000001</v>
      </c>
      <c r="U293" s="32">
        <v>89.6</v>
      </c>
      <c r="V293" s="32">
        <v>88.7</v>
      </c>
      <c r="W293" s="32">
        <v>83</v>
      </c>
      <c r="X293" s="32">
        <v>72.400000000000006</v>
      </c>
      <c r="Y293" s="32">
        <v>102.6</v>
      </c>
      <c r="Z293" s="32">
        <v>103.1</v>
      </c>
      <c r="AA293" s="32">
        <v>120.2</v>
      </c>
      <c r="AB293" s="32">
        <v>128.5</v>
      </c>
      <c r="AC293" s="32">
        <v>123.3</v>
      </c>
      <c r="AD293" s="32">
        <v>113.1</v>
      </c>
      <c r="AE293" s="32">
        <v>81.7</v>
      </c>
      <c r="AF293" s="32">
        <v>81.7</v>
      </c>
      <c r="AG293" s="32">
        <v>137.80000000000001</v>
      </c>
      <c r="AH293" s="32">
        <v>137.80000000000001</v>
      </c>
      <c r="AI293" s="32">
        <v>119.1</v>
      </c>
      <c r="AJ293" s="32">
        <v>190.7</v>
      </c>
      <c r="AK293" s="32">
        <v>138.19999999999999</v>
      </c>
      <c r="AL293" s="32">
        <v>114.8</v>
      </c>
      <c r="AM293" s="32">
        <v>105.5</v>
      </c>
      <c r="AN293" s="32">
        <v>226.4</v>
      </c>
      <c r="AO293" s="32">
        <v>95.9</v>
      </c>
      <c r="AP293" s="32">
        <v>95.9</v>
      </c>
      <c r="AQ293" s="32">
        <v>121.8</v>
      </c>
      <c r="AR293" s="32">
        <v>118.4</v>
      </c>
      <c r="AS293" s="32">
        <v>126.5</v>
      </c>
      <c r="AT293" s="32">
        <v>117.3</v>
      </c>
      <c r="AU293" s="32">
        <v>135.19999999999999</v>
      </c>
      <c r="AV293" s="32">
        <v>126.1</v>
      </c>
      <c r="AW293" s="32">
        <v>173</v>
      </c>
      <c r="AX293" s="32">
        <v>261.8</v>
      </c>
      <c r="AY293" s="32">
        <v>125.5</v>
      </c>
      <c r="AZ293" s="32">
        <v>116.9</v>
      </c>
      <c r="BA293" s="32">
        <v>99.5</v>
      </c>
      <c r="BB293" s="32">
        <v>99.5</v>
      </c>
      <c r="BC293" s="32">
        <v>159.5</v>
      </c>
      <c r="BD293" s="32">
        <v>159.5</v>
      </c>
      <c r="BE293" s="32">
        <v>137.80000000000001</v>
      </c>
      <c r="BF293" s="32">
        <v>137.80000000000001</v>
      </c>
      <c r="BG293" s="32">
        <v>117.1</v>
      </c>
      <c r="BH293" s="32">
        <v>121.1</v>
      </c>
      <c r="BI293" s="32">
        <v>111.1</v>
      </c>
      <c r="BJ293" s="32">
        <v>80.2</v>
      </c>
      <c r="BK293" s="32">
        <v>115.6</v>
      </c>
      <c r="BL293" s="32">
        <v>169.6</v>
      </c>
      <c r="BM293" s="32">
        <v>102.4</v>
      </c>
      <c r="BN293" s="32">
        <v>113.4</v>
      </c>
      <c r="BO293" s="32">
        <v>100.3</v>
      </c>
      <c r="BP293" s="32">
        <v>124.4</v>
      </c>
      <c r="BQ293" s="32">
        <v>91.4</v>
      </c>
      <c r="BR293" s="32">
        <v>102.4</v>
      </c>
      <c r="BS293" s="32">
        <v>56.4</v>
      </c>
      <c r="BT293" s="32">
        <v>101.2</v>
      </c>
      <c r="BU293" s="32">
        <v>137.5</v>
      </c>
      <c r="BV293" s="32">
        <v>137.5</v>
      </c>
      <c r="BW293" s="32">
        <v>149.6</v>
      </c>
      <c r="BX293" s="32">
        <v>99.9</v>
      </c>
      <c r="BY293" s="32">
        <v>100.3</v>
      </c>
      <c r="BZ293" s="32">
        <v>102.4</v>
      </c>
      <c r="CA293" s="32">
        <v>99.3</v>
      </c>
      <c r="CB293" s="32">
        <v>109.5</v>
      </c>
      <c r="CC293" s="32">
        <v>90.8</v>
      </c>
      <c r="CD293" s="32">
        <v>79.5</v>
      </c>
      <c r="CE293" s="32">
        <v>89.1</v>
      </c>
      <c r="CF293" s="32">
        <v>88</v>
      </c>
      <c r="CG293" s="32">
        <v>80.3</v>
      </c>
      <c r="CH293" s="32">
        <v>92.4</v>
      </c>
      <c r="CI293" s="32">
        <v>93.2</v>
      </c>
      <c r="CJ293" s="32">
        <v>86.7</v>
      </c>
      <c r="CK293" s="32">
        <v>97.4</v>
      </c>
      <c r="CL293" s="32">
        <v>67.7</v>
      </c>
      <c r="CM293" s="32">
        <v>61.5</v>
      </c>
      <c r="CN293" s="32">
        <v>-100.8</v>
      </c>
      <c r="CO293" s="32">
        <v>82.5</v>
      </c>
      <c r="CP293" s="32">
        <v>47.9</v>
      </c>
      <c r="CQ293" s="32">
        <v>11.7</v>
      </c>
      <c r="CR293" s="32">
        <v>86.5</v>
      </c>
      <c r="CS293" s="32">
        <v>109.3</v>
      </c>
      <c r="CT293" s="32">
        <v>54.6</v>
      </c>
      <c r="CU293" s="32">
        <v>33.4</v>
      </c>
      <c r="CV293" s="32">
        <v>63.2</v>
      </c>
      <c r="CW293" s="32">
        <v>90.6</v>
      </c>
      <c r="CX293" s="32">
        <v>91.9</v>
      </c>
      <c r="CY293" s="32">
        <v>99.2</v>
      </c>
      <c r="CZ293" s="32">
        <v>87.8</v>
      </c>
      <c r="DA293" s="32">
        <v>85.3</v>
      </c>
      <c r="DB293" s="32">
        <v>92.4</v>
      </c>
      <c r="DC293" s="32">
        <v>93.2</v>
      </c>
      <c r="DD293" s="32">
        <v>93.2</v>
      </c>
      <c r="DE293" s="32">
        <v>88.1</v>
      </c>
      <c r="DF293" s="32">
        <v>89.4</v>
      </c>
      <c r="DG293" s="32">
        <v>80.400000000000006</v>
      </c>
      <c r="DH293" s="32">
        <v>103.8</v>
      </c>
      <c r="DI293" s="32">
        <v>101.9</v>
      </c>
      <c r="DJ293" s="32">
        <v>103.5</v>
      </c>
      <c r="DK293" s="32">
        <v>103.5</v>
      </c>
      <c r="DL293" s="32">
        <v>105.8</v>
      </c>
      <c r="DM293" s="32">
        <v>97.7</v>
      </c>
      <c r="DN293" s="32">
        <v>95.6</v>
      </c>
      <c r="DO293" s="32">
        <v>99.1</v>
      </c>
      <c r="DP293" s="32">
        <v>84.1</v>
      </c>
      <c r="DQ293" s="32">
        <v>87.2</v>
      </c>
      <c r="DR293" s="32">
        <v>87.6</v>
      </c>
      <c r="DS293" s="32">
        <v>87.3</v>
      </c>
      <c r="DT293" s="32">
        <v>86</v>
      </c>
      <c r="DU293" s="32">
        <v>88.4</v>
      </c>
      <c r="DV293" s="32">
        <v>90.3</v>
      </c>
      <c r="DW293" s="32">
        <v>86.2</v>
      </c>
      <c r="DX293" s="32">
        <v>81.2</v>
      </c>
      <c r="DY293" s="32">
        <v>92</v>
      </c>
      <c r="DZ293" s="32">
        <v>91.4</v>
      </c>
      <c r="EA293" s="32">
        <v>91.4</v>
      </c>
      <c r="EB293" s="32">
        <v>86.7</v>
      </c>
      <c r="EC293" s="32">
        <v>90.1</v>
      </c>
      <c r="ED293" s="32">
        <v>82.3</v>
      </c>
      <c r="EE293" s="32">
        <v>81.7</v>
      </c>
      <c r="EF293" s="32">
        <v>83.7</v>
      </c>
      <c r="EG293" s="32">
        <v>86.5</v>
      </c>
      <c r="EH293" s="32">
        <v>111.8</v>
      </c>
      <c r="EI293" s="32">
        <v>90.1</v>
      </c>
      <c r="EJ293" s="32">
        <v>62.3</v>
      </c>
      <c r="EK293" s="32">
        <v>77.900000000000006</v>
      </c>
      <c r="EL293" s="32">
        <v>93.2</v>
      </c>
      <c r="EM293" s="32">
        <v>78.900000000000006</v>
      </c>
      <c r="EN293" s="32">
        <v>75.2</v>
      </c>
      <c r="EO293" s="32">
        <v>81</v>
      </c>
      <c r="EP293" s="32">
        <v>91.4</v>
      </c>
      <c r="EQ293" s="32">
        <v>91.4</v>
      </c>
      <c r="ER293" s="32">
        <v>80.099999999999994</v>
      </c>
      <c r="ES293" s="32">
        <v>80.099999999999994</v>
      </c>
      <c r="ET293" s="32">
        <v>75.900000000000006</v>
      </c>
      <c r="EU293" s="32">
        <v>70.599999999999994</v>
      </c>
      <c r="EV293" s="32">
        <v>70.599999999999994</v>
      </c>
      <c r="EW293" s="32">
        <v>90.5</v>
      </c>
      <c r="EX293" s="32">
        <v>93.5</v>
      </c>
      <c r="EY293" s="32">
        <v>88.1</v>
      </c>
      <c r="EZ293" s="32">
        <v>99.4</v>
      </c>
      <c r="FA293" s="32">
        <v>81.400000000000006</v>
      </c>
      <c r="FB293" s="32">
        <v>89.1</v>
      </c>
      <c r="FC293" s="32">
        <v>90.1</v>
      </c>
      <c r="FD293" s="32">
        <v>68.900000000000006</v>
      </c>
      <c r="FE293" s="32">
        <v>97.5</v>
      </c>
      <c r="FF293" s="32">
        <v>72.599999999999994</v>
      </c>
      <c r="FG293" s="32">
        <v>112.3</v>
      </c>
      <c r="FH293" s="32">
        <v>86.6</v>
      </c>
      <c r="FI293" s="32">
        <v>96.2</v>
      </c>
      <c r="FJ293" s="32">
        <v>125</v>
      </c>
      <c r="FK293" s="32">
        <v>136.19999999999999</v>
      </c>
      <c r="FL293" s="32">
        <v>136.19999999999999</v>
      </c>
    </row>
    <row r="294" spans="1:168" x14ac:dyDescent="0.2">
      <c r="A294" s="34" t="s">
        <v>1274</v>
      </c>
      <c r="B294" s="32">
        <v>88.1</v>
      </c>
      <c r="C294" s="32">
        <v>96.9</v>
      </c>
      <c r="D294" s="32">
        <v>102.5</v>
      </c>
      <c r="E294" s="32">
        <v>110.1</v>
      </c>
      <c r="F294" s="32">
        <v>116.6</v>
      </c>
      <c r="G294" s="32">
        <v>44.6</v>
      </c>
      <c r="H294" s="32">
        <v>118.7</v>
      </c>
      <c r="I294" s="32">
        <v>117.8</v>
      </c>
      <c r="J294" s="32">
        <v>109.3</v>
      </c>
      <c r="K294" s="32">
        <v>99.5</v>
      </c>
      <c r="L294" s="32">
        <v>102.2</v>
      </c>
      <c r="M294" s="32">
        <v>98.7</v>
      </c>
      <c r="N294" s="32">
        <v>101.9</v>
      </c>
      <c r="O294" s="32">
        <v>110.2</v>
      </c>
      <c r="P294" s="32">
        <v>146.5</v>
      </c>
      <c r="Q294" s="32">
        <v>110</v>
      </c>
      <c r="R294" s="32">
        <v>98.2</v>
      </c>
      <c r="S294" s="32">
        <v>95.3</v>
      </c>
      <c r="T294" s="32">
        <v>122.4</v>
      </c>
      <c r="U294" s="32">
        <v>100.6</v>
      </c>
      <c r="V294" s="32">
        <v>90.5</v>
      </c>
      <c r="W294" s="32">
        <v>82.3</v>
      </c>
      <c r="X294" s="32">
        <v>80.400000000000006</v>
      </c>
      <c r="Y294" s="32">
        <v>83.8</v>
      </c>
      <c r="Z294" s="32">
        <v>92.2</v>
      </c>
      <c r="AA294" s="32">
        <v>116.4</v>
      </c>
      <c r="AB294" s="32">
        <v>120.6</v>
      </c>
      <c r="AC294" s="32">
        <v>122.9</v>
      </c>
      <c r="AD294" s="32">
        <v>109.5</v>
      </c>
      <c r="AE294" s="32">
        <v>76.2</v>
      </c>
      <c r="AF294" s="32">
        <v>76.2</v>
      </c>
      <c r="AG294" s="32">
        <v>135.9</v>
      </c>
      <c r="AH294" s="32">
        <v>135.9</v>
      </c>
      <c r="AI294" s="32">
        <v>121.8</v>
      </c>
      <c r="AJ294" s="32">
        <v>147.1</v>
      </c>
      <c r="AK294" s="32">
        <v>150.9</v>
      </c>
      <c r="AL294" s="32">
        <v>112.4</v>
      </c>
      <c r="AM294" s="32">
        <v>112.7</v>
      </c>
      <c r="AN294" s="32">
        <v>225.1</v>
      </c>
      <c r="AO294" s="32">
        <v>103.8</v>
      </c>
      <c r="AP294" s="32">
        <v>103.8</v>
      </c>
      <c r="AQ294" s="32">
        <v>115.2</v>
      </c>
      <c r="AR294" s="32">
        <v>111.4</v>
      </c>
      <c r="AS294" s="32">
        <v>120.6</v>
      </c>
      <c r="AT294" s="32">
        <v>115.3</v>
      </c>
      <c r="AU294" s="32">
        <v>125.6</v>
      </c>
      <c r="AV294" s="32">
        <v>114.3</v>
      </c>
      <c r="AW294" s="32">
        <v>148.80000000000001</v>
      </c>
      <c r="AX294" s="32">
        <v>222.5</v>
      </c>
      <c r="AY294" s="32">
        <v>107.9</v>
      </c>
      <c r="AZ294" s="32">
        <v>107.5</v>
      </c>
      <c r="BA294" s="32">
        <v>106.4</v>
      </c>
      <c r="BB294" s="32">
        <v>106.4</v>
      </c>
      <c r="BC294" s="32">
        <v>165.4</v>
      </c>
      <c r="BD294" s="32">
        <v>165.4</v>
      </c>
      <c r="BE294" s="32">
        <v>112.9</v>
      </c>
      <c r="BF294" s="32">
        <v>112.9</v>
      </c>
      <c r="BG294" s="32">
        <v>111.8</v>
      </c>
      <c r="BH294" s="32">
        <v>110.6</v>
      </c>
      <c r="BI294" s="32">
        <v>113.1</v>
      </c>
      <c r="BJ294" s="32">
        <v>81.3</v>
      </c>
      <c r="BK294" s="32">
        <v>118.8</v>
      </c>
      <c r="BL294" s="32">
        <v>156.19999999999999</v>
      </c>
      <c r="BM294" s="32">
        <v>102.5</v>
      </c>
      <c r="BN294" s="32">
        <v>109.7</v>
      </c>
      <c r="BO294" s="32">
        <v>98.8</v>
      </c>
      <c r="BP294" s="32">
        <v>118.7</v>
      </c>
      <c r="BQ294" s="32">
        <v>95.2</v>
      </c>
      <c r="BR294" s="32">
        <v>115.1</v>
      </c>
      <c r="BS294" s="32">
        <v>57.8</v>
      </c>
      <c r="BT294" s="32">
        <v>104.7</v>
      </c>
      <c r="BU294" s="32">
        <v>132.19999999999999</v>
      </c>
      <c r="BV294" s="32">
        <v>132.19999999999999</v>
      </c>
      <c r="BW294" s="32">
        <v>140.6</v>
      </c>
      <c r="BX294" s="32">
        <v>104.2</v>
      </c>
      <c r="BY294" s="32">
        <v>98.7</v>
      </c>
      <c r="BZ294" s="32">
        <v>101.2</v>
      </c>
      <c r="CA294" s="32">
        <v>97.5</v>
      </c>
      <c r="CB294" s="32">
        <v>104.1</v>
      </c>
      <c r="CC294" s="32">
        <v>92.6</v>
      </c>
      <c r="CD294" s="32">
        <v>78.599999999999994</v>
      </c>
      <c r="CE294" s="32">
        <v>87.9</v>
      </c>
      <c r="CF294" s="32">
        <v>85</v>
      </c>
      <c r="CG294" s="32">
        <v>72.099999999999994</v>
      </c>
      <c r="CH294" s="32">
        <v>83.2</v>
      </c>
      <c r="CI294" s="32">
        <v>72.5</v>
      </c>
      <c r="CJ294" s="32">
        <v>79.5</v>
      </c>
      <c r="CK294" s="32">
        <v>89.7</v>
      </c>
      <c r="CL294" s="32">
        <v>63.6</v>
      </c>
      <c r="CM294" s="32">
        <v>53.1</v>
      </c>
      <c r="CN294" s="32">
        <v>-137.4</v>
      </c>
      <c r="CO294" s="32">
        <v>77.099999999999994</v>
      </c>
      <c r="CP294" s="32">
        <v>61.1</v>
      </c>
      <c r="CQ294" s="32">
        <v>6.8</v>
      </c>
      <c r="CR294" s="32">
        <v>83.7</v>
      </c>
      <c r="CS294" s="32">
        <v>107.8</v>
      </c>
      <c r="CT294" s="32">
        <v>43.8</v>
      </c>
      <c r="CU294" s="32">
        <v>31.7</v>
      </c>
      <c r="CV294" s="32">
        <v>48.8</v>
      </c>
      <c r="CW294" s="32">
        <v>91.8</v>
      </c>
      <c r="CX294" s="32">
        <v>93.7</v>
      </c>
      <c r="CY294" s="32">
        <v>104.1</v>
      </c>
      <c r="CZ294" s="32">
        <v>87.9</v>
      </c>
      <c r="DA294" s="32">
        <v>83.9</v>
      </c>
      <c r="DB294" s="32">
        <v>95.3</v>
      </c>
      <c r="DC294" s="32">
        <v>93.8</v>
      </c>
      <c r="DD294" s="32">
        <v>93.8</v>
      </c>
      <c r="DE294" s="32">
        <v>89.6</v>
      </c>
      <c r="DF294" s="32">
        <v>90.2</v>
      </c>
      <c r="DG294" s="32">
        <v>86.1</v>
      </c>
      <c r="DH294" s="32">
        <v>102.3</v>
      </c>
      <c r="DI294" s="32">
        <v>101.2</v>
      </c>
      <c r="DJ294" s="32">
        <v>100.7</v>
      </c>
      <c r="DK294" s="32">
        <v>100.7</v>
      </c>
      <c r="DL294" s="32">
        <v>104.1</v>
      </c>
      <c r="DM294" s="32">
        <v>98.7</v>
      </c>
      <c r="DN294" s="32">
        <v>98.3</v>
      </c>
      <c r="DO294" s="32">
        <v>99.5</v>
      </c>
      <c r="DP294" s="32">
        <v>83.8</v>
      </c>
      <c r="DQ294" s="32">
        <v>84.2</v>
      </c>
      <c r="DR294" s="32">
        <v>85.5</v>
      </c>
      <c r="DS294" s="32">
        <v>88.1</v>
      </c>
      <c r="DT294" s="32">
        <v>87.5</v>
      </c>
      <c r="DU294" s="32">
        <v>88.8</v>
      </c>
      <c r="DV294" s="32">
        <v>89.1</v>
      </c>
      <c r="DW294" s="32">
        <v>88.4</v>
      </c>
      <c r="DX294" s="32">
        <v>84.7</v>
      </c>
      <c r="DY294" s="32">
        <v>90.6</v>
      </c>
      <c r="DZ294" s="32">
        <v>78</v>
      </c>
      <c r="EA294" s="32">
        <v>78</v>
      </c>
      <c r="EB294" s="32">
        <v>81.2</v>
      </c>
      <c r="EC294" s="32">
        <v>80.2</v>
      </c>
      <c r="ED294" s="32">
        <v>82.5</v>
      </c>
      <c r="EE294" s="32">
        <v>81.8</v>
      </c>
      <c r="EF294" s="32">
        <v>84.1</v>
      </c>
      <c r="EG294" s="32">
        <v>82.2</v>
      </c>
      <c r="EH294" s="32">
        <v>108.2</v>
      </c>
      <c r="EI294" s="32">
        <v>90.1</v>
      </c>
      <c r="EJ294" s="32">
        <v>30.8</v>
      </c>
      <c r="EK294" s="32">
        <v>76.5</v>
      </c>
      <c r="EL294" s="32">
        <v>92.9</v>
      </c>
      <c r="EM294" s="32">
        <v>79.599999999999994</v>
      </c>
      <c r="EN294" s="32">
        <v>72.7</v>
      </c>
      <c r="EO294" s="32">
        <v>80.2</v>
      </c>
      <c r="EP294" s="32">
        <v>92.2</v>
      </c>
      <c r="EQ294" s="32">
        <v>92.2</v>
      </c>
      <c r="ER294" s="32">
        <v>75.3</v>
      </c>
      <c r="ES294" s="32">
        <v>75.3</v>
      </c>
      <c r="ET294" s="32">
        <v>77.2</v>
      </c>
      <c r="EU294" s="32">
        <v>73.3</v>
      </c>
      <c r="EV294" s="32">
        <v>73.3</v>
      </c>
      <c r="EW294" s="32">
        <v>88.1</v>
      </c>
      <c r="EX294" s="32">
        <v>92.3</v>
      </c>
      <c r="EY294" s="32">
        <v>84.7</v>
      </c>
      <c r="EZ294" s="32">
        <v>80.400000000000006</v>
      </c>
      <c r="FA294" s="32">
        <v>74.900000000000006</v>
      </c>
      <c r="FB294" s="32">
        <v>80.5</v>
      </c>
      <c r="FC294" s="32">
        <v>75.3</v>
      </c>
      <c r="FD294" s="32">
        <v>63.6</v>
      </c>
      <c r="FE294" s="32">
        <v>97.7</v>
      </c>
      <c r="FF294" s="32">
        <v>68.5</v>
      </c>
      <c r="FG294" s="32">
        <v>81.7</v>
      </c>
      <c r="FH294" s="32">
        <v>87.1</v>
      </c>
      <c r="FI294" s="32">
        <v>105.4</v>
      </c>
      <c r="FJ294" s="32">
        <v>76.599999999999994</v>
      </c>
      <c r="FK294" s="32">
        <v>133.5</v>
      </c>
      <c r="FL294" s="32">
        <v>133.5</v>
      </c>
    </row>
    <row r="295" spans="1:168" x14ac:dyDescent="0.2">
      <c r="A295" s="34" t="s">
        <v>1275</v>
      </c>
      <c r="B295" s="32">
        <v>89.4</v>
      </c>
      <c r="C295" s="32">
        <v>97.4</v>
      </c>
      <c r="D295" s="32">
        <v>103.9</v>
      </c>
      <c r="E295" s="32">
        <v>110.1</v>
      </c>
      <c r="F295" s="32">
        <v>107.6</v>
      </c>
      <c r="G295" s="32">
        <v>36.1</v>
      </c>
      <c r="H295" s="32">
        <v>107.7</v>
      </c>
      <c r="I295" s="32">
        <v>114.5</v>
      </c>
      <c r="J295" s="32">
        <v>110.1</v>
      </c>
      <c r="K295" s="32">
        <v>101.7</v>
      </c>
      <c r="L295" s="32">
        <v>103.9</v>
      </c>
      <c r="M295" s="32">
        <v>99</v>
      </c>
      <c r="N295" s="32">
        <v>100.5</v>
      </c>
      <c r="O295" s="32">
        <v>153</v>
      </c>
      <c r="P295" s="32">
        <v>165.8</v>
      </c>
      <c r="Q295" s="32">
        <v>111.4</v>
      </c>
      <c r="R295" s="32">
        <v>97.9</v>
      </c>
      <c r="S295" s="32">
        <v>96.5</v>
      </c>
      <c r="T295" s="32">
        <v>124.7</v>
      </c>
      <c r="U295" s="32">
        <v>107</v>
      </c>
      <c r="V295" s="32">
        <v>93.4</v>
      </c>
      <c r="W295" s="32">
        <v>83.4</v>
      </c>
      <c r="X295" s="32">
        <v>85.3</v>
      </c>
      <c r="Y295" s="32">
        <v>75.7</v>
      </c>
      <c r="Z295" s="32">
        <v>99.2</v>
      </c>
      <c r="AA295" s="32">
        <v>118</v>
      </c>
      <c r="AB295" s="32">
        <v>117.3</v>
      </c>
      <c r="AC295" s="32">
        <v>126.9</v>
      </c>
      <c r="AD295" s="32">
        <v>112.7</v>
      </c>
      <c r="AE295" s="32">
        <v>72.900000000000006</v>
      </c>
      <c r="AF295" s="32">
        <v>72.900000000000006</v>
      </c>
      <c r="AG295" s="32">
        <v>133.80000000000001</v>
      </c>
      <c r="AH295" s="32">
        <v>133.80000000000001</v>
      </c>
      <c r="AI295" s="32">
        <v>120.8</v>
      </c>
      <c r="AJ295" s="32">
        <v>161</v>
      </c>
      <c r="AK295" s="32">
        <v>142.6</v>
      </c>
      <c r="AL295" s="32">
        <v>114.8</v>
      </c>
      <c r="AM295" s="32">
        <v>114.5</v>
      </c>
      <c r="AN295" s="32">
        <v>191.2</v>
      </c>
      <c r="AO295" s="32">
        <v>97.7</v>
      </c>
      <c r="AP295" s="32">
        <v>97.7</v>
      </c>
      <c r="AQ295" s="32">
        <v>115.7</v>
      </c>
      <c r="AR295" s="32">
        <v>113.6</v>
      </c>
      <c r="AS295" s="32">
        <v>118.6</v>
      </c>
      <c r="AT295" s="32">
        <v>112.8</v>
      </c>
      <c r="AU295" s="32">
        <v>124.1</v>
      </c>
      <c r="AV295" s="32">
        <v>112.3</v>
      </c>
      <c r="AW295" s="32">
        <v>140.4</v>
      </c>
      <c r="AX295" s="32">
        <v>203.8</v>
      </c>
      <c r="AY295" s="32">
        <v>103.6</v>
      </c>
      <c r="AZ295" s="32">
        <v>106.8</v>
      </c>
      <c r="BA295" s="32">
        <v>111</v>
      </c>
      <c r="BB295" s="32">
        <v>111</v>
      </c>
      <c r="BC295" s="32">
        <v>165.1</v>
      </c>
      <c r="BD295" s="32">
        <v>165.1</v>
      </c>
      <c r="BE295" s="32">
        <v>115.8</v>
      </c>
      <c r="BF295" s="32">
        <v>115.8</v>
      </c>
      <c r="BG295" s="32">
        <v>116</v>
      </c>
      <c r="BH295" s="32">
        <v>118.4</v>
      </c>
      <c r="BI295" s="32">
        <v>112.6</v>
      </c>
      <c r="BJ295" s="32">
        <v>80.900000000000006</v>
      </c>
      <c r="BK295" s="32">
        <v>118.2</v>
      </c>
      <c r="BL295" s="32">
        <v>156.1</v>
      </c>
      <c r="BM295" s="32">
        <v>102.4</v>
      </c>
      <c r="BN295" s="32">
        <v>110</v>
      </c>
      <c r="BO295" s="32">
        <v>94.2</v>
      </c>
      <c r="BP295" s="32">
        <v>123.7</v>
      </c>
      <c r="BQ295" s="32">
        <v>94.9</v>
      </c>
      <c r="BR295" s="32">
        <v>98.7</v>
      </c>
      <c r="BS295" s="32">
        <v>57.4</v>
      </c>
      <c r="BT295" s="32">
        <v>106.3</v>
      </c>
      <c r="BU295" s="32">
        <v>128.80000000000001</v>
      </c>
      <c r="BV295" s="32">
        <v>128.80000000000001</v>
      </c>
      <c r="BW295" s="32">
        <v>134.69999999999999</v>
      </c>
      <c r="BX295" s="32">
        <v>107.5</v>
      </c>
      <c r="BY295" s="32">
        <v>99.6</v>
      </c>
      <c r="BZ295" s="32">
        <v>101.7</v>
      </c>
      <c r="CA295" s="32">
        <v>98.6</v>
      </c>
      <c r="CB295" s="32">
        <v>104.8</v>
      </c>
      <c r="CC295" s="32">
        <v>94</v>
      </c>
      <c r="CD295" s="32">
        <v>79.400000000000006</v>
      </c>
      <c r="CE295" s="32">
        <v>92</v>
      </c>
      <c r="CF295" s="32">
        <v>86.2</v>
      </c>
      <c r="CG295" s="32">
        <v>75.3</v>
      </c>
      <c r="CH295" s="32">
        <v>87.1</v>
      </c>
      <c r="CI295" s="32">
        <v>79.900000000000006</v>
      </c>
      <c r="CJ295" s="32">
        <v>84.1</v>
      </c>
      <c r="CK295" s="32">
        <v>91.9</v>
      </c>
      <c r="CL295" s="32">
        <v>65.8</v>
      </c>
      <c r="CM295" s="32">
        <v>55.4</v>
      </c>
      <c r="CN295" s="32">
        <v>-141.30000000000001</v>
      </c>
      <c r="CO295" s="32">
        <v>80.3</v>
      </c>
      <c r="CP295" s="32">
        <v>65.5</v>
      </c>
      <c r="CQ295" s="32">
        <v>8.6</v>
      </c>
      <c r="CR295" s="32">
        <v>85.6</v>
      </c>
      <c r="CS295" s="32">
        <v>110.8</v>
      </c>
      <c r="CT295" s="32">
        <v>45.4</v>
      </c>
      <c r="CU295" s="32">
        <v>34.700000000000003</v>
      </c>
      <c r="CV295" s="32">
        <v>49.8</v>
      </c>
      <c r="CW295" s="32">
        <v>90.5</v>
      </c>
      <c r="CX295" s="32">
        <v>91.1</v>
      </c>
      <c r="CY295" s="32">
        <v>97.1</v>
      </c>
      <c r="CZ295" s="32">
        <v>87.6</v>
      </c>
      <c r="DA295" s="32">
        <v>84</v>
      </c>
      <c r="DB295" s="32">
        <v>94.5</v>
      </c>
      <c r="DC295" s="32">
        <v>93.9</v>
      </c>
      <c r="DD295" s="32">
        <v>93.9</v>
      </c>
      <c r="DE295" s="32">
        <v>88.2</v>
      </c>
      <c r="DF295" s="32">
        <v>89.5</v>
      </c>
      <c r="DG295" s="32">
        <v>80.599999999999994</v>
      </c>
      <c r="DH295" s="32">
        <v>102.1</v>
      </c>
      <c r="DI295" s="32">
        <v>99.9</v>
      </c>
      <c r="DJ295" s="32">
        <v>102.3</v>
      </c>
      <c r="DK295" s="32">
        <v>102.3</v>
      </c>
      <c r="DL295" s="32">
        <v>104.6</v>
      </c>
      <c r="DM295" s="32">
        <v>99.2</v>
      </c>
      <c r="DN295" s="32">
        <v>98.4</v>
      </c>
      <c r="DO295" s="32">
        <v>99.8</v>
      </c>
      <c r="DP295" s="32">
        <v>91.4</v>
      </c>
      <c r="DQ295" s="32">
        <v>86</v>
      </c>
      <c r="DR295" s="32">
        <v>88.2</v>
      </c>
      <c r="DS295" s="32">
        <v>91.5</v>
      </c>
      <c r="DT295" s="32">
        <v>91.3</v>
      </c>
      <c r="DU295" s="32">
        <v>93.1</v>
      </c>
      <c r="DV295" s="32">
        <v>96</v>
      </c>
      <c r="DW295" s="32">
        <v>89.9</v>
      </c>
      <c r="DX295" s="32">
        <v>87.7</v>
      </c>
      <c r="DY295" s="32">
        <v>92.3</v>
      </c>
      <c r="DZ295" s="32">
        <v>81.099999999999994</v>
      </c>
      <c r="EA295" s="32">
        <v>81.099999999999994</v>
      </c>
      <c r="EB295" s="32">
        <v>81.900000000000006</v>
      </c>
      <c r="EC295" s="32">
        <v>78.8</v>
      </c>
      <c r="ED295" s="32">
        <v>85.8</v>
      </c>
      <c r="EE295" s="32">
        <v>84.7</v>
      </c>
      <c r="EF295" s="32">
        <v>88.3</v>
      </c>
      <c r="EG295" s="32">
        <v>82.2</v>
      </c>
      <c r="EH295" s="32">
        <v>104.8</v>
      </c>
      <c r="EI295" s="32">
        <v>92</v>
      </c>
      <c r="EJ295" s="32">
        <v>31.8</v>
      </c>
      <c r="EK295" s="32">
        <v>76.7</v>
      </c>
      <c r="EL295" s="32">
        <v>96.6</v>
      </c>
      <c r="EM295" s="32">
        <v>78.900000000000006</v>
      </c>
      <c r="EN295" s="32">
        <v>72.8</v>
      </c>
      <c r="EO295" s="32">
        <v>81.400000000000006</v>
      </c>
      <c r="EP295" s="32">
        <v>93</v>
      </c>
      <c r="EQ295" s="32">
        <v>93</v>
      </c>
      <c r="ER295" s="32">
        <v>73.8</v>
      </c>
      <c r="ES295" s="32">
        <v>73.8</v>
      </c>
      <c r="ET295" s="32">
        <v>80.7</v>
      </c>
      <c r="EU295" s="32">
        <v>78.099999999999994</v>
      </c>
      <c r="EV295" s="32">
        <v>78.099999999999994</v>
      </c>
      <c r="EW295" s="32">
        <v>88.3</v>
      </c>
      <c r="EX295" s="32">
        <v>91.8</v>
      </c>
      <c r="EY295" s="32">
        <v>85.5</v>
      </c>
      <c r="EZ295" s="32">
        <v>80.400000000000006</v>
      </c>
      <c r="FA295" s="32">
        <v>74.900000000000006</v>
      </c>
      <c r="FB295" s="32">
        <v>78.599999999999994</v>
      </c>
      <c r="FC295" s="32">
        <v>71.599999999999994</v>
      </c>
      <c r="FD295" s="32">
        <v>65.900000000000006</v>
      </c>
      <c r="FE295" s="32">
        <v>97</v>
      </c>
      <c r="FF295" s="32">
        <v>70.7</v>
      </c>
      <c r="FG295" s="32">
        <v>82.5</v>
      </c>
      <c r="FH295" s="32">
        <v>88.4</v>
      </c>
      <c r="FI295" s="32">
        <v>97.9</v>
      </c>
      <c r="FJ295" s="32">
        <v>78.2</v>
      </c>
      <c r="FK295" s="32">
        <v>120.3</v>
      </c>
      <c r="FL295" s="32">
        <v>120.3</v>
      </c>
    </row>
    <row r="296" spans="1:168" x14ac:dyDescent="0.2">
      <c r="A296" s="34" t="s">
        <v>1276</v>
      </c>
      <c r="B296" s="32">
        <v>92</v>
      </c>
      <c r="C296" s="32">
        <v>97.6</v>
      </c>
      <c r="D296" s="32">
        <v>105.1</v>
      </c>
      <c r="E296" s="32">
        <v>110.4</v>
      </c>
      <c r="F296" s="32">
        <v>111.1</v>
      </c>
      <c r="G296" s="32">
        <v>43.5</v>
      </c>
      <c r="H296" s="32">
        <v>111.3</v>
      </c>
      <c r="I296" s="32">
        <v>117.7</v>
      </c>
      <c r="J296" s="32">
        <v>110.8</v>
      </c>
      <c r="K296" s="32">
        <v>103.2</v>
      </c>
      <c r="L296" s="32">
        <v>104.8</v>
      </c>
      <c r="M296" s="32">
        <v>99.3</v>
      </c>
      <c r="N296" s="32">
        <v>104.7</v>
      </c>
      <c r="O296" s="32">
        <v>178.7</v>
      </c>
      <c r="P296" s="32">
        <v>168.9</v>
      </c>
      <c r="Q296" s="32">
        <v>116.9</v>
      </c>
      <c r="R296" s="32">
        <v>94.6</v>
      </c>
      <c r="S296" s="32">
        <v>98.2</v>
      </c>
      <c r="T296" s="32">
        <v>125.7</v>
      </c>
      <c r="U296" s="32">
        <v>117.2</v>
      </c>
      <c r="V296" s="32">
        <v>94.5</v>
      </c>
      <c r="W296" s="32">
        <v>93.1</v>
      </c>
      <c r="X296" s="32">
        <v>90.8</v>
      </c>
      <c r="Y296" s="32">
        <v>95.2</v>
      </c>
      <c r="Z296" s="32">
        <v>111.6</v>
      </c>
      <c r="AA296" s="32">
        <v>117.4</v>
      </c>
      <c r="AB296" s="32">
        <v>115.4</v>
      </c>
      <c r="AC296" s="32">
        <v>130.9</v>
      </c>
      <c r="AD296" s="32">
        <v>109</v>
      </c>
      <c r="AE296" s="32">
        <v>74.099999999999994</v>
      </c>
      <c r="AF296" s="32">
        <v>74.099999999999994</v>
      </c>
      <c r="AG296" s="32">
        <v>130.5</v>
      </c>
      <c r="AH296" s="32">
        <v>130.5</v>
      </c>
      <c r="AI296" s="32">
        <v>117.1</v>
      </c>
      <c r="AJ296" s="32">
        <v>148.9</v>
      </c>
      <c r="AK296" s="32">
        <v>136.4</v>
      </c>
      <c r="AL296" s="32">
        <v>116.8</v>
      </c>
      <c r="AM296" s="32">
        <v>119.2</v>
      </c>
      <c r="AN296" s="32">
        <v>168.6</v>
      </c>
      <c r="AO296" s="32">
        <v>98.9</v>
      </c>
      <c r="AP296" s="32">
        <v>98.9</v>
      </c>
      <c r="AQ296" s="32">
        <v>119.7</v>
      </c>
      <c r="AR296" s="32">
        <v>115</v>
      </c>
      <c r="AS296" s="32">
        <v>126.3</v>
      </c>
      <c r="AT296" s="32">
        <v>116</v>
      </c>
      <c r="AU296" s="32">
        <v>136.1</v>
      </c>
      <c r="AV296" s="32">
        <v>111.7</v>
      </c>
      <c r="AW296" s="32">
        <v>130.19999999999999</v>
      </c>
      <c r="AX296" s="32">
        <v>177.8</v>
      </c>
      <c r="AY296" s="32">
        <v>100</v>
      </c>
      <c r="AZ296" s="32">
        <v>108</v>
      </c>
      <c r="BA296" s="32">
        <v>105.9</v>
      </c>
      <c r="BB296" s="32">
        <v>105.9</v>
      </c>
      <c r="BC296" s="32">
        <v>156.1</v>
      </c>
      <c r="BD296" s="32">
        <v>156.1</v>
      </c>
      <c r="BE296" s="32">
        <v>121.5</v>
      </c>
      <c r="BF296" s="32">
        <v>121.5</v>
      </c>
      <c r="BG296" s="32">
        <v>118</v>
      </c>
      <c r="BH296" s="32">
        <v>120.4</v>
      </c>
      <c r="BI296" s="32">
        <v>114.6</v>
      </c>
      <c r="BJ296" s="32">
        <v>84.4</v>
      </c>
      <c r="BK296" s="32">
        <v>120.1</v>
      </c>
      <c r="BL296" s="32">
        <v>154.69999999999999</v>
      </c>
      <c r="BM296" s="32">
        <v>100.2</v>
      </c>
      <c r="BN296" s="32">
        <v>104.1</v>
      </c>
      <c r="BO296" s="32">
        <v>92.5</v>
      </c>
      <c r="BP296" s="32">
        <v>113.8</v>
      </c>
      <c r="BQ296" s="32">
        <v>96.3</v>
      </c>
      <c r="BR296" s="32">
        <v>93.4</v>
      </c>
      <c r="BS296" s="32">
        <v>57</v>
      </c>
      <c r="BT296" s="32">
        <v>109.2</v>
      </c>
      <c r="BU296" s="32">
        <v>122.4</v>
      </c>
      <c r="BV296" s="32">
        <v>122.4</v>
      </c>
      <c r="BW296" s="32">
        <v>127.9</v>
      </c>
      <c r="BX296" s="32">
        <v>102.3</v>
      </c>
      <c r="BY296" s="32">
        <v>100.1</v>
      </c>
      <c r="BZ296" s="32">
        <v>100.6</v>
      </c>
      <c r="CA296" s="32">
        <v>99.9</v>
      </c>
      <c r="CB296" s="32">
        <v>103.7</v>
      </c>
      <c r="CC296" s="32">
        <v>97.4</v>
      </c>
      <c r="CD296" s="32">
        <v>85.2</v>
      </c>
      <c r="CE296" s="32">
        <v>95</v>
      </c>
      <c r="CF296" s="32">
        <v>89.2</v>
      </c>
      <c r="CG296" s="32">
        <v>79.2</v>
      </c>
      <c r="CH296" s="32">
        <v>92.9</v>
      </c>
      <c r="CI296" s="32">
        <v>81.599999999999994</v>
      </c>
      <c r="CJ296" s="32">
        <v>92.1</v>
      </c>
      <c r="CK296" s="32">
        <v>96.7</v>
      </c>
      <c r="CL296" s="32">
        <v>68</v>
      </c>
      <c r="CM296" s="32">
        <v>58.1</v>
      </c>
      <c r="CN296" s="32">
        <v>-139.1</v>
      </c>
      <c r="CO296" s="32">
        <v>83.2</v>
      </c>
      <c r="CP296" s="32">
        <v>68.3</v>
      </c>
      <c r="CQ296" s="32">
        <v>9.6</v>
      </c>
      <c r="CR296" s="32">
        <v>88.7</v>
      </c>
      <c r="CS296" s="32">
        <v>111.8</v>
      </c>
      <c r="CT296" s="32">
        <v>45.2</v>
      </c>
      <c r="CU296" s="32">
        <v>32.9</v>
      </c>
      <c r="CV296" s="32">
        <v>50.2</v>
      </c>
      <c r="CW296" s="32">
        <v>92.2</v>
      </c>
      <c r="CX296" s="32">
        <v>92</v>
      </c>
      <c r="CY296" s="32">
        <v>96.7</v>
      </c>
      <c r="CZ296" s="32">
        <v>89.3</v>
      </c>
      <c r="DA296" s="32">
        <v>86.7</v>
      </c>
      <c r="DB296" s="32">
        <v>94.1</v>
      </c>
      <c r="DC296" s="32">
        <v>92.5</v>
      </c>
      <c r="DD296" s="32">
        <v>92.5</v>
      </c>
      <c r="DE296" s="32">
        <v>92.1</v>
      </c>
      <c r="DF296" s="32">
        <v>92.2</v>
      </c>
      <c r="DG296" s="32">
        <v>91.5</v>
      </c>
      <c r="DH296" s="32">
        <v>102.8</v>
      </c>
      <c r="DI296" s="32">
        <v>100.9</v>
      </c>
      <c r="DJ296" s="32">
        <v>103.4</v>
      </c>
      <c r="DK296" s="32">
        <v>103.4</v>
      </c>
      <c r="DL296" s="32">
        <v>105</v>
      </c>
      <c r="DM296" s="32">
        <v>99.2</v>
      </c>
      <c r="DN296" s="32">
        <v>98.3</v>
      </c>
      <c r="DO296" s="32">
        <v>100</v>
      </c>
      <c r="DP296" s="32">
        <v>87.8</v>
      </c>
      <c r="DQ296" s="32">
        <v>89.6</v>
      </c>
      <c r="DR296" s="32">
        <v>91.4</v>
      </c>
      <c r="DS296" s="32">
        <v>94.3</v>
      </c>
      <c r="DT296" s="32">
        <v>93.7</v>
      </c>
      <c r="DU296" s="32">
        <v>95.6</v>
      </c>
      <c r="DV296" s="32">
        <v>99.9</v>
      </c>
      <c r="DW296" s="32">
        <v>90.8</v>
      </c>
      <c r="DX296" s="32">
        <v>90</v>
      </c>
      <c r="DY296" s="32">
        <v>96.2</v>
      </c>
      <c r="DZ296" s="32">
        <v>84.2</v>
      </c>
      <c r="EA296" s="32">
        <v>84.2</v>
      </c>
      <c r="EB296" s="32">
        <v>86.3</v>
      </c>
      <c r="EC296" s="32">
        <v>86.3</v>
      </c>
      <c r="ED296" s="32">
        <v>86.3</v>
      </c>
      <c r="EE296" s="32">
        <v>83.8</v>
      </c>
      <c r="EF296" s="32">
        <v>91.7</v>
      </c>
      <c r="EG296" s="32">
        <v>86.6</v>
      </c>
      <c r="EH296" s="32">
        <v>107.6</v>
      </c>
      <c r="EI296" s="32">
        <v>92.7</v>
      </c>
      <c r="EJ296" s="32">
        <v>35.200000000000003</v>
      </c>
      <c r="EK296" s="32">
        <v>84.1</v>
      </c>
      <c r="EL296" s="32">
        <v>97.7</v>
      </c>
      <c r="EM296" s="32">
        <v>80.7</v>
      </c>
      <c r="EN296" s="32">
        <v>83.9</v>
      </c>
      <c r="EO296" s="32">
        <v>86.8</v>
      </c>
      <c r="EP296" s="32">
        <v>93.5</v>
      </c>
      <c r="EQ296" s="32">
        <v>93.5</v>
      </c>
      <c r="ER296" s="32">
        <v>79.400000000000006</v>
      </c>
      <c r="ES296" s="32">
        <v>79.400000000000006</v>
      </c>
      <c r="ET296" s="32">
        <v>88.6</v>
      </c>
      <c r="EU296" s="32">
        <v>88.5</v>
      </c>
      <c r="EV296" s="32">
        <v>88.5</v>
      </c>
      <c r="EW296" s="32">
        <v>89.2</v>
      </c>
      <c r="EX296" s="32">
        <v>91.7</v>
      </c>
      <c r="EY296" s="32">
        <v>87.3</v>
      </c>
      <c r="EZ296" s="32">
        <v>78.900000000000006</v>
      </c>
      <c r="FA296" s="32">
        <v>71.400000000000006</v>
      </c>
      <c r="FB296" s="32">
        <v>79.2</v>
      </c>
      <c r="FC296" s="32">
        <v>71.8</v>
      </c>
      <c r="FD296" s="32">
        <v>73.7</v>
      </c>
      <c r="FE296" s="32">
        <v>94.5</v>
      </c>
      <c r="FF296" s="32">
        <v>62.5</v>
      </c>
      <c r="FG296" s="32">
        <v>83.8</v>
      </c>
      <c r="FH296" s="32">
        <v>90.8</v>
      </c>
      <c r="FI296" s="32">
        <v>94.5</v>
      </c>
      <c r="FJ296" s="32">
        <v>79.7</v>
      </c>
      <c r="FK296" s="32">
        <v>100.9</v>
      </c>
      <c r="FL296" s="32">
        <v>100.9</v>
      </c>
    </row>
    <row r="297" spans="1:168" x14ac:dyDescent="0.2">
      <c r="A297" s="34" t="s">
        <v>1277</v>
      </c>
      <c r="B297" s="32">
        <v>95.1</v>
      </c>
      <c r="C297" s="32">
        <v>96.9</v>
      </c>
      <c r="D297" s="32">
        <v>104.6</v>
      </c>
      <c r="E297" s="32">
        <v>109.4</v>
      </c>
      <c r="F297" s="32">
        <v>96.1</v>
      </c>
      <c r="G297" s="32">
        <v>61.4</v>
      </c>
      <c r="H297" s="32">
        <v>90.5</v>
      </c>
      <c r="I297" s="32">
        <v>118.1</v>
      </c>
      <c r="J297" s="32">
        <v>110.9</v>
      </c>
      <c r="K297" s="32">
        <v>107.6</v>
      </c>
      <c r="L297" s="32">
        <v>106.9</v>
      </c>
      <c r="M297" s="32">
        <v>99.8</v>
      </c>
      <c r="N297" s="32">
        <v>107.7</v>
      </c>
      <c r="O297" s="32">
        <v>193.9</v>
      </c>
      <c r="P297" s="32">
        <v>171.6</v>
      </c>
      <c r="Q297" s="32">
        <v>118.3</v>
      </c>
      <c r="R297" s="32">
        <v>100.7</v>
      </c>
      <c r="S297" s="32">
        <v>99.2</v>
      </c>
      <c r="T297" s="32">
        <v>122.5</v>
      </c>
      <c r="U297" s="32">
        <v>125.4</v>
      </c>
      <c r="V297" s="32">
        <v>106.1</v>
      </c>
      <c r="W297" s="32">
        <v>97.5</v>
      </c>
      <c r="X297" s="32">
        <v>95.7</v>
      </c>
      <c r="Y297" s="32">
        <v>99</v>
      </c>
      <c r="Z297" s="32">
        <v>113.7</v>
      </c>
      <c r="AA297" s="32">
        <v>123.4</v>
      </c>
      <c r="AB297" s="32">
        <v>115.6</v>
      </c>
      <c r="AC297" s="32">
        <v>131.69999999999999</v>
      </c>
      <c r="AD297" s="32">
        <v>124</v>
      </c>
      <c r="AE297" s="32">
        <v>80.900000000000006</v>
      </c>
      <c r="AF297" s="32">
        <v>80.900000000000006</v>
      </c>
      <c r="AG297" s="32">
        <v>134.4</v>
      </c>
      <c r="AH297" s="32">
        <v>134.4</v>
      </c>
      <c r="AI297" s="32">
        <v>122.2</v>
      </c>
      <c r="AJ297" s="32">
        <v>132.9</v>
      </c>
      <c r="AK297" s="32">
        <v>157</v>
      </c>
      <c r="AL297" s="32">
        <v>119</v>
      </c>
      <c r="AM297" s="32">
        <v>117.3</v>
      </c>
      <c r="AN297" s="32">
        <v>201.5</v>
      </c>
      <c r="AO297" s="32">
        <v>92.3</v>
      </c>
      <c r="AP297" s="32">
        <v>92.3</v>
      </c>
      <c r="AQ297" s="32">
        <v>116.3</v>
      </c>
      <c r="AR297" s="32">
        <v>116</v>
      </c>
      <c r="AS297" s="32">
        <v>116.6</v>
      </c>
      <c r="AT297" s="32">
        <v>113.5</v>
      </c>
      <c r="AU297" s="32">
        <v>119.5</v>
      </c>
      <c r="AV297" s="32">
        <v>108.7</v>
      </c>
      <c r="AW297" s="32">
        <v>115.3</v>
      </c>
      <c r="AX297" s="32">
        <v>160.1</v>
      </c>
      <c r="AY297" s="32">
        <v>88</v>
      </c>
      <c r="AZ297" s="32">
        <v>107.2</v>
      </c>
      <c r="BA297" s="32">
        <v>111.4</v>
      </c>
      <c r="BB297" s="32">
        <v>111.4</v>
      </c>
      <c r="BC297" s="32">
        <v>154.9</v>
      </c>
      <c r="BD297" s="32">
        <v>154.9</v>
      </c>
      <c r="BE297" s="32">
        <v>119.4</v>
      </c>
      <c r="BF297" s="32">
        <v>119.4</v>
      </c>
      <c r="BG297" s="32">
        <v>112.3</v>
      </c>
      <c r="BH297" s="32">
        <v>110.8</v>
      </c>
      <c r="BI297" s="32">
        <v>114.3</v>
      </c>
      <c r="BJ297" s="32">
        <v>84</v>
      </c>
      <c r="BK297" s="32">
        <v>119.9</v>
      </c>
      <c r="BL297" s="32">
        <v>152.5</v>
      </c>
      <c r="BM297" s="32">
        <v>101.7</v>
      </c>
      <c r="BN297" s="32">
        <v>105.7</v>
      </c>
      <c r="BO297" s="32">
        <v>90.7</v>
      </c>
      <c r="BP297" s="32">
        <v>118.7</v>
      </c>
      <c r="BQ297" s="32">
        <v>97.6</v>
      </c>
      <c r="BR297" s="32">
        <v>96.4</v>
      </c>
      <c r="BS297" s="32">
        <v>60.7</v>
      </c>
      <c r="BT297" s="32">
        <v>109.5</v>
      </c>
      <c r="BU297" s="32">
        <v>119.5</v>
      </c>
      <c r="BV297" s="32">
        <v>119.5</v>
      </c>
      <c r="BW297" s="32">
        <v>123.1</v>
      </c>
      <c r="BX297" s="32">
        <v>104.7</v>
      </c>
      <c r="BY297" s="32">
        <v>99.5</v>
      </c>
      <c r="BZ297" s="32">
        <v>101.2</v>
      </c>
      <c r="CA297" s="32">
        <v>98.8</v>
      </c>
      <c r="CB297" s="32">
        <v>101.3</v>
      </c>
      <c r="CC297" s="32">
        <v>97.6</v>
      </c>
      <c r="CD297" s="32">
        <v>82.6</v>
      </c>
      <c r="CE297" s="32">
        <v>95.5</v>
      </c>
      <c r="CF297" s="32">
        <v>93</v>
      </c>
      <c r="CG297" s="32">
        <v>87.1</v>
      </c>
      <c r="CH297" s="32">
        <v>100.3</v>
      </c>
      <c r="CI297" s="32">
        <v>99.2</v>
      </c>
      <c r="CJ297" s="32">
        <v>95.4</v>
      </c>
      <c r="CK297" s="32">
        <v>105.3</v>
      </c>
      <c r="CL297" s="32">
        <v>70.2</v>
      </c>
      <c r="CM297" s="32">
        <v>65.099999999999994</v>
      </c>
      <c r="CN297" s="32">
        <v>-90.6</v>
      </c>
      <c r="CO297" s="32">
        <v>85.5</v>
      </c>
      <c r="CP297" s="32">
        <v>70.3</v>
      </c>
      <c r="CQ297" s="32">
        <v>9.4</v>
      </c>
      <c r="CR297" s="32">
        <v>87</v>
      </c>
      <c r="CS297" s="32">
        <v>113.4</v>
      </c>
      <c r="CT297" s="32">
        <v>62.8</v>
      </c>
      <c r="CU297" s="32">
        <v>50.8</v>
      </c>
      <c r="CV297" s="32">
        <v>67.8</v>
      </c>
      <c r="CW297" s="32">
        <v>94.9</v>
      </c>
      <c r="CX297" s="32">
        <v>96.4</v>
      </c>
      <c r="CY297" s="32">
        <v>104.1</v>
      </c>
      <c r="CZ297" s="32">
        <v>92.1</v>
      </c>
      <c r="DA297" s="32">
        <v>89.7</v>
      </c>
      <c r="DB297" s="32">
        <v>96.7</v>
      </c>
      <c r="DC297" s="32">
        <v>98.9</v>
      </c>
      <c r="DD297" s="32">
        <v>98.9</v>
      </c>
      <c r="DE297" s="32">
        <v>92</v>
      </c>
      <c r="DF297" s="32">
        <v>92.6</v>
      </c>
      <c r="DG297" s="32">
        <v>88.2</v>
      </c>
      <c r="DH297" s="32">
        <v>102.2</v>
      </c>
      <c r="DI297" s="32">
        <v>99.4</v>
      </c>
      <c r="DJ297" s="32">
        <v>104.4</v>
      </c>
      <c r="DK297" s="32">
        <v>104.4</v>
      </c>
      <c r="DL297" s="32">
        <v>104.8</v>
      </c>
      <c r="DM297" s="32">
        <v>98.9</v>
      </c>
      <c r="DN297" s="32">
        <v>97.8</v>
      </c>
      <c r="DO297" s="32">
        <v>99.9</v>
      </c>
      <c r="DP297" s="32">
        <v>86.4</v>
      </c>
      <c r="DQ297" s="32">
        <v>89.1</v>
      </c>
      <c r="DR297" s="32">
        <v>90.5</v>
      </c>
      <c r="DS297" s="32">
        <v>91.5</v>
      </c>
      <c r="DT297" s="32">
        <v>91.3</v>
      </c>
      <c r="DU297" s="32">
        <v>91.6</v>
      </c>
      <c r="DV297" s="32">
        <v>92.4</v>
      </c>
      <c r="DW297" s="32">
        <v>90.7</v>
      </c>
      <c r="DX297" s="32">
        <v>90.8</v>
      </c>
      <c r="DY297" s="32">
        <v>92.1</v>
      </c>
      <c r="DZ297" s="32">
        <v>89.3</v>
      </c>
      <c r="EA297" s="32">
        <v>89.3</v>
      </c>
      <c r="EB297" s="32">
        <v>88.2</v>
      </c>
      <c r="EC297" s="32">
        <v>87.5</v>
      </c>
      <c r="ED297" s="32">
        <v>89.2</v>
      </c>
      <c r="EE297" s="32">
        <v>88.3</v>
      </c>
      <c r="EF297" s="32">
        <v>91</v>
      </c>
      <c r="EG297" s="32">
        <v>86.6</v>
      </c>
      <c r="EH297" s="32">
        <v>111.5</v>
      </c>
      <c r="EI297" s="32">
        <v>94.3</v>
      </c>
      <c r="EJ297" s="32">
        <v>37.700000000000003</v>
      </c>
      <c r="EK297" s="32">
        <v>81</v>
      </c>
      <c r="EL297" s="32">
        <v>99.2</v>
      </c>
      <c r="EM297" s="32">
        <v>82</v>
      </c>
      <c r="EN297" s="32">
        <v>77.900000000000006</v>
      </c>
      <c r="EO297" s="32">
        <v>92.5</v>
      </c>
      <c r="EP297" s="32">
        <v>93.7</v>
      </c>
      <c r="EQ297" s="32">
        <v>93.7</v>
      </c>
      <c r="ER297" s="32">
        <v>89.5</v>
      </c>
      <c r="ES297" s="32">
        <v>89.5</v>
      </c>
      <c r="ET297" s="32">
        <v>93.9</v>
      </c>
      <c r="EU297" s="32">
        <v>95.5</v>
      </c>
      <c r="EV297" s="32">
        <v>95.5</v>
      </c>
      <c r="EW297" s="32">
        <v>90.4</v>
      </c>
      <c r="EX297" s="32">
        <v>91.6</v>
      </c>
      <c r="EY297" s="32">
        <v>89.4</v>
      </c>
      <c r="EZ297" s="32">
        <v>93.8</v>
      </c>
      <c r="FA297" s="32">
        <v>78.8</v>
      </c>
      <c r="FB297" s="32">
        <v>84.6</v>
      </c>
      <c r="FC297" s="32">
        <v>82.3</v>
      </c>
      <c r="FD297" s="32">
        <v>79.400000000000006</v>
      </c>
      <c r="FE297" s="32">
        <v>91.3</v>
      </c>
      <c r="FF297" s="32">
        <v>72</v>
      </c>
      <c r="FG297" s="32">
        <v>104.7</v>
      </c>
      <c r="FH297" s="32">
        <v>92.3</v>
      </c>
      <c r="FI297" s="32">
        <v>92.2</v>
      </c>
      <c r="FJ297" s="32">
        <v>111.3</v>
      </c>
      <c r="FK297" s="32">
        <v>124.2</v>
      </c>
      <c r="FL297" s="32">
        <v>124.2</v>
      </c>
    </row>
    <row r="298" spans="1:168" x14ac:dyDescent="0.2">
      <c r="A298" s="34" t="s">
        <v>1278</v>
      </c>
      <c r="B298" s="32">
        <v>96.5</v>
      </c>
      <c r="C298" s="32">
        <v>96.8</v>
      </c>
      <c r="D298" s="32">
        <v>103.7</v>
      </c>
      <c r="E298" s="32">
        <v>108.6</v>
      </c>
      <c r="F298" s="32">
        <v>97.5</v>
      </c>
      <c r="G298" s="32">
        <v>54.7</v>
      </c>
      <c r="H298" s="32">
        <v>92.5</v>
      </c>
      <c r="I298" s="32">
        <v>118.1</v>
      </c>
      <c r="J298" s="32">
        <v>109.5</v>
      </c>
      <c r="K298" s="32">
        <v>107.6</v>
      </c>
      <c r="L298" s="32">
        <v>106.8</v>
      </c>
      <c r="M298" s="32">
        <v>98.7</v>
      </c>
      <c r="N298" s="32">
        <v>110.7</v>
      </c>
      <c r="O298" s="32">
        <v>190.9</v>
      </c>
      <c r="P298" s="32">
        <v>163.80000000000001</v>
      </c>
      <c r="Q298" s="32">
        <v>118.2</v>
      </c>
      <c r="R298" s="32">
        <v>97.5</v>
      </c>
      <c r="S298" s="32">
        <v>102.8</v>
      </c>
      <c r="T298" s="32">
        <v>117.5</v>
      </c>
      <c r="U298" s="32">
        <v>124.8</v>
      </c>
      <c r="V298" s="32">
        <v>106.9</v>
      </c>
      <c r="W298" s="32">
        <v>102.2</v>
      </c>
      <c r="X298" s="32">
        <v>101.6</v>
      </c>
      <c r="Y298" s="32">
        <v>101</v>
      </c>
      <c r="Z298" s="32">
        <v>116.8</v>
      </c>
      <c r="AA298" s="32">
        <v>121.3</v>
      </c>
      <c r="AB298" s="32">
        <v>112.8</v>
      </c>
      <c r="AC298" s="32">
        <v>133.9</v>
      </c>
      <c r="AD298" s="32">
        <v>118.6</v>
      </c>
      <c r="AE298" s="32">
        <v>88.3</v>
      </c>
      <c r="AF298" s="32">
        <v>88.3</v>
      </c>
      <c r="AG298" s="32">
        <v>129.69999999999999</v>
      </c>
      <c r="AH298" s="32">
        <v>129.69999999999999</v>
      </c>
      <c r="AI298" s="32">
        <v>124.8</v>
      </c>
      <c r="AJ298" s="32">
        <v>130.5</v>
      </c>
      <c r="AK298" s="32">
        <v>147.5</v>
      </c>
      <c r="AL298" s="32">
        <v>112.5</v>
      </c>
      <c r="AM298" s="32">
        <v>117.5</v>
      </c>
      <c r="AN298" s="32">
        <v>176.4</v>
      </c>
      <c r="AO298" s="32">
        <v>108.7</v>
      </c>
      <c r="AP298" s="32">
        <v>108.7</v>
      </c>
      <c r="AQ298" s="32">
        <v>112.6</v>
      </c>
      <c r="AR298" s="32">
        <v>113.6</v>
      </c>
      <c r="AS298" s="32">
        <v>111.1</v>
      </c>
      <c r="AT298" s="32">
        <v>111.1</v>
      </c>
      <c r="AU298" s="32">
        <v>110.9</v>
      </c>
      <c r="AV298" s="32">
        <v>108.8</v>
      </c>
      <c r="AW298" s="32">
        <v>117.5</v>
      </c>
      <c r="AX298" s="32">
        <v>162.80000000000001</v>
      </c>
      <c r="AY298" s="32">
        <v>90.4</v>
      </c>
      <c r="AZ298" s="32">
        <v>106.9</v>
      </c>
      <c r="BA298" s="32">
        <v>107.8</v>
      </c>
      <c r="BB298" s="32">
        <v>107.8</v>
      </c>
      <c r="BC298" s="32">
        <v>148.19999999999999</v>
      </c>
      <c r="BD298" s="32">
        <v>148.19999999999999</v>
      </c>
      <c r="BE298" s="32">
        <v>117</v>
      </c>
      <c r="BF298" s="32">
        <v>117</v>
      </c>
      <c r="BG298" s="32">
        <v>98.6</v>
      </c>
      <c r="BH298" s="32">
        <v>87.7</v>
      </c>
      <c r="BI298" s="32">
        <v>113.4</v>
      </c>
      <c r="BJ298" s="32">
        <v>83.8</v>
      </c>
      <c r="BK298" s="32">
        <v>118.8</v>
      </c>
      <c r="BL298" s="32">
        <v>152.80000000000001</v>
      </c>
      <c r="BM298" s="32">
        <v>102</v>
      </c>
      <c r="BN298" s="32">
        <v>104.3</v>
      </c>
      <c r="BO298" s="32">
        <v>91.2</v>
      </c>
      <c r="BP298" s="32">
        <v>115.4</v>
      </c>
      <c r="BQ298" s="32">
        <v>99.7</v>
      </c>
      <c r="BR298" s="32">
        <v>102.4</v>
      </c>
      <c r="BS298" s="32">
        <v>68.400000000000006</v>
      </c>
      <c r="BT298" s="32">
        <v>109.2</v>
      </c>
      <c r="BU298" s="32">
        <v>121</v>
      </c>
      <c r="BV298" s="32">
        <v>121</v>
      </c>
      <c r="BW298" s="32">
        <v>120.2</v>
      </c>
      <c r="BX298" s="32">
        <v>117.4</v>
      </c>
      <c r="BY298" s="32">
        <v>99.8</v>
      </c>
      <c r="BZ298" s="32">
        <v>100.9</v>
      </c>
      <c r="CA298" s="32">
        <v>99.3</v>
      </c>
      <c r="CB298" s="32">
        <v>99.2</v>
      </c>
      <c r="CC298" s="32">
        <v>100.6</v>
      </c>
      <c r="CD298" s="32">
        <v>84.9</v>
      </c>
      <c r="CE298" s="32">
        <v>94.2</v>
      </c>
      <c r="CF298" s="32">
        <v>95</v>
      </c>
      <c r="CG298" s="32">
        <v>91.9</v>
      </c>
      <c r="CH298" s="32">
        <v>101.3</v>
      </c>
      <c r="CI298" s="32">
        <v>103</v>
      </c>
      <c r="CJ298" s="32">
        <v>98.1</v>
      </c>
      <c r="CK298" s="32">
        <v>103.8</v>
      </c>
      <c r="CL298" s="32">
        <v>70.7</v>
      </c>
      <c r="CM298" s="32">
        <v>70</v>
      </c>
      <c r="CN298" s="32">
        <v>-55.4</v>
      </c>
      <c r="CO298" s="32">
        <v>87.1</v>
      </c>
      <c r="CP298" s="32">
        <v>74.099999999999994</v>
      </c>
      <c r="CQ298" s="32">
        <v>7.6</v>
      </c>
      <c r="CR298" s="32">
        <v>87.4</v>
      </c>
      <c r="CS298" s="32">
        <v>105.6</v>
      </c>
      <c r="CT298" s="32">
        <v>88.3</v>
      </c>
      <c r="CU298" s="32">
        <v>79.5</v>
      </c>
      <c r="CV298" s="32">
        <v>91.9</v>
      </c>
      <c r="CW298" s="32">
        <v>95.6</v>
      </c>
      <c r="CX298" s="32">
        <v>92.3</v>
      </c>
      <c r="CY298" s="32">
        <v>97.5</v>
      </c>
      <c r="CZ298" s="32">
        <v>89.4</v>
      </c>
      <c r="DA298" s="32">
        <v>88</v>
      </c>
      <c r="DB298" s="32">
        <v>91.9</v>
      </c>
      <c r="DC298" s="32">
        <v>100</v>
      </c>
      <c r="DD298" s="32">
        <v>100</v>
      </c>
      <c r="DE298" s="32">
        <v>94.9</v>
      </c>
      <c r="DF298" s="32">
        <v>95.9</v>
      </c>
      <c r="DG298" s="32">
        <v>89</v>
      </c>
      <c r="DH298" s="32">
        <v>101.6</v>
      </c>
      <c r="DI298" s="32">
        <v>98.7</v>
      </c>
      <c r="DJ298" s="32">
        <v>104.8</v>
      </c>
      <c r="DK298" s="32">
        <v>104.8</v>
      </c>
      <c r="DL298" s="32">
        <v>104.1</v>
      </c>
      <c r="DM298" s="32">
        <v>98.9</v>
      </c>
      <c r="DN298" s="32">
        <v>97.8</v>
      </c>
      <c r="DO298" s="32">
        <v>100</v>
      </c>
      <c r="DP298" s="32">
        <v>85.6</v>
      </c>
      <c r="DQ298" s="32">
        <v>89.9</v>
      </c>
      <c r="DR298" s="32">
        <v>91.1</v>
      </c>
      <c r="DS298" s="32">
        <v>93.1</v>
      </c>
      <c r="DT298" s="32">
        <v>93.3</v>
      </c>
      <c r="DU298" s="32">
        <v>94.1</v>
      </c>
      <c r="DV298" s="32">
        <v>96.6</v>
      </c>
      <c r="DW298" s="32">
        <v>91.4</v>
      </c>
      <c r="DX298" s="32">
        <v>91.7</v>
      </c>
      <c r="DY298" s="32">
        <v>92.5</v>
      </c>
      <c r="DZ298" s="32">
        <v>80.400000000000006</v>
      </c>
      <c r="EA298" s="32">
        <v>80.400000000000006</v>
      </c>
      <c r="EB298" s="32">
        <v>90.6</v>
      </c>
      <c r="EC298" s="32">
        <v>90.2</v>
      </c>
      <c r="ED298" s="32">
        <v>91.2</v>
      </c>
      <c r="EE298" s="32">
        <v>88.9</v>
      </c>
      <c r="EF298" s="32">
        <v>96.1</v>
      </c>
      <c r="EG298" s="32">
        <v>87.8</v>
      </c>
      <c r="EH298" s="32">
        <v>107.4</v>
      </c>
      <c r="EI298" s="32">
        <v>96.1</v>
      </c>
      <c r="EJ298" s="32">
        <v>39.200000000000003</v>
      </c>
      <c r="EK298" s="32">
        <v>83.9</v>
      </c>
      <c r="EL298" s="32">
        <v>102.1</v>
      </c>
      <c r="EM298" s="32">
        <v>83.1</v>
      </c>
      <c r="EN298" s="32">
        <v>81.900000000000006</v>
      </c>
      <c r="EO298" s="32">
        <v>96.2</v>
      </c>
      <c r="EP298" s="32">
        <v>94.2</v>
      </c>
      <c r="EQ298" s="32">
        <v>94.2</v>
      </c>
      <c r="ER298" s="32">
        <v>97.5</v>
      </c>
      <c r="ES298" s="32">
        <v>97.5</v>
      </c>
      <c r="ET298" s="32">
        <v>96.4</v>
      </c>
      <c r="EU298" s="32">
        <v>98.9</v>
      </c>
      <c r="EV298" s="32">
        <v>98.9</v>
      </c>
      <c r="EW298" s="32">
        <v>90.7</v>
      </c>
      <c r="EX298" s="32">
        <v>91.6</v>
      </c>
      <c r="EY298" s="32">
        <v>89.9</v>
      </c>
      <c r="EZ298" s="32">
        <v>89.5</v>
      </c>
      <c r="FA298" s="32">
        <v>86.4</v>
      </c>
      <c r="FB298" s="32">
        <v>86.5</v>
      </c>
      <c r="FC298" s="32">
        <v>82.7</v>
      </c>
      <c r="FD298" s="32">
        <v>92.8</v>
      </c>
      <c r="FE298" s="32">
        <v>90</v>
      </c>
      <c r="FF298" s="32">
        <v>86.3</v>
      </c>
      <c r="FG298" s="32">
        <v>88.8</v>
      </c>
      <c r="FH298" s="32">
        <v>95</v>
      </c>
      <c r="FI298" s="32">
        <v>102.1</v>
      </c>
      <c r="FJ298" s="32">
        <v>84.7</v>
      </c>
      <c r="FK298" s="32">
        <v>142.19999999999999</v>
      </c>
      <c r="FL298" s="32">
        <v>142.19999999999999</v>
      </c>
    </row>
    <row r="299" spans="1:168" x14ac:dyDescent="0.2">
      <c r="A299" s="34" t="s">
        <v>1279</v>
      </c>
      <c r="B299" s="32">
        <v>97.3</v>
      </c>
      <c r="C299" s="32">
        <v>96.4</v>
      </c>
      <c r="D299" s="32">
        <v>102.2</v>
      </c>
      <c r="E299" s="32">
        <v>106.7</v>
      </c>
      <c r="F299" s="32">
        <v>88.5</v>
      </c>
      <c r="G299" s="32">
        <v>40.799999999999997</v>
      </c>
      <c r="H299" s="32">
        <v>80.2</v>
      </c>
      <c r="I299" s="32">
        <v>118.5</v>
      </c>
      <c r="J299" s="32">
        <v>108.3</v>
      </c>
      <c r="K299" s="32">
        <v>107.3</v>
      </c>
      <c r="L299" s="32">
        <v>105.8</v>
      </c>
      <c r="M299" s="32">
        <v>97.7</v>
      </c>
      <c r="N299" s="32">
        <v>111.6</v>
      </c>
      <c r="O299" s="32">
        <v>197.1</v>
      </c>
      <c r="P299" s="32">
        <v>169.7</v>
      </c>
      <c r="Q299" s="32">
        <v>122</v>
      </c>
      <c r="R299" s="32">
        <v>96.2</v>
      </c>
      <c r="S299" s="32">
        <v>99.7</v>
      </c>
      <c r="T299" s="32">
        <v>111.9</v>
      </c>
      <c r="U299" s="32">
        <v>126.6</v>
      </c>
      <c r="V299" s="32">
        <v>108.6</v>
      </c>
      <c r="W299" s="32">
        <v>102.1</v>
      </c>
      <c r="X299" s="32">
        <v>101.3</v>
      </c>
      <c r="Y299" s="32">
        <v>102.4</v>
      </c>
      <c r="Z299" s="32">
        <v>111</v>
      </c>
      <c r="AA299" s="32">
        <v>117.3</v>
      </c>
      <c r="AB299" s="32">
        <v>109.7</v>
      </c>
      <c r="AC299" s="32">
        <v>136</v>
      </c>
      <c r="AD299" s="32">
        <v>108.6</v>
      </c>
      <c r="AE299" s="32">
        <v>100</v>
      </c>
      <c r="AF299" s="32">
        <v>100</v>
      </c>
      <c r="AG299" s="32">
        <v>129.80000000000001</v>
      </c>
      <c r="AH299" s="32">
        <v>129.80000000000001</v>
      </c>
      <c r="AI299" s="32">
        <v>147.9</v>
      </c>
      <c r="AJ299" s="32">
        <v>125.3</v>
      </c>
      <c r="AK299" s="32">
        <v>142.69999999999999</v>
      </c>
      <c r="AL299" s="32">
        <v>103.6</v>
      </c>
      <c r="AM299" s="32">
        <v>114.8</v>
      </c>
      <c r="AN299" s="32">
        <v>179.9</v>
      </c>
      <c r="AO299" s="32">
        <v>92.1</v>
      </c>
      <c r="AP299" s="32">
        <v>92.1</v>
      </c>
      <c r="AQ299" s="32">
        <v>111.8</v>
      </c>
      <c r="AR299" s="32">
        <v>111.7</v>
      </c>
      <c r="AS299" s="32">
        <v>111.8</v>
      </c>
      <c r="AT299" s="32">
        <v>114.4</v>
      </c>
      <c r="AU299" s="32">
        <v>109.3</v>
      </c>
      <c r="AV299" s="32">
        <v>109.8</v>
      </c>
      <c r="AW299" s="32">
        <v>104.7</v>
      </c>
      <c r="AX299" s="32">
        <v>138.69999999999999</v>
      </c>
      <c r="AY299" s="32">
        <v>83.2</v>
      </c>
      <c r="AZ299" s="32">
        <v>110.5</v>
      </c>
      <c r="BA299" s="32">
        <v>107.8</v>
      </c>
      <c r="BB299" s="32">
        <v>107.8</v>
      </c>
      <c r="BC299" s="32">
        <v>138.80000000000001</v>
      </c>
      <c r="BD299" s="32">
        <v>138.80000000000001</v>
      </c>
      <c r="BE299" s="32">
        <v>117.2</v>
      </c>
      <c r="BF299" s="32">
        <v>117.2</v>
      </c>
      <c r="BG299" s="32">
        <v>99.9</v>
      </c>
      <c r="BH299" s="32">
        <v>90.4</v>
      </c>
      <c r="BI299" s="32">
        <v>112.7</v>
      </c>
      <c r="BJ299" s="32">
        <v>84.2</v>
      </c>
      <c r="BK299" s="32">
        <v>117.9</v>
      </c>
      <c r="BL299" s="32">
        <v>149</v>
      </c>
      <c r="BM299" s="32">
        <v>104.3</v>
      </c>
      <c r="BN299" s="32">
        <v>111.2</v>
      </c>
      <c r="BO299" s="32">
        <v>102.2</v>
      </c>
      <c r="BP299" s="32">
        <v>118.2</v>
      </c>
      <c r="BQ299" s="32">
        <v>97.6</v>
      </c>
      <c r="BR299" s="32">
        <v>99.1</v>
      </c>
      <c r="BS299" s="32">
        <v>64.8</v>
      </c>
      <c r="BT299" s="32">
        <v>107.8</v>
      </c>
      <c r="BU299" s="32">
        <v>111.9</v>
      </c>
      <c r="BV299" s="32">
        <v>111.9</v>
      </c>
      <c r="BW299" s="32">
        <v>113.2</v>
      </c>
      <c r="BX299" s="32">
        <v>103.2</v>
      </c>
      <c r="BY299" s="32">
        <v>101.5</v>
      </c>
      <c r="BZ299" s="32">
        <v>103.6</v>
      </c>
      <c r="CA299" s="32">
        <v>100.6</v>
      </c>
      <c r="CB299" s="32">
        <v>102.3</v>
      </c>
      <c r="CC299" s="32">
        <v>100.3</v>
      </c>
      <c r="CD299" s="32">
        <v>84.1</v>
      </c>
      <c r="CE299" s="32">
        <v>93.5</v>
      </c>
      <c r="CF299" s="32">
        <v>96.3</v>
      </c>
      <c r="CG299" s="32">
        <v>94.4</v>
      </c>
      <c r="CH299" s="32">
        <v>102.3</v>
      </c>
      <c r="CI299" s="32">
        <v>99.1</v>
      </c>
      <c r="CJ299" s="32">
        <v>100.2</v>
      </c>
      <c r="CK299" s="32">
        <v>105.3</v>
      </c>
      <c r="CL299" s="32">
        <v>74.7</v>
      </c>
      <c r="CM299" s="32">
        <v>76.3</v>
      </c>
      <c r="CN299" s="32">
        <v>-15.9</v>
      </c>
      <c r="CO299" s="32">
        <v>89.7</v>
      </c>
      <c r="CP299" s="32">
        <v>80</v>
      </c>
      <c r="CQ299" s="32">
        <v>9.6</v>
      </c>
      <c r="CR299" s="32">
        <v>88.6</v>
      </c>
      <c r="CS299" s="32">
        <v>110.5</v>
      </c>
      <c r="CT299" s="32">
        <v>94.4</v>
      </c>
      <c r="CU299" s="32">
        <v>88.1</v>
      </c>
      <c r="CV299" s="32">
        <v>97</v>
      </c>
      <c r="CW299" s="32">
        <v>95.3</v>
      </c>
      <c r="CX299" s="32">
        <v>96.4</v>
      </c>
      <c r="CY299" s="32">
        <v>97.8</v>
      </c>
      <c r="CZ299" s="32">
        <v>95.5</v>
      </c>
      <c r="DA299" s="32">
        <v>92.5</v>
      </c>
      <c r="DB299" s="32">
        <v>101.4</v>
      </c>
      <c r="DC299" s="32">
        <v>98.2</v>
      </c>
      <c r="DD299" s="32">
        <v>98.2</v>
      </c>
      <c r="DE299" s="32">
        <v>93.2</v>
      </c>
      <c r="DF299" s="32">
        <v>93.9</v>
      </c>
      <c r="DG299" s="32">
        <v>89.3</v>
      </c>
      <c r="DH299" s="32">
        <v>101.2</v>
      </c>
      <c r="DI299" s="32">
        <v>99.5</v>
      </c>
      <c r="DJ299" s="32">
        <v>104</v>
      </c>
      <c r="DK299" s="32">
        <v>104</v>
      </c>
      <c r="DL299" s="32">
        <v>102.2</v>
      </c>
      <c r="DM299" s="32">
        <v>99.5</v>
      </c>
      <c r="DN299" s="32">
        <v>97.9</v>
      </c>
      <c r="DO299" s="32">
        <v>100.1</v>
      </c>
      <c r="DP299" s="32">
        <v>99.5</v>
      </c>
      <c r="DQ299" s="32">
        <v>92.1</v>
      </c>
      <c r="DR299" s="32">
        <v>93.9</v>
      </c>
      <c r="DS299" s="32">
        <v>95.2</v>
      </c>
      <c r="DT299" s="32">
        <v>94.2</v>
      </c>
      <c r="DU299" s="32">
        <v>95.3</v>
      </c>
      <c r="DV299" s="32">
        <v>98.8</v>
      </c>
      <c r="DW299" s="32">
        <v>91.4</v>
      </c>
      <c r="DX299" s="32">
        <v>92</v>
      </c>
      <c r="DY299" s="32">
        <v>98.7</v>
      </c>
      <c r="DZ299" s="32">
        <v>80.3</v>
      </c>
      <c r="EA299" s="32">
        <v>80.3</v>
      </c>
      <c r="EB299" s="32">
        <v>97.1</v>
      </c>
      <c r="EC299" s="32">
        <v>99.5</v>
      </c>
      <c r="ED299" s="32">
        <v>94</v>
      </c>
      <c r="EE299" s="32">
        <v>91.1</v>
      </c>
      <c r="EF299" s="32">
        <v>100.1</v>
      </c>
      <c r="EG299" s="32">
        <v>89.1</v>
      </c>
      <c r="EH299" s="32">
        <v>107.7</v>
      </c>
      <c r="EI299" s="32">
        <v>95.9</v>
      </c>
      <c r="EJ299" s="32">
        <v>41.8</v>
      </c>
      <c r="EK299" s="32">
        <v>86.3</v>
      </c>
      <c r="EL299" s="32">
        <v>101.2</v>
      </c>
      <c r="EM299" s="32">
        <v>84.1</v>
      </c>
      <c r="EN299" s="32">
        <v>85.4</v>
      </c>
      <c r="EO299" s="32">
        <v>98</v>
      </c>
      <c r="EP299" s="32">
        <v>94.8</v>
      </c>
      <c r="EQ299" s="32">
        <v>94.8</v>
      </c>
      <c r="ER299" s="32">
        <v>100</v>
      </c>
      <c r="ES299" s="32">
        <v>100</v>
      </c>
      <c r="ET299" s="32">
        <v>98.3</v>
      </c>
      <c r="EU299" s="32">
        <v>101.3</v>
      </c>
      <c r="EV299" s="32">
        <v>101.3</v>
      </c>
      <c r="EW299" s="32">
        <v>91.4</v>
      </c>
      <c r="EX299" s="32">
        <v>92.3</v>
      </c>
      <c r="EY299" s="32">
        <v>90.6</v>
      </c>
      <c r="EZ299" s="32">
        <v>86.9</v>
      </c>
      <c r="FA299" s="32">
        <v>85.7</v>
      </c>
      <c r="FB299" s="32">
        <v>85.5</v>
      </c>
      <c r="FC299" s="32">
        <v>79.2</v>
      </c>
      <c r="FD299" s="32">
        <v>96</v>
      </c>
      <c r="FE299" s="32">
        <v>91.3</v>
      </c>
      <c r="FF299" s="32">
        <v>86</v>
      </c>
      <c r="FG299" s="32">
        <v>83.7</v>
      </c>
      <c r="FH299" s="32">
        <v>96.5</v>
      </c>
      <c r="FI299" s="32">
        <v>93.6</v>
      </c>
      <c r="FJ299" s="32">
        <v>77.3</v>
      </c>
      <c r="FK299" s="32">
        <v>153.6</v>
      </c>
      <c r="FL299" s="32">
        <v>153.6</v>
      </c>
    </row>
    <row r="300" spans="1:168" x14ac:dyDescent="0.2">
      <c r="A300" s="34" t="s">
        <v>1280</v>
      </c>
      <c r="B300" s="32">
        <v>97</v>
      </c>
      <c r="C300" s="32">
        <v>95.5</v>
      </c>
      <c r="D300" s="32">
        <v>101</v>
      </c>
      <c r="E300" s="32">
        <v>105.4</v>
      </c>
      <c r="F300" s="32">
        <v>98.5</v>
      </c>
      <c r="G300" s="32">
        <v>51.1</v>
      </c>
      <c r="H300" s="32">
        <v>94.9</v>
      </c>
      <c r="I300" s="32">
        <v>114.7</v>
      </c>
      <c r="J300" s="32">
        <v>107.2</v>
      </c>
      <c r="K300" s="32">
        <v>107.1</v>
      </c>
      <c r="L300" s="32">
        <v>106</v>
      </c>
      <c r="M300" s="32">
        <v>97.3</v>
      </c>
      <c r="N300" s="32">
        <v>109.4</v>
      </c>
      <c r="O300" s="32">
        <v>187.2</v>
      </c>
      <c r="P300" s="32">
        <v>165.7</v>
      </c>
      <c r="Q300" s="32">
        <v>119.3</v>
      </c>
      <c r="R300" s="32">
        <v>100.5</v>
      </c>
      <c r="S300" s="32">
        <v>100.2</v>
      </c>
      <c r="T300" s="32">
        <v>110.6</v>
      </c>
      <c r="U300" s="32">
        <v>126.3</v>
      </c>
      <c r="V300" s="32">
        <v>106.8</v>
      </c>
      <c r="W300" s="32">
        <v>101.1</v>
      </c>
      <c r="X300" s="32">
        <v>99.1</v>
      </c>
      <c r="Y300" s="32">
        <v>104.4</v>
      </c>
      <c r="Z300" s="32">
        <v>110</v>
      </c>
      <c r="AA300" s="32">
        <v>118</v>
      </c>
      <c r="AB300" s="32">
        <v>106.6</v>
      </c>
      <c r="AC300" s="32">
        <v>133.4</v>
      </c>
      <c r="AD300" s="32">
        <v>115.2</v>
      </c>
      <c r="AE300" s="32">
        <v>93.6</v>
      </c>
      <c r="AF300" s="32">
        <v>93.6</v>
      </c>
      <c r="AG300" s="32">
        <v>124.7</v>
      </c>
      <c r="AH300" s="32">
        <v>124.7</v>
      </c>
      <c r="AI300" s="32">
        <v>123.1</v>
      </c>
      <c r="AJ300" s="32">
        <v>119.2</v>
      </c>
      <c r="AK300" s="32">
        <v>146.19999999999999</v>
      </c>
      <c r="AL300" s="32">
        <v>107.8</v>
      </c>
      <c r="AM300" s="32">
        <v>112.1</v>
      </c>
      <c r="AN300" s="32">
        <v>173.4</v>
      </c>
      <c r="AO300" s="32">
        <v>99.4</v>
      </c>
      <c r="AP300" s="32">
        <v>99.4</v>
      </c>
      <c r="AQ300" s="32">
        <v>108.5</v>
      </c>
      <c r="AR300" s="32">
        <v>108.3</v>
      </c>
      <c r="AS300" s="32">
        <v>108.8</v>
      </c>
      <c r="AT300" s="32">
        <v>108.9</v>
      </c>
      <c r="AU300" s="32">
        <v>108.5</v>
      </c>
      <c r="AV300" s="32">
        <v>101.7</v>
      </c>
      <c r="AW300" s="32">
        <v>97.3</v>
      </c>
      <c r="AX300" s="32">
        <v>128.19999999999999</v>
      </c>
      <c r="AY300" s="32">
        <v>78.099999999999994</v>
      </c>
      <c r="AZ300" s="32">
        <v>102.4</v>
      </c>
      <c r="BA300" s="32">
        <v>107</v>
      </c>
      <c r="BB300" s="32">
        <v>107</v>
      </c>
      <c r="BC300" s="32">
        <v>133.9</v>
      </c>
      <c r="BD300" s="32">
        <v>133.9</v>
      </c>
      <c r="BE300" s="32">
        <v>112</v>
      </c>
      <c r="BF300" s="32">
        <v>112</v>
      </c>
      <c r="BG300" s="32">
        <v>101.7</v>
      </c>
      <c r="BH300" s="32">
        <v>95.3</v>
      </c>
      <c r="BI300" s="32">
        <v>110.3</v>
      </c>
      <c r="BJ300" s="32">
        <v>83.1</v>
      </c>
      <c r="BK300" s="32">
        <v>115.3</v>
      </c>
      <c r="BL300" s="32">
        <v>143.5</v>
      </c>
      <c r="BM300" s="32">
        <v>104.3</v>
      </c>
      <c r="BN300" s="32">
        <v>111.5</v>
      </c>
      <c r="BO300" s="32">
        <v>106.4</v>
      </c>
      <c r="BP300" s="32">
        <v>114.8</v>
      </c>
      <c r="BQ300" s="32">
        <v>97.2</v>
      </c>
      <c r="BR300" s="32">
        <v>100.4</v>
      </c>
      <c r="BS300" s="32">
        <v>64.7</v>
      </c>
      <c r="BT300" s="32">
        <v>107.1</v>
      </c>
      <c r="BU300" s="32">
        <v>100.8</v>
      </c>
      <c r="BV300" s="32">
        <v>100.8</v>
      </c>
      <c r="BW300" s="32">
        <v>105.7</v>
      </c>
      <c r="BX300" s="32">
        <v>83.4</v>
      </c>
      <c r="BY300" s="32">
        <v>101.6</v>
      </c>
      <c r="BZ300" s="32">
        <v>101.4</v>
      </c>
      <c r="CA300" s="32">
        <v>101.6</v>
      </c>
      <c r="CB300" s="32">
        <v>104</v>
      </c>
      <c r="CC300" s="32">
        <v>100.7</v>
      </c>
      <c r="CD300" s="32">
        <v>84.8</v>
      </c>
      <c r="CE300" s="32">
        <v>92.5</v>
      </c>
      <c r="CF300" s="32">
        <v>96.2</v>
      </c>
      <c r="CG300" s="32">
        <v>94.2</v>
      </c>
      <c r="CH300" s="32">
        <v>101.1</v>
      </c>
      <c r="CI300" s="32">
        <v>95.3</v>
      </c>
      <c r="CJ300" s="32">
        <v>101.1</v>
      </c>
      <c r="CK300" s="32">
        <v>102.7</v>
      </c>
      <c r="CL300" s="32">
        <v>78</v>
      </c>
      <c r="CM300" s="32">
        <v>80.2</v>
      </c>
      <c r="CN300" s="32">
        <v>8.6999999999999993</v>
      </c>
      <c r="CO300" s="32">
        <v>91.1</v>
      </c>
      <c r="CP300" s="32">
        <v>86.5</v>
      </c>
      <c r="CQ300" s="32">
        <v>18.8</v>
      </c>
      <c r="CR300" s="32">
        <v>90.3</v>
      </c>
      <c r="CS300" s="32">
        <v>106.4</v>
      </c>
      <c r="CT300" s="32">
        <v>92.9</v>
      </c>
      <c r="CU300" s="32">
        <v>88.3</v>
      </c>
      <c r="CV300" s="32">
        <v>94.7</v>
      </c>
      <c r="CW300" s="32">
        <v>96.8</v>
      </c>
      <c r="CX300" s="32">
        <v>94.2</v>
      </c>
      <c r="CY300" s="32">
        <v>94.6</v>
      </c>
      <c r="CZ300" s="32">
        <v>93.9</v>
      </c>
      <c r="DA300" s="32">
        <v>92.3</v>
      </c>
      <c r="DB300" s="32">
        <v>96.9</v>
      </c>
      <c r="DC300" s="32">
        <v>98.5</v>
      </c>
      <c r="DD300" s="32">
        <v>98.5</v>
      </c>
      <c r="DE300" s="32">
        <v>97.4</v>
      </c>
      <c r="DF300" s="32">
        <v>98.8</v>
      </c>
      <c r="DG300" s="32">
        <v>89.7</v>
      </c>
      <c r="DH300" s="32">
        <v>100.1</v>
      </c>
      <c r="DI300" s="32">
        <v>99.3</v>
      </c>
      <c r="DJ300" s="32">
        <v>102.6</v>
      </c>
      <c r="DK300" s="32">
        <v>102.6</v>
      </c>
      <c r="DL300" s="32">
        <v>100</v>
      </c>
      <c r="DM300" s="32">
        <v>98.7</v>
      </c>
      <c r="DN300" s="32">
        <v>97.7</v>
      </c>
      <c r="DO300" s="32">
        <v>100</v>
      </c>
      <c r="DP300" s="32">
        <v>77.599999999999994</v>
      </c>
      <c r="DQ300" s="32">
        <v>91.7</v>
      </c>
      <c r="DR300" s="32">
        <v>92.8</v>
      </c>
      <c r="DS300" s="32">
        <v>94.4</v>
      </c>
      <c r="DT300" s="32">
        <v>94.2</v>
      </c>
      <c r="DU300" s="32">
        <v>95.2</v>
      </c>
      <c r="DV300" s="32">
        <v>94.2</v>
      </c>
      <c r="DW300" s="32">
        <v>96.1</v>
      </c>
      <c r="DX300" s="32">
        <v>92.1</v>
      </c>
      <c r="DY300" s="32">
        <v>95.5</v>
      </c>
      <c r="DZ300" s="32">
        <v>83.6</v>
      </c>
      <c r="EA300" s="32">
        <v>83.6</v>
      </c>
      <c r="EB300" s="32">
        <v>92.4</v>
      </c>
      <c r="EC300" s="32">
        <v>90.5</v>
      </c>
      <c r="ED300" s="32">
        <v>94.9</v>
      </c>
      <c r="EE300" s="32">
        <v>94.3</v>
      </c>
      <c r="EF300" s="32">
        <v>96.4</v>
      </c>
      <c r="EG300" s="32">
        <v>90</v>
      </c>
      <c r="EH300" s="32">
        <v>106.7</v>
      </c>
      <c r="EI300" s="32">
        <v>96.8</v>
      </c>
      <c r="EJ300" s="32">
        <v>47</v>
      </c>
      <c r="EK300" s="32">
        <v>86.9</v>
      </c>
      <c r="EL300" s="32">
        <v>104.5</v>
      </c>
      <c r="EM300" s="32">
        <v>83.9</v>
      </c>
      <c r="EN300" s="32">
        <v>86.2</v>
      </c>
      <c r="EO300" s="32">
        <v>98</v>
      </c>
      <c r="EP300" s="32">
        <v>95.1</v>
      </c>
      <c r="EQ300" s="32">
        <v>95.1</v>
      </c>
      <c r="ER300" s="32">
        <v>97.6</v>
      </c>
      <c r="ES300" s="32">
        <v>97.6</v>
      </c>
      <c r="ET300" s="32">
        <v>99.9</v>
      </c>
      <c r="EU300" s="32">
        <v>103.4</v>
      </c>
      <c r="EV300" s="32">
        <v>103.4</v>
      </c>
      <c r="EW300" s="32">
        <v>91.8</v>
      </c>
      <c r="EX300" s="32">
        <v>92.7</v>
      </c>
      <c r="EY300" s="32">
        <v>91</v>
      </c>
      <c r="EZ300" s="32">
        <v>89.6</v>
      </c>
      <c r="FA300" s="32">
        <v>91.2</v>
      </c>
      <c r="FB300" s="32">
        <v>91</v>
      </c>
      <c r="FC300" s="32">
        <v>88.7</v>
      </c>
      <c r="FD300" s="32">
        <v>93.8</v>
      </c>
      <c r="FE300" s="32">
        <v>93.8</v>
      </c>
      <c r="FF300" s="32">
        <v>91.4</v>
      </c>
      <c r="FG300" s="32">
        <v>85.8</v>
      </c>
      <c r="FH300" s="32">
        <v>98.4</v>
      </c>
      <c r="FI300" s="32">
        <v>97.3</v>
      </c>
      <c r="FJ300" s="32">
        <v>79.3</v>
      </c>
      <c r="FK300" s="32">
        <v>127.9</v>
      </c>
      <c r="FL300" s="32">
        <v>127.9</v>
      </c>
    </row>
    <row r="301" spans="1:168" x14ac:dyDescent="0.2">
      <c r="A301" s="34" t="s">
        <v>1281</v>
      </c>
      <c r="B301" s="32">
        <v>97.9</v>
      </c>
      <c r="C301" s="32">
        <v>94.7</v>
      </c>
      <c r="D301" s="32">
        <v>101.2</v>
      </c>
      <c r="E301" s="32">
        <v>105.9</v>
      </c>
      <c r="F301" s="32">
        <v>113.1</v>
      </c>
      <c r="G301" s="32">
        <v>51.5</v>
      </c>
      <c r="H301" s="32">
        <v>115.8</v>
      </c>
      <c r="I301" s="32">
        <v>111.8</v>
      </c>
      <c r="J301" s="32">
        <v>107.5</v>
      </c>
      <c r="K301" s="32">
        <v>106.3</v>
      </c>
      <c r="L301" s="32">
        <v>105.8</v>
      </c>
      <c r="M301" s="32">
        <v>97.3</v>
      </c>
      <c r="N301" s="32">
        <v>109.6</v>
      </c>
      <c r="O301" s="32">
        <v>180.8</v>
      </c>
      <c r="P301" s="32">
        <v>162.6</v>
      </c>
      <c r="Q301" s="32">
        <v>119.4</v>
      </c>
      <c r="R301" s="32">
        <v>97.8</v>
      </c>
      <c r="S301" s="32">
        <v>102.4</v>
      </c>
      <c r="T301" s="32">
        <v>105.5</v>
      </c>
      <c r="U301" s="32">
        <v>127.4</v>
      </c>
      <c r="V301" s="32">
        <v>103.4</v>
      </c>
      <c r="W301" s="32">
        <v>102.9</v>
      </c>
      <c r="X301" s="32">
        <v>101.7</v>
      </c>
      <c r="Y301" s="32">
        <v>104.2</v>
      </c>
      <c r="Z301" s="32">
        <v>114.9</v>
      </c>
      <c r="AA301" s="32">
        <v>114.1</v>
      </c>
      <c r="AB301" s="32">
        <v>97.2</v>
      </c>
      <c r="AC301" s="32">
        <v>130.80000000000001</v>
      </c>
      <c r="AD301" s="32">
        <v>114.3</v>
      </c>
      <c r="AE301" s="32">
        <v>95.6</v>
      </c>
      <c r="AF301" s="32">
        <v>95.6</v>
      </c>
      <c r="AG301" s="32">
        <v>121.6</v>
      </c>
      <c r="AH301" s="32">
        <v>121.6</v>
      </c>
      <c r="AI301" s="32">
        <v>118.1</v>
      </c>
      <c r="AJ301" s="32">
        <v>117.5</v>
      </c>
      <c r="AK301" s="32">
        <v>146.30000000000001</v>
      </c>
      <c r="AL301" s="32">
        <v>108.1</v>
      </c>
      <c r="AM301" s="32">
        <v>111.4</v>
      </c>
      <c r="AN301" s="32">
        <v>157.30000000000001</v>
      </c>
      <c r="AO301" s="32">
        <v>103.4</v>
      </c>
      <c r="AP301" s="32">
        <v>103.4</v>
      </c>
      <c r="AQ301" s="32">
        <v>107</v>
      </c>
      <c r="AR301" s="32">
        <v>107.9</v>
      </c>
      <c r="AS301" s="32">
        <v>105.6</v>
      </c>
      <c r="AT301" s="32">
        <v>105.1</v>
      </c>
      <c r="AU301" s="32">
        <v>105.9</v>
      </c>
      <c r="AV301" s="32">
        <v>101.3</v>
      </c>
      <c r="AW301" s="32">
        <v>92</v>
      </c>
      <c r="AX301" s="32">
        <v>122</v>
      </c>
      <c r="AY301" s="32">
        <v>74.2</v>
      </c>
      <c r="AZ301" s="32">
        <v>102.9</v>
      </c>
      <c r="BA301" s="32">
        <v>107.2</v>
      </c>
      <c r="BB301" s="32">
        <v>107.2</v>
      </c>
      <c r="BC301" s="32">
        <v>125.5</v>
      </c>
      <c r="BD301" s="32">
        <v>125.5</v>
      </c>
      <c r="BE301" s="32">
        <v>112.5</v>
      </c>
      <c r="BF301" s="32">
        <v>112.5</v>
      </c>
      <c r="BG301" s="32">
        <v>108.7</v>
      </c>
      <c r="BH301" s="32">
        <v>107.5</v>
      </c>
      <c r="BI301" s="32">
        <v>110.1</v>
      </c>
      <c r="BJ301" s="32">
        <v>83.9</v>
      </c>
      <c r="BK301" s="32">
        <v>115</v>
      </c>
      <c r="BL301" s="32">
        <v>140.6</v>
      </c>
      <c r="BM301" s="32">
        <v>100.8</v>
      </c>
      <c r="BN301" s="32">
        <v>107.8</v>
      </c>
      <c r="BO301" s="32">
        <v>98.9</v>
      </c>
      <c r="BP301" s="32">
        <v>114.8</v>
      </c>
      <c r="BQ301" s="32">
        <v>94</v>
      </c>
      <c r="BR301" s="32">
        <v>96.4</v>
      </c>
      <c r="BS301" s="32">
        <v>64.3</v>
      </c>
      <c r="BT301" s="32">
        <v>103.1</v>
      </c>
      <c r="BU301" s="32">
        <v>96.8</v>
      </c>
      <c r="BV301" s="32">
        <v>96.8</v>
      </c>
      <c r="BW301" s="32">
        <v>100.8</v>
      </c>
      <c r="BX301" s="32">
        <v>82</v>
      </c>
      <c r="BY301" s="32">
        <v>100.7</v>
      </c>
      <c r="BZ301" s="32">
        <v>102</v>
      </c>
      <c r="CA301" s="32">
        <v>100.1</v>
      </c>
      <c r="CB301" s="32">
        <v>100.8</v>
      </c>
      <c r="CC301" s="32">
        <v>100.7</v>
      </c>
      <c r="CD301" s="32">
        <v>84.6</v>
      </c>
      <c r="CE301" s="32">
        <v>92.3</v>
      </c>
      <c r="CF301" s="32">
        <v>97.2</v>
      </c>
      <c r="CG301" s="32">
        <v>97</v>
      </c>
      <c r="CH301" s="32">
        <v>100.8</v>
      </c>
      <c r="CI301" s="32">
        <v>94.8</v>
      </c>
      <c r="CJ301" s="32">
        <v>99.7</v>
      </c>
      <c r="CK301" s="32">
        <v>103.6</v>
      </c>
      <c r="CL301" s="32">
        <v>80.099999999999994</v>
      </c>
      <c r="CM301" s="32">
        <v>84.4</v>
      </c>
      <c r="CN301" s="32">
        <v>28.4</v>
      </c>
      <c r="CO301" s="32">
        <v>93.4</v>
      </c>
      <c r="CP301" s="32">
        <v>89.6</v>
      </c>
      <c r="CQ301" s="32">
        <v>23.6</v>
      </c>
      <c r="CR301" s="32">
        <v>89.4</v>
      </c>
      <c r="CS301" s="32">
        <v>105</v>
      </c>
      <c r="CT301" s="32">
        <v>108</v>
      </c>
      <c r="CU301" s="32">
        <v>106.2</v>
      </c>
      <c r="CV301" s="32">
        <v>108.7</v>
      </c>
      <c r="CW301" s="32">
        <v>97.3</v>
      </c>
      <c r="CX301" s="32">
        <v>95.3</v>
      </c>
      <c r="CY301" s="32">
        <v>93.9</v>
      </c>
      <c r="CZ301" s="32">
        <v>95.9</v>
      </c>
      <c r="DA301" s="32">
        <v>94.3</v>
      </c>
      <c r="DB301" s="32">
        <v>99</v>
      </c>
      <c r="DC301" s="32">
        <v>98.2</v>
      </c>
      <c r="DD301" s="32">
        <v>98.2</v>
      </c>
      <c r="DE301" s="32">
        <v>98.1</v>
      </c>
      <c r="DF301" s="32">
        <v>99.6</v>
      </c>
      <c r="DG301" s="32">
        <v>89.1</v>
      </c>
      <c r="DH301" s="32">
        <v>100.2</v>
      </c>
      <c r="DI301" s="32">
        <v>99.6</v>
      </c>
      <c r="DJ301" s="32">
        <v>102.4</v>
      </c>
      <c r="DK301" s="32">
        <v>102.4</v>
      </c>
      <c r="DL301" s="32">
        <v>99.9</v>
      </c>
      <c r="DM301" s="32">
        <v>99.1</v>
      </c>
      <c r="DN301" s="32">
        <v>97.8</v>
      </c>
      <c r="DO301" s="32">
        <v>100.1</v>
      </c>
      <c r="DP301" s="32">
        <v>89.4</v>
      </c>
      <c r="DQ301" s="32">
        <v>92.6</v>
      </c>
      <c r="DR301" s="32">
        <v>94</v>
      </c>
      <c r="DS301" s="32">
        <v>94.7</v>
      </c>
      <c r="DT301" s="32">
        <v>95.2</v>
      </c>
      <c r="DU301" s="32">
        <v>96</v>
      </c>
      <c r="DV301" s="32">
        <v>94.2</v>
      </c>
      <c r="DW301" s="32">
        <v>97.9</v>
      </c>
      <c r="DX301" s="32">
        <v>93.5</v>
      </c>
      <c r="DY301" s="32">
        <v>93.2</v>
      </c>
      <c r="DZ301" s="32">
        <v>93.3</v>
      </c>
      <c r="EA301" s="32">
        <v>93.3</v>
      </c>
      <c r="EB301" s="32">
        <v>92</v>
      </c>
      <c r="EC301" s="32">
        <v>91.8</v>
      </c>
      <c r="ED301" s="32">
        <v>92.4</v>
      </c>
      <c r="EE301" s="32">
        <v>93.2</v>
      </c>
      <c r="EF301" s="32">
        <v>90.5</v>
      </c>
      <c r="EG301" s="32">
        <v>90.3</v>
      </c>
      <c r="EH301" s="32">
        <v>102.1</v>
      </c>
      <c r="EI301" s="32">
        <v>96.4</v>
      </c>
      <c r="EJ301" s="32">
        <v>55.5</v>
      </c>
      <c r="EK301" s="32">
        <v>88.2</v>
      </c>
      <c r="EL301" s="32">
        <v>104.1</v>
      </c>
      <c r="EM301" s="32">
        <v>84.2</v>
      </c>
      <c r="EN301" s="32">
        <v>88.1</v>
      </c>
      <c r="EO301" s="32">
        <v>98.1</v>
      </c>
      <c r="EP301" s="32">
        <v>95.4</v>
      </c>
      <c r="EQ301" s="32">
        <v>95.4</v>
      </c>
      <c r="ER301" s="32">
        <v>96</v>
      </c>
      <c r="ES301" s="32">
        <v>96</v>
      </c>
      <c r="ET301" s="32">
        <v>101.1</v>
      </c>
      <c r="EU301" s="32">
        <v>104.9</v>
      </c>
      <c r="EV301" s="32">
        <v>104.9</v>
      </c>
      <c r="EW301" s="32">
        <v>92.4</v>
      </c>
      <c r="EX301" s="32">
        <v>93.1</v>
      </c>
      <c r="EY301" s="32">
        <v>91.8</v>
      </c>
      <c r="EZ301" s="32">
        <v>93.5</v>
      </c>
      <c r="FA301" s="32">
        <v>94.7</v>
      </c>
      <c r="FB301" s="32">
        <v>95.7</v>
      </c>
      <c r="FC301" s="32">
        <v>94.4</v>
      </c>
      <c r="FD301" s="32">
        <v>98.7</v>
      </c>
      <c r="FE301" s="32">
        <v>96.3</v>
      </c>
      <c r="FF301" s="32">
        <v>93.5</v>
      </c>
      <c r="FG301" s="32">
        <v>91.5</v>
      </c>
      <c r="FH301" s="32">
        <v>99.4</v>
      </c>
      <c r="FI301" s="32">
        <v>98.3</v>
      </c>
      <c r="FJ301" s="32">
        <v>87.5</v>
      </c>
      <c r="FK301" s="32">
        <v>108.3</v>
      </c>
      <c r="FL301" s="32">
        <v>108.3</v>
      </c>
    </row>
    <row r="302" spans="1:168" x14ac:dyDescent="0.2">
      <c r="A302" s="34" t="s">
        <v>1282</v>
      </c>
      <c r="B302" s="32">
        <v>98.5</v>
      </c>
      <c r="C302" s="32">
        <v>93.6</v>
      </c>
      <c r="D302" s="32">
        <v>100.5</v>
      </c>
      <c r="E302" s="32">
        <v>104.6</v>
      </c>
      <c r="F302" s="32">
        <v>107.7</v>
      </c>
      <c r="G302" s="32">
        <v>54.5</v>
      </c>
      <c r="H302" s="32">
        <v>107.9</v>
      </c>
      <c r="I302" s="32">
        <v>113.2</v>
      </c>
      <c r="J302" s="32">
        <v>106.7</v>
      </c>
      <c r="K302" s="32">
        <v>105.8</v>
      </c>
      <c r="L302" s="32">
        <v>104.8</v>
      </c>
      <c r="M302" s="32">
        <v>97.3</v>
      </c>
      <c r="N302" s="32">
        <v>109.5</v>
      </c>
      <c r="O302" s="32">
        <v>186.9</v>
      </c>
      <c r="P302" s="32">
        <v>158.5</v>
      </c>
      <c r="Q302" s="32">
        <v>119.2</v>
      </c>
      <c r="R302" s="32">
        <v>96.4</v>
      </c>
      <c r="S302" s="32">
        <v>101.3</v>
      </c>
      <c r="T302" s="32">
        <v>101.6</v>
      </c>
      <c r="U302" s="32">
        <v>127.4</v>
      </c>
      <c r="V302" s="32">
        <v>104.7</v>
      </c>
      <c r="W302" s="32">
        <v>104.6</v>
      </c>
      <c r="X302" s="32">
        <v>102.3</v>
      </c>
      <c r="Y302" s="32">
        <v>108.8</v>
      </c>
      <c r="Z302" s="32">
        <v>113.7</v>
      </c>
      <c r="AA302" s="32">
        <v>116</v>
      </c>
      <c r="AB302" s="32">
        <v>103.2</v>
      </c>
      <c r="AC302" s="32">
        <v>130.1</v>
      </c>
      <c r="AD302" s="32">
        <v>115.4</v>
      </c>
      <c r="AE302" s="32">
        <v>90.5</v>
      </c>
      <c r="AF302" s="32">
        <v>90.5</v>
      </c>
      <c r="AG302" s="32">
        <v>118</v>
      </c>
      <c r="AH302" s="32">
        <v>118</v>
      </c>
      <c r="AI302" s="32">
        <v>117.2</v>
      </c>
      <c r="AJ302" s="32">
        <v>110.9</v>
      </c>
      <c r="AK302" s="32">
        <v>133.4</v>
      </c>
      <c r="AL302" s="32">
        <v>108.5</v>
      </c>
      <c r="AM302" s="32">
        <v>107.7</v>
      </c>
      <c r="AN302" s="32">
        <v>157.1</v>
      </c>
      <c r="AO302" s="32">
        <v>101.4</v>
      </c>
      <c r="AP302" s="32">
        <v>101.4</v>
      </c>
      <c r="AQ302" s="32">
        <v>108.4</v>
      </c>
      <c r="AR302" s="32">
        <v>109</v>
      </c>
      <c r="AS302" s="32">
        <v>107.6</v>
      </c>
      <c r="AT302" s="32">
        <v>104.2</v>
      </c>
      <c r="AU302" s="32">
        <v>110.8</v>
      </c>
      <c r="AV302" s="32">
        <v>101.1</v>
      </c>
      <c r="AW302" s="32">
        <v>88.8</v>
      </c>
      <c r="AX302" s="32">
        <v>110.5</v>
      </c>
      <c r="AY302" s="32">
        <v>74.400000000000006</v>
      </c>
      <c r="AZ302" s="32">
        <v>103.3</v>
      </c>
      <c r="BA302" s="32">
        <v>106.2</v>
      </c>
      <c r="BB302" s="32">
        <v>106.2</v>
      </c>
      <c r="BC302" s="32">
        <v>121.8</v>
      </c>
      <c r="BD302" s="32">
        <v>121.8</v>
      </c>
      <c r="BE302" s="32">
        <v>115.9</v>
      </c>
      <c r="BF302" s="32">
        <v>115.9</v>
      </c>
      <c r="BG302" s="32">
        <v>103.4</v>
      </c>
      <c r="BH302" s="32">
        <v>102</v>
      </c>
      <c r="BI302" s="32">
        <v>105.2</v>
      </c>
      <c r="BJ302" s="32">
        <v>86.9</v>
      </c>
      <c r="BK302" s="32">
        <v>107.8</v>
      </c>
      <c r="BL302" s="32">
        <v>136.19999999999999</v>
      </c>
      <c r="BM302" s="32">
        <v>102.2</v>
      </c>
      <c r="BN302" s="32">
        <v>108.2</v>
      </c>
      <c r="BO302" s="32">
        <v>102.3</v>
      </c>
      <c r="BP302" s="32">
        <v>112.2</v>
      </c>
      <c r="BQ302" s="32">
        <v>96.2</v>
      </c>
      <c r="BR302" s="32">
        <v>112.1</v>
      </c>
      <c r="BS302" s="32">
        <v>68.400000000000006</v>
      </c>
      <c r="BT302" s="32">
        <v>103.1</v>
      </c>
      <c r="BU302" s="32">
        <v>92.9</v>
      </c>
      <c r="BV302" s="32">
        <v>92.9</v>
      </c>
      <c r="BW302" s="32">
        <v>95.3</v>
      </c>
      <c r="BX302" s="32">
        <v>81.900000000000006</v>
      </c>
      <c r="BY302" s="32">
        <v>98.9</v>
      </c>
      <c r="BZ302" s="32">
        <v>103.5</v>
      </c>
      <c r="CA302" s="32">
        <v>96.7</v>
      </c>
      <c r="CB302" s="32">
        <v>98.4</v>
      </c>
      <c r="CC302" s="32">
        <v>96.5</v>
      </c>
      <c r="CD302" s="32">
        <v>79.599999999999994</v>
      </c>
      <c r="CE302" s="32">
        <v>92.6</v>
      </c>
      <c r="CF302" s="32">
        <v>98.1</v>
      </c>
      <c r="CG302" s="32">
        <v>98.3</v>
      </c>
      <c r="CH302" s="32">
        <v>101.8</v>
      </c>
      <c r="CI302" s="32">
        <v>90.2</v>
      </c>
      <c r="CJ302" s="32">
        <v>102.8</v>
      </c>
      <c r="CK302" s="32">
        <v>104</v>
      </c>
      <c r="CL302" s="32">
        <v>83.2</v>
      </c>
      <c r="CM302" s="32">
        <v>87.4</v>
      </c>
      <c r="CN302" s="32">
        <v>45.4</v>
      </c>
      <c r="CO302" s="32">
        <v>94.6</v>
      </c>
      <c r="CP302" s="32">
        <v>87.9</v>
      </c>
      <c r="CQ302" s="32">
        <v>26.8</v>
      </c>
      <c r="CR302" s="32">
        <v>90.9</v>
      </c>
      <c r="CS302" s="32">
        <v>112.3</v>
      </c>
      <c r="CT302" s="32">
        <v>107.9</v>
      </c>
      <c r="CU302" s="32">
        <v>103</v>
      </c>
      <c r="CV302" s="32">
        <v>109.9</v>
      </c>
      <c r="CW302" s="32">
        <v>97.4</v>
      </c>
      <c r="CX302" s="32">
        <v>91.7</v>
      </c>
      <c r="CY302" s="32">
        <v>98.6</v>
      </c>
      <c r="CZ302" s="32">
        <v>87.9</v>
      </c>
      <c r="DA302" s="32">
        <v>78.8</v>
      </c>
      <c r="DB302" s="32">
        <v>105.2</v>
      </c>
      <c r="DC302" s="32">
        <v>100.1</v>
      </c>
      <c r="DD302" s="32">
        <v>100.1</v>
      </c>
      <c r="DE302" s="32">
        <v>98.8</v>
      </c>
      <c r="DF302" s="32">
        <v>101.2</v>
      </c>
      <c r="DG302" s="32">
        <v>85.4</v>
      </c>
      <c r="DH302" s="32">
        <v>101</v>
      </c>
      <c r="DI302" s="32">
        <v>99.6</v>
      </c>
      <c r="DJ302" s="32">
        <v>103.7</v>
      </c>
      <c r="DK302" s="32">
        <v>103.7</v>
      </c>
      <c r="DL302" s="32">
        <v>101.8</v>
      </c>
      <c r="DM302" s="32">
        <v>99.3</v>
      </c>
      <c r="DN302" s="32">
        <v>98.3</v>
      </c>
      <c r="DO302" s="32">
        <v>100.1</v>
      </c>
      <c r="DP302" s="32">
        <v>90.6</v>
      </c>
      <c r="DQ302" s="32">
        <v>93.9</v>
      </c>
      <c r="DR302" s="32">
        <v>94.9</v>
      </c>
      <c r="DS302" s="32">
        <v>95.9</v>
      </c>
      <c r="DT302" s="32">
        <v>95.9</v>
      </c>
      <c r="DU302" s="32">
        <v>96.2</v>
      </c>
      <c r="DV302" s="32">
        <v>95.6</v>
      </c>
      <c r="DW302" s="32">
        <v>96.8</v>
      </c>
      <c r="DX302" s="32">
        <v>95.5</v>
      </c>
      <c r="DY302" s="32">
        <v>95.6</v>
      </c>
      <c r="DZ302" s="32">
        <v>90.5</v>
      </c>
      <c r="EA302" s="32">
        <v>90.5</v>
      </c>
      <c r="EB302" s="32">
        <v>94.2</v>
      </c>
      <c r="EC302" s="32">
        <v>95</v>
      </c>
      <c r="ED302" s="32">
        <v>93.1</v>
      </c>
      <c r="EE302" s="32">
        <v>92.2</v>
      </c>
      <c r="EF302" s="32">
        <v>94.8</v>
      </c>
      <c r="EG302" s="32">
        <v>92.2</v>
      </c>
      <c r="EH302" s="32">
        <v>102.1</v>
      </c>
      <c r="EI302" s="32">
        <v>95.8</v>
      </c>
      <c r="EJ302" s="32">
        <v>61.8</v>
      </c>
      <c r="EK302" s="32">
        <v>91.3</v>
      </c>
      <c r="EL302" s="32">
        <v>102.6</v>
      </c>
      <c r="EM302" s="32">
        <v>90.1</v>
      </c>
      <c r="EN302" s="32">
        <v>90.5</v>
      </c>
      <c r="EO302" s="32">
        <v>98.9</v>
      </c>
      <c r="EP302" s="32">
        <v>95.5</v>
      </c>
      <c r="EQ302" s="32">
        <v>95.5</v>
      </c>
      <c r="ER302" s="32">
        <v>95.7</v>
      </c>
      <c r="ES302" s="32">
        <v>95.7</v>
      </c>
      <c r="ET302" s="32">
        <v>103.2</v>
      </c>
      <c r="EU302" s="32">
        <v>107.6</v>
      </c>
      <c r="EV302" s="32">
        <v>107.6</v>
      </c>
      <c r="EW302" s="32">
        <v>92.7</v>
      </c>
      <c r="EX302" s="32">
        <v>92.9</v>
      </c>
      <c r="EY302" s="32">
        <v>92.6</v>
      </c>
      <c r="EZ302" s="32">
        <v>97.5</v>
      </c>
      <c r="FA302" s="32">
        <v>96.4</v>
      </c>
      <c r="FB302" s="32">
        <v>99.2</v>
      </c>
      <c r="FC302" s="32">
        <v>101.9</v>
      </c>
      <c r="FD302" s="32">
        <v>93.2</v>
      </c>
      <c r="FE302" s="32">
        <v>97.4</v>
      </c>
      <c r="FF302" s="32">
        <v>93.3</v>
      </c>
      <c r="FG302" s="32">
        <v>97.7</v>
      </c>
      <c r="FH302" s="32">
        <v>100.3</v>
      </c>
      <c r="FI302" s="32">
        <v>106.5</v>
      </c>
      <c r="FJ302" s="32">
        <v>95.6</v>
      </c>
      <c r="FK302" s="32">
        <v>109.8</v>
      </c>
      <c r="FL302" s="32">
        <v>109.8</v>
      </c>
    </row>
    <row r="303" spans="1:168" x14ac:dyDescent="0.2">
      <c r="A303" s="34" t="s">
        <v>1283</v>
      </c>
      <c r="B303" s="32">
        <v>98.8</v>
      </c>
      <c r="C303" s="32">
        <v>93</v>
      </c>
      <c r="D303" s="32">
        <v>99.6</v>
      </c>
      <c r="E303" s="32">
        <v>102.9</v>
      </c>
      <c r="F303" s="32">
        <v>105.7</v>
      </c>
      <c r="G303" s="32">
        <v>43.5</v>
      </c>
      <c r="H303" s="32">
        <v>104.3</v>
      </c>
      <c r="I303" s="32">
        <v>112.9</v>
      </c>
      <c r="J303" s="32">
        <v>104.2</v>
      </c>
      <c r="K303" s="32">
        <v>106.2</v>
      </c>
      <c r="L303" s="32">
        <v>104.6</v>
      </c>
      <c r="M303" s="32">
        <v>97.6</v>
      </c>
      <c r="N303" s="32">
        <v>104.8</v>
      </c>
      <c r="O303" s="32">
        <v>185.9</v>
      </c>
      <c r="P303" s="32">
        <v>156.69999999999999</v>
      </c>
      <c r="Q303" s="32">
        <v>117.3</v>
      </c>
      <c r="R303" s="32">
        <v>98.7</v>
      </c>
      <c r="S303" s="32">
        <v>102.3</v>
      </c>
      <c r="T303" s="32">
        <v>98.3</v>
      </c>
      <c r="U303" s="32">
        <v>128.9</v>
      </c>
      <c r="V303" s="32">
        <v>106.8</v>
      </c>
      <c r="W303" s="32">
        <v>105.4</v>
      </c>
      <c r="X303" s="32">
        <v>103</v>
      </c>
      <c r="Y303" s="32">
        <v>110</v>
      </c>
      <c r="Z303" s="32">
        <v>113.3</v>
      </c>
      <c r="AA303" s="32">
        <v>118.2</v>
      </c>
      <c r="AB303" s="32">
        <v>98.2</v>
      </c>
      <c r="AC303" s="32">
        <v>142.9</v>
      </c>
      <c r="AD303" s="32">
        <v>114.6</v>
      </c>
      <c r="AE303" s="32">
        <v>92.1</v>
      </c>
      <c r="AF303" s="32">
        <v>92.1</v>
      </c>
      <c r="AG303" s="32">
        <v>119.1</v>
      </c>
      <c r="AH303" s="32">
        <v>119.1</v>
      </c>
      <c r="AI303" s="32">
        <v>117.5</v>
      </c>
      <c r="AJ303" s="32">
        <v>113.7</v>
      </c>
      <c r="AK303" s="32">
        <v>139.80000000000001</v>
      </c>
      <c r="AL303" s="32">
        <v>113</v>
      </c>
      <c r="AM303" s="32">
        <v>108.4</v>
      </c>
      <c r="AN303" s="32">
        <v>152.80000000000001</v>
      </c>
      <c r="AO303" s="32">
        <v>105.7</v>
      </c>
      <c r="AP303" s="32">
        <v>105.7</v>
      </c>
      <c r="AQ303" s="32">
        <v>108</v>
      </c>
      <c r="AR303" s="32">
        <v>108.3</v>
      </c>
      <c r="AS303" s="32">
        <v>107.6</v>
      </c>
      <c r="AT303" s="32">
        <v>104.7</v>
      </c>
      <c r="AU303" s="32">
        <v>110.2</v>
      </c>
      <c r="AV303" s="32">
        <v>99.4</v>
      </c>
      <c r="AW303" s="32">
        <v>88</v>
      </c>
      <c r="AX303" s="32">
        <v>99.1</v>
      </c>
      <c r="AY303" s="32">
        <v>75.599999999999994</v>
      </c>
      <c r="AZ303" s="32">
        <v>101.6</v>
      </c>
      <c r="BA303" s="32">
        <v>99.9</v>
      </c>
      <c r="BB303" s="32">
        <v>99.9</v>
      </c>
      <c r="BC303" s="32">
        <v>115.9</v>
      </c>
      <c r="BD303" s="32">
        <v>115.9</v>
      </c>
      <c r="BE303" s="32">
        <v>95.6</v>
      </c>
      <c r="BF303" s="32">
        <v>95.6</v>
      </c>
      <c r="BG303" s="32">
        <v>97.7</v>
      </c>
      <c r="BH303" s="32">
        <v>92.7</v>
      </c>
      <c r="BI303" s="32">
        <v>104.1</v>
      </c>
      <c r="BJ303" s="32">
        <v>90.5</v>
      </c>
      <c r="BK303" s="32">
        <v>105.6</v>
      </c>
      <c r="BL303" s="32">
        <v>131.6</v>
      </c>
      <c r="BM303" s="32">
        <v>101.8</v>
      </c>
      <c r="BN303" s="32">
        <v>107.9</v>
      </c>
      <c r="BO303" s="32">
        <v>98.9</v>
      </c>
      <c r="BP303" s="32">
        <v>114.9</v>
      </c>
      <c r="BQ303" s="32">
        <v>95.8</v>
      </c>
      <c r="BR303" s="32">
        <v>100</v>
      </c>
      <c r="BS303" s="32">
        <v>73.7</v>
      </c>
      <c r="BT303" s="32">
        <v>102.3</v>
      </c>
      <c r="BU303" s="32">
        <v>90</v>
      </c>
      <c r="BV303" s="32">
        <v>90</v>
      </c>
      <c r="BW303" s="32">
        <v>92.9</v>
      </c>
      <c r="BX303" s="32">
        <v>76.8</v>
      </c>
      <c r="BY303" s="32">
        <v>101.4</v>
      </c>
      <c r="BZ303" s="32">
        <v>103.2</v>
      </c>
      <c r="CA303" s="32">
        <v>100.6</v>
      </c>
      <c r="CB303" s="32">
        <v>102.1</v>
      </c>
      <c r="CC303" s="32">
        <v>100.4</v>
      </c>
      <c r="CD303" s="32">
        <v>86</v>
      </c>
      <c r="CE303" s="32">
        <v>93.1</v>
      </c>
      <c r="CF303" s="32">
        <v>98.7</v>
      </c>
      <c r="CG303" s="32">
        <v>98.1</v>
      </c>
      <c r="CH303" s="32">
        <v>102.5</v>
      </c>
      <c r="CI303" s="32">
        <v>95</v>
      </c>
      <c r="CJ303" s="32">
        <v>103.1</v>
      </c>
      <c r="CK303" s="32">
        <v>104.3</v>
      </c>
      <c r="CL303" s="32">
        <v>85</v>
      </c>
      <c r="CM303" s="32">
        <v>94</v>
      </c>
      <c r="CN303" s="32">
        <v>61.2</v>
      </c>
      <c r="CO303" s="32">
        <v>100.2</v>
      </c>
      <c r="CP303" s="32">
        <v>84.9</v>
      </c>
      <c r="CQ303" s="32">
        <v>31.7</v>
      </c>
      <c r="CR303" s="32">
        <v>90.6</v>
      </c>
      <c r="CS303" s="32">
        <v>102</v>
      </c>
      <c r="CT303" s="32">
        <v>101</v>
      </c>
      <c r="CU303" s="32">
        <v>100.2</v>
      </c>
      <c r="CV303" s="32">
        <v>101.3</v>
      </c>
      <c r="CW303" s="32">
        <v>99.6</v>
      </c>
      <c r="CX303" s="32">
        <v>97</v>
      </c>
      <c r="CY303" s="32">
        <v>96.6</v>
      </c>
      <c r="CZ303" s="32">
        <v>97</v>
      </c>
      <c r="DA303" s="32">
        <v>93</v>
      </c>
      <c r="DB303" s="32">
        <v>104.7</v>
      </c>
      <c r="DC303" s="32">
        <v>100.4</v>
      </c>
      <c r="DD303" s="32">
        <v>100.4</v>
      </c>
      <c r="DE303" s="32">
        <v>100.6</v>
      </c>
      <c r="DF303" s="32">
        <v>102.9</v>
      </c>
      <c r="DG303" s="32">
        <v>87.3</v>
      </c>
      <c r="DH303" s="32">
        <v>102</v>
      </c>
      <c r="DI303" s="32">
        <v>99.4</v>
      </c>
      <c r="DJ303" s="32">
        <v>105.4</v>
      </c>
      <c r="DK303" s="32">
        <v>105.4</v>
      </c>
      <c r="DL303" s="32">
        <v>104.1</v>
      </c>
      <c r="DM303" s="32">
        <v>99.2</v>
      </c>
      <c r="DN303" s="32">
        <v>98.5</v>
      </c>
      <c r="DO303" s="32">
        <v>100.2</v>
      </c>
      <c r="DP303" s="32">
        <v>82.6</v>
      </c>
      <c r="DQ303" s="32">
        <v>93.9</v>
      </c>
      <c r="DR303" s="32">
        <v>93</v>
      </c>
      <c r="DS303" s="32">
        <v>95.3</v>
      </c>
      <c r="DT303" s="32">
        <v>96.3</v>
      </c>
      <c r="DU303" s="32">
        <v>95.8</v>
      </c>
      <c r="DV303" s="32">
        <v>95.5</v>
      </c>
      <c r="DW303" s="32">
        <v>96.1</v>
      </c>
      <c r="DX303" s="32">
        <v>97.5</v>
      </c>
      <c r="DY303" s="32">
        <v>91.3</v>
      </c>
      <c r="DZ303" s="32">
        <v>80.5</v>
      </c>
      <c r="EA303" s="32">
        <v>80.5</v>
      </c>
      <c r="EB303" s="32">
        <v>92.4</v>
      </c>
      <c r="EC303" s="32">
        <v>91.9</v>
      </c>
      <c r="ED303" s="32">
        <v>93</v>
      </c>
      <c r="EE303" s="32">
        <v>93.1</v>
      </c>
      <c r="EF303" s="32">
        <v>92.8</v>
      </c>
      <c r="EG303" s="32">
        <v>95.4</v>
      </c>
      <c r="EH303" s="32">
        <v>102.6</v>
      </c>
      <c r="EI303" s="32">
        <v>98.6</v>
      </c>
      <c r="EJ303" s="32">
        <v>76.7</v>
      </c>
      <c r="EK303" s="32">
        <v>93.1</v>
      </c>
      <c r="EL303" s="32">
        <v>104</v>
      </c>
      <c r="EM303" s="32">
        <v>86.7</v>
      </c>
      <c r="EN303" s="32">
        <v>94.9</v>
      </c>
      <c r="EO303" s="32">
        <v>99.8</v>
      </c>
      <c r="EP303" s="32">
        <v>95.7</v>
      </c>
      <c r="EQ303" s="32">
        <v>95.7</v>
      </c>
      <c r="ER303" s="32">
        <v>95.7</v>
      </c>
      <c r="ES303" s="32">
        <v>95.7</v>
      </c>
      <c r="ET303" s="32">
        <v>105.2</v>
      </c>
      <c r="EU303" s="32">
        <v>110.4</v>
      </c>
      <c r="EV303" s="32">
        <v>110.4</v>
      </c>
      <c r="EW303" s="32">
        <v>93.2</v>
      </c>
      <c r="EX303" s="32">
        <v>92.7</v>
      </c>
      <c r="EY303" s="32">
        <v>93.5</v>
      </c>
      <c r="EZ303" s="32">
        <v>100.8</v>
      </c>
      <c r="FA303" s="32">
        <v>96.7</v>
      </c>
      <c r="FB303" s="32">
        <v>100.2</v>
      </c>
      <c r="FC303" s="32">
        <v>103.5</v>
      </c>
      <c r="FD303" s="32">
        <v>92.8</v>
      </c>
      <c r="FE303" s="32">
        <v>98.1</v>
      </c>
      <c r="FF303" s="32">
        <v>92.8</v>
      </c>
      <c r="FG303" s="32">
        <v>103.4</v>
      </c>
      <c r="FH303" s="32">
        <v>101.1</v>
      </c>
      <c r="FI303" s="32">
        <v>107.9</v>
      </c>
      <c r="FJ303" s="32">
        <v>103.8</v>
      </c>
      <c r="FK303" s="32">
        <v>115</v>
      </c>
      <c r="FL303" s="32">
        <v>115</v>
      </c>
    </row>
    <row r="304" spans="1:168" x14ac:dyDescent="0.2">
      <c r="A304" s="34" t="s">
        <v>1284</v>
      </c>
      <c r="B304" s="32">
        <v>99.3</v>
      </c>
      <c r="C304" s="32">
        <v>93</v>
      </c>
      <c r="D304" s="32">
        <v>100.8</v>
      </c>
      <c r="E304" s="32">
        <v>104.1</v>
      </c>
      <c r="F304" s="32">
        <v>100.4</v>
      </c>
      <c r="G304" s="32">
        <v>63.4</v>
      </c>
      <c r="H304" s="32">
        <v>97.7</v>
      </c>
      <c r="I304" s="32">
        <v>115.4</v>
      </c>
      <c r="J304" s="32">
        <v>106</v>
      </c>
      <c r="K304" s="32">
        <v>106</v>
      </c>
      <c r="L304" s="32">
        <v>104.2</v>
      </c>
      <c r="M304" s="32">
        <v>96.5</v>
      </c>
      <c r="N304" s="32">
        <v>107</v>
      </c>
      <c r="O304" s="32">
        <v>179.3</v>
      </c>
      <c r="P304" s="32">
        <v>151.69999999999999</v>
      </c>
      <c r="Q304" s="32">
        <v>116.5</v>
      </c>
      <c r="R304" s="32">
        <v>98</v>
      </c>
      <c r="S304" s="32">
        <v>102.3</v>
      </c>
      <c r="T304" s="32">
        <v>100</v>
      </c>
      <c r="U304" s="32">
        <v>129.30000000000001</v>
      </c>
      <c r="V304" s="32">
        <v>107.3</v>
      </c>
      <c r="W304" s="32">
        <v>108.1</v>
      </c>
      <c r="X304" s="32">
        <v>107.4</v>
      </c>
      <c r="Y304" s="32">
        <v>112.1</v>
      </c>
      <c r="Z304" s="32">
        <v>95.1</v>
      </c>
      <c r="AA304" s="32">
        <v>113.8</v>
      </c>
      <c r="AB304" s="32">
        <v>98.7</v>
      </c>
      <c r="AC304" s="32">
        <v>129.4</v>
      </c>
      <c r="AD304" s="32">
        <v>113.3</v>
      </c>
      <c r="AE304" s="32">
        <v>99.9</v>
      </c>
      <c r="AF304" s="32">
        <v>99.9</v>
      </c>
      <c r="AG304" s="32">
        <v>116.7</v>
      </c>
      <c r="AH304" s="32">
        <v>116.7</v>
      </c>
      <c r="AI304" s="32">
        <v>115.6</v>
      </c>
      <c r="AJ304" s="32">
        <v>116.3</v>
      </c>
      <c r="AK304" s="32">
        <v>136.6</v>
      </c>
      <c r="AL304" s="32">
        <v>111</v>
      </c>
      <c r="AM304" s="32">
        <v>105.5</v>
      </c>
      <c r="AN304" s="32">
        <v>142.69999999999999</v>
      </c>
      <c r="AO304" s="32">
        <v>107.6</v>
      </c>
      <c r="AP304" s="32">
        <v>107.6</v>
      </c>
      <c r="AQ304" s="32">
        <v>108.7</v>
      </c>
      <c r="AR304" s="32">
        <v>107.2</v>
      </c>
      <c r="AS304" s="32">
        <v>110.7</v>
      </c>
      <c r="AT304" s="32">
        <v>102.4</v>
      </c>
      <c r="AU304" s="32">
        <v>118.4</v>
      </c>
      <c r="AV304" s="32">
        <v>101.4</v>
      </c>
      <c r="AW304" s="32">
        <v>93.3</v>
      </c>
      <c r="AX304" s="32">
        <v>100.2</v>
      </c>
      <c r="AY304" s="32">
        <v>84.9</v>
      </c>
      <c r="AZ304" s="32">
        <v>102.7</v>
      </c>
      <c r="BA304" s="32">
        <v>107.5</v>
      </c>
      <c r="BB304" s="32">
        <v>107.5</v>
      </c>
      <c r="BC304" s="32">
        <v>112.4</v>
      </c>
      <c r="BD304" s="32">
        <v>112.4</v>
      </c>
      <c r="BE304" s="32">
        <v>105</v>
      </c>
      <c r="BF304" s="32">
        <v>105</v>
      </c>
      <c r="BG304" s="32">
        <v>101.7</v>
      </c>
      <c r="BH304" s="32">
        <v>103</v>
      </c>
      <c r="BI304" s="32">
        <v>100.1</v>
      </c>
      <c r="BJ304" s="32">
        <v>92.4</v>
      </c>
      <c r="BK304" s="32">
        <v>99.8</v>
      </c>
      <c r="BL304" s="32">
        <v>126.3</v>
      </c>
      <c r="BM304" s="32">
        <v>100.3</v>
      </c>
      <c r="BN304" s="32">
        <v>109.5</v>
      </c>
      <c r="BO304" s="32">
        <v>98.1</v>
      </c>
      <c r="BP304" s="32">
        <v>118.4</v>
      </c>
      <c r="BQ304" s="32">
        <v>91.1</v>
      </c>
      <c r="BR304" s="32">
        <v>88.3</v>
      </c>
      <c r="BS304" s="32">
        <v>74.3</v>
      </c>
      <c r="BT304" s="32">
        <v>96.7</v>
      </c>
      <c r="BU304" s="32">
        <v>93.4</v>
      </c>
      <c r="BV304" s="32">
        <v>93.4</v>
      </c>
      <c r="BW304" s="32">
        <v>96.3</v>
      </c>
      <c r="BX304" s="32">
        <v>80</v>
      </c>
      <c r="BY304" s="32">
        <v>101.7</v>
      </c>
      <c r="BZ304" s="32">
        <v>103.6</v>
      </c>
      <c r="CA304" s="32">
        <v>100.8</v>
      </c>
      <c r="CB304" s="32">
        <v>100.9</v>
      </c>
      <c r="CC304" s="32">
        <v>101.5</v>
      </c>
      <c r="CD304" s="32">
        <v>91.1</v>
      </c>
      <c r="CE304" s="32">
        <v>94.5</v>
      </c>
      <c r="CF304" s="32">
        <v>99</v>
      </c>
      <c r="CG304" s="32">
        <v>97.7</v>
      </c>
      <c r="CH304" s="32">
        <v>101.3</v>
      </c>
      <c r="CI304" s="32">
        <v>95.9</v>
      </c>
      <c r="CJ304" s="32">
        <v>99.9</v>
      </c>
      <c r="CK304" s="32">
        <v>104.1</v>
      </c>
      <c r="CL304" s="32">
        <v>87.4</v>
      </c>
      <c r="CM304" s="32">
        <v>94.8</v>
      </c>
      <c r="CN304" s="32">
        <v>70.5</v>
      </c>
      <c r="CO304" s="32">
        <v>99.5</v>
      </c>
      <c r="CP304" s="32">
        <v>81.7</v>
      </c>
      <c r="CQ304" s="32">
        <v>40.299999999999997</v>
      </c>
      <c r="CR304" s="32">
        <v>92.5</v>
      </c>
      <c r="CS304" s="32">
        <v>103.5</v>
      </c>
      <c r="CT304" s="32">
        <v>99.4</v>
      </c>
      <c r="CU304" s="32">
        <v>97.7</v>
      </c>
      <c r="CV304" s="32">
        <v>100.1</v>
      </c>
      <c r="CW304" s="32">
        <v>99.4</v>
      </c>
      <c r="CX304" s="32">
        <v>99.6</v>
      </c>
      <c r="CY304" s="32">
        <v>95.9</v>
      </c>
      <c r="CZ304" s="32">
        <v>101.5</v>
      </c>
      <c r="DA304" s="32">
        <v>99.3</v>
      </c>
      <c r="DB304" s="32">
        <v>105.8</v>
      </c>
      <c r="DC304" s="32">
        <v>99.8</v>
      </c>
      <c r="DD304" s="32">
        <v>99.8</v>
      </c>
      <c r="DE304" s="32">
        <v>99.2</v>
      </c>
      <c r="DF304" s="32">
        <v>99.8</v>
      </c>
      <c r="DG304" s="32">
        <v>95.7</v>
      </c>
      <c r="DH304" s="32">
        <v>102.4</v>
      </c>
      <c r="DI304" s="32">
        <v>99.6</v>
      </c>
      <c r="DJ304" s="32">
        <v>105.9</v>
      </c>
      <c r="DK304" s="32">
        <v>105.9</v>
      </c>
      <c r="DL304" s="32">
        <v>104.7</v>
      </c>
      <c r="DM304" s="32">
        <v>99.3</v>
      </c>
      <c r="DN304" s="32">
        <v>98.4</v>
      </c>
      <c r="DO304" s="32">
        <v>100.2</v>
      </c>
      <c r="DP304" s="32">
        <v>85.7</v>
      </c>
      <c r="DQ304" s="32">
        <v>95.9</v>
      </c>
      <c r="DR304" s="32">
        <v>95.3</v>
      </c>
      <c r="DS304" s="32">
        <v>96.4</v>
      </c>
      <c r="DT304" s="32">
        <v>96.9</v>
      </c>
      <c r="DU304" s="32">
        <v>96</v>
      </c>
      <c r="DV304" s="32">
        <v>95.7</v>
      </c>
      <c r="DW304" s="32">
        <v>96.3</v>
      </c>
      <c r="DX304" s="32">
        <v>98.8</v>
      </c>
      <c r="DY304" s="32">
        <v>94.7</v>
      </c>
      <c r="DZ304" s="32">
        <v>91.1</v>
      </c>
      <c r="EA304" s="32">
        <v>91.1</v>
      </c>
      <c r="EB304" s="32">
        <v>94</v>
      </c>
      <c r="EC304" s="32">
        <v>91.4</v>
      </c>
      <c r="ED304" s="32">
        <v>97.4</v>
      </c>
      <c r="EE304" s="32">
        <v>97</v>
      </c>
      <c r="EF304" s="32">
        <v>98.2</v>
      </c>
      <c r="EG304" s="32">
        <v>96.9</v>
      </c>
      <c r="EH304" s="32">
        <v>101.8</v>
      </c>
      <c r="EI304" s="32">
        <v>98.6</v>
      </c>
      <c r="EJ304" s="32">
        <v>76.7</v>
      </c>
      <c r="EK304" s="32">
        <v>97.2</v>
      </c>
      <c r="EL304" s="32">
        <v>98.6</v>
      </c>
      <c r="EM304" s="32">
        <v>93.9</v>
      </c>
      <c r="EN304" s="32">
        <v>98.7</v>
      </c>
      <c r="EO304" s="32">
        <v>99.8</v>
      </c>
      <c r="EP304" s="32">
        <v>95.9</v>
      </c>
      <c r="EQ304" s="32">
        <v>95.9</v>
      </c>
      <c r="ER304" s="32">
        <v>95.5</v>
      </c>
      <c r="ES304" s="32">
        <v>95.5</v>
      </c>
      <c r="ET304" s="32">
        <v>105.1</v>
      </c>
      <c r="EU304" s="32">
        <v>110.3</v>
      </c>
      <c r="EV304" s="32">
        <v>110.3</v>
      </c>
      <c r="EW304" s="32">
        <v>93.2</v>
      </c>
      <c r="EX304" s="32">
        <v>92.5</v>
      </c>
      <c r="EY304" s="32">
        <v>93.7</v>
      </c>
      <c r="EZ304" s="32">
        <v>102</v>
      </c>
      <c r="FA304" s="32">
        <v>99.5</v>
      </c>
      <c r="FB304" s="32">
        <v>102.9</v>
      </c>
      <c r="FC304" s="32">
        <v>107.3</v>
      </c>
      <c r="FD304" s="32">
        <v>96</v>
      </c>
      <c r="FE304" s="32">
        <v>98.7</v>
      </c>
      <c r="FF304" s="32">
        <v>95.7</v>
      </c>
      <c r="FG304" s="32">
        <v>102.9</v>
      </c>
      <c r="FH304" s="32">
        <v>102.2</v>
      </c>
      <c r="FI304" s="32">
        <v>103.9</v>
      </c>
      <c r="FJ304" s="32">
        <v>103.1</v>
      </c>
      <c r="FK304" s="32">
        <v>121.3</v>
      </c>
      <c r="FL304" s="32">
        <v>121.3</v>
      </c>
    </row>
    <row r="305" spans="1:168" x14ac:dyDescent="0.2">
      <c r="A305" s="34" t="s">
        <v>1285</v>
      </c>
      <c r="B305" s="32">
        <v>99.2</v>
      </c>
      <c r="C305" s="32">
        <v>94.8</v>
      </c>
      <c r="D305" s="32">
        <v>100.8</v>
      </c>
      <c r="E305" s="32">
        <v>103.4</v>
      </c>
      <c r="F305" s="32">
        <v>98.6</v>
      </c>
      <c r="G305" s="32">
        <v>55.6</v>
      </c>
      <c r="H305" s="32">
        <v>95.9</v>
      </c>
      <c r="I305" s="32">
        <v>113.7</v>
      </c>
      <c r="J305" s="32">
        <v>105.3</v>
      </c>
      <c r="K305" s="32">
        <v>103.8</v>
      </c>
      <c r="L305" s="32">
        <v>104.1</v>
      </c>
      <c r="M305" s="32">
        <v>95.5</v>
      </c>
      <c r="N305" s="32">
        <v>107.4</v>
      </c>
      <c r="O305" s="32">
        <v>156</v>
      </c>
      <c r="P305" s="32">
        <v>139.80000000000001</v>
      </c>
      <c r="Q305" s="32">
        <v>114.3</v>
      </c>
      <c r="R305" s="32">
        <v>99.3</v>
      </c>
      <c r="S305" s="32">
        <v>103.4</v>
      </c>
      <c r="T305" s="32">
        <v>102.7</v>
      </c>
      <c r="U305" s="32">
        <v>117.7</v>
      </c>
      <c r="V305" s="32">
        <v>99.7</v>
      </c>
      <c r="W305" s="32">
        <v>102</v>
      </c>
      <c r="X305" s="32">
        <v>92.3</v>
      </c>
      <c r="Y305" s="32">
        <v>122.5</v>
      </c>
      <c r="Z305" s="32">
        <v>114.3</v>
      </c>
      <c r="AA305" s="32">
        <v>110.6</v>
      </c>
      <c r="AB305" s="32">
        <v>90.8</v>
      </c>
      <c r="AC305" s="32">
        <v>125.2</v>
      </c>
      <c r="AD305" s="32">
        <v>114.9</v>
      </c>
      <c r="AE305" s="32">
        <v>97.1</v>
      </c>
      <c r="AF305" s="32">
        <v>97.1</v>
      </c>
      <c r="AG305" s="32">
        <v>115.9</v>
      </c>
      <c r="AH305" s="32">
        <v>115.9</v>
      </c>
      <c r="AI305" s="32">
        <v>126.3</v>
      </c>
      <c r="AJ305" s="32">
        <v>114.9</v>
      </c>
      <c r="AK305" s="32">
        <v>131.5</v>
      </c>
      <c r="AL305" s="32">
        <v>102.2</v>
      </c>
      <c r="AM305" s="32">
        <v>102.1</v>
      </c>
      <c r="AN305" s="32">
        <v>150.80000000000001</v>
      </c>
      <c r="AO305" s="32">
        <v>124.2</v>
      </c>
      <c r="AP305" s="32">
        <v>124.2</v>
      </c>
      <c r="AQ305" s="32">
        <v>102.1</v>
      </c>
      <c r="AR305" s="32">
        <v>103.6</v>
      </c>
      <c r="AS305" s="32">
        <v>100.2</v>
      </c>
      <c r="AT305" s="32">
        <v>101.6</v>
      </c>
      <c r="AU305" s="32">
        <v>98.8</v>
      </c>
      <c r="AV305" s="32">
        <v>101.3</v>
      </c>
      <c r="AW305" s="32">
        <v>87.9</v>
      </c>
      <c r="AX305" s="32">
        <v>98.8</v>
      </c>
      <c r="AY305" s="32">
        <v>77.8</v>
      </c>
      <c r="AZ305" s="32">
        <v>104.2</v>
      </c>
      <c r="BA305" s="32">
        <v>107.4</v>
      </c>
      <c r="BB305" s="32">
        <v>107.4</v>
      </c>
      <c r="BC305" s="32">
        <v>111.2</v>
      </c>
      <c r="BD305" s="32">
        <v>111.2</v>
      </c>
      <c r="BE305" s="32">
        <v>98.1</v>
      </c>
      <c r="BF305" s="32">
        <v>98.1</v>
      </c>
      <c r="BG305" s="32">
        <v>101.6</v>
      </c>
      <c r="BH305" s="32">
        <v>103.3</v>
      </c>
      <c r="BI305" s="32">
        <v>99.3</v>
      </c>
      <c r="BJ305" s="32">
        <v>95</v>
      </c>
      <c r="BK305" s="32">
        <v>99</v>
      </c>
      <c r="BL305" s="32">
        <v>117</v>
      </c>
      <c r="BM305" s="32">
        <v>98.7</v>
      </c>
      <c r="BN305" s="32">
        <v>102.1</v>
      </c>
      <c r="BO305" s="32">
        <v>96.6</v>
      </c>
      <c r="BP305" s="32">
        <v>106.4</v>
      </c>
      <c r="BQ305" s="32">
        <v>95.3</v>
      </c>
      <c r="BR305" s="32">
        <v>91.2</v>
      </c>
      <c r="BS305" s="32">
        <v>73.900000000000006</v>
      </c>
      <c r="BT305" s="32">
        <v>102.4</v>
      </c>
      <c r="BU305" s="32">
        <v>93.1</v>
      </c>
      <c r="BV305" s="32">
        <v>93.1</v>
      </c>
      <c r="BW305" s="32">
        <v>93.9</v>
      </c>
      <c r="BX305" s="32">
        <v>89.2</v>
      </c>
      <c r="BY305" s="32">
        <v>101.6</v>
      </c>
      <c r="BZ305" s="32">
        <v>103.2</v>
      </c>
      <c r="CA305" s="32">
        <v>100.8</v>
      </c>
      <c r="CB305" s="32">
        <v>100.5</v>
      </c>
      <c r="CC305" s="32">
        <v>101.8</v>
      </c>
      <c r="CD305" s="32">
        <v>91.7</v>
      </c>
      <c r="CE305" s="32">
        <v>95.9</v>
      </c>
      <c r="CF305" s="32">
        <v>98.8</v>
      </c>
      <c r="CG305" s="32">
        <v>96</v>
      </c>
      <c r="CH305" s="32">
        <v>100.6</v>
      </c>
      <c r="CI305" s="32">
        <v>95.4</v>
      </c>
      <c r="CJ305" s="32">
        <v>98.1</v>
      </c>
      <c r="CK305" s="32">
        <v>104.3</v>
      </c>
      <c r="CL305" s="32">
        <v>88.9</v>
      </c>
      <c r="CM305" s="32">
        <v>96.2</v>
      </c>
      <c r="CN305" s="32">
        <v>78.900000000000006</v>
      </c>
      <c r="CO305" s="32">
        <v>99.7</v>
      </c>
      <c r="CP305" s="32">
        <v>80.7</v>
      </c>
      <c r="CQ305" s="32">
        <v>43.6</v>
      </c>
      <c r="CR305" s="32">
        <v>94.3</v>
      </c>
      <c r="CS305" s="32">
        <v>103.7</v>
      </c>
      <c r="CT305" s="32">
        <v>89.5</v>
      </c>
      <c r="CU305" s="32">
        <v>90</v>
      </c>
      <c r="CV305" s="32">
        <v>89.2</v>
      </c>
      <c r="CW305" s="32">
        <v>100.6</v>
      </c>
      <c r="CX305" s="32">
        <v>95.1</v>
      </c>
      <c r="CY305" s="32">
        <v>92.4</v>
      </c>
      <c r="CZ305" s="32">
        <v>96.6</v>
      </c>
      <c r="DA305" s="32">
        <v>92.5</v>
      </c>
      <c r="DB305" s="32">
        <v>104.4</v>
      </c>
      <c r="DC305" s="32">
        <v>103.2</v>
      </c>
      <c r="DD305" s="32">
        <v>103.2</v>
      </c>
      <c r="DE305" s="32">
        <v>102</v>
      </c>
      <c r="DF305" s="32">
        <v>103.5</v>
      </c>
      <c r="DG305" s="32">
        <v>93.3</v>
      </c>
      <c r="DH305" s="32">
        <v>102</v>
      </c>
      <c r="DI305" s="32">
        <v>100.4</v>
      </c>
      <c r="DJ305" s="32">
        <v>104.2</v>
      </c>
      <c r="DK305" s="32">
        <v>104.2</v>
      </c>
      <c r="DL305" s="32">
        <v>103</v>
      </c>
      <c r="DM305" s="32">
        <v>99.3</v>
      </c>
      <c r="DN305" s="32">
        <v>98.7</v>
      </c>
      <c r="DO305" s="32">
        <v>100.1</v>
      </c>
      <c r="DP305" s="32">
        <v>86.8</v>
      </c>
      <c r="DQ305" s="32">
        <v>96.8</v>
      </c>
      <c r="DR305" s="32">
        <v>96.6</v>
      </c>
      <c r="DS305" s="32">
        <v>96.3</v>
      </c>
      <c r="DT305" s="32">
        <v>96.4</v>
      </c>
      <c r="DU305" s="32">
        <v>95.8</v>
      </c>
      <c r="DV305" s="32">
        <v>97.1</v>
      </c>
      <c r="DW305" s="32">
        <v>94.4</v>
      </c>
      <c r="DX305" s="32">
        <v>97.7</v>
      </c>
      <c r="DY305" s="32">
        <v>95.8</v>
      </c>
      <c r="DZ305" s="32">
        <v>97.5</v>
      </c>
      <c r="EA305" s="32">
        <v>97.5</v>
      </c>
      <c r="EB305" s="32">
        <v>96.9</v>
      </c>
      <c r="EC305" s="32">
        <v>96.7</v>
      </c>
      <c r="ED305" s="32">
        <v>97.3</v>
      </c>
      <c r="EE305" s="32">
        <v>97.8</v>
      </c>
      <c r="EF305" s="32">
        <v>96.1</v>
      </c>
      <c r="EG305" s="32">
        <v>97.3</v>
      </c>
      <c r="EH305" s="32">
        <v>98.6</v>
      </c>
      <c r="EI305" s="32">
        <v>100</v>
      </c>
      <c r="EJ305" s="32">
        <v>74.3</v>
      </c>
      <c r="EK305" s="32">
        <v>99.4</v>
      </c>
      <c r="EL305" s="32">
        <v>100.9</v>
      </c>
      <c r="EM305" s="32">
        <v>88.2</v>
      </c>
      <c r="EN305" s="32">
        <v>105.1</v>
      </c>
      <c r="EO305" s="32">
        <v>100.1</v>
      </c>
      <c r="EP305" s="32">
        <v>96.6</v>
      </c>
      <c r="EQ305" s="32">
        <v>96.6</v>
      </c>
      <c r="ER305" s="32">
        <v>96.4</v>
      </c>
      <c r="ES305" s="32">
        <v>96.4</v>
      </c>
      <c r="ET305" s="32">
        <v>104.9</v>
      </c>
      <c r="EU305" s="32">
        <v>110</v>
      </c>
      <c r="EV305" s="32">
        <v>110</v>
      </c>
      <c r="EW305" s="32">
        <v>93.3</v>
      </c>
      <c r="EX305" s="32">
        <v>93.3</v>
      </c>
      <c r="EY305" s="32">
        <v>93.4</v>
      </c>
      <c r="EZ305" s="32">
        <v>99.8</v>
      </c>
      <c r="FA305" s="32">
        <v>98.8</v>
      </c>
      <c r="FB305" s="32">
        <v>103</v>
      </c>
      <c r="FC305" s="32">
        <v>105.7</v>
      </c>
      <c r="FD305" s="32">
        <v>98.4</v>
      </c>
      <c r="FE305" s="32">
        <v>100.6</v>
      </c>
      <c r="FF305" s="32">
        <v>94.1</v>
      </c>
      <c r="FG305" s="32">
        <v>99.2</v>
      </c>
      <c r="FH305" s="32">
        <v>102.6</v>
      </c>
      <c r="FI305" s="32">
        <v>101.8</v>
      </c>
      <c r="FJ305" s="32">
        <v>97.5</v>
      </c>
      <c r="FK305" s="32">
        <v>123.9</v>
      </c>
      <c r="FL305" s="32">
        <v>123.9</v>
      </c>
    </row>
    <row r="306" spans="1:168" x14ac:dyDescent="0.2">
      <c r="A306" s="34" t="s">
        <v>1286</v>
      </c>
      <c r="B306" s="32">
        <v>99.4</v>
      </c>
      <c r="C306" s="32">
        <v>97.1</v>
      </c>
      <c r="D306" s="32">
        <v>100.4</v>
      </c>
      <c r="E306" s="32">
        <v>102.3</v>
      </c>
      <c r="F306" s="32">
        <v>102</v>
      </c>
      <c r="G306" s="32">
        <v>79.2</v>
      </c>
      <c r="H306" s="32">
        <v>99.2</v>
      </c>
      <c r="I306" s="32">
        <v>118.2</v>
      </c>
      <c r="J306" s="32">
        <v>103.2</v>
      </c>
      <c r="K306" s="32">
        <v>103.6</v>
      </c>
      <c r="L306" s="32">
        <v>103.8</v>
      </c>
      <c r="M306" s="32">
        <v>97.5</v>
      </c>
      <c r="N306" s="32">
        <v>106.2</v>
      </c>
      <c r="O306" s="32">
        <v>101.7</v>
      </c>
      <c r="P306" s="32">
        <v>129.80000000000001</v>
      </c>
      <c r="Q306" s="32">
        <v>109.2</v>
      </c>
      <c r="R306" s="32">
        <v>98.9</v>
      </c>
      <c r="S306" s="32">
        <v>103.4</v>
      </c>
      <c r="T306" s="32">
        <v>108.7</v>
      </c>
      <c r="U306" s="32">
        <v>118.6</v>
      </c>
      <c r="V306" s="32">
        <v>99.6</v>
      </c>
      <c r="W306" s="32">
        <v>102.7</v>
      </c>
      <c r="X306" s="32">
        <v>100.1</v>
      </c>
      <c r="Y306" s="32">
        <v>107.9</v>
      </c>
      <c r="Z306" s="32">
        <v>106.8</v>
      </c>
      <c r="AA306" s="32">
        <v>109.5</v>
      </c>
      <c r="AB306" s="32">
        <v>101.3</v>
      </c>
      <c r="AC306" s="32">
        <v>117.8</v>
      </c>
      <c r="AD306" s="32">
        <v>109.3</v>
      </c>
      <c r="AE306" s="32">
        <v>99.8</v>
      </c>
      <c r="AF306" s="32">
        <v>99.8</v>
      </c>
      <c r="AG306" s="32">
        <v>116.9</v>
      </c>
      <c r="AH306" s="32">
        <v>116.9</v>
      </c>
      <c r="AI306" s="32">
        <v>122</v>
      </c>
      <c r="AJ306" s="32">
        <v>109.9</v>
      </c>
      <c r="AK306" s="32">
        <v>130</v>
      </c>
      <c r="AL306" s="32">
        <v>122.2</v>
      </c>
      <c r="AM306" s="32">
        <v>103.4</v>
      </c>
      <c r="AN306" s="32">
        <v>150</v>
      </c>
      <c r="AO306" s="32">
        <v>92.7</v>
      </c>
      <c r="AP306" s="32">
        <v>92.7</v>
      </c>
      <c r="AQ306" s="32">
        <v>103.3</v>
      </c>
      <c r="AR306" s="32">
        <v>103.3</v>
      </c>
      <c r="AS306" s="32">
        <v>103.2</v>
      </c>
      <c r="AT306" s="32">
        <v>101.9</v>
      </c>
      <c r="AU306" s="32">
        <v>104.4</v>
      </c>
      <c r="AV306" s="32">
        <v>103.9</v>
      </c>
      <c r="AW306" s="32">
        <v>93.9</v>
      </c>
      <c r="AX306" s="32">
        <v>106.9</v>
      </c>
      <c r="AY306" s="32">
        <v>83.4</v>
      </c>
      <c r="AZ306" s="32">
        <v>106.1</v>
      </c>
      <c r="BA306" s="32">
        <v>106.5</v>
      </c>
      <c r="BB306" s="32">
        <v>106.5</v>
      </c>
      <c r="BC306" s="32">
        <v>109.3</v>
      </c>
      <c r="BD306" s="32">
        <v>109.3</v>
      </c>
      <c r="BE306" s="32">
        <v>103.9</v>
      </c>
      <c r="BF306" s="32">
        <v>103.9</v>
      </c>
      <c r="BG306" s="32">
        <v>100.1</v>
      </c>
      <c r="BH306" s="32">
        <v>101.3</v>
      </c>
      <c r="BI306" s="32">
        <v>98.5</v>
      </c>
      <c r="BJ306" s="32">
        <v>96.6</v>
      </c>
      <c r="BK306" s="32">
        <v>98</v>
      </c>
      <c r="BL306" s="32">
        <v>111.2</v>
      </c>
      <c r="BM306" s="32">
        <v>98.9</v>
      </c>
      <c r="BN306" s="32">
        <v>100.6</v>
      </c>
      <c r="BO306" s="32">
        <v>100.3</v>
      </c>
      <c r="BP306" s="32">
        <v>100.7</v>
      </c>
      <c r="BQ306" s="32">
        <v>97.1</v>
      </c>
      <c r="BR306" s="32">
        <v>93.9</v>
      </c>
      <c r="BS306" s="32">
        <v>77.400000000000006</v>
      </c>
      <c r="BT306" s="32">
        <v>103.7</v>
      </c>
      <c r="BU306" s="32">
        <v>94.7</v>
      </c>
      <c r="BV306" s="32">
        <v>94.7</v>
      </c>
      <c r="BW306" s="32">
        <v>95.2</v>
      </c>
      <c r="BX306" s="32">
        <v>92.2</v>
      </c>
      <c r="BY306" s="32">
        <v>101.7</v>
      </c>
      <c r="BZ306" s="32">
        <v>106.7</v>
      </c>
      <c r="CA306" s="32">
        <v>99.3</v>
      </c>
      <c r="CB306" s="32">
        <v>97.7</v>
      </c>
      <c r="CC306" s="32">
        <v>101</v>
      </c>
      <c r="CD306" s="32">
        <v>96.8</v>
      </c>
      <c r="CE306" s="32">
        <v>96.8</v>
      </c>
      <c r="CF306" s="32">
        <v>99.2</v>
      </c>
      <c r="CG306" s="32">
        <v>98.7</v>
      </c>
      <c r="CH306" s="32">
        <v>102.5</v>
      </c>
      <c r="CI306" s="32">
        <v>96.2</v>
      </c>
      <c r="CJ306" s="32">
        <v>104.1</v>
      </c>
      <c r="CK306" s="32">
        <v>103</v>
      </c>
      <c r="CL306" s="32">
        <v>92.7</v>
      </c>
      <c r="CM306" s="32">
        <v>98.1</v>
      </c>
      <c r="CN306" s="32">
        <v>78.8</v>
      </c>
      <c r="CO306" s="32">
        <v>101.5</v>
      </c>
      <c r="CP306" s="32">
        <v>94.8</v>
      </c>
      <c r="CQ306" s="32">
        <v>51.9</v>
      </c>
      <c r="CR306" s="32">
        <v>99.5</v>
      </c>
      <c r="CS306" s="32">
        <v>101.2</v>
      </c>
      <c r="CT306" s="32">
        <v>93.9</v>
      </c>
      <c r="CU306" s="32">
        <v>85.4</v>
      </c>
      <c r="CV306" s="32">
        <v>97.3</v>
      </c>
      <c r="CW306" s="32">
        <v>102.9</v>
      </c>
      <c r="CX306" s="32">
        <v>98.7</v>
      </c>
      <c r="CY306" s="32">
        <v>98.1</v>
      </c>
      <c r="CZ306" s="32">
        <v>98.9</v>
      </c>
      <c r="DA306" s="32">
        <v>97.2</v>
      </c>
      <c r="DB306" s="32">
        <v>102</v>
      </c>
      <c r="DC306" s="32">
        <v>98.3</v>
      </c>
      <c r="DD306" s="32">
        <v>98.3</v>
      </c>
      <c r="DE306" s="32">
        <v>107.5</v>
      </c>
      <c r="DF306" s="32">
        <v>109.5</v>
      </c>
      <c r="DG306" s="32">
        <v>95.8</v>
      </c>
      <c r="DH306" s="32">
        <v>101.6</v>
      </c>
      <c r="DI306" s="32">
        <v>100.7</v>
      </c>
      <c r="DJ306" s="32">
        <v>102.7</v>
      </c>
      <c r="DK306" s="32">
        <v>102.7</v>
      </c>
      <c r="DL306" s="32">
        <v>102.3</v>
      </c>
      <c r="DM306" s="32">
        <v>99.2</v>
      </c>
      <c r="DN306" s="32">
        <v>98.7</v>
      </c>
      <c r="DO306" s="32">
        <v>100</v>
      </c>
      <c r="DP306" s="32">
        <v>85.3</v>
      </c>
      <c r="DQ306" s="32">
        <v>96.3</v>
      </c>
      <c r="DR306" s="32">
        <v>96.4</v>
      </c>
      <c r="DS306" s="32">
        <v>97.3</v>
      </c>
      <c r="DT306" s="32">
        <v>96.9</v>
      </c>
      <c r="DU306" s="32">
        <v>96.3</v>
      </c>
      <c r="DV306" s="32">
        <v>94.9</v>
      </c>
      <c r="DW306" s="32">
        <v>98</v>
      </c>
      <c r="DX306" s="32">
        <v>98.1</v>
      </c>
      <c r="DY306" s="32">
        <v>99</v>
      </c>
      <c r="DZ306" s="32">
        <v>94.7</v>
      </c>
      <c r="EA306" s="32">
        <v>94.7</v>
      </c>
      <c r="EB306" s="32">
        <v>94.5</v>
      </c>
      <c r="EC306" s="32">
        <v>95.8</v>
      </c>
      <c r="ED306" s="32">
        <v>92.7</v>
      </c>
      <c r="EE306" s="32">
        <v>88.9</v>
      </c>
      <c r="EF306" s="32">
        <v>100.6</v>
      </c>
      <c r="EG306" s="32">
        <v>96.2</v>
      </c>
      <c r="EH306" s="32">
        <v>101.4</v>
      </c>
      <c r="EI306" s="32">
        <v>100.7</v>
      </c>
      <c r="EJ306" s="32">
        <v>72.900000000000006</v>
      </c>
      <c r="EK306" s="32">
        <v>95.5</v>
      </c>
      <c r="EL306" s="32">
        <v>104.5</v>
      </c>
      <c r="EM306" s="32">
        <v>91.6</v>
      </c>
      <c r="EN306" s="32">
        <v>96.2</v>
      </c>
      <c r="EO306" s="32">
        <v>99</v>
      </c>
      <c r="EP306" s="32">
        <v>97.5</v>
      </c>
      <c r="EQ306" s="32">
        <v>97.5</v>
      </c>
      <c r="ER306" s="32">
        <v>98.7</v>
      </c>
      <c r="ES306" s="32">
        <v>98.7</v>
      </c>
      <c r="ET306" s="32">
        <v>100</v>
      </c>
      <c r="EU306" s="32">
        <v>102.1</v>
      </c>
      <c r="EV306" s="32">
        <v>102.1</v>
      </c>
      <c r="EW306" s="32">
        <v>95.2</v>
      </c>
      <c r="EX306" s="32">
        <v>95</v>
      </c>
      <c r="EY306" s="32">
        <v>95.3</v>
      </c>
      <c r="EZ306" s="32">
        <v>100.3</v>
      </c>
      <c r="FA306" s="32">
        <v>98.7</v>
      </c>
      <c r="FB306" s="32">
        <v>97.3</v>
      </c>
      <c r="FC306" s="32">
        <v>97.5</v>
      </c>
      <c r="FD306" s="32">
        <v>92.6</v>
      </c>
      <c r="FE306" s="32">
        <v>99.2</v>
      </c>
      <c r="FF306" s="32">
        <v>100.3</v>
      </c>
      <c r="FG306" s="32">
        <v>100.7</v>
      </c>
      <c r="FH306" s="32">
        <v>100.7</v>
      </c>
      <c r="FI306" s="32">
        <v>107.3</v>
      </c>
      <c r="FJ306" s="32">
        <v>99.9</v>
      </c>
      <c r="FK306" s="32">
        <v>115.3</v>
      </c>
      <c r="FL306" s="32">
        <v>115.3</v>
      </c>
    </row>
    <row r="307" spans="1:168" x14ac:dyDescent="0.2">
      <c r="A307" s="34" t="s">
        <v>1287</v>
      </c>
      <c r="B307" s="32">
        <v>100</v>
      </c>
      <c r="C307" s="32">
        <v>99.3</v>
      </c>
      <c r="D307" s="32">
        <v>99.9</v>
      </c>
      <c r="E307" s="32">
        <v>101.5</v>
      </c>
      <c r="F307" s="32">
        <v>102.2</v>
      </c>
      <c r="G307" s="32">
        <v>71.900000000000006</v>
      </c>
      <c r="H307" s="32">
        <v>100.8</v>
      </c>
      <c r="I307" s="32">
        <v>110.4</v>
      </c>
      <c r="J307" s="32">
        <v>102.1</v>
      </c>
      <c r="K307" s="32">
        <v>102.6</v>
      </c>
      <c r="L307" s="32">
        <v>102.7</v>
      </c>
      <c r="M307" s="32">
        <v>98.7</v>
      </c>
      <c r="N307" s="32">
        <v>106.4</v>
      </c>
      <c r="O307" s="32">
        <v>92.4</v>
      </c>
      <c r="P307" s="32">
        <v>121.9</v>
      </c>
      <c r="Q307" s="32">
        <v>104.6</v>
      </c>
      <c r="R307" s="32">
        <v>97.7</v>
      </c>
      <c r="S307" s="32">
        <v>102.5</v>
      </c>
      <c r="T307" s="32">
        <v>107</v>
      </c>
      <c r="U307" s="32">
        <v>113.6</v>
      </c>
      <c r="V307" s="32">
        <v>99.4</v>
      </c>
      <c r="W307" s="32">
        <v>98.7</v>
      </c>
      <c r="X307" s="32">
        <v>100.5</v>
      </c>
      <c r="Y307" s="32">
        <v>92.6</v>
      </c>
      <c r="Z307" s="32">
        <v>112.4</v>
      </c>
      <c r="AA307" s="32">
        <v>108.7</v>
      </c>
      <c r="AB307" s="32">
        <v>101.2</v>
      </c>
      <c r="AC307" s="32">
        <v>113.2</v>
      </c>
      <c r="AD307" s="32">
        <v>111.1</v>
      </c>
      <c r="AE307" s="32">
        <v>103.5</v>
      </c>
      <c r="AF307" s="32">
        <v>103.5</v>
      </c>
      <c r="AG307" s="32">
        <v>111</v>
      </c>
      <c r="AH307" s="32">
        <v>111</v>
      </c>
      <c r="AI307" s="32">
        <v>115.8</v>
      </c>
      <c r="AJ307" s="32">
        <v>109.8</v>
      </c>
      <c r="AK307" s="32">
        <v>117.4</v>
      </c>
      <c r="AL307" s="32">
        <v>117.9</v>
      </c>
      <c r="AM307" s="32">
        <v>104.7</v>
      </c>
      <c r="AN307" s="32">
        <v>115</v>
      </c>
      <c r="AO307" s="32">
        <v>98.1</v>
      </c>
      <c r="AP307" s="32">
        <v>98.1</v>
      </c>
      <c r="AQ307" s="32">
        <v>100.6</v>
      </c>
      <c r="AR307" s="32">
        <v>103</v>
      </c>
      <c r="AS307" s="32">
        <v>97.4</v>
      </c>
      <c r="AT307" s="32">
        <v>97.9</v>
      </c>
      <c r="AU307" s="32">
        <v>96.9</v>
      </c>
      <c r="AV307" s="32">
        <v>103.6</v>
      </c>
      <c r="AW307" s="32">
        <v>92.5</v>
      </c>
      <c r="AX307" s="32">
        <v>93</v>
      </c>
      <c r="AY307" s="32">
        <v>91.1</v>
      </c>
      <c r="AZ307" s="32">
        <v>106.2</v>
      </c>
      <c r="BA307" s="32">
        <v>101.1</v>
      </c>
      <c r="BB307" s="32">
        <v>101.1</v>
      </c>
      <c r="BC307" s="32">
        <v>104.9</v>
      </c>
      <c r="BD307" s="32">
        <v>104.9</v>
      </c>
      <c r="BE307" s="32">
        <v>100.3</v>
      </c>
      <c r="BF307" s="32">
        <v>100.3</v>
      </c>
      <c r="BG307" s="32">
        <v>99.6</v>
      </c>
      <c r="BH307" s="32">
        <v>99.6</v>
      </c>
      <c r="BI307" s="32">
        <v>99.6</v>
      </c>
      <c r="BJ307" s="32">
        <v>98.7</v>
      </c>
      <c r="BK307" s="32">
        <v>98.8</v>
      </c>
      <c r="BL307" s="32">
        <v>112.5</v>
      </c>
      <c r="BM307" s="32">
        <v>100.7</v>
      </c>
      <c r="BN307" s="32">
        <v>102.8</v>
      </c>
      <c r="BO307" s="32">
        <v>105.5</v>
      </c>
      <c r="BP307" s="32">
        <v>100.6</v>
      </c>
      <c r="BQ307" s="32">
        <v>98.5</v>
      </c>
      <c r="BR307" s="32">
        <v>102.9</v>
      </c>
      <c r="BS307" s="32">
        <v>77.099999999999994</v>
      </c>
      <c r="BT307" s="32">
        <v>104.7</v>
      </c>
      <c r="BU307" s="32">
        <v>96</v>
      </c>
      <c r="BV307" s="32">
        <v>96</v>
      </c>
      <c r="BW307" s="32">
        <v>95.7</v>
      </c>
      <c r="BX307" s="32">
        <v>97.1</v>
      </c>
      <c r="BY307" s="32">
        <v>100.8</v>
      </c>
      <c r="BZ307" s="32">
        <v>104.1</v>
      </c>
      <c r="CA307" s="32">
        <v>99.3</v>
      </c>
      <c r="CB307" s="32">
        <v>101.7</v>
      </c>
      <c r="CC307" s="32">
        <v>97.8</v>
      </c>
      <c r="CD307" s="32">
        <v>90.6</v>
      </c>
      <c r="CE307" s="32">
        <v>96.8</v>
      </c>
      <c r="CF307" s="32">
        <v>100</v>
      </c>
      <c r="CG307" s="32">
        <v>100.3</v>
      </c>
      <c r="CH307" s="32">
        <v>100.6</v>
      </c>
      <c r="CI307" s="32">
        <v>95.6</v>
      </c>
      <c r="CJ307" s="32">
        <v>100.3</v>
      </c>
      <c r="CK307" s="32">
        <v>102.3</v>
      </c>
      <c r="CL307" s="32">
        <v>96.1</v>
      </c>
      <c r="CM307" s="32">
        <v>99.7</v>
      </c>
      <c r="CN307" s="32">
        <v>85.1</v>
      </c>
      <c r="CO307" s="32">
        <v>102.2</v>
      </c>
      <c r="CP307" s="32">
        <v>98</v>
      </c>
      <c r="CQ307" s="32">
        <v>69.2</v>
      </c>
      <c r="CR307" s="32">
        <v>100.8</v>
      </c>
      <c r="CS307" s="32">
        <v>98.4</v>
      </c>
      <c r="CT307" s="32">
        <v>105.1</v>
      </c>
      <c r="CU307" s="32">
        <v>108.5</v>
      </c>
      <c r="CV307" s="32">
        <v>103.7</v>
      </c>
      <c r="CW307" s="32">
        <v>103.6</v>
      </c>
      <c r="CX307" s="32">
        <v>100.3</v>
      </c>
      <c r="CY307" s="32">
        <v>98.3</v>
      </c>
      <c r="CZ307" s="32">
        <v>101.3</v>
      </c>
      <c r="DA307" s="32">
        <v>97.7</v>
      </c>
      <c r="DB307" s="32">
        <v>108.2</v>
      </c>
      <c r="DC307" s="32">
        <v>98.7</v>
      </c>
      <c r="DD307" s="32">
        <v>98.7</v>
      </c>
      <c r="DE307" s="32">
        <v>107.8</v>
      </c>
      <c r="DF307" s="32">
        <v>109.5</v>
      </c>
      <c r="DG307" s="32">
        <v>98.1</v>
      </c>
      <c r="DH307" s="32">
        <v>101.5</v>
      </c>
      <c r="DI307" s="32">
        <v>100.9</v>
      </c>
      <c r="DJ307" s="32">
        <v>101.7</v>
      </c>
      <c r="DK307" s="32">
        <v>101.7</v>
      </c>
      <c r="DL307" s="32">
        <v>102.5</v>
      </c>
      <c r="DM307" s="32">
        <v>99.4</v>
      </c>
      <c r="DN307" s="32">
        <v>99.5</v>
      </c>
      <c r="DO307" s="32">
        <v>99.9</v>
      </c>
      <c r="DP307" s="32">
        <v>87.2</v>
      </c>
      <c r="DQ307" s="32">
        <v>97.2</v>
      </c>
      <c r="DR307" s="32">
        <v>97</v>
      </c>
      <c r="DS307" s="32">
        <v>98</v>
      </c>
      <c r="DT307" s="32">
        <v>98.6</v>
      </c>
      <c r="DU307" s="32">
        <v>99</v>
      </c>
      <c r="DV307" s="32">
        <v>98.4</v>
      </c>
      <c r="DW307" s="32">
        <v>99.6</v>
      </c>
      <c r="DX307" s="32">
        <v>97.7</v>
      </c>
      <c r="DY307" s="32">
        <v>96</v>
      </c>
      <c r="DZ307" s="32">
        <v>96.4</v>
      </c>
      <c r="EA307" s="32">
        <v>96.4</v>
      </c>
      <c r="EB307" s="32">
        <v>94</v>
      </c>
      <c r="EC307" s="32">
        <v>95</v>
      </c>
      <c r="ED307" s="32">
        <v>92.6</v>
      </c>
      <c r="EE307" s="32">
        <v>89.2</v>
      </c>
      <c r="EF307" s="32">
        <v>99.9</v>
      </c>
      <c r="EG307" s="32">
        <v>97.7</v>
      </c>
      <c r="EH307" s="32">
        <v>100.7</v>
      </c>
      <c r="EI307" s="32">
        <v>101.9</v>
      </c>
      <c r="EJ307" s="32">
        <v>89.9</v>
      </c>
      <c r="EK307" s="32">
        <v>95</v>
      </c>
      <c r="EL307" s="32">
        <v>94.9</v>
      </c>
      <c r="EM307" s="32">
        <v>98</v>
      </c>
      <c r="EN307" s="32">
        <v>93.3</v>
      </c>
      <c r="EO307" s="32">
        <v>99.9</v>
      </c>
      <c r="EP307" s="32">
        <v>98.2</v>
      </c>
      <c r="EQ307" s="32">
        <v>98.2</v>
      </c>
      <c r="ER307" s="32">
        <v>97.9</v>
      </c>
      <c r="ES307" s="32">
        <v>97.9</v>
      </c>
      <c r="ET307" s="32">
        <v>102.5</v>
      </c>
      <c r="EU307" s="32">
        <v>105.2</v>
      </c>
      <c r="EV307" s="32">
        <v>105.2</v>
      </c>
      <c r="EW307" s="32">
        <v>96.5</v>
      </c>
      <c r="EX307" s="32">
        <v>96.7</v>
      </c>
      <c r="EY307" s="32">
        <v>96.2</v>
      </c>
      <c r="EZ307" s="32">
        <v>100</v>
      </c>
      <c r="FA307" s="32">
        <v>100.2</v>
      </c>
      <c r="FB307" s="32">
        <v>99.7</v>
      </c>
      <c r="FC307" s="32">
        <v>101.5</v>
      </c>
      <c r="FD307" s="32">
        <v>93.2</v>
      </c>
      <c r="FE307" s="32">
        <v>99.9</v>
      </c>
      <c r="FF307" s="32">
        <v>100.7</v>
      </c>
      <c r="FG307" s="32">
        <v>99.1</v>
      </c>
      <c r="FH307" s="32">
        <v>100.2</v>
      </c>
      <c r="FI307" s="32">
        <v>101.7</v>
      </c>
      <c r="FJ307" s="32">
        <v>98.3</v>
      </c>
      <c r="FK307" s="32">
        <v>112.1</v>
      </c>
      <c r="FL307" s="32">
        <v>112.1</v>
      </c>
    </row>
    <row r="308" spans="1:168" x14ac:dyDescent="0.2">
      <c r="A308" s="34" t="s">
        <v>1288</v>
      </c>
      <c r="B308" s="32">
        <v>99.9</v>
      </c>
      <c r="C308" s="32">
        <v>100.3</v>
      </c>
      <c r="D308" s="32">
        <v>100</v>
      </c>
      <c r="E308" s="32">
        <v>100.8</v>
      </c>
      <c r="F308" s="32">
        <v>101.4</v>
      </c>
      <c r="G308" s="32">
        <v>105</v>
      </c>
      <c r="H308" s="32">
        <v>99.9</v>
      </c>
      <c r="I308" s="32">
        <v>110.5</v>
      </c>
      <c r="J308" s="32">
        <v>101.2</v>
      </c>
      <c r="K308" s="32">
        <v>102.1</v>
      </c>
      <c r="L308" s="32">
        <v>102.6</v>
      </c>
      <c r="M308" s="32">
        <v>98.4</v>
      </c>
      <c r="N308" s="32">
        <v>104.8</v>
      </c>
      <c r="O308" s="32">
        <v>88</v>
      </c>
      <c r="P308" s="32">
        <v>113.2</v>
      </c>
      <c r="Q308" s="32">
        <v>107.6</v>
      </c>
      <c r="R308" s="32">
        <v>99.8</v>
      </c>
      <c r="S308" s="32">
        <v>102</v>
      </c>
      <c r="T308" s="32">
        <v>110.5</v>
      </c>
      <c r="U308" s="32">
        <v>108.3</v>
      </c>
      <c r="V308" s="32">
        <v>98.8</v>
      </c>
      <c r="W308" s="32">
        <v>101.9</v>
      </c>
      <c r="X308" s="32">
        <v>99.6</v>
      </c>
      <c r="Y308" s="32">
        <v>105.7</v>
      </c>
      <c r="Z308" s="32">
        <v>111.1</v>
      </c>
      <c r="AA308" s="32">
        <v>107</v>
      </c>
      <c r="AB308" s="32">
        <v>105.6</v>
      </c>
      <c r="AC308" s="32">
        <v>109.5</v>
      </c>
      <c r="AD308" s="32">
        <v>106.1</v>
      </c>
      <c r="AE308" s="32">
        <v>107.9</v>
      </c>
      <c r="AF308" s="32">
        <v>107.9</v>
      </c>
      <c r="AG308" s="32">
        <v>107.5</v>
      </c>
      <c r="AH308" s="32">
        <v>107.5</v>
      </c>
      <c r="AI308" s="32">
        <v>114.7</v>
      </c>
      <c r="AJ308" s="32">
        <v>109.8</v>
      </c>
      <c r="AK308" s="32">
        <v>115.1</v>
      </c>
      <c r="AL308" s="32">
        <v>101.7</v>
      </c>
      <c r="AM308" s="32">
        <v>104.5</v>
      </c>
      <c r="AN308" s="32">
        <v>105.6</v>
      </c>
      <c r="AO308" s="32">
        <v>90.8</v>
      </c>
      <c r="AP308" s="32">
        <v>90.8</v>
      </c>
      <c r="AQ308" s="32">
        <v>101</v>
      </c>
      <c r="AR308" s="32">
        <v>101.2</v>
      </c>
      <c r="AS308" s="32">
        <v>100.8</v>
      </c>
      <c r="AT308" s="32">
        <v>99.3</v>
      </c>
      <c r="AU308" s="32">
        <v>102</v>
      </c>
      <c r="AV308" s="32">
        <v>103.8</v>
      </c>
      <c r="AW308" s="32">
        <v>95.2</v>
      </c>
      <c r="AX308" s="32">
        <v>95.8</v>
      </c>
      <c r="AY308" s="32">
        <v>94.1</v>
      </c>
      <c r="AZ308" s="32">
        <v>105.8</v>
      </c>
      <c r="BA308" s="32">
        <v>100.1</v>
      </c>
      <c r="BB308" s="32">
        <v>100.1</v>
      </c>
      <c r="BC308" s="32">
        <v>105.5</v>
      </c>
      <c r="BD308" s="32">
        <v>105.5</v>
      </c>
      <c r="BE308" s="32">
        <v>99.1</v>
      </c>
      <c r="BF308" s="32">
        <v>99.1</v>
      </c>
      <c r="BG308" s="32">
        <v>100.5</v>
      </c>
      <c r="BH308" s="32">
        <v>100.5</v>
      </c>
      <c r="BI308" s="32">
        <v>100.6</v>
      </c>
      <c r="BJ308" s="32">
        <v>100.7</v>
      </c>
      <c r="BK308" s="32">
        <v>99.3</v>
      </c>
      <c r="BL308" s="32">
        <v>114.4</v>
      </c>
      <c r="BM308" s="32">
        <v>100</v>
      </c>
      <c r="BN308" s="32">
        <v>101.2</v>
      </c>
      <c r="BO308" s="32">
        <v>103.7</v>
      </c>
      <c r="BP308" s="32">
        <v>99</v>
      </c>
      <c r="BQ308" s="32">
        <v>98.8</v>
      </c>
      <c r="BR308" s="32">
        <v>102.2</v>
      </c>
      <c r="BS308" s="32">
        <v>88.8</v>
      </c>
      <c r="BT308" s="32">
        <v>101.6</v>
      </c>
      <c r="BU308" s="32">
        <v>95.3</v>
      </c>
      <c r="BV308" s="32">
        <v>95.3</v>
      </c>
      <c r="BW308" s="32">
        <v>95.8</v>
      </c>
      <c r="BX308" s="32">
        <v>93.4</v>
      </c>
      <c r="BY308" s="32">
        <v>101</v>
      </c>
      <c r="BZ308" s="32">
        <v>103.7</v>
      </c>
      <c r="CA308" s="32">
        <v>99.7</v>
      </c>
      <c r="CB308" s="32">
        <v>99.7</v>
      </c>
      <c r="CC308" s="32">
        <v>99.9</v>
      </c>
      <c r="CD308" s="32">
        <v>96.1</v>
      </c>
      <c r="CE308" s="32">
        <v>98.3</v>
      </c>
      <c r="CF308" s="32">
        <v>99.9</v>
      </c>
      <c r="CG308" s="32">
        <v>100.1</v>
      </c>
      <c r="CH308" s="32">
        <v>99.7</v>
      </c>
      <c r="CI308" s="32">
        <v>86.5</v>
      </c>
      <c r="CJ308" s="32">
        <v>102.1</v>
      </c>
      <c r="CK308" s="32">
        <v>101.7</v>
      </c>
      <c r="CL308" s="32">
        <v>97.9</v>
      </c>
      <c r="CM308" s="32">
        <v>98.6</v>
      </c>
      <c r="CN308" s="32">
        <v>92.6</v>
      </c>
      <c r="CO308" s="32">
        <v>99.7</v>
      </c>
      <c r="CP308" s="32">
        <v>91.2</v>
      </c>
      <c r="CQ308" s="32">
        <v>82.2</v>
      </c>
      <c r="CR308" s="32">
        <v>102.8</v>
      </c>
      <c r="CS308" s="32">
        <v>98.1</v>
      </c>
      <c r="CT308" s="32">
        <v>104.5</v>
      </c>
      <c r="CU308" s="32">
        <v>108.3</v>
      </c>
      <c r="CV308" s="32">
        <v>102.9</v>
      </c>
      <c r="CW308" s="32">
        <v>100.5</v>
      </c>
      <c r="CX308" s="32">
        <v>97.4</v>
      </c>
      <c r="CY308" s="32">
        <v>93.6</v>
      </c>
      <c r="CZ308" s="32">
        <v>99.6</v>
      </c>
      <c r="DA308" s="32">
        <v>97.8</v>
      </c>
      <c r="DB308" s="32">
        <v>102.9</v>
      </c>
      <c r="DC308" s="32">
        <v>99.2</v>
      </c>
      <c r="DD308" s="32">
        <v>99.2</v>
      </c>
      <c r="DE308" s="32">
        <v>102.6</v>
      </c>
      <c r="DF308" s="32">
        <v>103.2</v>
      </c>
      <c r="DG308" s="32">
        <v>99.3</v>
      </c>
      <c r="DH308" s="32">
        <v>101.3</v>
      </c>
      <c r="DI308" s="32">
        <v>101</v>
      </c>
      <c r="DJ308" s="32">
        <v>100.9</v>
      </c>
      <c r="DK308" s="32">
        <v>100.9</v>
      </c>
      <c r="DL308" s="32">
        <v>102.2</v>
      </c>
      <c r="DM308" s="32">
        <v>99.5</v>
      </c>
      <c r="DN308" s="32">
        <v>99.5</v>
      </c>
      <c r="DO308" s="32">
        <v>99.8</v>
      </c>
      <c r="DP308" s="32">
        <v>91.8</v>
      </c>
      <c r="DQ308" s="32">
        <v>98</v>
      </c>
      <c r="DR308" s="32">
        <v>97.4</v>
      </c>
      <c r="DS308" s="32">
        <v>98.3</v>
      </c>
      <c r="DT308" s="32">
        <v>98.3</v>
      </c>
      <c r="DU308" s="32">
        <v>98.9</v>
      </c>
      <c r="DV308" s="32">
        <v>96.4</v>
      </c>
      <c r="DW308" s="32">
        <v>101.6</v>
      </c>
      <c r="DX308" s="32">
        <v>97</v>
      </c>
      <c r="DY308" s="32">
        <v>98.2</v>
      </c>
      <c r="DZ308" s="32">
        <v>97.8</v>
      </c>
      <c r="EA308" s="32">
        <v>97.8</v>
      </c>
      <c r="EB308" s="32">
        <v>94.6</v>
      </c>
      <c r="EC308" s="32">
        <v>93.4</v>
      </c>
      <c r="ED308" s="32">
        <v>96.3</v>
      </c>
      <c r="EE308" s="32">
        <v>94.5</v>
      </c>
      <c r="EF308" s="32">
        <v>100.1</v>
      </c>
      <c r="EG308" s="32">
        <v>98.9</v>
      </c>
      <c r="EH308" s="32">
        <v>103.8</v>
      </c>
      <c r="EI308" s="32">
        <v>97.7</v>
      </c>
      <c r="EJ308" s="32">
        <v>100.1</v>
      </c>
      <c r="EK308" s="32">
        <v>96.9</v>
      </c>
      <c r="EL308" s="32">
        <v>97</v>
      </c>
      <c r="EM308" s="32">
        <v>97.5</v>
      </c>
      <c r="EN308" s="32">
        <v>96.6</v>
      </c>
      <c r="EO308" s="32">
        <v>100.6</v>
      </c>
      <c r="EP308" s="32">
        <v>98.6</v>
      </c>
      <c r="EQ308" s="32">
        <v>98.6</v>
      </c>
      <c r="ER308" s="32">
        <v>97.3</v>
      </c>
      <c r="ES308" s="32">
        <v>97.3</v>
      </c>
      <c r="ET308" s="32">
        <v>104.4</v>
      </c>
      <c r="EU308" s="32">
        <v>107.3</v>
      </c>
      <c r="EV308" s="32">
        <v>107.3</v>
      </c>
      <c r="EW308" s="32">
        <v>98</v>
      </c>
      <c r="EX308" s="32">
        <v>97.9</v>
      </c>
      <c r="EY308" s="32">
        <v>98</v>
      </c>
      <c r="EZ308" s="32">
        <v>99</v>
      </c>
      <c r="FA308" s="32">
        <v>97.8</v>
      </c>
      <c r="FB308" s="32">
        <v>99.4</v>
      </c>
      <c r="FC308" s="32">
        <v>99.4</v>
      </c>
      <c r="FD308" s="32">
        <v>98</v>
      </c>
      <c r="FE308" s="32">
        <v>100</v>
      </c>
      <c r="FF308" s="32">
        <v>95.9</v>
      </c>
      <c r="FG308" s="32">
        <v>99.8</v>
      </c>
      <c r="FH308" s="32">
        <v>99.7</v>
      </c>
      <c r="FI308" s="32">
        <v>100</v>
      </c>
      <c r="FJ308" s="32">
        <v>99.8</v>
      </c>
      <c r="FK308" s="32">
        <v>103</v>
      </c>
      <c r="FL308" s="32">
        <v>103</v>
      </c>
    </row>
    <row r="309" spans="1:168" x14ac:dyDescent="0.2">
      <c r="A309" s="34" t="s">
        <v>1289</v>
      </c>
      <c r="B309" s="32">
        <v>99.9</v>
      </c>
      <c r="C309" s="32">
        <v>100.7</v>
      </c>
      <c r="D309" s="32">
        <v>100.4</v>
      </c>
      <c r="E309" s="32">
        <v>101.2</v>
      </c>
      <c r="F309" s="32">
        <v>104.1</v>
      </c>
      <c r="G309" s="32">
        <v>112.2</v>
      </c>
      <c r="H309" s="32">
        <v>104.2</v>
      </c>
      <c r="I309" s="32">
        <v>104.3</v>
      </c>
      <c r="J309" s="32">
        <v>100.9</v>
      </c>
      <c r="K309" s="32">
        <v>102</v>
      </c>
      <c r="L309" s="32">
        <v>102.4</v>
      </c>
      <c r="M309" s="32">
        <v>99.7</v>
      </c>
      <c r="N309" s="32">
        <v>103.2</v>
      </c>
      <c r="O309" s="32">
        <v>87.4</v>
      </c>
      <c r="P309" s="32">
        <v>108.5</v>
      </c>
      <c r="Q309" s="32">
        <v>104.1</v>
      </c>
      <c r="R309" s="32">
        <v>101.3</v>
      </c>
      <c r="S309" s="32">
        <v>101.8</v>
      </c>
      <c r="T309" s="32">
        <v>108.7</v>
      </c>
      <c r="U309" s="32">
        <v>105.5</v>
      </c>
      <c r="V309" s="32">
        <v>99.6</v>
      </c>
      <c r="W309" s="32">
        <v>103</v>
      </c>
      <c r="X309" s="32">
        <v>99.5</v>
      </c>
      <c r="Y309" s="32">
        <v>110.7</v>
      </c>
      <c r="Z309" s="32">
        <v>103.5</v>
      </c>
      <c r="AA309" s="32">
        <v>103.7</v>
      </c>
      <c r="AB309" s="32">
        <v>101.6</v>
      </c>
      <c r="AC309" s="32">
        <v>104.4</v>
      </c>
      <c r="AD309" s="32">
        <v>104.9</v>
      </c>
      <c r="AE309" s="32">
        <v>110.8</v>
      </c>
      <c r="AF309" s="32">
        <v>110.8</v>
      </c>
      <c r="AG309" s="32">
        <v>105.9</v>
      </c>
      <c r="AH309" s="32">
        <v>105.9</v>
      </c>
      <c r="AI309" s="32">
        <v>106.1</v>
      </c>
      <c r="AJ309" s="32">
        <v>109.9</v>
      </c>
      <c r="AK309" s="32">
        <v>105.5</v>
      </c>
      <c r="AL309" s="32">
        <v>100.6</v>
      </c>
      <c r="AM309" s="32">
        <v>106.1</v>
      </c>
      <c r="AN309" s="32">
        <v>102.5</v>
      </c>
      <c r="AO309" s="32">
        <v>97.2</v>
      </c>
      <c r="AP309" s="32">
        <v>97.2</v>
      </c>
      <c r="AQ309" s="32">
        <v>102</v>
      </c>
      <c r="AR309" s="32">
        <v>100.9</v>
      </c>
      <c r="AS309" s="32">
        <v>103.6</v>
      </c>
      <c r="AT309" s="32">
        <v>100.8</v>
      </c>
      <c r="AU309" s="32">
        <v>106</v>
      </c>
      <c r="AV309" s="32">
        <v>102.7</v>
      </c>
      <c r="AW309" s="32">
        <v>100.3</v>
      </c>
      <c r="AX309" s="32">
        <v>104.6</v>
      </c>
      <c r="AY309" s="32">
        <v>97.1</v>
      </c>
      <c r="AZ309" s="32">
        <v>103.2</v>
      </c>
      <c r="BA309" s="32">
        <v>97.6</v>
      </c>
      <c r="BB309" s="32">
        <v>97.6</v>
      </c>
      <c r="BC309" s="32">
        <v>101.7</v>
      </c>
      <c r="BD309" s="32">
        <v>101.7</v>
      </c>
      <c r="BE309" s="32">
        <v>98.6</v>
      </c>
      <c r="BF309" s="32">
        <v>98.6</v>
      </c>
      <c r="BG309" s="32">
        <v>100.6</v>
      </c>
      <c r="BH309" s="32">
        <v>101.6</v>
      </c>
      <c r="BI309" s="32">
        <v>99.3</v>
      </c>
      <c r="BJ309" s="32">
        <v>100.4</v>
      </c>
      <c r="BK309" s="32">
        <v>98.4</v>
      </c>
      <c r="BL309" s="32">
        <v>105.7</v>
      </c>
      <c r="BM309" s="32">
        <v>97.4</v>
      </c>
      <c r="BN309" s="32">
        <v>99.8</v>
      </c>
      <c r="BO309" s="32">
        <v>100.6</v>
      </c>
      <c r="BP309" s="32">
        <v>99.1</v>
      </c>
      <c r="BQ309" s="32">
        <v>94.9</v>
      </c>
      <c r="BR309" s="32">
        <v>96.7</v>
      </c>
      <c r="BS309" s="32">
        <v>89</v>
      </c>
      <c r="BT309" s="32">
        <v>96.5</v>
      </c>
      <c r="BU309" s="32">
        <v>99.6</v>
      </c>
      <c r="BV309" s="32">
        <v>99.6</v>
      </c>
      <c r="BW309" s="32">
        <v>100.2</v>
      </c>
      <c r="BX309" s="32">
        <v>97.3</v>
      </c>
      <c r="BY309" s="32">
        <v>102.1</v>
      </c>
      <c r="BZ309" s="32">
        <v>105.6</v>
      </c>
      <c r="CA309" s="32">
        <v>100.4</v>
      </c>
      <c r="CB309" s="32">
        <v>100.4</v>
      </c>
      <c r="CC309" s="32">
        <v>100.6</v>
      </c>
      <c r="CD309" s="32">
        <v>98.9</v>
      </c>
      <c r="CE309" s="32">
        <v>98.8</v>
      </c>
      <c r="CF309" s="32">
        <v>99.8</v>
      </c>
      <c r="CG309" s="32">
        <v>101.1</v>
      </c>
      <c r="CH309" s="32">
        <v>101</v>
      </c>
      <c r="CI309" s="32">
        <v>98</v>
      </c>
      <c r="CJ309" s="32">
        <v>101.8</v>
      </c>
      <c r="CK309" s="32">
        <v>101.3</v>
      </c>
      <c r="CL309" s="32">
        <v>99.7</v>
      </c>
      <c r="CM309" s="32">
        <v>100.2</v>
      </c>
      <c r="CN309" s="32">
        <v>98.5</v>
      </c>
      <c r="CO309" s="32">
        <v>100.6</v>
      </c>
      <c r="CP309" s="32">
        <v>91</v>
      </c>
      <c r="CQ309" s="32">
        <v>99.7</v>
      </c>
      <c r="CR309" s="32">
        <v>99.6</v>
      </c>
      <c r="CS309" s="32">
        <v>95.8</v>
      </c>
      <c r="CT309" s="32">
        <v>103.2</v>
      </c>
      <c r="CU309" s="32">
        <v>109.6</v>
      </c>
      <c r="CV309" s="32">
        <v>100.6</v>
      </c>
      <c r="CW309" s="32">
        <v>100.9</v>
      </c>
      <c r="CX309" s="32">
        <v>100.6</v>
      </c>
      <c r="CY309" s="32">
        <v>100.2</v>
      </c>
      <c r="CZ309" s="32">
        <v>100.8</v>
      </c>
      <c r="DA309" s="32">
        <v>98</v>
      </c>
      <c r="DB309" s="32">
        <v>106</v>
      </c>
      <c r="DC309" s="32">
        <v>96.2</v>
      </c>
      <c r="DD309" s="32">
        <v>96.2</v>
      </c>
      <c r="DE309" s="32">
        <v>103.4</v>
      </c>
      <c r="DF309" s="32">
        <v>104</v>
      </c>
      <c r="DG309" s="32">
        <v>100.3</v>
      </c>
      <c r="DH309" s="32">
        <v>100.8</v>
      </c>
      <c r="DI309" s="32">
        <v>101.2</v>
      </c>
      <c r="DJ309" s="32">
        <v>100.3</v>
      </c>
      <c r="DK309" s="32">
        <v>100.3</v>
      </c>
      <c r="DL309" s="32">
        <v>100.5</v>
      </c>
      <c r="DM309" s="32">
        <v>99.9</v>
      </c>
      <c r="DN309" s="32">
        <v>100.1</v>
      </c>
      <c r="DO309" s="32">
        <v>99.9</v>
      </c>
      <c r="DP309" s="32">
        <v>97.8</v>
      </c>
      <c r="DQ309" s="32">
        <v>98</v>
      </c>
      <c r="DR309" s="32">
        <v>97.5</v>
      </c>
      <c r="DS309" s="32">
        <v>98.4</v>
      </c>
      <c r="DT309" s="32">
        <v>98.5</v>
      </c>
      <c r="DU309" s="32">
        <v>98.7</v>
      </c>
      <c r="DV309" s="32">
        <v>96.8</v>
      </c>
      <c r="DW309" s="32">
        <v>100.8</v>
      </c>
      <c r="DX309" s="32">
        <v>98</v>
      </c>
      <c r="DY309" s="32">
        <v>98.4</v>
      </c>
      <c r="DZ309" s="32">
        <v>94.5</v>
      </c>
      <c r="EA309" s="32">
        <v>94.5</v>
      </c>
      <c r="EB309" s="32">
        <v>96</v>
      </c>
      <c r="EC309" s="32">
        <v>96.5</v>
      </c>
      <c r="ED309" s="32">
        <v>95.4</v>
      </c>
      <c r="EE309" s="32">
        <v>93.7</v>
      </c>
      <c r="EF309" s="32">
        <v>99</v>
      </c>
      <c r="EG309" s="32">
        <v>98.9</v>
      </c>
      <c r="EH309" s="32">
        <v>100.2</v>
      </c>
      <c r="EI309" s="32">
        <v>102.4</v>
      </c>
      <c r="EJ309" s="32">
        <v>104.4</v>
      </c>
      <c r="EK309" s="32">
        <v>94.8</v>
      </c>
      <c r="EL309" s="32">
        <v>97.2</v>
      </c>
      <c r="EM309" s="32">
        <v>98.2</v>
      </c>
      <c r="EN309" s="32">
        <v>92.6</v>
      </c>
      <c r="EO309" s="32">
        <v>99.1</v>
      </c>
      <c r="EP309" s="32">
        <v>98.9</v>
      </c>
      <c r="EQ309" s="32">
        <v>98.9</v>
      </c>
      <c r="ER309" s="32">
        <v>98.8</v>
      </c>
      <c r="ES309" s="32">
        <v>98.8</v>
      </c>
      <c r="ET309" s="32">
        <v>99.3</v>
      </c>
      <c r="EU309" s="32">
        <v>99.2</v>
      </c>
      <c r="EV309" s="32">
        <v>99.2</v>
      </c>
      <c r="EW309" s="32">
        <v>99.3</v>
      </c>
      <c r="EX309" s="32">
        <v>98.9</v>
      </c>
      <c r="EY309" s="32">
        <v>99.6</v>
      </c>
      <c r="EZ309" s="32">
        <v>100</v>
      </c>
      <c r="FA309" s="32">
        <v>102.5</v>
      </c>
      <c r="FB309" s="32">
        <v>100.5</v>
      </c>
      <c r="FC309" s="32">
        <v>100.2</v>
      </c>
      <c r="FD309" s="32">
        <v>99.5</v>
      </c>
      <c r="FE309" s="32">
        <v>101.6</v>
      </c>
      <c r="FF309" s="32">
        <v>104.8</v>
      </c>
      <c r="FG309" s="32">
        <v>97.5</v>
      </c>
      <c r="FH309" s="32">
        <v>98.1</v>
      </c>
      <c r="FI309" s="32">
        <v>103.3</v>
      </c>
      <c r="FJ309" s="32">
        <v>96.6</v>
      </c>
      <c r="FK309" s="32">
        <v>104.1</v>
      </c>
      <c r="FL309" s="32">
        <v>104.1</v>
      </c>
    </row>
    <row r="310" spans="1:168" x14ac:dyDescent="0.2">
      <c r="A310" s="34" t="s">
        <v>1290</v>
      </c>
      <c r="B310" s="32">
        <v>100.5</v>
      </c>
      <c r="C310" s="32">
        <v>100.4</v>
      </c>
      <c r="D310" s="32">
        <v>100.9</v>
      </c>
      <c r="E310" s="32">
        <v>101</v>
      </c>
      <c r="F310" s="32">
        <v>104</v>
      </c>
      <c r="G310" s="32">
        <v>103.3</v>
      </c>
      <c r="H310" s="32">
        <v>104.2</v>
      </c>
      <c r="I310" s="32">
        <v>103.6</v>
      </c>
      <c r="J310" s="32">
        <v>100.9</v>
      </c>
      <c r="K310" s="32">
        <v>101.6</v>
      </c>
      <c r="L310" s="32">
        <v>102.1</v>
      </c>
      <c r="M310" s="32">
        <v>99.8</v>
      </c>
      <c r="N310" s="32">
        <v>102.3</v>
      </c>
      <c r="O310" s="32">
        <v>79.8</v>
      </c>
      <c r="P310" s="32">
        <v>107.1</v>
      </c>
      <c r="Q310" s="32">
        <v>104.7</v>
      </c>
      <c r="R310" s="32">
        <v>102</v>
      </c>
      <c r="S310" s="32">
        <v>101.7</v>
      </c>
      <c r="T310" s="32">
        <v>105.7</v>
      </c>
      <c r="U310" s="32">
        <v>100</v>
      </c>
      <c r="V310" s="32">
        <v>99.9</v>
      </c>
      <c r="W310" s="32">
        <v>101.1</v>
      </c>
      <c r="X310" s="32">
        <v>101.1</v>
      </c>
      <c r="Y310" s="32">
        <v>101.6</v>
      </c>
      <c r="Z310" s="32">
        <v>98.6</v>
      </c>
      <c r="AA310" s="32">
        <v>102.8</v>
      </c>
      <c r="AB310" s="32">
        <v>103.6</v>
      </c>
      <c r="AC310" s="32">
        <v>102.5</v>
      </c>
      <c r="AD310" s="32">
        <v>102.4</v>
      </c>
      <c r="AE310" s="32">
        <v>110.6</v>
      </c>
      <c r="AF310" s="32">
        <v>110.6</v>
      </c>
      <c r="AG310" s="32">
        <v>105</v>
      </c>
      <c r="AH310" s="32">
        <v>105</v>
      </c>
      <c r="AI310" s="32">
        <v>99.8</v>
      </c>
      <c r="AJ310" s="32">
        <v>110.6</v>
      </c>
      <c r="AK310" s="32">
        <v>104.2</v>
      </c>
      <c r="AL310" s="32">
        <v>103.6</v>
      </c>
      <c r="AM310" s="32">
        <v>104.8</v>
      </c>
      <c r="AN310" s="32">
        <v>102.5</v>
      </c>
      <c r="AO310" s="32">
        <v>96.9</v>
      </c>
      <c r="AP310" s="32">
        <v>96.9</v>
      </c>
      <c r="AQ310" s="32">
        <v>104.7</v>
      </c>
      <c r="AR310" s="32">
        <v>102.5</v>
      </c>
      <c r="AS310" s="32">
        <v>107.7</v>
      </c>
      <c r="AT310" s="32">
        <v>102.8</v>
      </c>
      <c r="AU310" s="32">
        <v>112.1</v>
      </c>
      <c r="AV310" s="32">
        <v>101.4</v>
      </c>
      <c r="AW310" s="32">
        <v>100.7</v>
      </c>
      <c r="AX310" s="32">
        <v>105.4</v>
      </c>
      <c r="AY310" s="32">
        <v>97.5</v>
      </c>
      <c r="AZ310" s="32">
        <v>101.6</v>
      </c>
      <c r="BA310" s="32">
        <v>96.6</v>
      </c>
      <c r="BB310" s="32">
        <v>96.6</v>
      </c>
      <c r="BC310" s="32">
        <v>99.1</v>
      </c>
      <c r="BD310" s="32">
        <v>99.1</v>
      </c>
      <c r="BE310" s="32">
        <v>102.1</v>
      </c>
      <c r="BF310" s="32">
        <v>102.1</v>
      </c>
      <c r="BG310" s="32">
        <v>100.4</v>
      </c>
      <c r="BH310" s="32">
        <v>101.7</v>
      </c>
      <c r="BI310" s="32">
        <v>98.7</v>
      </c>
      <c r="BJ310" s="32">
        <v>100.3</v>
      </c>
      <c r="BK310" s="32">
        <v>98.3</v>
      </c>
      <c r="BL310" s="32">
        <v>99.1</v>
      </c>
      <c r="BM310" s="32">
        <v>98.3</v>
      </c>
      <c r="BN310" s="32">
        <v>98.5</v>
      </c>
      <c r="BO310" s="32">
        <v>101.4</v>
      </c>
      <c r="BP310" s="32">
        <v>96.2</v>
      </c>
      <c r="BQ310" s="32">
        <v>98.1</v>
      </c>
      <c r="BR310" s="32">
        <v>98.1</v>
      </c>
      <c r="BS310" s="32">
        <v>93.8</v>
      </c>
      <c r="BT310" s="32">
        <v>99.4</v>
      </c>
      <c r="BU310" s="32">
        <v>98.7</v>
      </c>
      <c r="BV310" s="32">
        <v>98.7</v>
      </c>
      <c r="BW310" s="32">
        <v>97.9</v>
      </c>
      <c r="BX310" s="32">
        <v>101.9</v>
      </c>
      <c r="BY310" s="32">
        <v>100.1</v>
      </c>
      <c r="BZ310" s="32">
        <v>99.7</v>
      </c>
      <c r="CA310" s="32">
        <v>100.2</v>
      </c>
      <c r="CB310" s="32">
        <v>99</v>
      </c>
      <c r="CC310" s="32">
        <v>101.1</v>
      </c>
      <c r="CD310" s="32">
        <v>103</v>
      </c>
      <c r="CE310" s="32">
        <v>100.8</v>
      </c>
      <c r="CF310" s="32">
        <v>100.3</v>
      </c>
      <c r="CG310" s="32">
        <v>100</v>
      </c>
      <c r="CH310" s="32">
        <v>99.7</v>
      </c>
      <c r="CI310" s="32">
        <v>98.7</v>
      </c>
      <c r="CJ310" s="32">
        <v>99.4</v>
      </c>
      <c r="CK310" s="32">
        <v>100.3</v>
      </c>
      <c r="CL310" s="32">
        <v>98.7</v>
      </c>
      <c r="CM310" s="32">
        <v>101.6</v>
      </c>
      <c r="CN310" s="32">
        <v>109.8</v>
      </c>
      <c r="CO310" s="32">
        <v>100.4</v>
      </c>
      <c r="CP310" s="32">
        <v>93.3</v>
      </c>
      <c r="CQ310" s="32">
        <v>87.1</v>
      </c>
      <c r="CR310" s="32">
        <v>101.7</v>
      </c>
      <c r="CS310" s="32">
        <v>95.1</v>
      </c>
      <c r="CT310" s="32">
        <v>102.9</v>
      </c>
      <c r="CU310" s="32">
        <v>107.4</v>
      </c>
      <c r="CV310" s="32">
        <v>101.1</v>
      </c>
      <c r="CW310" s="32">
        <v>100.9</v>
      </c>
      <c r="CX310" s="32">
        <v>103.3</v>
      </c>
      <c r="CY310" s="32">
        <v>103.6</v>
      </c>
      <c r="CZ310" s="32">
        <v>103.1</v>
      </c>
      <c r="DA310" s="32">
        <v>105.1</v>
      </c>
      <c r="DB310" s="32">
        <v>99.3</v>
      </c>
      <c r="DC310" s="32">
        <v>98</v>
      </c>
      <c r="DD310" s="32">
        <v>98</v>
      </c>
      <c r="DE310" s="32">
        <v>101.2</v>
      </c>
      <c r="DF310" s="32">
        <v>100.8</v>
      </c>
      <c r="DG310" s="32">
        <v>103.8</v>
      </c>
      <c r="DH310" s="32">
        <v>100.7</v>
      </c>
      <c r="DI310" s="32">
        <v>101.3</v>
      </c>
      <c r="DJ310" s="32">
        <v>100.1</v>
      </c>
      <c r="DK310" s="32">
        <v>100.1</v>
      </c>
      <c r="DL310" s="32">
        <v>100.3</v>
      </c>
      <c r="DM310" s="32">
        <v>100.1</v>
      </c>
      <c r="DN310" s="32">
        <v>100.4</v>
      </c>
      <c r="DO310" s="32">
        <v>99.9</v>
      </c>
      <c r="DP310" s="32">
        <v>101.8</v>
      </c>
      <c r="DQ310" s="32">
        <v>101</v>
      </c>
      <c r="DR310" s="32">
        <v>101.1</v>
      </c>
      <c r="DS310" s="32">
        <v>100.2</v>
      </c>
      <c r="DT310" s="32">
        <v>100.7</v>
      </c>
      <c r="DU310" s="32">
        <v>101.5</v>
      </c>
      <c r="DV310" s="32">
        <v>101</v>
      </c>
      <c r="DW310" s="32">
        <v>102.1</v>
      </c>
      <c r="DX310" s="32">
        <v>99</v>
      </c>
      <c r="DY310" s="32">
        <v>98.5</v>
      </c>
      <c r="DZ310" s="32">
        <v>109.3</v>
      </c>
      <c r="EA310" s="32">
        <v>109.3</v>
      </c>
      <c r="EB310" s="32">
        <v>99.3</v>
      </c>
      <c r="EC310" s="32">
        <v>99.4</v>
      </c>
      <c r="ED310" s="32">
        <v>99.2</v>
      </c>
      <c r="EE310" s="32">
        <v>98.8</v>
      </c>
      <c r="EF310" s="32">
        <v>100</v>
      </c>
      <c r="EG310" s="32">
        <v>100.8</v>
      </c>
      <c r="EH310" s="32">
        <v>100.8</v>
      </c>
      <c r="EI310" s="32">
        <v>102.6</v>
      </c>
      <c r="EJ310" s="32">
        <v>109.9</v>
      </c>
      <c r="EK310" s="32">
        <v>97.7</v>
      </c>
      <c r="EL310" s="32">
        <v>97.2</v>
      </c>
      <c r="EM310" s="32">
        <v>101.1</v>
      </c>
      <c r="EN310" s="32">
        <v>96</v>
      </c>
      <c r="EO310" s="32">
        <v>100.1</v>
      </c>
      <c r="EP310" s="32">
        <v>99.2</v>
      </c>
      <c r="EQ310" s="32">
        <v>99.2</v>
      </c>
      <c r="ER310" s="32">
        <v>100.2</v>
      </c>
      <c r="ES310" s="32">
        <v>100.2</v>
      </c>
      <c r="ET310" s="32">
        <v>100.6</v>
      </c>
      <c r="EU310" s="32">
        <v>100.8</v>
      </c>
      <c r="EV310" s="32">
        <v>100.8</v>
      </c>
      <c r="EW310" s="32">
        <v>100.2</v>
      </c>
      <c r="EX310" s="32">
        <v>99.7</v>
      </c>
      <c r="EY310" s="32">
        <v>100.6</v>
      </c>
      <c r="EZ310" s="32">
        <v>99.8</v>
      </c>
      <c r="FA310" s="32">
        <v>99.3</v>
      </c>
      <c r="FB310" s="32">
        <v>98.7</v>
      </c>
      <c r="FC310" s="32">
        <v>97</v>
      </c>
      <c r="FD310" s="32">
        <v>97</v>
      </c>
      <c r="FE310" s="32">
        <v>102.6</v>
      </c>
      <c r="FF310" s="32">
        <v>99.9</v>
      </c>
      <c r="FG310" s="32">
        <v>100</v>
      </c>
      <c r="FH310" s="32">
        <v>97.6</v>
      </c>
      <c r="FI310" s="32">
        <v>104.6</v>
      </c>
      <c r="FJ310" s="32">
        <v>100.4</v>
      </c>
      <c r="FK310" s="32">
        <v>104.5</v>
      </c>
      <c r="FL310" s="32">
        <v>104.5</v>
      </c>
    </row>
    <row r="311" spans="1:168" x14ac:dyDescent="0.2">
      <c r="A311" s="34" t="s">
        <v>1291</v>
      </c>
      <c r="B311" s="32">
        <v>99.5</v>
      </c>
      <c r="C311" s="32">
        <v>100.3</v>
      </c>
      <c r="D311" s="32">
        <v>99.3</v>
      </c>
      <c r="E311" s="32">
        <v>99.8</v>
      </c>
      <c r="F311" s="32">
        <v>101.1</v>
      </c>
      <c r="G311" s="32">
        <v>100.6</v>
      </c>
      <c r="H311" s="32">
        <v>102.3</v>
      </c>
      <c r="I311" s="32">
        <v>94.8</v>
      </c>
      <c r="J311" s="32">
        <v>99.4</v>
      </c>
      <c r="K311" s="32">
        <v>100</v>
      </c>
      <c r="L311" s="32">
        <v>100.2</v>
      </c>
      <c r="M311" s="32">
        <v>100.1</v>
      </c>
      <c r="N311" s="32">
        <v>100.2</v>
      </c>
      <c r="O311" s="32">
        <v>92</v>
      </c>
      <c r="P311" s="32">
        <v>98.2</v>
      </c>
      <c r="Q311" s="32">
        <v>98.7</v>
      </c>
      <c r="R311" s="32">
        <v>100</v>
      </c>
      <c r="S311" s="32">
        <v>100.8</v>
      </c>
      <c r="T311" s="32">
        <v>100.7</v>
      </c>
      <c r="U311" s="32">
        <v>97.2</v>
      </c>
      <c r="V311" s="32">
        <v>100</v>
      </c>
      <c r="W311" s="32">
        <v>96.9</v>
      </c>
      <c r="X311" s="32">
        <v>98.3</v>
      </c>
      <c r="Y311" s="32">
        <v>94.7</v>
      </c>
      <c r="Z311" s="32">
        <v>91.7</v>
      </c>
      <c r="AA311" s="32">
        <v>98.4</v>
      </c>
      <c r="AB311" s="32">
        <v>96.2</v>
      </c>
      <c r="AC311" s="32">
        <v>95.6</v>
      </c>
      <c r="AD311" s="32">
        <v>102.4</v>
      </c>
      <c r="AE311" s="32">
        <v>102.3</v>
      </c>
      <c r="AF311" s="32">
        <v>102.3</v>
      </c>
      <c r="AG311" s="32">
        <v>98.3</v>
      </c>
      <c r="AH311" s="32">
        <v>98.3</v>
      </c>
      <c r="AI311" s="32">
        <v>99.4</v>
      </c>
      <c r="AJ311" s="32">
        <v>106.3</v>
      </c>
      <c r="AK311" s="32">
        <v>94.3</v>
      </c>
      <c r="AL311" s="32">
        <v>96.8</v>
      </c>
      <c r="AM311" s="32">
        <v>97.5</v>
      </c>
      <c r="AN311" s="32">
        <v>89.1</v>
      </c>
      <c r="AO311" s="32">
        <v>96.8</v>
      </c>
      <c r="AP311" s="32">
        <v>96.8</v>
      </c>
      <c r="AQ311" s="32">
        <v>101.1</v>
      </c>
      <c r="AR311" s="32">
        <v>101.8</v>
      </c>
      <c r="AS311" s="32">
        <v>100.1</v>
      </c>
      <c r="AT311" s="32">
        <v>96.8</v>
      </c>
      <c r="AU311" s="32">
        <v>103</v>
      </c>
      <c r="AV311" s="32">
        <v>99.8</v>
      </c>
      <c r="AW311" s="32">
        <v>100.7</v>
      </c>
      <c r="AX311" s="32">
        <v>102.8</v>
      </c>
      <c r="AY311" s="32">
        <v>99.5</v>
      </c>
      <c r="AZ311" s="32">
        <v>99.7</v>
      </c>
      <c r="BA311" s="32">
        <v>98.6</v>
      </c>
      <c r="BB311" s="32">
        <v>98.6</v>
      </c>
      <c r="BC311" s="32">
        <v>98.6</v>
      </c>
      <c r="BD311" s="32">
        <v>98.6</v>
      </c>
      <c r="BE311" s="32">
        <v>101.6</v>
      </c>
      <c r="BF311" s="32">
        <v>101.6</v>
      </c>
      <c r="BG311" s="32">
        <v>98.8</v>
      </c>
      <c r="BH311" s="32">
        <v>98.7</v>
      </c>
      <c r="BI311" s="32">
        <v>99</v>
      </c>
      <c r="BJ311" s="32">
        <v>99.9</v>
      </c>
      <c r="BK311" s="32">
        <v>98.8</v>
      </c>
      <c r="BL311" s="32">
        <v>99.3</v>
      </c>
      <c r="BM311" s="32">
        <v>100.1</v>
      </c>
      <c r="BN311" s="32">
        <v>100</v>
      </c>
      <c r="BO311" s="32">
        <v>102.4</v>
      </c>
      <c r="BP311" s="32">
        <v>98</v>
      </c>
      <c r="BQ311" s="32">
        <v>100.1</v>
      </c>
      <c r="BR311" s="32">
        <v>97.6</v>
      </c>
      <c r="BS311" s="32">
        <v>102</v>
      </c>
      <c r="BT311" s="32">
        <v>99.8</v>
      </c>
      <c r="BU311" s="32">
        <v>100.1</v>
      </c>
      <c r="BV311" s="32">
        <v>100.1</v>
      </c>
      <c r="BW311" s="32">
        <v>98.6</v>
      </c>
      <c r="BX311" s="32">
        <v>106.3</v>
      </c>
      <c r="BY311" s="32">
        <v>101.4</v>
      </c>
      <c r="BZ311" s="32">
        <v>100.3</v>
      </c>
      <c r="CA311" s="32">
        <v>102</v>
      </c>
      <c r="CB311" s="32">
        <v>102.5</v>
      </c>
      <c r="CC311" s="32">
        <v>101.4</v>
      </c>
      <c r="CD311" s="32">
        <v>103.3</v>
      </c>
      <c r="CE311" s="32">
        <v>98.3</v>
      </c>
      <c r="CF311" s="32">
        <v>99.5</v>
      </c>
      <c r="CG311" s="32">
        <v>99.7</v>
      </c>
      <c r="CH311" s="32">
        <v>99.1</v>
      </c>
      <c r="CI311" s="32">
        <v>95.4</v>
      </c>
      <c r="CJ311" s="32">
        <v>99.5</v>
      </c>
      <c r="CK311" s="32">
        <v>99.9</v>
      </c>
      <c r="CL311" s="32">
        <v>99.1</v>
      </c>
      <c r="CM311" s="32">
        <v>100.5</v>
      </c>
      <c r="CN311" s="32">
        <v>108.4</v>
      </c>
      <c r="CO311" s="32">
        <v>99.3</v>
      </c>
      <c r="CP311" s="32">
        <v>96.6</v>
      </c>
      <c r="CQ311" s="32">
        <v>98.3</v>
      </c>
      <c r="CR311" s="32">
        <v>97.9</v>
      </c>
      <c r="CS311" s="32">
        <v>96.1</v>
      </c>
      <c r="CT311" s="32">
        <v>102.3</v>
      </c>
      <c r="CU311" s="32">
        <v>102.2</v>
      </c>
      <c r="CV311" s="32">
        <v>102.4</v>
      </c>
      <c r="CW311" s="32">
        <v>98.8</v>
      </c>
      <c r="CX311" s="32">
        <v>99.8</v>
      </c>
      <c r="CY311" s="32">
        <v>99.9</v>
      </c>
      <c r="CZ311" s="32">
        <v>99.7</v>
      </c>
      <c r="DA311" s="32">
        <v>99.6</v>
      </c>
      <c r="DB311" s="32">
        <v>99.9</v>
      </c>
      <c r="DC311" s="32">
        <v>98.3</v>
      </c>
      <c r="DD311" s="32">
        <v>98.3</v>
      </c>
      <c r="DE311" s="32">
        <v>98.6</v>
      </c>
      <c r="DF311" s="32">
        <v>99</v>
      </c>
      <c r="DG311" s="32">
        <v>96.1</v>
      </c>
      <c r="DH311" s="32">
        <v>100.6</v>
      </c>
      <c r="DI311" s="32">
        <v>101.5</v>
      </c>
      <c r="DJ311" s="32">
        <v>99.7</v>
      </c>
      <c r="DK311" s="32">
        <v>99.7</v>
      </c>
      <c r="DL311" s="32">
        <v>100</v>
      </c>
      <c r="DM311" s="32">
        <v>100.1</v>
      </c>
      <c r="DN311" s="32">
        <v>100.6</v>
      </c>
      <c r="DO311" s="32">
        <v>99.9</v>
      </c>
      <c r="DP311" s="32">
        <v>101.4</v>
      </c>
      <c r="DQ311" s="32">
        <v>99.4</v>
      </c>
      <c r="DR311" s="32">
        <v>99.8</v>
      </c>
      <c r="DS311" s="32">
        <v>98.1</v>
      </c>
      <c r="DT311" s="32">
        <v>98.3</v>
      </c>
      <c r="DU311" s="32">
        <v>97.1</v>
      </c>
      <c r="DV311" s="32">
        <v>96.7</v>
      </c>
      <c r="DW311" s="32">
        <v>97.7</v>
      </c>
      <c r="DX311" s="32">
        <v>100.6</v>
      </c>
      <c r="DY311" s="32">
        <v>97.7</v>
      </c>
      <c r="DZ311" s="32">
        <v>102.9</v>
      </c>
      <c r="EA311" s="32">
        <v>102.9</v>
      </c>
      <c r="EB311" s="32">
        <v>103.3</v>
      </c>
      <c r="EC311" s="32">
        <v>103.6</v>
      </c>
      <c r="ED311" s="32">
        <v>103</v>
      </c>
      <c r="EE311" s="32">
        <v>104.7</v>
      </c>
      <c r="EF311" s="32">
        <v>99.5</v>
      </c>
      <c r="EG311" s="32">
        <v>98.8</v>
      </c>
      <c r="EH311" s="32">
        <v>97.5</v>
      </c>
      <c r="EI311" s="32">
        <v>100.2</v>
      </c>
      <c r="EJ311" s="32">
        <v>102.3</v>
      </c>
      <c r="EK311" s="32">
        <v>97.9</v>
      </c>
      <c r="EL311" s="32">
        <v>100</v>
      </c>
      <c r="EM311" s="32">
        <v>98.8</v>
      </c>
      <c r="EN311" s="32">
        <v>97.1</v>
      </c>
      <c r="EO311" s="32">
        <v>99</v>
      </c>
      <c r="EP311" s="32">
        <v>99.8</v>
      </c>
      <c r="EQ311" s="32">
        <v>99.8</v>
      </c>
      <c r="ER311" s="32">
        <v>100.6</v>
      </c>
      <c r="ES311" s="32">
        <v>100.6</v>
      </c>
      <c r="ET311" s="32">
        <v>97.2</v>
      </c>
      <c r="EU311" s="32">
        <v>95.6</v>
      </c>
      <c r="EV311" s="32">
        <v>95.6</v>
      </c>
      <c r="EW311" s="32">
        <v>100.6</v>
      </c>
      <c r="EX311" s="32">
        <v>99.9</v>
      </c>
      <c r="EY311" s="32">
        <v>101.2</v>
      </c>
      <c r="EZ311" s="32">
        <v>99.5</v>
      </c>
      <c r="FA311" s="32">
        <v>99.4</v>
      </c>
      <c r="FB311" s="32">
        <v>97.3</v>
      </c>
      <c r="FC311" s="32">
        <v>93.1</v>
      </c>
      <c r="FD311" s="32">
        <v>102.8</v>
      </c>
      <c r="FE311" s="32">
        <v>101.7</v>
      </c>
      <c r="FF311" s="32">
        <v>101.8</v>
      </c>
      <c r="FG311" s="32">
        <v>99.2</v>
      </c>
      <c r="FH311" s="32">
        <v>98.5</v>
      </c>
      <c r="FI311" s="32">
        <v>92.4</v>
      </c>
      <c r="FJ311" s="32">
        <v>100.4</v>
      </c>
      <c r="FK311" s="32">
        <v>105.5</v>
      </c>
      <c r="FL311" s="32">
        <v>105.5</v>
      </c>
    </row>
    <row r="312" spans="1:168" x14ac:dyDescent="0.2">
      <c r="A312" s="34" t="s">
        <v>1292</v>
      </c>
      <c r="B312" s="32">
        <v>100.1</v>
      </c>
      <c r="C312" s="32">
        <v>100.4</v>
      </c>
      <c r="D312" s="32">
        <v>99.8</v>
      </c>
      <c r="E312" s="32">
        <v>99.4</v>
      </c>
      <c r="F312" s="32">
        <v>106.5</v>
      </c>
      <c r="G312" s="32">
        <v>106.2</v>
      </c>
      <c r="H312" s="32">
        <v>108</v>
      </c>
      <c r="I312" s="32">
        <v>98.3</v>
      </c>
      <c r="J312" s="32">
        <v>98.5</v>
      </c>
      <c r="K312" s="32">
        <v>99.9</v>
      </c>
      <c r="L312" s="32">
        <v>99.3</v>
      </c>
      <c r="M312" s="32">
        <v>101</v>
      </c>
      <c r="N312" s="32">
        <v>101.3</v>
      </c>
      <c r="O312" s="32">
        <v>91.3</v>
      </c>
      <c r="P312" s="32">
        <v>91.9</v>
      </c>
      <c r="Q312" s="32">
        <v>96.7</v>
      </c>
      <c r="R312" s="32">
        <v>98.8</v>
      </c>
      <c r="S312" s="32">
        <v>99.9</v>
      </c>
      <c r="T312" s="32">
        <v>96.7</v>
      </c>
      <c r="U312" s="32">
        <v>99.2</v>
      </c>
      <c r="V312" s="32">
        <v>102.5</v>
      </c>
      <c r="W312" s="32">
        <v>100.6</v>
      </c>
      <c r="X312" s="32">
        <v>101.3</v>
      </c>
      <c r="Y312" s="32">
        <v>100.3</v>
      </c>
      <c r="Z312" s="32">
        <v>92.5</v>
      </c>
      <c r="AA312" s="32">
        <v>99.4</v>
      </c>
      <c r="AB312" s="32">
        <v>99.9</v>
      </c>
      <c r="AC312" s="32">
        <v>95.6</v>
      </c>
      <c r="AD312" s="32">
        <v>102.1</v>
      </c>
      <c r="AE312" s="32">
        <v>92.4</v>
      </c>
      <c r="AF312" s="32">
        <v>92.4</v>
      </c>
      <c r="AG312" s="32">
        <v>95.8</v>
      </c>
      <c r="AH312" s="32">
        <v>95.8</v>
      </c>
      <c r="AI312" s="32">
        <v>95.7</v>
      </c>
      <c r="AJ312" s="32">
        <v>95.1</v>
      </c>
      <c r="AK312" s="32">
        <v>98.1</v>
      </c>
      <c r="AL312" s="32">
        <v>97.1</v>
      </c>
      <c r="AM312" s="32">
        <v>97.2</v>
      </c>
      <c r="AN312" s="32">
        <v>91</v>
      </c>
      <c r="AO312" s="32">
        <v>93.5</v>
      </c>
      <c r="AP312" s="32">
        <v>93.5</v>
      </c>
      <c r="AQ312" s="32">
        <v>99.9</v>
      </c>
      <c r="AR312" s="32">
        <v>100.8</v>
      </c>
      <c r="AS312" s="32">
        <v>98.7</v>
      </c>
      <c r="AT312" s="32">
        <v>94.2</v>
      </c>
      <c r="AU312" s="32">
        <v>102.8</v>
      </c>
      <c r="AV312" s="32">
        <v>98.9</v>
      </c>
      <c r="AW312" s="32">
        <v>104.4</v>
      </c>
      <c r="AX312" s="32">
        <v>108.5</v>
      </c>
      <c r="AY312" s="32">
        <v>102</v>
      </c>
      <c r="AZ312" s="32">
        <v>97.7</v>
      </c>
      <c r="BA312" s="32">
        <v>99.8</v>
      </c>
      <c r="BB312" s="32">
        <v>99.8</v>
      </c>
      <c r="BC312" s="32">
        <v>96.9</v>
      </c>
      <c r="BD312" s="32">
        <v>96.9</v>
      </c>
      <c r="BE312" s="32">
        <v>99.6</v>
      </c>
      <c r="BF312" s="32">
        <v>99.6</v>
      </c>
      <c r="BG312" s="32">
        <v>97.6</v>
      </c>
      <c r="BH312" s="32">
        <v>96.4</v>
      </c>
      <c r="BI312" s="32">
        <v>99.3</v>
      </c>
      <c r="BJ312" s="32">
        <v>100.2</v>
      </c>
      <c r="BK312" s="32">
        <v>99.5</v>
      </c>
      <c r="BL312" s="32">
        <v>94.6</v>
      </c>
      <c r="BM312" s="32">
        <v>99.7</v>
      </c>
      <c r="BN312" s="32">
        <v>102.1</v>
      </c>
      <c r="BO312" s="32">
        <v>103.9</v>
      </c>
      <c r="BP312" s="32">
        <v>100.7</v>
      </c>
      <c r="BQ312" s="32">
        <v>97.3</v>
      </c>
      <c r="BR312" s="32">
        <v>104.9</v>
      </c>
      <c r="BS312" s="32">
        <v>94.9</v>
      </c>
      <c r="BT312" s="32">
        <v>97.2</v>
      </c>
      <c r="BU312" s="32">
        <v>100.8</v>
      </c>
      <c r="BV312" s="32">
        <v>100.8</v>
      </c>
      <c r="BW312" s="32">
        <v>100.3</v>
      </c>
      <c r="BX312" s="32">
        <v>102.8</v>
      </c>
      <c r="BY312" s="32">
        <v>99.3</v>
      </c>
      <c r="BZ312" s="32">
        <v>100.1</v>
      </c>
      <c r="CA312" s="32">
        <v>98.9</v>
      </c>
      <c r="CB312" s="32">
        <v>98.9</v>
      </c>
      <c r="CC312" s="32">
        <v>98.7</v>
      </c>
      <c r="CD312" s="32">
        <v>100.5</v>
      </c>
      <c r="CE312" s="32">
        <v>100.6</v>
      </c>
      <c r="CF312" s="32">
        <v>100.2</v>
      </c>
      <c r="CG312" s="32">
        <v>100.6</v>
      </c>
      <c r="CH312" s="32">
        <v>99.4</v>
      </c>
      <c r="CI312" s="32">
        <v>101.3</v>
      </c>
      <c r="CJ312" s="32">
        <v>97.6</v>
      </c>
      <c r="CK312" s="32">
        <v>100.3</v>
      </c>
      <c r="CL312" s="32">
        <v>104.1</v>
      </c>
      <c r="CM312" s="32">
        <v>102.2</v>
      </c>
      <c r="CN312" s="32">
        <v>115.6</v>
      </c>
      <c r="CO312" s="32">
        <v>100.2</v>
      </c>
      <c r="CP312" s="32">
        <v>106.2</v>
      </c>
      <c r="CQ312" s="32">
        <v>104.2</v>
      </c>
      <c r="CR312" s="32">
        <v>101</v>
      </c>
      <c r="CS312" s="32">
        <v>111.6</v>
      </c>
      <c r="CT312" s="32">
        <v>100</v>
      </c>
      <c r="CU312" s="32">
        <v>101.9</v>
      </c>
      <c r="CV312" s="32">
        <v>99.2</v>
      </c>
      <c r="CW312" s="32">
        <v>99.5</v>
      </c>
      <c r="CX312" s="32">
        <v>104.1</v>
      </c>
      <c r="CY312" s="32">
        <v>100.9</v>
      </c>
      <c r="CZ312" s="32">
        <v>105.9</v>
      </c>
      <c r="DA312" s="32">
        <v>107.2</v>
      </c>
      <c r="DB312" s="32">
        <v>103.5</v>
      </c>
      <c r="DC312" s="32">
        <v>97.4</v>
      </c>
      <c r="DD312" s="32">
        <v>97.4</v>
      </c>
      <c r="DE312" s="32">
        <v>98.3</v>
      </c>
      <c r="DF312" s="32">
        <v>97.9</v>
      </c>
      <c r="DG312" s="32">
        <v>100.5</v>
      </c>
      <c r="DH312" s="32">
        <v>100.8</v>
      </c>
      <c r="DI312" s="32">
        <v>101.3</v>
      </c>
      <c r="DJ312" s="32">
        <v>99.8</v>
      </c>
      <c r="DK312" s="32">
        <v>99.8</v>
      </c>
      <c r="DL312" s="32">
        <v>100.4</v>
      </c>
      <c r="DM312" s="32">
        <v>100.2</v>
      </c>
      <c r="DN312" s="32">
        <v>100.6</v>
      </c>
      <c r="DO312" s="32">
        <v>100</v>
      </c>
      <c r="DP312" s="32">
        <v>103.6</v>
      </c>
      <c r="DQ312" s="32">
        <v>99.8</v>
      </c>
      <c r="DR312" s="32">
        <v>99.8</v>
      </c>
      <c r="DS312" s="32">
        <v>100.4</v>
      </c>
      <c r="DT312" s="32">
        <v>101.1</v>
      </c>
      <c r="DU312" s="32">
        <v>101.8</v>
      </c>
      <c r="DV312" s="32">
        <v>101.1</v>
      </c>
      <c r="DW312" s="32">
        <v>102.7</v>
      </c>
      <c r="DX312" s="32">
        <v>99.7</v>
      </c>
      <c r="DY312" s="32">
        <v>97.5</v>
      </c>
      <c r="DZ312" s="32">
        <v>91.8</v>
      </c>
      <c r="EA312" s="32">
        <v>91.8</v>
      </c>
      <c r="EB312" s="32">
        <v>102</v>
      </c>
      <c r="EC312" s="32">
        <v>102.3</v>
      </c>
      <c r="ED312" s="32">
        <v>101.6</v>
      </c>
      <c r="EE312" s="32">
        <v>103</v>
      </c>
      <c r="EF312" s="32">
        <v>98.7</v>
      </c>
      <c r="EG312" s="32">
        <v>99.7</v>
      </c>
      <c r="EH312" s="32">
        <v>96</v>
      </c>
      <c r="EI312" s="32">
        <v>101.3</v>
      </c>
      <c r="EJ312" s="32">
        <v>102.2</v>
      </c>
      <c r="EK312" s="32">
        <v>100</v>
      </c>
      <c r="EL312" s="32">
        <v>99.3</v>
      </c>
      <c r="EM312" s="32">
        <v>101.5</v>
      </c>
      <c r="EN312" s="32">
        <v>99.3</v>
      </c>
      <c r="EO312" s="32">
        <v>99.8</v>
      </c>
      <c r="EP312" s="32">
        <v>100.8</v>
      </c>
      <c r="EQ312" s="32">
        <v>100.8</v>
      </c>
      <c r="ER312" s="32">
        <v>101.2</v>
      </c>
      <c r="ES312" s="32">
        <v>101.2</v>
      </c>
      <c r="ET312" s="32">
        <v>98.2</v>
      </c>
      <c r="EU312" s="32">
        <v>97.1</v>
      </c>
      <c r="EV312" s="32">
        <v>97.1</v>
      </c>
      <c r="EW312" s="32">
        <v>100.8</v>
      </c>
      <c r="EX312" s="32">
        <v>100</v>
      </c>
      <c r="EY312" s="32">
        <v>101.4</v>
      </c>
      <c r="EZ312" s="32">
        <v>101.3</v>
      </c>
      <c r="FA312" s="32">
        <v>102.6</v>
      </c>
      <c r="FB312" s="32">
        <v>98</v>
      </c>
      <c r="FC312" s="32">
        <v>96.4</v>
      </c>
      <c r="FD312" s="32">
        <v>98.9</v>
      </c>
      <c r="FE312" s="32">
        <v>100.1</v>
      </c>
      <c r="FF312" s="32">
        <v>108</v>
      </c>
      <c r="FG312" s="32">
        <v>100.5</v>
      </c>
      <c r="FH312" s="32">
        <v>98.5</v>
      </c>
      <c r="FI312" s="32">
        <v>99.1</v>
      </c>
      <c r="FJ312" s="32">
        <v>101.5</v>
      </c>
      <c r="FK312" s="32">
        <v>96.6</v>
      </c>
      <c r="FL312" s="32">
        <v>96.6</v>
      </c>
    </row>
    <row r="313" spans="1:168" x14ac:dyDescent="0.2">
      <c r="A313" s="34" t="s">
        <v>1293</v>
      </c>
      <c r="B313" s="32">
        <v>100.2</v>
      </c>
      <c r="C313" s="32">
        <v>100.4</v>
      </c>
      <c r="D313" s="32">
        <v>99.4</v>
      </c>
      <c r="E313" s="32">
        <v>98.7</v>
      </c>
      <c r="F313" s="32">
        <v>95.7</v>
      </c>
      <c r="G313" s="32">
        <v>110.5</v>
      </c>
      <c r="H313" s="32">
        <v>95.3</v>
      </c>
      <c r="I313" s="32">
        <v>98.3</v>
      </c>
      <c r="J313" s="32">
        <v>98.7</v>
      </c>
      <c r="K313" s="32">
        <v>99.1</v>
      </c>
      <c r="L313" s="32">
        <v>97.9</v>
      </c>
      <c r="M313" s="32">
        <v>100.7</v>
      </c>
      <c r="N313" s="32">
        <v>98.9</v>
      </c>
      <c r="O313" s="32">
        <v>90.8</v>
      </c>
      <c r="P313" s="32">
        <v>91.4</v>
      </c>
      <c r="Q313" s="32">
        <v>94.9</v>
      </c>
      <c r="R313" s="32">
        <v>99.1</v>
      </c>
      <c r="S313" s="32">
        <v>97.1</v>
      </c>
      <c r="T313" s="32">
        <v>94.6</v>
      </c>
      <c r="U313" s="32">
        <v>97.2</v>
      </c>
      <c r="V313" s="32">
        <v>103.8</v>
      </c>
      <c r="W313" s="32">
        <v>100.1</v>
      </c>
      <c r="X313" s="32">
        <v>102.4</v>
      </c>
      <c r="Y313" s="32">
        <v>95.7</v>
      </c>
      <c r="Z313" s="32">
        <v>94.3</v>
      </c>
      <c r="AA313" s="32">
        <v>95.6</v>
      </c>
      <c r="AB313" s="32">
        <v>98</v>
      </c>
      <c r="AC313" s="32">
        <v>93.6</v>
      </c>
      <c r="AD313" s="32">
        <v>95.3</v>
      </c>
      <c r="AE313" s="32">
        <v>93.7</v>
      </c>
      <c r="AF313" s="32">
        <v>93.7</v>
      </c>
      <c r="AG313" s="32">
        <v>97.5</v>
      </c>
      <c r="AH313" s="32">
        <v>97.5</v>
      </c>
      <c r="AI313" s="32">
        <v>97.7</v>
      </c>
      <c r="AJ313" s="32">
        <v>100.2</v>
      </c>
      <c r="AK313" s="32">
        <v>96.5</v>
      </c>
      <c r="AL313" s="32">
        <v>94.2</v>
      </c>
      <c r="AM313" s="32">
        <v>98.3</v>
      </c>
      <c r="AN313" s="32">
        <v>94.8</v>
      </c>
      <c r="AO313" s="32">
        <v>91.9</v>
      </c>
      <c r="AP313" s="32">
        <v>91.9</v>
      </c>
      <c r="AQ313" s="32">
        <v>99.3</v>
      </c>
      <c r="AR313" s="32">
        <v>98.6</v>
      </c>
      <c r="AS313" s="32">
        <v>100.3</v>
      </c>
      <c r="AT313" s="32">
        <v>99.9</v>
      </c>
      <c r="AU313" s="32">
        <v>100.6</v>
      </c>
      <c r="AV313" s="32">
        <v>98.7</v>
      </c>
      <c r="AW313" s="32">
        <v>100.2</v>
      </c>
      <c r="AX313" s="32">
        <v>91.5</v>
      </c>
      <c r="AY313" s="32">
        <v>106</v>
      </c>
      <c r="AZ313" s="32">
        <v>98.5</v>
      </c>
      <c r="BA313" s="32">
        <v>104</v>
      </c>
      <c r="BB313" s="32">
        <v>104</v>
      </c>
      <c r="BC313" s="32">
        <v>98.5</v>
      </c>
      <c r="BD313" s="32">
        <v>98.5</v>
      </c>
      <c r="BE313" s="32">
        <v>99.3</v>
      </c>
      <c r="BF313" s="32">
        <v>99.3</v>
      </c>
      <c r="BG313" s="32">
        <v>99.4</v>
      </c>
      <c r="BH313" s="32">
        <v>98.9</v>
      </c>
      <c r="BI313" s="32">
        <v>100.1</v>
      </c>
      <c r="BJ313" s="32">
        <v>100.5</v>
      </c>
      <c r="BK313" s="32">
        <v>100.5</v>
      </c>
      <c r="BL313" s="32">
        <v>94.5</v>
      </c>
      <c r="BM313" s="32">
        <v>101.3</v>
      </c>
      <c r="BN313" s="32">
        <v>102.4</v>
      </c>
      <c r="BO313" s="32">
        <v>103.2</v>
      </c>
      <c r="BP313" s="32">
        <v>101.8</v>
      </c>
      <c r="BQ313" s="32">
        <v>100.2</v>
      </c>
      <c r="BR313" s="32">
        <v>99.3</v>
      </c>
      <c r="BS313" s="32">
        <v>110.4</v>
      </c>
      <c r="BT313" s="32">
        <v>97.1</v>
      </c>
      <c r="BU313" s="32">
        <v>100</v>
      </c>
      <c r="BV313" s="32">
        <v>100</v>
      </c>
      <c r="BW313" s="32">
        <v>99.3</v>
      </c>
      <c r="BX313" s="32">
        <v>103.3</v>
      </c>
      <c r="BY313" s="32">
        <v>99.6</v>
      </c>
      <c r="BZ313" s="32">
        <v>99.9</v>
      </c>
      <c r="CA313" s="32">
        <v>99.4</v>
      </c>
      <c r="CB313" s="32">
        <v>98.8</v>
      </c>
      <c r="CC313" s="32">
        <v>99.7</v>
      </c>
      <c r="CD313" s="32">
        <v>103</v>
      </c>
      <c r="CE313" s="32">
        <v>100.8</v>
      </c>
      <c r="CF313" s="32">
        <v>100.3</v>
      </c>
      <c r="CG313" s="32">
        <v>99.8</v>
      </c>
      <c r="CH313" s="32">
        <v>99.7</v>
      </c>
      <c r="CI313" s="32">
        <v>101.5</v>
      </c>
      <c r="CJ313" s="32">
        <v>100</v>
      </c>
      <c r="CK313" s="32">
        <v>99</v>
      </c>
      <c r="CL313" s="32">
        <v>101.5</v>
      </c>
      <c r="CM313" s="32">
        <v>99.2</v>
      </c>
      <c r="CN313" s="32">
        <v>99.7</v>
      </c>
      <c r="CO313" s="32">
        <v>98.9</v>
      </c>
      <c r="CP313" s="32">
        <v>111.3</v>
      </c>
      <c r="CQ313" s="32">
        <v>100.5</v>
      </c>
      <c r="CR313" s="32">
        <v>101.8</v>
      </c>
      <c r="CS313" s="32">
        <v>103.3</v>
      </c>
      <c r="CT313" s="32">
        <v>97.8</v>
      </c>
      <c r="CU313" s="32">
        <v>97.2</v>
      </c>
      <c r="CV313" s="32">
        <v>98.1</v>
      </c>
      <c r="CW313" s="32">
        <v>100</v>
      </c>
      <c r="CX313" s="32">
        <v>102.3</v>
      </c>
      <c r="CY313" s="32">
        <v>100.7</v>
      </c>
      <c r="CZ313" s="32">
        <v>103.3</v>
      </c>
      <c r="DA313" s="32">
        <v>104.7</v>
      </c>
      <c r="DB313" s="32">
        <v>100.7</v>
      </c>
      <c r="DC313" s="32">
        <v>100.8</v>
      </c>
      <c r="DD313" s="32">
        <v>100.8</v>
      </c>
      <c r="DE313" s="32">
        <v>98.5</v>
      </c>
      <c r="DF313" s="32">
        <v>98.2</v>
      </c>
      <c r="DG313" s="32">
        <v>100.1</v>
      </c>
      <c r="DH313" s="32">
        <v>99.9</v>
      </c>
      <c r="DI313" s="32">
        <v>100.3</v>
      </c>
      <c r="DJ313" s="32">
        <v>99.1</v>
      </c>
      <c r="DK313" s="32">
        <v>99.1</v>
      </c>
      <c r="DL313" s="32">
        <v>99.8</v>
      </c>
      <c r="DM313" s="32">
        <v>100.3</v>
      </c>
      <c r="DN313" s="32">
        <v>100.8</v>
      </c>
      <c r="DO313" s="32">
        <v>100</v>
      </c>
      <c r="DP313" s="32">
        <v>104.4</v>
      </c>
      <c r="DQ313" s="32">
        <v>101.6</v>
      </c>
      <c r="DR313" s="32">
        <v>102.2</v>
      </c>
      <c r="DS313" s="32">
        <v>101.4</v>
      </c>
      <c r="DT313" s="32">
        <v>101.9</v>
      </c>
      <c r="DU313" s="32">
        <v>103</v>
      </c>
      <c r="DV313" s="32">
        <v>106.1</v>
      </c>
      <c r="DW313" s="32">
        <v>99.5</v>
      </c>
      <c r="DX313" s="32">
        <v>99.8</v>
      </c>
      <c r="DY313" s="32">
        <v>99.6</v>
      </c>
      <c r="DZ313" s="32">
        <v>104</v>
      </c>
      <c r="EA313" s="32">
        <v>104</v>
      </c>
      <c r="EB313" s="32">
        <v>103.5</v>
      </c>
      <c r="EC313" s="32">
        <v>102.7</v>
      </c>
      <c r="ED313" s="32">
        <v>104.6</v>
      </c>
      <c r="EE313" s="32">
        <v>106.1</v>
      </c>
      <c r="EF313" s="32">
        <v>101.3</v>
      </c>
      <c r="EG313" s="32">
        <v>100.8</v>
      </c>
      <c r="EH313" s="32">
        <v>98.5</v>
      </c>
      <c r="EI313" s="32">
        <v>99.8</v>
      </c>
      <c r="EJ313" s="32">
        <v>106.6</v>
      </c>
      <c r="EK313" s="32">
        <v>101.3</v>
      </c>
      <c r="EL313" s="32">
        <v>101</v>
      </c>
      <c r="EM313" s="32">
        <v>102.2</v>
      </c>
      <c r="EN313" s="32">
        <v>100.9</v>
      </c>
      <c r="EO313" s="32">
        <v>100.3</v>
      </c>
      <c r="EP313" s="32">
        <v>101.4</v>
      </c>
      <c r="EQ313" s="32">
        <v>101.4</v>
      </c>
      <c r="ER313" s="32">
        <v>100.8</v>
      </c>
      <c r="ES313" s="32">
        <v>100.8</v>
      </c>
      <c r="ET313" s="32">
        <v>99.2</v>
      </c>
      <c r="EU313" s="32">
        <v>98.4</v>
      </c>
      <c r="EV313" s="32">
        <v>98.4</v>
      </c>
      <c r="EW313" s="32">
        <v>101</v>
      </c>
      <c r="EX313" s="32">
        <v>100.3</v>
      </c>
      <c r="EY313" s="32">
        <v>101.6</v>
      </c>
      <c r="EZ313" s="32">
        <v>99.3</v>
      </c>
      <c r="FA313" s="32">
        <v>99.6</v>
      </c>
      <c r="FB313" s="32">
        <v>98.7</v>
      </c>
      <c r="FC313" s="32">
        <v>99.5</v>
      </c>
      <c r="FD313" s="32">
        <v>100.4</v>
      </c>
      <c r="FE313" s="32">
        <v>96.7</v>
      </c>
      <c r="FF313" s="32">
        <v>100.6</v>
      </c>
      <c r="FG313" s="32">
        <v>99.7</v>
      </c>
      <c r="FH313" s="32">
        <v>99.7</v>
      </c>
      <c r="FI313" s="32">
        <v>103.3</v>
      </c>
      <c r="FJ313" s="32">
        <v>99.2</v>
      </c>
      <c r="FK313" s="32">
        <v>91</v>
      </c>
      <c r="FL313" s="32">
        <v>91</v>
      </c>
    </row>
    <row r="314" spans="1:168" x14ac:dyDescent="0.2">
      <c r="A314" s="34" t="s">
        <v>1294</v>
      </c>
      <c r="B314" s="32">
        <v>99.6</v>
      </c>
      <c r="C314" s="32">
        <v>100.3</v>
      </c>
      <c r="D314" s="32">
        <v>99.2</v>
      </c>
      <c r="E314" s="32">
        <v>98.7</v>
      </c>
      <c r="F314" s="32">
        <v>98.1</v>
      </c>
      <c r="G314" s="32">
        <v>83.8</v>
      </c>
      <c r="H314" s="32">
        <v>98.5</v>
      </c>
      <c r="I314" s="32">
        <v>95.9</v>
      </c>
      <c r="J314" s="32">
        <v>98.4</v>
      </c>
      <c r="K314" s="32">
        <v>96.6</v>
      </c>
      <c r="L314" s="32">
        <v>96.4</v>
      </c>
      <c r="M314" s="32">
        <v>98.3</v>
      </c>
      <c r="N314" s="32">
        <v>92.9</v>
      </c>
      <c r="O314" s="32">
        <v>100.5</v>
      </c>
      <c r="P314" s="32">
        <v>86.5</v>
      </c>
      <c r="Q314" s="32">
        <v>95.1</v>
      </c>
      <c r="R314" s="32">
        <v>101</v>
      </c>
      <c r="S314" s="32">
        <v>96.4</v>
      </c>
      <c r="T314" s="32">
        <v>91.7</v>
      </c>
      <c r="U314" s="32">
        <v>91.9</v>
      </c>
      <c r="V314" s="32">
        <v>98.6</v>
      </c>
      <c r="W314" s="32">
        <v>100.2</v>
      </c>
      <c r="X314" s="32">
        <v>100.5</v>
      </c>
      <c r="Y314" s="32">
        <v>100.1</v>
      </c>
      <c r="Z314" s="32">
        <v>97</v>
      </c>
      <c r="AA314" s="32">
        <v>94.8</v>
      </c>
      <c r="AB314" s="32">
        <v>98.2</v>
      </c>
      <c r="AC314" s="32">
        <v>92.6</v>
      </c>
      <c r="AD314" s="32">
        <v>93.8</v>
      </c>
      <c r="AE314" s="32">
        <v>93.9</v>
      </c>
      <c r="AF314" s="32">
        <v>93.9</v>
      </c>
      <c r="AG314" s="32">
        <v>93.1</v>
      </c>
      <c r="AH314" s="32">
        <v>93.1</v>
      </c>
      <c r="AI314" s="32">
        <v>95.1</v>
      </c>
      <c r="AJ314" s="32">
        <v>90.7</v>
      </c>
      <c r="AK314" s="32">
        <v>93.4</v>
      </c>
      <c r="AL314" s="32">
        <v>95.8</v>
      </c>
      <c r="AM314" s="32">
        <v>95.2</v>
      </c>
      <c r="AN314" s="32">
        <v>86.8</v>
      </c>
      <c r="AO314" s="32">
        <v>107.2</v>
      </c>
      <c r="AP314" s="32">
        <v>107.2</v>
      </c>
      <c r="AQ314" s="32">
        <v>97.5</v>
      </c>
      <c r="AR314" s="32">
        <v>97.8</v>
      </c>
      <c r="AS314" s="32">
        <v>97.1</v>
      </c>
      <c r="AT314" s="32">
        <v>100.3</v>
      </c>
      <c r="AU314" s="32">
        <v>94.1</v>
      </c>
      <c r="AV314" s="32">
        <v>97.8</v>
      </c>
      <c r="AW314" s="32">
        <v>103.2</v>
      </c>
      <c r="AX314" s="32">
        <v>99.6</v>
      </c>
      <c r="AY314" s="32">
        <v>106.2</v>
      </c>
      <c r="AZ314" s="32">
        <v>96.6</v>
      </c>
      <c r="BA314" s="32">
        <v>99</v>
      </c>
      <c r="BB314" s="32">
        <v>99</v>
      </c>
      <c r="BC314" s="32">
        <v>97.4</v>
      </c>
      <c r="BD314" s="32">
        <v>97.4</v>
      </c>
      <c r="BE314" s="32">
        <v>99.1</v>
      </c>
      <c r="BF314" s="32">
        <v>99.1</v>
      </c>
      <c r="BG314" s="32">
        <v>98</v>
      </c>
      <c r="BH314" s="32">
        <v>96</v>
      </c>
      <c r="BI314" s="32">
        <v>100.6</v>
      </c>
      <c r="BJ314" s="32">
        <v>100.6</v>
      </c>
      <c r="BK314" s="32">
        <v>101.4</v>
      </c>
      <c r="BL314" s="32">
        <v>92.4</v>
      </c>
      <c r="BM314" s="32">
        <v>100.1</v>
      </c>
      <c r="BN314" s="32">
        <v>98.6</v>
      </c>
      <c r="BO314" s="32">
        <v>96.8</v>
      </c>
      <c r="BP314" s="32">
        <v>100.1</v>
      </c>
      <c r="BQ314" s="32">
        <v>101.6</v>
      </c>
      <c r="BR314" s="32">
        <v>97.4</v>
      </c>
      <c r="BS314" s="32">
        <v>106.6</v>
      </c>
      <c r="BT314" s="32">
        <v>100.5</v>
      </c>
      <c r="BU314" s="32">
        <v>102.6</v>
      </c>
      <c r="BV314" s="32">
        <v>102.6</v>
      </c>
      <c r="BW314" s="32">
        <v>102.4</v>
      </c>
      <c r="BX314" s="32">
        <v>103.4</v>
      </c>
      <c r="BY314" s="32">
        <v>98.5</v>
      </c>
      <c r="BZ314" s="32">
        <v>97.2</v>
      </c>
      <c r="CA314" s="32">
        <v>99.1</v>
      </c>
      <c r="CB314" s="32">
        <v>99.6</v>
      </c>
      <c r="CC314" s="32">
        <v>98.4</v>
      </c>
      <c r="CD314" s="32">
        <v>101.7</v>
      </c>
      <c r="CE314" s="32">
        <v>100.1</v>
      </c>
      <c r="CF314" s="32">
        <v>99.7</v>
      </c>
      <c r="CG314" s="32">
        <v>98.9</v>
      </c>
      <c r="CH314" s="32">
        <v>97.6</v>
      </c>
      <c r="CI314" s="32">
        <v>99.1</v>
      </c>
      <c r="CJ314" s="32">
        <v>96.9</v>
      </c>
      <c r="CK314" s="32">
        <v>97.8</v>
      </c>
      <c r="CL314" s="32">
        <v>103.4</v>
      </c>
      <c r="CM314" s="32">
        <v>100.2</v>
      </c>
      <c r="CN314" s="32">
        <v>110.2</v>
      </c>
      <c r="CO314" s="32">
        <v>98.5</v>
      </c>
      <c r="CP314" s="32">
        <v>114.4</v>
      </c>
      <c r="CQ314" s="32">
        <v>110.9</v>
      </c>
      <c r="CR314" s="32">
        <v>101.1</v>
      </c>
      <c r="CS314" s="32">
        <v>106</v>
      </c>
      <c r="CT314" s="32">
        <v>97</v>
      </c>
      <c r="CU314" s="32">
        <v>95.1</v>
      </c>
      <c r="CV314" s="32">
        <v>97.8</v>
      </c>
      <c r="CW314" s="32">
        <v>97.2</v>
      </c>
      <c r="CX314" s="32">
        <v>94.5</v>
      </c>
      <c r="CY314" s="32">
        <v>96.6</v>
      </c>
      <c r="CZ314" s="32">
        <v>93.4</v>
      </c>
      <c r="DA314" s="32">
        <v>92.2</v>
      </c>
      <c r="DB314" s="32">
        <v>95.5</v>
      </c>
      <c r="DC314" s="32">
        <v>101.6</v>
      </c>
      <c r="DD314" s="32">
        <v>101.6</v>
      </c>
      <c r="DE314" s="32">
        <v>96.3</v>
      </c>
      <c r="DF314" s="32">
        <v>94.9</v>
      </c>
      <c r="DG314" s="32">
        <v>104.9</v>
      </c>
      <c r="DH314" s="32">
        <v>98.2</v>
      </c>
      <c r="DI314" s="32">
        <v>98.2</v>
      </c>
      <c r="DJ314" s="32">
        <v>98.9</v>
      </c>
      <c r="DK314" s="32">
        <v>98.9</v>
      </c>
      <c r="DL314" s="32">
        <v>97.8</v>
      </c>
      <c r="DM314" s="32">
        <v>100.4</v>
      </c>
      <c r="DN314" s="32">
        <v>100.4</v>
      </c>
      <c r="DO314" s="32">
        <v>100</v>
      </c>
      <c r="DP314" s="32">
        <v>107.9</v>
      </c>
      <c r="DQ314" s="32">
        <v>100.6</v>
      </c>
      <c r="DR314" s="32">
        <v>101.1</v>
      </c>
      <c r="DS314" s="32">
        <v>100.8</v>
      </c>
      <c r="DT314" s="32">
        <v>100.6</v>
      </c>
      <c r="DU314" s="32">
        <v>100.3</v>
      </c>
      <c r="DV314" s="32">
        <v>101.5</v>
      </c>
      <c r="DW314" s="32">
        <v>99.1</v>
      </c>
      <c r="DX314" s="32">
        <v>101</v>
      </c>
      <c r="DY314" s="32">
        <v>101.5</v>
      </c>
      <c r="DZ314" s="32">
        <v>101.6</v>
      </c>
      <c r="EA314" s="32">
        <v>101.6</v>
      </c>
      <c r="EB314" s="32">
        <v>102</v>
      </c>
      <c r="EC314" s="32">
        <v>101.5</v>
      </c>
      <c r="ED314" s="32">
        <v>102.8</v>
      </c>
      <c r="EE314" s="32">
        <v>103.8</v>
      </c>
      <c r="EF314" s="32">
        <v>100.7</v>
      </c>
      <c r="EG314" s="32">
        <v>99.8</v>
      </c>
      <c r="EH314" s="32">
        <v>97.7</v>
      </c>
      <c r="EI314" s="32">
        <v>99.5</v>
      </c>
      <c r="EJ314" s="32">
        <v>92.7</v>
      </c>
      <c r="EK314" s="32">
        <v>102.6</v>
      </c>
      <c r="EL314" s="32">
        <v>100.8</v>
      </c>
      <c r="EM314" s="32">
        <v>98.4</v>
      </c>
      <c r="EN314" s="32">
        <v>105.1</v>
      </c>
      <c r="EO314" s="32">
        <v>100.7</v>
      </c>
      <c r="EP314" s="32">
        <v>101.6</v>
      </c>
      <c r="EQ314" s="32">
        <v>101.6</v>
      </c>
      <c r="ER314" s="32">
        <v>101</v>
      </c>
      <c r="ES314" s="32">
        <v>101</v>
      </c>
      <c r="ET314" s="32">
        <v>99.9</v>
      </c>
      <c r="EU314" s="32">
        <v>99.4</v>
      </c>
      <c r="EV314" s="32">
        <v>99.4</v>
      </c>
      <c r="EW314" s="32">
        <v>101.1</v>
      </c>
      <c r="EX314" s="32">
        <v>101</v>
      </c>
      <c r="EY314" s="32">
        <v>101.2</v>
      </c>
      <c r="EZ314" s="32">
        <v>99.5</v>
      </c>
      <c r="FA314" s="32">
        <v>97.8</v>
      </c>
      <c r="FB314" s="32">
        <v>101.9</v>
      </c>
      <c r="FC314" s="32">
        <v>104.7</v>
      </c>
      <c r="FD314" s="32">
        <v>100.6</v>
      </c>
      <c r="FE314" s="32">
        <v>97.8</v>
      </c>
      <c r="FF314" s="32">
        <v>93.1</v>
      </c>
      <c r="FG314" s="32">
        <v>101.5</v>
      </c>
      <c r="FH314" s="32">
        <v>101</v>
      </c>
      <c r="FI314" s="32">
        <v>93.5</v>
      </c>
      <c r="FJ314" s="32">
        <v>102.7</v>
      </c>
      <c r="FK314" s="32">
        <v>90.8</v>
      </c>
      <c r="FL314" s="32">
        <v>90.8</v>
      </c>
    </row>
    <row r="315" spans="1:168" x14ac:dyDescent="0.2">
      <c r="A315" s="34" t="s">
        <v>1295</v>
      </c>
      <c r="B315" s="32">
        <v>100.5</v>
      </c>
      <c r="C315" s="32">
        <v>100.7</v>
      </c>
      <c r="D315" s="32">
        <v>99.8</v>
      </c>
      <c r="E315" s="32">
        <v>98.6</v>
      </c>
      <c r="F315" s="32">
        <v>95.1</v>
      </c>
      <c r="G315" s="32">
        <v>107.9</v>
      </c>
      <c r="H315" s="32">
        <v>95.9</v>
      </c>
      <c r="I315" s="32">
        <v>91.1</v>
      </c>
      <c r="J315" s="32">
        <v>98.7</v>
      </c>
      <c r="K315" s="32">
        <v>97.6</v>
      </c>
      <c r="L315" s="32">
        <v>97.3</v>
      </c>
      <c r="M315" s="32">
        <v>101.4</v>
      </c>
      <c r="N315" s="32">
        <v>95.7</v>
      </c>
      <c r="O315" s="32">
        <v>57.1</v>
      </c>
      <c r="P315" s="32">
        <v>84</v>
      </c>
      <c r="Q315" s="32">
        <v>95.6</v>
      </c>
      <c r="R315" s="32">
        <v>100.2</v>
      </c>
      <c r="S315" s="32">
        <v>97</v>
      </c>
      <c r="T315" s="32">
        <v>91.1</v>
      </c>
      <c r="U315" s="32">
        <v>90.7</v>
      </c>
      <c r="V315" s="32">
        <v>100.3</v>
      </c>
      <c r="W315" s="32">
        <v>96.3</v>
      </c>
      <c r="X315" s="32">
        <v>99.8</v>
      </c>
      <c r="Y315" s="32">
        <v>89.2</v>
      </c>
      <c r="Z315" s="32">
        <v>99.9</v>
      </c>
      <c r="AA315" s="32">
        <v>95.1</v>
      </c>
      <c r="AB315" s="32">
        <v>99.6</v>
      </c>
      <c r="AC315" s="32">
        <v>92.7</v>
      </c>
      <c r="AD315" s="32">
        <v>93.4</v>
      </c>
      <c r="AE315" s="32">
        <v>95.8</v>
      </c>
      <c r="AF315" s="32">
        <v>95.8</v>
      </c>
      <c r="AG315" s="32">
        <v>92</v>
      </c>
      <c r="AH315" s="32">
        <v>92</v>
      </c>
      <c r="AI315" s="32">
        <v>89.4</v>
      </c>
      <c r="AJ315" s="32">
        <v>88.4</v>
      </c>
      <c r="AK315" s="32">
        <v>85.1</v>
      </c>
      <c r="AL315" s="32">
        <v>92.6</v>
      </c>
      <c r="AM315" s="32">
        <v>100.3</v>
      </c>
      <c r="AN315" s="32">
        <v>82.9</v>
      </c>
      <c r="AO315" s="32">
        <v>112.8</v>
      </c>
      <c r="AP315" s="32">
        <v>112.8</v>
      </c>
      <c r="AQ315" s="32">
        <v>97.8</v>
      </c>
      <c r="AR315" s="32">
        <v>97</v>
      </c>
      <c r="AS315" s="32">
        <v>98.8</v>
      </c>
      <c r="AT315" s="32">
        <v>102.6</v>
      </c>
      <c r="AU315" s="32">
        <v>95.2</v>
      </c>
      <c r="AV315" s="32">
        <v>96.4</v>
      </c>
      <c r="AW315" s="32">
        <v>103.1</v>
      </c>
      <c r="AX315" s="32">
        <v>99.1</v>
      </c>
      <c r="AY315" s="32">
        <v>105.9</v>
      </c>
      <c r="AZ315" s="32">
        <v>94.8</v>
      </c>
      <c r="BA315" s="32">
        <v>97.1</v>
      </c>
      <c r="BB315" s="32">
        <v>97.1</v>
      </c>
      <c r="BC315" s="32">
        <v>96.8</v>
      </c>
      <c r="BD315" s="32">
        <v>96.8</v>
      </c>
      <c r="BE315" s="32">
        <v>95.6</v>
      </c>
      <c r="BF315" s="32">
        <v>95.6</v>
      </c>
      <c r="BG315" s="32">
        <v>100.5</v>
      </c>
      <c r="BH315" s="32">
        <v>100.7</v>
      </c>
      <c r="BI315" s="32">
        <v>100.2</v>
      </c>
      <c r="BJ315" s="32">
        <v>99.8</v>
      </c>
      <c r="BK315" s="32">
        <v>101</v>
      </c>
      <c r="BL315" s="32">
        <v>92.2</v>
      </c>
      <c r="BM315" s="32">
        <v>100.1</v>
      </c>
      <c r="BN315" s="32">
        <v>98</v>
      </c>
      <c r="BO315" s="32">
        <v>94.8</v>
      </c>
      <c r="BP315" s="32">
        <v>100.6</v>
      </c>
      <c r="BQ315" s="32">
        <v>102</v>
      </c>
      <c r="BR315" s="32">
        <v>102.2</v>
      </c>
      <c r="BS315" s="32">
        <v>117.6</v>
      </c>
      <c r="BT315" s="32">
        <v>97.1</v>
      </c>
      <c r="BU315" s="32">
        <v>103</v>
      </c>
      <c r="BV315" s="32">
        <v>103</v>
      </c>
      <c r="BW315" s="32">
        <v>104.1</v>
      </c>
      <c r="BX315" s="32">
        <v>98.9</v>
      </c>
      <c r="BY315" s="32">
        <v>97.8</v>
      </c>
      <c r="BZ315" s="32">
        <v>95.2</v>
      </c>
      <c r="CA315" s="32">
        <v>99</v>
      </c>
      <c r="CB315" s="32">
        <v>97.7</v>
      </c>
      <c r="CC315" s="32">
        <v>99.9</v>
      </c>
      <c r="CD315" s="32">
        <v>102.1</v>
      </c>
      <c r="CE315" s="32">
        <v>102</v>
      </c>
      <c r="CF315" s="32">
        <v>100.7</v>
      </c>
      <c r="CG315" s="32">
        <v>101.5</v>
      </c>
      <c r="CH315" s="32">
        <v>101.1</v>
      </c>
      <c r="CI315" s="32">
        <v>105.6</v>
      </c>
      <c r="CJ315" s="32">
        <v>101.8</v>
      </c>
      <c r="CK315" s="32">
        <v>99.1</v>
      </c>
      <c r="CL315" s="32">
        <v>105.5</v>
      </c>
      <c r="CM315" s="32">
        <v>101</v>
      </c>
      <c r="CN315" s="32">
        <v>106.8</v>
      </c>
      <c r="CO315" s="32">
        <v>100</v>
      </c>
      <c r="CP315" s="32">
        <v>112.1</v>
      </c>
      <c r="CQ315" s="32">
        <v>132.30000000000001</v>
      </c>
      <c r="CR315" s="32">
        <v>99.9</v>
      </c>
      <c r="CS315" s="32">
        <v>104.1</v>
      </c>
      <c r="CT315" s="32">
        <v>97.4</v>
      </c>
      <c r="CU315" s="32">
        <v>95.9</v>
      </c>
      <c r="CV315" s="32">
        <v>98</v>
      </c>
      <c r="CW315" s="32">
        <v>98.1</v>
      </c>
      <c r="CX315" s="32">
        <v>99.3</v>
      </c>
      <c r="CY315" s="32">
        <v>99.2</v>
      </c>
      <c r="CZ315" s="32">
        <v>99.4</v>
      </c>
      <c r="DA315" s="32">
        <v>99.5</v>
      </c>
      <c r="DB315" s="32">
        <v>99.1</v>
      </c>
      <c r="DC315" s="32">
        <v>101.5</v>
      </c>
      <c r="DD315" s="32">
        <v>101.5</v>
      </c>
      <c r="DE315" s="32">
        <v>95.7</v>
      </c>
      <c r="DF315" s="32">
        <v>94.4</v>
      </c>
      <c r="DG315" s="32">
        <v>103.5</v>
      </c>
      <c r="DH315" s="32">
        <v>97.6</v>
      </c>
      <c r="DI315" s="32">
        <v>96.8</v>
      </c>
      <c r="DJ315" s="32">
        <v>99</v>
      </c>
      <c r="DK315" s="32">
        <v>99</v>
      </c>
      <c r="DL315" s="32">
        <v>98.1</v>
      </c>
      <c r="DM315" s="32">
        <v>100.5</v>
      </c>
      <c r="DN315" s="32">
        <v>100.5</v>
      </c>
      <c r="DO315" s="32">
        <v>100.2</v>
      </c>
      <c r="DP315" s="32">
        <v>109.6</v>
      </c>
      <c r="DQ315" s="32">
        <v>102.3</v>
      </c>
      <c r="DR315" s="32">
        <v>102.9</v>
      </c>
      <c r="DS315" s="32">
        <v>102.6</v>
      </c>
      <c r="DT315" s="32">
        <v>102.4</v>
      </c>
      <c r="DU315" s="32">
        <v>101.9</v>
      </c>
      <c r="DV315" s="32">
        <v>102.6</v>
      </c>
      <c r="DW315" s="32">
        <v>101.2</v>
      </c>
      <c r="DX315" s="32">
        <v>103.3</v>
      </c>
      <c r="DY315" s="32">
        <v>103.3</v>
      </c>
      <c r="DZ315" s="32">
        <v>102.5</v>
      </c>
      <c r="EA315" s="32">
        <v>102.5</v>
      </c>
      <c r="EB315" s="32">
        <v>103.9</v>
      </c>
      <c r="EC315" s="32">
        <v>104.2</v>
      </c>
      <c r="ED315" s="32">
        <v>103.6</v>
      </c>
      <c r="EE315" s="32">
        <v>105.2</v>
      </c>
      <c r="EF315" s="32">
        <v>100.2</v>
      </c>
      <c r="EG315" s="32">
        <v>101.3</v>
      </c>
      <c r="EH315" s="32">
        <v>100.4</v>
      </c>
      <c r="EI315" s="32">
        <v>97.8</v>
      </c>
      <c r="EJ315" s="32">
        <v>103.5</v>
      </c>
      <c r="EK315" s="32">
        <v>103.6</v>
      </c>
      <c r="EL315" s="32">
        <v>100.8</v>
      </c>
      <c r="EM315" s="32">
        <v>103.5</v>
      </c>
      <c r="EN315" s="32">
        <v>104.1</v>
      </c>
      <c r="EO315" s="32">
        <v>100.9</v>
      </c>
      <c r="EP315" s="32">
        <v>101.7</v>
      </c>
      <c r="EQ315" s="32">
        <v>101.7</v>
      </c>
      <c r="ER315" s="32">
        <v>101.4</v>
      </c>
      <c r="ES315" s="32">
        <v>101.4</v>
      </c>
      <c r="ET315" s="32">
        <v>100.1</v>
      </c>
      <c r="EU315" s="32">
        <v>99.4</v>
      </c>
      <c r="EV315" s="32">
        <v>99.4</v>
      </c>
      <c r="EW315" s="32">
        <v>101.8</v>
      </c>
      <c r="EX315" s="32">
        <v>102.4</v>
      </c>
      <c r="EY315" s="32">
        <v>101.4</v>
      </c>
      <c r="EZ315" s="32">
        <v>102.1</v>
      </c>
      <c r="FA315" s="32">
        <v>104.5</v>
      </c>
      <c r="FB315" s="32">
        <v>104.7</v>
      </c>
      <c r="FC315" s="32">
        <v>108.1</v>
      </c>
      <c r="FD315" s="32">
        <v>104.2</v>
      </c>
      <c r="FE315" s="32">
        <v>99.1</v>
      </c>
      <c r="FF315" s="32">
        <v>104.4</v>
      </c>
      <c r="FG315" s="32">
        <v>100.4</v>
      </c>
      <c r="FH315" s="32">
        <v>100.5</v>
      </c>
      <c r="FI315" s="32">
        <v>98.6</v>
      </c>
      <c r="FJ315" s="32">
        <v>100.6</v>
      </c>
      <c r="FK315" s="32">
        <v>93.6</v>
      </c>
      <c r="FL315" s="32">
        <v>93.6</v>
      </c>
    </row>
    <row r="316" spans="1:168" x14ac:dyDescent="0.2">
      <c r="A316" s="34" t="s">
        <v>1296</v>
      </c>
      <c r="B316" s="32">
        <v>100.5</v>
      </c>
      <c r="C316" s="32">
        <v>100.2</v>
      </c>
      <c r="D316" s="32">
        <v>100.3</v>
      </c>
      <c r="E316" s="32">
        <v>99.2</v>
      </c>
      <c r="F316" s="32">
        <v>98.5</v>
      </c>
      <c r="G316" s="32">
        <v>102.6</v>
      </c>
      <c r="H316" s="32">
        <v>100</v>
      </c>
      <c r="I316" s="32">
        <v>88.3</v>
      </c>
      <c r="J316" s="32">
        <v>98.8</v>
      </c>
      <c r="K316" s="32">
        <v>98.1</v>
      </c>
      <c r="L316" s="32">
        <v>98</v>
      </c>
      <c r="M316" s="32">
        <v>103</v>
      </c>
      <c r="N316" s="32">
        <v>96.2</v>
      </c>
      <c r="O316" s="32">
        <v>161.9</v>
      </c>
      <c r="P316" s="32">
        <v>83.9</v>
      </c>
      <c r="Q316" s="32">
        <v>95.2</v>
      </c>
      <c r="R316" s="32">
        <v>100.8</v>
      </c>
      <c r="S316" s="32">
        <v>97.7</v>
      </c>
      <c r="T316" s="32">
        <v>92.4</v>
      </c>
      <c r="U316" s="32">
        <v>91.3</v>
      </c>
      <c r="V316" s="32">
        <v>100.3</v>
      </c>
      <c r="W316" s="32">
        <v>99.3</v>
      </c>
      <c r="X316" s="32">
        <v>98.6</v>
      </c>
      <c r="Y316" s="32">
        <v>101</v>
      </c>
      <c r="Z316" s="32">
        <v>94.6</v>
      </c>
      <c r="AA316" s="32">
        <v>93.3</v>
      </c>
      <c r="AB316" s="32">
        <v>99.5</v>
      </c>
      <c r="AC316" s="32">
        <v>91.6</v>
      </c>
      <c r="AD316" s="32">
        <v>89.4</v>
      </c>
      <c r="AE316" s="32">
        <v>95.8</v>
      </c>
      <c r="AF316" s="32">
        <v>95.8</v>
      </c>
      <c r="AG316" s="32">
        <v>89.2</v>
      </c>
      <c r="AH316" s="32">
        <v>89.2</v>
      </c>
      <c r="AI316" s="32">
        <v>84.1</v>
      </c>
      <c r="AJ316" s="32">
        <v>83.4</v>
      </c>
      <c r="AK316" s="32">
        <v>83.1</v>
      </c>
      <c r="AL316" s="32">
        <v>90.9</v>
      </c>
      <c r="AM316" s="32">
        <v>95.2</v>
      </c>
      <c r="AN316" s="32">
        <v>89.5</v>
      </c>
      <c r="AO316" s="32">
        <v>107.9</v>
      </c>
      <c r="AP316" s="32">
        <v>107.9</v>
      </c>
      <c r="AQ316" s="32">
        <v>95.9</v>
      </c>
      <c r="AR316" s="32">
        <v>96.3</v>
      </c>
      <c r="AS316" s="32">
        <v>95.5</v>
      </c>
      <c r="AT316" s="32">
        <v>102.6</v>
      </c>
      <c r="AU316" s="32">
        <v>89.4</v>
      </c>
      <c r="AV316" s="32">
        <v>97.1</v>
      </c>
      <c r="AW316" s="32">
        <v>103.4</v>
      </c>
      <c r="AX316" s="32">
        <v>97.8</v>
      </c>
      <c r="AY316" s="32">
        <v>108</v>
      </c>
      <c r="AZ316" s="32">
        <v>95.5</v>
      </c>
      <c r="BA316" s="32">
        <v>99.6</v>
      </c>
      <c r="BB316" s="32">
        <v>99.6</v>
      </c>
      <c r="BC316" s="32">
        <v>96</v>
      </c>
      <c r="BD316" s="32">
        <v>96</v>
      </c>
      <c r="BE316" s="32">
        <v>98.7</v>
      </c>
      <c r="BF316" s="32">
        <v>98.7</v>
      </c>
      <c r="BG316" s="32">
        <v>101.9</v>
      </c>
      <c r="BH316" s="32">
        <v>102.1</v>
      </c>
      <c r="BI316" s="32">
        <v>101.6</v>
      </c>
      <c r="BJ316" s="32">
        <v>100.6</v>
      </c>
      <c r="BK316" s="32">
        <v>102.6</v>
      </c>
      <c r="BL316" s="32">
        <v>92.5</v>
      </c>
      <c r="BM316" s="32">
        <v>101.2</v>
      </c>
      <c r="BN316" s="32">
        <v>98.4</v>
      </c>
      <c r="BO316" s="32">
        <v>94.9</v>
      </c>
      <c r="BP316" s="32">
        <v>101.2</v>
      </c>
      <c r="BQ316" s="32">
        <v>104</v>
      </c>
      <c r="BR316" s="32">
        <v>102.3</v>
      </c>
      <c r="BS316" s="32">
        <v>121.6</v>
      </c>
      <c r="BT316" s="32">
        <v>98.7</v>
      </c>
      <c r="BU316" s="32">
        <v>102.5</v>
      </c>
      <c r="BV316" s="32">
        <v>102.5</v>
      </c>
      <c r="BW316" s="32">
        <v>103.2</v>
      </c>
      <c r="BX316" s="32">
        <v>99.9</v>
      </c>
      <c r="BY316" s="32">
        <v>99.2</v>
      </c>
      <c r="BZ316" s="32">
        <v>93.3</v>
      </c>
      <c r="CA316" s="32">
        <v>101.9</v>
      </c>
      <c r="CB316" s="32">
        <v>102.6</v>
      </c>
      <c r="CC316" s="32">
        <v>101.2</v>
      </c>
      <c r="CD316" s="32">
        <v>102.6</v>
      </c>
      <c r="CE316" s="32">
        <v>102.4</v>
      </c>
      <c r="CF316" s="32">
        <v>100.5</v>
      </c>
      <c r="CG316" s="32">
        <v>100</v>
      </c>
      <c r="CH316" s="32">
        <v>99.5</v>
      </c>
      <c r="CI316" s="32">
        <v>108.6</v>
      </c>
      <c r="CJ316" s="32">
        <v>98.2</v>
      </c>
      <c r="CK316" s="32">
        <v>97.9</v>
      </c>
      <c r="CL316" s="32">
        <v>102.4</v>
      </c>
      <c r="CM316" s="32">
        <v>100.9</v>
      </c>
      <c r="CN316" s="32">
        <v>101.7</v>
      </c>
      <c r="CO316" s="32">
        <v>100.5</v>
      </c>
      <c r="CP316" s="32">
        <v>100.4</v>
      </c>
      <c r="CQ316" s="32">
        <v>125.8</v>
      </c>
      <c r="CR316" s="32">
        <v>97</v>
      </c>
      <c r="CS316" s="32">
        <v>100.8</v>
      </c>
      <c r="CT316" s="32">
        <v>98.6</v>
      </c>
      <c r="CU316" s="32">
        <v>94.5</v>
      </c>
      <c r="CV316" s="32">
        <v>100.4</v>
      </c>
      <c r="CW316" s="32">
        <v>98.9</v>
      </c>
      <c r="CX316" s="32">
        <v>101.2</v>
      </c>
      <c r="CY316" s="32">
        <v>105.9</v>
      </c>
      <c r="CZ316" s="32">
        <v>98.5</v>
      </c>
      <c r="DA316" s="32">
        <v>99.9</v>
      </c>
      <c r="DB316" s="32">
        <v>95.9</v>
      </c>
      <c r="DC316" s="32">
        <v>104.2</v>
      </c>
      <c r="DD316" s="32">
        <v>104.2</v>
      </c>
      <c r="DE316" s="32">
        <v>95.2</v>
      </c>
      <c r="DF316" s="32">
        <v>94.4</v>
      </c>
      <c r="DG316" s="32">
        <v>99.4</v>
      </c>
      <c r="DH316" s="32">
        <v>97.8</v>
      </c>
      <c r="DI316" s="32">
        <v>97</v>
      </c>
      <c r="DJ316" s="32">
        <v>98.9</v>
      </c>
      <c r="DK316" s="32">
        <v>98.9</v>
      </c>
      <c r="DL316" s="32">
        <v>98.4</v>
      </c>
      <c r="DM316" s="32">
        <v>100.3</v>
      </c>
      <c r="DN316" s="32">
        <v>99.8</v>
      </c>
      <c r="DO316" s="32">
        <v>100.2</v>
      </c>
      <c r="DP316" s="32">
        <v>104.8</v>
      </c>
      <c r="DQ316" s="32">
        <v>102.8</v>
      </c>
      <c r="DR316" s="32">
        <v>102.3</v>
      </c>
      <c r="DS316" s="32">
        <v>101.9</v>
      </c>
      <c r="DT316" s="32">
        <v>101</v>
      </c>
      <c r="DU316" s="32">
        <v>100.2</v>
      </c>
      <c r="DV316" s="32">
        <v>101.7</v>
      </c>
      <c r="DW316" s="32">
        <v>98.6</v>
      </c>
      <c r="DX316" s="32">
        <v>102.7</v>
      </c>
      <c r="DY316" s="32">
        <v>105.1</v>
      </c>
      <c r="DZ316" s="32">
        <v>102.4</v>
      </c>
      <c r="EA316" s="32">
        <v>102.4</v>
      </c>
      <c r="EB316" s="32">
        <v>103.4</v>
      </c>
      <c r="EC316" s="32">
        <v>103</v>
      </c>
      <c r="ED316" s="32">
        <v>104</v>
      </c>
      <c r="EE316" s="32">
        <v>106.2</v>
      </c>
      <c r="EF316" s="32">
        <v>99.4</v>
      </c>
      <c r="EG316" s="32">
        <v>103.7</v>
      </c>
      <c r="EH316" s="32">
        <v>100.9</v>
      </c>
      <c r="EI316" s="32">
        <v>99.1</v>
      </c>
      <c r="EJ316" s="32">
        <v>106.8</v>
      </c>
      <c r="EK316" s="32">
        <v>107.5</v>
      </c>
      <c r="EL316" s="32">
        <v>103.3</v>
      </c>
      <c r="EM316" s="32">
        <v>105.2</v>
      </c>
      <c r="EN316" s="32">
        <v>109.2</v>
      </c>
      <c r="EO316" s="32">
        <v>101.2</v>
      </c>
      <c r="EP316" s="32">
        <v>101.3</v>
      </c>
      <c r="EQ316" s="32">
        <v>101.3</v>
      </c>
      <c r="ER316" s="32">
        <v>101.9</v>
      </c>
      <c r="ES316" s="32">
        <v>101.9</v>
      </c>
      <c r="ET316" s="32">
        <v>100.6</v>
      </c>
      <c r="EU316" s="32">
        <v>99.7</v>
      </c>
      <c r="EV316" s="32">
        <v>99.7</v>
      </c>
      <c r="EW316" s="32">
        <v>102.6</v>
      </c>
      <c r="EX316" s="32">
        <v>103.6</v>
      </c>
      <c r="EY316" s="32">
        <v>101.7</v>
      </c>
      <c r="EZ316" s="32">
        <v>100.9</v>
      </c>
      <c r="FA316" s="32">
        <v>101.1</v>
      </c>
      <c r="FB316" s="32">
        <v>102.4</v>
      </c>
      <c r="FC316" s="32">
        <v>102.6</v>
      </c>
      <c r="FD316" s="32">
        <v>105.7</v>
      </c>
      <c r="FE316" s="32">
        <v>100.3</v>
      </c>
      <c r="FF316" s="32">
        <v>99.8</v>
      </c>
      <c r="FG316" s="32">
        <v>101.2</v>
      </c>
      <c r="FH316" s="32">
        <v>101.7</v>
      </c>
      <c r="FI316" s="32">
        <v>99.2</v>
      </c>
      <c r="FJ316" s="32">
        <v>101.2</v>
      </c>
      <c r="FK316" s="32">
        <v>94.4</v>
      </c>
      <c r="FL316" s="32">
        <v>94.4</v>
      </c>
    </row>
    <row r="317" spans="1:168" x14ac:dyDescent="0.2">
      <c r="A317" s="34" t="s">
        <v>1297</v>
      </c>
      <c r="B317" s="32">
        <v>100.1</v>
      </c>
      <c r="C317" s="32">
        <v>99.8</v>
      </c>
      <c r="D317" s="32">
        <v>100.6</v>
      </c>
      <c r="E317" s="32">
        <v>98.8</v>
      </c>
      <c r="F317" s="32">
        <v>91.1</v>
      </c>
      <c r="G317" s="32">
        <v>116.8</v>
      </c>
      <c r="H317" s="32">
        <v>91.8</v>
      </c>
      <c r="I317" s="32">
        <v>86.2</v>
      </c>
      <c r="J317" s="32">
        <v>99.3</v>
      </c>
      <c r="K317" s="32">
        <v>96.9</v>
      </c>
      <c r="L317" s="32">
        <v>97.4</v>
      </c>
      <c r="M317" s="32">
        <v>101.4</v>
      </c>
      <c r="N317" s="32">
        <v>91.8</v>
      </c>
      <c r="O317" s="32">
        <v>157.30000000000001</v>
      </c>
      <c r="P317" s="32">
        <v>83.4</v>
      </c>
      <c r="Q317" s="32">
        <v>93.6</v>
      </c>
      <c r="R317" s="32">
        <v>100.2</v>
      </c>
      <c r="S317" s="32">
        <v>99.6</v>
      </c>
      <c r="T317" s="32">
        <v>92.2</v>
      </c>
      <c r="U317" s="32">
        <v>86.5</v>
      </c>
      <c r="V317" s="32">
        <v>97.4</v>
      </c>
      <c r="W317" s="32">
        <v>99.1</v>
      </c>
      <c r="X317" s="32">
        <v>98.3</v>
      </c>
      <c r="Y317" s="32">
        <v>100.6</v>
      </c>
      <c r="Z317" s="32">
        <v>97.6</v>
      </c>
      <c r="AA317" s="32">
        <v>91.8</v>
      </c>
      <c r="AB317" s="32">
        <v>95.2</v>
      </c>
      <c r="AC317" s="32">
        <v>90.9</v>
      </c>
      <c r="AD317" s="32">
        <v>89.7</v>
      </c>
      <c r="AE317" s="32">
        <v>93.4</v>
      </c>
      <c r="AF317" s="32">
        <v>93.4</v>
      </c>
      <c r="AG317" s="32">
        <v>87.8</v>
      </c>
      <c r="AH317" s="32">
        <v>87.8</v>
      </c>
      <c r="AI317" s="32">
        <v>80.3</v>
      </c>
      <c r="AJ317" s="32">
        <v>85.5</v>
      </c>
      <c r="AK317" s="32">
        <v>77.3</v>
      </c>
      <c r="AL317" s="32">
        <v>86.6</v>
      </c>
      <c r="AM317" s="32">
        <v>92.9</v>
      </c>
      <c r="AN317" s="32">
        <v>90.5</v>
      </c>
      <c r="AO317" s="32">
        <v>114.4</v>
      </c>
      <c r="AP317" s="32">
        <v>114.4</v>
      </c>
      <c r="AQ317" s="32">
        <v>96.9</v>
      </c>
      <c r="AR317" s="32">
        <v>96.9</v>
      </c>
      <c r="AS317" s="32">
        <v>96.9</v>
      </c>
      <c r="AT317" s="32">
        <v>100.8</v>
      </c>
      <c r="AU317" s="32">
        <v>93.4</v>
      </c>
      <c r="AV317" s="32">
        <v>95.9</v>
      </c>
      <c r="AW317" s="32">
        <v>102.4</v>
      </c>
      <c r="AX317" s="32">
        <v>95</v>
      </c>
      <c r="AY317" s="32">
        <v>109.1</v>
      </c>
      <c r="AZ317" s="32">
        <v>94.3</v>
      </c>
      <c r="BA317" s="32">
        <v>100.1</v>
      </c>
      <c r="BB317" s="32">
        <v>100.1</v>
      </c>
      <c r="BC317" s="32">
        <v>95.2</v>
      </c>
      <c r="BD317" s="32">
        <v>95.2</v>
      </c>
      <c r="BE317" s="32">
        <v>102.1</v>
      </c>
      <c r="BF317" s="32">
        <v>102.1</v>
      </c>
      <c r="BG317" s="32">
        <v>102.5</v>
      </c>
      <c r="BH317" s="32">
        <v>102.4</v>
      </c>
      <c r="BI317" s="32">
        <v>102.5</v>
      </c>
      <c r="BJ317" s="32">
        <v>101.7</v>
      </c>
      <c r="BK317" s="32">
        <v>103.5</v>
      </c>
      <c r="BL317" s="32">
        <v>91.6</v>
      </c>
      <c r="BM317" s="32">
        <v>102.3</v>
      </c>
      <c r="BN317" s="32">
        <v>97.6</v>
      </c>
      <c r="BO317" s="32">
        <v>92.3</v>
      </c>
      <c r="BP317" s="32">
        <v>102</v>
      </c>
      <c r="BQ317" s="32">
        <v>107.3</v>
      </c>
      <c r="BR317" s="32">
        <v>102.4</v>
      </c>
      <c r="BS317" s="32">
        <v>120.6</v>
      </c>
      <c r="BT317" s="32">
        <v>103.7</v>
      </c>
      <c r="BU317" s="32">
        <v>106.6</v>
      </c>
      <c r="BV317" s="32">
        <v>106.6</v>
      </c>
      <c r="BW317" s="32">
        <v>107.4</v>
      </c>
      <c r="BX317" s="32">
        <v>103.5</v>
      </c>
      <c r="BY317" s="32">
        <v>98.6</v>
      </c>
      <c r="BZ317" s="32">
        <v>94.1</v>
      </c>
      <c r="CA317" s="32">
        <v>100.8</v>
      </c>
      <c r="CB317" s="32">
        <v>101.2</v>
      </c>
      <c r="CC317" s="32">
        <v>100.3</v>
      </c>
      <c r="CD317" s="32">
        <v>101.4</v>
      </c>
      <c r="CE317" s="32">
        <v>104.2</v>
      </c>
      <c r="CF317" s="32">
        <v>99.9</v>
      </c>
      <c r="CG317" s="32">
        <v>99.2</v>
      </c>
      <c r="CH317" s="32">
        <v>99.9</v>
      </c>
      <c r="CI317" s="32">
        <v>113.4</v>
      </c>
      <c r="CJ317" s="32">
        <v>98.3</v>
      </c>
      <c r="CK317" s="32">
        <v>97.4</v>
      </c>
      <c r="CL317" s="32">
        <v>98.8</v>
      </c>
      <c r="CM317" s="32">
        <v>97.7</v>
      </c>
      <c r="CN317" s="32">
        <v>92.7</v>
      </c>
      <c r="CO317" s="32">
        <v>98.2</v>
      </c>
      <c r="CP317" s="32">
        <v>90.8</v>
      </c>
      <c r="CQ317" s="32">
        <v>137.9</v>
      </c>
      <c r="CR317" s="32">
        <v>96.8</v>
      </c>
      <c r="CS317" s="32">
        <v>89.5</v>
      </c>
      <c r="CT317" s="32">
        <v>97.1</v>
      </c>
      <c r="CU317" s="32">
        <v>93.9</v>
      </c>
      <c r="CV317" s="32">
        <v>98.5</v>
      </c>
      <c r="CW317" s="32">
        <v>98.5</v>
      </c>
      <c r="CX317" s="32">
        <v>98.6</v>
      </c>
      <c r="CY317" s="32">
        <v>102.9</v>
      </c>
      <c r="CZ317" s="32">
        <v>96.1</v>
      </c>
      <c r="DA317" s="32">
        <v>101</v>
      </c>
      <c r="DB317" s="32">
        <v>87</v>
      </c>
      <c r="DC317" s="32">
        <v>105.8</v>
      </c>
      <c r="DD317" s="32">
        <v>105.8</v>
      </c>
      <c r="DE317" s="32">
        <v>94.9</v>
      </c>
      <c r="DF317" s="32">
        <v>94.4</v>
      </c>
      <c r="DG317" s="32">
        <v>98.2</v>
      </c>
      <c r="DH317" s="32">
        <v>99.1</v>
      </c>
      <c r="DI317" s="32">
        <v>99.9</v>
      </c>
      <c r="DJ317" s="32">
        <v>99</v>
      </c>
      <c r="DK317" s="32">
        <v>99</v>
      </c>
      <c r="DL317" s="32">
        <v>97.8</v>
      </c>
      <c r="DM317" s="32">
        <v>100.2</v>
      </c>
      <c r="DN317" s="32">
        <v>99.2</v>
      </c>
      <c r="DO317" s="32">
        <v>100.3</v>
      </c>
      <c r="DP317" s="32">
        <v>104.4</v>
      </c>
      <c r="DQ317" s="32">
        <v>102.9</v>
      </c>
      <c r="DR317" s="32">
        <v>102.6</v>
      </c>
      <c r="DS317" s="32">
        <v>102.5</v>
      </c>
      <c r="DT317" s="32">
        <v>101.8</v>
      </c>
      <c r="DU317" s="32">
        <v>101.2</v>
      </c>
      <c r="DV317" s="32">
        <v>103</v>
      </c>
      <c r="DW317" s="32">
        <v>99.3</v>
      </c>
      <c r="DX317" s="32">
        <v>103.1</v>
      </c>
      <c r="DY317" s="32">
        <v>105.2</v>
      </c>
      <c r="DZ317" s="32">
        <v>102.1</v>
      </c>
      <c r="EA317" s="32">
        <v>102.1</v>
      </c>
      <c r="EB317" s="32">
        <v>103.3</v>
      </c>
      <c r="EC317" s="32">
        <v>102.6</v>
      </c>
      <c r="ED317" s="32">
        <v>104.1</v>
      </c>
      <c r="EE317" s="32">
        <v>105.9</v>
      </c>
      <c r="EF317" s="32">
        <v>100.5</v>
      </c>
      <c r="EG317" s="32">
        <v>103.4</v>
      </c>
      <c r="EH317" s="32">
        <v>102.1</v>
      </c>
      <c r="EI317" s="32">
        <v>96.9</v>
      </c>
      <c r="EJ317" s="32">
        <v>108.6</v>
      </c>
      <c r="EK317" s="32">
        <v>107.3</v>
      </c>
      <c r="EL317" s="32">
        <v>104.1</v>
      </c>
      <c r="EM317" s="32">
        <v>104</v>
      </c>
      <c r="EN317" s="32">
        <v>109.5</v>
      </c>
      <c r="EO317" s="32">
        <v>99.4</v>
      </c>
      <c r="EP317" s="32">
        <v>100.9</v>
      </c>
      <c r="EQ317" s="32">
        <v>100.9</v>
      </c>
      <c r="ER317" s="32">
        <v>100.2</v>
      </c>
      <c r="ES317" s="32">
        <v>100.2</v>
      </c>
      <c r="ET317" s="32">
        <v>98</v>
      </c>
      <c r="EU317" s="32">
        <v>95.8</v>
      </c>
      <c r="EV317" s="32">
        <v>95.8</v>
      </c>
      <c r="EW317" s="32">
        <v>103</v>
      </c>
      <c r="EX317" s="32">
        <v>104.5</v>
      </c>
      <c r="EY317" s="32">
        <v>101.8</v>
      </c>
      <c r="EZ317" s="32">
        <v>98.3</v>
      </c>
      <c r="FA317" s="32">
        <v>96.5</v>
      </c>
      <c r="FB317" s="32">
        <v>101.4</v>
      </c>
      <c r="FC317" s="32">
        <v>100.1</v>
      </c>
      <c r="FD317" s="32">
        <v>107.2</v>
      </c>
      <c r="FE317" s="32">
        <v>101</v>
      </c>
      <c r="FF317" s="32">
        <v>90.8</v>
      </c>
      <c r="FG317" s="32">
        <v>100.4</v>
      </c>
      <c r="FH317" s="32">
        <v>103.8</v>
      </c>
      <c r="FI317" s="32">
        <v>97.2</v>
      </c>
      <c r="FJ317" s="32">
        <v>99.4</v>
      </c>
      <c r="FK317" s="32">
        <v>89.1</v>
      </c>
      <c r="FL317" s="32">
        <v>89.1</v>
      </c>
    </row>
    <row r="318" spans="1:168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</row>
    <row r="319" spans="1:168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</row>
    <row r="320" spans="1:168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</row>
    <row r="321" spans="1:168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</row>
    <row r="322" spans="1:168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</row>
    <row r="323" spans="1:168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</row>
    <row r="324" spans="1:168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</row>
    <row r="325" spans="1:168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</row>
    <row r="326" spans="1:168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</row>
    <row r="327" spans="1:168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</row>
    <row r="328" spans="1:168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</row>
    <row r="329" spans="1:168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</row>
    <row r="330" spans="1:168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</row>
    <row r="331" spans="1:168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</row>
    <row r="332" spans="1:168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</row>
    <row r="333" spans="1:168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</row>
    <row r="334" spans="1:168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</row>
    <row r="335" spans="1:168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</row>
    <row r="336" spans="1:168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</row>
    <row r="337" spans="1:168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</row>
    <row r="338" spans="1:168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</row>
    <row r="339" spans="1:168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</row>
    <row r="340" spans="1:168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</row>
    <row r="341" spans="1:168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</row>
    <row r="342" spans="1:168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</row>
    <row r="343" spans="1:168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</row>
    <row r="344" spans="1:168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</row>
    <row r="345" spans="1:168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</row>
    <row r="346" spans="1:168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</row>
    <row r="347" spans="1:168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</row>
    <row r="348" spans="1:168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</row>
    <row r="349" spans="1:168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CE3-30CC-4D37-9242-3FEC32AC04A7}">
  <dimension ref="A1:L136"/>
  <sheetViews>
    <sheetView showGridLines="0" topLeftCell="A101" zoomScale="80" zoomScaleNormal="80" workbookViewId="0">
      <selection activeCell="F135" sqref="F135"/>
    </sheetView>
  </sheetViews>
  <sheetFormatPr defaultColWidth="9.85546875" defaultRowHeight="15" x14ac:dyDescent="0.2"/>
  <cols>
    <col min="1" max="1" width="21.7109375" style="45" customWidth="1"/>
    <col min="2" max="8" width="32.28515625" style="45" customWidth="1"/>
    <col min="9" max="16384" width="9.85546875" style="45"/>
  </cols>
  <sheetData>
    <row r="1" spans="1:8" ht="15.75" x14ac:dyDescent="0.2">
      <c r="A1" s="42" t="s">
        <v>1311</v>
      </c>
      <c r="B1" s="43"/>
      <c r="C1" s="44"/>
      <c r="D1" s="44"/>
      <c r="E1" s="44"/>
      <c r="F1" s="44"/>
      <c r="G1" s="44"/>
      <c r="H1" s="44"/>
    </row>
    <row r="2" spans="1:8" x14ac:dyDescent="0.2">
      <c r="A2" s="46" t="s">
        <v>1312</v>
      </c>
      <c r="B2" s="43"/>
      <c r="C2" s="44"/>
      <c r="D2" s="44"/>
      <c r="E2" s="44"/>
      <c r="F2" s="44"/>
      <c r="G2" s="44"/>
      <c r="H2" s="44"/>
    </row>
    <row r="3" spans="1:8" ht="15.75" x14ac:dyDescent="0.2">
      <c r="A3" s="47" t="s">
        <v>1313</v>
      </c>
      <c r="B3" s="43"/>
      <c r="C3" s="44"/>
      <c r="D3" s="44"/>
      <c r="E3" s="44"/>
      <c r="F3" s="44"/>
      <c r="G3" s="44"/>
      <c r="H3" s="44"/>
    </row>
    <row r="4" spans="1:8" ht="78.75" x14ac:dyDescent="0.25">
      <c r="A4" s="48" t="s">
        <v>1314</v>
      </c>
      <c r="B4" s="49" t="s">
        <v>1315</v>
      </c>
      <c r="C4" s="50" t="s">
        <v>1316</v>
      </c>
      <c r="D4" s="50" t="s">
        <v>1317</v>
      </c>
      <c r="E4" s="50" t="s">
        <v>1318</v>
      </c>
      <c r="F4" s="49" t="s">
        <v>1319</v>
      </c>
      <c r="G4" s="49" t="s">
        <v>1320</v>
      </c>
      <c r="H4" s="49" t="s">
        <v>1321</v>
      </c>
    </row>
    <row r="5" spans="1:8" ht="20.100000000000001" customHeight="1" x14ac:dyDescent="0.25">
      <c r="A5" s="51" t="s">
        <v>1322</v>
      </c>
      <c r="B5" s="52" t="s">
        <v>1323</v>
      </c>
      <c r="C5" s="52"/>
      <c r="D5" s="52"/>
      <c r="E5" s="52"/>
      <c r="F5" s="52" t="s">
        <v>1324</v>
      </c>
      <c r="G5" s="52"/>
      <c r="H5" s="52"/>
    </row>
    <row r="6" spans="1:8" s="55" customFormat="1" ht="31.5" x14ac:dyDescent="0.25">
      <c r="A6" s="53" t="s">
        <v>1325</v>
      </c>
      <c r="B6" s="54" t="s">
        <v>1326</v>
      </c>
      <c r="C6" s="54" t="s">
        <v>1327</v>
      </c>
      <c r="D6" s="54" t="s">
        <v>1328</v>
      </c>
      <c r="E6" s="54" t="s">
        <v>1329</v>
      </c>
      <c r="F6" s="54" t="s">
        <v>1330</v>
      </c>
      <c r="G6" s="54" t="s">
        <v>1331</v>
      </c>
      <c r="H6" s="54" t="s">
        <v>1332</v>
      </c>
    </row>
    <row r="7" spans="1:8" x14ac:dyDescent="0.2">
      <c r="A7" s="56">
        <v>1997</v>
      </c>
      <c r="B7" s="57">
        <v>617874</v>
      </c>
      <c r="C7" s="58">
        <v>64.2</v>
      </c>
      <c r="D7" s="57">
        <v>962935</v>
      </c>
      <c r="E7" s="58">
        <v>62.2</v>
      </c>
      <c r="F7" s="57">
        <v>62018</v>
      </c>
      <c r="G7" s="57">
        <v>672432</v>
      </c>
      <c r="H7" s="58">
        <v>9.1999999999999993</v>
      </c>
    </row>
    <row r="8" spans="1:8" x14ac:dyDescent="0.2">
      <c r="A8" s="56">
        <v>1998</v>
      </c>
      <c r="B8" s="57">
        <v>632328</v>
      </c>
      <c r="C8" s="58">
        <v>65</v>
      </c>
      <c r="D8" s="57">
        <v>972314</v>
      </c>
      <c r="E8" s="58">
        <v>62.8</v>
      </c>
      <c r="F8" s="57">
        <v>42604</v>
      </c>
      <c r="G8" s="57">
        <v>687212</v>
      </c>
      <c r="H8" s="58">
        <v>6.2</v>
      </c>
    </row>
    <row r="9" spans="1:8" x14ac:dyDescent="0.2">
      <c r="A9" s="56">
        <v>1999</v>
      </c>
      <c r="B9" s="57">
        <v>663041</v>
      </c>
      <c r="C9" s="58">
        <v>65.5</v>
      </c>
      <c r="D9" s="57">
        <v>1012982</v>
      </c>
      <c r="E9" s="58">
        <v>65.400000000000006</v>
      </c>
      <c r="F9" s="57">
        <v>34802</v>
      </c>
      <c r="G9" s="57">
        <v>711404</v>
      </c>
      <c r="H9" s="58">
        <v>4.9000000000000004</v>
      </c>
    </row>
    <row r="10" spans="1:8" x14ac:dyDescent="0.2">
      <c r="A10" s="56">
        <v>2000</v>
      </c>
      <c r="B10" s="57">
        <v>700086</v>
      </c>
      <c r="C10" s="58">
        <v>65.5</v>
      </c>
      <c r="D10" s="57">
        <v>1068345</v>
      </c>
      <c r="E10" s="58">
        <v>69</v>
      </c>
      <c r="F10" s="57">
        <v>52017</v>
      </c>
      <c r="G10" s="57">
        <v>761411</v>
      </c>
      <c r="H10" s="58">
        <v>6.8</v>
      </c>
    </row>
    <row r="11" spans="1:8" x14ac:dyDescent="0.2">
      <c r="A11" s="56">
        <v>2001</v>
      </c>
      <c r="B11" s="57">
        <v>730241</v>
      </c>
      <c r="C11" s="58">
        <v>66</v>
      </c>
      <c r="D11" s="57">
        <v>1106152</v>
      </c>
      <c r="E11" s="58">
        <v>71.400000000000006</v>
      </c>
      <c r="F11" s="57">
        <v>53661</v>
      </c>
      <c r="G11" s="57">
        <v>791515</v>
      </c>
      <c r="H11" s="58">
        <v>6.8</v>
      </c>
    </row>
    <row r="12" spans="1:8" x14ac:dyDescent="0.2">
      <c r="A12" s="56">
        <v>2002</v>
      </c>
      <c r="B12" s="57">
        <v>750538</v>
      </c>
      <c r="C12" s="58">
        <v>66.400000000000006</v>
      </c>
      <c r="D12" s="57">
        <v>1129666</v>
      </c>
      <c r="E12" s="58">
        <v>73</v>
      </c>
      <c r="F12" s="57">
        <v>52555</v>
      </c>
      <c r="G12" s="57">
        <v>814730</v>
      </c>
      <c r="H12" s="58">
        <v>6.5</v>
      </c>
    </row>
    <row r="13" spans="1:8" x14ac:dyDescent="0.2">
      <c r="A13" s="56">
        <v>2003</v>
      </c>
      <c r="B13" s="57">
        <v>776600</v>
      </c>
      <c r="C13" s="58">
        <v>67.3</v>
      </c>
      <c r="D13" s="57">
        <v>1154539</v>
      </c>
      <c r="E13" s="58">
        <v>74.599999999999994</v>
      </c>
      <c r="F13" s="57">
        <v>45255</v>
      </c>
      <c r="G13" s="57">
        <v>842737</v>
      </c>
      <c r="H13" s="58">
        <v>5.4</v>
      </c>
    </row>
    <row r="14" spans="1:8" x14ac:dyDescent="0.2">
      <c r="A14" s="56">
        <v>2004</v>
      </c>
      <c r="B14" s="57">
        <v>812666</v>
      </c>
      <c r="C14" s="58">
        <v>68.5</v>
      </c>
      <c r="D14" s="57">
        <v>1186146</v>
      </c>
      <c r="E14" s="58">
        <v>76.599999999999994</v>
      </c>
      <c r="F14" s="57">
        <v>51413</v>
      </c>
      <c r="G14" s="57">
        <v>886199</v>
      </c>
      <c r="H14" s="58">
        <v>5.8</v>
      </c>
    </row>
    <row r="15" spans="1:8" x14ac:dyDescent="0.2">
      <c r="A15" s="56">
        <v>2005</v>
      </c>
      <c r="B15" s="57">
        <v>848071</v>
      </c>
      <c r="C15" s="58">
        <v>69.8</v>
      </c>
      <c r="D15" s="57">
        <v>1215606</v>
      </c>
      <c r="E15" s="58">
        <v>78.5</v>
      </c>
      <c r="F15" s="57">
        <v>51607</v>
      </c>
      <c r="G15" s="57">
        <v>925749</v>
      </c>
      <c r="H15" s="58">
        <v>5.6</v>
      </c>
    </row>
    <row r="16" spans="1:8" x14ac:dyDescent="0.2">
      <c r="A16" s="56">
        <v>2006</v>
      </c>
      <c r="B16" s="57">
        <v>889157</v>
      </c>
      <c r="C16" s="58">
        <v>71.8</v>
      </c>
      <c r="D16" s="57">
        <v>1237764</v>
      </c>
      <c r="E16" s="58">
        <v>80</v>
      </c>
      <c r="F16" s="57">
        <v>59813</v>
      </c>
      <c r="G16" s="57">
        <v>967348</v>
      </c>
      <c r="H16" s="58">
        <v>6.2</v>
      </c>
    </row>
    <row r="17" spans="1:8" x14ac:dyDescent="0.2">
      <c r="A17" s="56">
        <v>2007</v>
      </c>
      <c r="B17" s="57">
        <v>937989</v>
      </c>
      <c r="C17" s="58">
        <v>72.8</v>
      </c>
      <c r="D17" s="57">
        <v>1287872</v>
      </c>
      <c r="E17" s="58">
        <v>83.2</v>
      </c>
      <c r="F17" s="57">
        <v>76828</v>
      </c>
      <c r="G17" s="57">
        <v>1028319</v>
      </c>
      <c r="H17" s="58">
        <v>7.5</v>
      </c>
    </row>
    <row r="18" spans="1:8" x14ac:dyDescent="0.2">
      <c r="A18" s="56">
        <v>2008</v>
      </c>
      <c r="B18" s="57">
        <v>970319</v>
      </c>
      <c r="C18" s="58">
        <v>75.7</v>
      </c>
      <c r="D18" s="57">
        <v>1281384</v>
      </c>
      <c r="E18" s="58">
        <v>82.8</v>
      </c>
      <c r="F18" s="57">
        <v>74496</v>
      </c>
      <c r="G18" s="57">
        <v>1055573</v>
      </c>
      <c r="H18" s="58">
        <v>7.1</v>
      </c>
    </row>
    <row r="19" spans="1:8" x14ac:dyDescent="0.2">
      <c r="A19" s="56">
        <v>2009</v>
      </c>
      <c r="B19" s="57">
        <v>993890</v>
      </c>
      <c r="C19" s="58">
        <v>76.3</v>
      </c>
      <c r="D19" s="57">
        <v>1301909</v>
      </c>
      <c r="E19" s="58">
        <v>84.1</v>
      </c>
      <c r="F19" s="57">
        <v>108098</v>
      </c>
      <c r="G19" s="57">
        <v>1065146</v>
      </c>
      <c r="H19" s="58">
        <v>10.1</v>
      </c>
    </row>
    <row r="20" spans="1:8" x14ac:dyDescent="0.2">
      <c r="A20" s="56">
        <v>2010</v>
      </c>
      <c r="B20" s="57">
        <v>1011098</v>
      </c>
      <c r="C20" s="58">
        <v>77.099999999999994</v>
      </c>
      <c r="D20" s="57">
        <v>1312196</v>
      </c>
      <c r="E20" s="58">
        <v>84.8</v>
      </c>
      <c r="F20" s="57">
        <v>122241</v>
      </c>
      <c r="G20" s="57">
        <v>1109261</v>
      </c>
      <c r="H20" s="58">
        <v>11</v>
      </c>
    </row>
    <row r="21" spans="1:8" x14ac:dyDescent="0.2">
      <c r="A21" s="56">
        <v>2011</v>
      </c>
      <c r="B21" s="57">
        <v>1029676</v>
      </c>
      <c r="C21" s="58">
        <v>80.099999999999994</v>
      </c>
      <c r="D21" s="57">
        <v>1285046</v>
      </c>
      <c r="E21" s="58">
        <v>83</v>
      </c>
      <c r="F21" s="57">
        <v>98843</v>
      </c>
      <c r="G21" s="57">
        <v>1121454</v>
      </c>
      <c r="H21" s="58">
        <v>8.8000000000000007</v>
      </c>
    </row>
    <row r="22" spans="1:8" x14ac:dyDescent="0.2">
      <c r="A22" s="56">
        <v>2012</v>
      </c>
      <c r="B22" s="57">
        <v>1074773</v>
      </c>
      <c r="C22" s="58">
        <v>81.5</v>
      </c>
      <c r="D22" s="57">
        <v>1319264</v>
      </c>
      <c r="E22" s="58">
        <v>85.2</v>
      </c>
      <c r="F22" s="57">
        <v>94874</v>
      </c>
      <c r="G22" s="57">
        <v>1153008</v>
      </c>
      <c r="H22" s="58">
        <v>8.1999999999999993</v>
      </c>
    </row>
    <row r="23" spans="1:8" x14ac:dyDescent="0.2">
      <c r="A23" s="56">
        <v>2013</v>
      </c>
      <c r="B23" s="57">
        <v>1122811</v>
      </c>
      <c r="C23" s="58">
        <v>83.3</v>
      </c>
      <c r="D23" s="57">
        <v>1348281</v>
      </c>
      <c r="E23" s="58">
        <v>87.1</v>
      </c>
      <c r="F23" s="57">
        <v>93892</v>
      </c>
      <c r="G23" s="57">
        <v>1206124</v>
      </c>
      <c r="H23" s="58">
        <v>7.8</v>
      </c>
    </row>
    <row r="24" spans="1:8" x14ac:dyDescent="0.2">
      <c r="A24" s="56">
        <v>2014</v>
      </c>
      <c r="B24" s="57">
        <v>1167067</v>
      </c>
      <c r="C24" s="58">
        <v>84.2</v>
      </c>
      <c r="D24" s="57">
        <v>1385436</v>
      </c>
      <c r="E24" s="58">
        <v>89.5</v>
      </c>
      <c r="F24" s="57">
        <v>87098</v>
      </c>
      <c r="G24" s="57">
        <v>1246070</v>
      </c>
      <c r="H24" s="58">
        <v>7</v>
      </c>
    </row>
    <row r="25" spans="1:8" x14ac:dyDescent="0.2">
      <c r="A25" s="56">
        <v>2015</v>
      </c>
      <c r="B25" s="57">
        <v>1236905</v>
      </c>
      <c r="C25" s="58">
        <v>83.9</v>
      </c>
      <c r="D25" s="57">
        <v>1473793</v>
      </c>
      <c r="E25" s="58">
        <v>95.2</v>
      </c>
      <c r="F25" s="57">
        <v>124767</v>
      </c>
      <c r="G25" s="57">
        <v>1312798</v>
      </c>
      <c r="H25" s="58">
        <v>9.5</v>
      </c>
    </row>
    <row r="26" spans="1:8" x14ac:dyDescent="0.2">
      <c r="A26" s="56">
        <v>2016</v>
      </c>
      <c r="B26" s="57">
        <v>1261458</v>
      </c>
      <c r="C26" s="58">
        <v>85</v>
      </c>
      <c r="D26" s="57">
        <v>1484197</v>
      </c>
      <c r="E26" s="58">
        <v>95.8</v>
      </c>
      <c r="F26" s="57">
        <v>79411</v>
      </c>
      <c r="G26" s="57">
        <v>1328756</v>
      </c>
      <c r="H26" s="58">
        <v>6</v>
      </c>
    </row>
    <row r="27" spans="1:8" x14ac:dyDescent="0.2">
      <c r="A27" s="56">
        <v>2017</v>
      </c>
      <c r="B27" s="57">
        <v>1297998</v>
      </c>
      <c r="C27" s="58">
        <v>86.6</v>
      </c>
      <c r="D27" s="57">
        <v>1499434</v>
      </c>
      <c r="E27" s="58">
        <v>96.8</v>
      </c>
      <c r="F27" s="57">
        <v>68562</v>
      </c>
      <c r="G27" s="57">
        <v>1363131</v>
      </c>
      <c r="H27" s="58">
        <v>5</v>
      </c>
    </row>
    <row r="28" spans="1:8" x14ac:dyDescent="0.2">
      <c r="A28" s="56">
        <v>2018</v>
      </c>
      <c r="B28" s="57">
        <v>1352696</v>
      </c>
      <c r="C28" s="58">
        <v>88.4</v>
      </c>
      <c r="D28" s="57">
        <v>1530481</v>
      </c>
      <c r="E28" s="58">
        <v>98.8</v>
      </c>
      <c r="F28" s="57">
        <v>76404</v>
      </c>
      <c r="G28" s="57">
        <v>1420135</v>
      </c>
      <c r="H28" s="58">
        <v>5.4</v>
      </c>
    </row>
    <row r="29" spans="1:8" x14ac:dyDescent="0.2">
      <c r="A29" s="56">
        <v>2019</v>
      </c>
      <c r="B29" s="57">
        <v>1400236</v>
      </c>
      <c r="C29" s="58">
        <v>89.7</v>
      </c>
      <c r="D29" s="57">
        <v>1561142</v>
      </c>
      <c r="E29" s="58">
        <v>100.8</v>
      </c>
      <c r="F29" s="57">
        <v>80164</v>
      </c>
      <c r="G29" s="57">
        <v>1458813</v>
      </c>
      <c r="H29" s="58">
        <v>5.5</v>
      </c>
    </row>
    <row r="30" spans="1:8" x14ac:dyDescent="0.2">
      <c r="A30" s="56">
        <v>2020</v>
      </c>
      <c r="B30" s="57">
        <v>1400083</v>
      </c>
      <c r="C30" s="58">
        <v>89.8</v>
      </c>
      <c r="D30" s="57">
        <v>1559770</v>
      </c>
      <c r="E30" s="58">
        <v>100.7</v>
      </c>
      <c r="F30" s="57">
        <v>241969</v>
      </c>
      <c r="G30" s="57">
        <v>1442315</v>
      </c>
      <c r="H30" s="58">
        <v>16.8</v>
      </c>
    </row>
    <row r="31" spans="1:8" x14ac:dyDescent="0.2">
      <c r="A31" s="56">
        <v>2021</v>
      </c>
      <c r="B31" s="57">
        <v>1455387</v>
      </c>
      <c r="C31" s="58">
        <v>92.2</v>
      </c>
      <c r="D31" s="57">
        <v>1578307</v>
      </c>
      <c r="E31" s="58">
        <v>101.9</v>
      </c>
      <c r="F31" s="57">
        <v>191246</v>
      </c>
      <c r="G31" s="57">
        <v>1510569</v>
      </c>
      <c r="H31" s="58">
        <v>12.7</v>
      </c>
    </row>
    <row r="32" spans="1:8" x14ac:dyDescent="0.2">
      <c r="A32" s="56">
        <v>2022</v>
      </c>
      <c r="B32" s="57">
        <v>1548544</v>
      </c>
      <c r="C32" s="58">
        <v>100</v>
      </c>
      <c r="D32" s="57">
        <v>1548544</v>
      </c>
      <c r="E32" s="58">
        <v>100</v>
      </c>
      <c r="F32" s="57">
        <v>98084</v>
      </c>
      <c r="G32" s="57">
        <v>1632828</v>
      </c>
      <c r="H32" s="58">
        <v>6</v>
      </c>
    </row>
    <row r="33" spans="1:8" ht="24.95" customHeight="1" x14ac:dyDescent="0.2">
      <c r="A33" s="56" t="s">
        <v>102</v>
      </c>
      <c r="B33" s="57">
        <v>154380</v>
      </c>
      <c r="C33" s="58">
        <v>63.6</v>
      </c>
      <c r="D33" s="57">
        <v>242787</v>
      </c>
      <c r="E33" s="58">
        <v>62.7</v>
      </c>
      <c r="F33" s="57">
        <v>18882</v>
      </c>
      <c r="G33" s="57">
        <v>167403</v>
      </c>
      <c r="H33" s="58">
        <v>11.3</v>
      </c>
    </row>
    <row r="34" spans="1:8" x14ac:dyDescent="0.2">
      <c r="A34" s="56" t="s">
        <v>103</v>
      </c>
      <c r="B34" s="57">
        <v>153126</v>
      </c>
      <c r="C34" s="58">
        <v>64.3</v>
      </c>
      <c r="D34" s="57">
        <v>238262</v>
      </c>
      <c r="E34" s="58">
        <v>61.5</v>
      </c>
      <c r="F34" s="57">
        <v>15338</v>
      </c>
      <c r="G34" s="57">
        <v>167260</v>
      </c>
      <c r="H34" s="58">
        <v>9.1999999999999993</v>
      </c>
    </row>
    <row r="35" spans="1:8" x14ac:dyDescent="0.2">
      <c r="A35" s="56" t="s">
        <v>104</v>
      </c>
      <c r="B35" s="57">
        <v>155497</v>
      </c>
      <c r="C35" s="58">
        <v>64.599999999999994</v>
      </c>
      <c r="D35" s="57">
        <v>240642</v>
      </c>
      <c r="E35" s="58">
        <v>62.2</v>
      </c>
      <c r="F35" s="57">
        <v>14971</v>
      </c>
      <c r="G35" s="57">
        <v>169619</v>
      </c>
      <c r="H35" s="58">
        <v>8.8000000000000007</v>
      </c>
    </row>
    <row r="36" spans="1:8" x14ac:dyDescent="0.2">
      <c r="A36" s="56" t="s">
        <v>105</v>
      </c>
      <c r="B36" s="57">
        <v>154871</v>
      </c>
      <c r="C36" s="58">
        <v>64.2</v>
      </c>
      <c r="D36" s="57">
        <v>241244</v>
      </c>
      <c r="E36" s="58">
        <v>62.3</v>
      </c>
      <c r="F36" s="57">
        <v>12827</v>
      </c>
      <c r="G36" s="57">
        <v>168150</v>
      </c>
      <c r="H36" s="58">
        <v>7.6</v>
      </c>
    </row>
    <row r="37" spans="1:8" ht="24.95" customHeight="1" x14ac:dyDescent="0.2">
      <c r="A37" s="56" t="s">
        <v>106</v>
      </c>
      <c r="B37" s="57">
        <v>155741</v>
      </c>
      <c r="C37" s="58">
        <v>64.5</v>
      </c>
      <c r="D37" s="57">
        <v>241411</v>
      </c>
      <c r="E37" s="58">
        <v>62.4</v>
      </c>
      <c r="F37" s="57">
        <v>12154</v>
      </c>
      <c r="G37" s="57">
        <v>169516</v>
      </c>
      <c r="H37" s="58">
        <v>7.2</v>
      </c>
    </row>
    <row r="38" spans="1:8" x14ac:dyDescent="0.2">
      <c r="A38" s="56" t="s">
        <v>107</v>
      </c>
      <c r="B38" s="57">
        <v>157840</v>
      </c>
      <c r="C38" s="58">
        <v>64.900000000000006</v>
      </c>
      <c r="D38" s="57">
        <v>243260</v>
      </c>
      <c r="E38" s="58">
        <v>62.8</v>
      </c>
      <c r="F38" s="57">
        <v>12131</v>
      </c>
      <c r="G38" s="57">
        <v>171940</v>
      </c>
      <c r="H38" s="58">
        <v>7.1</v>
      </c>
    </row>
    <row r="39" spans="1:8" x14ac:dyDescent="0.2">
      <c r="A39" s="56" t="s">
        <v>108</v>
      </c>
      <c r="B39" s="57">
        <v>157968</v>
      </c>
      <c r="C39" s="58">
        <v>65.3</v>
      </c>
      <c r="D39" s="57">
        <v>241948</v>
      </c>
      <c r="E39" s="58">
        <v>62.5</v>
      </c>
      <c r="F39" s="57">
        <v>9087</v>
      </c>
      <c r="G39" s="57">
        <v>172629</v>
      </c>
      <c r="H39" s="58">
        <v>5.3</v>
      </c>
    </row>
    <row r="40" spans="1:8" x14ac:dyDescent="0.2">
      <c r="A40" s="56" t="s">
        <v>109</v>
      </c>
      <c r="B40" s="57">
        <v>160779</v>
      </c>
      <c r="C40" s="58">
        <v>65.400000000000006</v>
      </c>
      <c r="D40" s="57">
        <v>245695</v>
      </c>
      <c r="E40" s="58">
        <v>63.5</v>
      </c>
      <c r="F40" s="57">
        <v>9232</v>
      </c>
      <c r="G40" s="57">
        <v>173127</v>
      </c>
      <c r="H40" s="58">
        <v>5.3</v>
      </c>
    </row>
    <row r="41" spans="1:8" ht="24.95" customHeight="1" x14ac:dyDescent="0.2">
      <c r="A41" s="56" t="s">
        <v>110</v>
      </c>
      <c r="B41" s="57">
        <v>159890</v>
      </c>
      <c r="C41" s="58">
        <v>65.7</v>
      </c>
      <c r="D41" s="57">
        <v>243440</v>
      </c>
      <c r="E41" s="58">
        <v>62.9</v>
      </c>
      <c r="F41" s="57">
        <v>4896</v>
      </c>
      <c r="G41" s="57">
        <v>171069</v>
      </c>
      <c r="H41" s="58">
        <v>2.9</v>
      </c>
    </row>
    <row r="42" spans="1:8" x14ac:dyDescent="0.2">
      <c r="A42" s="56" t="s">
        <v>111</v>
      </c>
      <c r="B42" s="57">
        <v>166484</v>
      </c>
      <c r="C42" s="58">
        <v>65.599999999999994</v>
      </c>
      <c r="D42" s="57">
        <v>253940</v>
      </c>
      <c r="E42" s="58">
        <v>65.599999999999994</v>
      </c>
      <c r="F42" s="57">
        <v>9187</v>
      </c>
      <c r="G42" s="57">
        <v>178206</v>
      </c>
      <c r="H42" s="58">
        <v>5.2</v>
      </c>
    </row>
    <row r="43" spans="1:8" x14ac:dyDescent="0.2">
      <c r="A43" s="56" t="s">
        <v>112</v>
      </c>
      <c r="B43" s="57">
        <v>165956</v>
      </c>
      <c r="C43" s="58">
        <v>65.2</v>
      </c>
      <c r="D43" s="57">
        <v>254604</v>
      </c>
      <c r="E43" s="58">
        <v>65.8</v>
      </c>
      <c r="F43" s="57">
        <v>8568</v>
      </c>
      <c r="G43" s="57">
        <v>178381</v>
      </c>
      <c r="H43" s="58">
        <v>4.8</v>
      </c>
    </row>
    <row r="44" spans="1:8" x14ac:dyDescent="0.2">
      <c r="A44" s="56" t="s">
        <v>113</v>
      </c>
      <c r="B44" s="57">
        <v>170711</v>
      </c>
      <c r="C44" s="58">
        <v>65.400000000000006</v>
      </c>
      <c r="D44" s="57">
        <v>260998</v>
      </c>
      <c r="E44" s="58">
        <v>67.400000000000006</v>
      </c>
      <c r="F44" s="57">
        <v>12151</v>
      </c>
      <c r="G44" s="57">
        <v>183748</v>
      </c>
      <c r="H44" s="58">
        <v>6.6</v>
      </c>
    </row>
    <row r="45" spans="1:8" ht="24.95" customHeight="1" x14ac:dyDescent="0.2">
      <c r="A45" s="56" t="s">
        <v>114</v>
      </c>
      <c r="B45" s="57">
        <v>171355</v>
      </c>
      <c r="C45" s="58">
        <v>65.599999999999994</v>
      </c>
      <c r="D45" s="57">
        <v>261066</v>
      </c>
      <c r="E45" s="58">
        <v>67.400000000000006</v>
      </c>
      <c r="F45" s="57">
        <v>11544</v>
      </c>
      <c r="G45" s="57">
        <v>186220</v>
      </c>
      <c r="H45" s="58">
        <v>6.2</v>
      </c>
    </row>
    <row r="46" spans="1:8" x14ac:dyDescent="0.2">
      <c r="A46" s="56" t="s">
        <v>115</v>
      </c>
      <c r="B46" s="57">
        <v>173097</v>
      </c>
      <c r="C46" s="58">
        <v>65.5</v>
      </c>
      <c r="D46" s="57">
        <v>264332</v>
      </c>
      <c r="E46" s="58">
        <v>68.3</v>
      </c>
      <c r="F46" s="57">
        <v>11515</v>
      </c>
      <c r="G46" s="57">
        <v>187707</v>
      </c>
      <c r="H46" s="58">
        <v>6.1</v>
      </c>
    </row>
    <row r="47" spans="1:8" x14ac:dyDescent="0.2">
      <c r="A47" s="56" t="s">
        <v>116</v>
      </c>
      <c r="B47" s="57">
        <v>176661</v>
      </c>
      <c r="C47" s="58">
        <v>65.599999999999994</v>
      </c>
      <c r="D47" s="57">
        <v>269498</v>
      </c>
      <c r="E47" s="58">
        <v>69.599999999999994</v>
      </c>
      <c r="F47" s="57">
        <v>13217</v>
      </c>
      <c r="G47" s="57">
        <v>191731</v>
      </c>
      <c r="H47" s="58">
        <v>6.9</v>
      </c>
    </row>
    <row r="48" spans="1:8" x14ac:dyDescent="0.2">
      <c r="A48" s="56" t="s">
        <v>117</v>
      </c>
      <c r="B48" s="57">
        <v>178973</v>
      </c>
      <c r="C48" s="58">
        <v>65.5</v>
      </c>
      <c r="D48" s="57">
        <v>273449</v>
      </c>
      <c r="E48" s="58">
        <v>70.599999999999994</v>
      </c>
      <c r="F48" s="57">
        <v>15741</v>
      </c>
      <c r="G48" s="57">
        <v>195753</v>
      </c>
      <c r="H48" s="58">
        <v>8</v>
      </c>
    </row>
    <row r="49" spans="1:8" ht="24.95" customHeight="1" x14ac:dyDescent="0.2">
      <c r="A49" s="56" t="s">
        <v>118</v>
      </c>
      <c r="B49" s="57">
        <v>182245</v>
      </c>
      <c r="C49" s="58">
        <v>66.2</v>
      </c>
      <c r="D49" s="57">
        <v>275352</v>
      </c>
      <c r="E49" s="58">
        <v>71.099999999999994</v>
      </c>
      <c r="F49" s="57">
        <v>15257</v>
      </c>
      <c r="G49" s="57">
        <v>197571</v>
      </c>
      <c r="H49" s="58">
        <v>7.7</v>
      </c>
    </row>
    <row r="50" spans="1:8" x14ac:dyDescent="0.2">
      <c r="A50" s="56" t="s">
        <v>119</v>
      </c>
      <c r="B50" s="57">
        <v>181929</v>
      </c>
      <c r="C50" s="58">
        <v>66.2</v>
      </c>
      <c r="D50" s="57">
        <v>274810</v>
      </c>
      <c r="E50" s="58">
        <v>71</v>
      </c>
      <c r="F50" s="57">
        <v>13860</v>
      </c>
      <c r="G50" s="57">
        <v>197369</v>
      </c>
      <c r="H50" s="58">
        <v>7</v>
      </c>
    </row>
    <row r="51" spans="1:8" x14ac:dyDescent="0.2">
      <c r="A51" s="56" t="s">
        <v>120</v>
      </c>
      <c r="B51" s="57">
        <v>182687</v>
      </c>
      <c r="C51" s="58">
        <v>66.3</v>
      </c>
      <c r="D51" s="57">
        <v>275694</v>
      </c>
      <c r="E51" s="58">
        <v>71.2</v>
      </c>
      <c r="F51" s="57">
        <v>12024</v>
      </c>
      <c r="G51" s="57">
        <v>198464</v>
      </c>
      <c r="H51" s="58">
        <v>6.1</v>
      </c>
    </row>
    <row r="52" spans="1:8" x14ac:dyDescent="0.2">
      <c r="A52" s="56" t="s">
        <v>121</v>
      </c>
      <c r="B52" s="57">
        <v>183380</v>
      </c>
      <c r="C52" s="58">
        <v>65.400000000000006</v>
      </c>
      <c r="D52" s="57">
        <v>280296</v>
      </c>
      <c r="E52" s="58">
        <v>72.400000000000006</v>
      </c>
      <c r="F52" s="57">
        <v>12520</v>
      </c>
      <c r="G52" s="57">
        <v>198111</v>
      </c>
      <c r="H52" s="58">
        <v>6.3</v>
      </c>
    </row>
    <row r="53" spans="1:8" ht="24.95" customHeight="1" x14ac:dyDescent="0.2">
      <c r="A53" s="56" t="s">
        <v>122</v>
      </c>
      <c r="B53" s="57">
        <v>185245</v>
      </c>
      <c r="C53" s="58">
        <v>66.2</v>
      </c>
      <c r="D53" s="57">
        <v>279786</v>
      </c>
      <c r="E53" s="58">
        <v>72.3</v>
      </c>
      <c r="F53" s="57">
        <v>12811</v>
      </c>
      <c r="G53" s="57">
        <v>200785</v>
      </c>
      <c r="H53" s="58">
        <v>6.4</v>
      </c>
    </row>
    <row r="54" spans="1:8" x14ac:dyDescent="0.2">
      <c r="A54" s="56" t="s">
        <v>123</v>
      </c>
      <c r="B54" s="57">
        <v>187864</v>
      </c>
      <c r="C54" s="58">
        <v>66.3</v>
      </c>
      <c r="D54" s="57">
        <v>283248</v>
      </c>
      <c r="E54" s="58">
        <v>73.2</v>
      </c>
      <c r="F54" s="57">
        <v>15513</v>
      </c>
      <c r="G54" s="57">
        <v>204577</v>
      </c>
      <c r="H54" s="58">
        <v>7.6</v>
      </c>
    </row>
    <row r="55" spans="1:8" x14ac:dyDescent="0.2">
      <c r="A55" s="56" t="s">
        <v>124</v>
      </c>
      <c r="B55" s="57">
        <v>187514</v>
      </c>
      <c r="C55" s="58">
        <v>66.400000000000006</v>
      </c>
      <c r="D55" s="57">
        <v>282393</v>
      </c>
      <c r="E55" s="58">
        <v>72.900000000000006</v>
      </c>
      <c r="F55" s="57">
        <v>13060</v>
      </c>
      <c r="G55" s="57">
        <v>204179</v>
      </c>
      <c r="H55" s="58">
        <v>6.4</v>
      </c>
    </row>
    <row r="56" spans="1:8" x14ac:dyDescent="0.2">
      <c r="A56" s="56" t="s">
        <v>125</v>
      </c>
      <c r="B56" s="57">
        <v>189915</v>
      </c>
      <c r="C56" s="58">
        <v>66.8</v>
      </c>
      <c r="D56" s="57">
        <v>284239</v>
      </c>
      <c r="E56" s="58">
        <v>73.400000000000006</v>
      </c>
      <c r="F56" s="57">
        <v>11171</v>
      </c>
      <c r="G56" s="57">
        <v>205189</v>
      </c>
      <c r="H56" s="58">
        <v>5.4</v>
      </c>
    </row>
    <row r="57" spans="1:8" ht="24.95" customHeight="1" x14ac:dyDescent="0.2">
      <c r="A57" s="56" t="s">
        <v>126</v>
      </c>
      <c r="B57" s="57">
        <v>191204</v>
      </c>
      <c r="C57" s="58">
        <v>67</v>
      </c>
      <c r="D57" s="57">
        <v>285560</v>
      </c>
      <c r="E57" s="58">
        <v>73.8</v>
      </c>
      <c r="F57" s="57">
        <v>12118</v>
      </c>
      <c r="G57" s="57">
        <v>207829</v>
      </c>
      <c r="H57" s="58">
        <v>5.8</v>
      </c>
    </row>
    <row r="58" spans="1:8" x14ac:dyDescent="0.2">
      <c r="A58" s="56" t="s">
        <v>127</v>
      </c>
      <c r="B58" s="57">
        <v>192328</v>
      </c>
      <c r="C58" s="58">
        <v>67</v>
      </c>
      <c r="D58" s="57">
        <v>287234</v>
      </c>
      <c r="E58" s="58">
        <v>74.2</v>
      </c>
      <c r="F58" s="57">
        <v>9918</v>
      </c>
      <c r="G58" s="57">
        <v>208025</v>
      </c>
      <c r="H58" s="58">
        <v>4.8</v>
      </c>
    </row>
    <row r="59" spans="1:8" x14ac:dyDescent="0.2">
      <c r="A59" s="56" t="s">
        <v>128</v>
      </c>
      <c r="B59" s="57">
        <v>195224</v>
      </c>
      <c r="C59" s="58">
        <v>67.400000000000006</v>
      </c>
      <c r="D59" s="57">
        <v>289510</v>
      </c>
      <c r="E59" s="58">
        <v>74.8</v>
      </c>
      <c r="F59" s="57">
        <v>11050</v>
      </c>
      <c r="G59" s="57">
        <v>211909</v>
      </c>
      <c r="H59" s="58">
        <v>5.2</v>
      </c>
    </row>
    <row r="60" spans="1:8" x14ac:dyDescent="0.2">
      <c r="A60" s="56" t="s">
        <v>129</v>
      </c>
      <c r="B60" s="57">
        <v>197844</v>
      </c>
      <c r="C60" s="58">
        <v>67.7</v>
      </c>
      <c r="D60" s="57">
        <v>292235</v>
      </c>
      <c r="E60" s="58">
        <v>75.5</v>
      </c>
      <c r="F60" s="57">
        <v>12169</v>
      </c>
      <c r="G60" s="57">
        <v>214974</v>
      </c>
      <c r="H60" s="58">
        <v>5.7</v>
      </c>
    </row>
    <row r="61" spans="1:8" ht="24.95" customHeight="1" x14ac:dyDescent="0.2">
      <c r="A61" s="56" t="s">
        <v>130</v>
      </c>
      <c r="B61" s="57">
        <v>199691</v>
      </c>
      <c r="C61" s="58">
        <v>67.900000000000006</v>
      </c>
      <c r="D61" s="57">
        <v>293887</v>
      </c>
      <c r="E61" s="58">
        <v>75.900000000000006</v>
      </c>
      <c r="F61" s="57">
        <v>13140</v>
      </c>
      <c r="G61" s="57">
        <v>217812</v>
      </c>
      <c r="H61" s="58">
        <v>6</v>
      </c>
    </row>
    <row r="62" spans="1:8" x14ac:dyDescent="0.2">
      <c r="A62" s="56" t="s">
        <v>131</v>
      </c>
      <c r="B62" s="57">
        <v>202293</v>
      </c>
      <c r="C62" s="58">
        <v>68.3</v>
      </c>
      <c r="D62" s="57">
        <v>296185</v>
      </c>
      <c r="E62" s="58">
        <v>76.5</v>
      </c>
      <c r="F62" s="57">
        <v>11887</v>
      </c>
      <c r="G62" s="57">
        <v>219483</v>
      </c>
      <c r="H62" s="58">
        <v>5.4</v>
      </c>
    </row>
    <row r="63" spans="1:8" x14ac:dyDescent="0.2">
      <c r="A63" s="56" t="s">
        <v>132</v>
      </c>
      <c r="B63" s="57">
        <v>204062</v>
      </c>
      <c r="C63" s="58">
        <v>68.599999999999994</v>
      </c>
      <c r="D63" s="57">
        <v>297291</v>
      </c>
      <c r="E63" s="58">
        <v>76.8</v>
      </c>
      <c r="F63" s="57">
        <v>13584</v>
      </c>
      <c r="G63" s="57">
        <v>223218</v>
      </c>
      <c r="H63" s="58">
        <v>6.1</v>
      </c>
    </row>
    <row r="64" spans="1:8" x14ac:dyDescent="0.2">
      <c r="A64" s="56" t="s">
        <v>133</v>
      </c>
      <c r="B64" s="57">
        <v>206620</v>
      </c>
      <c r="C64" s="58">
        <v>69.2</v>
      </c>
      <c r="D64" s="57">
        <v>298783</v>
      </c>
      <c r="E64" s="58">
        <v>77.2</v>
      </c>
      <c r="F64" s="57">
        <v>12802</v>
      </c>
      <c r="G64" s="57">
        <v>225686</v>
      </c>
      <c r="H64" s="58">
        <v>5.7</v>
      </c>
    </row>
    <row r="65" spans="1:8" ht="24.95" customHeight="1" x14ac:dyDescent="0.2">
      <c r="A65" s="56" t="s">
        <v>134</v>
      </c>
      <c r="B65" s="57">
        <v>208684</v>
      </c>
      <c r="C65" s="58">
        <v>69.400000000000006</v>
      </c>
      <c r="D65" s="57">
        <v>300832</v>
      </c>
      <c r="E65" s="58">
        <v>77.7</v>
      </c>
      <c r="F65" s="57">
        <v>12215</v>
      </c>
      <c r="G65" s="57">
        <v>228022</v>
      </c>
      <c r="H65" s="58">
        <v>5.4</v>
      </c>
    </row>
    <row r="66" spans="1:8" x14ac:dyDescent="0.2">
      <c r="A66" s="56" t="s">
        <v>135</v>
      </c>
      <c r="B66" s="57">
        <v>210499</v>
      </c>
      <c r="C66" s="58">
        <v>69.3</v>
      </c>
      <c r="D66" s="57">
        <v>303559</v>
      </c>
      <c r="E66" s="58">
        <v>78.400000000000006</v>
      </c>
      <c r="F66" s="57">
        <v>14603</v>
      </c>
      <c r="G66" s="57">
        <v>230244</v>
      </c>
      <c r="H66" s="58">
        <v>6.3</v>
      </c>
    </row>
    <row r="67" spans="1:8" x14ac:dyDescent="0.2">
      <c r="A67" s="56" t="s">
        <v>136</v>
      </c>
      <c r="B67" s="57">
        <v>213688</v>
      </c>
      <c r="C67" s="58">
        <v>69.900000000000006</v>
      </c>
      <c r="D67" s="57">
        <v>305918</v>
      </c>
      <c r="E67" s="58">
        <v>79</v>
      </c>
      <c r="F67" s="57">
        <v>12708</v>
      </c>
      <c r="G67" s="57">
        <v>232457</v>
      </c>
      <c r="H67" s="58">
        <v>5.5</v>
      </c>
    </row>
    <row r="68" spans="1:8" x14ac:dyDescent="0.2">
      <c r="A68" s="56" t="s">
        <v>137</v>
      </c>
      <c r="B68" s="57">
        <v>215200</v>
      </c>
      <c r="C68" s="58">
        <v>70.5</v>
      </c>
      <c r="D68" s="57">
        <v>305297</v>
      </c>
      <c r="E68" s="58">
        <v>78.900000000000006</v>
      </c>
      <c r="F68" s="57">
        <v>12081</v>
      </c>
      <c r="G68" s="57">
        <v>235026</v>
      </c>
      <c r="H68" s="58">
        <v>5.0999999999999996</v>
      </c>
    </row>
    <row r="69" spans="1:8" ht="24.95" customHeight="1" x14ac:dyDescent="0.2">
      <c r="A69" s="56" t="s">
        <v>138</v>
      </c>
      <c r="B69" s="57">
        <v>219054</v>
      </c>
      <c r="C69" s="58">
        <v>70.900000000000006</v>
      </c>
      <c r="D69" s="57">
        <v>308788</v>
      </c>
      <c r="E69" s="58">
        <v>79.8</v>
      </c>
      <c r="F69" s="57">
        <v>15377</v>
      </c>
      <c r="G69" s="57">
        <v>238570</v>
      </c>
      <c r="H69" s="58">
        <v>6.4</v>
      </c>
    </row>
    <row r="70" spans="1:8" x14ac:dyDescent="0.2">
      <c r="A70" s="56" t="s">
        <v>139</v>
      </c>
      <c r="B70" s="57">
        <v>220510</v>
      </c>
      <c r="C70" s="58">
        <v>71.8</v>
      </c>
      <c r="D70" s="57">
        <v>307296</v>
      </c>
      <c r="E70" s="58">
        <v>79.400000000000006</v>
      </c>
      <c r="F70" s="57">
        <v>12795</v>
      </c>
      <c r="G70" s="57">
        <v>238589</v>
      </c>
      <c r="H70" s="58">
        <v>5.4</v>
      </c>
    </row>
    <row r="71" spans="1:8" x14ac:dyDescent="0.2">
      <c r="A71" s="56" t="s">
        <v>140</v>
      </c>
      <c r="B71" s="57">
        <v>223998</v>
      </c>
      <c r="C71" s="58">
        <v>72.3</v>
      </c>
      <c r="D71" s="57">
        <v>310020</v>
      </c>
      <c r="E71" s="58">
        <v>80.099999999999994</v>
      </c>
      <c r="F71" s="57">
        <v>14403</v>
      </c>
      <c r="G71" s="57">
        <v>243238</v>
      </c>
      <c r="H71" s="58">
        <v>5.9</v>
      </c>
    </row>
    <row r="72" spans="1:8" x14ac:dyDescent="0.2">
      <c r="A72" s="56" t="s">
        <v>141</v>
      </c>
      <c r="B72" s="57">
        <v>225595</v>
      </c>
      <c r="C72" s="58">
        <v>72.400000000000006</v>
      </c>
      <c r="D72" s="57">
        <v>311660</v>
      </c>
      <c r="E72" s="58">
        <v>80.5</v>
      </c>
      <c r="F72" s="57">
        <v>17238</v>
      </c>
      <c r="G72" s="57">
        <v>246951</v>
      </c>
      <c r="H72" s="58">
        <v>7</v>
      </c>
    </row>
    <row r="73" spans="1:8" ht="24.95" customHeight="1" x14ac:dyDescent="0.2">
      <c r="A73" s="56" t="s">
        <v>142</v>
      </c>
      <c r="B73" s="57">
        <v>231472</v>
      </c>
      <c r="C73" s="58">
        <v>71.8</v>
      </c>
      <c r="D73" s="57">
        <v>322327</v>
      </c>
      <c r="E73" s="58">
        <v>83.3</v>
      </c>
      <c r="F73" s="57">
        <v>22570</v>
      </c>
      <c r="G73" s="57">
        <v>252967</v>
      </c>
      <c r="H73" s="58">
        <v>8.9</v>
      </c>
    </row>
    <row r="74" spans="1:8" x14ac:dyDescent="0.2">
      <c r="A74" s="56" t="s">
        <v>143</v>
      </c>
      <c r="B74" s="57">
        <v>232991</v>
      </c>
      <c r="C74" s="58">
        <v>72.900000000000006</v>
      </c>
      <c r="D74" s="57">
        <v>319628</v>
      </c>
      <c r="E74" s="58">
        <v>82.6</v>
      </c>
      <c r="F74" s="57">
        <v>20111</v>
      </c>
      <c r="G74" s="57">
        <v>256526</v>
      </c>
      <c r="H74" s="58">
        <v>7.8</v>
      </c>
    </row>
    <row r="75" spans="1:8" x14ac:dyDescent="0.2">
      <c r="A75" s="56" t="s">
        <v>144</v>
      </c>
      <c r="B75" s="57">
        <v>236795</v>
      </c>
      <c r="C75" s="58">
        <v>73.2</v>
      </c>
      <c r="D75" s="57">
        <v>323425</v>
      </c>
      <c r="E75" s="58">
        <v>83.5</v>
      </c>
      <c r="F75" s="57">
        <v>18822</v>
      </c>
      <c r="G75" s="57">
        <v>260967</v>
      </c>
      <c r="H75" s="58">
        <v>7.2</v>
      </c>
    </row>
    <row r="76" spans="1:8" x14ac:dyDescent="0.2">
      <c r="A76" s="56" t="s">
        <v>145</v>
      </c>
      <c r="B76" s="57">
        <v>236731</v>
      </c>
      <c r="C76" s="58">
        <v>73.400000000000006</v>
      </c>
      <c r="D76" s="57">
        <v>322492</v>
      </c>
      <c r="E76" s="58">
        <v>83.3</v>
      </c>
      <c r="F76" s="57">
        <v>15325</v>
      </c>
      <c r="G76" s="57">
        <v>257859</v>
      </c>
      <c r="H76" s="58">
        <v>5.9</v>
      </c>
    </row>
    <row r="77" spans="1:8" ht="24.95" customHeight="1" x14ac:dyDescent="0.2">
      <c r="A77" s="56" t="s">
        <v>146</v>
      </c>
      <c r="B77" s="57">
        <v>237640</v>
      </c>
      <c r="C77" s="58">
        <v>74.5</v>
      </c>
      <c r="D77" s="57">
        <v>319071</v>
      </c>
      <c r="E77" s="58">
        <v>82.4</v>
      </c>
      <c r="F77" s="57">
        <v>13526</v>
      </c>
      <c r="G77" s="57">
        <v>260837</v>
      </c>
      <c r="H77" s="58">
        <v>5.2</v>
      </c>
    </row>
    <row r="78" spans="1:8" x14ac:dyDescent="0.2">
      <c r="A78" s="56" t="s">
        <v>147</v>
      </c>
      <c r="B78" s="57">
        <v>244075</v>
      </c>
      <c r="C78" s="58">
        <v>75.599999999999994</v>
      </c>
      <c r="D78" s="57">
        <v>322925</v>
      </c>
      <c r="E78" s="58">
        <v>83.4</v>
      </c>
      <c r="F78" s="57">
        <v>19095</v>
      </c>
      <c r="G78" s="57">
        <v>266847</v>
      </c>
      <c r="H78" s="58">
        <v>7.2</v>
      </c>
    </row>
    <row r="79" spans="1:8" x14ac:dyDescent="0.2">
      <c r="A79" s="56" t="s">
        <v>148</v>
      </c>
      <c r="B79" s="57">
        <v>243194</v>
      </c>
      <c r="C79" s="58">
        <v>76.7</v>
      </c>
      <c r="D79" s="57">
        <v>316966</v>
      </c>
      <c r="E79" s="58">
        <v>81.900000000000006</v>
      </c>
      <c r="F79" s="57">
        <v>16551</v>
      </c>
      <c r="G79" s="57">
        <v>263688</v>
      </c>
      <c r="H79" s="58">
        <v>6.3</v>
      </c>
    </row>
    <row r="80" spans="1:8" x14ac:dyDescent="0.2">
      <c r="A80" s="56" t="s">
        <v>149</v>
      </c>
      <c r="B80" s="57">
        <v>245410</v>
      </c>
      <c r="C80" s="58">
        <v>76.099999999999994</v>
      </c>
      <c r="D80" s="57">
        <v>322422</v>
      </c>
      <c r="E80" s="58">
        <v>83.3</v>
      </c>
      <c r="F80" s="57">
        <v>25324</v>
      </c>
      <c r="G80" s="57">
        <v>264201</v>
      </c>
      <c r="H80" s="58">
        <v>9.6</v>
      </c>
    </row>
    <row r="81" spans="1:8" ht="24.95" customHeight="1" x14ac:dyDescent="0.2">
      <c r="A81" s="56" t="s">
        <v>150</v>
      </c>
      <c r="B81" s="57">
        <v>244602</v>
      </c>
      <c r="C81" s="58">
        <v>76.3</v>
      </c>
      <c r="D81" s="57">
        <v>320427</v>
      </c>
      <c r="E81" s="58">
        <v>82.8</v>
      </c>
      <c r="F81" s="57">
        <v>23430</v>
      </c>
      <c r="G81" s="57">
        <v>261911</v>
      </c>
      <c r="H81" s="58">
        <v>8.9</v>
      </c>
    </row>
    <row r="82" spans="1:8" x14ac:dyDescent="0.2">
      <c r="A82" s="56" t="s">
        <v>151</v>
      </c>
      <c r="B82" s="57">
        <v>250132</v>
      </c>
      <c r="C82" s="58">
        <v>76.5</v>
      </c>
      <c r="D82" s="57">
        <v>327075</v>
      </c>
      <c r="E82" s="58">
        <v>84.5</v>
      </c>
      <c r="F82" s="57">
        <v>28250</v>
      </c>
      <c r="G82" s="57">
        <v>266830</v>
      </c>
      <c r="H82" s="58">
        <v>10.6</v>
      </c>
    </row>
    <row r="83" spans="1:8" x14ac:dyDescent="0.2">
      <c r="A83" s="56" t="s">
        <v>152</v>
      </c>
      <c r="B83" s="57">
        <v>249432</v>
      </c>
      <c r="C83" s="58">
        <v>76.5</v>
      </c>
      <c r="D83" s="57">
        <v>326226</v>
      </c>
      <c r="E83" s="58">
        <v>84.3</v>
      </c>
      <c r="F83" s="57">
        <v>27804</v>
      </c>
      <c r="G83" s="57">
        <v>267433</v>
      </c>
      <c r="H83" s="58">
        <v>10.4</v>
      </c>
    </row>
    <row r="84" spans="1:8" x14ac:dyDescent="0.2">
      <c r="A84" s="56" t="s">
        <v>153</v>
      </c>
      <c r="B84" s="57">
        <v>249724</v>
      </c>
      <c r="C84" s="58">
        <v>76.099999999999994</v>
      </c>
      <c r="D84" s="57">
        <v>328181</v>
      </c>
      <c r="E84" s="58">
        <v>84.8</v>
      </c>
      <c r="F84" s="57">
        <v>28614</v>
      </c>
      <c r="G84" s="57">
        <v>268972</v>
      </c>
      <c r="H84" s="58">
        <v>10.6</v>
      </c>
    </row>
    <row r="85" spans="1:8" ht="24.95" customHeight="1" x14ac:dyDescent="0.2">
      <c r="A85" s="56" t="s">
        <v>154</v>
      </c>
      <c r="B85" s="57">
        <v>250645</v>
      </c>
      <c r="C85" s="58">
        <v>76.099999999999994</v>
      </c>
      <c r="D85" s="57">
        <v>329401</v>
      </c>
      <c r="E85" s="58">
        <v>85.1</v>
      </c>
      <c r="F85" s="57">
        <v>34300</v>
      </c>
      <c r="G85" s="57">
        <v>273480</v>
      </c>
      <c r="H85" s="58">
        <v>12.5</v>
      </c>
    </row>
    <row r="86" spans="1:8" x14ac:dyDescent="0.2">
      <c r="A86" s="56" t="s">
        <v>155</v>
      </c>
      <c r="B86" s="57">
        <v>252750</v>
      </c>
      <c r="C86" s="58">
        <v>76.8</v>
      </c>
      <c r="D86" s="57">
        <v>329048</v>
      </c>
      <c r="E86" s="58">
        <v>85</v>
      </c>
      <c r="F86" s="57">
        <v>30476</v>
      </c>
      <c r="G86" s="57">
        <v>277923</v>
      </c>
      <c r="H86" s="58">
        <v>11</v>
      </c>
    </row>
    <row r="87" spans="1:8" x14ac:dyDescent="0.2">
      <c r="A87" s="56" t="s">
        <v>156</v>
      </c>
      <c r="B87" s="57">
        <v>253583</v>
      </c>
      <c r="C87" s="58">
        <v>77.3</v>
      </c>
      <c r="D87" s="57">
        <v>327940</v>
      </c>
      <c r="E87" s="58">
        <v>84.7</v>
      </c>
      <c r="F87" s="57">
        <v>28372</v>
      </c>
      <c r="G87" s="57">
        <v>277649</v>
      </c>
      <c r="H87" s="58">
        <v>10.199999999999999</v>
      </c>
    </row>
    <row r="88" spans="1:8" x14ac:dyDescent="0.2">
      <c r="A88" s="56" t="s">
        <v>157</v>
      </c>
      <c r="B88" s="57">
        <v>254120</v>
      </c>
      <c r="C88" s="58">
        <v>78</v>
      </c>
      <c r="D88" s="57">
        <v>325807</v>
      </c>
      <c r="E88" s="58">
        <v>84.2</v>
      </c>
      <c r="F88" s="57">
        <v>29093</v>
      </c>
      <c r="G88" s="57">
        <v>280209</v>
      </c>
      <c r="H88" s="58">
        <v>10.4</v>
      </c>
    </row>
    <row r="89" spans="1:8" ht="24.95" customHeight="1" x14ac:dyDescent="0.2">
      <c r="A89" s="56" t="s">
        <v>158</v>
      </c>
      <c r="B89" s="57">
        <v>253168</v>
      </c>
      <c r="C89" s="58">
        <v>79.400000000000006</v>
      </c>
      <c r="D89" s="57">
        <v>318757</v>
      </c>
      <c r="E89" s="58">
        <v>82.3</v>
      </c>
      <c r="F89" s="57">
        <v>24533</v>
      </c>
      <c r="G89" s="57">
        <v>278096</v>
      </c>
      <c r="H89" s="58">
        <v>8.8000000000000007</v>
      </c>
    </row>
    <row r="90" spans="1:8" x14ac:dyDescent="0.2">
      <c r="A90" s="56" t="s">
        <v>159</v>
      </c>
      <c r="B90" s="57">
        <v>257218</v>
      </c>
      <c r="C90" s="58">
        <v>79.8</v>
      </c>
      <c r="D90" s="57">
        <v>322508</v>
      </c>
      <c r="E90" s="58">
        <v>83.3</v>
      </c>
      <c r="F90" s="57">
        <v>27722</v>
      </c>
      <c r="G90" s="57">
        <v>281330</v>
      </c>
      <c r="H90" s="58">
        <v>9.9</v>
      </c>
    </row>
    <row r="91" spans="1:8" x14ac:dyDescent="0.2">
      <c r="A91" s="56" t="s">
        <v>160</v>
      </c>
      <c r="B91" s="57">
        <v>259175</v>
      </c>
      <c r="C91" s="58">
        <v>80.400000000000006</v>
      </c>
      <c r="D91" s="57">
        <v>322513</v>
      </c>
      <c r="E91" s="58">
        <v>83.3</v>
      </c>
      <c r="F91" s="57">
        <v>24539</v>
      </c>
      <c r="G91" s="57">
        <v>280987</v>
      </c>
      <c r="H91" s="58">
        <v>8.6999999999999993</v>
      </c>
    </row>
    <row r="92" spans="1:8" x14ac:dyDescent="0.2">
      <c r="A92" s="56" t="s">
        <v>161</v>
      </c>
      <c r="B92" s="57">
        <v>260115</v>
      </c>
      <c r="C92" s="58">
        <v>81</v>
      </c>
      <c r="D92" s="57">
        <v>321268</v>
      </c>
      <c r="E92" s="58">
        <v>83</v>
      </c>
      <c r="F92" s="57">
        <v>22049</v>
      </c>
      <c r="G92" s="57">
        <v>281041</v>
      </c>
      <c r="H92" s="58">
        <v>7.8</v>
      </c>
    </row>
    <row r="93" spans="1:8" ht="24.95" customHeight="1" x14ac:dyDescent="0.2">
      <c r="A93" s="56" t="s">
        <v>162</v>
      </c>
      <c r="B93" s="57">
        <v>266049</v>
      </c>
      <c r="C93" s="58">
        <v>81</v>
      </c>
      <c r="D93" s="57">
        <v>328392</v>
      </c>
      <c r="E93" s="58">
        <v>84.8</v>
      </c>
      <c r="F93" s="57">
        <v>28332</v>
      </c>
      <c r="G93" s="57">
        <v>287534</v>
      </c>
      <c r="H93" s="58">
        <v>9.9</v>
      </c>
    </row>
    <row r="94" spans="1:8" x14ac:dyDescent="0.2">
      <c r="A94" s="56" t="s">
        <v>163</v>
      </c>
      <c r="B94" s="57">
        <v>269808</v>
      </c>
      <c r="C94" s="58">
        <v>81.5</v>
      </c>
      <c r="D94" s="57">
        <v>331133</v>
      </c>
      <c r="E94" s="58">
        <v>85.5</v>
      </c>
      <c r="F94" s="57">
        <v>25541</v>
      </c>
      <c r="G94" s="57">
        <v>288150</v>
      </c>
      <c r="H94" s="58">
        <v>8.9</v>
      </c>
    </row>
    <row r="95" spans="1:8" x14ac:dyDescent="0.2">
      <c r="A95" s="56" t="s">
        <v>164</v>
      </c>
      <c r="B95" s="57">
        <v>268014</v>
      </c>
      <c r="C95" s="58">
        <v>81.400000000000006</v>
      </c>
      <c r="D95" s="57">
        <v>329273</v>
      </c>
      <c r="E95" s="58">
        <v>85.1</v>
      </c>
      <c r="F95" s="57">
        <v>22296</v>
      </c>
      <c r="G95" s="57">
        <v>287544</v>
      </c>
      <c r="H95" s="58">
        <v>7.8</v>
      </c>
    </row>
    <row r="96" spans="1:8" x14ac:dyDescent="0.2">
      <c r="A96" s="56" t="s">
        <v>165</v>
      </c>
      <c r="B96" s="57">
        <v>270902</v>
      </c>
      <c r="C96" s="58">
        <v>82</v>
      </c>
      <c r="D96" s="57">
        <v>330466</v>
      </c>
      <c r="E96" s="58">
        <v>85.4</v>
      </c>
      <c r="F96" s="57">
        <v>18705</v>
      </c>
      <c r="G96" s="57">
        <v>289780</v>
      </c>
      <c r="H96" s="58">
        <v>6.5</v>
      </c>
    </row>
    <row r="97" spans="1:8" ht="24.95" customHeight="1" x14ac:dyDescent="0.2">
      <c r="A97" s="56" t="s">
        <v>166</v>
      </c>
      <c r="B97" s="57">
        <v>272235</v>
      </c>
      <c r="C97" s="58">
        <v>82.8</v>
      </c>
      <c r="D97" s="57">
        <v>328783</v>
      </c>
      <c r="E97" s="58">
        <v>84.9</v>
      </c>
      <c r="F97" s="57">
        <v>19419</v>
      </c>
      <c r="G97" s="57">
        <v>291783</v>
      </c>
      <c r="H97" s="58">
        <v>6.7</v>
      </c>
    </row>
    <row r="98" spans="1:8" x14ac:dyDescent="0.2">
      <c r="A98" s="56" t="s">
        <v>167</v>
      </c>
      <c r="B98" s="57">
        <v>278455</v>
      </c>
      <c r="C98" s="58">
        <v>83.3</v>
      </c>
      <c r="D98" s="57">
        <v>334298</v>
      </c>
      <c r="E98" s="58">
        <v>86.4</v>
      </c>
      <c r="F98" s="57">
        <v>23833</v>
      </c>
      <c r="G98" s="57">
        <v>300596</v>
      </c>
      <c r="H98" s="58">
        <v>7.9</v>
      </c>
    </row>
    <row r="99" spans="1:8" x14ac:dyDescent="0.2">
      <c r="A99" s="56" t="s">
        <v>168</v>
      </c>
      <c r="B99" s="57">
        <v>284016</v>
      </c>
      <c r="C99" s="58">
        <v>83.5</v>
      </c>
      <c r="D99" s="57">
        <v>340201</v>
      </c>
      <c r="E99" s="58">
        <v>87.9</v>
      </c>
      <c r="F99" s="57">
        <v>23370</v>
      </c>
      <c r="G99" s="57">
        <v>304231</v>
      </c>
      <c r="H99" s="58">
        <v>7.7</v>
      </c>
    </row>
    <row r="100" spans="1:8" x14ac:dyDescent="0.2">
      <c r="A100" s="56" t="s">
        <v>169</v>
      </c>
      <c r="B100" s="57">
        <v>288105</v>
      </c>
      <c r="C100" s="58">
        <v>83.5</v>
      </c>
      <c r="D100" s="57">
        <v>344999</v>
      </c>
      <c r="E100" s="58">
        <v>89.1</v>
      </c>
      <c r="F100" s="57">
        <v>27270</v>
      </c>
      <c r="G100" s="57">
        <v>309514</v>
      </c>
      <c r="H100" s="58">
        <v>8.8000000000000007</v>
      </c>
    </row>
    <row r="101" spans="1:8" ht="24.95" customHeight="1" x14ac:dyDescent="0.2">
      <c r="A101" s="56" t="s">
        <v>170</v>
      </c>
      <c r="B101" s="57">
        <v>289441</v>
      </c>
      <c r="C101" s="58">
        <v>83.9</v>
      </c>
      <c r="D101" s="57">
        <v>344918</v>
      </c>
      <c r="E101" s="58">
        <v>89.1</v>
      </c>
      <c r="F101" s="57">
        <v>26253</v>
      </c>
      <c r="G101" s="57">
        <v>310774</v>
      </c>
      <c r="H101" s="58">
        <v>8.4</v>
      </c>
    </row>
    <row r="102" spans="1:8" x14ac:dyDescent="0.2">
      <c r="A102" s="56" t="s">
        <v>171</v>
      </c>
      <c r="B102" s="57">
        <v>291259</v>
      </c>
      <c r="C102" s="58">
        <v>84.6</v>
      </c>
      <c r="D102" s="57">
        <v>344335</v>
      </c>
      <c r="E102" s="58">
        <v>88.9</v>
      </c>
      <c r="F102" s="57">
        <v>23306</v>
      </c>
      <c r="G102" s="57">
        <v>311839</v>
      </c>
      <c r="H102" s="58">
        <v>7.5</v>
      </c>
    </row>
    <row r="103" spans="1:8" x14ac:dyDescent="0.2">
      <c r="A103" s="56" t="s">
        <v>172</v>
      </c>
      <c r="B103" s="57">
        <v>290728</v>
      </c>
      <c r="C103" s="58">
        <v>84.4</v>
      </c>
      <c r="D103" s="57">
        <v>344655</v>
      </c>
      <c r="E103" s="58">
        <v>89</v>
      </c>
      <c r="F103" s="57">
        <v>17867</v>
      </c>
      <c r="G103" s="57">
        <v>310336</v>
      </c>
      <c r="H103" s="58">
        <v>5.8</v>
      </c>
    </row>
    <row r="104" spans="1:8" x14ac:dyDescent="0.2">
      <c r="A104" s="56" t="s">
        <v>173</v>
      </c>
      <c r="B104" s="57">
        <v>295639</v>
      </c>
      <c r="C104" s="58">
        <v>84.1</v>
      </c>
      <c r="D104" s="57">
        <v>351528</v>
      </c>
      <c r="E104" s="58">
        <v>90.8</v>
      </c>
      <c r="F104" s="57">
        <v>19672</v>
      </c>
      <c r="G104" s="57">
        <v>313121</v>
      </c>
      <c r="H104" s="58">
        <v>6.3</v>
      </c>
    </row>
    <row r="105" spans="1:8" ht="24.95" customHeight="1" x14ac:dyDescent="0.2">
      <c r="A105" s="56" t="s">
        <v>174</v>
      </c>
      <c r="B105" s="57">
        <v>299687</v>
      </c>
      <c r="C105" s="58">
        <v>83.6</v>
      </c>
      <c r="D105" s="57">
        <v>358282</v>
      </c>
      <c r="E105" s="58">
        <v>92.5</v>
      </c>
      <c r="F105" s="57">
        <v>24323</v>
      </c>
      <c r="G105" s="57">
        <v>317689</v>
      </c>
      <c r="H105" s="58">
        <v>7.7</v>
      </c>
    </row>
    <row r="106" spans="1:8" x14ac:dyDescent="0.2">
      <c r="A106" s="56" t="s">
        <v>175</v>
      </c>
      <c r="B106" s="57">
        <v>307458</v>
      </c>
      <c r="C106" s="58">
        <v>83.8</v>
      </c>
      <c r="D106" s="57">
        <v>366745</v>
      </c>
      <c r="E106" s="58">
        <v>94.7</v>
      </c>
      <c r="F106" s="57">
        <v>32636</v>
      </c>
      <c r="G106" s="57">
        <v>327939</v>
      </c>
      <c r="H106" s="58">
        <v>10</v>
      </c>
    </row>
    <row r="107" spans="1:8" x14ac:dyDescent="0.2">
      <c r="A107" s="56" t="s">
        <v>176</v>
      </c>
      <c r="B107" s="57">
        <v>314328</v>
      </c>
      <c r="C107" s="58">
        <v>84.1</v>
      </c>
      <c r="D107" s="57">
        <v>373967</v>
      </c>
      <c r="E107" s="58">
        <v>96.6</v>
      </c>
      <c r="F107" s="57">
        <v>31934</v>
      </c>
      <c r="G107" s="57">
        <v>331813</v>
      </c>
      <c r="H107" s="58">
        <v>9.6</v>
      </c>
    </row>
    <row r="108" spans="1:8" x14ac:dyDescent="0.2">
      <c r="A108" s="56" t="s">
        <v>177</v>
      </c>
      <c r="B108" s="57">
        <v>315432</v>
      </c>
      <c r="C108" s="58">
        <v>84.2</v>
      </c>
      <c r="D108" s="57">
        <v>374799</v>
      </c>
      <c r="E108" s="58">
        <v>96.8</v>
      </c>
      <c r="F108" s="57">
        <v>35874</v>
      </c>
      <c r="G108" s="57">
        <v>335357</v>
      </c>
      <c r="H108" s="58">
        <v>10.7</v>
      </c>
    </row>
    <row r="109" spans="1:8" ht="24.95" customHeight="1" x14ac:dyDescent="0.2">
      <c r="A109" s="56" t="s">
        <v>178</v>
      </c>
      <c r="B109" s="57">
        <v>314292</v>
      </c>
      <c r="C109" s="58">
        <v>84.3</v>
      </c>
      <c r="D109" s="57">
        <v>372926</v>
      </c>
      <c r="E109" s="58">
        <v>96.3</v>
      </c>
      <c r="F109" s="57">
        <v>25802</v>
      </c>
      <c r="G109" s="57">
        <v>332148</v>
      </c>
      <c r="H109" s="58">
        <v>7.8</v>
      </c>
    </row>
    <row r="110" spans="1:8" x14ac:dyDescent="0.2">
      <c r="A110" s="56" t="s">
        <v>179</v>
      </c>
      <c r="B110" s="57">
        <v>315618</v>
      </c>
      <c r="C110" s="58">
        <v>84.6</v>
      </c>
      <c r="D110" s="57">
        <v>372851</v>
      </c>
      <c r="E110" s="58">
        <v>96.3</v>
      </c>
      <c r="F110" s="57">
        <v>21744</v>
      </c>
      <c r="G110" s="57">
        <v>332112</v>
      </c>
      <c r="H110" s="58">
        <v>6.5</v>
      </c>
    </row>
    <row r="111" spans="1:8" x14ac:dyDescent="0.2">
      <c r="A111" s="56" t="s">
        <v>180</v>
      </c>
      <c r="B111" s="57">
        <v>315796</v>
      </c>
      <c r="C111" s="58">
        <v>85.3</v>
      </c>
      <c r="D111" s="57">
        <v>370130</v>
      </c>
      <c r="E111" s="58">
        <v>95.6</v>
      </c>
      <c r="F111" s="57">
        <v>14770</v>
      </c>
      <c r="G111" s="57">
        <v>330332</v>
      </c>
      <c r="H111" s="58">
        <v>4.5</v>
      </c>
    </row>
    <row r="112" spans="1:8" x14ac:dyDescent="0.2">
      <c r="A112" s="56" t="s">
        <v>181</v>
      </c>
      <c r="B112" s="57">
        <v>315752</v>
      </c>
      <c r="C112" s="58">
        <v>85.7</v>
      </c>
      <c r="D112" s="57">
        <v>368290</v>
      </c>
      <c r="E112" s="58">
        <v>95.1</v>
      </c>
      <c r="F112" s="57">
        <v>17095</v>
      </c>
      <c r="G112" s="57">
        <v>334164</v>
      </c>
      <c r="H112" s="58">
        <v>5.0999999999999996</v>
      </c>
    </row>
    <row r="113" spans="1:12" ht="24.95" customHeight="1" x14ac:dyDescent="0.2">
      <c r="A113" s="56" t="s">
        <v>182</v>
      </c>
      <c r="B113" s="57">
        <v>316286</v>
      </c>
      <c r="C113" s="58">
        <v>85.7</v>
      </c>
      <c r="D113" s="57">
        <v>368849</v>
      </c>
      <c r="E113" s="58">
        <v>95.3</v>
      </c>
      <c r="F113" s="57">
        <v>13169</v>
      </c>
      <c r="G113" s="57">
        <v>332481</v>
      </c>
      <c r="H113" s="58">
        <v>4</v>
      </c>
    </row>
    <row r="114" spans="1:12" x14ac:dyDescent="0.2">
      <c r="A114" s="56" t="s">
        <v>183</v>
      </c>
      <c r="B114" s="57">
        <v>324602</v>
      </c>
      <c r="C114" s="58">
        <v>86.4</v>
      </c>
      <c r="D114" s="57">
        <v>375675</v>
      </c>
      <c r="E114" s="58">
        <v>97</v>
      </c>
      <c r="F114" s="57">
        <v>20294</v>
      </c>
      <c r="G114" s="57">
        <v>341890</v>
      </c>
      <c r="H114" s="58">
        <v>5.9</v>
      </c>
    </row>
    <row r="115" spans="1:12" x14ac:dyDescent="0.2">
      <c r="A115" s="56" t="s">
        <v>184</v>
      </c>
      <c r="B115" s="57">
        <v>327249</v>
      </c>
      <c r="C115" s="58">
        <v>86.8</v>
      </c>
      <c r="D115" s="57">
        <v>377111</v>
      </c>
      <c r="E115" s="58">
        <v>97.4</v>
      </c>
      <c r="F115" s="57">
        <v>18835</v>
      </c>
      <c r="G115" s="57">
        <v>343895</v>
      </c>
      <c r="H115" s="58">
        <v>5.5</v>
      </c>
    </row>
    <row r="116" spans="1:12" x14ac:dyDescent="0.2">
      <c r="A116" s="56" t="s">
        <v>185</v>
      </c>
      <c r="B116" s="57">
        <v>329861</v>
      </c>
      <c r="C116" s="58">
        <v>87.3</v>
      </c>
      <c r="D116" s="57">
        <v>377799</v>
      </c>
      <c r="E116" s="58">
        <v>97.6</v>
      </c>
      <c r="F116" s="57">
        <v>16264</v>
      </c>
      <c r="G116" s="57">
        <v>344865</v>
      </c>
      <c r="H116" s="58">
        <v>4.7</v>
      </c>
    </row>
    <row r="117" spans="1:12" ht="24.95" customHeight="1" x14ac:dyDescent="0.2">
      <c r="A117" s="56" t="s">
        <v>186</v>
      </c>
      <c r="B117" s="57">
        <v>335845</v>
      </c>
      <c r="C117" s="58">
        <v>87.8</v>
      </c>
      <c r="D117" s="57">
        <v>382488</v>
      </c>
      <c r="E117" s="58">
        <v>98.8</v>
      </c>
      <c r="F117" s="57">
        <v>20406</v>
      </c>
      <c r="G117" s="57">
        <v>352799</v>
      </c>
      <c r="H117" s="58">
        <v>5.8</v>
      </c>
    </row>
    <row r="118" spans="1:12" x14ac:dyDescent="0.2">
      <c r="A118" s="56" t="s">
        <v>187</v>
      </c>
      <c r="B118" s="57">
        <v>334793</v>
      </c>
      <c r="C118" s="58">
        <v>88.1</v>
      </c>
      <c r="D118" s="57">
        <v>380137</v>
      </c>
      <c r="E118" s="58">
        <v>98.2</v>
      </c>
      <c r="F118" s="57">
        <v>18526</v>
      </c>
      <c r="G118" s="57">
        <v>351030</v>
      </c>
      <c r="H118" s="58">
        <v>5.3</v>
      </c>
    </row>
    <row r="119" spans="1:12" x14ac:dyDescent="0.2">
      <c r="A119" s="56" t="s">
        <v>188</v>
      </c>
      <c r="B119" s="57">
        <v>337797</v>
      </c>
      <c r="C119" s="58">
        <v>88.6</v>
      </c>
      <c r="D119" s="57">
        <v>381367</v>
      </c>
      <c r="E119" s="58">
        <v>98.5</v>
      </c>
      <c r="F119" s="57">
        <v>19245</v>
      </c>
      <c r="G119" s="57">
        <v>356007</v>
      </c>
      <c r="H119" s="58">
        <v>5.4</v>
      </c>
    </row>
    <row r="120" spans="1:12" x14ac:dyDescent="0.2">
      <c r="A120" s="56" t="s">
        <v>189</v>
      </c>
      <c r="B120" s="57">
        <v>344261</v>
      </c>
      <c r="C120" s="58">
        <v>89.1</v>
      </c>
      <c r="D120" s="57">
        <v>386489</v>
      </c>
      <c r="E120" s="58">
        <v>99.8</v>
      </c>
      <c r="F120" s="57">
        <v>18227</v>
      </c>
      <c r="G120" s="57">
        <v>360299</v>
      </c>
      <c r="H120" s="58">
        <v>5.0999999999999996</v>
      </c>
    </row>
    <row r="121" spans="1:12" ht="24.95" customHeight="1" x14ac:dyDescent="0.2">
      <c r="A121" s="56" t="s">
        <v>190</v>
      </c>
      <c r="B121" s="57">
        <v>343714</v>
      </c>
      <c r="C121" s="58">
        <v>89.2</v>
      </c>
      <c r="D121" s="57">
        <v>385409</v>
      </c>
      <c r="E121" s="58">
        <v>99.6</v>
      </c>
      <c r="F121" s="57">
        <v>18549</v>
      </c>
      <c r="G121" s="57">
        <v>360658</v>
      </c>
      <c r="H121" s="58">
        <v>5.0999999999999996</v>
      </c>
    </row>
    <row r="122" spans="1:12" x14ac:dyDescent="0.2">
      <c r="A122" s="56" t="s">
        <v>191</v>
      </c>
      <c r="B122" s="57">
        <v>350392</v>
      </c>
      <c r="C122" s="58">
        <v>89.6</v>
      </c>
      <c r="D122" s="57">
        <v>391052</v>
      </c>
      <c r="E122" s="58">
        <v>101</v>
      </c>
      <c r="F122" s="57">
        <v>21363</v>
      </c>
      <c r="G122" s="57">
        <v>366387</v>
      </c>
      <c r="H122" s="58">
        <v>5.8</v>
      </c>
    </row>
    <row r="123" spans="1:12" x14ac:dyDescent="0.2">
      <c r="A123" s="56" t="s">
        <v>192</v>
      </c>
      <c r="B123" s="57">
        <v>351426</v>
      </c>
      <c r="C123" s="58">
        <v>89.9</v>
      </c>
      <c r="D123" s="57">
        <v>390720</v>
      </c>
      <c r="E123" s="58">
        <v>100.9</v>
      </c>
      <c r="F123" s="57">
        <v>18629</v>
      </c>
      <c r="G123" s="57">
        <v>364593</v>
      </c>
      <c r="H123" s="58">
        <v>5.0999999999999996</v>
      </c>
      <c r="J123" s="45" t="s">
        <v>1333</v>
      </c>
      <c r="L123" s="45" t="s">
        <v>1334</v>
      </c>
    </row>
    <row r="124" spans="1:12" x14ac:dyDescent="0.2">
      <c r="A124" s="56" t="s">
        <v>193</v>
      </c>
      <c r="B124" s="57">
        <v>354704</v>
      </c>
      <c r="C124" s="58">
        <v>90</v>
      </c>
      <c r="D124" s="57">
        <v>393961</v>
      </c>
      <c r="E124" s="58">
        <v>101.8</v>
      </c>
      <c r="F124" s="57">
        <v>21623</v>
      </c>
      <c r="G124" s="57">
        <v>367175</v>
      </c>
      <c r="H124" s="58">
        <v>5.9</v>
      </c>
      <c r="J124" s="59">
        <f>AVERAGE(H85:H124)</f>
        <v>7.4250000000000016</v>
      </c>
      <c r="L124" s="59">
        <f>AVERAGE(H105:H124)</f>
        <v>6.2750000000000004</v>
      </c>
    </row>
    <row r="125" spans="1:12" ht="24.95" customHeight="1" x14ac:dyDescent="0.2">
      <c r="A125" s="56" t="s">
        <v>194</v>
      </c>
      <c r="B125" s="57">
        <v>348368</v>
      </c>
      <c r="C125" s="58">
        <v>89.6</v>
      </c>
      <c r="D125" s="57">
        <v>389049</v>
      </c>
      <c r="E125" s="58">
        <v>100.5</v>
      </c>
      <c r="F125" s="57">
        <v>25863</v>
      </c>
      <c r="G125" s="57">
        <v>359552</v>
      </c>
      <c r="H125" s="58">
        <v>7.2</v>
      </c>
    </row>
    <row r="126" spans="1:12" x14ac:dyDescent="0.2">
      <c r="A126" s="56" t="s">
        <v>195</v>
      </c>
      <c r="B126" s="57">
        <v>342817</v>
      </c>
      <c r="C126" s="58">
        <v>89.4</v>
      </c>
      <c r="D126" s="57">
        <v>383332</v>
      </c>
      <c r="E126" s="58">
        <v>99</v>
      </c>
      <c r="F126" s="57">
        <v>97068</v>
      </c>
      <c r="G126" s="57">
        <v>353343</v>
      </c>
      <c r="H126" s="58">
        <v>27.5</v>
      </c>
    </row>
    <row r="127" spans="1:12" x14ac:dyDescent="0.2">
      <c r="A127" s="56" t="s">
        <v>196</v>
      </c>
      <c r="B127" s="57">
        <v>353312</v>
      </c>
      <c r="C127" s="58">
        <v>90</v>
      </c>
      <c r="D127" s="57">
        <v>392641</v>
      </c>
      <c r="E127" s="58">
        <v>101.4</v>
      </c>
      <c r="F127" s="57">
        <v>56105</v>
      </c>
      <c r="G127" s="57">
        <v>364158</v>
      </c>
      <c r="H127" s="58">
        <v>15.4</v>
      </c>
    </row>
    <row r="128" spans="1:12" x14ac:dyDescent="0.2">
      <c r="A128" s="56" t="s">
        <v>197</v>
      </c>
      <c r="B128" s="57">
        <v>355586</v>
      </c>
      <c r="C128" s="58">
        <v>90.1</v>
      </c>
      <c r="D128" s="57">
        <v>394748</v>
      </c>
      <c r="E128" s="58">
        <v>102</v>
      </c>
      <c r="F128" s="57">
        <v>62933</v>
      </c>
      <c r="G128" s="57">
        <v>365262</v>
      </c>
      <c r="H128" s="58">
        <v>17.2</v>
      </c>
    </row>
    <row r="129" spans="1:8" ht="24.95" customHeight="1" x14ac:dyDescent="0.2">
      <c r="A129" s="56" t="s">
        <v>198</v>
      </c>
      <c r="B129" s="57">
        <v>359466</v>
      </c>
      <c r="C129" s="58">
        <v>90.6</v>
      </c>
      <c r="D129" s="57">
        <v>396682</v>
      </c>
      <c r="E129" s="58">
        <v>102.5</v>
      </c>
      <c r="F129" s="57">
        <v>81870</v>
      </c>
      <c r="G129" s="57">
        <v>375349</v>
      </c>
      <c r="H129" s="58">
        <v>21.8</v>
      </c>
    </row>
    <row r="130" spans="1:8" x14ac:dyDescent="0.2">
      <c r="A130" s="56" t="s">
        <v>199</v>
      </c>
      <c r="B130" s="57">
        <v>363406</v>
      </c>
      <c r="C130" s="58">
        <v>91.1</v>
      </c>
      <c r="D130" s="57">
        <v>398701</v>
      </c>
      <c r="E130" s="58">
        <v>103</v>
      </c>
      <c r="F130" s="57">
        <v>47148</v>
      </c>
      <c r="G130" s="57">
        <v>376238</v>
      </c>
      <c r="H130" s="58">
        <v>12.5</v>
      </c>
    </row>
    <row r="131" spans="1:8" x14ac:dyDescent="0.2">
      <c r="A131" s="56" t="s">
        <v>200</v>
      </c>
      <c r="B131" s="57">
        <v>365563</v>
      </c>
      <c r="C131" s="58">
        <v>92.5</v>
      </c>
      <c r="D131" s="57">
        <v>394958</v>
      </c>
      <c r="E131" s="58">
        <v>102</v>
      </c>
      <c r="F131" s="57">
        <v>35521</v>
      </c>
      <c r="G131" s="57">
        <v>379611</v>
      </c>
      <c r="H131" s="58">
        <v>9.4</v>
      </c>
    </row>
    <row r="132" spans="1:8" x14ac:dyDescent="0.2">
      <c r="A132" s="56" t="s">
        <v>201</v>
      </c>
      <c r="B132" s="57">
        <v>366952</v>
      </c>
      <c r="C132" s="58">
        <v>94.5</v>
      </c>
      <c r="D132" s="57">
        <v>387966</v>
      </c>
      <c r="E132" s="58">
        <v>100.2</v>
      </c>
      <c r="F132" s="57">
        <v>26707</v>
      </c>
      <c r="G132" s="57">
        <v>379371</v>
      </c>
      <c r="H132" s="58">
        <v>7</v>
      </c>
    </row>
    <row r="133" spans="1:8" ht="24.95" customHeight="1" x14ac:dyDescent="0.2">
      <c r="A133" s="56" t="s">
        <v>202</v>
      </c>
      <c r="B133" s="57">
        <v>371922</v>
      </c>
      <c r="C133" s="58">
        <v>96.1</v>
      </c>
      <c r="D133" s="57">
        <v>386881</v>
      </c>
      <c r="E133" s="58">
        <v>99.9</v>
      </c>
      <c r="F133" s="57">
        <v>27254</v>
      </c>
      <c r="G133" s="57">
        <v>390521</v>
      </c>
      <c r="H133" s="58">
        <v>7</v>
      </c>
    </row>
    <row r="134" spans="1:8" x14ac:dyDescent="0.2">
      <c r="A134" s="56" t="s">
        <v>203</v>
      </c>
      <c r="B134" s="57">
        <v>380698</v>
      </c>
      <c r="C134" s="58">
        <v>99.4</v>
      </c>
      <c r="D134" s="57">
        <v>382940</v>
      </c>
      <c r="E134" s="58">
        <v>98.9</v>
      </c>
      <c r="F134" s="57">
        <v>18074</v>
      </c>
      <c r="G134" s="57">
        <v>400212</v>
      </c>
      <c r="H134" s="58">
        <v>4.5</v>
      </c>
    </row>
    <row r="135" spans="1:8" x14ac:dyDescent="0.2">
      <c r="A135" s="56" t="s">
        <v>204</v>
      </c>
      <c r="B135" s="57">
        <v>388424</v>
      </c>
      <c r="C135" s="58">
        <v>100.9</v>
      </c>
      <c r="D135" s="57">
        <v>385064</v>
      </c>
      <c r="E135" s="58">
        <v>99.5</v>
      </c>
      <c r="F135" s="57">
        <v>25036</v>
      </c>
      <c r="G135" s="57">
        <v>413452</v>
      </c>
      <c r="H135" s="58">
        <v>6.1</v>
      </c>
    </row>
    <row r="136" spans="1:8" x14ac:dyDescent="0.2">
      <c r="A136" s="56" t="s">
        <v>205</v>
      </c>
      <c r="B136" s="57">
        <v>407500</v>
      </c>
      <c r="C136" s="58">
        <v>103.5</v>
      </c>
      <c r="D136" s="57">
        <v>393659</v>
      </c>
      <c r="E136" s="58">
        <v>101.7</v>
      </c>
      <c r="F136" s="57">
        <v>27720</v>
      </c>
      <c r="G136" s="57">
        <v>428643</v>
      </c>
      <c r="H136" s="58">
        <v>6.5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Chart Data</vt:lpstr>
      <vt:lpstr>HAVERD</vt:lpstr>
      <vt:lpstr>GMW</vt:lpstr>
      <vt:lpstr>Data</vt:lpstr>
      <vt:lpstr>ONS - Annex F</vt:lpstr>
      <vt:lpstr>ONS - Table 1</vt:lpstr>
      <vt:lpstr>ONS - Table 2</vt:lpstr>
      <vt:lpstr>ONS - B_3 </vt:lpstr>
      <vt:lpstr>Chart1</vt:lpstr>
      <vt:lpstr>Chart2</vt:lpstr>
      <vt:lpstr>Chart3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2024-08-07T09:07:16Z</dcterms:created>
  <dcterms:modified xsi:type="dcterms:W3CDTF">2024-08-09T08:52:08Z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2024-08-07T09:08:14Z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05373ff0-d1dc-43a9-89ef-eee314285e47</vt:lpwstr>
  </property>
  <property fmtid="{D5CDD505-2E9C-101B-9397-08002B2CF9AE}" pid="8" name="MSIP_Label_231f5784-19ed-4d1e-9a93-4ea41014d730_ContentBits">
    <vt:lpwstr>0</vt:lpwstr>
  </property>
</Properties>
</file>