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13ACBCAE-57DD-42FA-B404-A35AA2431DB9}" xr6:coauthVersionLast="47" xr6:coauthVersionMax="47" xr10:uidLastSave="{00000000-0000-0000-0000-000000000000}"/>
  <bookViews>
    <workbookView xWindow="-110" yWindow="-110" windowWidth="19420" windowHeight="10300" activeTab="1" xr2:uid="{2878C8D0-EBA7-4D82-9EE2-025F38D2BAC7}"/>
  </bookViews>
  <sheets>
    <sheet name="HAVERW" sheetId="1" r:id="rId1"/>
    <sheet name="Chart1" sheetId="3" r:id="rId2"/>
    <sheet name="Chart data" sheetId="2" r:id="rId3"/>
  </sheets>
  <definedNames>
    <definedName name="_DLX1.INC">HAVERW!$A$4:$D$10</definedName>
    <definedName name="_DLX2.IN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11" i="1"/>
  <c r="B5" i="2"/>
  <c r="C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C6" i="2"/>
  <c r="C7" i="2"/>
  <c r="C8" i="2"/>
  <c r="C9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10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6" i="2"/>
</calcChain>
</file>

<file path=xl/sharedStrings.xml><?xml version="1.0" encoding="utf-8"?>
<sst xmlns="http://schemas.openxmlformats.org/spreadsheetml/2006/main" count="413" uniqueCount="411">
  <si>
    <t>PEBRT@DAILY</t>
  </si>
  <si>
    <t>X112USB@INTDAILY</t>
  </si>
  <si>
    <t>P112GPU@INTWKLY</t>
  </si>
  <si>
    <t>.FRQ</t>
  </si>
  <si>
    <t>.DTLM</t>
  </si>
  <si>
    <t>.LSOURCE</t>
  </si>
  <si>
    <t>.TN</t>
  </si>
  <si>
    <t>.T1</t>
  </si>
  <si>
    <t>.DESC</t>
  </si>
  <si>
    <t>Weekly (Mon)</t>
  </si>
  <si>
    <t>Mar-24-2026 10:11</t>
  </si>
  <si>
    <t>UK Department of Energy &amp; Climate Change</t>
  </si>
  <si>
    <t>23-Mar-2026W</t>
  </si>
  <si>
    <t>09-Jun-2003W</t>
  </si>
  <si>
    <t>United Kingdom: Pump Price: Ultra Low Sulfur Unleaded Petrol (Pence/Liter)</t>
  </si>
  <si>
    <t>Mar-26-2026 13:14</t>
  </si>
  <si>
    <t>Energy Information Administration</t>
  </si>
  <si>
    <t>Europe Brent Spot Price FOB (US$ per Barrel)</t>
  </si>
  <si>
    <t>Mar-26-2026 09:32</t>
  </si>
  <si>
    <t>Bank of England</t>
  </si>
  <si>
    <t>UK: Spot Exchange Rate: US Dollar (US$/GBP)</t>
  </si>
  <si>
    <t>20181231W</t>
  </si>
  <si>
    <t>20190107W</t>
  </si>
  <si>
    <t>20190114W</t>
  </si>
  <si>
    <t>20190121W</t>
  </si>
  <si>
    <t>20190128W</t>
  </si>
  <si>
    <t>20190204W</t>
  </si>
  <si>
    <t>20190211W</t>
  </si>
  <si>
    <t>20190218W</t>
  </si>
  <si>
    <t>20190225W</t>
  </si>
  <si>
    <t>20190304W</t>
  </si>
  <si>
    <t>20190311W</t>
  </si>
  <si>
    <t>20190318W</t>
  </si>
  <si>
    <t>20190325W</t>
  </si>
  <si>
    <t>20190401W</t>
  </si>
  <si>
    <t>20190408W</t>
  </si>
  <si>
    <t>20190415W</t>
  </si>
  <si>
    <t>20190422W</t>
  </si>
  <si>
    <t>20190429W</t>
  </si>
  <si>
    <t>20190506W</t>
  </si>
  <si>
    <t>20190513W</t>
  </si>
  <si>
    <t>20190520W</t>
  </si>
  <si>
    <t>20190527W</t>
  </si>
  <si>
    <t>20190603W</t>
  </si>
  <si>
    <t>20190610W</t>
  </si>
  <si>
    <t>20190617W</t>
  </si>
  <si>
    <t>20190624W</t>
  </si>
  <si>
    <t>20190701W</t>
  </si>
  <si>
    <t>20190708W</t>
  </si>
  <si>
    <t>20190715W</t>
  </si>
  <si>
    <t>20190722W</t>
  </si>
  <si>
    <t>20190729W</t>
  </si>
  <si>
    <t>20190805W</t>
  </si>
  <si>
    <t>20190812W</t>
  </si>
  <si>
    <t>20190819W</t>
  </si>
  <si>
    <t>20190826W</t>
  </si>
  <si>
    <t>20190902W</t>
  </si>
  <si>
    <t>20190909W</t>
  </si>
  <si>
    <t>20190916W</t>
  </si>
  <si>
    <t>20190923W</t>
  </si>
  <si>
    <t>20190930W</t>
  </si>
  <si>
    <t>20191007W</t>
  </si>
  <si>
    <t>20191014W</t>
  </si>
  <si>
    <t>20191021W</t>
  </si>
  <si>
    <t>20191028W</t>
  </si>
  <si>
    <t>20191104W</t>
  </si>
  <si>
    <t>20191111W</t>
  </si>
  <si>
    <t>20191118W</t>
  </si>
  <si>
    <t>20191125W</t>
  </si>
  <si>
    <t>20191202W</t>
  </si>
  <si>
    <t>20191209W</t>
  </si>
  <si>
    <t>20191216W</t>
  </si>
  <si>
    <t>20191223W</t>
  </si>
  <si>
    <t>20191230W</t>
  </si>
  <si>
    <t>20200106W</t>
  </si>
  <si>
    <t>20200113W</t>
  </si>
  <si>
    <t>20200120W</t>
  </si>
  <si>
    <t>20200127W</t>
  </si>
  <si>
    <t>20200203W</t>
  </si>
  <si>
    <t>20200210W</t>
  </si>
  <si>
    <t>20200217W</t>
  </si>
  <si>
    <t>20200224W</t>
  </si>
  <si>
    <t>20200302W</t>
  </si>
  <si>
    <t>20200309W</t>
  </si>
  <si>
    <t>20200316W</t>
  </si>
  <si>
    <t>20200323W</t>
  </si>
  <si>
    <t>20200330W</t>
  </si>
  <si>
    <t>20200406W</t>
  </si>
  <si>
    <t>20200413W</t>
  </si>
  <si>
    <t>20200420W</t>
  </si>
  <si>
    <t>20200427W</t>
  </si>
  <si>
    <t>20200504W</t>
  </si>
  <si>
    <t>20200511W</t>
  </si>
  <si>
    <t>20200518W</t>
  </si>
  <si>
    <t>20200525W</t>
  </si>
  <si>
    <t>20200601W</t>
  </si>
  <si>
    <t>20200608W</t>
  </si>
  <si>
    <t>20200615W</t>
  </si>
  <si>
    <t>20200622W</t>
  </si>
  <si>
    <t>20200629W</t>
  </si>
  <si>
    <t>20200706W</t>
  </si>
  <si>
    <t>20200713W</t>
  </si>
  <si>
    <t>20200720W</t>
  </si>
  <si>
    <t>20200727W</t>
  </si>
  <si>
    <t>20200803W</t>
  </si>
  <si>
    <t>20200810W</t>
  </si>
  <si>
    <t>20200817W</t>
  </si>
  <si>
    <t>20200824W</t>
  </si>
  <si>
    <t>20200831W</t>
  </si>
  <si>
    <t>20200907W</t>
  </si>
  <si>
    <t>20200914W</t>
  </si>
  <si>
    <t>20200921W</t>
  </si>
  <si>
    <t>20200928W</t>
  </si>
  <si>
    <t>20201005W</t>
  </si>
  <si>
    <t>20201012W</t>
  </si>
  <si>
    <t>20201019W</t>
  </si>
  <si>
    <t>20201026W</t>
  </si>
  <si>
    <t>20201102W</t>
  </si>
  <si>
    <t>20201109W</t>
  </si>
  <si>
    <t>20201116W</t>
  </si>
  <si>
    <t>20201123W</t>
  </si>
  <si>
    <t>20201130W</t>
  </si>
  <si>
    <t>20201207W</t>
  </si>
  <si>
    <t>20201214W</t>
  </si>
  <si>
    <t>20201221W</t>
  </si>
  <si>
    <t>20201228W</t>
  </si>
  <si>
    <t>20210104W</t>
  </si>
  <si>
    <t>20210111W</t>
  </si>
  <si>
    <t>20210118W</t>
  </si>
  <si>
    <t>20210125W</t>
  </si>
  <si>
    <t>20210201W</t>
  </si>
  <si>
    <t>20210208W</t>
  </si>
  <si>
    <t>20210215W</t>
  </si>
  <si>
    <t>20210222W</t>
  </si>
  <si>
    <t>20210301W</t>
  </si>
  <si>
    <t>20210308W</t>
  </si>
  <si>
    <t>20210315W</t>
  </si>
  <si>
    <t>20210322W</t>
  </si>
  <si>
    <t>20210329W</t>
  </si>
  <si>
    <t>20210405W</t>
  </si>
  <si>
    <t>20210412W</t>
  </si>
  <si>
    <t>20210419W</t>
  </si>
  <si>
    <t>20210426W</t>
  </si>
  <si>
    <t>20210503W</t>
  </si>
  <si>
    <t>20210510W</t>
  </si>
  <si>
    <t>20210517W</t>
  </si>
  <si>
    <t>20210524W</t>
  </si>
  <si>
    <t>20210531W</t>
  </si>
  <si>
    <t>20210607W</t>
  </si>
  <si>
    <t>20210614W</t>
  </si>
  <si>
    <t>20210621W</t>
  </si>
  <si>
    <t>20210628W</t>
  </si>
  <si>
    <t>20210705W</t>
  </si>
  <si>
    <t>20210712W</t>
  </si>
  <si>
    <t>20210719W</t>
  </si>
  <si>
    <t>20210726W</t>
  </si>
  <si>
    <t>20210802W</t>
  </si>
  <si>
    <t>20210809W</t>
  </si>
  <si>
    <t>20210816W</t>
  </si>
  <si>
    <t>20210823W</t>
  </si>
  <si>
    <t>20210830W</t>
  </si>
  <si>
    <t>20210906W</t>
  </si>
  <si>
    <t>20210913W</t>
  </si>
  <si>
    <t>20210920W</t>
  </si>
  <si>
    <t>20210927W</t>
  </si>
  <si>
    <t>20211004W</t>
  </si>
  <si>
    <t>20211011W</t>
  </si>
  <si>
    <t>20211018W</t>
  </si>
  <si>
    <t>20211025W</t>
  </si>
  <si>
    <t>20211101W</t>
  </si>
  <si>
    <t>20211108W</t>
  </si>
  <si>
    <t>20211115W</t>
  </si>
  <si>
    <t>20211122W</t>
  </si>
  <si>
    <t>20211129W</t>
  </si>
  <si>
    <t>20211206W</t>
  </si>
  <si>
    <t>20211213W</t>
  </si>
  <si>
    <t>20211220W</t>
  </si>
  <si>
    <t>20211227W</t>
  </si>
  <si>
    <t>20220103W</t>
  </si>
  <si>
    <t>20220110W</t>
  </si>
  <si>
    <t>20220117W</t>
  </si>
  <si>
    <t>20220124W</t>
  </si>
  <si>
    <t>20220131W</t>
  </si>
  <si>
    <t>20220207W</t>
  </si>
  <si>
    <t>20220214W</t>
  </si>
  <si>
    <t>20220221W</t>
  </si>
  <si>
    <t>20220228W</t>
  </si>
  <si>
    <t>20220307W</t>
  </si>
  <si>
    <t>20220314W</t>
  </si>
  <si>
    <t>20220321W</t>
  </si>
  <si>
    <t>20220328W</t>
  </si>
  <si>
    <t>20220404W</t>
  </si>
  <si>
    <t>20220411W</t>
  </si>
  <si>
    <t>20220418W</t>
  </si>
  <si>
    <t>20220425W</t>
  </si>
  <si>
    <t>20220502W</t>
  </si>
  <si>
    <t>20220509W</t>
  </si>
  <si>
    <t>20220516W</t>
  </si>
  <si>
    <t>20220523W</t>
  </si>
  <si>
    <t>20220530W</t>
  </si>
  <si>
    <t>20220606W</t>
  </si>
  <si>
    <t>20220613W</t>
  </si>
  <si>
    <t>20220620W</t>
  </si>
  <si>
    <t>20220627W</t>
  </si>
  <si>
    <t>20220704W</t>
  </si>
  <si>
    <t>20220711W</t>
  </si>
  <si>
    <t>20220718W</t>
  </si>
  <si>
    <t>20220725W</t>
  </si>
  <si>
    <t>20220801W</t>
  </si>
  <si>
    <t>20220808W</t>
  </si>
  <si>
    <t>20220815W</t>
  </si>
  <si>
    <t>20220822W</t>
  </si>
  <si>
    <t>20220829W</t>
  </si>
  <si>
    <t>20220905W</t>
  </si>
  <si>
    <t>20220912W</t>
  </si>
  <si>
    <t>20220919W</t>
  </si>
  <si>
    <t>20220926W</t>
  </si>
  <si>
    <t>20221003W</t>
  </si>
  <si>
    <t>20221010W</t>
  </si>
  <si>
    <t>20221017W</t>
  </si>
  <si>
    <t>20221024W</t>
  </si>
  <si>
    <t>20221031W</t>
  </si>
  <si>
    <t>20221107W</t>
  </si>
  <si>
    <t>20221114W</t>
  </si>
  <si>
    <t>20221121W</t>
  </si>
  <si>
    <t>20221128W</t>
  </si>
  <si>
    <t>20221205W</t>
  </si>
  <si>
    <t>20221212W</t>
  </si>
  <si>
    <t>20221219W</t>
  </si>
  <si>
    <t>20221226W</t>
  </si>
  <si>
    <t>20230102W</t>
  </si>
  <si>
    <t>20230109W</t>
  </si>
  <si>
    <t>20230116W</t>
  </si>
  <si>
    <t>20230123W</t>
  </si>
  <si>
    <t>20230130W</t>
  </si>
  <si>
    <t>20230206W</t>
  </si>
  <si>
    <t>20230213W</t>
  </si>
  <si>
    <t>20230220W</t>
  </si>
  <si>
    <t>20230227W</t>
  </si>
  <si>
    <t>20230306W</t>
  </si>
  <si>
    <t>20230313W</t>
  </si>
  <si>
    <t>20230320W</t>
  </si>
  <si>
    <t>20230327W</t>
  </si>
  <si>
    <t>20230403W</t>
  </si>
  <si>
    <t>20230410W</t>
  </si>
  <si>
    <t>20230417W</t>
  </si>
  <si>
    <t>20230424W</t>
  </si>
  <si>
    <t>20230501W</t>
  </si>
  <si>
    <t>20230508W</t>
  </si>
  <si>
    <t>20230515W</t>
  </si>
  <si>
    <t>20230522W</t>
  </si>
  <si>
    <t>20230529W</t>
  </si>
  <si>
    <t>20230605W</t>
  </si>
  <si>
    <t>20230612W</t>
  </si>
  <si>
    <t>20230619W</t>
  </si>
  <si>
    <t>20230626W</t>
  </si>
  <si>
    <t>20230703W</t>
  </si>
  <si>
    <t>20230710W</t>
  </si>
  <si>
    <t>20230717W</t>
  </si>
  <si>
    <t>20230724W</t>
  </si>
  <si>
    <t>20230731W</t>
  </si>
  <si>
    <t>20230807W</t>
  </si>
  <si>
    <t>20230814W</t>
  </si>
  <si>
    <t>20230821W</t>
  </si>
  <si>
    <t>20230828W</t>
  </si>
  <si>
    <t>20230904W</t>
  </si>
  <si>
    <t>20230911W</t>
  </si>
  <si>
    <t>20230918W</t>
  </si>
  <si>
    <t>20230925W</t>
  </si>
  <si>
    <t>20231002W</t>
  </si>
  <si>
    <t>20231009W</t>
  </si>
  <si>
    <t>20231016W</t>
  </si>
  <si>
    <t>20231023W</t>
  </si>
  <si>
    <t>20231030W</t>
  </si>
  <si>
    <t>20231106W</t>
  </si>
  <si>
    <t>20231113W</t>
  </si>
  <si>
    <t>20231120W</t>
  </si>
  <si>
    <t>20231127W</t>
  </si>
  <si>
    <t>20231204W</t>
  </si>
  <si>
    <t>20231211W</t>
  </si>
  <si>
    <t>20231218W</t>
  </si>
  <si>
    <t>20231225W</t>
  </si>
  <si>
    <t>20240101W</t>
  </si>
  <si>
    <t>20240108W</t>
  </si>
  <si>
    <t>20240115W</t>
  </si>
  <si>
    <t>20240122W</t>
  </si>
  <si>
    <t>20240129W</t>
  </si>
  <si>
    <t>20240205W</t>
  </si>
  <si>
    <t>20240212W</t>
  </si>
  <si>
    <t>20240219W</t>
  </si>
  <si>
    <t>20240226W</t>
  </si>
  <si>
    <t>20240304W</t>
  </si>
  <si>
    <t>20240311W</t>
  </si>
  <si>
    <t>20240318W</t>
  </si>
  <si>
    <t>20240325W</t>
  </si>
  <si>
    <t>20240401W</t>
  </si>
  <si>
    <t>20240408W</t>
  </si>
  <si>
    <t>20240415W</t>
  </si>
  <si>
    <t>20240422W</t>
  </si>
  <si>
    <t>20240429W</t>
  </si>
  <si>
    <t>20240506W</t>
  </si>
  <si>
    <t>20240513W</t>
  </si>
  <si>
    <t>20240520W</t>
  </si>
  <si>
    <t>20240527W</t>
  </si>
  <si>
    <t>20240603W</t>
  </si>
  <si>
    <t>20240610W</t>
  </si>
  <si>
    <t>20240617W</t>
  </si>
  <si>
    <t>20240624W</t>
  </si>
  <si>
    <t>20240701W</t>
  </si>
  <si>
    <t>20240708W</t>
  </si>
  <si>
    <t>20240715W</t>
  </si>
  <si>
    <t>20240722W</t>
  </si>
  <si>
    <t>20240729W</t>
  </si>
  <si>
    <t>20240805W</t>
  </si>
  <si>
    <t>20240812W</t>
  </si>
  <si>
    <t>20240819W</t>
  </si>
  <si>
    <t>20240826W</t>
  </si>
  <si>
    <t>20240902W</t>
  </si>
  <si>
    <t>20240909W</t>
  </si>
  <si>
    <t>20240916W</t>
  </si>
  <si>
    <t>20240923W</t>
  </si>
  <si>
    <t>20240930W</t>
  </si>
  <si>
    <t>20241007W</t>
  </si>
  <si>
    <t>20241014W</t>
  </si>
  <si>
    <t>20241021W</t>
  </si>
  <si>
    <t>20241028W</t>
  </si>
  <si>
    <t>20241104W</t>
  </si>
  <si>
    <t>20241111W</t>
  </si>
  <si>
    <t>20241118W</t>
  </si>
  <si>
    <t>20241125W</t>
  </si>
  <si>
    <t>20241202W</t>
  </si>
  <si>
    <t>20241209W</t>
  </si>
  <si>
    <t>20241216W</t>
  </si>
  <si>
    <t>20241223W</t>
  </si>
  <si>
    <t>20241230W</t>
  </si>
  <si>
    <t>20250106W</t>
  </si>
  <si>
    <t>20250113W</t>
  </si>
  <si>
    <t>20250120W</t>
  </si>
  <si>
    <t>20250127W</t>
  </si>
  <si>
    <t>20250203W</t>
  </si>
  <si>
    <t>20250210W</t>
  </si>
  <si>
    <t>20250217W</t>
  </si>
  <si>
    <t>20250224W</t>
  </si>
  <si>
    <t>20250303W</t>
  </si>
  <si>
    <t>20250310W</t>
  </si>
  <si>
    <t>20250317W</t>
  </si>
  <si>
    <t>20250324W</t>
  </si>
  <si>
    <t>20250331W</t>
  </si>
  <si>
    <t>20250407W</t>
  </si>
  <si>
    <t>20250414W</t>
  </si>
  <si>
    <t>20250421W</t>
  </si>
  <si>
    <t>20250428W</t>
  </si>
  <si>
    <t>20250505W</t>
  </si>
  <si>
    <t>20250512W</t>
  </si>
  <si>
    <t>20250519W</t>
  </si>
  <si>
    <t>20250526W</t>
  </si>
  <si>
    <t>20250602W</t>
  </si>
  <si>
    <t>20250609W</t>
  </si>
  <si>
    <t>20250616W</t>
  </si>
  <si>
    <t>20250623W</t>
  </si>
  <si>
    <t>20250630W</t>
  </si>
  <si>
    <t>20250707W</t>
  </si>
  <si>
    <t>20250714W</t>
  </si>
  <si>
    <t>20250721W</t>
  </si>
  <si>
    <t>20250728W</t>
  </si>
  <si>
    <t>20250804W</t>
  </si>
  <si>
    <t>20250811W</t>
  </si>
  <si>
    <t>20250818W</t>
  </si>
  <si>
    <t>20250825W</t>
  </si>
  <si>
    <t>20250901W</t>
  </si>
  <si>
    <t>20250908W</t>
  </si>
  <si>
    <t>20250915W</t>
  </si>
  <si>
    <t>20250922W</t>
  </si>
  <si>
    <t>20250929W</t>
  </si>
  <si>
    <t>20251006W</t>
  </si>
  <si>
    <t>20251013W</t>
  </si>
  <si>
    <t>20251020W</t>
  </si>
  <si>
    <t>20251027W</t>
  </si>
  <si>
    <t>20251103W</t>
  </si>
  <si>
    <t>20251110W</t>
  </si>
  <si>
    <t>20251117W</t>
  </si>
  <si>
    <t>20251124W</t>
  </si>
  <si>
    <t>20251201W</t>
  </si>
  <si>
    <t>20251208W</t>
  </si>
  <si>
    <t>20251215W</t>
  </si>
  <si>
    <t>20251222W</t>
  </si>
  <si>
    <t>20251229W</t>
  </si>
  <si>
    <t>20260105W</t>
  </si>
  <si>
    <t>20260112W</t>
  </si>
  <si>
    <t>20260119W</t>
  </si>
  <si>
    <t>20260126W</t>
  </si>
  <si>
    <t>20260202W</t>
  </si>
  <si>
    <t>20260209W</t>
  </si>
  <si>
    <t>20260216W</t>
  </si>
  <si>
    <t>20260223W</t>
  </si>
  <si>
    <t>20260302W</t>
  </si>
  <si>
    <t>20260309W</t>
  </si>
  <si>
    <t>20260316W</t>
  </si>
  <si>
    <t>20260323W</t>
  </si>
  <si>
    <t>Petrol prices (LHS)</t>
  </si>
  <si>
    <t>20181201W !W</t>
  </si>
  <si>
    <t>Weekly (Sat) &lt;- Daily</t>
  </si>
  <si>
    <t>21-Mar-2026W &lt;- 25-Mar-2026</t>
  </si>
  <si>
    <t>24-May-1986W &lt;- 21-May-1986</t>
  </si>
  <si>
    <t>04-Jan-1975W &lt;- 02-Jan-1975</t>
  </si>
  <si>
    <t>20181126W</t>
  </si>
  <si>
    <t>20181203W</t>
  </si>
  <si>
    <t>20181210W</t>
  </si>
  <si>
    <t>20181217W</t>
  </si>
  <si>
    <t>20181224W</t>
  </si>
  <si>
    <t>Brent Crude prices (RHS)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</si>
</sst>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76370510396975"/>
          <c:w val="1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data'!$B$4</c:f>
              <c:strCache>
                <c:ptCount val="1"/>
                <c:pt idx="0">
                  <c:v>Petrol prices (LHS)</c:v>
                </c:pt>
              </c:strCache>
            </c:strRef>
          </c:tx>
          <c:spPr>
            <a:ln w="3175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data'!$A$5:$A$395</c:f>
              <c:numCache>
                <c:formatCode>m/d/yyyy</c:formatCode>
                <c:ptCount val="391"/>
                <c:pt idx="0">
                  <c:v>43466</c:v>
                </c:pt>
                <c:pt idx="1">
                  <c:v>43473</c:v>
                </c:pt>
                <c:pt idx="2">
                  <c:v>43480</c:v>
                </c:pt>
                <c:pt idx="3">
                  <c:v>43487</c:v>
                </c:pt>
                <c:pt idx="4">
                  <c:v>43494</c:v>
                </c:pt>
                <c:pt idx="5">
                  <c:v>43501</c:v>
                </c:pt>
                <c:pt idx="6">
                  <c:v>43508</c:v>
                </c:pt>
                <c:pt idx="7">
                  <c:v>43515</c:v>
                </c:pt>
                <c:pt idx="8">
                  <c:v>43522</c:v>
                </c:pt>
                <c:pt idx="9">
                  <c:v>43529</c:v>
                </c:pt>
                <c:pt idx="10">
                  <c:v>43536</c:v>
                </c:pt>
                <c:pt idx="11">
                  <c:v>43543</c:v>
                </c:pt>
                <c:pt idx="12">
                  <c:v>43550</c:v>
                </c:pt>
                <c:pt idx="13">
                  <c:v>43557</c:v>
                </c:pt>
                <c:pt idx="14">
                  <c:v>43564</c:v>
                </c:pt>
                <c:pt idx="15">
                  <c:v>43571</c:v>
                </c:pt>
                <c:pt idx="16">
                  <c:v>43578</c:v>
                </c:pt>
                <c:pt idx="17">
                  <c:v>43585</c:v>
                </c:pt>
                <c:pt idx="18">
                  <c:v>43592</c:v>
                </c:pt>
                <c:pt idx="19">
                  <c:v>43599</c:v>
                </c:pt>
                <c:pt idx="20">
                  <c:v>43606</c:v>
                </c:pt>
                <c:pt idx="21">
                  <c:v>43613</c:v>
                </c:pt>
                <c:pt idx="22">
                  <c:v>43620</c:v>
                </c:pt>
                <c:pt idx="23">
                  <c:v>43627</c:v>
                </c:pt>
                <c:pt idx="24">
                  <c:v>43634</c:v>
                </c:pt>
                <c:pt idx="25">
                  <c:v>43641</c:v>
                </c:pt>
                <c:pt idx="26">
                  <c:v>43648</c:v>
                </c:pt>
                <c:pt idx="27">
                  <c:v>43655</c:v>
                </c:pt>
                <c:pt idx="28">
                  <c:v>43662</c:v>
                </c:pt>
                <c:pt idx="29">
                  <c:v>43669</c:v>
                </c:pt>
                <c:pt idx="30">
                  <c:v>43676</c:v>
                </c:pt>
                <c:pt idx="31">
                  <c:v>43683</c:v>
                </c:pt>
                <c:pt idx="32">
                  <c:v>43690</c:v>
                </c:pt>
                <c:pt idx="33">
                  <c:v>43697</c:v>
                </c:pt>
                <c:pt idx="34">
                  <c:v>43704</c:v>
                </c:pt>
                <c:pt idx="35">
                  <c:v>43711</c:v>
                </c:pt>
                <c:pt idx="36">
                  <c:v>43718</c:v>
                </c:pt>
                <c:pt idx="37">
                  <c:v>43725</c:v>
                </c:pt>
                <c:pt idx="38">
                  <c:v>43732</c:v>
                </c:pt>
                <c:pt idx="39">
                  <c:v>43739</c:v>
                </c:pt>
                <c:pt idx="40">
                  <c:v>43746</c:v>
                </c:pt>
                <c:pt idx="41">
                  <c:v>43753</c:v>
                </c:pt>
                <c:pt idx="42">
                  <c:v>43760</c:v>
                </c:pt>
                <c:pt idx="43">
                  <c:v>43767</c:v>
                </c:pt>
                <c:pt idx="44">
                  <c:v>43774</c:v>
                </c:pt>
                <c:pt idx="45">
                  <c:v>43781</c:v>
                </c:pt>
                <c:pt idx="46">
                  <c:v>43788</c:v>
                </c:pt>
                <c:pt idx="47">
                  <c:v>43795</c:v>
                </c:pt>
                <c:pt idx="48">
                  <c:v>43802</c:v>
                </c:pt>
                <c:pt idx="49">
                  <c:v>43809</c:v>
                </c:pt>
                <c:pt idx="50">
                  <c:v>43816</c:v>
                </c:pt>
                <c:pt idx="51">
                  <c:v>43823</c:v>
                </c:pt>
                <c:pt idx="52">
                  <c:v>43830</c:v>
                </c:pt>
                <c:pt idx="53">
                  <c:v>43837</c:v>
                </c:pt>
                <c:pt idx="54">
                  <c:v>43844</c:v>
                </c:pt>
                <c:pt idx="55">
                  <c:v>43851</c:v>
                </c:pt>
                <c:pt idx="56">
                  <c:v>43858</c:v>
                </c:pt>
                <c:pt idx="57">
                  <c:v>43865</c:v>
                </c:pt>
                <c:pt idx="58">
                  <c:v>43872</c:v>
                </c:pt>
                <c:pt idx="59">
                  <c:v>43879</c:v>
                </c:pt>
                <c:pt idx="60">
                  <c:v>43886</c:v>
                </c:pt>
                <c:pt idx="61">
                  <c:v>43893</c:v>
                </c:pt>
                <c:pt idx="62">
                  <c:v>43900</c:v>
                </c:pt>
                <c:pt idx="63">
                  <c:v>43907</c:v>
                </c:pt>
                <c:pt idx="64">
                  <c:v>43914</c:v>
                </c:pt>
                <c:pt idx="65">
                  <c:v>43921</c:v>
                </c:pt>
                <c:pt idx="66">
                  <c:v>43928</c:v>
                </c:pt>
                <c:pt idx="67">
                  <c:v>43935</c:v>
                </c:pt>
                <c:pt idx="68">
                  <c:v>43942</c:v>
                </c:pt>
                <c:pt idx="69">
                  <c:v>43949</c:v>
                </c:pt>
                <c:pt idx="70">
                  <c:v>43956</c:v>
                </c:pt>
                <c:pt idx="71">
                  <c:v>43963</c:v>
                </c:pt>
                <c:pt idx="72">
                  <c:v>43970</c:v>
                </c:pt>
                <c:pt idx="73">
                  <c:v>43977</c:v>
                </c:pt>
                <c:pt idx="74">
                  <c:v>43984</c:v>
                </c:pt>
                <c:pt idx="75">
                  <c:v>43991</c:v>
                </c:pt>
                <c:pt idx="76">
                  <c:v>43998</c:v>
                </c:pt>
                <c:pt idx="77">
                  <c:v>44005</c:v>
                </c:pt>
                <c:pt idx="78">
                  <c:v>44012</c:v>
                </c:pt>
                <c:pt idx="79">
                  <c:v>44019</c:v>
                </c:pt>
                <c:pt idx="80">
                  <c:v>44026</c:v>
                </c:pt>
                <c:pt idx="81">
                  <c:v>44033</c:v>
                </c:pt>
                <c:pt idx="82">
                  <c:v>44040</c:v>
                </c:pt>
                <c:pt idx="83">
                  <c:v>44047</c:v>
                </c:pt>
                <c:pt idx="84">
                  <c:v>44054</c:v>
                </c:pt>
                <c:pt idx="85">
                  <c:v>44061</c:v>
                </c:pt>
                <c:pt idx="86">
                  <c:v>44068</c:v>
                </c:pt>
                <c:pt idx="87">
                  <c:v>44075</c:v>
                </c:pt>
                <c:pt idx="88">
                  <c:v>44082</c:v>
                </c:pt>
                <c:pt idx="89">
                  <c:v>44089</c:v>
                </c:pt>
                <c:pt idx="90">
                  <c:v>44096</c:v>
                </c:pt>
                <c:pt idx="91">
                  <c:v>44103</c:v>
                </c:pt>
                <c:pt idx="92">
                  <c:v>44110</c:v>
                </c:pt>
                <c:pt idx="93">
                  <c:v>44117</c:v>
                </c:pt>
                <c:pt idx="94">
                  <c:v>44124</c:v>
                </c:pt>
                <c:pt idx="95">
                  <c:v>44131</c:v>
                </c:pt>
                <c:pt idx="96">
                  <c:v>44138</c:v>
                </c:pt>
                <c:pt idx="97">
                  <c:v>44145</c:v>
                </c:pt>
                <c:pt idx="98">
                  <c:v>44152</c:v>
                </c:pt>
                <c:pt idx="99">
                  <c:v>44159</c:v>
                </c:pt>
                <c:pt idx="100">
                  <c:v>44166</c:v>
                </c:pt>
                <c:pt idx="101">
                  <c:v>44173</c:v>
                </c:pt>
                <c:pt idx="102">
                  <c:v>44180</c:v>
                </c:pt>
                <c:pt idx="103">
                  <c:v>44187</c:v>
                </c:pt>
                <c:pt idx="104">
                  <c:v>44194</c:v>
                </c:pt>
                <c:pt idx="105">
                  <c:v>44201</c:v>
                </c:pt>
                <c:pt idx="106">
                  <c:v>44208</c:v>
                </c:pt>
                <c:pt idx="107">
                  <c:v>44215</c:v>
                </c:pt>
                <c:pt idx="108">
                  <c:v>44222</c:v>
                </c:pt>
                <c:pt idx="109">
                  <c:v>44229</c:v>
                </c:pt>
                <c:pt idx="110">
                  <c:v>44236</c:v>
                </c:pt>
                <c:pt idx="111">
                  <c:v>44243</c:v>
                </c:pt>
                <c:pt idx="112">
                  <c:v>44250</c:v>
                </c:pt>
                <c:pt idx="113">
                  <c:v>44257</c:v>
                </c:pt>
                <c:pt idx="114">
                  <c:v>44264</c:v>
                </c:pt>
                <c:pt idx="115">
                  <c:v>44271</c:v>
                </c:pt>
                <c:pt idx="116">
                  <c:v>44278</c:v>
                </c:pt>
                <c:pt idx="117">
                  <c:v>44285</c:v>
                </c:pt>
                <c:pt idx="118">
                  <c:v>44292</c:v>
                </c:pt>
                <c:pt idx="119">
                  <c:v>44299</c:v>
                </c:pt>
                <c:pt idx="120">
                  <c:v>44306</c:v>
                </c:pt>
                <c:pt idx="121">
                  <c:v>44313</c:v>
                </c:pt>
                <c:pt idx="122">
                  <c:v>44320</c:v>
                </c:pt>
                <c:pt idx="123">
                  <c:v>44327</c:v>
                </c:pt>
                <c:pt idx="124">
                  <c:v>44334</c:v>
                </c:pt>
                <c:pt idx="125">
                  <c:v>44341</c:v>
                </c:pt>
                <c:pt idx="126">
                  <c:v>44348</c:v>
                </c:pt>
                <c:pt idx="127">
                  <c:v>44355</c:v>
                </c:pt>
                <c:pt idx="128">
                  <c:v>44362</c:v>
                </c:pt>
                <c:pt idx="129">
                  <c:v>44369</c:v>
                </c:pt>
                <c:pt idx="130">
                  <c:v>44376</c:v>
                </c:pt>
                <c:pt idx="131">
                  <c:v>44383</c:v>
                </c:pt>
                <c:pt idx="132">
                  <c:v>44390</c:v>
                </c:pt>
                <c:pt idx="133">
                  <c:v>44397</c:v>
                </c:pt>
                <c:pt idx="134">
                  <c:v>44404</c:v>
                </c:pt>
                <c:pt idx="135">
                  <c:v>44411</c:v>
                </c:pt>
                <c:pt idx="136">
                  <c:v>44418</c:v>
                </c:pt>
                <c:pt idx="137">
                  <c:v>44425</c:v>
                </c:pt>
                <c:pt idx="138">
                  <c:v>44432</c:v>
                </c:pt>
                <c:pt idx="139">
                  <c:v>44439</c:v>
                </c:pt>
                <c:pt idx="140">
                  <c:v>44446</c:v>
                </c:pt>
                <c:pt idx="141">
                  <c:v>44453</c:v>
                </c:pt>
                <c:pt idx="142">
                  <c:v>44460</c:v>
                </c:pt>
                <c:pt idx="143">
                  <c:v>44467</c:v>
                </c:pt>
                <c:pt idx="144">
                  <c:v>44474</c:v>
                </c:pt>
                <c:pt idx="145">
                  <c:v>44481</c:v>
                </c:pt>
                <c:pt idx="146">
                  <c:v>44488</c:v>
                </c:pt>
                <c:pt idx="147">
                  <c:v>44495</c:v>
                </c:pt>
                <c:pt idx="148">
                  <c:v>44502</c:v>
                </c:pt>
                <c:pt idx="149">
                  <c:v>44509</c:v>
                </c:pt>
                <c:pt idx="150">
                  <c:v>44516</c:v>
                </c:pt>
                <c:pt idx="151">
                  <c:v>44523</c:v>
                </c:pt>
                <c:pt idx="152">
                  <c:v>44530</c:v>
                </c:pt>
                <c:pt idx="153">
                  <c:v>44537</c:v>
                </c:pt>
                <c:pt idx="154">
                  <c:v>44544</c:v>
                </c:pt>
                <c:pt idx="155">
                  <c:v>44551</c:v>
                </c:pt>
                <c:pt idx="156">
                  <c:v>44558</c:v>
                </c:pt>
                <c:pt idx="157">
                  <c:v>44565</c:v>
                </c:pt>
                <c:pt idx="158">
                  <c:v>44572</c:v>
                </c:pt>
                <c:pt idx="159">
                  <c:v>44579</c:v>
                </c:pt>
                <c:pt idx="160">
                  <c:v>44586</c:v>
                </c:pt>
                <c:pt idx="161">
                  <c:v>44593</c:v>
                </c:pt>
                <c:pt idx="162">
                  <c:v>44600</c:v>
                </c:pt>
                <c:pt idx="163">
                  <c:v>44607</c:v>
                </c:pt>
                <c:pt idx="164">
                  <c:v>44614</c:v>
                </c:pt>
                <c:pt idx="165">
                  <c:v>44621</c:v>
                </c:pt>
                <c:pt idx="166">
                  <c:v>44628</c:v>
                </c:pt>
                <c:pt idx="167">
                  <c:v>44635</c:v>
                </c:pt>
                <c:pt idx="168">
                  <c:v>44642</c:v>
                </c:pt>
                <c:pt idx="169">
                  <c:v>44649</c:v>
                </c:pt>
                <c:pt idx="170">
                  <c:v>44656</c:v>
                </c:pt>
                <c:pt idx="171">
                  <c:v>44663</c:v>
                </c:pt>
                <c:pt idx="172">
                  <c:v>44670</c:v>
                </c:pt>
                <c:pt idx="173">
                  <c:v>44677</c:v>
                </c:pt>
                <c:pt idx="174">
                  <c:v>44684</c:v>
                </c:pt>
                <c:pt idx="175">
                  <c:v>44691</c:v>
                </c:pt>
                <c:pt idx="176">
                  <c:v>44698</c:v>
                </c:pt>
                <c:pt idx="177">
                  <c:v>44705</c:v>
                </c:pt>
                <c:pt idx="178">
                  <c:v>44712</c:v>
                </c:pt>
                <c:pt idx="179">
                  <c:v>44719</c:v>
                </c:pt>
                <c:pt idx="180">
                  <c:v>44726</c:v>
                </c:pt>
                <c:pt idx="181">
                  <c:v>44733</c:v>
                </c:pt>
                <c:pt idx="182">
                  <c:v>44740</c:v>
                </c:pt>
                <c:pt idx="183">
                  <c:v>44747</c:v>
                </c:pt>
                <c:pt idx="184">
                  <c:v>44754</c:v>
                </c:pt>
                <c:pt idx="185">
                  <c:v>44761</c:v>
                </c:pt>
                <c:pt idx="186">
                  <c:v>44768</c:v>
                </c:pt>
                <c:pt idx="187">
                  <c:v>44775</c:v>
                </c:pt>
                <c:pt idx="188">
                  <c:v>44782</c:v>
                </c:pt>
                <c:pt idx="189">
                  <c:v>44789</c:v>
                </c:pt>
                <c:pt idx="190">
                  <c:v>44796</c:v>
                </c:pt>
                <c:pt idx="191">
                  <c:v>44803</c:v>
                </c:pt>
                <c:pt idx="192">
                  <c:v>44810</c:v>
                </c:pt>
                <c:pt idx="193">
                  <c:v>44817</c:v>
                </c:pt>
                <c:pt idx="194">
                  <c:v>44824</c:v>
                </c:pt>
                <c:pt idx="195">
                  <c:v>44831</c:v>
                </c:pt>
                <c:pt idx="196">
                  <c:v>44838</c:v>
                </c:pt>
                <c:pt idx="197">
                  <c:v>44845</c:v>
                </c:pt>
                <c:pt idx="198">
                  <c:v>44852</c:v>
                </c:pt>
                <c:pt idx="199">
                  <c:v>44859</c:v>
                </c:pt>
                <c:pt idx="200">
                  <c:v>44866</c:v>
                </c:pt>
                <c:pt idx="201">
                  <c:v>44873</c:v>
                </c:pt>
                <c:pt idx="202">
                  <c:v>44880</c:v>
                </c:pt>
                <c:pt idx="203">
                  <c:v>44887</c:v>
                </c:pt>
                <c:pt idx="204">
                  <c:v>44894</c:v>
                </c:pt>
                <c:pt idx="205">
                  <c:v>44901</c:v>
                </c:pt>
                <c:pt idx="206">
                  <c:v>44908</c:v>
                </c:pt>
                <c:pt idx="207">
                  <c:v>44915</c:v>
                </c:pt>
                <c:pt idx="208">
                  <c:v>44922</c:v>
                </c:pt>
                <c:pt idx="209">
                  <c:v>44929</c:v>
                </c:pt>
                <c:pt idx="210">
                  <c:v>44936</c:v>
                </c:pt>
                <c:pt idx="211">
                  <c:v>44943</c:v>
                </c:pt>
                <c:pt idx="212">
                  <c:v>44950</c:v>
                </c:pt>
                <c:pt idx="213">
                  <c:v>44957</c:v>
                </c:pt>
                <c:pt idx="214">
                  <c:v>44964</c:v>
                </c:pt>
                <c:pt idx="215">
                  <c:v>44971</c:v>
                </c:pt>
                <c:pt idx="216">
                  <c:v>44978</c:v>
                </c:pt>
                <c:pt idx="217">
                  <c:v>44985</c:v>
                </c:pt>
                <c:pt idx="218">
                  <c:v>44992</c:v>
                </c:pt>
                <c:pt idx="219">
                  <c:v>44999</c:v>
                </c:pt>
                <c:pt idx="220">
                  <c:v>45006</c:v>
                </c:pt>
                <c:pt idx="221">
                  <c:v>45013</c:v>
                </c:pt>
                <c:pt idx="222">
                  <c:v>45020</c:v>
                </c:pt>
                <c:pt idx="223">
                  <c:v>45027</c:v>
                </c:pt>
                <c:pt idx="224">
                  <c:v>45034</c:v>
                </c:pt>
                <c:pt idx="225">
                  <c:v>45041</c:v>
                </c:pt>
                <c:pt idx="226">
                  <c:v>45048</c:v>
                </c:pt>
                <c:pt idx="227">
                  <c:v>45055</c:v>
                </c:pt>
                <c:pt idx="228">
                  <c:v>45062</c:v>
                </c:pt>
                <c:pt idx="229">
                  <c:v>45069</c:v>
                </c:pt>
                <c:pt idx="230">
                  <c:v>45076</c:v>
                </c:pt>
                <c:pt idx="231">
                  <c:v>45083</c:v>
                </c:pt>
                <c:pt idx="232">
                  <c:v>45090</c:v>
                </c:pt>
                <c:pt idx="233">
                  <c:v>45097</c:v>
                </c:pt>
                <c:pt idx="234">
                  <c:v>45104</c:v>
                </c:pt>
                <c:pt idx="235">
                  <c:v>45111</c:v>
                </c:pt>
                <c:pt idx="236">
                  <c:v>45118</c:v>
                </c:pt>
                <c:pt idx="237">
                  <c:v>45125</c:v>
                </c:pt>
                <c:pt idx="238">
                  <c:v>45132</c:v>
                </c:pt>
                <c:pt idx="239">
                  <c:v>45139</c:v>
                </c:pt>
                <c:pt idx="240">
                  <c:v>45146</c:v>
                </c:pt>
                <c:pt idx="241">
                  <c:v>45153</c:v>
                </c:pt>
                <c:pt idx="242">
                  <c:v>45160</c:v>
                </c:pt>
                <c:pt idx="243">
                  <c:v>45167</c:v>
                </c:pt>
                <c:pt idx="244">
                  <c:v>45174</c:v>
                </c:pt>
                <c:pt idx="245">
                  <c:v>45181</c:v>
                </c:pt>
                <c:pt idx="246">
                  <c:v>45188</c:v>
                </c:pt>
                <c:pt idx="247">
                  <c:v>45195</c:v>
                </c:pt>
                <c:pt idx="248">
                  <c:v>45202</c:v>
                </c:pt>
                <c:pt idx="249">
                  <c:v>45209</c:v>
                </c:pt>
                <c:pt idx="250">
                  <c:v>45216</c:v>
                </c:pt>
                <c:pt idx="251">
                  <c:v>45223</c:v>
                </c:pt>
                <c:pt idx="252">
                  <c:v>45230</c:v>
                </c:pt>
                <c:pt idx="253">
                  <c:v>45237</c:v>
                </c:pt>
                <c:pt idx="254">
                  <c:v>45244</c:v>
                </c:pt>
                <c:pt idx="255">
                  <c:v>45251</c:v>
                </c:pt>
                <c:pt idx="256">
                  <c:v>45258</c:v>
                </c:pt>
                <c:pt idx="257">
                  <c:v>45265</c:v>
                </c:pt>
                <c:pt idx="258">
                  <c:v>45272</c:v>
                </c:pt>
                <c:pt idx="259">
                  <c:v>45279</c:v>
                </c:pt>
                <c:pt idx="260">
                  <c:v>45286</c:v>
                </c:pt>
                <c:pt idx="261">
                  <c:v>45293</c:v>
                </c:pt>
                <c:pt idx="262">
                  <c:v>45300</c:v>
                </c:pt>
                <c:pt idx="263">
                  <c:v>45307</c:v>
                </c:pt>
                <c:pt idx="264">
                  <c:v>45314</c:v>
                </c:pt>
                <c:pt idx="265">
                  <c:v>45321</c:v>
                </c:pt>
                <c:pt idx="266">
                  <c:v>45328</c:v>
                </c:pt>
                <c:pt idx="267">
                  <c:v>45335</c:v>
                </c:pt>
                <c:pt idx="268">
                  <c:v>45342</c:v>
                </c:pt>
                <c:pt idx="269">
                  <c:v>45349</c:v>
                </c:pt>
                <c:pt idx="270">
                  <c:v>45356</c:v>
                </c:pt>
                <c:pt idx="271">
                  <c:v>45363</c:v>
                </c:pt>
                <c:pt idx="272">
                  <c:v>45370</c:v>
                </c:pt>
                <c:pt idx="273">
                  <c:v>45377</c:v>
                </c:pt>
                <c:pt idx="274">
                  <c:v>45384</c:v>
                </c:pt>
                <c:pt idx="275">
                  <c:v>45391</c:v>
                </c:pt>
                <c:pt idx="276">
                  <c:v>45398</c:v>
                </c:pt>
                <c:pt idx="277">
                  <c:v>45405</c:v>
                </c:pt>
                <c:pt idx="278">
                  <c:v>45412</c:v>
                </c:pt>
                <c:pt idx="279">
                  <c:v>45419</c:v>
                </c:pt>
                <c:pt idx="280">
                  <c:v>45426</c:v>
                </c:pt>
                <c:pt idx="281">
                  <c:v>45433</c:v>
                </c:pt>
                <c:pt idx="282">
                  <c:v>45440</c:v>
                </c:pt>
                <c:pt idx="283">
                  <c:v>45447</c:v>
                </c:pt>
                <c:pt idx="284">
                  <c:v>45454</c:v>
                </c:pt>
                <c:pt idx="285">
                  <c:v>45461</c:v>
                </c:pt>
                <c:pt idx="286">
                  <c:v>45468</c:v>
                </c:pt>
                <c:pt idx="287">
                  <c:v>45475</c:v>
                </c:pt>
                <c:pt idx="288">
                  <c:v>45482</c:v>
                </c:pt>
                <c:pt idx="289">
                  <c:v>45489</c:v>
                </c:pt>
                <c:pt idx="290">
                  <c:v>45496</c:v>
                </c:pt>
                <c:pt idx="291">
                  <c:v>45503</c:v>
                </c:pt>
                <c:pt idx="292">
                  <c:v>45510</c:v>
                </c:pt>
                <c:pt idx="293">
                  <c:v>45517</c:v>
                </c:pt>
                <c:pt idx="294">
                  <c:v>45524</c:v>
                </c:pt>
                <c:pt idx="295">
                  <c:v>45531</c:v>
                </c:pt>
                <c:pt idx="296">
                  <c:v>45538</c:v>
                </c:pt>
                <c:pt idx="297">
                  <c:v>45545</c:v>
                </c:pt>
                <c:pt idx="298">
                  <c:v>45552</c:v>
                </c:pt>
                <c:pt idx="299">
                  <c:v>45559</c:v>
                </c:pt>
                <c:pt idx="300">
                  <c:v>45566</c:v>
                </c:pt>
                <c:pt idx="301">
                  <c:v>45573</c:v>
                </c:pt>
                <c:pt idx="302">
                  <c:v>45580</c:v>
                </c:pt>
                <c:pt idx="303">
                  <c:v>45587</c:v>
                </c:pt>
                <c:pt idx="304">
                  <c:v>45594</c:v>
                </c:pt>
                <c:pt idx="305">
                  <c:v>45601</c:v>
                </c:pt>
                <c:pt idx="306">
                  <c:v>45608</c:v>
                </c:pt>
                <c:pt idx="307">
                  <c:v>45615</c:v>
                </c:pt>
                <c:pt idx="308">
                  <c:v>45622</c:v>
                </c:pt>
                <c:pt idx="309">
                  <c:v>45629</c:v>
                </c:pt>
                <c:pt idx="310">
                  <c:v>45636</c:v>
                </c:pt>
                <c:pt idx="311">
                  <c:v>45643</c:v>
                </c:pt>
                <c:pt idx="312">
                  <c:v>45650</c:v>
                </c:pt>
                <c:pt idx="313">
                  <c:v>45657</c:v>
                </c:pt>
                <c:pt idx="314">
                  <c:v>45664</c:v>
                </c:pt>
                <c:pt idx="315">
                  <c:v>45671</c:v>
                </c:pt>
                <c:pt idx="316">
                  <c:v>45678</c:v>
                </c:pt>
                <c:pt idx="317">
                  <c:v>45685</c:v>
                </c:pt>
                <c:pt idx="318">
                  <c:v>45692</c:v>
                </c:pt>
                <c:pt idx="319">
                  <c:v>45699</c:v>
                </c:pt>
                <c:pt idx="320">
                  <c:v>45706</c:v>
                </c:pt>
                <c:pt idx="321">
                  <c:v>45713</c:v>
                </c:pt>
                <c:pt idx="322">
                  <c:v>45720</c:v>
                </c:pt>
                <c:pt idx="323">
                  <c:v>45727</c:v>
                </c:pt>
                <c:pt idx="324">
                  <c:v>45734</c:v>
                </c:pt>
                <c:pt idx="325">
                  <c:v>45741</c:v>
                </c:pt>
                <c:pt idx="326">
                  <c:v>45748</c:v>
                </c:pt>
                <c:pt idx="327">
                  <c:v>45755</c:v>
                </c:pt>
                <c:pt idx="328">
                  <c:v>45762</c:v>
                </c:pt>
                <c:pt idx="329">
                  <c:v>45769</c:v>
                </c:pt>
                <c:pt idx="330">
                  <c:v>45776</c:v>
                </c:pt>
                <c:pt idx="331">
                  <c:v>45783</c:v>
                </c:pt>
                <c:pt idx="332">
                  <c:v>45790</c:v>
                </c:pt>
                <c:pt idx="333">
                  <c:v>45797</c:v>
                </c:pt>
                <c:pt idx="334">
                  <c:v>45804</c:v>
                </c:pt>
                <c:pt idx="335">
                  <c:v>45811</c:v>
                </c:pt>
                <c:pt idx="336">
                  <c:v>45818</c:v>
                </c:pt>
                <c:pt idx="337">
                  <c:v>45825</c:v>
                </c:pt>
                <c:pt idx="338">
                  <c:v>45832</c:v>
                </c:pt>
                <c:pt idx="339">
                  <c:v>45839</c:v>
                </c:pt>
                <c:pt idx="340">
                  <c:v>45846</c:v>
                </c:pt>
                <c:pt idx="341">
                  <c:v>45853</c:v>
                </c:pt>
                <c:pt idx="342">
                  <c:v>45860</c:v>
                </c:pt>
                <c:pt idx="343">
                  <c:v>45867</c:v>
                </c:pt>
                <c:pt idx="344">
                  <c:v>45874</c:v>
                </c:pt>
                <c:pt idx="345">
                  <c:v>45881</c:v>
                </c:pt>
                <c:pt idx="346">
                  <c:v>45888</c:v>
                </c:pt>
                <c:pt idx="347">
                  <c:v>45895</c:v>
                </c:pt>
                <c:pt idx="348">
                  <c:v>45902</c:v>
                </c:pt>
                <c:pt idx="349">
                  <c:v>45909</c:v>
                </c:pt>
                <c:pt idx="350">
                  <c:v>45916</c:v>
                </c:pt>
                <c:pt idx="351">
                  <c:v>45923</c:v>
                </c:pt>
                <c:pt idx="352">
                  <c:v>45930</c:v>
                </c:pt>
                <c:pt idx="353">
                  <c:v>45937</c:v>
                </c:pt>
                <c:pt idx="354">
                  <c:v>45944</c:v>
                </c:pt>
                <c:pt idx="355">
                  <c:v>45951</c:v>
                </c:pt>
                <c:pt idx="356">
                  <c:v>45958</c:v>
                </c:pt>
                <c:pt idx="357">
                  <c:v>45965</c:v>
                </c:pt>
                <c:pt idx="358">
                  <c:v>45972</c:v>
                </c:pt>
                <c:pt idx="359">
                  <c:v>45979</c:v>
                </c:pt>
                <c:pt idx="360">
                  <c:v>45986</c:v>
                </c:pt>
                <c:pt idx="361">
                  <c:v>45993</c:v>
                </c:pt>
                <c:pt idx="362">
                  <c:v>46000</c:v>
                </c:pt>
                <c:pt idx="363">
                  <c:v>46007</c:v>
                </c:pt>
                <c:pt idx="364">
                  <c:v>46014</c:v>
                </c:pt>
                <c:pt idx="365">
                  <c:v>46021</c:v>
                </c:pt>
                <c:pt idx="366">
                  <c:v>46028</c:v>
                </c:pt>
                <c:pt idx="367">
                  <c:v>46035</c:v>
                </c:pt>
                <c:pt idx="368">
                  <c:v>46042</c:v>
                </c:pt>
                <c:pt idx="369">
                  <c:v>46049</c:v>
                </c:pt>
                <c:pt idx="370">
                  <c:v>46056</c:v>
                </c:pt>
                <c:pt idx="371">
                  <c:v>46063</c:v>
                </c:pt>
                <c:pt idx="372">
                  <c:v>46070</c:v>
                </c:pt>
                <c:pt idx="373">
                  <c:v>46077</c:v>
                </c:pt>
                <c:pt idx="374">
                  <c:v>46084</c:v>
                </c:pt>
                <c:pt idx="375">
                  <c:v>46091</c:v>
                </c:pt>
                <c:pt idx="376">
                  <c:v>46098</c:v>
                </c:pt>
                <c:pt idx="377">
                  <c:v>46105</c:v>
                </c:pt>
                <c:pt idx="378">
                  <c:v>46112</c:v>
                </c:pt>
                <c:pt idx="379">
                  <c:v>46119</c:v>
                </c:pt>
                <c:pt idx="380">
                  <c:v>46126</c:v>
                </c:pt>
                <c:pt idx="381">
                  <c:v>46133</c:v>
                </c:pt>
                <c:pt idx="382">
                  <c:v>46140</c:v>
                </c:pt>
                <c:pt idx="383">
                  <c:v>46147</c:v>
                </c:pt>
                <c:pt idx="384">
                  <c:v>46154</c:v>
                </c:pt>
                <c:pt idx="385">
                  <c:v>46161</c:v>
                </c:pt>
                <c:pt idx="386">
                  <c:v>46168</c:v>
                </c:pt>
                <c:pt idx="387">
                  <c:v>46175</c:v>
                </c:pt>
                <c:pt idx="388">
                  <c:v>46182</c:v>
                </c:pt>
                <c:pt idx="389">
                  <c:v>46189</c:v>
                </c:pt>
                <c:pt idx="390">
                  <c:v>46196</c:v>
                </c:pt>
              </c:numCache>
            </c:numRef>
          </c:cat>
          <c:val>
            <c:numRef>
              <c:f>'Chart data'!$B$5:$B$395</c:f>
              <c:numCache>
                <c:formatCode>0.00</c:formatCode>
                <c:ptCount val="391"/>
                <c:pt idx="0">
                  <c:v>120.18</c:v>
                </c:pt>
                <c:pt idx="1">
                  <c:v>120.27</c:v>
                </c:pt>
                <c:pt idx="2">
                  <c:v>119.53</c:v>
                </c:pt>
                <c:pt idx="3">
                  <c:v>119.12</c:v>
                </c:pt>
                <c:pt idx="4">
                  <c:v>119.29</c:v>
                </c:pt>
                <c:pt idx="5">
                  <c:v>119.13</c:v>
                </c:pt>
                <c:pt idx="6">
                  <c:v>118.97</c:v>
                </c:pt>
                <c:pt idx="7">
                  <c:v>119.05</c:v>
                </c:pt>
                <c:pt idx="8">
                  <c:v>119.22</c:v>
                </c:pt>
                <c:pt idx="9">
                  <c:v>119.72</c:v>
                </c:pt>
                <c:pt idx="10">
                  <c:v>120.1</c:v>
                </c:pt>
                <c:pt idx="11">
                  <c:v>120.48</c:v>
                </c:pt>
                <c:pt idx="12">
                  <c:v>120.83</c:v>
                </c:pt>
                <c:pt idx="13">
                  <c:v>121.7</c:v>
                </c:pt>
                <c:pt idx="14">
                  <c:v>122.66</c:v>
                </c:pt>
                <c:pt idx="15">
                  <c:v>124.06</c:v>
                </c:pt>
                <c:pt idx="16">
                  <c:v>125.43</c:v>
                </c:pt>
                <c:pt idx="17">
                  <c:v>126.36</c:v>
                </c:pt>
                <c:pt idx="18">
                  <c:v>127.5</c:v>
                </c:pt>
                <c:pt idx="19">
                  <c:v>127.97</c:v>
                </c:pt>
                <c:pt idx="20">
                  <c:v>128.51</c:v>
                </c:pt>
                <c:pt idx="21">
                  <c:v>129.13999999999999</c:v>
                </c:pt>
                <c:pt idx="22">
                  <c:v>129.41</c:v>
                </c:pt>
                <c:pt idx="23">
                  <c:v>128.88999999999999</c:v>
                </c:pt>
                <c:pt idx="24">
                  <c:v>127.66</c:v>
                </c:pt>
                <c:pt idx="25">
                  <c:v>126.66</c:v>
                </c:pt>
                <c:pt idx="26">
                  <c:v>126.49</c:v>
                </c:pt>
                <c:pt idx="27">
                  <c:v>126.86</c:v>
                </c:pt>
                <c:pt idx="28">
                  <c:v>127.13</c:v>
                </c:pt>
                <c:pt idx="29">
                  <c:v>127.81</c:v>
                </c:pt>
                <c:pt idx="30">
                  <c:v>128.03</c:v>
                </c:pt>
                <c:pt idx="31">
                  <c:v>128.37</c:v>
                </c:pt>
                <c:pt idx="32">
                  <c:v>128.36000000000001</c:v>
                </c:pt>
                <c:pt idx="33">
                  <c:v>128.16999999999999</c:v>
                </c:pt>
                <c:pt idx="34">
                  <c:v>128.22</c:v>
                </c:pt>
                <c:pt idx="35">
                  <c:v>127.86</c:v>
                </c:pt>
                <c:pt idx="36">
                  <c:v>127.79</c:v>
                </c:pt>
                <c:pt idx="37">
                  <c:v>126.92</c:v>
                </c:pt>
                <c:pt idx="38">
                  <c:v>126.78</c:v>
                </c:pt>
                <c:pt idx="39">
                  <c:v>126.92</c:v>
                </c:pt>
                <c:pt idx="40">
                  <c:v>126.87</c:v>
                </c:pt>
                <c:pt idx="41">
                  <c:v>126.91</c:v>
                </c:pt>
                <c:pt idx="42">
                  <c:v>126.4</c:v>
                </c:pt>
                <c:pt idx="43">
                  <c:v>125.77</c:v>
                </c:pt>
                <c:pt idx="44">
                  <c:v>125.56</c:v>
                </c:pt>
                <c:pt idx="45">
                  <c:v>125.59</c:v>
                </c:pt>
                <c:pt idx="46">
                  <c:v>125.58</c:v>
                </c:pt>
                <c:pt idx="47">
                  <c:v>125.32</c:v>
                </c:pt>
                <c:pt idx="48">
                  <c:v>124.81</c:v>
                </c:pt>
                <c:pt idx="49">
                  <c:v>124.75</c:v>
                </c:pt>
                <c:pt idx="50">
                  <c:v>124.33</c:v>
                </c:pt>
                <c:pt idx="51">
                  <c:v>124.16</c:v>
                </c:pt>
                <c:pt idx="52">
                  <c:v>124.96</c:v>
                </c:pt>
                <c:pt idx="53">
                  <c:v>126.09</c:v>
                </c:pt>
                <c:pt idx="54">
                  <c:v>127.17</c:v>
                </c:pt>
                <c:pt idx="55">
                  <c:v>127.18</c:v>
                </c:pt>
                <c:pt idx="56">
                  <c:v>127.33</c:v>
                </c:pt>
                <c:pt idx="57">
                  <c:v>125.85</c:v>
                </c:pt>
                <c:pt idx="58">
                  <c:v>124.73</c:v>
                </c:pt>
                <c:pt idx="59">
                  <c:v>123.8</c:v>
                </c:pt>
                <c:pt idx="60">
                  <c:v>123.45</c:v>
                </c:pt>
                <c:pt idx="61">
                  <c:v>122.43</c:v>
                </c:pt>
                <c:pt idx="62">
                  <c:v>122.24</c:v>
                </c:pt>
                <c:pt idx="63">
                  <c:v>120.33</c:v>
                </c:pt>
                <c:pt idx="64">
                  <c:v>119.64</c:v>
                </c:pt>
                <c:pt idx="65">
                  <c:v>112.45</c:v>
                </c:pt>
                <c:pt idx="66">
                  <c:v>110.23</c:v>
                </c:pt>
                <c:pt idx="67">
                  <c:v>109.27</c:v>
                </c:pt>
                <c:pt idx="68">
                  <c:v>108.63</c:v>
                </c:pt>
                <c:pt idx="69">
                  <c:v>107.88</c:v>
                </c:pt>
                <c:pt idx="70">
                  <c:v>107.56</c:v>
                </c:pt>
                <c:pt idx="71">
                  <c:v>107.45</c:v>
                </c:pt>
                <c:pt idx="72">
                  <c:v>105.09</c:v>
                </c:pt>
                <c:pt idx="73">
                  <c:v>104.87</c:v>
                </c:pt>
                <c:pt idx="74">
                  <c:v>105.17</c:v>
                </c:pt>
                <c:pt idx="75">
                  <c:v>105.74</c:v>
                </c:pt>
                <c:pt idx="76">
                  <c:v>106.37</c:v>
                </c:pt>
                <c:pt idx="77">
                  <c:v>107.13</c:v>
                </c:pt>
                <c:pt idx="78">
                  <c:v>108.31</c:v>
                </c:pt>
                <c:pt idx="79">
                  <c:v>109.43</c:v>
                </c:pt>
                <c:pt idx="80">
                  <c:v>111.24</c:v>
                </c:pt>
                <c:pt idx="81">
                  <c:v>112.23</c:v>
                </c:pt>
                <c:pt idx="82">
                  <c:v>112.66</c:v>
                </c:pt>
                <c:pt idx="83">
                  <c:v>112.91</c:v>
                </c:pt>
                <c:pt idx="84">
                  <c:v>113.02</c:v>
                </c:pt>
                <c:pt idx="85">
                  <c:v>113.04</c:v>
                </c:pt>
                <c:pt idx="86">
                  <c:v>113.22</c:v>
                </c:pt>
                <c:pt idx="87">
                  <c:v>113.29</c:v>
                </c:pt>
                <c:pt idx="88">
                  <c:v>113.37</c:v>
                </c:pt>
                <c:pt idx="89">
                  <c:v>113.32</c:v>
                </c:pt>
                <c:pt idx="90">
                  <c:v>113.31</c:v>
                </c:pt>
                <c:pt idx="91">
                  <c:v>113.3</c:v>
                </c:pt>
                <c:pt idx="92">
                  <c:v>113.26</c:v>
                </c:pt>
                <c:pt idx="93">
                  <c:v>113.19</c:v>
                </c:pt>
                <c:pt idx="94">
                  <c:v>113.18</c:v>
                </c:pt>
                <c:pt idx="95">
                  <c:v>113.14</c:v>
                </c:pt>
                <c:pt idx="96">
                  <c:v>113.11</c:v>
                </c:pt>
                <c:pt idx="97">
                  <c:v>112.5</c:v>
                </c:pt>
                <c:pt idx="98">
                  <c:v>112.35</c:v>
                </c:pt>
                <c:pt idx="99">
                  <c:v>112.42</c:v>
                </c:pt>
                <c:pt idx="100">
                  <c:v>112.61</c:v>
                </c:pt>
                <c:pt idx="101">
                  <c:v>113.17</c:v>
                </c:pt>
                <c:pt idx="102">
                  <c:v>113.82</c:v>
                </c:pt>
                <c:pt idx="103">
                  <c:v>114.43</c:v>
                </c:pt>
                <c:pt idx="104">
                  <c:v>114.91</c:v>
                </c:pt>
                <c:pt idx="105">
                  <c:v>115.39</c:v>
                </c:pt>
                <c:pt idx="106">
                  <c:v>116.14</c:v>
                </c:pt>
                <c:pt idx="107">
                  <c:v>116.93</c:v>
                </c:pt>
                <c:pt idx="108">
                  <c:v>118.1</c:v>
                </c:pt>
                <c:pt idx="109">
                  <c:v>119.14</c:v>
                </c:pt>
                <c:pt idx="110">
                  <c:v>119.67</c:v>
                </c:pt>
                <c:pt idx="111">
                  <c:v>120.53</c:v>
                </c:pt>
                <c:pt idx="112">
                  <c:v>121.27</c:v>
                </c:pt>
                <c:pt idx="113">
                  <c:v>122.17</c:v>
                </c:pt>
                <c:pt idx="114">
                  <c:v>122.94</c:v>
                </c:pt>
                <c:pt idx="115">
                  <c:v>123.9</c:v>
                </c:pt>
                <c:pt idx="116">
                  <c:v>124.57</c:v>
                </c:pt>
                <c:pt idx="117">
                  <c:v>125.13</c:v>
                </c:pt>
                <c:pt idx="118">
                  <c:v>125.24</c:v>
                </c:pt>
                <c:pt idx="119">
                  <c:v>125.4</c:v>
                </c:pt>
                <c:pt idx="120">
                  <c:v>125.48</c:v>
                </c:pt>
                <c:pt idx="121">
                  <c:v>125.8</c:v>
                </c:pt>
                <c:pt idx="122">
                  <c:v>126.09</c:v>
                </c:pt>
                <c:pt idx="123">
                  <c:v>126.53</c:v>
                </c:pt>
                <c:pt idx="124">
                  <c:v>127.19</c:v>
                </c:pt>
                <c:pt idx="125">
                  <c:v>127.89</c:v>
                </c:pt>
                <c:pt idx="126">
                  <c:v>128.15</c:v>
                </c:pt>
                <c:pt idx="127">
                  <c:v>128.69</c:v>
                </c:pt>
                <c:pt idx="128">
                  <c:v>129.47</c:v>
                </c:pt>
                <c:pt idx="129">
                  <c:v>130.1</c:v>
                </c:pt>
                <c:pt idx="130">
                  <c:v>130.72999999999999</c:v>
                </c:pt>
                <c:pt idx="131">
                  <c:v>131.69999999999999</c:v>
                </c:pt>
                <c:pt idx="132">
                  <c:v>132.47</c:v>
                </c:pt>
                <c:pt idx="133">
                  <c:v>133.19999999999999</c:v>
                </c:pt>
                <c:pt idx="134">
                  <c:v>133.47999999999999</c:v>
                </c:pt>
                <c:pt idx="135">
                  <c:v>134.21</c:v>
                </c:pt>
                <c:pt idx="136">
                  <c:v>134.69999999999999</c:v>
                </c:pt>
                <c:pt idx="137">
                  <c:v>134.69999999999999</c:v>
                </c:pt>
                <c:pt idx="138">
                  <c:v>134.68</c:v>
                </c:pt>
                <c:pt idx="139">
                  <c:v>134.66</c:v>
                </c:pt>
                <c:pt idx="140">
                  <c:v>134.76</c:v>
                </c:pt>
                <c:pt idx="141">
                  <c:v>134.75</c:v>
                </c:pt>
                <c:pt idx="142">
                  <c:v>134.86000000000001</c:v>
                </c:pt>
                <c:pt idx="143">
                  <c:v>135.19</c:v>
                </c:pt>
                <c:pt idx="144">
                  <c:v>136.1</c:v>
                </c:pt>
                <c:pt idx="145">
                  <c:v>137.16999999999999</c:v>
                </c:pt>
                <c:pt idx="146">
                  <c:v>139.46</c:v>
                </c:pt>
                <c:pt idx="147">
                  <c:v>141.81</c:v>
                </c:pt>
                <c:pt idx="148">
                  <c:v>143.69999999999999</c:v>
                </c:pt>
                <c:pt idx="149">
                  <c:v>144.9</c:v>
                </c:pt>
                <c:pt idx="150">
                  <c:v>145.87</c:v>
                </c:pt>
                <c:pt idx="151">
                  <c:v>146.88999999999999</c:v>
                </c:pt>
                <c:pt idx="152">
                  <c:v>147.53</c:v>
                </c:pt>
                <c:pt idx="153">
                  <c:v>146.88999999999999</c:v>
                </c:pt>
                <c:pt idx="154">
                  <c:v>146.22</c:v>
                </c:pt>
                <c:pt idx="155">
                  <c:v>145.16</c:v>
                </c:pt>
                <c:pt idx="156">
                  <c:v>144.91999999999999</c:v>
                </c:pt>
                <c:pt idx="157">
                  <c:v>145.04</c:v>
                </c:pt>
                <c:pt idx="158">
                  <c:v>144.82</c:v>
                </c:pt>
                <c:pt idx="159">
                  <c:v>144.80000000000001</c:v>
                </c:pt>
                <c:pt idx="160">
                  <c:v>144.87</c:v>
                </c:pt>
                <c:pt idx="161">
                  <c:v>145.74</c:v>
                </c:pt>
                <c:pt idx="162">
                  <c:v>146.33000000000001</c:v>
                </c:pt>
                <c:pt idx="163">
                  <c:v>146.94999999999999</c:v>
                </c:pt>
                <c:pt idx="164">
                  <c:v>147.77000000000001</c:v>
                </c:pt>
                <c:pt idx="165">
                  <c:v>149.22</c:v>
                </c:pt>
                <c:pt idx="166">
                  <c:v>152.94999999999999</c:v>
                </c:pt>
                <c:pt idx="167">
                  <c:v>159.96</c:v>
                </c:pt>
                <c:pt idx="168">
                  <c:v>165.37</c:v>
                </c:pt>
                <c:pt idx="169">
                  <c:v>162.65</c:v>
                </c:pt>
                <c:pt idx="170">
                  <c:v>161.91</c:v>
                </c:pt>
                <c:pt idx="171">
                  <c:v>161.78</c:v>
                </c:pt>
                <c:pt idx="172">
                  <c:v>161.66999999999999</c:v>
                </c:pt>
                <c:pt idx="173">
                  <c:v>161.84</c:v>
                </c:pt>
                <c:pt idx="174">
                  <c:v>162.47999999999999</c:v>
                </c:pt>
                <c:pt idx="175">
                  <c:v>163.68</c:v>
                </c:pt>
                <c:pt idx="176">
                  <c:v>165.09</c:v>
                </c:pt>
                <c:pt idx="177">
                  <c:v>167.59</c:v>
                </c:pt>
                <c:pt idx="178">
                  <c:v>170.36</c:v>
                </c:pt>
                <c:pt idx="179">
                  <c:v>174.99</c:v>
                </c:pt>
                <c:pt idx="180">
                  <c:v>182.53</c:v>
                </c:pt>
                <c:pt idx="181">
                  <c:v>186.85</c:v>
                </c:pt>
                <c:pt idx="182">
                  <c:v>190.93</c:v>
                </c:pt>
                <c:pt idx="183">
                  <c:v>191.55</c:v>
                </c:pt>
                <c:pt idx="184">
                  <c:v>190.63</c:v>
                </c:pt>
                <c:pt idx="185">
                  <c:v>188.92</c:v>
                </c:pt>
                <c:pt idx="186">
                  <c:v>186.6</c:v>
                </c:pt>
                <c:pt idx="187">
                  <c:v>182.77</c:v>
                </c:pt>
                <c:pt idx="188">
                  <c:v>177.64</c:v>
                </c:pt>
                <c:pt idx="189">
                  <c:v>174.19</c:v>
                </c:pt>
                <c:pt idx="190">
                  <c:v>171.14</c:v>
                </c:pt>
                <c:pt idx="191">
                  <c:v>170.12</c:v>
                </c:pt>
                <c:pt idx="192">
                  <c:v>168.93</c:v>
                </c:pt>
                <c:pt idx="193">
                  <c:v>167.61</c:v>
                </c:pt>
                <c:pt idx="194">
                  <c:v>165.47</c:v>
                </c:pt>
                <c:pt idx="195">
                  <c:v>164</c:v>
                </c:pt>
                <c:pt idx="196">
                  <c:v>162.66999999999999</c:v>
                </c:pt>
                <c:pt idx="197">
                  <c:v>162.09</c:v>
                </c:pt>
                <c:pt idx="198">
                  <c:v>162.81</c:v>
                </c:pt>
                <c:pt idx="199">
                  <c:v>164.62</c:v>
                </c:pt>
                <c:pt idx="200">
                  <c:v>165.87</c:v>
                </c:pt>
                <c:pt idx="201">
                  <c:v>165.62</c:v>
                </c:pt>
                <c:pt idx="202">
                  <c:v>164.4</c:v>
                </c:pt>
                <c:pt idx="203">
                  <c:v>163.28</c:v>
                </c:pt>
                <c:pt idx="204">
                  <c:v>161.13</c:v>
                </c:pt>
                <c:pt idx="205">
                  <c:v>159.19999999999999</c:v>
                </c:pt>
                <c:pt idx="206">
                  <c:v>155.97</c:v>
                </c:pt>
                <c:pt idx="207">
                  <c:v>154.07</c:v>
                </c:pt>
                <c:pt idx="208">
                  <c:v>151.94</c:v>
                </c:pt>
                <c:pt idx="209">
                  <c:v>150.9</c:v>
                </c:pt>
                <c:pt idx="210">
                  <c:v>149.97</c:v>
                </c:pt>
                <c:pt idx="211">
                  <c:v>148.79</c:v>
                </c:pt>
                <c:pt idx="212">
                  <c:v>148.21</c:v>
                </c:pt>
                <c:pt idx="213">
                  <c:v>148.18</c:v>
                </c:pt>
                <c:pt idx="214">
                  <c:v>148.34</c:v>
                </c:pt>
                <c:pt idx="215">
                  <c:v>147.97999999999999</c:v>
                </c:pt>
                <c:pt idx="216">
                  <c:v>147.86000000000001</c:v>
                </c:pt>
                <c:pt idx="217">
                  <c:v>147.55000000000001</c:v>
                </c:pt>
                <c:pt idx="218">
                  <c:v>147.12</c:v>
                </c:pt>
                <c:pt idx="219">
                  <c:v>146.97</c:v>
                </c:pt>
                <c:pt idx="220">
                  <c:v>146.62</c:v>
                </c:pt>
                <c:pt idx="221">
                  <c:v>146.21</c:v>
                </c:pt>
                <c:pt idx="222">
                  <c:v>145.72</c:v>
                </c:pt>
                <c:pt idx="223">
                  <c:v>145.82</c:v>
                </c:pt>
                <c:pt idx="224">
                  <c:v>145.93</c:v>
                </c:pt>
                <c:pt idx="225">
                  <c:v>145.84</c:v>
                </c:pt>
                <c:pt idx="226">
                  <c:v>145.71</c:v>
                </c:pt>
                <c:pt idx="227">
                  <c:v>145.30000000000001</c:v>
                </c:pt>
                <c:pt idx="228">
                  <c:v>144.65</c:v>
                </c:pt>
                <c:pt idx="229">
                  <c:v>143.63999999999999</c:v>
                </c:pt>
                <c:pt idx="230">
                  <c:v>142.94</c:v>
                </c:pt>
                <c:pt idx="231">
                  <c:v>142.9</c:v>
                </c:pt>
                <c:pt idx="232">
                  <c:v>142.71</c:v>
                </c:pt>
                <c:pt idx="233">
                  <c:v>142.94999999999999</c:v>
                </c:pt>
                <c:pt idx="234">
                  <c:v>143.43</c:v>
                </c:pt>
                <c:pt idx="235">
                  <c:v>143.4</c:v>
                </c:pt>
                <c:pt idx="236">
                  <c:v>142.87</c:v>
                </c:pt>
                <c:pt idx="237">
                  <c:v>142.77000000000001</c:v>
                </c:pt>
                <c:pt idx="238">
                  <c:v>142.96</c:v>
                </c:pt>
                <c:pt idx="239">
                  <c:v>144.13</c:v>
                </c:pt>
                <c:pt idx="240">
                  <c:v>146.18</c:v>
                </c:pt>
                <c:pt idx="241">
                  <c:v>147.77000000000001</c:v>
                </c:pt>
                <c:pt idx="242">
                  <c:v>149.4</c:v>
                </c:pt>
                <c:pt idx="243">
                  <c:v>150.72999999999999</c:v>
                </c:pt>
                <c:pt idx="244">
                  <c:v>151.71</c:v>
                </c:pt>
                <c:pt idx="245">
                  <c:v>153.1</c:v>
                </c:pt>
                <c:pt idx="246">
                  <c:v>154.06</c:v>
                </c:pt>
                <c:pt idx="247">
                  <c:v>155.41</c:v>
                </c:pt>
                <c:pt idx="248">
                  <c:v>156.02000000000001</c:v>
                </c:pt>
                <c:pt idx="249">
                  <c:v>155.94</c:v>
                </c:pt>
                <c:pt idx="250">
                  <c:v>155.09</c:v>
                </c:pt>
                <c:pt idx="251">
                  <c:v>154.63</c:v>
                </c:pt>
                <c:pt idx="252">
                  <c:v>153.97</c:v>
                </c:pt>
                <c:pt idx="253">
                  <c:v>153.19999999999999</c:v>
                </c:pt>
                <c:pt idx="254">
                  <c:v>152.38999999999999</c:v>
                </c:pt>
                <c:pt idx="255">
                  <c:v>150.5</c:v>
                </c:pt>
                <c:pt idx="256">
                  <c:v>147.99</c:v>
                </c:pt>
                <c:pt idx="257">
                  <c:v>145.71</c:v>
                </c:pt>
                <c:pt idx="258">
                  <c:v>143.80000000000001</c:v>
                </c:pt>
                <c:pt idx="259">
                  <c:v>141.51</c:v>
                </c:pt>
                <c:pt idx="260">
                  <c:v>140.33000000000001</c:v>
                </c:pt>
                <c:pt idx="261">
                  <c:v>140.78</c:v>
                </c:pt>
                <c:pt idx="262">
                  <c:v>139.72</c:v>
                </c:pt>
                <c:pt idx="263">
                  <c:v>139.49</c:v>
                </c:pt>
                <c:pt idx="264">
                  <c:v>139.38999999999999</c:v>
                </c:pt>
                <c:pt idx="265">
                  <c:v>139.91</c:v>
                </c:pt>
                <c:pt idx="266">
                  <c:v>140.55000000000001</c:v>
                </c:pt>
                <c:pt idx="267">
                  <c:v>141.28</c:v>
                </c:pt>
                <c:pt idx="268">
                  <c:v>142.86000000000001</c:v>
                </c:pt>
                <c:pt idx="269">
                  <c:v>143.96</c:v>
                </c:pt>
                <c:pt idx="270">
                  <c:v>144.72999999999999</c:v>
                </c:pt>
                <c:pt idx="271">
                  <c:v>144.69999999999999</c:v>
                </c:pt>
                <c:pt idx="272">
                  <c:v>144.72999999999999</c:v>
                </c:pt>
                <c:pt idx="273">
                  <c:v>145.06</c:v>
                </c:pt>
                <c:pt idx="274">
                  <c:v>146.25</c:v>
                </c:pt>
                <c:pt idx="275">
                  <c:v>146.91</c:v>
                </c:pt>
                <c:pt idx="276">
                  <c:v>148.49</c:v>
                </c:pt>
                <c:pt idx="277">
                  <c:v>149.21</c:v>
                </c:pt>
                <c:pt idx="278">
                  <c:v>149.49</c:v>
                </c:pt>
                <c:pt idx="279">
                  <c:v>149.54</c:v>
                </c:pt>
                <c:pt idx="280">
                  <c:v>149.22999999999999</c:v>
                </c:pt>
                <c:pt idx="281">
                  <c:v>148.83000000000001</c:v>
                </c:pt>
                <c:pt idx="282">
                  <c:v>147.65</c:v>
                </c:pt>
                <c:pt idx="283">
                  <c:v>147.27000000000001</c:v>
                </c:pt>
                <c:pt idx="284">
                  <c:v>146.25</c:v>
                </c:pt>
                <c:pt idx="285">
                  <c:v>145.09</c:v>
                </c:pt>
                <c:pt idx="286">
                  <c:v>144.43</c:v>
                </c:pt>
                <c:pt idx="287">
                  <c:v>144.28</c:v>
                </c:pt>
                <c:pt idx="288">
                  <c:v>144.44999999999999</c:v>
                </c:pt>
                <c:pt idx="289">
                  <c:v>144.6</c:v>
                </c:pt>
                <c:pt idx="290">
                  <c:v>144.69</c:v>
                </c:pt>
                <c:pt idx="291">
                  <c:v>144.19</c:v>
                </c:pt>
                <c:pt idx="292">
                  <c:v>143.41999999999999</c:v>
                </c:pt>
                <c:pt idx="293">
                  <c:v>142.91</c:v>
                </c:pt>
                <c:pt idx="294">
                  <c:v>141.96</c:v>
                </c:pt>
                <c:pt idx="295">
                  <c:v>141.01</c:v>
                </c:pt>
                <c:pt idx="296">
                  <c:v>139.96</c:v>
                </c:pt>
                <c:pt idx="297">
                  <c:v>138.1</c:v>
                </c:pt>
                <c:pt idx="298">
                  <c:v>136.49</c:v>
                </c:pt>
                <c:pt idx="299">
                  <c:v>135.26</c:v>
                </c:pt>
                <c:pt idx="300">
                  <c:v>134.16999999999999</c:v>
                </c:pt>
                <c:pt idx="301">
                  <c:v>133.59</c:v>
                </c:pt>
                <c:pt idx="302">
                  <c:v>133.86000000000001</c:v>
                </c:pt>
                <c:pt idx="303">
                  <c:v>133.99</c:v>
                </c:pt>
                <c:pt idx="304">
                  <c:v>134.41</c:v>
                </c:pt>
                <c:pt idx="305">
                  <c:v>134.41</c:v>
                </c:pt>
                <c:pt idx="306">
                  <c:v>134.59</c:v>
                </c:pt>
                <c:pt idx="307">
                  <c:v>134.85</c:v>
                </c:pt>
                <c:pt idx="308">
                  <c:v>135.37</c:v>
                </c:pt>
                <c:pt idx="309">
                  <c:v>135.93</c:v>
                </c:pt>
                <c:pt idx="310">
                  <c:v>136.22999999999999</c:v>
                </c:pt>
                <c:pt idx="311">
                  <c:v>136.38999999999999</c:v>
                </c:pt>
                <c:pt idx="312">
                  <c:v>136.38999999999999</c:v>
                </c:pt>
                <c:pt idx="313">
                  <c:v>136.49</c:v>
                </c:pt>
                <c:pt idx="314">
                  <c:v>136.6</c:v>
                </c:pt>
                <c:pt idx="315">
                  <c:v>136.51</c:v>
                </c:pt>
                <c:pt idx="316">
                  <c:v>136.97</c:v>
                </c:pt>
                <c:pt idx="317">
                  <c:v>138.36000000000001</c:v>
                </c:pt>
                <c:pt idx="318">
                  <c:v>138.74</c:v>
                </c:pt>
                <c:pt idx="319">
                  <c:v>139.02000000000001</c:v>
                </c:pt>
                <c:pt idx="320">
                  <c:v>139.22</c:v>
                </c:pt>
                <c:pt idx="321">
                  <c:v>139.62</c:v>
                </c:pt>
                <c:pt idx="322">
                  <c:v>139.61000000000001</c:v>
                </c:pt>
                <c:pt idx="323">
                  <c:v>139.41999999999999</c:v>
                </c:pt>
                <c:pt idx="324">
                  <c:v>137.97</c:v>
                </c:pt>
                <c:pt idx="325">
                  <c:v>135.61000000000001</c:v>
                </c:pt>
                <c:pt idx="326">
                  <c:v>134.91</c:v>
                </c:pt>
                <c:pt idx="327">
                  <c:v>135.25</c:v>
                </c:pt>
                <c:pt idx="328">
                  <c:v>134.85</c:v>
                </c:pt>
                <c:pt idx="329">
                  <c:v>134.26</c:v>
                </c:pt>
                <c:pt idx="330">
                  <c:v>133.84</c:v>
                </c:pt>
                <c:pt idx="331">
                  <c:v>133.18</c:v>
                </c:pt>
                <c:pt idx="332">
                  <c:v>132.32</c:v>
                </c:pt>
                <c:pt idx="333">
                  <c:v>132.07</c:v>
                </c:pt>
                <c:pt idx="334">
                  <c:v>131.99</c:v>
                </c:pt>
                <c:pt idx="335">
                  <c:v>131.44999999999999</c:v>
                </c:pt>
                <c:pt idx="336">
                  <c:v>131.35</c:v>
                </c:pt>
                <c:pt idx="337">
                  <c:v>131.38999999999999</c:v>
                </c:pt>
                <c:pt idx="338">
                  <c:v>132.33000000000001</c:v>
                </c:pt>
                <c:pt idx="339">
                  <c:v>132.94999999999999</c:v>
                </c:pt>
                <c:pt idx="340">
                  <c:v>133.19</c:v>
                </c:pt>
                <c:pt idx="341">
                  <c:v>133.94999999999999</c:v>
                </c:pt>
                <c:pt idx="342">
                  <c:v>134.09</c:v>
                </c:pt>
                <c:pt idx="343">
                  <c:v>134.24</c:v>
                </c:pt>
                <c:pt idx="344">
                  <c:v>134.30000000000001</c:v>
                </c:pt>
                <c:pt idx="345">
                  <c:v>134.38999999999999</c:v>
                </c:pt>
                <c:pt idx="346">
                  <c:v>134.30000000000001</c:v>
                </c:pt>
                <c:pt idx="347">
                  <c:v>133.91</c:v>
                </c:pt>
                <c:pt idx="348">
                  <c:v>133.86000000000001</c:v>
                </c:pt>
                <c:pt idx="349">
                  <c:v>133.72</c:v>
                </c:pt>
                <c:pt idx="350">
                  <c:v>133.81</c:v>
                </c:pt>
                <c:pt idx="351">
                  <c:v>134.15</c:v>
                </c:pt>
                <c:pt idx="352">
                  <c:v>134.36000000000001</c:v>
                </c:pt>
                <c:pt idx="353">
                  <c:v>134.76</c:v>
                </c:pt>
                <c:pt idx="354">
                  <c:v>134.81</c:v>
                </c:pt>
                <c:pt idx="355">
                  <c:v>134.69</c:v>
                </c:pt>
                <c:pt idx="356">
                  <c:v>134.4</c:v>
                </c:pt>
                <c:pt idx="357">
                  <c:v>134.38</c:v>
                </c:pt>
                <c:pt idx="358">
                  <c:v>134.65</c:v>
                </c:pt>
                <c:pt idx="359">
                  <c:v>135.07</c:v>
                </c:pt>
                <c:pt idx="360">
                  <c:v>136.07</c:v>
                </c:pt>
                <c:pt idx="361">
                  <c:v>136.61000000000001</c:v>
                </c:pt>
                <c:pt idx="362">
                  <c:v>136.68</c:v>
                </c:pt>
                <c:pt idx="363">
                  <c:v>136.83000000000001</c:v>
                </c:pt>
                <c:pt idx="364">
                  <c:v>136.22999999999999</c:v>
                </c:pt>
                <c:pt idx="365">
                  <c:v>135.34</c:v>
                </c:pt>
                <c:pt idx="366">
                  <c:v>134.9</c:v>
                </c:pt>
                <c:pt idx="367">
                  <c:v>133.43</c:v>
                </c:pt>
                <c:pt idx="368">
                  <c:v>132.63999999999999</c:v>
                </c:pt>
                <c:pt idx="369">
                  <c:v>132</c:v>
                </c:pt>
                <c:pt idx="370">
                  <c:v>131.62</c:v>
                </c:pt>
                <c:pt idx="371">
                  <c:v>131.46</c:v>
                </c:pt>
                <c:pt idx="372">
                  <c:v>131.6</c:v>
                </c:pt>
                <c:pt idx="373">
                  <c:v>131.71</c:v>
                </c:pt>
                <c:pt idx="374">
                  <c:v>132.13999999999999</c:v>
                </c:pt>
                <c:pt idx="375">
                  <c:v>135.66999999999999</c:v>
                </c:pt>
                <c:pt idx="376">
                  <c:v>140.28</c:v>
                </c:pt>
                <c:pt idx="377">
                  <c:v>144.16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data'!$C$4</c:f>
              <c:strCache>
                <c:ptCount val="1"/>
                <c:pt idx="0">
                  <c:v>Brent Crude prices (RHS)</c:v>
                </c:pt>
              </c:strCache>
            </c:strRef>
          </c:tx>
          <c:spPr>
            <a:ln w="3175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data'!$A$5:$A$395</c:f>
              <c:numCache>
                <c:formatCode>m/d/yyyy</c:formatCode>
                <c:ptCount val="391"/>
                <c:pt idx="0">
                  <c:v>43466</c:v>
                </c:pt>
                <c:pt idx="1">
                  <c:v>43473</c:v>
                </c:pt>
                <c:pt idx="2">
                  <c:v>43480</c:v>
                </c:pt>
                <c:pt idx="3">
                  <c:v>43487</c:v>
                </c:pt>
                <c:pt idx="4">
                  <c:v>43494</c:v>
                </c:pt>
                <c:pt idx="5">
                  <c:v>43501</c:v>
                </c:pt>
                <c:pt idx="6">
                  <c:v>43508</c:v>
                </c:pt>
                <c:pt idx="7">
                  <c:v>43515</c:v>
                </c:pt>
                <c:pt idx="8">
                  <c:v>43522</c:v>
                </c:pt>
                <c:pt idx="9">
                  <c:v>43529</c:v>
                </c:pt>
                <c:pt idx="10">
                  <c:v>43536</c:v>
                </c:pt>
                <c:pt idx="11">
                  <c:v>43543</c:v>
                </c:pt>
                <c:pt idx="12">
                  <c:v>43550</c:v>
                </c:pt>
                <c:pt idx="13">
                  <c:v>43557</c:v>
                </c:pt>
                <c:pt idx="14">
                  <c:v>43564</c:v>
                </c:pt>
                <c:pt idx="15">
                  <c:v>43571</c:v>
                </c:pt>
                <c:pt idx="16">
                  <c:v>43578</c:v>
                </c:pt>
                <c:pt idx="17">
                  <c:v>43585</c:v>
                </c:pt>
                <c:pt idx="18">
                  <c:v>43592</c:v>
                </c:pt>
                <c:pt idx="19">
                  <c:v>43599</c:v>
                </c:pt>
                <c:pt idx="20">
                  <c:v>43606</c:v>
                </c:pt>
                <c:pt idx="21">
                  <c:v>43613</c:v>
                </c:pt>
                <c:pt idx="22">
                  <c:v>43620</c:v>
                </c:pt>
                <c:pt idx="23">
                  <c:v>43627</c:v>
                </c:pt>
                <c:pt idx="24">
                  <c:v>43634</c:v>
                </c:pt>
                <c:pt idx="25">
                  <c:v>43641</c:v>
                </c:pt>
                <c:pt idx="26">
                  <c:v>43648</c:v>
                </c:pt>
                <c:pt idx="27">
                  <c:v>43655</c:v>
                </c:pt>
                <c:pt idx="28">
                  <c:v>43662</c:v>
                </c:pt>
                <c:pt idx="29">
                  <c:v>43669</c:v>
                </c:pt>
                <c:pt idx="30">
                  <c:v>43676</c:v>
                </c:pt>
                <c:pt idx="31">
                  <c:v>43683</c:v>
                </c:pt>
                <c:pt idx="32">
                  <c:v>43690</c:v>
                </c:pt>
                <c:pt idx="33">
                  <c:v>43697</c:v>
                </c:pt>
                <c:pt idx="34">
                  <c:v>43704</c:v>
                </c:pt>
                <c:pt idx="35">
                  <c:v>43711</c:v>
                </c:pt>
                <c:pt idx="36">
                  <c:v>43718</c:v>
                </c:pt>
                <c:pt idx="37">
                  <c:v>43725</c:v>
                </c:pt>
                <c:pt idx="38">
                  <c:v>43732</c:v>
                </c:pt>
                <c:pt idx="39">
                  <c:v>43739</c:v>
                </c:pt>
                <c:pt idx="40">
                  <c:v>43746</c:v>
                </c:pt>
                <c:pt idx="41">
                  <c:v>43753</c:v>
                </c:pt>
                <c:pt idx="42">
                  <c:v>43760</c:v>
                </c:pt>
                <c:pt idx="43">
                  <c:v>43767</c:v>
                </c:pt>
                <c:pt idx="44">
                  <c:v>43774</c:v>
                </c:pt>
                <c:pt idx="45">
                  <c:v>43781</c:v>
                </c:pt>
                <c:pt idx="46">
                  <c:v>43788</c:v>
                </c:pt>
                <c:pt idx="47">
                  <c:v>43795</c:v>
                </c:pt>
                <c:pt idx="48">
                  <c:v>43802</c:v>
                </c:pt>
                <c:pt idx="49">
                  <c:v>43809</c:v>
                </c:pt>
                <c:pt idx="50">
                  <c:v>43816</c:v>
                </c:pt>
                <c:pt idx="51">
                  <c:v>43823</c:v>
                </c:pt>
                <c:pt idx="52">
                  <c:v>43830</c:v>
                </c:pt>
                <c:pt idx="53">
                  <c:v>43837</c:v>
                </c:pt>
                <c:pt idx="54">
                  <c:v>43844</c:v>
                </c:pt>
                <c:pt idx="55">
                  <c:v>43851</c:v>
                </c:pt>
                <c:pt idx="56">
                  <c:v>43858</c:v>
                </c:pt>
                <c:pt idx="57">
                  <c:v>43865</c:v>
                </c:pt>
                <c:pt idx="58">
                  <c:v>43872</c:v>
                </c:pt>
                <c:pt idx="59">
                  <c:v>43879</c:v>
                </c:pt>
                <c:pt idx="60">
                  <c:v>43886</c:v>
                </c:pt>
                <c:pt idx="61">
                  <c:v>43893</c:v>
                </c:pt>
                <c:pt idx="62">
                  <c:v>43900</c:v>
                </c:pt>
                <c:pt idx="63">
                  <c:v>43907</c:v>
                </c:pt>
                <c:pt idx="64">
                  <c:v>43914</c:v>
                </c:pt>
                <c:pt idx="65">
                  <c:v>43921</c:v>
                </c:pt>
                <c:pt idx="66">
                  <c:v>43928</c:v>
                </c:pt>
                <c:pt idx="67">
                  <c:v>43935</c:v>
                </c:pt>
                <c:pt idx="68">
                  <c:v>43942</c:v>
                </c:pt>
                <c:pt idx="69">
                  <c:v>43949</c:v>
                </c:pt>
                <c:pt idx="70">
                  <c:v>43956</c:v>
                </c:pt>
                <c:pt idx="71">
                  <c:v>43963</c:v>
                </c:pt>
                <c:pt idx="72">
                  <c:v>43970</c:v>
                </c:pt>
                <c:pt idx="73">
                  <c:v>43977</c:v>
                </c:pt>
                <c:pt idx="74">
                  <c:v>43984</c:v>
                </c:pt>
                <c:pt idx="75">
                  <c:v>43991</c:v>
                </c:pt>
                <c:pt idx="76">
                  <c:v>43998</c:v>
                </c:pt>
                <c:pt idx="77">
                  <c:v>44005</c:v>
                </c:pt>
                <c:pt idx="78">
                  <c:v>44012</c:v>
                </c:pt>
                <c:pt idx="79">
                  <c:v>44019</c:v>
                </c:pt>
                <c:pt idx="80">
                  <c:v>44026</c:v>
                </c:pt>
                <c:pt idx="81">
                  <c:v>44033</c:v>
                </c:pt>
                <c:pt idx="82">
                  <c:v>44040</c:v>
                </c:pt>
                <c:pt idx="83">
                  <c:v>44047</c:v>
                </c:pt>
                <c:pt idx="84">
                  <c:v>44054</c:v>
                </c:pt>
                <c:pt idx="85">
                  <c:v>44061</c:v>
                </c:pt>
                <c:pt idx="86">
                  <c:v>44068</c:v>
                </c:pt>
                <c:pt idx="87">
                  <c:v>44075</c:v>
                </c:pt>
                <c:pt idx="88">
                  <c:v>44082</c:v>
                </c:pt>
                <c:pt idx="89">
                  <c:v>44089</c:v>
                </c:pt>
                <c:pt idx="90">
                  <c:v>44096</c:v>
                </c:pt>
                <c:pt idx="91">
                  <c:v>44103</c:v>
                </c:pt>
                <c:pt idx="92">
                  <c:v>44110</c:v>
                </c:pt>
                <c:pt idx="93">
                  <c:v>44117</c:v>
                </c:pt>
                <c:pt idx="94">
                  <c:v>44124</c:v>
                </c:pt>
                <c:pt idx="95">
                  <c:v>44131</c:v>
                </c:pt>
                <c:pt idx="96">
                  <c:v>44138</c:v>
                </c:pt>
                <c:pt idx="97">
                  <c:v>44145</c:v>
                </c:pt>
                <c:pt idx="98">
                  <c:v>44152</c:v>
                </c:pt>
                <c:pt idx="99">
                  <c:v>44159</c:v>
                </c:pt>
                <c:pt idx="100">
                  <c:v>44166</c:v>
                </c:pt>
                <c:pt idx="101">
                  <c:v>44173</c:v>
                </c:pt>
                <c:pt idx="102">
                  <c:v>44180</c:v>
                </c:pt>
                <c:pt idx="103">
                  <c:v>44187</c:v>
                </c:pt>
                <c:pt idx="104">
                  <c:v>44194</c:v>
                </c:pt>
                <c:pt idx="105">
                  <c:v>44201</c:v>
                </c:pt>
                <c:pt idx="106">
                  <c:v>44208</c:v>
                </c:pt>
                <c:pt idx="107">
                  <c:v>44215</c:v>
                </c:pt>
                <c:pt idx="108">
                  <c:v>44222</c:v>
                </c:pt>
                <c:pt idx="109">
                  <c:v>44229</c:v>
                </c:pt>
                <c:pt idx="110">
                  <c:v>44236</c:v>
                </c:pt>
                <c:pt idx="111">
                  <c:v>44243</c:v>
                </c:pt>
                <c:pt idx="112">
                  <c:v>44250</c:v>
                </c:pt>
                <c:pt idx="113">
                  <c:v>44257</c:v>
                </c:pt>
                <c:pt idx="114">
                  <c:v>44264</c:v>
                </c:pt>
                <c:pt idx="115">
                  <c:v>44271</c:v>
                </c:pt>
                <c:pt idx="116">
                  <c:v>44278</c:v>
                </c:pt>
                <c:pt idx="117">
                  <c:v>44285</c:v>
                </c:pt>
                <c:pt idx="118">
                  <c:v>44292</c:v>
                </c:pt>
                <c:pt idx="119">
                  <c:v>44299</c:v>
                </c:pt>
                <c:pt idx="120">
                  <c:v>44306</c:v>
                </c:pt>
                <c:pt idx="121">
                  <c:v>44313</c:v>
                </c:pt>
                <c:pt idx="122">
                  <c:v>44320</c:v>
                </c:pt>
                <c:pt idx="123">
                  <c:v>44327</c:v>
                </c:pt>
                <c:pt idx="124">
                  <c:v>44334</c:v>
                </c:pt>
                <c:pt idx="125">
                  <c:v>44341</c:v>
                </c:pt>
                <c:pt idx="126">
                  <c:v>44348</c:v>
                </c:pt>
                <c:pt idx="127">
                  <c:v>44355</c:v>
                </c:pt>
                <c:pt idx="128">
                  <c:v>44362</c:v>
                </c:pt>
                <c:pt idx="129">
                  <c:v>44369</c:v>
                </c:pt>
                <c:pt idx="130">
                  <c:v>44376</c:v>
                </c:pt>
                <c:pt idx="131">
                  <c:v>44383</c:v>
                </c:pt>
                <c:pt idx="132">
                  <c:v>44390</c:v>
                </c:pt>
                <c:pt idx="133">
                  <c:v>44397</c:v>
                </c:pt>
                <c:pt idx="134">
                  <c:v>44404</c:v>
                </c:pt>
                <c:pt idx="135">
                  <c:v>44411</c:v>
                </c:pt>
                <c:pt idx="136">
                  <c:v>44418</c:v>
                </c:pt>
                <c:pt idx="137">
                  <c:v>44425</c:v>
                </c:pt>
                <c:pt idx="138">
                  <c:v>44432</c:v>
                </c:pt>
                <c:pt idx="139">
                  <c:v>44439</c:v>
                </c:pt>
                <c:pt idx="140">
                  <c:v>44446</c:v>
                </c:pt>
                <c:pt idx="141">
                  <c:v>44453</c:v>
                </c:pt>
                <c:pt idx="142">
                  <c:v>44460</c:v>
                </c:pt>
                <c:pt idx="143">
                  <c:v>44467</c:v>
                </c:pt>
                <c:pt idx="144">
                  <c:v>44474</c:v>
                </c:pt>
                <c:pt idx="145">
                  <c:v>44481</c:v>
                </c:pt>
                <c:pt idx="146">
                  <c:v>44488</c:v>
                </c:pt>
                <c:pt idx="147">
                  <c:v>44495</c:v>
                </c:pt>
                <c:pt idx="148">
                  <c:v>44502</c:v>
                </c:pt>
                <c:pt idx="149">
                  <c:v>44509</c:v>
                </c:pt>
                <c:pt idx="150">
                  <c:v>44516</c:v>
                </c:pt>
                <c:pt idx="151">
                  <c:v>44523</c:v>
                </c:pt>
                <c:pt idx="152">
                  <c:v>44530</c:v>
                </c:pt>
                <c:pt idx="153">
                  <c:v>44537</c:v>
                </c:pt>
                <c:pt idx="154">
                  <c:v>44544</c:v>
                </c:pt>
                <c:pt idx="155">
                  <c:v>44551</c:v>
                </c:pt>
                <c:pt idx="156">
                  <c:v>44558</c:v>
                </c:pt>
                <c:pt idx="157">
                  <c:v>44565</c:v>
                </c:pt>
                <c:pt idx="158">
                  <c:v>44572</c:v>
                </c:pt>
                <c:pt idx="159">
                  <c:v>44579</c:v>
                </c:pt>
                <c:pt idx="160">
                  <c:v>44586</c:v>
                </c:pt>
                <c:pt idx="161">
                  <c:v>44593</c:v>
                </c:pt>
                <c:pt idx="162">
                  <c:v>44600</c:v>
                </c:pt>
                <c:pt idx="163">
                  <c:v>44607</c:v>
                </c:pt>
                <c:pt idx="164">
                  <c:v>44614</c:v>
                </c:pt>
                <c:pt idx="165">
                  <c:v>44621</c:v>
                </c:pt>
                <c:pt idx="166">
                  <c:v>44628</c:v>
                </c:pt>
                <c:pt idx="167">
                  <c:v>44635</c:v>
                </c:pt>
                <c:pt idx="168">
                  <c:v>44642</c:v>
                </c:pt>
                <c:pt idx="169">
                  <c:v>44649</c:v>
                </c:pt>
                <c:pt idx="170">
                  <c:v>44656</c:v>
                </c:pt>
                <c:pt idx="171">
                  <c:v>44663</c:v>
                </c:pt>
                <c:pt idx="172">
                  <c:v>44670</c:v>
                </c:pt>
                <c:pt idx="173">
                  <c:v>44677</c:v>
                </c:pt>
                <c:pt idx="174">
                  <c:v>44684</c:v>
                </c:pt>
                <c:pt idx="175">
                  <c:v>44691</c:v>
                </c:pt>
                <c:pt idx="176">
                  <c:v>44698</c:v>
                </c:pt>
                <c:pt idx="177">
                  <c:v>44705</c:v>
                </c:pt>
                <c:pt idx="178">
                  <c:v>44712</c:v>
                </c:pt>
                <c:pt idx="179">
                  <c:v>44719</c:v>
                </c:pt>
                <c:pt idx="180">
                  <c:v>44726</c:v>
                </c:pt>
                <c:pt idx="181">
                  <c:v>44733</c:v>
                </c:pt>
                <c:pt idx="182">
                  <c:v>44740</c:v>
                </c:pt>
                <c:pt idx="183">
                  <c:v>44747</c:v>
                </c:pt>
                <c:pt idx="184">
                  <c:v>44754</c:v>
                </c:pt>
                <c:pt idx="185">
                  <c:v>44761</c:v>
                </c:pt>
                <c:pt idx="186">
                  <c:v>44768</c:v>
                </c:pt>
                <c:pt idx="187">
                  <c:v>44775</c:v>
                </c:pt>
                <c:pt idx="188">
                  <c:v>44782</c:v>
                </c:pt>
                <c:pt idx="189">
                  <c:v>44789</c:v>
                </c:pt>
                <c:pt idx="190">
                  <c:v>44796</c:v>
                </c:pt>
                <c:pt idx="191">
                  <c:v>44803</c:v>
                </c:pt>
                <c:pt idx="192">
                  <c:v>44810</c:v>
                </c:pt>
                <c:pt idx="193">
                  <c:v>44817</c:v>
                </c:pt>
                <c:pt idx="194">
                  <c:v>44824</c:v>
                </c:pt>
                <c:pt idx="195">
                  <c:v>44831</c:v>
                </c:pt>
                <c:pt idx="196">
                  <c:v>44838</c:v>
                </c:pt>
                <c:pt idx="197">
                  <c:v>44845</c:v>
                </c:pt>
                <c:pt idx="198">
                  <c:v>44852</c:v>
                </c:pt>
                <c:pt idx="199">
                  <c:v>44859</c:v>
                </c:pt>
                <c:pt idx="200">
                  <c:v>44866</c:v>
                </c:pt>
                <c:pt idx="201">
                  <c:v>44873</c:v>
                </c:pt>
                <c:pt idx="202">
                  <c:v>44880</c:v>
                </c:pt>
                <c:pt idx="203">
                  <c:v>44887</c:v>
                </c:pt>
                <c:pt idx="204">
                  <c:v>44894</c:v>
                </c:pt>
                <c:pt idx="205">
                  <c:v>44901</c:v>
                </c:pt>
                <c:pt idx="206">
                  <c:v>44908</c:v>
                </c:pt>
                <c:pt idx="207">
                  <c:v>44915</c:v>
                </c:pt>
                <c:pt idx="208">
                  <c:v>44922</c:v>
                </c:pt>
                <c:pt idx="209">
                  <c:v>44929</c:v>
                </c:pt>
                <c:pt idx="210">
                  <c:v>44936</c:v>
                </c:pt>
                <c:pt idx="211">
                  <c:v>44943</c:v>
                </c:pt>
                <c:pt idx="212">
                  <c:v>44950</c:v>
                </c:pt>
                <c:pt idx="213">
                  <c:v>44957</c:v>
                </c:pt>
                <c:pt idx="214">
                  <c:v>44964</c:v>
                </c:pt>
                <c:pt idx="215">
                  <c:v>44971</c:v>
                </c:pt>
                <c:pt idx="216">
                  <c:v>44978</c:v>
                </c:pt>
                <c:pt idx="217">
                  <c:v>44985</c:v>
                </c:pt>
                <c:pt idx="218">
                  <c:v>44992</c:v>
                </c:pt>
                <c:pt idx="219">
                  <c:v>44999</c:v>
                </c:pt>
                <c:pt idx="220">
                  <c:v>45006</c:v>
                </c:pt>
                <c:pt idx="221">
                  <c:v>45013</c:v>
                </c:pt>
                <c:pt idx="222">
                  <c:v>45020</c:v>
                </c:pt>
                <c:pt idx="223">
                  <c:v>45027</c:v>
                </c:pt>
                <c:pt idx="224">
                  <c:v>45034</c:v>
                </c:pt>
                <c:pt idx="225">
                  <c:v>45041</c:v>
                </c:pt>
                <c:pt idx="226">
                  <c:v>45048</c:v>
                </c:pt>
                <c:pt idx="227">
                  <c:v>45055</c:v>
                </c:pt>
                <c:pt idx="228">
                  <c:v>45062</c:v>
                </c:pt>
                <c:pt idx="229">
                  <c:v>45069</c:v>
                </c:pt>
                <c:pt idx="230">
                  <c:v>45076</c:v>
                </c:pt>
                <c:pt idx="231">
                  <c:v>45083</c:v>
                </c:pt>
                <c:pt idx="232">
                  <c:v>45090</c:v>
                </c:pt>
                <c:pt idx="233">
                  <c:v>45097</c:v>
                </c:pt>
                <c:pt idx="234">
                  <c:v>45104</c:v>
                </c:pt>
                <c:pt idx="235">
                  <c:v>45111</c:v>
                </c:pt>
                <c:pt idx="236">
                  <c:v>45118</c:v>
                </c:pt>
                <c:pt idx="237">
                  <c:v>45125</c:v>
                </c:pt>
                <c:pt idx="238">
                  <c:v>45132</c:v>
                </c:pt>
                <c:pt idx="239">
                  <c:v>45139</c:v>
                </c:pt>
                <c:pt idx="240">
                  <c:v>45146</c:v>
                </c:pt>
                <c:pt idx="241">
                  <c:v>45153</c:v>
                </c:pt>
                <c:pt idx="242">
                  <c:v>45160</c:v>
                </c:pt>
                <c:pt idx="243">
                  <c:v>45167</c:v>
                </c:pt>
                <c:pt idx="244">
                  <c:v>45174</c:v>
                </c:pt>
                <c:pt idx="245">
                  <c:v>45181</c:v>
                </c:pt>
                <c:pt idx="246">
                  <c:v>45188</c:v>
                </c:pt>
                <c:pt idx="247">
                  <c:v>45195</c:v>
                </c:pt>
                <c:pt idx="248">
                  <c:v>45202</c:v>
                </c:pt>
                <c:pt idx="249">
                  <c:v>45209</c:v>
                </c:pt>
                <c:pt idx="250">
                  <c:v>45216</c:v>
                </c:pt>
                <c:pt idx="251">
                  <c:v>45223</c:v>
                </c:pt>
                <c:pt idx="252">
                  <c:v>45230</c:v>
                </c:pt>
                <c:pt idx="253">
                  <c:v>45237</c:v>
                </c:pt>
                <c:pt idx="254">
                  <c:v>45244</c:v>
                </c:pt>
                <c:pt idx="255">
                  <c:v>45251</c:v>
                </c:pt>
                <c:pt idx="256">
                  <c:v>45258</c:v>
                </c:pt>
                <c:pt idx="257">
                  <c:v>45265</c:v>
                </c:pt>
                <c:pt idx="258">
                  <c:v>45272</c:v>
                </c:pt>
                <c:pt idx="259">
                  <c:v>45279</c:v>
                </c:pt>
                <c:pt idx="260">
                  <c:v>45286</c:v>
                </c:pt>
                <c:pt idx="261">
                  <c:v>45293</c:v>
                </c:pt>
                <c:pt idx="262">
                  <c:v>45300</c:v>
                </c:pt>
                <c:pt idx="263">
                  <c:v>45307</c:v>
                </c:pt>
                <c:pt idx="264">
                  <c:v>45314</c:v>
                </c:pt>
                <c:pt idx="265">
                  <c:v>45321</c:v>
                </c:pt>
                <c:pt idx="266">
                  <c:v>45328</c:v>
                </c:pt>
                <c:pt idx="267">
                  <c:v>45335</c:v>
                </c:pt>
                <c:pt idx="268">
                  <c:v>45342</c:v>
                </c:pt>
                <c:pt idx="269">
                  <c:v>45349</c:v>
                </c:pt>
                <c:pt idx="270">
                  <c:v>45356</c:v>
                </c:pt>
                <c:pt idx="271">
                  <c:v>45363</c:v>
                </c:pt>
                <c:pt idx="272">
                  <c:v>45370</c:v>
                </c:pt>
                <c:pt idx="273">
                  <c:v>45377</c:v>
                </c:pt>
                <c:pt idx="274">
                  <c:v>45384</c:v>
                </c:pt>
                <c:pt idx="275">
                  <c:v>45391</c:v>
                </c:pt>
                <c:pt idx="276">
                  <c:v>45398</c:v>
                </c:pt>
                <c:pt idx="277">
                  <c:v>45405</c:v>
                </c:pt>
                <c:pt idx="278">
                  <c:v>45412</c:v>
                </c:pt>
                <c:pt idx="279">
                  <c:v>45419</c:v>
                </c:pt>
                <c:pt idx="280">
                  <c:v>45426</c:v>
                </c:pt>
                <c:pt idx="281">
                  <c:v>45433</c:v>
                </c:pt>
                <c:pt idx="282">
                  <c:v>45440</c:v>
                </c:pt>
                <c:pt idx="283">
                  <c:v>45447</c:v>
                </c:pt>
                <c:pt idx="284">
                  <c:v>45454</c:v>
                </c:pt>
                <c:pt idx="285">
                  <c:v>45461</c:v>
                </c:pt>
                <c:pt idx="286">
                  <c:v>45468</c:v>
                </c:pt>
                <c:pt idx="287">
                  <c:v>45475</c:v>
                </c:pt>
                <c:pt idx="288">
                  <c:v>45482</c:v>
                </c:pt>
                <c:pt idx="289">
                  <c:v>45489</c:v>
                </c:pt>
                <c:pt idx="290">
                  <c:v>45496</c:v>
                </c:pt>
                <c:pt idx="291">
                  <c:v>45503</c:v>
                </c:pt>
                <c:pt idx="292">
                  <c:v>45510</c:v>
                </c:pt>
                <c:pt idx="293">
                  <c:v>45517</c:v>
                </c:pt>
                <c:pt idx="294">
                  <c:v>45524</c:v>
                </c:pt>
                <c:pt idx="295">
                  <c:v>45531</c:v>
                </c:pt>
                <c:pt idx="296">
                  <c:v>45538</c:v>
                </c:pt>
                <c:pt idx="297">
                  <c:v>45545</c:v>
                </c:pt>
                <c:pt idx="298">
                  <c:v>45552</c:v>
                </c:pt>
                <c:pt idx="299">
                  <c:v>45559</c:v>
                </c:pt>
                <c:pt idx="300">
                  <c:v>45566</c:v>
                </c:pt>
                <c:pt idx="301">
                  <c:v>45573</c:v>
                </c:pt>
                <c:pt idx="302">
                  <c:v>45580</c:v>
                </c:pt>
                <c:pt idx="303">
                  <c:v>45587</c:v>
                </c:pt>
                <c:pt idx="304">
                  <c:v>45594</c:v>
                </c:pt>
                <c:pt idx="305">
                  <c:v>45601</c:v>
                </c:pt>
                <c:pt idx="306">
                  <c:v>45608</c:v>
                </c:pt>
                <c:pt idx="307">
                  <c:v>45615</c:v>
                </c:pt>
                <c:pt idx="308">
                  <c:v>45622</c:v>
                </c:pt>
                <c:pt idx="309">
                  <c:v>45629</c:v>
                </c:pt>
                <c:pt idx="310">
                  <c:v>45636</c:v>
                </c:pt>
                <c:pt idx="311">
                  <c:v>45643</c:v>
                </c:pt>
                <c:pt idx="312">
                  <c:v>45650</c:v>
                </c:pt>
                <c:pt idx="313">
                  <c:v>45657</c:v>
                </c:pt>
                <c:pt idx="314">
                  <c:v>45664</c:v>
                </c:pt>
                <c:pt idx="315">
                  <c:v>45671</c:v>
                </c:pt>
                <c:pt idx="316">
                  <c:v>45678</c:v>
                </c:pt>
                <c:pt idx="317">
                  <c:v>45685</c:v>
                </c:pt>
                <c:pt idx="318">
                  <c:v>45692</c:v>
                </c:pt>
                <c:pt idx="319">
                  <c:v>45699</c:v>
                </c:pt>
                <c:pt idx="320">
                  <c:v>45706</c:v>
                </c:pt>
                <c:pt idx="321">
                  <c:v>45713</c:v>
                </c:pt>
                <c:pt idx="322">
                  <c:v>45720</c:v>
                </c:pt>
                <c:pt idx="323">
                  <c:v>45727</c:v>
                </c:pt>
                <c:pt idx="324">
                  <c:v>45734</c:v>
                </c:pt>
                <c:pt idx="325">
                  <c:v>45741</c:v>
                </c:pt>
                <c:pt idx="326">
                  <c:v>45748</c:v>
                </c:pt>
                <c:pt idx="327">
                  <c:v>45755</c:v>
                </c:pt>
                <c:pt idx="328">
                  <c:v>45762</c:v>
                </c:pt>
                <c:pt idx="329">
                  <c:v>45769</c:v>
                </c:pt>
                <c:pt idx="330">
                  <c:v>45776</c:v>
                </c:pt>
                <c:pt idx="331">
                  <c:v>45783</c:v>
                </c:pt>
                <c:pt idx="332">
                  <c:v>45790</c:v>
                </c:pt>
                <c:pt idx="333">
                  <c:v>45797</c:v>
                </c:pt>
                <c:pt idx="334">
                  <c:v>45804</c:v>
                </c:pt>
                <c:pt idx="335">
                  <c:v>45811</c:v>
                </c:pt>
                <c:pt idx="336">
                  <c:v>45818</c:v>
                </c:pt>
                <c:pt idx="337">
                  <c:v>45825</c:v>
                </c:pt>
                <c:pt idx="338">
                  <c:v>45832</c:v>
                </c:pt>
                <c:pt idx="339">
                  <c:v>45839</c:v>
                </c:pt>
                <c:pt idx="340">
                  <c:v>45846</c:v>
                </c:pt>
                <c:pt idx="341">
                  <c:v>45853</c:v>
                </c:pt>
                <c:pt idx="342">
                  <c:v>45860</c:v>
                </c:pt>
                <c:pt idx="343">
                  <c:v>45867</c:v>
                </c:pt>
                <c:pt idx="344">
                  <c:v>45874</c:v>
                </c:pt>
                <c:pt idx="345">
                  <c:v>45881</c:v>
                </c:pt>
                <c:pt idx="346">
                  <c:v>45888</c:v>
                </c:pt>
                <c:pt idx="347">
                  <c:v>45895</c:v>
                </c:pt>
                <c:pt idx="348">
                  <c:v>45902</c:v>
                </c:pt>
                <c:pt idx="349">
                  <c:v>45909</c:v>
                </c:pt>
                <c:pt idx="350">
                  <c:v>45916</c:v>
                </c:pt>
                <c:pt idx="351">
                  <c:v>45923</c:v>
                </c:pt>
                <c:pt idx="352">
                  <c:v>45930</c:v>
                </c:pt>
                <c:pt idx="353">
                  <c:v>45937</c:v>
                </c:pt>
                <c:pt idx="354">
                  <c:v>45944</c:v>
                </c:pt>
                <c:pt idx="355">
                  <c:v>45951</c:v>
                </c:pt>
                <c:pt idx="356">
                  <c:v>45958</c:v>
                </c:pt>
                <c:pt idx="357">
                  <c:v>45965</c:v>
                </c:pt>
                <c:pt idx="358">
                  <c:v>45972</c:v>
                </c:pt>
                <c:pt idx="359">
                  <c:v>45979</c:v>
                </c:pt>
                <c:pt idx="360">
                  <c:v>45986</c:v>
                </c:pt>
                <c:pt idx="361">
                  <c:v>45993</c:v>
                </c:pt>
                <c:pt idx="362">
                  <c:v>46000</c:v>
                </c:pt>
                <c:pt idx="363">
                  <c:v>46007</c:v>
                </c:pt>
                <c:pt idx="364">
                  <c:v>46014</c:v>
                </c:pt>
                <c:pt idx="365">
                  <c:v>46021</c:v>
                </c:pt>
                <c:pt idx="366">
                  <c:v>46028</c:v>
                </c:pt>
                <c:pt idx="367">
                  <c:v>46035</c:v>
                </c:pt>
                <c:pt idx="368">
                  <c:v>46042</c:v>
                </c:pt>
                <c:pt idx="369">
                  <c:v>46049</c:v>
                </c:pt>
                <c:pt idx="370">
                  <c:v>46056</c:v>
                </c:pt>
                <c:pt idx="371">
                  <c:v>46063</c:v>
                </c:pt>
                <c:pt idx="372">
                  <c:v>46070</c:v>
                </c:pt>
                <c:pt idx="373">
                  <c:v>46077</c:v>
                </c:pt>
                <c:pt idx="374">
                  <c:v>46084</c:v>
                </c:pt>
                <c:pt idx="375">
                  <c:v>46091</c:v>
                </c:pt>
                <c:pt idx="376">
                  <c:v>46098</c:v>
                </c:pt>
                <c:pt idx="377">
                  <c:v>46105</c:v>
                </c:pt>
                <c:pt idx="378">
                  <c:v>46112</c:v>
                </c:pt>
                <c:pt idx="379">
                  <c:v>46119</c:v>
                </c:pt>
                <c:pt idx="380">
                  <c:v>46126</c:v>
                </c:pt>
                <c:pt idx="381">
                  <c:v>46133</c:v>
                </c:pt>
                <c:pt idx="382">
                  <c:v>46140</c:v>
                </c:pt>
                <c:pt idx="383">
                  <c:v>46147</c:v>
                </c:pt>
                <c:pt idx="384">
                  <c:v>46154</c:v>
                </c:pt>
                <c:pt idx="385">
                  <c:v>46161</c:v>
                </c:pt>
                <c:pt idx="386">
                  <c:v>46168</c:v>
                </c:pt>
                <c:pt idx="387">
                  <c:v>46175</c:v>
                </c:pt>
                <c:pt idx="388">
                  <c:v>46182</c:v>
                </c:pt>
                <c:pt idx="389">
                  <c:v>46189</c:v>
                </c:pt>
                <c:pt idx="390">
                  <c:v>46196</c:v>
                </c:pt>
              </c:numCache>
            </c:numRef>
          </c:cat>
          <c:val>
            <c:numRef>
              <c:f>'Chart data'!$C$5:$C$395</c:f>
              <c:numCache>
                <c:formatCode>0.0</c:formatCode>
                <c:ptCount val="391"/>
                <c:pt idx="0">
                  <c:v>47.432498156544646</c:v>
                </c:pt>
                <c:pt idx="1">
                  <c:v>47.304494364159538</c:v>
                </c:pt>
                <c:pt idx="2">
                  <c:v>43.233064860673757</c:v>
                </c:pt>
                <c:pt idx="3">
                  <c:v>40.314425659661879</c:v>
                </c:pt>
                <c:pt idx="4">
                  <c:v>42.84643603802612</c:v>
                </c:pt>
                <c:pt idx="5">
                  <c:v>45.922027473646295</c:v>
                </c:pt>
                <c:pt idx="6">
                  <c:v>46.453306003292028</c:v>
                </c:pt>
                <c:pt idx="7">
                  <c:v>47.093416042255242</c:v>
                </c:pt>
                <c:pt idx="8">
                  <c:v>46.767852244674039</c:v>
                </c:pt>
                <c:pt idx="9">
                  <c:v>47.535628996225249</c:v>
                </c:pt>
                <c:pt idx="10">
                  <c:v>49.303556143490773</c:v>
                </c:pt>
                <c:pt idx="11">
                  <c:v>51.100571007552034</c:v>
                </c:pt>
                <c:pt idx="12">
                  <c:v>48.774665337080343</c:v>
                </c:pt>
                <c:pt idx="13">
                  <c:v>49.372301966227859</c:v>
                </c:pt>
                <c:pt idx="14">
                  <c:v>49.797669025931704</c:v>
                </c:pt>
                <c:pt idx="15">
                  <c:v>51.042156164258977</c:v>
                </c:pt>
                <c:pt idx="16">
                  <c:v>51.160950671008194</c:v>
                </c:pt>
                <c:pt idx="17">
                  <c:v>53.146446968191611</c:v>
                </c:pt>
                <c:pt idx="18">
                  <c:v>54.554632646505439</c:v>
                </c:pt>
                <c:pt idx="19">
                  <c:v>54.282431785543309</c:v>
                </c:pt>
                <c:pt idx="20">
                  <c:v>56.816205037014136</c:v>
                </c:pt>
                <c:pt idx="21">
                  <c:v>54.905660377358487</c:v>
                </c:pt>
                <c:pt idx="22">
                  <c:v>54.565868263473057</c:v>
                </c:pt>
                <c:pt idx="23">
                  <c:v>57.019099166355609</c:v>
                </c:pt>
                <c:pt idx="24">
                  <c:v>55.786574329109939</c:v>
                </c:pt>
                <c:pt idx="25">
                  <c:v>54.886428896766141</c:v>
                </c:pt>
                <c:pt idx="26">
                  <c:v>49.714213733486581</c:v>
                </c:pt>
                <c:pt idx="27">
                  <c:v>49.81395055499496</c:v>
                </c:pt>
                <c:pt idx="28">
                  <c:v>50.725579037419585</c:v>
                </c:pt>
                <c:pt idx="29">
                  <c:v>52.351941059790299</c:v>
                </c:pt>
                <c:pt idx="30">
                  <c:v>50.748024610884116</c:v>
                </c:pt>
                <c:pt idx="31">
                  <c:v>52.706502636203858</c:v>
                </c:pt>
                <c:pt idx="32">
                  <c:v>51.02567803814015</c:v>
                </c:pt>
                <c:pt idx="33">
                  <c:v>50.387534701606299</c:v>
                </c:pt>
                <c:pt idx="34">
                  <c:v>51.376643845737078</c:v>
                </c:pt>
                <c:pt idx="35">
                  <c:v>47.241083789307133</c:v>
                </c:pt>
                <c:pt idx="36">
                  <c:v>48.156476307000425</c:v>
                </c:pt>
                <c:pt idx="37">
                  <c:v>48.889654832832733</c:v>
                </c:pt>
                <c:pt idx="38">
                  <c:v>48.950436721418782</c:v>
                </c:pt>
                <c:pt idx="39">
                  <c:v>49.380165289256198</c:v>
                </c:pt>
                <c:pt idx="40">
                  <c:v>50.731809874985842</c:v>
                </c:pt>
                <c:pt idx="41">
                  <c:v>52.549899799599203</c:v>
                </c:pt>
                <c:pt idx="42">
                  <c:v>50.98577449096576</c:v>
                </c:pt>
                <c:pt idx="43">
                  <c:v>48.11041788522779</c:v>
                </c:pt>
                <c:pt idx="44">
                  <c:v>48.117242943711723</c:v>
                </c:pt>
                <c:pt idx="45">
                  <c:v>46.412029792827184</c:v>
                </c:pt>
                <c:pt idx="46">
                  <c:v>47.125812607636583</c:v>
                </c:pt>
                <c:pt idx="47">
                  <c:v>46.673073048249357</c:v>
                </c:pt>
                <c:pt idx="48">
                  <c:v>48.544973544973544</c:v>
                </c:pt>
                <c:pt idx="49">
                  <c:v>48.647808033839787</c:v>
                </c:pt>
                <c:pt idx="50">
                  <c:v>49.375851815140635</c:v>
                </c:pt>
                <c:pt idx="51">
                  <c:v>50.217968010673459</c:v>
                </c:pt>
                <c:pt idx="52">
                  <c:v>49.564964308691522</c:v>
                </c:pt>
                <c:pt idx="53">
                  <c:v>50.404002122337609</c:v>
                </c:pt>
                <c:pt idx="54">
                  <c:v>52.497561867609406</c:v>
                </c:pt>
                <c:pt idx="55">
                  <c:v>52.776637240812974</c:v>
                </c:pt>
                <c:pt idx="56">
                  <c:v>51.762826607842385</c:v>
                </c:pt>
                <c:pt idx="57">
                  <c:v>51.862087920477627</c:v>
                </c:pt>
                <c:pt idx="58">
                  <c:v>49.235117036308893</c:v>
                </c:pt>
                <c:pt idx="59">
                  <c:v>47.566608546694816</c:v>
                </c:pt>
                <c:pt idx="60">
                  <c:v>44.836032946507849</c:v>
                </c:pt>
                <c:pt idx="61">
                  <c:v>42.06657420249654</c:v>
                </c:pt>
                <c:pt idx="62">
                  <c:v>42.616384755214582</c:v>
                </c:pt>
                <c:pt idx="63">
                  <c:v>45.224177552940453</c:v>
                </c:pt>
                <c:pt idx="64">
                  <c:v>42.044150931696279</c:v>
                </c:pt>
                <c:pt idx="65">
                  <c:v>39.402228819223176</c:v>
                </c:pt>
                <c:pt idx="66">
                  <c:v>26.398434442270066</c:v>
                </c:pt>
                <c:pt idx="67">
                  <c:v>21.574299890673622</c:v>
                </c:pt>
                <c:pt idx="68">
                  <c:v>20.129706480283605</c:v>
                </c:pt>
                <c:pt idx="69">
                  <c:v>15.123307152784514</c:v>
                </c:pt>
                <c:pt idx="70">
                  <c:v>18.241985103626948</c:v>
                </c:pt>
                <c:pt idx="71">
                  <c:v>15.980977880792057</c:v>
                </c:pt>
                <c:pt idx="72">
                  <c:v>11.517985727924399</c:v>
                </c:pt>
                <c:pt idx="73">
                  <c:v>13.649685302925963</c:v>
                </c:pt>
                <c:pt idx="74">
                  <c:v>19.039253695178097</c:v>
                </c:pt>
                <c:pt idx="75">
                  <c:v>23.009846666340078</c:v>
                </c:pt>
                <c:pt idx="76">
                  <c:v>27.767323897570147</c:v>
                </c:pt>
                <c:pt idx="77">
                  <c:v>27.360922246351809</c:v>
                </c:pt>
                <c:pt idx="78">
                  <c:v>30.468340559340604</c:v>
                </c:pt>
                <c:pt idx="79">
                  <c:v>31.185782603892104</c:v>
                </c:pt>
                <c:pt idx="80">
                  <c:v>32.775180892617023</c:v>
                </c:pt>
                <c:pt idx="81">
                  <c:v>33.546279608650877</c:v>
                </c:pt>
                <c:pt idx="82">
                  <c:v>34.104064883342197</c:v>
                </c:pt>
                <c:pt idx="83">
                  <c:v>34.197944628873678</c:v>
                </c:pt>
                <c:pt idx="84">
                  <c:v>34.499642317780783</c:v>
                </c:pt>
                <c:pt idx="85">
                  <c:v>34.217677457864063</c:v>
                </c:pt>
                <c:pt idx="86">
                  <c:v>33.259464450600184</c:v>
                </c:pt>
                <c:pt idx="87">
                  <c:v>33.88644419997555</c:v>
                </c:pt>
                <c:pt idx="88">
                  <c:v>34.029645476772608</c:v>
                </c:pt>
                <c:pt idx="89">
                  <c:v>34.077387745165169</c:v>
                </c:pt>
                <c:pt idx="90">
                  <c:v>34.33787044202667</c:v>
                </c:pt>
                <c:pt idx="91">
                  <c:v>32.361948781541813</c:v>
                </c:pt>
                <c:pt idx="92">
                  <c:v>30.418690724034239</c:v>
                </c:pt>
                <c:pt idx="93">
                  <c:v>31.527908811110944</c:v>
                </c:pt>
                <c:pt idx="94">
                  <c:v>32.095761381475668</c:v>
                </c:pt>
                <c:pt idx="95">
                  <c:v>31.046421363142368</c:v>
                </c:pt>
                <c:pt idx="96">
                  <c:v>31.704605120919172</c:v>
                </c:pt>
                <c:pt idx="97">
                  <c:v>31.816921797517477</c:v>
                </c:pt>
                <c:pt idx="98">
                  <c:v>31.40935278254474</c:v>
                </c:pt>
                <c:pt idx="99">
                  <c:v>29.195292522875008</c:v>
                </c:pt>
                <c:pt idx="100">
                  <c:v>29.651118171632056</c:v>
                </c:pt>
                <c:pt idx="101">
                  <c:v>31.775062609091599</c:v>
                </c:pt>
                <c:pt idx="102">
                  <c:v>32.458867924528299</c:v>
                </c:pt>
                <c:pt idx="103">
                  <c:v>34.80105544061648</c:v>
                </c:pt>
                <c:pt idx="104">
                  <c:v>35.685613239222249</c:v>
                </c:pt>
                <c:pt idx="105">
                  <c:v>37.051726987274833</c:v>
                </c:pt>
                <c:pt idx="106">
                  <c:v>37.898112815335054</c:v>
                </c:pt>
                <c:pt idx="107">
                  <c:v>37.66233766233767</c:v>
                </c:pt>
                <c:pt idx="108">
                  <c:v>37.397855267355403</c:v>
                </c:pt>
                <c:pt idx="109">
                  <c:v>39.280240509313835</c:v>
                </c:pt>
                <c:pt idx="110">
                  <c:v>40.705024549436985</c:v>
                </c:pt>
                <c:pt idx="111">
                  <c:v>40.48348555260727</c:v>
                </c:pt>
                <c:pt idx="112">
                  <c:v>40.238317484394138</c:v>
                </c:pt>
                <c:pt idx="113">
                  <c:v>42.610401206106644</c:v>
                </c:pt>
                <c:pt idx="114">
                  <c:v>44.259731232622805</c:v>
                </c:pt>
                <c:pt idx="115">
                  <c:v>45.864197530864203</c:v>
                </c:pt>
                <c:pt idx="116">
                  <c:v>46.793423427264059</c:v>
                </c:pt>
                <c:pt idx="117">
                  <c:v>47.324453120514441</c:v>
                </c:pt>
                <c:pt idx="118">
                  <c:v>49.05212246836809</c:v>
                </c:pt>
                <c:pt idx="119">
                  <c:v>47.595530854954347</c:v>
                </c:pt>
                <c:pt idx="120">
                  <c:v>45.370477904883572</c:v>
                </c:pt>
                <c:pt idx="121">
                  <c:v>46.228538240952481</c:v>
                </c:pt>
                <c:pt idx="122">
                  <c:v>44.878960548760567</c:v>
                </c:pt>
                <c:pt idx="123">
                  <c:v>46.963074823215095</c:v>
                </c:pt>
                <c:pt idx="124">
                  <c:v>46.976276060388209</c:v>
                </c:pt>
                <c:pt idx="125">
                  <c:v>48.172073951514285</c:v>
                </c:pt>
                <c:pt idx="126">
                  <c:v>49.581386992454192</c:v>
                </c:pt>
                <c:pt idx="127">
                  <c:v>48.737803494440655</c:v>
                </c:pt>
                <c:pt idx="128">
                  <c:v>47.662838496419042</c:v>
                </c:pt>
                <c:pt idx="129">
                  <c:v>48.763635336008591</c:v>
                </c:pt>
                <c:pt idx="130">
                  <c:v>49.857117657435168</c:v>
                </c:pt>
                <c:pt idx="131">
                  <c:v>50.528920944703714</c:v>
                </c:pt>
                <c:pt idx="132">
                  <c:v>52.176705680844982</c:v>
                </c:pt>
                <c:pt idx="133">
                  <c:v>54.17175534131237</c:v>
                </c:pt>
                <c:pt idx="134">
                  <c:v>55.185689061278829</c:v>
                </c:pt>
                <c:pt idx="135">
                  <c:v>55.150382475660635</c:v>
                </c:pt>
                <c:pt idx="136">
                  <c:v>54.722920095873384</c:v>
                </c:pt>
                <c:pt idx="137">
                  <c:v>52.736064041135926</c:v>
                </c:pt>
                <c:pt idx="138">
                  <c:v>54.532235307667939</c:v>
                </c:pt>
                <c:pt idx="139">
                  <c:v>51.986359515964253</c:v>
                </c:pt>
                <c:pt idx="140">
                  <c:v>51.33066670517394</c:v>
                </c:pt>
                <c:pt idx="141">
                  <c:v>49.600734415527647</c:v>
                </c:pt>
                <c:pt idx="142">
                  <c:v>51.731522895147066</c:v>
                </c:pt>
                <c:pt idx="143">
                  <c:v>52.862391630920705</c:v>
                </c:pt>
                <c:pt idx="144">
                  <c:v>52.149291776496817</c:v>
                </c:pt>
                <c:pt idx="145">
                  <c:v>53.671604616476252</c:v>
                </c:pt>
                <c:pt idx="146">
                  <c:v>55.081832940866754</c:v>
                </c:pt>
                <c:pt idx="147">
                  <c:v>57.940142405530771</c:v>
                </c:pt>
                <c:pt idx="148">
                  <c:v>60.252435458512714</c:v>
                </c:pt>
                <c:pt idx="149">
                  <c:v>61.385993676074492</c:v>
                </c:pt>
                <c:pt idx="150">
                  <c:v>61.646935933147631</c:v>
                </c:pt>
                <c:pt idx="151">
                  <c:v>61.15392444819264</c:v>
                </c:pt>
                <c:pt idx="152">
                  <c:v>60.738679856326925</c:v>
                </c:pt>
                <c:pt idx="153">
                  <c:v>61.88497217068646</c:v>
                </c:pt>
                <c:pt idx="154">
                  <c:v>60.686035446651594</c:v>
                </c:pt>
                <c:pt idx="155">
                  <c:v>60.097068472220144</c:v>
                </c:pt>
                <c:pt idx="156">
                  <c:v>53.488827615302306</c:v>
                </c:pt>
                <c:pt idx="157">
                  <c:v>56.553893619273765</c:v>
                </c:pt>
                <c:pt idx="158">
                  <c:v>55.654312790487111</c:v>
                </c:pt>
                <c:pt idx="159">
                  <c:v>55.469664675332467</c:v>
                </c:pt>
                <c:pt idx="160">
                  <c:v>57.950669764223228</c:v>
                </c:pt>
                <c:pt idx="161">
                  <c:v>59.392441485143031</c:v>
                </c:pt>
                <c:pt idx="162">
                  <c:v>62.302621942287985</c:v>
                </c:pt>
                <c:pt idx="163">
                  <c:v>65.518812463256893</c:v>
                </c:pt>
                <c:pt idx="164">
                  <c:v>66.988761372420754</c:v>
                </c:pt>
                <c:pt idx="165">
                  <c:v>68.583298834939981</c:v>
                </c:pt>
                <c:pt idx="166">
                  <c:v>71.06620681523404</c:v>
                </c:pt>
                <c:pt idx="167">
                  <c:v>72.104339619859317</c:v>
                </c:pt>
                <c:pt idx="168">
                  <c:v>73.65861613960179</c:v>
                </c:pt>
                <c:pt idx="169">
                  <c:v>85.857267188859865</c:v>
                </c:pt>
                <c:pt idx="170">
                  <c:v>93.178804919306927</c:v>
                </c:pt>
                <c:pt idx="171">
                  <c:v>83.608233265689151</c:v>
                </c:pt>
                <c:pt idx="172">
                  <c:v>93.565383276052629</c:v>
                </c:pt>
                <c:pt idx="173">
                  <c:v>84.712725943748183</c:v>
                </c:pt>
                <c:pt idx="174">
                  <c:v>79.002094897319438</c:v>
                </c:pt>
                <c:pt idx="175">
                  <c:v>80.83197546247483</c:v>
                </c:pt>
                <c:pt idx="176">
                  <c:v>81.462860224996149</c:v>
                </c:pt>
                <c:pt idx="177">
                  <c:v>82.691450760710424</c:v>
                </c:pt>
                <c:pt idx="178">
                  <c:v>88.754850513702067</c:v>
                </c:pt>
                <c:pt idx="179">
                  <c:v>87.475369257576489</c:v>
                </c:pt>
                <c:pt idx="180">
                  <c:v>90.941888931838676</c:v>
                </c:pt>
                <c:pt idx="181">
                  <c:v>93.636696429992512</c:v>
                </c:pt>
                <c:pt idx="182">
                  <c:v>98.639554907934823</c:v>
                </c:pt>
                <c:pt idx="183">
                  <c:v>101.80763329497506</c:v>
                </c:pt>
                <c:pt idx="184">
                  <c:v>103.11273782438089</c:v>
                </c:pt>
                <c:pt idx="185">
                  <c:v>95.262634334078058</c:v>
                </c:pt>
                <c:pt idx="186">
                  <c:v>99.006137593997337</c:v>
                </c:pt>
                <c:pt idx="187">
                  <c:v>94.742458855113313</c:v>
                </c:pt>
                <c:pt idx="188">
                  <c:v>92.475617767446536</c:v>
                </c:pt>
                <c:pt idx="189">
                  <c:v>94.551783870215516</c:v>
                </c:pt>
                <c:pt idx="190">
                  <c:v>90.466256043446577</c:v>
                </c:pt>
                <c:pt idx="191">
                  <c:v>84.351145038167942</c:v>
                </c:pt>
                <c:pt idx="192">
                  <c:v>86.041769445814822</c:v>
                </c:pt>
                <c:pt idx="193">
                  <c:v>80.568744065170677</c:v>
                </c:pt>
                <c:pt idx="194">
                  <c:v>83.67920376451471</c:v>
                </c:pt>
                <c:pt idx="195">
                  <c:v>82.19668384398112</c:v>
                </c:pt>
                <c:pt idx="196">
                  <c:v>78.529621202910889</c:v>
                </c:pt>
                <c:pt idx="197">
                  <c:v>79.144875835555723</c:v>
                </c:pt>
                <c:pt idx="198">
                  <c:v>78.862168782008467</c:v>
                </c:pt>
                <c:pt idx="199">
                  <c:v>80.055035773252627</c:v>
                </c:pt>
                <c:pt idx="200">
                  <c:v>84.149702195750734</c:v>
                </c:pt>
                <c:pt idx="201">
                  <c:v>84.954480975382026</c:v>
                </c:pt>
                <c:pt idx="202">
                  <c:v>80.618480012752158</c:v>
                </c:pt>
                <c:pt idx="203">
                  <c:v>80.818489877487181</c:v>
                </c:pt>
                <c:pt idx="204">
                  <c:v>84.247622730388642</c:v>
                </c:pt>
                <c:pt idx="205">
                  <c:v>83.032010508849552</c:v>
                </c:pt>
                <c:pt idx="206">
                  <c:v>77.751697119119171</c:v>
                </c:pt>
                <c:pt idx="207">
                  <c:v>72.035085378868729</c:v>
                </c:pt>
                <c:pt idx="208">
                  <c:v>70.345980111521087</c:v>
                </c:pt>
                <c:pt idx="209">
                  <c:v>64.229064804670259</c:v>
                </c:pt>
                <c:pt idx="210">
                  <c:v>65.772893772893752</c:v>
                </c:pt>
                <c:pt idx="211">
                  <c:v>66.700287707926847</c:v>
                </c:pt>
                <c:pt idx="212">
                  <c:v>67.941656749052058</c:v>
                </c:pt>
                <c:pt idx="213">
                  <c:v>64.368942157373638</c:v>
                </c:pt>
                <c:pt idx="214">
                  <c:v>66.2192136437573</c:v>
                </c:pt>
                <c:pt idx="215">
                  <c:v>68.635566809505264</c:v>
                </c:pt>
                <c:pt idx="216">
                  <c:v>69.552262974657921</c:v>
                </c:pt>
                <c:pt idx="217">
                  <c:v>66.653097777415951</c:v>
                </c:pt>
                <c:pt idx="218">
                  <c:v>69.014714655000986</c:v>
                </c:pt>
                <c:pt idx="219">
                  <c:v>69.78857474504602</c:v>
                </c:pt>
                <c:pt idx="220">
                  <c:v>67.920861158178013</c:v>
                </c:pt>
                <c:pt idx="221">
                  <c:v>69.5818629735668</c:v>
                </c:pt>
                <c:pt idx="222">
                  <c:v>69.38949836697094</c:v>
                </c:pt>
                <c:pt idx="223">
                  <c:v>61.88141692251822</c:v>
                </c:pt>
                <c:pt idx="224">
                  <c:v>60.634075429168774</c:v>
                </c:pt>
                <c:pt idx="225">
                  <c:v>63.257428311924215</c:v>
                </c:pt>
                <c:pt idx="226">
                  <c:v>69.072434082374428</c:v>
                </c:pt>
                <c:pt idx="227">
                  <c:v>70.098894706224542</c:v>
                </c:pt>
                <c:pt idx="228">
                  <c:v>68.133142240615797</c:v>
                </c:pt>
                <c:pt idx="229">
                  <c:v>65.231607629427799</c:v>
                </c:pt>
                <c:pt idx="230">
                  <c:v>59.451438132419725</c:v>
                </c:pt>
                <c:pt idx="231">
                  <c:v>60.585307585108502</c:v>
                </c:pt>
                <c:pt idx="232">
                  <c:v>60.781513279306758</c:v>
                </c:pt>
                <c:pt idx="233">
                  <c:v>61.779673338826157</c:v>
                </c:pt>
                <c:pt idx="234">
                  <c:v>59.328702774320476</c:v>
                </c:pt>
                <c:pt idx="235">
                  <c:v>60.950396666399541</c:v>
                </c:pt>
                <c:pt idx="236">
                  <c:v>58.698019411346955</c:v>
                </c:pt>
                <c:pt idx="237">
                  <c:v>59.062014408814818</c:v>
                </c:pt>
                <c:pt idx="238">
                  <c:v>58.00381697449567</c:v>
                </c:pt>
                <c:pt idx="239">
                  <c:v>60.167787343681262</c:v>
                </c:pt>
                <c:pt idx="240">
                  <c:v>61.431497251266563</c:v>
                </c:pt>
                <c:pt idx="241">
                  <c:v>61.38020511553195</c:v>
                </c:pt>
                <c:pt idx="242">
                  <c:v>64.95824845667012</c:v>
                </c:pt>
                <c:pt idx="243">
                  <c:v>67.140258436833534</c:v>
                </c:pt>
                <c:pt idx="244">
                  <c:v>68.96849577535572</c:v>
                </c:pt>
                <c:pt idx="245">
                  <c:v>67.470769424189101</c:v>
                </c:pt>
                <c:pt idx="246">
                  <c:v>66.868211669613544</c:v>
                </c:pt>
                <c:pt idx="247">
                  <c:v>69.210401517546643</c:v>
                </c:pt>
                <c:pt idx="248">
                  <c:v>72.890585079202864</c:v>
                </c:pt>
                <c:pt idx="249">
                  <c:v>75.341520186210772</c:v>
                </c:pt>
                <c:pt idx="250">
                  <c:v>76.8324882963731</c:v>
                </c:pt>
                <c:pt idx="251">
                  <c:v>78.49953202738871</c:v>
                </c:pt>
                <c:pt idx="252">
                  <c:v>74.448199126349635</c:v>
                </c:pt>
                <c:pt idx="253">
                  <c:v>73.998102528870987</c:v>
                </c:pt>
                <c:pt idx="254">
                  <c:v>76.030258181220205</c:v>
                </c:pt>
                <c:pt idx="255">
                  <c:v>73.891301487037765</c:v>
                </c:pt>
                <c:pt idx="256">
                  <c:v>72.346707785177642</c:v>
                </c:pt>
                <c:pt idx="257">
                  <c:v>67.921213994112208</c:v>
                </c:pt>
                <c:pt idx="258">
                  <c:v>66.040078028019153</c:v>
                </c:pt>
                <c:pt idx="259">
                  <c:v>65.165668662674648</c:v>
                </c:pt>
                <c:pt idx="260">
                  <c:v>63.935332975125647</c:v>
                </c:pt>
                <c:pt idx="261">
                  <c:v>60.361619981251685</c:v>
                </c:pt>
                <c:pt idx="262">
                  <c:v>59.890327590852188</c:v>
                </c:pt>
                <c:pt idx="263">
                  <c:v>63.189013622603426</c:v>
                </c:pt>
                <c:pt idx="264">
                  <c:v>62.052942097843683</c:v>
                </c:pt>
                <c:pt idx="265">
                  <c:v>60.650047333543718</c:v>
                </c:pt>
                <c:pt idx="266">
                  <c:v>61.572292468389215</c:v>
                </c:pt>
                <c:pt idx="267">
                  <c:v>63.170677853830867</c:v>
                </c:pt>
                <c:pt idx="268">
                  <c:v>64.748359894907438</c:v>
                </c:pt>
                <c:pt idx="269">
                  <c:v>65.10186703670999</c:v>
                </c:pt>
                <c:pt idx="270">
                  <c:v>64.721203169914389</c:v>
                </c:pt>
                <c:pt idx="271">
                  <c:v>67.089331680808456</c:v>
                </c:pt>
                <c:pt idx="272">
                  <c:v>67.30473883373709</c:v>
                </c:pt>
                <c:pt idx="273">
                  <c:v>66.529800069486129</c:v>
                </c:pt>
                <c:pt idx="274">
                  <c:v>67.064517644847513</c:v>
                </c:pt>
                <c:pt idx="275">
                  <c:v>66.162541292878061</c:v>
                </c:pt>
                <c:pt idx="276">
                  <c:v>67.701501009081738</c:v>
                </c:pt>
                <c:pt idx="277">
                  <c:v>67.91467131040487</c:v>
                </c:pt>
                <c:pt idx="278">
                  <c:v>71.600388357209368</c:v>
                </c:pt>
                <c:pt idx="279">
                  <c:v>73.204652865076469</c:v>
                </c:pt>
                <c:pt idx="280">
                  <c:v>71.996592790215516</c:v>
                </c:pt>
                <c:pt idx="281">
                  <c:v>71.226749050653282</c:v>
                </c:pt>
                <c:pt idx="282">
                  <c:v>68.481091530731263</c:v>
                </c:pt>
                <c:pt idx="283">
                  <c:v>66.269199272974205</c:v>
                </c:pt>
                <c:pt idx="284">
                  <c:v>64.598603701299751</c:v>
                </c:pt>
                <c:pt idx="285">
                  <c:v>63.076802138196676</c:v>
                </c:pt>
                <c:pt idx="286">
                  <c:v>63.512028570307287</c:v>
                </c:pt>
                <c:pt idx="287">
                  <c:v>60.01191054553432</c:v>
                </c:pt>
                <c:pt idx="288">
                  <c:v>63.289172134492823</c:v>
                </c:pt>
                <c:pt idx="289">
                  <c:v>67.054593622859315</c:v>
                </c:pt>
                <c:pt idx="290">
                  <c:v>68.522030469688346</c:v>
                </c:pt>
                <c:pt idx="291">
                  <c:v>69.149186896064109</c:v>
                </c:pt>
                <c:pt idx="292">
                  <c:v>67.422677209389036</c:v>
                </c:pt>
                <c:pt idx="293">
                  <c:v>66.351536836261005</c:v>
                </c:pt>
                <c:pt idx="294">
                  <c:v>63.996649552498091</c:v>
                </c:pt>
                <c:pt idx="295">
                  <c:v>62.588312356711732</c:v>
                </c:pt>
                <c:pt idx="296">
                  <c:v>61.920992696143877</c:v>
                </c:pt>
                <c:pt idx="297">
                  <c:v>64.224084226264651</c:v>
                </c:pt>
                <c:pt idx="298">
                  <c:v>60.861251338534508</c:v>
                </c:pt>
                <c:pt idx="299">
                  <c:v>61.292585360304855</c:v>
                </c:pt>
                <c:pt idx="300">
                  <c:v>57.243708730182874</c:v>
                </c:pt>
                <c:pt idx="301">
                  <c:v>55.136499197063543</c:v>
                </c:pt>
                <c:pt idx="302">
                  <c:v>56.693532533909959</c:v>
                </c:pt>
                <c:pt idx="303">
                  <c:v>55.34003795633528</c:v>
                </c:pt>
                <c:pt idx="304">
                  <c:v>57.333696013540056</c:v>
                </c:pt>
                <c:pt idx="305">
                  <c:v>60.688716191408638</c:v>
                </c:pt>
                <c:pt idx="306">
                  <c:v>57.202460386851349</c:v>
                </c:pt>
                <c:pt idx="307">
                  <c:v>57.56277263128689</c:v>
                </c:pt>
                <c:pt idx="308">
                  <c:v>56.022776371828897</c:v>
                </c:pt>
                <c:pt idx="309">
                  <c:v>58.350820886310338</c:v>
                </c:pt>
                <c:pt idx="310">
                  <c:v>57.217991993092078</c:v>
                </c:pt>
                <c:pt idx="311">
                  <c:v>59.298290097142775</c:v>
                </c:pt>
                <c:pt idx="312">
                  <c:v>58.691695288140416</c:v>
                </c:pt>
                <c:pt idx="313">
                  <c:v>58.245011732468235</c:v>
                </c:pt>
                <c:pt idx="314">
                  <c:v>58.21773457896888</c:v>
                </c:pt>
                <c:pt idx="315">
                  <c:v>58.393340402297937</c:v>
                </c:pt>
                <c:pt idx="316">
                  <c:v>58.29414109206855</c:v>
                </c:pt>
                <c:pt idx="317">
                  <c:v>60.55520985969207</c:v>
                </c:pt>
                <c:pt idx="318">
                  <c:v>63.134079927602983</c:v>
                </c:pt>
                <c:pt idx="319">
                  <c:v>67.815018675054063</c:v>
                </c:pt>
                <c:pt idx="320">
                  <c:v>64.742862698078341</c:v>
                </c:pt>
                <c:pt idx="321">
                  <c:v>62.164159917727218</c:v>
                </c:pt>
                <c:pt idx="322">
                  <c:v>60.567113824403563</c:v>
                </c:pt>
                <c:pt idx="323">
                  <c:v>60.935370604928572</c:v>
                </c:pt>
                <c:pt idx="324">
                  <c:v>60.300201296539925</c:v>
                </c:pt>
                <c:pt idx="325">
                  <c:v>58.752037473690862</c:v>
                </c:pt>
                <c:pt idx="326">
                  <c:v>56.109394988923206</c:v>
                </c:pt>
                <c:pt idx="327">
                  <c:v>55.307996783969323</c:v>
                </c:pt>
                <c:pt idx="328">
                  <c:v>55.715872966883744</c:v>
                </c:pt>
                <c:pt idx="329">
                  <c:v>57.501933488012376</c:v>
                </c:pt>
                <c:pt idx="330">
                  <c:v>57.494569152787825</c:v>
                </c:pt>
                <c:pt idx="331">
                  <c:v>51.407727725236427</c:v>
                </c:pt>
                <c:pt idx="332">
                  <c:v>51.21310608064698</c:v>
                </c:pt>
                <c:pt idx="333">
                  <c:v>50.992905139081799</c:v>
                </c:pt>
                <c:pt idx="334">
                  <c:v>47.558984345741898</c:v>
                </c:pt>
                <c:pt idx="335">
                  <c:v>46.700279272018456</c:v>
                </c:pt>
                <c:pt idx="336">
                  <c:v>49.415632398847848</c:v>
                </c:pt>
                <c:pt idx="337">
                  <c:v>49.08410713487249</c:v>
                </c:pt>
                <c:pt idx="338">
                  <c:v>47.993772819096677</c:v>
                </c:pt>
                <c:pt idx="339">
                  <c:v>49.556634256458686</c:v>
                </c:pt>
                <c:pt idx="340">
                  <c:v>52.423674541457018</c:v>
                </c:pt>
                <c:pt idx="341">
                  <c:v>58.001245330012459</c:v>
                </c:pt>
                <c:pt idx="342">
                  <c:v>51.303824944268449</c:v>
                </c:pt>
                <c:pt idx="343">
                  <c:v>50.953092059030219</c:v>
                </c:pt>
                <c:pt idx="344">
                  <c:v>52.908048179982011</c:v>
                </c:pt>
                <c:pt idx="345">
                  <c:v>52.65919389458621</c:v>
                </c:pt>
                <c:pt idx="346">
                  <c:v>51.895566152296908</c:v>
                </c:pt>
                <c:pt idx="347">
                  <c:v>54.42082794696811</c:v>
                </c:pt>
                <c:pt idx="348">
                  <c:v>51.054555259294759</c:v>
                </c:pt>
                <c:pt idx="349">
                  <c:v>49.690019974846493</c:v>
                </c:pt>
                <c:pt idx="350">
                  <c:v>50.280978011061208</c:v>
                </c:pt>
                <c:pt idx="351">
                  <c:v>50.238143775829791</c:v>
                </c:pt>
                <c:pt idx="352">
                  <c:v>49.649466773609021</c:v>
                </c:pt>
                <c:pt idx="353">
                  <c:v>49.622095598004194</c:v>
                </c:pt>
                <c:pt idx="354">
                  <c:v>50.284805934560865</c:v>
                </c:pt>
                <c:pt idx="355">
                  <c:v>51.486886538432934</c:v>
                </c:pt>
                <c:pt idx="356">
                  <c:v>49.904133410621128</c:v>
                </c:pt>
                <c:pt idx="357">
                  <c:v>49.763316260247592</c:v>
                </c:pt>
                <c:pt idx="358">
                  <c:v>46.664671106787402</c:v>
                </c:pt>
                <c:pt idx="359">
                  <c:v>47.345245405664478</c:v>
                </c:pt>
                <c:pt idx="360">
                  <c:v>49.159282668521485</c:v>
                </c:pt>
                <c:pt idx="361">
                  <c:v>49.092963596384067</c:v>
                </c:pt>
                <c:pt idx="362">
                  <c:v>47.779297765617869</c:v>
                </c:pt>
                <c:pt idx="363">
                  <c:v>48.522460431215883</c:v>
                </c:pt>
                <c:pt idx="364">
                  <c:v>48.76600257556246</c:v>
                </c:pt>
                <c:pt idx="365">
                  <c:v>48.106766917293243</c:v>
                </c:pt>
                <c:pt idx="366">
                  <c:v>46.915467625899282</c:v>
                </c:pt>
                <c:pt idx="367">
                  <c:v>45.414227690837421</c:v>
                </c:pt>
                <c:pt idx="368">
                  <c:v>46.88342193101743</c:v>
                </c:pt>
                <c:pt idx="369">
                  <c:v>46.128595537916574</c:v>
                </c:pt>
                <c:pt idx="370">
                  <c:v>46.714277230074835</c:v>
                </c:pt>
                <c:pt idx="371">
                  <c:v>49.893504520472455</c:v>
                </c:pt>
                <c:pt idx="372">
                  <c:v>49.730508248080888</c:v>
                </c:pt>
                <c:pt idx="373">
                  <c:v>51.231577262741332</c:v>
                </c:pt>
                <c:pt idx="374">
                  <c:v>51.248935982858313</c:v>
                </c:pt>
                <c:pt idx="375">
                  <c:v>51.791182546775872</c:v>
                </c:pt>
                <c:pt idx="376">
                  <c:v>52.971790170914886</c:v>
                </c:pt>
                <c:pt idx="377">
                  <c:v>52.855513251655537</c:v>
                </c:pt>
                <c:pt idx="378">
                  <c:v>63.90941382773039</c:v>
                </c:pt>
                <c:pt idx="379">
                  <c:v>71.93321064679742</c:v>
                </c:pt>
                <c:pt idx="380">
                  <c:v>83.595731588347405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424271"/>
        <c:axId val="1440422351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53"/>
        <c:tickMarkSkip val="53"/>
        <c:noMultiLvlLbl val="0"/>
      </c:catAx>
      <c:valAx>
        <c:axId val="263608576"/>
        <c:scaling>
          <c:orientation val="minMax"/>
          <c:max val="200"/>
          <c:min val="1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20"/>
      </c:valAx>
      <c:valAx>
        <c:axId val="1440422351"/>
        <c:scaling>
          <c:orientation val="minMax"/>
          <c:max val="120"/>
          <c:min val="20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440424271"/>
        <c:crosses val="max"/>
        <c:crossBetween val="between"/>
        <c:majorUnit val="20"/>
      </c:valAx>
      <c:dateAx>
        <c:axId val="144042427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40422351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4401594555029769E-2"/>
          <c:y val="0.14289570643292229"/>
          <c:w val="0.35900743481809011"/>
          <c:h val="0.1564189570643292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DE3D77-D0EB-4064-BF80-6D113707AAE0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B69E9-137B-37C1-9A8A-88E2AD6348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781C43C-0D03-2EBD-365B-E40B7C862A5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Brent Crude oil and petrol prices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0AF2A4E-3CF2-997E-5EA2-7CC96DF8FABF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Department for Energy Security and Net Zero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4EEC35D-4F46-4EA9-7C84-DE1EAD78C720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 per litre</a:t>
          </a:r>
        </a:p>
      </cdr:txBody>
    </cdr:sp>
  </cdr:relSizeAnchor>
  <cdr:relSizeAnchor xmlns:cdr="http://schemas.openxmlformats.org/drawingml/2006/chartDrawing">
    <cdr:from>
      <cdr:x>0.56575</cdr:x>
      <cdr:y>0.07636</cdr:y>
    </cdr:from>
    <cdr:to>
      <cdr:x>1</cdr:x>
      <cdr:y>0.14065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F2D3E613-4381-3A4C-B58F-69B2C730753B}"/>
            </a:ext>
          </a:extLst>
        </cdr:cNvPr>
        <cdr:cNvSpPr txBox="1"/>
      </cdr:nvSpPr>
      <cdr:spPr>
        <a:xfrm xmlns:a="http://schemas.openxmlformats.org/drawingml/2006/main">
          <a:off x="4768273" y="514004"/>
          <a:ext cx="3659909" cy="432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Pounds per barrel, adv four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weeks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98D7-7D8F-42EC-9159-4E0D0368B8C5}">
  <dimension ref="A4:F393"/>
  <sheetViews>
    <sheetView zoomScale="85" zoomScaleNormal="85" workbookViewId="0">
      <pane xSplit="1" ySplit="10" topLeftCell="B353" activePane="bottomRight" state="frozen"/>
      <selection pane="topRight" activeCell="B1" sqref="B1"/>
      <selection pane="bottomLeft" activeCell="A11" sqref="A11"/>
      <selection pane="bottomRight" activeCell="B393" sqref="B393"/>
    </sheetView>
  </sheetViews>
  <sheetFormatPr defaultRowHeight="14.5" x14ac:dyDescent="0.35"/>
  <cols>
    <col min="1" max="1" width="13.08984375" customWidth="1"/>
    <col min="2" max="2" width="17.453125" customWidth="1"/>
    <col min="3" max="4" width="16.7265625" customWidth="1"/>
  </cols>
  <sheetData>
    <row r="4" spans="1:6" x14ac:dyDescent="0.35">
      <c r="A4" s="2" t="s">
        <v>400</v>
      </c>
      <c r="B4" s="1" t="s">
        <v>2</v>
      </c>
      <c r="C4" s="1" t="s">
        <v>0</v>
      </c>
      <c r="D4" s="1" t="s">
        <v>1</v>
      </c>
    </row>
    <row r="5" spans="1:6" s="5" customFormat="1" ht="67" customHeight="1" x14ac:dyDescent="0.35">
      <c r="A5" s="5" t="s">
        <v>8</v>
      </c>
      <c r="B5" s="5" t="s">
        <v>14</v>
      </c>
      <c r="C5" s="5" t="s">
        <v>17</v>
      </c>
      <c r="D5" s="5" t="s">
        <v>20</v>
      </c>
    </row>
    <row r="6" spans="1:6" ht="1" customHeight="1" x14ac:dyDescent="0.35">
      <c r="A6" t="s">
        <v>7</v>
      </c>
      <c r="B6" t="s">
        <v>13</v>
      </c>
      <c r="C6" t="s">
        <v>403</v>
      </c>
      <c r="D6" t="s">
        <v>404</v>
      </c>
    </row>
    <row r="7" spans="1:6" ht="1" hidden="1" customHeight="1" x14ac:dyDescent="0.35">
      <c r="A7" t="s">
        <v>6</v>
      </c>
      <c r="B7" t="s">
        <v>12</v>
      </c>
      <c r="C7" t="s">
        <v>402</v>
      </c>
      <c r="D7" t="s">
        <v>402</v>
      </c>
    </row>
    <row r="8" spans="1:6" hidden="1" x14ac:dyDescent="0.35">
      <c r="A8" t="s">
        <v>5</v>
      </c>
      <c r="B8" t="s">
        <v>11</v>
      </c>
      <c r="C8" t="s">
        <v>16</v>
      </c>
      <c r="D8" t="s">
        <v>19</v>
      </c>
    </row>
    <row r="9" spans="1:6" ht="1" hidden="1" customHeight="1" x14ac:dyDescent="0.35">
      <c r="A9" t="s">
        <v>4</v>
      </c>
      <c r="B9" t="s">
        <v>10</v>
      </c>
      <c r="C9" t="s">
        <v>15</v>
      </c>
      <c r="D9" t="s">
        <v>18</v>
      </c>
    </row>
    <row r="10" spans="1:6" s="5" customFormat="1" ht="58.5" hidden="1" customHeight="1" x14ac:dyDescent="0.35">
      <c r="A10" s="5" t="s">
        <v>3</v>
      </c>
      <c r="B10" s="5" t="s">
        <v>9</v>
      </c>
      <c r="C10" s="5" t="s">
        <v>401</v>
      </c>
      <c r="D10" s="5" t="s">
        <v>401</v>
      </c>
    </row>
    <row r="11" spans="1:6" x14ac:dyDescent="0.35">
      <c r="A11" t="s">
        <v>405</v>
      </c>
      <c r="B11" s="3">
        <v>125.77</v>
      </c>
      <c r="C11" s="3">
        <v>58.65</v>
      </c>
      <c r="D11" s="4">
        <v>1.27712</v>
      </c>
      <c r="F11" s="7">
        <f>C11/D11</f>
        <v>45.923640691555995</v>
      </c>
    </row>
    <row r="12" spans="1:6" x14ac:dyDescent="0.35">
      <c r="A12" t="s">
        <v>406</v>
      </c>
      <c r="B12" s="3">
        <v>124.3</v>
      </c>
      <c r="C12" s="3">
        <v>60.465999999999994</v>
      </c>
      <c r="D12" s="4">
        <v>1.2747800000000002</v>
      </c>
      <c r="F12" s="7">
        <f t="shared" ref="F12:F75" si="0">C12/D12</f>
        <v>47.432498156544646</v>
      </c>
    </row>
    <row r="13" spans="1:6" x14ac:dyDescent="0.35">
      <c r="A13" t="s">
        <v>407</v>
      </c>
      <c r="B13" s="3">
        <v>122.37</v>
      </c>
      <c r="C13" s="3">
        <v>59.509999999999991</v>
      </c>
      <c r="D13" s="4">
        <v>1.2580200000000001</v>
      </c>
      <c r="F13" s="7">
        <f t="shared" si="0"/>
        <v>47.304494364159538</v>
      </c>
    </row>
    <row r="14" spans="1:6" x14ac:dyDescent="0.35">
      <c r="A14" t="s">
        <v>408</v>
      </c>
      <c r="B14" s="3">
        <v>121.02</v>
      </c>
      <c r="C14" s="3">
        <v>54.643999999999991</v>
      </c>
      <c r="D14" s="4">
        <v>1.2639400000000001</v>
      </c>
      <c r="F14" s="7">
        <f t="shared" si="0"/>
        <v>43.233064860673757</v>
      </c>
    </row>
    <row r="15" spans="1:6" x14ac:dyDescent="0.35">
      <c r="A15" t="s">
        <v>409</v>
      </c>
      <c r="B15" s="3">
        <v>120.61</v>
      </c>
      <c r="C15" s="3">
        <v>51.03</v>
      </c>
      <c r="D15" s="4">
        <v>1.2657999999999998</v>
      </c>
      <c r="F15" s="7">
        <f t="shared" si="0"/>
        <v>40.314425659661879</v>
      </c>
    </row>
    <row r="16" spans="1:6" x14ac:dyDescent="0.35">
      <c r="A16" t="s">
        <v>21</v>
      </c>
      <c r="B16" s="3">
        <v>120.18</v>
      </c>
      <c r="C16" s="3">
        <v>54.31</v>
      </c>
      <c r="D16" s="4">
        <v>1.26755</v>
      </c>
      <c r="F16" s="7">
        <f t="shared" si="0"/>
        <v>42.84643603802612</v>
      </c>
    </row>
    <row r="17" spans="1:6" x14ac:dyDescent="0.35">
      <c r="A17" t="s">
        <v>22</v>
      </c>
      <c r="B17" s="3">
        <v>120.27</v>
      </c>
      <c r="C17" s="3">
        <v>58.636000000000003</v>
      </c>
      <c r="D17" s="4">
        <v>1.2768599999999999</v>
      </c>
      <c r="F17" s="7">
        <f t="shared" si="0"/>
        <v>45.922027473646295</v>
      </c>
    </row>
    <row r="18" spans="1:6" x14ac:dyDescent="0.35">
      <c r="A18" t="s">
        <v>23</v>
      </c>
      <c r="B18" s="3">
        <v>119.53</v>
      </c>
      <c r="C18" s="3">
        <v>59.83</v>
      </c>
      <c r="D18" s="4">
        <v>1.28796</v>
      </c>
      <c r="F18" s="7">
        <f t="shared" si="0"/>
        <v>46.453306003292028</v>
      </c>
    </row>
    <row r="19" spans="1:6" x14ac:dyDescent="0.35">
      <c r="A19" t="s">
        <v>24</v>
      </c>
      <c r="B19" s="3">
        <v>119.12</v>
      </c>
      <c r="C19" s="3">
        <v>61.341999999999999</v>
      </c>
      <c r="D19" s="4">
        <v>1.3025600000000002</v>
      </c>
      <c r="F19" s="7">
        <f t="shared" si="0"/>
        <v>47.093416042255242</v>
      </c>
    </row>
    <row r="20" spans="1:6" x14ac:dyDescent="0.35">
      <c r="A20" t="s">
        <v>25</v>
      </c>
      <c r="B20" s="3">
        <v>119.29</v>
      </c>
      <c r="C20" s="3">
        <v>61.379999999999995</v>
      </c>
      <c r="D20" s="4">
        <v>1.3124400000000001</v>
      </c>
      <c r="F20" s="7">
        <f t="shared" si="0"/>
        <v>46.767852244674039</v>
      </c>
    </row>
    <row r="21" spans="1:6" x14ac:dyDescent="0.35">
      <c r="A21" t="s">
        <v>26</v>
      </c>
      <c r="B21" s="3">
        <v>119.13</v>
      </c>
      <c r="C21" s="3">
        <v>61.705999999999996</v>
      </c>
      <c r="D21" s="4">
        <v>1.2981</v>
      </c>
      <c r="F21" s="7">
        <f t="shared" si="0"/>
        <v>47.535628996225249</v>
      </c>
    </row>
    <row r="22" spans="1:6" x14ac:dyDescent="0.35">
      <c r="A22" t="s">
        <v>27</v>
      </c>
      <c r="B22" s="3">
        <v>118.97</v>
      </c>
      <c r="C22" s="3">
        <v>63.36</v>
      </c>
      <c r="D22" s="4">
        <v>1.2851000000000001</v>
      </c>
      <c r="F22" s="7">
        <f t="shared" si="0"/>
        <v>49.303556143490773</v>
      </c>
    </row>
    <row r="23" spans="1:6" x14ac:dyDescent="0.35">
      <c r="A23" t="s">
        <v>28</v>
      </c>
      <c r="B23" s="3">
        <v>119.05</v>
      </c>
      <c r="C23" s="3">
        <v>66.581999999999994</v>
      </c>
      <c r="D23" s="4">
        <v>1.3029599999999999</v>
      </c>
      <c r="F23" s="7">
        <f t="shared" si="0"/>
        <v>51.100571007552034</v>
      </c>
    </row>
    <row r="24" spans="1:6" x14ac:dyDescent="0.35">
      <c r="A24" t="s">
        <v>29</v>
      </c>
      <c r="B24" s="3">
        <v>119.22</v>
      </c>
      <c r="C24" s="3">
        <v>64.563999999999993</v>
      </c>
      <c r="D24" s="4">
        <v>1.32372</v>
      </c>
      <c r="F24" s="7">
        <f t="shared" si="0"/>
        <v>48.774665337080343</v>
      </c>
    </row>
    <row r="25" spans="1:6" x14ac:dyDescent="0.35">
      <c r="A25" t="s">
        <v>30</v>
      </c>
      <c r="B25" s="3">
        <v>119.72</v>
      </c>
      <c r="C25" s="3">
        <v>64.733999999999995</v>
      </c>
      <c r="D25" s="4">
        <v>1.31114</v>
      </c>
      <c r="F25" s="7">
        <f t="shared" si="0"/>
        <v>49.372301966227859</v>
      </c>
    </row>
    <row r="26" spans="1:6" x14ac:dyDescent="0.35">
      <c r="A26" t="s">
        <v>31</v>
      </c>
      <c r="B26" s="3">
        <v>120.1</v>
      </c>
      <c r="C26" s="3">
        <v>65.713999999999999</v>
      </c>
      <c r="D26" s="4">
        <v>1.31962</v>
      </c>
      <c r="F26" s="7">
        <f t="shared" si="0"/>
        <v>49.797669025931704</v>
      </c>
    </row>
    <row r="27" spans="1:6" x14ac:dyDescent="0.35">
      <c r="A27" t="s">
        <v>32</v>
      </c>
      <c r="B27" s="3">
        <v>120.48</v>
      </c>
      <c r="C27" s="3">
        <v>67.344000000000008</v>
      </c>
      <c r="D27" s="4">
        <v>1.31938</v>
      </c>
      <c r="F27" s="7">
        <f t="shared" si="0"/>
        <v>51.042156164258977</v>
      </c>
    </row>
    <row r="28" spans="1:6" x14ac:dyDescent="0.35">
      <c r="A28" t="s">
        <v>33</v>
      </c>
      <c r="B28" s="3">
        <v>120.83</v>
      </c>
      <c r="C28" s="3">
        <v>67.248000000000005</v>
      </c>
      <c r="D28" s="4">
        <v>1.3144399999999998</v>
      </c>
      <c r="F28" s="7">
        <f t="shared" si="0"/>
        <v>51.160950671008194</v>
      </c>
    </row>
    <row r="29" spans="1:6" x14ac:dyDescent="0.35">
      <c r="A29" t="s">
        <v>34</v>
      </c>
      <c r="B29" s="3">
        <v>121.7</v>
      </c>
      <c r="C29" s="3">
        <v>69.539999999999992</v>
      </c>
      <c r="D29" s="4">
        <v>1.30846</v>
      </c>
      <c r="F29" s="7">
        <f t="shared" si="0"/>
        <v>53.146446968191611</v>
      </c>
    </row>
    <row r="30" spans="1:6" x14ac:dyDescent="0.35">
      <c r="A30" t="s">
        <v>35</v>
      </c>
      <c r="B30" s="3">
        <v>122.66</v>
      </c>
      <c r="C30" s="3">
        <v>71.328000000000003</v>
      </c>
      <c r="D30" s="4">
        <v>1.3074600000000001</v>
      </c>
      <c r="F30" s="7">
        <f t="shared" si="0"/>
        <v>54.554632646505439</v>
      </c>
    </row>
    <row r="31" spans="1:6" x14ac:dyDescent="0.35">
      <c r="A31" t="s">
        <v>36</v>
      </c>
      <c r="B31" s="3">
        <v>124.06</v>
      </c>
      <c r="C31" s="3">
        <v>70.872499999999988</v>
      </c>
      <c r="D31" s="4">
        <v>1.305625</v>
      </c>
      <c r="F31" s="7">
        <f t="shared" si="0"/>
        <v>54.282431785543309</v>
      </c>
    </row>
    <row r="32" spans="1:6" x14ac:dyDescent="0.35">
      <c r="A32" t="s">
        <v>37</v>
      </c>
      <c r="B32" s="3">
        <v>125.43</v>
      </c>
      <c r="C32" s="3">
        <v>73.487500000000011</v>
      </c>
      <c r="D32" s="4">
        <v>1.293425</v>
      </c>
      <c r="F32" s="7">
        <f t="shared" si="0"/>
        <v>56.816205037014136</v>
      </c>
    </row>
    <row r="33" spans="1:6" x14ac:dyDescent="0.35">
      <c r="A33" t="s">
        <v>38</v>
      </c>
      <c r="B33" s="3">
        <v>126.36</v>
      </c>
      <c r="C33" s="3">
        <v>71.585999999999999</v>
      </c>
      <c r="D33" s="4">
        <v>1.3038000000000001</v>
      </c>
      <c r="F33" s="7">
        <f t="shared" si="0"/>
        <v>54.905660377358487</v>
      </c>
    </row>
    <row r="34" spans="1:6" x14ac:dyDescent="0.35">
      <c r="A34" t="s">
        <v>39</v>
      </c>
      <c r="B34" s="3">
        <v>127.5</v>
      </c>
      <c r="C34" s="3">
        <v>71.077500000000001</v>
      </c>
      <c r="D34" s="4">
        <v>1.3026</v>
      </c>
      <c r="F34" s="7">
        <f t="shared" si="0"/>
        <v>54.565868263473057</v>
      </c>
    </row>
    <row r="35" spans="1:6" x14ac:dyDescent="0.35">
      <c r="A35" t="s">
        <v>40</v>
      </c>
      <c r="B35" s="3">
        <v>127.97</v>
      </c>
      <c r="C35" s="3">
        <v>73.322000000000003</v>
      </c>
      <c r="D35" s="4">
        <v>1.28592</v>
      </c>
      <c r="F35" s="7">
        <f t="shared" si="0"/>
        <v>57.019099166355609</v>
      </c>
    </row>
    <row r="36" spans="1:6" x14ac:dyDescent="0.35">
      <c r="A36" t="s">
        <v>41</v>
      </c>
      <c r="B36" s="3">
        <v>128.51</v>
      </c>
      <c r="C36" s="3">
        <v>70.888000000000005</v>
      </c>
      <c r="D36" s="4">
        <v>1.2707000000000002</v>
      </c>
      <c r="F36" s="7">
        <f t="shared" si="0"/>
        <v>55.786574329109939</v>
      </c>
    </row>
    <row r="37" spans="1:6" x14ac:dyDescent="0.35">
      <c r="A37" t="s">
        <v>42</v>
      </c>
      <c r="B37" s="3">
        <v>129.13999999999999</v>
      </c>
      <c r="C37" s="3">
        <v>69.289999999999992</v>
      </c>
      <c r="D37" s="4">
        <v>1.2624249999999999</v>
      </c>
      <c r="F37" s="7">
        <f t="shared" si="0"/>
        <v>54.886428896766141</v>
      </c>
    </row>
    <row r="38" spans="1:6" x14ac:dyDescent="0.35">
      <c r="A38" t="s">
        <v>43</v>
      </c>
      <c r="B38" s="3">
        <v>129.41</v>
      </c>
      <c r="C38" s="3">
        <v>63.146000000000001</v>
      </c>
      <c r="D38" s="4">
        <v>1.2701800000000003</v>
      </c>
      <c r="F38" s="7">
        <f t="shared" si="0"/>
        <v>49.714213733486581</v>
      </c>
    </row>
    <row r="39" spans="1:6" x14ac:dyDescent="0.35">
      <c r="A39" t="s">
        <v>44</v>
      </c>
      <c r="B39" s="3">
        <v>128.88999999999999</v>
      </c>
      <c r="C39" s="3">
        <v>63.188000000000002</v>
      </c>
      <c r="D39" s="4">
        <v>1.2684799999999998</v>
      </c>
      <c r="F39" s="7">
        <f t="shared" si="0"/>
        <v>49.81395055499496</v>
      </c>
    </row>
    <row r="40" spans="1:6" x14ac:dyDescent="0.35">
      <c r="A40" t="s">
        <v>45</v>
      </c>
      <c r="B40" s="3">
        <v>127.66</v>
      </c>
      <c r="C40" s="3">
        <v>64.037999999999997</v>
      </c>
      <c r="D40" s="4">
        <v>1.2624400000000002</v>
      </c>
      <c r="F40" s="7">
        <f t="shared" si="0"/>
        <v>50.725579037419585</v>
      </c>
    </row>
    <row r="41" spans="1:6" x14ac:dyDescent="0.35">
      <c r="A41" t="s">
        <v>46</v>
      </c>
      <c r="B41" s="3">
        <v>126.66</v>
      </c>
      <c r="C41" s="3">
        <v>66.509999999999991</v>
      </c>
      <c r="D41" s="4">
        <v>1.27044</v>
      </c>
      <c r="F41" s="7">
        <f t="shared" si="0"/>
        <v>52.351941059790299</v>
      </c>
    </row>
    <row r="42" spans="1:6" x14ac:dyDescent="0.35">
      <c r="A42" t="s">
        <v>47</v>
      </c>
      <c r="B42" s="3">
        <v>126.49</v>
      </c>
      <c r="C42" s="3">
        <v>63.839999999999996</v>
      </c>
      <c r="D42" s="4">
        <v>1.2579799999999999</v>
      </c>
      <c r="F42" s="7">
        <f t="shared" si="0"/>
        <v>50.748024610884116</v>
      </c>
    </row>
    <row r="43" spans="1:6" x14ac:dyDescent="0.35">
      <c r="A43" t="s">
        <v>48</v>
      </c>
      <c r="B43" s="3">
        <v>126.86</v>
      </c>
      <c r="C43" s="3">
        <v>65.977999999999994</v>
      </c>
      <c r="D43" s="4">
        <v>1.2518</v>
      </c>
      <c r="F43" s="7">
        <f t="shared" si="0"/>
        <v>52.706502636203858</v>
      </c>
    </row>
    <row r="44" spans="1:6" x14ac:dyDescent="0.35">
      <c r="A44" t="s">
        <v>49</v>
      </c>
      <c r="B44" s="3">
        <v>127.13</v>
      </c>
      <c r="C44" s="3">
        <v>63.628000000000007</v>
      </c>
      <c r="D44" s="4">
        <v>1.24698</v>
      </c>
      <c r="F44" s="7">
        <f t="shared" si="0"/>
        <v>51.02567803814015</v>
      </c>
    </row>
    <row r="45" spans="1:6" x14ac:dyDescent="0.35">
      <c r="A45" t="s">
        <v>50</v>
      </c>
      <c r="B45" s="3">
        <v>127.81</v>
      </c>
      <c r="C45" s="3">
        <v>62.8</v>
      </c>
      <c r="D45" s="4">
        <v>1.24634</v>
      </c>
      <c r="F45" s="7">
        <f t="shared" si="0"/>
        <v>50.387534701606299</v>
      </c>
    </row>
    <row r="46" spans="1:6" x14ac:dyDescent="0.35">
      <c r="A46" t="s">
        <v>51</v>
      </c>
      <c r="B46" s="3">
        <v>128.03</v>
      </c>
      <c r="C46" s="3">
        <v>62.585999999999999</v>
      </c>
      <c r="D46" s="4">
        <v>1.21818</v>
      </c>
      <c r="F46" s="7">
        <f t="shared" si="0"/>
        <v>51.376643845737078</v>
      </c>
    </row>
    <row r="47" spans="1:6" x14ac:dyDescent="0.35">
      <c r="A47" t="s">
        <v>52</v>
      </c>
      <c r="B47" s="3">
        <v>128.37</v>
      </c>
      <c r="C47" s="3">
        <v>57.327999999999996</v>
      </c>
      <c r="D47" s="4">
        <v>1.2135200000000002</v>
      </c>
      <c r="F47" s="7">
        <f t="shared" si="0"/>
        <v>47.241083789307133</v>
      </c>
    </row>
    <row r="48" spans="1:6" x14ac:dyDescent="0.35">
      <c r="A48" t="s">
        <v>53</v>
      </c>
      <c r="B48" s="3">
        <v>128.36000000000001</v>
      </c>
      <c r="C48" s="3">
        <v>58.251999999999995</v>
      </c>
      <c r="D48" s="4">
        <v>1.20964</v>
      </c>
      <c r="F48" s="7">
        <f t="shared" si="0"/>
        <v>48.156476307000425</v>
      </c>
    </row>
    <row r="49" spans="1:6" x14ac:dyDescent="0.35">
      <c r="A49" t="s">
        <v>54</v>
      </c>
      <c r="B49" s="3">
        <v>128.16999999999999</v>
      </c>
      <c r="C49" s="3">
        <v>59.573999999999998</v>
      </c>
      <c r="D49" s="4">
        <v>1.21854</v>
      </c>
      <c r="F49" s="7">
        <f t="shared" si="0"/>
        <v>48.889654832832733</v>
      </c>
    </row>
    <row r="50" spans="1:6" x14ac:dyDescent="0.35">
      <c r="A50" t="s">
        <v>55</v>
      </c>
      <c r="B50" s="3">
        <v>128.22</v>
      </c>
      <c r="C50" s="3">
        <v>59.826000000000001</v>
      </c>
      <c r="D50" s="4">
        <v>1.222175</v>
      </c>
      <c r="F50" s="7">
        <f t="shared" si="0"/>
        <v>48.950436721418782</v>
      </c>
    </row>
    <row r="51" spans="1:6" x14ac:dyDescent="0.35">
      <c r="A51" t="s">
        <v>56</v>
      </c>
      <c r="B51" s="3">
        <v>127.86</v>
      </c>
      <c r="C51" s="3">
        <v>60.227999999999994</v>
      </c>
      <c r="D51" s="4">
        <v>1.2196799999999999</v>
      </c>
      <c r="F51" s="7">
        <f t="shared" si="0"/>
        <v>49.380165289256198</v>
      </c>
    </row>
    <row r="52" spans="1:6" x14ac:dyDescent="0.35">
      <c r="A52" t="s">
        <v>57</v>
      </c>
      <c r="B52" s="3">
        <v>127.79</v>
      </c>
      <c r="C52" s="3">
        <v>62.738</v>
      </c>
      <c r="D52" s="4">
        <v>1.2366600000000001</v>
      </c>
      <c r="F52" s="7">
        <f t="shared" si="0"/>
        <v>50.731809874985842</v>
      </c>
    </row>
    <row r="53" spans="1:6" x14ac:dyDescent="0.35">
      <c r="A53" t="s">
        <v>58</v>
      </c>
      <c r="B53" s="3">
        <v>126.92</v>
      </c>
      <c r="C53" s="3">
        <v>65.556000000000012</v>
      </c>
      <c r="D53" s="4">
        <v>1.2475000000000001</v>
      </c>
      <c r="F53" s="7">
        <f t="shared" si="0"/>
        <v>52.549899799599203</v>
      </c>
    </row>
    <row r="54" spans="1:6" x14ac:dyDescent="0.35">
      <c r="A54" t="s">
        <v>59</v>
      </c>
      <c r="B54" s="3">
        <v>126.78</v>
      </c>
      <c r="C54" s="3">
        <v>63.152000000000001</v>
      </c>
      <c r="D54" s="4">
        <v>1.2386199999999998</v>
      </c>
      <c r="F54" s="7">
        <f t="shared" si="0"/>
        <v>50.98577449096576</v>
      </c>
    </row>
    <row r="55" spans="1:6" x14ac:dyDescent="0.35">
      <c r="A55" t="s">
        <v>60</v>
      </c>
      <c r="B55" s="3">
        <v>126.92</v>
      </c>
      <c r="C55" s="3">
        <v>59.222000000000001</v>
      </c>
      <c r="D55" s="4">
        <v>1.2309600000000001</v>
      </c>
      <c r="F55" s="7">
        <f t="shared" si="0"/>
        <v>48.11041788522779</v>
      </c>
    </row>
    <row r="56" spans="1:6" x14ac:dyDescent="0.35">
      <c r="A56" t="s">
        <v>61</v>
      </c>
      <c r="B56" s="3">
        <v>126.87</v>
      </c>
      <c r="C56" s="3">
        <v>59.394000000000005</v>
      </c>
      <c r="D56" s="4">
        <v>1.2343600000000001</v>
      </c>
      <c r="F56" s="7">
        <f t="shared" si="0"/>
        <v>48.117242943711723</v>
      </c>
    </row>
    <row r="57" spans="1:6" x14ac:dyDescent="0.35">
      <c r="A57" t="s">
        <v>62</v>
      </c>
      <c r="B57" s="3">
        <v>126.91</v>
      </c>
      <c r="C57" s="3">
        <v>59.322000000000003</v>
      </c>
      <c r="D57" s="4">
        <v>1.2781600000000002</v>
      </c>
      <c r="F57" s="7">
        <f t="shared" si="0"/>
        <v>46.412029792827184</v>
      </c>
    </row>
    <row r="58" spans="1:6" x14ac:dyDescent="0.35">
      <c r="A58" t="s">
        <v>63</v>
      </c>
      <c r="B58" s="3">
        <v>126.4</v>
      </c>
      <c r="C58" s="3">
        <v>60.748000000000005</v>
      </c>
      <c r="D58" s="4">
        <v>1.2890599999999999</v>
      </c>
      <c r="F58" s="7">
        <f t="shared" si="0"/>
        <v>47.125812607636583</v>
      </c>
    </row>
    <row r="59" spans="1:6" x14ac:dyDescent="0.35">
      <c r="A59" t="s">
        <v>64</v>
      </c>
      <c r="B59" s="3">
        <v>125.77</v>
      </c>
      <c r="C59" s="3">
        <v>60.225999999999999</v>
      </c>
      <c r="D59" s="4">
        <v>1.2903799999999999</v>
      </c>
      <c r="F59" s="7">
        <f t="shared" si="0"/>
        <v>46.673073048249357</v>
      </c>
    </row>
    <row r="60" spans="1:6" x14ac:dyDescent="0.35">
      <c r="A60" t="s">
        <v>65</v>
      </c>
      <c r="B60" s="3">
        <v>125.56</v>
      </c>
      <c r="C60" s="3">
        <v>62.390000000000008</v>
      </c>
      <c r="D60" s="4">
        <v>1.2852000000000001</v>
      </c>
      <c r="F60" s="7">
        <f t="shared" si="0"/>
        <v>48.544973544973544</v>
      </c>
    </row>
    <row r="61" spans="1:6" x14ac:dyDescent="0.35">
      <c r="A61" t="s">
        <v>66</v>
      </c>
      <c r="B61" s="3">
        <v>125.59</v>
      </c>
      <c r="C61" s="3">
        <v>62.564</v>
      </c>
      <c r="D61" s="4">
        <v>1.28606</v>
      </c>
      <c r="F61" s="7">
        <f t="shared" si="0"/>
        <v>48.647808033839787</v>
      </c>
    </row>
    <row r="62" spans="1:6" x14ac:dyDescent="0.35">
      <c r="A62" t="s">
        <v>67</v>
      </c>
      <c r="B62" s="3">
        <v>125.58</v>
      </c>
      <c r="C62" s="3">
        <v>63.762</v>
      </c>
      <c r="D62" s="4">
        <v>1.2913599999999998</v>
      </c>
      <c r="F62" s="7">
        <f t="shared" si="0"/>
        <v>49.375851815140635</v>
      </c>
    </row>
    <row r="63" spans="1:6" x14ac:dyDescent="0.35">
      <c r="A63" t="s">
        <v>68</v>
      </c>
      <c r="B63" s="3">
        <v>125.32</v>
      </c>
      <c r="C63" s="3">
        <v>64.740000000000009</v>
      </c>
      <c r="D63" s="4">
        <v>1.28918</v>
      </c>
      <c r="F63" s="7">
        <f t="shared" si="0"/>
        <v>50.217968010673459</v>
      </c>
    </row>
    <row r="64" spans="1:6" x14ac:dyDescent="0.35">
      <c r="A64" t="s">
        <v>69</v>
      </c>
      <c r="B64" s="3">
        <v>124.81</v>
      </c>
      <c r="C64" s="3">
        <v>64.713999999999999</v>
      </c>
      <c r="D64" s="4">
        <v>1.3056399999999999</v>
      </c>
      <c r="F64" s="7">
        <f t="shared" si="0"/>
        <v>49.564964308691522</v>
      </c>
    </row>
    <row r="65" spans="1:6" x14ac:dyDescent="0.35">
      <c r="A65" t="s">
        <v>70</v>
      </c>
      <c r="B65" s="3">
        <v>124.75</v>
      </c>
      <c r="C65" s="3">
        <v>66.498000000000005</v>
      </c>
      <c r="D65" s="4">
        <v>1.3192999999999999</v>
      </c>
      <c r="F65" s="7">
        <f t="shared" si="0"/>
        <v>50.404002122337609</v>
      </c>
    </row>
    <row r="66" spans="1:6" x14ac:dyDescent="0.35">
      <c r="A66" t="s">
        <v>71</v>
      </c>
      <c r="B66" s="3">
        <v>124.33</v>
      </c>
      <c r="C66" s="3">
        <v>68.902000000000001</v>
      </c>
      <c r="D66" s="4">
        <v>1.3124800000000001</v>
      </c>
      <c r="F66" s="7">
        <f t="shared" si="0"/>
        <v>52.497561867609406</v>
      </c>
    </row>
    <row r="67" spans="1:6" x14ac:dyDescent="0.35">
      <c r="A67" t="s">
        <v>72</v>
      </c>
      <c r="B67" s="3">
        <v>124.16</v>
      </c>
      <c r="C67" s="3">
        <v>68.553333333333327</v>
      </c>
      <c r="D67" s="4">
        <v>1.2989333333333333</v>
      </c>
      <c r="F67" s="7">
        <f t="shared" si="0"/>
        <v>52.776637240812974</v>
      </c>
    </row>
    <row r="68" spans="1:6" x14ac:dyDescent="0.35">
      <c r="A68" t="s">
        <v>73</v>
      </c>
      <c r="B68" s="3">
        <v>124.96</v>
      </c>
      <c r="C68" s="3">
        <v>68.05</v>
      </c>
      <c r="D68" s="4">
        <v>1.3146500000000001</v>
      </c>
      <c r="F68" s="7">
        <f t="shared" si="0"/>
        <v>51.762826607842385</v>
      </c>
    </row>
    <row r="69" spans="1:6" x14ac:dyDescent="0.35">
      <c r="A69" t="s">
        <v>74</v>
      </c>
      <c r="B69" s="3">
        <v>126.09</v>
      </c>
      <c r="C69" s="3">
        <v>67.929999999999993</v>
      </c>
      <c r="D69" s="4">
        <v>1.3098199999999998</v>
      </c>
      <c r="F69" s="7">
        <f t="shared" si="0"/>
        <v>51.862087920477627</v>
      </c>
    </row>
    <row r="70" spans="1:6" x14ac:dyDescent="0.35">
      <c r="A70" t="s">
        <v>75</v>
      </c>
      <c r="B70" s="3">
        <v>127.17</v>
      </c>
      <c r="C70" s="3">
        <v>64.111999999999995</v>
      </c>
      <c r="D70" s="4">
        <v>1.3021600000000002</v>
      </c>
      <c r="F70" s="7">
        <f t="shared" si="0"/>
        <v>49.235117036308893</v>
      </c>
    </row>
    <row r="71" spans="1:6" x14ac:dyDescent="0.35">
      <c r="A71" t="s">
        <v>76</v>
      </c>
      <c r="B71" s="3">
        <v>127.18</v>
      </c>
      <c r="C71" s="3">
        <v>62.2</v>
      </c>
      <c r="D71" s="4">
        <v>1.3076399999999999</v>
      </c>
      <c r="F71" s="7">
        <f t="shared" si="0"/>
        <v>47.566608546694816</v>
      </c>
    </row>
    <row r="72" spans="1:6" x14ac:dyDescent="0.35">
      <c r="A72" t="s">
        <v>77</v>
      </c>
      <c r="B72" s="3">
        <v>127.33</v>
      </c>
      <c r="C72" s="3">
        <v>58.572000000000003</v>
      </c>
      <c r="D72" s="4">
        <v>1.3063600000000002</v>
      </c>
      <c r="F72" s="7">
        <f t="shared" si="0"/>
        <v>44.836032946507849</v>
      </c>
    </row>
    <row r="73" spans="1:6" x14ac:dyDescent="0.35">
      <c r="A73" t="s">
        <v>78</v>
      </c>
      <c r="B73" s="3">
        <v>125.85</v>
      </c>
      <c r="C73" s="3">
        <v>54.594000000000008</v>
      </c>
      <c r="D73" s="4">
        <v>1.2978000000000001</v>
      </c>
      <c r="F73" s="7">
        <f t="shared" si="0"/>
        <v>42.06657420249654</v>
      </c>
    </row>
    <row r="74" spans="1:6" x14ac:dyDescent="0.35">
      <c r="A74" t="s">
        <v>79</v>
      </c>
      <c r="B74" s="3">
        <v>124.73</v>
      </c>
      <c r="C74" s="3">
        <v>55.327999999999996</v>
      </c>
      <c r="D74" s="4">
        <v>1.2982800000000001</v>
      </c>
      <c r="F74" s="7">
        <f t="shared" si="0"/>
        <v>42.616384755214582</v>
      </c>
    </row>
    <row r="75" spans="1:6" x14ac:dyDescent="0.35">
      <c r="A75" t="s">
        <v>80</v>
      </c>
      <c r="B75" s="3">
        <v>123.8</v>
      </c>
      <c r="C75" s="3">
        <v>58.644000000000005</v>
      </c>
      <c r="D75" s="4">
        <v>1.29674</v>
      </c>
      <c r="F75" s="7">
        <f t="shared" si="0"/>
        <v>45.224177552940453</v>
      </c>
    </row>
    <row r="76" spans="1:6" x14ac:dyDescent="0.35">
      <c r="A76" t="s">
        <v>81</v>
      </c>
      <c r="B76" s="3">
        <v>123.45</v>
      </c>
      <c r="C76" s="3">
        <v>54.242000000000004</v>
      </c>
      <c r="D76" s="4">
        <v>1.2901199999999999</v>
      </c>
      <c r="F76" s="7">
        <f t="shared" ref="F76:F139" si="1">C76/D76</f>
        <v>42.044150931696279</v>
      </c>
    </row>
    <row r="77" spans="1:6" x14ac:dyDescent="0.35">
      <c r="A77" t="s">
        <v>82</v>
      </c>
      <c r="B77" s="3">
        <v>122.43</v>
      </c>
      <c r="C77" s="3">
        <v>50.701999999999998</v>
      </c>
      <c r="D77" s="4">
        <v>1.28678</v>
      </c>
      <c r="F77" s="7">
        <f t="shared" si="1"/>
        <v>39.402228819223176</v>
      </c>
    </row>
    <row r="78" spans="1:6" x14ac:dyDescent="0.35">
      <c r="A78" t="s">
        <v>83</v>
      </c>
      <c r="B78" s="3">
        <v>122.24</v>
      </c>
      <c r="C78" s="3">
        <v>33.724000000000004</v>
      </c>
      <c r="D78" s="4">
        <v>1.2774999999999999</v>
      </c>
      <c r="F78" s="7">
        <f t="shared" si="1"/>
        <v>26.398434442270066</v>
      </c>
    </row>
    <row r="79" spans="1:6" x14ac:dyDescent="0.35">
      <c r="A79" t="s">
        <v>84</v>
      </c>
      <c r="B79" s="3">
        <v>120.33</v>
      </c>
      <c r="C79" s="3">
        <v>25.654000000000003</v>
      </c>
      <c r="D79" s="4">
        <v>1.1891</v>
      </c>
      <c r="F79" s="7">
        <f t="shared" si="1"/>
        <v>21.574299890673622</v>
      </c>
    </row>
    <row r="80" spans="1:6" x14ac:dyDescent="0.35">
      <c r="A80" t="s">
        <v>85</v>
      </c>
      <c r="B80" s="3">
        <v>119.64</v>
      </c>
      <c r="C80" s="3">
        <v>23.962</v>
      </c>
      <c r="D80" s="4">
        <v>1.19038</v>
      </c>
      <c r="F80" s="7">
        <f t="shared" si="1"/>
        <v>20.129706480283605</v>
      </c>
    </row>
    <row r="81" spans="1:6" x14ac:dyDescent="0.35">
      <c r="A81" t="s">
        <v>86</v>
      </c>
      <c r="B81" s="3">
        <v>112.45</v>
      </c>
      <c r="C81" s="3">
        <v>18.716000000000001</v>
      </c>
      <c r="D81" s="4">
        <v>1.2375599999999998</v>
      </c>
      <c r="F81" s="7">
        <f t="shared" si="1"/>
        <v>15.123307152784514</v>
      </c>
    </row>
    <row r="82" spans="1:6" x14ac:dyDescent="0.35">
      <c r="A82" t="s">
        <v>87</v>
      </c>
      <c r="B82" s="3">
        <v>110.23</v>
      </c>
      <c r="C82" s="3">
        <v>22.532500000000002</v>
      </c>
      <c r="D82" s="4">
        <v>1.2351999999999999</v>
      </c>
      <c r="F82" s="7">
        <f t="shared" si="1"/>
        <v>18.241985103626948</v>
      </c>
    </row>
    <row r="83" spans="1:6" x14ac:dyDescent="0.35">
      <c r="A83" t="s">
        <v>88</v>
      </c>
      <c r="B83" s="3">
        <v>109.27</v>
      </c>
      <c r="C83" s="3">
        <v>19.995000000000001</v>
      </c>
      <c r="D83" s="4">
        <v>1.2511749999999999</v>
      </c>
      <c r="F83" s="7">
        <f t="shared" si="1"/>
        <v>15.980977880792057</v>
      </c>
    </row>
    <row r="84" spans="1:6" x14ac:dyDescent="0.35">
      <c r="A84" t="s">
        <v>89</v>
      </c>
      <c r="B84" s="3">
        <v>108.63</v>
      </c>
      <c r="C84" s="3">
        <v>14.236000000000001</v>
      </c>
      <c r="D84" s="4">
        <v>1.2359800000000001</v>
      </c>
      <c r="F84" s="7">
        <f t="shared" si="1"/>
        <v>11.517985727924399</v>
      </c>
    </row>
    <row r="85" spans="1:6" x14ac:dyDescent="0.35">
      <c r="A85" t="s">
        <v>90</v>
      </c>
      <c r="B85" s="3">
        <v>107.88</v>
      </c>
      <c r="C85" s="3">
        <v>17.045999999999999</v>
      </c>
      <c r="D85" s="4">
        <v>1.2488199999999998</v>
      </c>
      <c r="F85" s="7">
        <f t="shared" si="1"/>
        <v>13.649685302925963</v>
      </c>
    </row>
    <row r="86" spans="1:6" x14ac:dyDescent="0.35">
      <c r="A86" t="s">
        <v>91</v>
      </c>
      <c r="B86" s="3">
        <v>107.56</v>
      </c>
      <c r="C86" s="3">
        <v>23.572500000000002</v>
      </c>
      <c r="D86" s="4">
        <v>1.2381</v>
      </c>
      <c r="F86" s="7">
        <f t="shared" si="1"/>
        <v>19.039253695178097</v>
      </c>
    </row>
    <row r="87" spans="1:6" x14ac:dyDescent="0.35">
      <c r="A87" t="s">
        <v>92</v>
      </c>
      <c r="B87" s="3">
        <v>107.45</v>
      </c>
      <c r="C87" s="3">
        <v>28.181999999999999</v>
      </c>
      <c r="D87" s="4">
        <v>1.22478</v>
      </c>
      <c r="F87" s="7">
        <f t="shared" si="1"/>
        <v>23.009846666340078</v>
      </c>
    </row>
    <row r="88" spans="1:6" x14ac:dyDescent="0.35">
      <c r="A88" t="s">
        <v>93</v>
      </c>
      <c r="B88" s="3">
        <v>105.09</v>
      </c>
      <c r="C88" s="3">
        <v>33.94</v>
      </c>
      <c r="D88" s="4">
        <v>1.2223000000000002</v>
      </c>
      <c r="F88" s="7">
        <f t="shared" si="1"/>
        <v>27.767323897570147</v>
      </c>
    </row>
    <row r="89" spans="1:6" x14ac:dyDescent="0.35">
      <c r="A89" t="s">
        <v>94</v>
      </c>
      <c r="B89" s="3">
        <v>104.87</v>
      </c>
      <c r="C89" s="3">
        <v>33.702500000000001</v>
      </c>
      <c r="D89" s="4">
        <v>1.2317750000000001</v>
      </c>
      <c r="F89" s="7">
        <f t="shared" si="1"/>
        <v>27.360922246351809</v>
      </c>
    </row>
    <row r="90" spans="1:6" x14ac:dyDescent="0.35">
      <c r="A90" t="s">
        <v>95</v>
      </c>
      <c r="B90" s="3">
        <v>105.17</v>
      </c>
      <c r="C90" s="3">
        <v>38.369999999999997</v>
      </c>
      <c r="D90" s="4">
        <v>1.2593400000000001</v>
      </c>
      <c r="F90" s="7">
        <f t="shared" si="1"/>
        <v>30.468340559340604</v>
      </c>
    </row>
    <row r="91" spans="1:6" x14ac:dyDescent="0.35">
      <c r="A91" t="s">
        <v>96</v>
      </c>
      <c r="B91" s="3">
        <v>105.74</v>
      </c>
      <c r="C91" s="3">
        <v>39.517999999999994</v>
      </c>
      <c r="D91" s="4">
        <v>1.26718</v>
      </c>
      <c r="F91" s="7">
        <f t="shared" si="1"/>
        <v>31.185782603892104</v>
      </c>
    </row>
    <row r="92" spans="1:6" x14ac:dyDescent="0.35">
      <c r="A92" t="s">
        <v>97</v>
      </c>
      <c r="B92" s="3">
        <v>106.37</v>
      </c>
      <c r="C92" s="3">
        <v>40.948</v>
      </c>
      <c r="D92" s="4">
        <v>1.24936</v>
      </c>
      <c r="F92" s="7">
        <f t="shared" si="1"/>
        <v>32.775180892617023</v>
      </c>
    </row>
    <row r="93" spans="1:6" x14ac:dyDescent="0.35">
      <c r="A93" t="s">
        <v>98</v>
      </c>
      <c r="B93" s="3">
        <v>107.13</v>
      </c>
      <c r="C93" s="3">
        <v>41.694000000000003</v>
      </c>
      <c r="D93" s="4">
        <v>1.24288</v>
      </c>
      <c r="F93" s="7">
        <f t="shared" si="1"/>
        <v>33.546279608650877</v>
      </c>
    </row>
    <row r="94" spans="1:6" x14ac:dyDescent="0.35">
      <c r="A94" t="s">
        <v>99</v>
      </c>
      <c r="B94" s="3">
        <v>108.31</v>
      </c>
      <c r="C94" s="3">
        <v>42.302</v>
      </c>
      <c r="D94" s="4">
        <v>1.24038</v>
      </c>
      <c r="F94" s="7">
        <f t="shared" si="1"/>
        <v>34.104064883342197</v>
      </c>
    </row>
    <row r="95" spans="1:6" x14ac:dyDescent="0.35">
      <c r="A95" t="s">
        <v>100</v>
      </c>
      <c r="B95" s="3">
        <v>109.43</v>
      </c>
      <c r="C95" s="3">
        <v>43.06</v>
      </c>
      <c r="D95" s="4">
        <v>1.2591399999999999</v>
      </c>
      <c r="F95" s="7">
        <f t="shared" si="1"/>
        <v>34.197944628873678</v>
      </c>
    </row>
    <row r="96" spans="1:6" x14ac:dyDescent="0.35">
      <c r="A96" t="s">
        <v>101</v>
      </c>
      <c r="B96" s="3">
        <v>111.24</v>
      </c>
      <c r="C96" s="3">
        <v>43.404000000000003</v>
      </c>
      <c r="D96" s="4">
        <v>1.2581</v>
      </c>
      <c r="F96" s="7">
        <f t="shared" si="1"/>
        <v>34.499642317780783</v>
      </c>
    </row>
    <row r="97" spans="1:6" x14ac:dyDescent="0.35">
      <c r="A97" t="s">
        <v>102</v>
      </c>
      <c r="B97" s="3">
        <v>112.23</v>
      </c>
      <c r="C97" s="3">
        <v>43.567999999999998</v>
      </c>
      <c r="D97" s="4">
        <v>1.2732600000000001</v>
      </c>
      <c r="F97" s="7">
        <f t="shared" si="1"/>
        <v>34.217677457864063</v>
      </c>
    </row>
    <row r="98" spans="1:6" x14ac:dyDescent="0.35">
      <c r="A98" t="s">
        <v>103</v>
      </c>
      <c r="B98" s="3">
        <v>112.66</v>
      </c>
      <c r="C98" s="3">
        <v>43.223999999999997</v>
      </c>
      <c r="D98" s="4">
        <v>1.2995999999999999</v>
      </c>
      <c r="F98" s="7">
        <f t="shared" si="1"/>
        <v>33.259464450600184</v>
      </c>
    </row>
    <row r="99" spans="1:6" x14ac:dyDescent="0.35">
      <c r="A99" t="s">
        <v>104</v>
      </c>
      <c r="B99" s="3">
        <v>112.91</v>
      </c>
      <c r="C99" s="3">
        <v>44.356000000000002</v>
      </c>
      <c r="D99" s="4">
        <v>1.3089600000000001</v>
      </c>
      <c r="F99" s="7">
        <f t="shared" si="1"/>
        <v>33.88644419997555</v>
      </c>
    </row>
    <row r="100" spans="1:6" x14ac:dyDescent="0.35">
      <c r="A100" t="s">
        <v>105</v>
      </c>
      <c r="B100" s="3">
        <v>113.02</v>
      </c>
      <c r="C100" s="3">
        <v>44.537999999999997</v>
      </c>
      <c r="D100" s="4">
        <v>1.3088000000000002</v>
      </c>
      <c r="F100" s="7">
        <f t="shared" si="1"/>
        <v>34.029645476772608</v>
      </c>
    </row>
    <row r="101" spans="1:6" x14ac:dyDescent="0.35">
      <c r="A101" t="s">
        <v>106</v>
      </c>
      <c r="B101" s="3">
        <v>113.04</v>
      </c>
      <c r="C101" s="3">
        <v>44.792000000000002</v>
      </c>
      <c r="D101" s="4">
        <v>1.3144199999999999</v>
      </c>
      <c r="F101" s="7">
        <f t="shared" si="1"/>
        <v>34.077387745165169</v>
      </c>
    </row>
    <row r="102" spans="1:6" x14ac:dyDescent="0.35">
      <c r="A102" t="s">
        <v>107</v>
      </c>
      <c r="B102" s="3">
        <v>113.22</v>
      </c>
      <c r="C102" s="3">
        <v>45.257999999999996</v>
      </c>
      <c r="D102" s="4">
        <v>1.3180200000000002</v>
      </c>
      <c r="F102" s="7">
        <f t="shared" si="1"/>
        <v>34.33787044202667</v>
      </c>
    </row>
    <row r="103" spans="1:6" x14ac:dyDescent="0.35">
      <c r="A103" t="s">
        <v>108</v>
      </c>
      <c r="B103" s="3">
        <v>113.29</v>
      </c>
      <c r="C103" s="3">
        <v>43.059999999999995</v>
      </c>
      <c r="D103" s="4">
        <v>1.3305750000000001</v>
      </c>
      <c r="F103" s="7">
        <f t="shared" si="1"/>
        <v>32.361948781541813</v>
      </c>
    </row>
    <row r="104" spans="1:6" x14ac:dyDescent="0.35">
      <c r="A104" t="s">
        <v>109</v>
      </c>
      <c r="B104" s="3">
        <v>113.37</v>
      </c>
      <c r="C104" s="3">
        <v>39.450000000000003</v>
      </c>
      <c r="D104" s="4">
        <v>1.2968999999999999</v>
      </c>
      <c r="F104" s="7">
        <f t="shared" si="1"/>
        <v>30.418690724034239</v>
      </c>
    </row>
    <row r="105" spans="1:6" x14ac:dyDescent="0.35">
      <c r="A105" t="s">
        <v>110</v>
      </c>
      <c r="B105" s="3">
        <v>113.32</v>
      </c>
      <c r="C105" s="3">
        <v>40.769999999999996</v>
      </c>
      <c r="D105" s="4">
        <v>1.2931399999999997</v>
      </c>
      <c r="F105" s="7">
        <f t="shared" si="1"/>
        <v>31.527908811110944</v>
      </c>
    </row>
    <row r="106" spans="1:6" x14ac:dyDescent="0.35">
      <c r="A106" t="s">
        <v>111</v>
      </c>
      <c r="B106" s="3">
        <v>113.31</v>
      </c>
      <c r="C106" s="3">
        <v>40.89</v>
      </c>
      <c r="D106" s="4">
        <v>1.274</v>
      </c>
      <c r="F106" s="7">
        <f t="shared" si="1"/>
        <v>32.095761381475668</v>
      </c>
    </row>
    <row r="107" spans="1:6" x14ac:dyDescent="0.35">
      <c r="A107" t="s">
        <v>112</v>
      </c>
      <c r="B107" s="3">
        <v>113.3</v>
      </c>
      <c r="C107" s="3">
        <v>39.994</v>
      </c>
      <c r="D107" s="4">
        <v>1.2882</v>
      </c>
      <c r="F107" s="7">
        <f t="shared" si="1"/>
        <v>31.046421363142368</v>
      </c>
    </row>
    <row r="108" spans="1:6" x14ac:dyDescent="0.35">
      <c r="A108" t="s">
        <v>113</v>
      </c>
      <c r="B108" s="3">
        <v>113.26</v>
      </c>
      <c r="C108" s="3">
        <v>41.06</v>
      </c>
      <c r="D108" s="4">
        <v>1.29508</v>
      </c>
      <c r="F108" s="7">
        <f t="shared" si="1"/>
        <v>31.704605120919172</v>
      </c>
    </row>
    <row r="109" spans="1:6" x14ac:dyDescent="0.35">
      <c r="A109" t="s">
        <v>114</v>
      </c>
      <c r="B109" s="3">
        <v>113.19</v>
      </c>
      <c r="C109" s="3">
        <v>41.32</v>
      </c>
      <c r="D109" s="4">
        <v>1.2986800000000001</v>
      </c>
      <c r="F109" s="7">
        <f t="shared" si="1"/>
        <v>31.816921797517477</v>
      </c>
    </row>
    <row r="110" spans="1:6" x14ac:dyDescent="0.35">
      <c r="A110" t="s">
        <v>115</v>
      </c>
      <c r="B110" s="3">
        <v>113.18</v>
      </c>
      <c r="C110" s="3">
        <v>40.998000000000005</v>
      </c>
      <c r="D110" s="4">
        <v>1.3052800000000002</v>
      </c>
      <c r="F110" s="7">
        <f t="shared" si="1"/>
        <v>31.40935278254474</v>
      </c>
    </row>
    <row r="111" spans="1:6" x14ac:dyDescent="0.35">
      <c r="A111" t="s">
        <v>116</v>
      </c>
      <c r="B111" s="3">
        <v>113.14</v>
      </c>
      <c r="C111" s="3">
        <v>37.905999999999992</v>
      </c>
      <c r="D111" s="4">
        <v>1.29836</v>
      </c>
      <c r="F111" s="7">
        <f t="shared" si="1"/>
        <v>29.195292522875008</v>
      </c>
    </row>
    <row r="112" spans="1:6" x14ac:dyDescent="0.35">
      <c r="A112" t="s">
        <v>117</v>
      </c>
      <c r="B112" s="3">
        <v>113.11</v>
      </c>
      <c r="C112" s="3">
        <v>38.636000000000003</v>
      </c>
      <c r="D112" s="4">
        <v>1.3030200000000001</v>
      </c>
      <c r="F112" s="7">
        <f t="shared" si="1"/>
        <v>29.651118171632056</v>
      </c>
    </row>
    <row r="113" spans="1:6" x14ac:dyDescent="0.35">
      <c r="A113" t="s">
        <v>118</v>
      </c>
      <c r="B113" s="3">
        <v>112.5</v>
      </c>
      <c r="C113" s="3">
        <v>41.87</v>
      </c>
      <c r="D113" s="4">
        <v>1.3176999999999999</v>
      </c>
      <c r="F113" s="7">
        <f t="shared" si="1"/>
        <v>31.775062609091599</v>
      </c>
    </row>
    <row r="114" spans="1:6" x14ac:dyDescent="0.35">
      <c r="A114" t="s">
        <v>119</v>
      </c>
      <c r="B114" s="3">
        <v>112.35</v>
      </c>
      <c r="C114" s="3">
        <v>43.007999999999996</v>
      </c>
      <c r="D114" s="4">
        <v>1.325</v>
      </c>
      <c r="F114" s="7">
        <f t="shared" si="1"/>
        <v>32.458867924528299</v>
      </c>
    </row>
    <row r="115" spans="1:6" x14ac:dyDescent="0.35">
      <c r="A115" t="s">
        <v>120</v>
      </c>
      <c r="B115" s="3">
        <v>112.42</v>
      </c>
      <c r="C115" s="3">
        <v>46.426000000000002</v>
      </c>
      <c r="D115" s="4">
        <v>1.3340399999999999</v>
      </c>
      <c r="F115" s="7">
        <f t="shared" si="1"/>
        <v>34.80105544061648</v>
      </c>
    </row>
    <row r="116" spans="1:6" x14ac:dyDescent="0.35">
      <c r="A116" t="s">
        <v>121</v>
      </c>
      <c r="B116" s="3">
        <v>112.61</v>
      </c>
      <c r="C116" s="3">
        <v>47.828000000000003</v>
      </c>
      <c r="D116" s="4">
        <v>1.3402599999999998</v>
      </c>
      <c r="F116" s="7">
        <f t="shared" si="1"/>
        <v>35.685613239222249</v>
      </c>
    </row>
    <row r="117" spans="1:6" x14ac:dyDescent="0.35">
      <c r="A117" t="s">
        <v>122</v>
      </c>
      <c r="B117" s="3">
        <v>113.17</v>
      </c>
      <c r="C117" s="3">
        <v>49.323999999999998</v>
      </c>
      <c r="D117" s="4">
        <v>1.3312199999999998</v>
      </c>
      <c r="F117" s="7">
        <f t="shared" si="1"/>
        <v>37.051726987274833</v>
      </c>
    </row>
    <row r="118" spans="1:6" x14ac:dyDescent="0.35">
      <c r="A118" t="s">
        <v>123</v>
      </c>
      <c r="B118" s="3">
        <v>113.82</v>
      </c>
      <c r="C118" s="3">
        <v>51.048000000000002</v>
      </c>
      <c r="D118" s="4">
        <v>1.3469799999999998</v>
      </c>
      <c r="F118" s="7">
        <f t="shared" si="1"/>
        <v>37.898112815335054</v>
      </c>
    </row>
    <row r="119" spans="1:6" x14ac:dyDescent="0.35">
      <c r="A119" t="s">
        <v>124</v>
      </c>
      <c r="B119" s="3">
        <v>114.43</v>
      </c>
      <c r="C119" s="3">
        <v>50.605000000000004</v>
      </c>
      <c r="D119" s="4">
        <v>1.3436499999999998</v>
      </c>
      <c r="F119" s="7">
        <f t="shared" si="1"/>
        <v>37.66233766233767</v>
      </c>
    </row>
    <row r="120" spans="1:6" x14ac:dyDescent="0.35">
      <c r="A120" t="s">
        <v>125</v>
      </c>
      <c r="B120" s="3">
        <v>114.91</v>
      </c>
      <c r="C120" s="3">
        <v>50.800000000000004</v>
      </c>
      <c r="D120" s="4">
        <v>1.3583666666666667</v>
      </c>
      <c r="F120" s="7">
        <f t="shared" si="1"/>
        <v>37.397855267355403</v>
      </c>
    </row>
    <row r="121" spans="1:6" x14ac:dyDescent="0.35">
      <c r="A121" t="s">
        <v>126</v>
      </c>
      <c r="B121" s="3">
        <v>115.39</v>
      </c>
      <c r="C121" s="3">
        <v>53.307999999999993</v>
      </c>
      <c r="D121" s="4">
        <v>1.3571200000000001</v>
      </c>
      <c r="F121" s="7">
        <f t="shared" si="1"/>
        <v>39.280240509313835</v>
      </c>
    </row>
    <row r="122" spans="1:6" x14ac:dyDescent="0.35">
      <c r="A122" t="s">
        <v>127</v>
      </c>
      <c r="B122" s="3">
        <v>116.14</v>
      </c>
      <c r="C122" s="3">
        <v>55.379999999999995</v>
      </c>
      <c r="D122" s="4">
        <v>1.3605199999999997</v>
      </c>
      <c r="F122" s="7">
        <f t="shared" si="1"/>
        <v>40.705024549436985</v>
      </c>
    </row>
    <row r="123" spans="1:6" x14ac:dyDescent="0.35">
      <c r="A123" t="s">
        <v>128</v>
      </c>
      <c r="B123" s="3">
        <v>116.93</v>
      </c>
      <c r="C123" s="3">
        <v>55.23</v>
      </c>
      <c r="D123" s="4">
        <v>1.36426</v>
      </c>
      <c r="F123" s="7">
        <f t="shared" si="1"/>
        <v>40.48348555260727</v>
      </c>
    </row>
    <row r="124" spans="1:6" x14ac:dyDescent="0.35">
      <c r="A124" t="s">
        <v>129</v>
      </c>
      <c r="B124" s="3">
        <v>118.1</v>
      </c>
      <c r="C124" s="3">
        <v>55.177999999999997</v>
      </c>
      <c r="D124" s="4">
        <v>1.3712800000000001</v>
      </c>
      <c r="F124" s="7">
        <f t="shared" si="1"/>
        <v>40.238317484394138</v>
      </c>
    </row>
    <row r="125" spans="1:6" x14ac:dyDescent="0.35">
      <c r="A125" t="s">
        <v>130</v>
      </c>
      <c r="B125" s="3">
        <v>119.14</v>
      </c>
      <c r="C125" s="3">
        <v>58.221999999999994</v>
      </c>
      <c r="D125" s="4">
        <v>1.3663799999999999</v>
      </c>
      <c r="F125" s="7">
        <f t="shared" si="1"/>
        <v>42.610401206106644</v>
      </c>
    </row>
    <row r="126" spans="1:6" x14ac:dyDescent="0.35">
      <c r="A126" t="s">
        <v>131</v>
      </c>
      <c r="B126" s="3">
        <v>119.67</v>
      </c>
      <c r="C126" s="3">
        <v>61.128</v>
      </c>
      <c r="D126" s="4">
        <v>1.3811199999999999</v>
      </c>
      <c r="F126" s="7">
        <f t="shared" si="1"/>
        <v>44.259731232622805</v>
      </c>
    </row>
    <row r="127" spans="1:6" x14ac:dyDescent="0.35">
      <c r="A127" t="s">
        <v>132</v>
      </c>
      <c r="B127" s="3">
        <v>120.53</v>
      </c>
      <c r="C127" s="3">
        <v>63.898000000000003</v>
      </c>
      <c r="D127" s="4">
        <v>1.3932</v>
      </c>
      <c r="F127" s="7">
        <f t="shared" si="1"/>
        <v>45.864197530864203</v>
      </c>
    </row>
    <row r="128" spans="1:6" x14ac:dyDescent="0.35">
      <c r="A128" t="s">
        <v>133</v>
      </c>
      <c r="B128" s="3">
        <v>121.27</v>
      </c>
      <c r="C128" s="3">
        <v>65.85799999999999</v>
      </c>
      <c r="D128" s="4">
        <v>1.4074200000000001</v>
      </c>
      <c r="F128" s="7">
        <f t="shared" si="1"/>
        <v>46.793423427264059</v>
      </c>
    </row>
    <row r="129" spans="1:6" x14ac:dyDescent="0.35">
      <c r="A129" t="s">
        <v>134</v>
      </c>
      <c r="B129" s="3">
        <v>122.17</v>
      </c>
      <c r="C129" s="3">
        <v>65.94</v>
      </c>
      <c r="D129" s="4">
        <v>1.3933599999999999</v>
      </c>
      <c r="F129" s="7">
        <f t="shared" si="1"/>
        <v>47.324453120514441</v>
      </c>
    </row>
    <row r="130" spans="1:6" x14ac:dyDescent="0.35">
      <c r="A130" t="s">
        <v>135</v>
      </c>
      <c r="B130" s="3">
        <v>122.94</v>
      </c>
      <c r="C130" s="3">
        <v>68.153999999999996</v>
      </c>
      <c r="D130" s="4">
        <v>1.3894200000000001</v>
      </c>
      <c r="F130" s="7">
        <f t="shared" si="1"/>
        <v>49.05212246836809</v>
      </c>
    </row>
    <row r="131" spans="1:6" x14ac:dyDescent="0.35">
      <c r="A131" t="s">
        <v>136</v>
      </c>
      <c r="B131" s="3">
        <v>123.9</v>
      </c>
      <c r="C131" s="3">
        <v>66.114000000000004</v>
      </c>
      <c r="D131" s="4">
        <v>1.3890800000000003</v>
      </c>
      <c r="F131" s="7">
        <f t="shared" si="1"/>
        <v>47.595530854954347</v>
      </c>
    </row>
    <row r="132" spans="1:6" x14ac:dyDescent="0.35">
      <c r="A132" t="s">
        <v>137</v>
      </c>
      <c r="B132" s="3">
        <v>124.57</v>
      </c>
      <c r="C132" s="3">
        <v>62.506000000000007</v>
      </c>
      <c r="D132" s="4">
        <v>1.3776800000000002</v>
      </c>
      <c r="F132" s="7">
        <f t="shared" si="1"/>
        <v>45.370477904883572</v>
      </c>
    </row>
    <row r="133" spans="1:6" x14ac:dyDescent="0.35">
      <c r="A133" t="s">
        <v>138</v>
      </c>
      <c r="B133" s="3">
        <v>125.13</v>
      </c>
      <c r="C133" s="3">
        <v>63.677500000000002</v>
      </c>
      <c r="D133" s="4">
        <v>1.3774500000000001</v>
      </c>
      <c r="F133" s="7">
        <f t="shared" si="1"/>
        <v>46.228538240952481</v>
      </c>
    </row>
    <row r="134" spans="1:6" x14ac:dyDescent="0.35">
      <c r="A134" t="s">
        <v>139</v>
      </c>
      <c r="B134" s="3">
        <v>125.24</v>
      </c>
      <c r="C134" s="3">
        <v>61.827500000000001</v>
      </c>
      <c r="D134" s="4">
        <v>1.37765</v>
      </c>
      <c r="F134" s="7">
        <f t="shared" si="1"/>
        <v>44.878960548760567</v>
      </c>
    </row>
    <row r="135" spans="1:6" x14ac:dyDescent="0.35">
      <c r="A135" t="s">
        <v>140</v>
      </c>
      <c r="B135" s="3">
        <v>125.4</v>
      </c>
      <c r="C135" s="3">
        <v>64.686000000000007</v>
      </c>
      <c r="D135" s="4">
        <v>1.37738</v>
      </c>
      <c r="F135" s="7">
        <f t="shared" si="1"/>
        <v>46.963074823215095</v>
      </c>
    </row>
    <row r="136" spans="1:6" x14ac:dyDescent="0.35">
      <c r="A136" t="s">
        <v>141</v>
      </c>
      <c r="B136" s="3">
        <v>125.48</v>
      </c>
      <c r="C136" s="3">
        <v>65.343999999999994</v>
      </c>
      <c r="D136" s="4">
        <v>1.391</v>
      </c>
      <c r="F136" s="7">
        <f t="shared" si="1"/>
        <v>46.976276060388209</v>
      </c>
    </row>
    <row r="137" spans="1:6" x14ac:dyDescent="0.35">
      <c r="A137" t="s">
        <v>142</v>
      </c>
      <c r="B137" s="3">
        <v>125.8</v>
      </c>
      <c r="C137" s="3">
        <v>66.963999999999999</v>
      </c>
      <c r="D137" s="4">
        <v>1.3900999999999999</v>
      </c>
      <c r="F137" s="7">
        <f t="shared" si="1"/>
        <v>48.172073951514285</v>
      </c>
    </row>
    <row r="138" spans="1:6" x14ac:dyDescent="0.35">
      <c r="A138" t="s">
        <v>143</v>
      </c>
      <c r="B138" s="3">
        <v>126.09</v>
      </c>
      <c r="C138" s="3">
        <v>68.992500000000007</v>
      </c>
      <c r="D138" s="4">
        <v>1.3915</v>
      </c>
      <c r="F138" s="7">
        <f t="shared" si="1"/>
        <v>49.581386992454192</v>
      </c>
    </row>
    <row r="139" spans="1:6" x14ac:dyDescent="0.35">
      <c r="A139" t="s">
        <v>144</v>
      </c>
      <c r="B139" s="3">
        <v>126.53</v>
      </c>
      <c r="C139" s="3">
        <v>68.731999999999999</v>
      </c>
      <c r="D139" s="4">
        <v>1.4102400000000002</v>
      </c>
      <c r="F139" s="7">
        <f t="shared" si="1"/>
        <v>48.737803494440655</v>
      </c>
    </row>
    <row r="140" spans="1:6" x14ac:dyDescent="0.35">
      <c r="A140" t="s">
        <v>145</v>
      </c>
      <c r="B140" s="3">
        <v>127.19</v>
      </c>
      <c r="C140" s="3">
        <v>67.481999999999999</v>
      </c>
      <c r="D140" s="4">
        <v>1.4158199999999999</v>
      </c>
      <c r="F140" s="7">
        <f t="shared" ref="F140:F203" si="2">C140/D140</f>
        <v>47.662838496419042</v>
      </c>
    </row>
    <row r="141" spans="1:6" x14ac:dyDescent="0.35">
      <c r="A141" t="s">
        <v>146</v>
      </c>
      <c r="B141" s="3">
        <v>127.89</v>
      </c>
      <c r="C141" s="3">
        <v>69.022000000000006</v>
      </c>
      <c r="D141" s="4">
        <v>1.41544</v>
      </c>
      <c r="F141" s="7">
        <f t="shared" si="2"/>
        <v>48.763635336008591</v>
      </c>
    </row>
    <row r="142" spans="1:6" x14ac:dyDescent="0.35">
      <c r="A142" t="s">
        <v>147</v>
      </c>
      <c r="B142" s="3">
        <v>128.15</v>
      </c>
      <c r="C142" s="3">
        <v>70.66</v>
      </c>
      <c r="D142" s="4">
        <v>1.4172500000000001</v>
      </c>
      <c r="F142" s="7">
        <f t="shared" si="2"/>
        <v>49.857117657435168</v>
      </c>
    </row>
    <row r="143" spans="1:6" x14ac:dyDescent="0.35">
      <c r="A143" t="s">
        <v>148</v>
      </c>
      <c r="B143" s="3">
        <v>128.69</v>
      </c>
      <c r="C143" s="3">
        <v>71.457999999999998</v>
      </c>
      <c r="D143" s="4">
        <v>1.4142000000000001</v>
      </c>
      <c r="F143" s="7">
        <f t="shared" si="2"/>
        <v>50.528920944703714</v>
      </c>
    </row>
    <row r="144" spans="1:6" x14ac:dyDescent="0.35">
      <c r="A144" t="s">
        <v>149</v>
      </c>
      <c r="B144" s="3">
        <v>129.47</v>
      </c>
      <c r="C144" s="3">
        <v>73.109999999999985</v>
      </c>
      <c r="D144" s="4">
        <v>1.4012</v>
      </c>
      <c r="F144" s="7">
        <f t="shared" si="2"/>
        <v>52.176705680844982</v>
      </c>
    </row>
    <row r="145" spans="1:6" x14ac:dyDescent="0.35">
      <c r="A145" t="s">
        <v>150</v>
      </c>
      <c r="B145" s="3">
        <v>130.1</v>
      </c>
      <c r="C145" s="3">
        <v>75.405999999999992</v>
      </c>
      <c r="D145" s="4">
        <v>1.39198</v>
      </c>
      <c r="F145" s="7">
        <f t="shared" si="2"/>
        <v>54.17175534131237</v>
      </c>
    </row>
    <row r="146" spans="1:6" x14ac:dyDescent="0.35">
      <c r="A146" t="s">
        <v>151</v>
      </c>
      <c r="B146" s="3">
        <v>130.72999999999999</v>
      </c>
      <c r="C146" s="3">
        <v>76.259999999999991</v>
      </c>
      <c r="D146" s="4">
        <v>1.38188</v>
      </c>
      <c r="F146" s="7">
        <f t="shared" si="2"/>
        <v>55.185689061278829</v>
      </c>
    </row>
    <row r="147" spans="1:6" x14ac:dyDescent="0.35">
      <c r="A147" t="s">
        <v>152</v>
      </c>
      <c r="B147" s="3">
        <v>131.69999999999999</v>
      </c>
      <c r="C147" s="3">
        <v>76.133999999999986</v>
      </c>
      <c r="D147" s="4">
        <v>1.3804799999999999</v>
      </c>
      <c r="F147" s="7">
        <f t="shared" si="2"/>
        <v>55.150382475660635</v>
      </c>
    </row>
    <row r="148" spans="1:6" x14ac:dyDescent="0.35">
      <c r="A148" t="s">
        <v>153</v>
      </c>
      <c r="B148" s="3">
        <v>132.47</v>
      </c>
      <c r="C148" s="3">
        <v>75.799999999999983</v>
      </c>
      <c r="D148" s="4">
        <v>1.3851600000000002</v>
      </c>
      <c r="F148" s="7">
        <f t="shared" si="2"/>
        <v>54.722920095873384</v>
      </c>
    </row>
    <row r="149" spans="1:6" x14ac:dyDescent="0.35">
      <c r="A149" t="s">
        <v>154</v>
      </c>
      <c r="B149" s="3">
        <v>133.19999999999999</v>
      </c>
      <c r="C149" s="3">
        <v>72.202000000000012</v>
      </c>
      <c r="D149" s="4">
        <v>1.3691199999999999</v>
      </c>
      <c r="F149" s="7">
        <f t="shared" si="2"/>
        <v>52.736064041135926</v>
      </c>
    </row>
    <row r="150" spans="1:6" x14ac:dyDescent="0.35">
      <c r="A150" t="s">
        <v>155</v>
      </c>
      <c r="B150" s="3">
        <v>133.47999999999999</v>
      </c>
      <c r="C150" s="3">
        <v>75.753999999999991</v>
      </c>
      <c r="D150" s="4">
        <v>1.38916</v>
      </c>
      <c r="F150" s="7">
        <f t="shared" si="2"/>
        <v>54.532235307667939</v>
      </c>
    </row>
    <row r="151" spans="1:6" x14ac:dyDescent="0.35">
      <c r="A151" t="s">
        <v>156</v>
      </c>
      <c r="B151" s="3">
        <v>134.21</v>
      </c>
      <c r="C151" s="3">
        <v>72.259999999999991</v>
      </c>
      <c r="D151" s="4">
        <v>1.38998</v>
      </c>
      <c r="F151" s="7">
        <f t="shared" si="2"/>
        <v>51.986359515964253</v>
      </c>
    </row>
    <row r="152" spans="1:6" x14ac:dyDescent="0.35">
      <c r="A152" t="s">
        <v>157</v>
      </c>
      <c r="B152" s="3">
        <v>134.69999999999999</v>
      </c>
      <c r="C152" s="3">
        <v>71.094000000000008</v>
      </c>
      <c r="D152" s="4">
        <v>1.3850199999999999</v>
      </c>
      <c r="F152" s="7">
        <f t="shared" si="2"/>
        <v>51.33066670517394</v>
      </c>
    </row>
    <row r="153" spans="1:6" x14ac:dyDescent="0.35">
      <c r="A153" t="s">
        <v>158</v>
      </c>
      <c r="B153" s="3">
        <v>134.69999999999999</v>
      </c>
      <c r="C153" s="3">
        <v>68.078000000000003</v>
      </c>
      <c r="D153" s="4">
        <v>1.37252</v>
      </c>
      <c r="F153" s="7">
        <f t="shared" si="2"/>
        <v>49.600734415527647</v>
      </c>
    </row>
    <row r="154" spans="1:6" x14ac:dyDescent="0.35">
      <c r="A154" t="s">
        <v>159</v>
      </c>
      <c r="B154" s="3">
        <v>134.68</v>
      </c>
      <c r="C154" s="3">
        <v>71.015999999999991</v>
      </c>
      <c r="D154" s="4">
        <v>1.3727800000000001</v>
      </c>
      <c r="F154" s="7">
        <f t="shared" si="2"/>
        <v>51.731522895147066</v>
      </c>
    </row>
    <row r="155" spans="1:6" x14ac:dyDescent="0.35">
      <c r="A155" t="s">
        <v>160</v>
      </c>
      <c r="B155" s="3">
        <v>134.66</v>
      </c>
      <c r="C155" s="3">
        <v>73.017499999999998</v>
      </c>
      <c r="D155" s="4">
        <v>1.381275</v>
      </c>
      <c r="F155" s="7">
        <f t="shared" si="2"/>
        <v>52.862391630920705</v>
      </c>
    </row>
    <row r="156" spans="1:6" x14ac:dyDescent="0.35">
      <c r="A156" t="s">
        <v>161</v>
      </c>
      <c r="B156" s="3">
        <v>134.76</v>
      </c>
      <c r="C156" s="3">
        <v>72.013999999999996</v>
      </c>
      <c r="D156" s="4">
        <v>1.3809200000000001</v>
      </c>
      <c r="F156" s="7">
        <f t="shared" si="2"/>
        <v>52.149291776496817</v>
      </c>
    </row>
    <row r="157" spans="1:6" x14ac:dyDescent="0.35">
      <c r="A157" t="s">
        <v>162</v>
      </c>
      <c r="B157" s="3">
        <v>134.75</v>
      </c>
      <c r="C157" s="3">
        <v>74.128</v>
      </c>
      <c r="D157" s="4">
        <v>1.3811399999999998</v>
      </c>
      <c r="F157" s="7">
        <f t="shared" si="2"/>
        <v>53.671604616476252</v>
      </c>
    </row>
    <row r="158" spans="1:6" x14ac:dyDescent="0.35">
      <c r="A158" t="s">
        <v>163</v>
      </c>
      <c r="B158" s="3">
        <v>134.86000000000001</v>
      </c>
      <c r="C158" s="3">
        <v>75.320000000000007</v>
      </c>
      <c r="D158" s="4">
        <v>1.3674199999999999</v>
      </c>
      <c r="F158" s="7">
        <f t="shared" si="2"/>
        <v>55.081832940866754</v>
      </c>
    </row>
    <row r="159" spans="1:6" x14ac:dyDescent="0.35">
      <c r="A159" t="s">
        <v>164</v>
      </c>
      <c r="B159" s="3">
        <v>135.19</v>
      </c>
      <c r="C159" s="3">
        <v>78.444000000000003</v>
      </c>
      <c r="D159" s="4">
        <v>1.35388</v>
      </c>
      <c r="F159" s="7">
        <f t="shared" si="2"/>
        <v>57.940142405530771</v>
      </c>
    </row>
    <row r="160" spans="1:6" x14ac:dyDescent="0.35">
      <c r="A160" t="s">
        <v>165</v>
      </c>
      <c r="B160" s="3">
        <v>136.1</v>
      </c>
      <c r="C160" s="3">
        <v>82.012</v>
      </c>
      <c r="D160" s="4">
        <v>1.36114</v>
      </c>
      <c r="F160" s="7">
        <f t="shared" si="2"/>
        <v>60.252435458512714</v>
      </c>
    </row>
    <row r="161" spans="1:6" x14ac:dyDescent="0.35">
      <c r="A161" t="s">
        <v>166</v>
      </c>
      <c r="B161" s="3">
        <v>137.16999999999999</v>
      </c>
      <c r="C161" s="3">
        <v>83.868000000000009</v>
      </c>
      <c r="D161" s="4">
        <v>1.3662399999999999</v>
      </c>
      <c r="F161" s="7">
        <f t="shared" si="2"/>
        <v>61.385993676074492</v>
      </c>
    </row>
    <row r="162" spans="1:6" x14ac:dyDescent="0.35">
      <c r="A162" t="s">
        <v>167</v>
      </c>
      <c r="B162" s="3">
        <v>139.46</v>
      </c>
      <c r="C162" s="3">
        <v>84.983999999999995</v>
      </c>
      <c r="D162" s="4">
        <v>1.37856</v>
      </c>
      <c r="F162" s="7">
        <f t="shared" si="2"/>
        <v>61.646935933147631</v>
      </c>
    </row>
    <row r="163" spans="1:6" x14ac:dyDescent="0.35">
      <c r="A163" t="s">
        <v>168</v>
      </c>
      <c r="B163" s="3">
        <v>141.81</v>
      </c>
      <c r="C163" s="3">
        <v>84.116000000000014</v>
      </c>
      <c r="D163" s="4">
        <v>1.37548</v>
      </c>
      <c r="F163" s="7">
        <f t="shared" si="2"/>
        <v>61.15392444819264</v>
      </c>
    </row>
    <row r="164" spans="1:6" x14ac:dyDescent="0.35">
      <c r="A164" t="s">
        <v>169</v>
      </c>
      <c r="B164" s="3">
        <v>143.69999999999999</v>
      </c>
      <c r="C164" s="3">
        <v>82.522000000000006</v>
      </c>
      <c r="D164" s="4">
        <v>1.3586399999999998</v>
      </c>
      <c r="F164" s="7">
        <f t="shared" si="2"/>
        <v>60.738679856326925</v>
      </c>
    </row>
    <row r="165" spans="1:6" x14ac:dyDescent="0.35">
      <c r="A165" t="s">
        <v>170</v>
      </c>
      <c r="B165" s="3">
        <v>144.9</v>
      </c>
      <c r="C165" s="3">
        <v>83.390000000000015</v>
      </c>
      <c r="D165" s="4">
        <v>1.3475000000000001</v>
      </c>
      <c r="F165" s="7">
        <f t="shared" si="2"/>
        <v>61.88497217068646</v>
      </c>
    </row>
    <row r="166" spans="1:6" x14ac:dyDescent="0.35">
      <c r="A166" t="s">
        <v>171</v>
      </c>
      <c r="B166" s="3">
        <v>145.87</v>
      </c>
      <c r="C166" s="3">
        <v>81.63</v>
      </c>
      <c r="D166" s="4">
        <v>1.3451200000000001</v>
      </c>
      <c r="F166" s="7">
        <f t="shared" si="2"/>
        <v>60.686035446651594</v>
      </c>
    </row>
    <row r="167" spans="1:6" x14ac:dyDescent="0.35">
      <c r="A167" t="s">
        <v>172</v>
      </c>
      <c r="B167" s="3">
        <v>146.88999999999999</v>
      </c>
      <c r="C167" s="3">
        <v>80.238</v>
      </c>
      <c r="D167" s="4">
        <v>1.33514</v>
      </c>
      <c r="F167" s="7">
        <f t="shared" si="2"/>
        <v>60.097068472220144</v>
      </c>
    </row>
    <row r="168" spans="1:6" x14ac:dyDescent="0.35">
      <c r="A168" t="s">
        <v>173</v>
      </c>
      <c r="B168" s="3">
        <v>147.53</v>
      </c>
      <c r="C168" s="3">
        <v>70.999999999999986</v>
      </c>
      <c r="D168" s="4">
        <v>1.3273800000000002</v>
      </c>
      <c r="F168" s="7">
        <f t="shared" si="2"/>
        <v>53.488827615302306</v>
      </c>
    </row>
    <row r="169" spans="1:6" x14ac:dyDescent="0.35">
      <c r="A169" t="s">
        <v>174</v>
      </c>
      <c r="B169" s="3">
        <v>146.88999999999999</v>
      </c>
      <c r="C169" s="3">
        <v>74.788000000000011</v>
      </c>
      <c r="D169" s="4">
        <v>1.3224199999999999</v>
      </c>
      <c r="F169" s="7">
        <f t="shared" si="2"/>
        <v>56.553893619273765</v>
      </c>
    </row>
    <row r="170" spans="1:6" x14ac:dyDescent="0.35">
      <c r="A170" t="s">
        <v>175</v>
      </c>
      <c r="B170" s="3">
        <v>146.22</v>
      </c>
      <c r="C170" s="3">
        <v>73.761999999999986</v>
      </c>
      <c r="D170" s="4">
        <v>1.3253599999999999</v>
      </c>
      <c r="F170" s="7">
        <f t="shared" si="2"/>
        <v>55.654312790487111</v>
      </c>
    </row>
    <row r="171" spans="1:6" x14ac:dyDescent="0.35">
      <c r="A171" t="s">
        <v>176</v>
      </c>
      <c r="B171" s="3">
        <v>145.16</v>
      </c>
      <c r="C171" s="3">
        <v>73.91</v>
      </c>
      <c r="D171" s="4">
        <v>1.3324400000000001</v>
      </c>
      <c r="F171" s="7">
        <f t="shared" si="2"/>
        <v>55.469664675332467</v>
      </c>
    </row>
    <row r="172" spans="1:6" x14ac:dyDescent="0.35">
      <c r="A172" t="s">
        <v>177</v>
      </c>
      <c r="B172" s="3">
        <v>144.91999999999999</v>
      </c>
      <c r="C172" s="3">
        <v>78.160000000000011</v>
      </c>
      <c r="D172" s="4">
        <v>1.3487333333333333</v>
      </c>
      <c r="F172" s="7">
        <f t="shared" si="2"/>
        <v>57.950669764223228</v>
      </c>
    </row>
    <row r="173" spans="1:6" x14ac:dyDescent="0.35">
      <c r="A173" t="s">
        <v>178</v>
      </c>
      <c r="B173" s="3">
        <v>145.04</v>
      </c>
      <c r="C173" s="3">
        <v>80.501999999999995</v>
      </c>
      <c r="D173" s="4">
        <v>1.3554250000000001</v>
      </c>
      <c r="F173" s="7">
        <f t="shared" si="2"/>
        <v>59.392441485143031</v>
      </c>
    </row>
    <row r="174" spans="1:6" x14ac:dyDescent="0.35">
      <c r="A174" t="s">
        <v>179</v>
      </c>
      <c r="B174" s="3">
        <v>144.82</v>
      </c>
      <c r="C174" s="3">
        <v>85.068000000000012</v>
      </c>
      <c r="D174" s="4">
        <v>1.3653999999999999</v>
      </c>
      <c r="F174" s="7">
        <f t="shared" si="2"/>
        <v>62.302621942287985</v>
      </c>
    </row>
    <row r="175" spans="1:6" x14ac:dyDescent="0.35">
      <c r="A175" t="s">
        <v>180</v>
      </c>
      <c r="B175" s="3">
        <v>144.80000000000001</v>
      </c>
      <c r="C175" s="3">
        <v>89.157999999999987</v>
      </c>
      <c r="D175" s="4">
        <v>1.3608</v>
      </c>
      <c r="F175" s="7">
        <f t="shared" si="2"/>
        <v>65.518812463256893</v>
      </c>
    </row>
    <row r="176" spans="1:6" x14ac:dyDescent="0.35">
      <c r="A176" t="s">
        <v>181</v>
      </c>
      <c r="B176" s="3">
        <v>144.87</v>
      </c>
      <c r="C176" s="3">
        <v>90.123999999999995</v>
      </c>
      <c r="D176" s="4">
        <v>1.3453600000000001</v>
      </c>
      <c r="F176" s="7">
        <f t="shared" si="2"/>
        <v>66.988761372420754</v>
      </c>
    </row>
    <row r="177" spans="1:6" x14ac:dyDescent="0.35">
      <c r="A177" t="s">
        <v>182</v>
      </c>
      <c r="B177" s="3">
        <v>145.74</v>
      </c>
      <c r="C177" s="3">
        <v>92.774000000000001</v>
      </c>
      <c r="D177" s="4">
        <v>1.3527199999999999</v>
      </c>
      <c r="F177" s="7">
        <f t="shared" si="2"/>
        <v>68.583298834939981</v>
      </c>
    </row>
    <row r="178" spans="1:6" x14ac:dyDescent="0.35">
      <c r="A178" t="s">
        <v>183</v>
      </c>
      <c r="B178" s="3">
        <v>146.33000000000001</v>
      </c>
      <c r="C178" s="3">
        <v>96.433999999999997</v>
      </c>
      <c r="D178" s="4">
        <v>1.3569600000000002</v>
      </c>
      <c r="F178" s="7">
        <f t="shared" si="2"/>
        <v>71.06620681523404</v>
      </c>
    </row>
    <row r="179" spans="1:6" x14ac:dyDescent="0.35">
      <c r="A179" t="s">
        <v>184</v>
      </c>
      <c r="B179" s="3">
        <v>146.94999999999999</v>
      </c>
      <c r="C179" s="3">
        <v>97.797999999999988</v>
      </c>
      <c r="D179" s="4">
        <v>1.3563400000000001</v>
      </c>
      <c r="F179" s="7">
        <f t="shared" si="2"/>
        <v>72.104339619859317</v>
      </c>
    </row>
    <row r="180" spans="1:6" x14ac:dyDescent="0.35">
      <c r="A180" t="s">
        <v>185</v>
      </c>
      <c r="B180" s="3">
        <v>147.77000000000001</v>
      </c>
      <c r="C180" s="3">
        <v>99.364000000000004</v>
      </c>
      <c r="D180" s="4">
        <v>1.3489799999999998</v>
      </c>
      <c r="F180" s="7">
        <f t="shared" si="2"/>
        <v>73.65861613960179</v>
      </c>
    </row>
    <row r="181" spans="1:6" x14ac:dyDescent="0.35">
      <c r="A181" t="s">
        <v>186</v>
      </c>
      <c r="B181" s="3">
        <v>149.22</v>
      </c>
      <c r="C181" s="3">
        <v>114.434</v>
      </c>
      <c r="D181" s="4">
        <v>1.3328400000000002</v>
      </c>
      <c r="F181" s="7">
        <f t="shared" si="2"/>
        <v>85.857267188859865</v>
      </c>
    </row>
    <row r="182" spans="1:6" x14ac:dyDescent="0.35">
      <c r="A182" t="s">
        <v>187</v>
      </c>
      <c r="B182" s="3">
        <v>152.94999999999999</v>
      </c>
      <c r="C182" s="3">
        <v>122.28600000000002</v>
      </c>
      <c r="D182" s="4">
        <v>1.3123799999999999</v>
      </c>
      <c r="F182" s="7">
        <f t="shared" si="2"/>
        <v>93.178804919306927</v>
      </c>
    </row>
    <row r="183" spans="1:6" x14ac:dyDescent="0.35">
      <c r="A183" t="s">
        <v>188</v>
      </c>
      <c r="B183" s="3">
        <v>159.96</v>
      </c>
      <c r="C183" s="3">
        <v>109.59200000000001</v>
      </c>
      <c r="D183" s="4">
        <v>1.3107799999999998</v>
      </c>
      <c r="F183" s="7">
        <f t="shared" si="2"/>
        <v>83.608233265689151</v>
      </c>
    </row>
    <row r="184" spans="1:6" x14ac:dyDescent="0.35">
      <c r="A184" t="s">
        <v>189</v>
      </c>
      <c r="B184" s="3">
        <v>165.37</v>
      </c>
      <c r="C184" s="3">
        <v>123.598</v>
      </c>
      <c r="D184" s="4">
        <v>1.32098</v>
      </c>
      <c r="F184" s="7">
        <f t="shared" si="2"/>
        <v>93.565383276052629</v>
      </c>
    </row>
    <row r="185" spans="1:6" x14ac:dyDescent="0.35">
      <c r="A185" t="s">
        <v>190</v>
      </c>
      <c r="B185" s="3">
        <v>162.65</v>
      </c>
      <c r="C185" s="3">
        <v>111.25999999999999</v>
      </c>
      <c r="D185" s="4">
        <v>1.31338</v>
      </c>
      <c r="F185" s="7">
        <f t="shared" si="2"/>
        <v>84.712725943748183</v>
      </c>
    </row>
    <row r="186" spans="1:6" x14ac:dyDescent="0.35">
      <c r="A186" t="s">
        <v>191</v>
      </c>
      <c r="B186" s="3">
        <v>161.91</v>
      </c>
      <c r="C186" s="3">
        <v>103.33</v>
      </c>
      <c r="D186" s="4">
        <v>1.3079400000000001</v>
      </c>
      <c r="F186" s="7">
        <f t="shared" si="2"/>
        <v>79.002094897319438</v>
      </c>
    </row>
    <row r="187" spans="1:6" x14ac:dyDescent="0.35">
      <c r="A187" t="s">
        <v>192</v>
      </c>
      <c r="B187" s="3">
        <v>161.78</v>
      </c>
      <c r="C187" s="3">
        <v>105.41499999999999</v>
      </c>
      <c r="D187" s="4">
        <v>1.304125</v>
      </c>
      <c r="F187" s="7">
        <f t="shared" si="2"/>
        <v>80.83197546247483</v>
      </c>
    </row>
    <row r="188" spans="1:6" x14ac:dyDescent="0.35">
      <c r="A188" t="s">
        <v>193</v>
      </c>
      <c r="B188" s="3">
        <v>161.66999999999999</v>
      </c>
      <c r="C188" s="3">
        <v>105.7225</v>
      </c>
      <c r="D188" s="4">
        <v>1.2977999999999998</v>
      </c>
      <c r="F188" s="7">
        <f t="shared" si="2"/>
        <v>81.462860224996149</v>
      </c>
    </row>
    <row r="189" spans="1:6" x14ac:dyDescent="0.35">
      <c r="A189" t="s">
        <v>194</v>
      </c>
      <c r="B189" s="3">
        <v>161.84</v>
      </c>
      <c r="C189" s="3">
        <v>103.92</v>
      </c>
      <c r="D189" s="4">
        <v>1.2567200000000001</v>
      </c>
      <c r="F189" s="7">
        <f t="shared" si="2"/>
        <v>82.691450760710424</v>
      </c>
    </row>
    <row r="190" spans="1:6" x14ac:dyDescent="0.35">
      <c r="A190" t="s">
        <v>195</v>
      </c>
      <c r="B190" s="3">
        <v>162.47999999999999</v>
      </c>
      <c r="C190" s="3">
        <v>110.36</v>
      </c>
      <c r="D190" s="4">
        <v>1.243425</v>
      </c>
      <c r="F190" s="7">
        <f t="shared" si="2"/>
        <v>88.754850513702067</v>
      </c>
    </row>
    <row r="191" spans="1:6" x14ac:dyDescent="0.35">
      <c r="A191" t="s">
        <v>196</v>
      </c>
      <c r="B191" s="3">
        <v>163.68</v>
      </c>
      <c r="C191" s="3">
        <v>107.43200000000002</v>
      </c>
      <c r="D191" s="4">
        <v>1.2281400000000002</v>
      </c>
      <c r="F191" s="7">
        <f t="shared" si="2"/>
        <v>87.475369257576489</v>
      </c>
    </row>
    <row r="192" spans="1:6" x14ac:dyDescent="0.35">
      <c r="A192" t="s">
        <v>197</v>
      </c>
      <c r="B192" s="3">
        <v>165.09</v>
      </c>
      <c r="C192" s="3">
        <v>112.928</v>
      </c>
      <c r="D192" s="4">
        <v>1.24176</v>
      </c>
      <c r="F192" s="7">
        <f t="shared" si="2"/>
        <v>90.941888931838676</v>
      </c>
    </row>
    <row r="193" spans="1:6" x14ac:dyDescent="0.35">
      <c r="A193" t="s">
        <v>198</v>
      </c>
      <c r="B193" s="3">
        <v>167.59</v>
      </c>
      <c r="C193" s="3">
        <v>117.66199999999999</v>
      </c>
      <c r="D193" s="4">
        <v>1.25658</v>
      </c>
      <c r="F193" s="7">
        <f t="shared" si="2"/>
        <v>93.636696429992512</v>
      </c>
    </row>
    <row r="194" spans="1:6" x14ac:dyDescent="0.35">
      <c r="A194" t="s">
        <v>199</v>
      </c>
      <c r="B194" s="3">
        <v>170.36</v>
      </c>
      <c r="C194" s="3">
        <v>124.105</v>
      </c>
      <c r="D194" s="4">
        <v>1.2581666666666667</v>
      </c>
      <c r="F194" s="7">
        <f t="shared" si="2"/>
        <v>98.639554907934823</v>
      </c>
    </row>
    <row r="195" spans="1:6" x14ac:dyDescent="0.35">
      <c r="A195" t="s">
        <v>200</v>
      </c>
      <c r="B195" s="3">
        <v>174.99</v>
      </c>
      <c r="C195" s="3">
        <v>127.398</v>
      </c>
      <c r="D195" s="4">
        <v>1.25136</v>
      </c>
      <c r="F195" s="7">
        <f t="shared" si="2"/>
        <v>101.80763329497506</v>
      </c>
    </row>
    <row r="196" spans="1:6" x14ac:dyDescent="0.35">
      <c r="A196" t="s">
        <v>201</v>
      </c>
      <c r="B196" s="3">
        <v>182.53</v>
      </c>
      <c r="C196" s="3">
        <v>125.08399999999999</v>
      </c>
      <c r="D196" s="4">
        <v>1.2130800000000002</v>
      </c>
      <c r="F196" s="7">
        <f t="shared" si="2"/>
        <v>103.11273782438089</v>
      </c>
    </row>
    <row r="197" spans="1:6" x14ac:dyDescent="0.35">
      <c r="A197" t="s">
        <v>202</v>
      </c>
      <c r="B197" s="3">
        <v>186.85</v>
      </c>
      <c r="C197" s="3">
        <v>116.83199999999999</v>
      </c>
      <c r="D197" s="4">
        <v>1.2264199999999998</v>
      </c>
      <c r="F197" s="7">
        <f t="shared" si="2"/>
        <v>95.262634334078058</v>
      </c>
    </row>
    <row r="198" spans="1:6" x14ac:dyDescent="0.35">
      <c r="A198" t="s">
        <v>203</v>
      </c>
      <c r="B198" s="3">
        <v>190.93</v>
      </c>
      <c r="C198" s="3">
        <v>120.33800000000001</v>
      </c>
      <c r="D198" s="4">
        <v>1.21546</v>
      </c>
      <c r="F198" s="7">
        <f t="shared" si="2"/>
        <v>99.006137593997337</v>
      </c>
    </row>
    <row r="199" spans="1:6" x14ac:dyDescent="0.35">
      <c r="A199" t="s">
        <v>204</v>
      </c>
      <c r="B199" s="3">
        <v>191.55</v>
      </c>
      <c r="C199" s="3">
        <v>113.63600000000001</v>
      </c>
      <c r="D199" s="4">
        <v>1.1994199999999999</v>
      </c>
      <c r="F199" s="7">
        <f t="shared" si="2"/>
        <v>94.742458855113313</v>
      </c>
    </row>
    <row r="200" spans="1:6" x14ac:dyDescent="0.35">
      <c r="A200" t="s">
        <v>205</v>
      </c>
      <c r="B200" s="3">
        <v>190.63</v>
      </c>
      <c r="C200" s="3">
        <v>109.8</v>
      </c>
      <c r="D200" s="4">
        <v>1.1873400000000003</v>
      </c>
      <c r="F200" s="7">
        <f t="shared" si="2"/>
        <v>92.475617767446536</v>
      </c>
    </row>
    <row r="201" spans="1:6" x14ac:dyDescent="0.35">
      <c r="A201" t="s">
        <v>206</v>
      </c>
      <c r="B201" s="3">
        <v>188.92</v>
      </c>
      <c r="C201" s="3">
        <v>113.53399999999999</v>
      </c>
      <c r="D201" s="4">
        <v>1.20076</v>
      </c>
      <c r="F201" s="7">
        <f t="shared" si="2"/>
        <v>94.551783870215516</v>
      </c>
    </row>
    <row r="202" spans="1:6" x14ac:dyDescent="0.35">
      <c r="A202" t="s">
        <v>207</v>
      </c>
      <c r="B202" s="3">
        <v>186.6</v>
      </c>
      <c r="C202" s="3">
        <v>109.276</v>
      </c>
      <c r="D202" s="4">
        <v>1.2079200000000001</v>
      </c>
      <c r="F202" s="7">
        <f t="shared" si="2"/>
        <v>90.466256043446577</v>
      </c>
    </row>
    <row r="203" spans="1:6" x14ac:dyDescent="0.35">
      <c r="A203" t="s">
        <v>208</v>
      </c>
      <c r="B203" s="3">
        <v>182.77</v>
      </c>
      <c r="C203" s="3">
        <v>102.54400000000001</v>
      </c>
      <c r="D203" s="4">
        <v>1.2156800000000001</v>
      </c>
      <c r="F203" s="7">
        <f t="shared" si="2"/>
        <v>84.351145038167942</v>
      </c>
    </row>
    <row r="204" spans="1:6" x14ac:dyDescent="0.35">
      <c r="A204" t="s">
        <v>209</v>
      </c>
      <c r="B204" s="3">
        <v>177.64</v>
      </c>
      <c r="C204" s="3">
        <v>104.64400000000001</v>
      </c>
      <c r="D204" s="4">
        <v>1.2162000000000002</v>
      </c>
      <c r="F204" s="7">
        <f t="shared" ref="F204:F267" si="3">C204/D204</f>
        <v>86.041769445814822</v>
      </c>
    </row>
    <row r="205" spans="1:6" x14ac:dyDescent="0.35">
      <c r="A205" t="s">
        <v>210</v>
      </c>
      <c r="B205" s="3">
        <v>174.19</v>
      </c>
      <c r="C205" s="3">
        <v>96.726000000000013</v>
      </c>
      <c r="D205" s="4">
        <v>1.2005400000000002</v>
      </c>
      <c r="F205" s="7">
        <f t="shared" si="3"/>
        <v>80.568744065170677</v>
      </c>
    </row>
    <row r="206" spans="1:6" x14ac:dyDescent="0.35">
      <c r="A206" t="s">
        <v>211</v>
      </c>
      <c r="B206" s="3">
        <v>171.14</v>
      </c>
      <c r="C206" s="3">
        <v>98.872</v>
      </c>
      <c r="D206" s="4">
        <v>1.1815599999999999</v>
      </c>
      <c r="F206" s="7">
        <f t="shared" si="3"/>
        <v>83.67920376451471</v>
      </c>
    </row>
    <row r="207" spans="1:6" x14ac:dyDescent="0.35">
      <c r="A207" t="s">
        <v>212</v>
      </c>
      <c r="B207" s="3">
        <v>170.12</v>
      </c>
      <c r="C207" s="3">
        <v>95.305000000000007</v>
      </c>
      <c r="D207" s="4">
        <v>1.159475</v>
      </c>
      <c r="F207" s="7">
        <f t="shared" si="3"/>
        <v>82.19668384398112</v>
      </c>
    </row>
    <row r="208" spans="1:6" x14ac:dyDescent="0.35">
      <c r="A208" t="s">
        <v>213</v>
      </c>
      <c r="B208" s="3">
        <v>168.93</v>
      </c>
      <c r="C208" s="3">
        <v>90.43</v>
      </c>
      <c r="D208" s="4">
        <v>1.15154</v>
      </c>
      <c r="F208" s="7">
        <f t="shared" si="3"/>
        <v>78.529621202910889</v>
      </c>
    </row>
    <row r="209" spans="1:6" x14ac:dyDescent="0.35">
      <c r="A209" t="s">
        <v>214</v>
      </c>
      <c r="B209" s="3">
        <v>167.61</v>
      </c>
      <c r="C209" s="3">
        <v>91.406000000000006</v>
      </c>
      <c r="D209" s="4">
        <v>1.1549199999999999</v>
      </c>
      <c r="F209" s="7">
        <f t="shared" si="3"/>
        <v>79.144875835555723</v>
      </c>
    </row>
    <row r="210" spans="1:6" x14ac:dyDescent="0.35">
      <c r="A210" t="s">
        <v>215</v>
      </c>
      <c r="B210" s="3">
        <v>165.47</v>
      </c>
      <c r="C210" s="3">
        <v>88.542500000000004</v>
      </c>
      <c r="D210" s="4">
        <v>1.1227499999999999</v>
      </c>
      <c r="F210" s="7">
        <f t="shared" si="3"/>
        <v>78.862168782008467</v>
      </c>
    </row>
    <row r="211" spans="1:6" x14ac:dyDescent="0.35">
      <c r="A211" t="s">
        <v>216</v>
      </c>
      <c r="B211" s="3">
        <v>164</v>
      </c>
      <c r="C211" s="3">
        <v>87.275999999999996</v>
      </c>
      <c r="D211" s="4">
        <v>1.0901999999999998</v>
      </c>
      <c r="F211" s="7">
        <f t="shared" si="3"/>
        <v>80.055035773252627</v>
      </c>
    </row>
    <row r="212" spans="1:6" x14ac:dyDescent="0.35">
      <c r="A212" t="s">
        <v>217</v>
      </c>
      <c r="B212" s="3">
        <v>162.66999999999999</v>
      </c>
      <c r="C212" s="3">
        <v>94.66</v>
      </c>
      <c r="D212" s="4">
        <v>1.1249</v>
      </c>
      <c r="F212" s="7">
        <f t="shared" si="3"/>
        <v>84.149702195750734</v>
      </c>
    </row>
    <row r="213" spans="1:6" x14ac:dyDescent="0.35">
      <c r="A213" t="s">
        <v>218</v>
      </c>
      <c r="B213" s="3">
        <v>162.09</v>
      </c>
      <c r="C213" s="3">
        <v>94.623999999999995</v>
      </c>
      <c r="D213" s="4">
        <v>1.1138199999999998</v>
      </c>
      <c r="F213" s="7">
        <f t="shared" si="3"/>
        <v>84.954480975382026</v>
      </c>
    </row>
    <row r="214" spans="1:6" x14ac:dyDescent="0.35">
      <c r="A214" t="s">
        <v>219</v>
      </c>
      <c r="B214" s="3">
        <v>162.81</v>
      </c>
      <c r="C214" s="3">
        <v>91.036000000000001</v>
      </c>
      <c r="D214" s="4">
        <v>1.1292200000000001</v>
      </c>
      <c r="F214" s="7">
        <f t="shared" si="3"/>
        <v>80.618480012752158</v>
      </c>
    </row>
    <row r="215" spans="1:6" x14ac:dyDescent="0.35">
      <c r="A215" t="s">
        <v>220</v>
      </c>
      <c r="B215" s="3">
        <v>164.62</v>
      </c>
      <c r="C215" s="3">
        <v>93.013999999999996</v>
      </c>
      <c r="D215" s="4">
        <v>1.1509</v>
      </c>
      <c r="F215" s="7">
        <f t="shared" si="3"/>
        <v>80.818489877487181</v>
      </c>
    </row>
    <row r="216" spans="1:6" x14ac:dyDescent="0.35">
      <c r="A216" t="s">
        <v>221</v>
      </c>
      <c r="B216" s="3">
        <v>165.87</v>
      </c>
      <c r="C216" s="3">
        <v>95.862000000000009</v>
      </c>
      <c r="D216" s="4">
        <v>1.1378599999999999</v>
      </c>
      <c r="F216" s="7">
        <f t="shared" si="3"/>
        <v>84.247622730388642</v>
      </c>
    </row>
    <row r="217" spans="1:6" x14ac:dyDescent="0.35">
      <c r="A217" t="s">
        <v>222</v>
      </c>
      <c r="B217" s="3">
        <v>165.62</v>
      </c>
      <c r="C217" s="3">
        <v>96.078000000000003</v>
      </c>
      <c r="D217" s="4">
        <v>1.1571200000000001</v>
      </c>
      <c r="F217" s="7">
        <f t="shared" si="3"/>
        <v>83.032010508849552</v>
      </c>
    </row>
    <row r="218" spans="1:6" x14ac:dyDescent="0.35">
      <c r="A218" t="s">
        <v>223</v>
      </c>
      <c r="B218" s="3">
        <v>164.4</v>
      </c>
      <c r="C218" s="3">
        <v>92.085999999999999</v>
      </c>
      <c r="D218" s="4">
        <v>1.1843600000000003</v>
      </c>
      <c r="F218" s="7">
        <f t="shared" si="3"/>
        <v>77.751697119119171</v>
      </c>
    </row>
    <row r="219" spans="1:6" x14ac:dyDescent="0.35">
      <c r="A219" t="s">
        <v>224</v>
      </c>
      <c r="B219" s="3">
        <v>163.28</v>
      </c>
      <c r="C219" s="3">
        <v>86.396000000000001</v>
      </c>
      <c r="D219" s="4">
        <v>1.19936</v>
      </c>
      <c r="F219" s="7">
        <f t="shared" si="3"/>
        <v>72.035085378868729</v>
      </c>
    </row>
    <row r="220" spans="1:6" x14ac:dyDescent="0.35">
      <c r="A220" t="s">
        <v>225</v>
      </c>
      <c r="B220" s="3">
        <v>161.13</v>
      </c>
      <c r="C220" s="3">
        <v>85.03</v>
      </c>
      <c r="D220" s="4">
        <v>1.2087399999999999</v>
      </c>
      <c r="F220" s="7">
        <f t="shared" si="3"/>
        <v>70.345980111521087</v>
      </c>
    </row>
    <row r="221" spans="1:6" x14ac:dyDescent="0.35">
      <c r="A221" t="s">
        <v>226</v>
      </c>
      <c r="B221" s="3">
        <v>159.19999999999999</v>
      </c>
      <c r="C221" s="3">
        <v>78.555999999999997</v>
      </c>
      <c r="D221" s="4">
        <v>1.2230599999999998</v>
      </c>
      <c r="F221" s="7">
        <f t="shared" si="3"/>
        <v>64.229064804670259</v>
      </c>
    </row>
    <row r="222" spans="1:6" x14ac:dyDescent="0.35">
      <c r="A222" t="s">
        <v>227</v>
      </c>
      <c r="B222" s="3">
        <v>155.97</v>
      </c>
      <c r="C222" s="3">
        <v>80.801999999999992</v>
      </c>
      <c r="D222" s="4">
        <v>1.2285000000000001</v>
      </c>
      <c r="F222" s="7">
        <f t="shared" si="3"/>
        <v>65.772893772893752</v>
      </c>
    </row>
    <row r="223" spans="1:6" x14ac:dyDescent="0.35">
      <c r="A223" t="s">
        <v>228</v>
      </c>
      <c r="B223" s="3">
        <v>154.07</v>
      </c>
      <c r="C223" s="3">
        <v>80.677999999999997</v>
      </c>
      <c r="D223" s="4">
        <v>1.20956</v>
      </c>
      <c r="F223" s="7">
        <f t="shared" si="3"/>
        <v>66.700287707926847</v>
      </c>
    </row>
    <row r="224" spans="1:6" x14ac:dyDescent="0.35">
      <c r="A224" t="s">
        <v>229</v>
      </c>
      <c r="B224" s="3">
        <v>151.94</v>
      </c>
      <c r="C224" s="3">
        <v>81.826666666666668</v>
      </c>
      <c r="D224" s="4">
        <v>1.2043666666666668</v>
      </c>
      <c r="F224" s="7">
        <f t="shared" si="3"/>
        <v>67.941656749052058</v>
      </c>
    </row>
    <row r="225" spans="1:6" x14ac:dyDescent="0.35">
      <c r="A225" t="s">
        <v>230</v>
      </c>
      <c r="B225" s="3">
        <v>150.9</v>
      </c>
      <c r="C225" s="3">
        <v>77.202500000000015</v>
      </c>
      <c r="D225" s="4">
        <v>1.1993750000000001</v>
      </c>
      <c r="F225" s="7">
        <f t="shared" si="3"/>
        <v>64.368942157373638</v>
      </c>
    </row>
    <row r="226" spans="1:6" x14ac:dyDescent="0.35">
      <c r="A226" t="s">
        <v>231</v>
      </c>
      <c r="B226" s="3">
        <v>149.97</v>
      </c>
      <c r="C226" s="3">
        <v>80.606000000000009</v>
      </c>
      <c r="D226" s="4">
        <v>1.21726</v>
      </c>
      <c r="F226" s="7">
        <f t="shared" si="3"/>
        <v>66.2192136437573</v>
      </c>
    </row>
    <row r="227" spans="1:6" x14ac:dyDescent="0.35">
      <c r="A227" t="s">
        <v>232</v>
      </c>
      <c r="B227" s="3">
        <v>148.79</v>
      </c>
      <c r="C227" s="3">
        <v>84.57</v>
      </c>
      <c r="D227" s="4">
        <v>1.2321599999999999</v>
      </c>
      <c r="F227" s="7">
        <f t="shared" si="3"/>
        <v>68.635566809505264</v>
      </c>
    </row>
    <row r="228" spans="1:6" x14ac:dyDescent="0.35">
      <c r="A228" t="s">
        <v>233</v>
      </c>
      <c r="B228" s="3">
        <v>148.21</v>
      </c>
      <c r="C228" s="3">
        <v>85.904000000000011</v>
      </c>
      <c r="D228" s="4">
        <v>1.2351000000000001</v>
      </c>
      <c r="F228" s="7">
        <f t="shared" si="3"/>
        <v>69.552262974657921</v>
      </c>
    </row>
    <row r="229" spans="1:6" x14ac:dyDescent="0.35">
      <c r="A229" t="s">
        <v>234</v>
      </c>
      <c r="B229" s="3">
        <v>148.18</v>
      </c>
      <c r="C229" s="3">
        <v>81.87</v>
      </c>
      <c r="D229" s="4">
        <v>1.2282999999999999</v>
      </c>
      <c r="F229" s="7">
        <f t="shared" si="3"/>
        <v>66.653097777415951</v>
      </c>
    </row>
    <row r="230" spans="1:6" x14ac:dyDescent="0.35">
      <c r="A230" t="s">
        <v>235</v>
      </c>
      <c r="B230" s="3">
        <v>148.34</v>
      </c>
      <c r="C230" s="3">
        <v>83.297999999999988</v>
      </c>
      <c r="D230" s="4">
        <v>1.20696</v>
      </c>
      <c r="F230" s="7">
        <f t="shared" si="3"/>
        <v>69.014714655000986</v>
      </c>
    </row>
    <row r="231" spans="1:6" x14ac:dyDescent="0.35">
      <c r="A231" t="s">
        <v>236</v>
      </c>
      <c r="B231" s="3">
        <v>147.97999999999999</v>
      </c>
      <c r="C231" s="3">
        <v>84.171999999999997</v>
      </c>
      <c r="D231" s="4">
        <v>1.2060999999999999</v>
      </c>
      <c r="F231" s="7">
        <f t="shared" si="3"/>
        <v>69.78857474504602</v>
      </c>
    </row>
    <row r="232" spans="1:6" x14ac:dyDescent="0.35">
      <c r="A232" t="s">
        <v>237</v>
      </c>
      <c r="B232" s="3">
        <v>147.86000000000001</v>
      </c>
      <c r="C232" s="3">
        <v>81.774000000000001</v>
      </c>
      <c r="D232" s="4">
        <v>1.2039599999999999</v>
      </c>
      <c r="F232" s="7">
        <f t="shared" si="3"/>
        <v>67.920861158178013</v>
      </c>
    </row>
    <row r="233" spans="1:6" x14ac:dyDescent="0.35">
      <c r="A233" t="s">
        <v>238</v>
      </c>
      <c r="B233" s="3">
        <v>147.55000000000001</v>
      </c>
      <c r="C233" s="3">
        <v>83.603999999999999</v>
      </c>
      <c r="D233" s="4">
        <v>1.2015200000000001</v>
      </c>
      <c r="F233" s="7">
        <f t="shared" si="3"/>
        <v>69.5818629735668</v>
      </c>
    </row>
    <row r="234" spans="1:6" x14ac:dyDescent="0.35">
      <c r="A234" t="s">
        <v>239</v>
      </c>
      <c r="B234" s="3">
        <v>147.12</v>
      </c>
      <c r="C234" s="3">
        <v>82.858000000000004</v>
      </c>
      <c r="D234" s="4">
        <v>1.1940999999999999</v>
      </c>
      <c r="F234" s="7">
        <f t="shared" si="3"/>
        <v>69.38949836697094</v>
      </c>
    </row>
    <row r="235" spans="1:6" x14ac:dyDescent="0.35">
      <c r="A235" t="s">
        <v>240</v>
      </c>
      <c r="B235" s="3">
        <v>146.97</v>
      </c>
      <c r="C235" s="3">
        <v>74.977999999999994</v>
      </c>
      <c r="D235" s="4">
        <v>1.2116400000000003</v>
      </c>
      <c r="F235" s="7">
        <f t="shared" si="3"/>
        <v>61.88141692251822</v>
      </c>
    </row>
    <row r="236" spans="1:6" x14ac:dyDescent="0.35">
      <c r="A236" t="s">
        <v>241</v>
      </c>
      <c r="B236" s="3">
        <v>146.62</v>
      </c>
      <c r="C236" s="3">
        <v>74.244</v>
      </c>
      <c r="D236" s="4">
        <v>1.2244600000000001</v>
      </c>
      <c r="F236" s="7">
        <f t="shared" si="3"/>
        <v>60.634075429168774</v>
      </c>
    </row>
    <row r="237" spans="1:6" x14ac:dyDescent="0.35">
      <c r="A237" t="s">
        <v>242</v>
      </c>
      <c r="B237" s="3">
        <v>146.21</v>
      </c>
      <c r="C237" s="3">
        <v>78.003999999999991</v>
      </c>
      <c r="D237" s="4">
        <v>1.23312</v>
      </c>
      <c r="F237" s="7">
        <f t="shared" si="3"/>
        <v>63.257428311924215</v>
      </c>
    </row>
    <row r="238" spans="1:6" x14ac:dyDescent="0.35">
      <c r="A238" t="s">
        <v>243</v>
      </c>
      <c r="B238" s="3">
        <v>145.72</v>
      </c>
      <c r="C238" s="3">
        <v>85.99</v>
      </c>
      <c r="D238" s="4">
        <v>1.2449250000000001</v>
      </c>
      <c r="F238" s="7">
        <f t="shared" si="3"/>
        <v>69.072434082374428</v>
      </c>
    </row>
    <row r="239" spans="1:6" x14ac:dyDescent="0.35">
      <c r="A239" t="s">
        <v>244</v>
      </c>
      <c r="B239" s="3">
        <v>145.82</v>
      </c>
      <c r="C239" s="3">
        <v>87.362499999999997</v>
      </c>
      <c r="D239" s="4">
        <v>1.246275</v>
      </c>
      <c r="F239" s="7">
        <f t="shared" si="3"/>
        <v>70.098894706224542</v>
      </c>
    </row>
    <row r="240" spans="1:6" x14ac:dyDescent="0.35">
      <c r="A240" t="s">
        <v>245</v>
      </c>
      <c r="B240" s="3">
        <v>145.93</v>
      </c>
      <c r="C240" s="3">
        <v>84.620000000000019</v>
      </c>
      <c r="D240" s="4">
        <v>1.2419800000000001</v>
      </c>
      <c r="F240" s="7">
        <f t="shared" si="3"/>
        <v>68.133142240615797</v>
      </c>
    </row>
    <row r="241" spans="1:6" x14ac:dyDescent="0.35">
      <c r="A241" t="s">
        <v>246</v>
      </c>
      <c r="B241" s="3">
        <v>145.84</v>
      </c>
      <c r="C241" s="3">
        <v>81.396000000000001</v>
      </c>
      <c r="D241" s="4">
        <v>1.2478</v>
      </c>
      <c r="F241" s="7">
        <f t="shared" si="3"/>
        <v>65.231607629427799</v>
      </c>
    </row>
    <row r="242" spans="1:6" x14ac:dyDescent="0.35">
      <c r="A242" t="s">
        <v>247</v>
      </c>
      <c r="B242" s="3">
        <v>145.71</v>
      </c>
      <c r="C242" s="3">
        <v>74.617500000000007</v>
      </c>
      <c r="D242" s="4">
        <v>1.2551000000000001</v>
      </c>
      <c r="F242" s="7">
        <f t="shared" si="3"/>
        <v>59.451438132419725</v>
      </c>
    </row>
    <row r="243" spans="1:6" x14ac:dyDescent="0.35">
      <c r="A243" t="s">
        <v>248</v>
      </c>
      <c r="B243" s="3">
        <v>145.30000000000001</v>
      </c>
      <c r="C243" s="3">
        <v>76.08</v>
      </c>
      <c r="D243" s="4">
        <v>1.2557499999999999</v>
      </c>
      <c r="F243" s="7">
        <f t="shared" si="3"/>
        <v>60.585307585108502</v>
      </c>
    </row>
    <row r="244" spans="1:6" x14ac:dyDescent="0.35">
      <c r="A244" t="s">
        <v>249</v>
      </c>
      <c r="B244" s="3">
        <v>144.65</v>
      </c>
      <c r="C244" s="3">
        <v>75.75200000000001</v>
      </c>
      <c r="D244" s="4">
        <v>1.2463</v>
      </c>
      <c r="F244" s="7">
        <f t="shared" si="3"/>
        <v>60.781513279306758</v>
      </c>
    </row>
    <row r="245" spans="1:6" x14ac:dyDescent="0.35">
      <c r="A245" t="s">
        <v>250</v>
      </c>
      <c r="B245" s="3">
        <v>143.63999999999999</v>
      </c>
      <c r="C245" s="3">
        <v>76.481999999999999</v>
      </c>
      <c r="D245" s="4">
        <v>1.2379799999999999</v>
      </c>
      <c r="F245" s="7">
        <f t="shared" si="3"/>
        <v>61.779673338826157</v>
      </c>
    </row>
    <row r="246" spans="1:6" x14ac:dyDescent="0.35">
      <c r="A246" t="s">
        <v>251</v>
      </c>
      <c r="B246" s="3">
        <v>142.94</v>
      </c>
      <c r="C246" s="3">
        <v>73.885000000000005</v>
      </c>
      <c r="D246" s="4">
        <v>1.24535</v>
      </c>
      <c r="F246" s="7">
        <f t="shared" si="3"/>
        <v>59.328702774320476</v>
      </c>
    </row>
    <row r="247" spans="1:6" x14ac:dyDescent="0.35">
      <c r="A247" t="s">
        <v>252</v>
      </c>
      <c r="B247" s="3">
        <v>142.9</v>
      </c>
      <c r="C247" s="3">
        <v>76.059999999999988</v>
      </c>
      <c r="D247" s="4">
        <v>1.2479</v>
      </c>
      <c r="F247" s="7">
        <f t="shared" si="3"/>
        <v>60.950396666399541</v>
      </c>
    </row>
    <row r="248" spans="1:6" x14ac:dyDescent="0.35">
      <c r="A248" t="s">
        <v>253</v>
      </c>
      <c r="B248" s="3">
        <v>142.71</v>
      </c>
      <c r="C248" s="3">
        <v>74.388000000000005</v>
      </c>
      <c r="D248" s="4">
        <v>1.2673000000000001</v>
      </c>
      <c r="F248" s="7">
        <f t="shared" si="3"/>
        <v>58.698019411346955</v>
      </c>
    </row>
    <row r="249" spans="1:6" x14ac:dyDescent="0.35">
      <c r="A249" t="s">
        <v>254</v>
      </c>
      <c r="B249" s="3">
        <v>142.94999999999999</v>
      </c>
      <c r="C249" s="3">
        <v>75.25800000000001</v>
      </c>
      <c r="D249" s="4">
        <v>1.2742199999999999</v>
      </c>
      <c r="F249" s="7">
        <f t="shared" si="3"/>
        <v>59.062014408814818</v>
      </c>
    </row>
    <row r="250" spans="1:6" x14ac:dyDescent="0.35">
      <c r="A250" t="s">
        <v>255</v>
      </c>
      <c r="B250" s="3">
        <v>143.43</v>
      </c>
      <c r="C250" s="3">
        <v>73.55</v>
      </c>
      <c r="D250" s="4">
        <v>1.2680199999999999</v>
      </c>
      <c r="F250" s="7">
        <f t="shared" si="3"/>
        <v>58.00381697449567</v>
      </c>
    </row>
    <row r="251" spans="1:6" x14ac:dyDescent="0.35">
      <c r="A251" t="s">
        <v>256</v>
      </c>
      <c r="B251" s="3">
        <v>143.4</v>
      </c>
      <c r="C251" s="3">
        <v>76.596000000000004</v>
      </c>
      <c r="D251" s="4">
        <v>1.2730400000000002</v>
      </c>
      <c r="F251" s="7">
        <f t="shared" si="3"/>
        <v>60.167787343681262</v>
      </c>
    </row>
    <row r="252" spans="1:6" x14ac:dyDescent="0.35">
      <c r="A252" t="s">
        <v>257</v>
      </c>
      <c r="B252" s="3">
        <v>142.87</v>
      </c>
      <c r="C252" s="3">
        <v>79.785999999999987</v>
      </c>
      <c r="D252" s="4">
        <v>1.29878</v>
      </c>
      <c r="F252" s="7">
        <f t="shared" si="3"/>
        <v>61.431497251266563</v>
      </c>
    </row>
    <row r="253" spans="1:6" x14ac:dyDescent="0.35">
      <c r="A253" t="s">
        <v>258</v>
      </c>
      <c r="B253" s="3">
        <v>142.77000000000001</v>
      </c>
      <c r="C253" s="3">
        <v>79.48</v>
      </c>
      <c r="D253" s="4">
        <v>1.2948799999999998</v>
      </c>
      <c r="F253" s="7">
        <f t="shared" si="3"/>
        <v>61.38020511553195</v>
      </c>
    </row>
    <row r="254" spans="1:6" x14ac:dyDescent="0.35">
      <c r="A254" t="s">
        <v>259</v>
      </c>
      <c r="B254" s="3">
        <v>142.96</v>
      </c>
      <c r="C254" s="3">
        <v>83.548000000000002</v>
      </c>
      <c r="D254" s="4">
        <v>1.2861800000000003</v>
      </c>
      <c r="F254" s="7">
        <f t="shared" si="3"/>
        <v>64.95824845667012</v>
      </c>
    </row>
    <row r="255" spans="1:6" x14ac:dyDescent="0.35">
      <c r="A255" t="s">
        <v>260</v>
      </c>
      <c r="B255" s="3">
        <v>144.13</v>
      </c>
      <c r="C255" s="3">
        <v>85.628</v>
      </c>
      <c r="D255" s="4">
        <v>1.2753599999999998</v>
      </c>
      <c r="F255" s="7">
        <f t="shared" si="3"/>
        <v>67.140258436833534</v>
      </c>
    </row>
    <row r="256" spans="1:6" x14ac:dyDescent="0.35">
      <c r="A256" t="s">
        <v>261</v>
      </c>
      <c r="B256" s="3">
        <v>146.18</v>
      </c>
      <c r="C256" s="3">
        <v>87.83</v>
      </c>
      <c r="D256" s="4">
        <v>1.2734799999999999</v>
      </c>
      <c r="F256" s="7">
        <f t="shared" si="3"/>
        <v>68.96849577535572</v>
      </c>
    </row>
    <row r="257" spans="1:6" x14ac:dyDescent="0.35">
      <c r="A257" t="s">
        <v>262</v>
      </c>
      <c r="B257" s="3">
        <v>147.77000000000001</v>
      </c>
      <c r="C257" s="3">
        <v>85.866000000000014</v>
      </c>
      <c r="D257" s="4">
        <v>1.27264</v>
      </c>
      <c r="F257" s="7">
        <f t="shared" si="3"/>
        <v>67.470769424189101</v>
      </c>
    </row>
    <row r="258" spans="1:6" x14ac:dyDescent="0.35">
      <c r="A258" t="s">
        <v>263</v>
      </c>
      <c r="B258" s="3">
        <v>149.4</v>
      </c>
      <c r="C258" s="3">
        <v>84.713999999999999</v>
      </c>
      <c r="D258" s="4">
        <v>1.26688</v>
      </c>
      <c r="F258" s="7">
        <f t="shared" si="3"/>
        <v>66.868211669613544</v>
      </c>
    </row>
    <row r="259" spans="1:6" x14ac:dyDescent="0.35">
      <c r="A259" t="s">
        <v>264</v>
      </c>
      <c r="B259" s="3">
        <v>150.72999999999999</v>
      </c>
      <c r="C259" s="3">
        <v>87.565000000000012</v>
      </c>
      <c r="D259" s="4">
        <v>1.2652000000000001</v>
      </c>
      <c r="F259" s="7">
        <f t="shared" si="3"/>
        <v>69.210401517546643</v>
      </c>
    </row>
    <row r="260" spans="1:6" x14ac:dyDescent="0.35">
      <c r="A260" t="s">
        <v>265</v>
      </c>
      <c r="B260" s="3">
        <v>151.71</v>
      </c>
      <c r="C260" s="3">
        <v>91.294000000000011</v>
      </c>
      <c r="D260" s="4">
        <v>1.25248</v>
      </c>
      <c r="F260" s="7">
        <f t="shared" si="3"/>
        <v>72.890585079202864</v>
      </c>
    </row>
    <row r="261" spans="1:6" x14ac:dyDescent="0.35">
      <c r="A261" t="s">
        <v>266</v>
      </c>
      <c r="B261" s="3">
        <v>153.1</v>
      </c>
      <c r="C261" s="3">
        <v>93.868000000000009</v>
      </c>
      <c r="D261" s="4">
        <v>1.2459</v>
      </c>
      <c r="F261" s="7">
        <f t="shared" si="3"/>
        <v>75.341520186210772</v>
      </c>
    </row>
    <row r="262" spans="1:6" x14ac:dyDescent="0.35">
      <c r="A262" t="s">
        <v>267</v>
      </c>
      <c r="B262" s="3">
        <v>154.06</v>
      </c>
      <c r="C262" s="3">
        <v>94.861999999999995</v>
      </c>
      <c r="D262" s="4">
        <v>1.2346599999999999</v>
      </c>
      <c r="F262" s="7">
        <f t="shared" si="3"/>
        <v>76.8324882963731</v>
      </c>
    </row>
    <row r="263" spans="1:6" x14ac:dyDescent="0.35">
      <c r="A263" t="s">
        <v>268</v>
      </c>
      <c r="B263" s="3">
        <v>155.41</v>
      </c>
      <c r="C263" s="3">
        <v>95.614000000000004</v>
      </c>
      <c r="D263" s="4">
        <v>1.2180200000000001</v>
      </c>
      <c r="F263" s="7">
        <f t="shared" si="3"/>
        <v>78.49953202738871</v>
      </c>
    </row>
    <row r="264" spans="1:6" x14ac:dyDescent="0.35">
      <c r="A264" t="s">
        <v>269</v>
      </c>
      <c r="B264" s="3">
        <v>156.02000000000001</v>
      </c>
      <c r="C264" s="3">
        <v>90.328000000000003</v>
      </c>
      <c r="D264" s="4">
        <v>1.2132999999999998</v>
      </c>
      <c r="F264" s="7">
        <f t="shared" si="3"/>
        <v>74.448199126349635</v>
      </c>
    </row>
    <row r="265" spans="1:6" x14ac:dyDescent="0.35">
      <c r="A265" t="s">
        <v>270</v>
      </c>
      <c r="B265" s="3">
        <v>155.94</v>
      </c>
      <c r="C265" s="3">
        <v>90.475999999999985</v>
      </c>
      <c r="D265" s="4">
        <v>1.22268</v>
      </c>
      <c r="F265" s="7">
        <f t="shared" si="3"/>
        <v>73.998102528870987</v>
      </c>
    </row>
    <row r="266" spans="1:6" x14ac:dyDescent="0.35">
      <c r="A266" t="s">
        <v>271</v>
      </c>
      <c r="B266" s="3">
        <v>155.09</v>
      </c>
      <c r="C266" s="3">
        <v>92.468000000000004</v>
      </c>
      <c r="D266" s="4">
        <v>1.2161999999999999</v>
      </c>
      <c r="F266" s="7">
        <f t="shared" si="3"/>
        <v>76.030258181220205</v>
      </c>
    </row>
    <row r="267" spans="1:6" x14ac:dyDescent="0.35">
      <c r="A267" t="s">
        <v>272</v>
      </c>
      <c r="B267" s="3">
        <v>154.63</v>
      </c>
      <c r="C267" s="3">
        <v>89.84</v>
      </c>
      <c r="D267" s="4">
        <v>1.21584</v>
      </c>
      <c r="F267" s="7">
        <f t="shared" si="3"/>
        <v>73.891301487037765</v>
      </c>
    </row>
    <row r="268" spans="1:6" x14ac:dyDescent="0.35">
      <c r="A268" t="s">
        <v>273</v>
      </c>
      <c r="B268" s="3">
        <v>153.97</v>
      </c>
      <c r="C268" s="3">
        <v>88.207999999999998</v>
      </c>
      <c r="D268" s="4">
        <v>1.2192400000000001</v>
      </c>
      <c r="F268" s="7">
        <f t="shared" ref="F268:F331" si="4">C268/D268</f>
        <v>72.346707785177642</v>
      </c>
    </row>
    <row r="269" spans="1:6" x14ac:dyDescent="0.35">
      <c r="A269" t="s">
        <v>274</v>
      </c>
      <c r="B269" s="3">
        <v>153.19999999999999</v>
      </c>
      <c r="C269" s="3">
        <v>83.52000000000001</v>
      </c>
      <c r="D269" s="4">
        <v>1.22966</v>
      </c>
      <c r="F269" s="7">
        <f t="shared" si="4"/>
        <v>67.921213994112208</v>
      </c>
    </row>
    <row r="270" spans="1:6" x14ac:dyDescent="0.35">
      <c r="A270" t="s">
        <v>275</v>
      </c>
      <c r="B270" s="3">
        <v>152.38999999999999</v>
      </c>
      <c r="C270" s="3">
        <v>81.927999999999997</v>
      </c>
      <c r="D270" s="4">
        <v>1.24058</v>
      </c>
      <c r="F270" s="7">
        <f t="shared" si="4"/>
        <v>66.040078028019153</v>
      </c>
    </row>
    <row r="271" spans="1:6" x14ac:dyDescent="0.35">
      <c r="A271" t="s">
        <v>276</v>
      </c>
      <c r="B271" s="3">
        <v>150.5</v>
      </c>
      <c r="C271" s="3">
        <v>81.61999999999999</v>
      </c>
      <c r="D271" s="4">
        <v>1.2524999999999999</v>
      </c>
      <c r="F271" s="7">
        <f t="shared" si="4"/>
        <v>65.165668662674648</v>
      </c>
    </row>
    <row r="272" spans="1:6" x14ac:dyDescent="0.35">
      <c r="A272" t="s">
        <v>277</v>
      </c>
      <c r="B272" s="3">
        <v>147.99</v>
      </c>
      <c r="C272" s="3">
        <v>80.914000000000016</v>
      </c>
      <c r="D272" s="4">
        <v>1.26556</v>
      </c>
      <c r="F272" s="7">
        <f t="shared" si="4"/>
        <v>63.935332975125647</v>
      </c>
    </row>
    <row r="273" spans="1:6" x14ac:dyDescent="0.35">
      <c r="A273" t="s">
        <v>278</v>
      </c>
      <c r="B273" s="3">
        <v>145.71</v>
      </c>
      <c r="C273" s="3">
        <v>75.981999999999999</v>
      </c>
      <c r="D273" s="4">
        <v>1.25878</v>
      </c>
      <c r="F273" s="7">
        <f t="shared" si="4"/>
        <v>60.361619981251685</v>
      </c>
    </row>
    <row r="274" spans="1:6" x14ac:dyDescent="0.35">
      <c r="A274" t="s">
        <v>279</v>
      </c>
      <c r="B274" s="3">
        <v>143.80000000000001</v>
      </c>
      <c r="C274" s="3">
        <v>75.578000000000003</v>
      </c>
      <c r="D274" s="4">
        <v>1.2619399999999998</v>
      </c>
      <c r="F274" s="7">
        <f t="shared" si="4"/>
        <v>59.890327590852188</v>
      </c>
    </row>
    <row r="275" spans="1:6" x14ac:dyDescent="0.35">
      <c r="A275" t="s">
        <v>280</v>
      </c>
      <c r="B275" s="3">
        <v>141.51</v>
      </c>
      <c r="C275" s="3">
        <v>80.153999999999996</v>
      </c>
      <c r="D275" s="4">
        <v>1.2684800000000001</v>
      </c>
      <c r="F275" s="7">
        <f t="shared" si="4"/>
        <v>63.189013622603426</v>
      </c>
    </row>
    <row r="276" spans="1:6" x14ac:dyDescent="0.35">
      <c r="A276" t="s">
        <v>281</v>
      </c>
      <c r="B276" s="3">
        <v>140.33000000000001</v>
      </c>
      <c r="C276" s="3">
        <v>79.233333333333334</v>
      </c>
      <c r="D276" s="4">
        <v>1.2768666666666666</v>
      </c>
      <c r="F276" s="7">
        <f t="shared" si="4"/>
        <v>62.052942097843683</v>
      </c>
    </row>
    <row r="277" spans="1:6" x14ac:dyDescent="0.35">
      <c r="A277" t="s">
        <v>282</v>
      </c>
      <c r="B277" s="3">
        <v>140.78</v>
      </c>
      <c r="C277" s="3">
        <v>76.88000000000001</v>
      </c>
      <c r="D277" s="4">
        <v>1.2675999999999998</v>
      </c>
      <c r="F277" s="7">
        <f t="shared" si="4"/>
        <v>60.650047333543718</v>
      </c>
    </row>
    <row r="278" spans="1:6" x14ac:dyDescent="0.35">
      <c r="A278" t="s">
        <v>283</v>
      </c>
      <c r="B278" s="3">
        <v>139.72</v>
      </c>
      <c r="C278" s="3">
        <v>78.399999999999991</v>
      </c>
      <c r="D278" s="4">
        <v>1.2733000000000001</v>
      </c>
      <c r="F278" s="7">
        <f t="shared" si="4"/>
        <v>61.572292468389215</v>
      </c>
    </row>
    <row r="279" spans="1:6" x14ac:dyDescent="0.35">
      <c r="A279" t="s">
        <v>284</v>
      </c>
      <c r="B279" s="3">
        <v>139.49</v>
      </c>
      <c r="C279" s="3">
        <v>80.108000000000004</v>
      </c>
      <c r="D279" s="4">
        <v>1.2681200000000001</v>
      </c>
      <c r="F279" s="7">
        <f t="shared" si="4"/>
        <v>63.170677853830867</v>
      </c>
    </row>
    <row r="280" spans="1:6" x14ac:dyDescent="0.35">
      <c r="A280" t="s">
        <v>285</v>
      </c>
      <c r="B280" s="3">
        <v>139.38999999999999</v>
      </c>
      <c r="C280" s="3">
        <v>82.312000000000012</v>
      </c>
      <c r="D280" s="4">
        <v>1.2712599999999998</v>
      </c>
      <c r="F280" s="7">
        <f t="shared" si="4"/>
        <v>64.748359894907438</v>
      </c>
    </row>
    <row r="281" spans="1:6" x14ac:dyDescent="0.35">
      <c r="A281" t="s">
        <v>286</v>
      </c>
      <c r="B281" s="3">
        <v>139.91</v>
      </c>
      <c r="C281" s="3">
        <v>82.570000000000007</v>
      </c>
      <c r="D281" s="4">
        <v>1.2683199999999999</v>
      </c>
      <c r="F281" s="7">
        <f t="shared" si="4"/>
        <v>65.10186703670999</v>
      </c>
    </row>
    <row r="282" spans="1:6" x14ac:dyDescent="0.35">
      <c r="A282" t="s">
        <v>287</v>
      </c>
      <c r="B282" s="3">
        <v>140.55000000000001</v>
      </c>
      <c r="C282" s="3">
        <v>81.506</v>
      </c>
      <c r="D282" s="4">
        <v>1.2593400000000001</v>
      </c>
      <c r="F282" s="7">
        <f t="shared" si="4"/>
        <v>64.721203169914389</v>
      </c>
    </row>
    <row r="283" spans="1:6" x14ac:dyDescent="0.35">
      <c r="A283" t="s">
        <v>288</v>
      </c>
      <c r="B283" s="3">
        <v>141.28</v>
      </c>
      <c r="C283" s="3">
        <v>84.443999999999988</v>
      </c>
      <c r="D283" s="4">
        <v>1.25868</v>
      </c>
      <c r="F283" s="7">
        <f t="shared" si="4"/>
        <v>67.089331680808456</v>
      </c>
    </row>
    <row r="284" spans="1:6" x14ac:dyDescent="0.35">
      <c r="A284" t="s">
        <v>289</v>
      </c>
      <c r="B284" s="3">
        <v>142.86000000000001</v>
      </c>
      <c r="C284" s="3">
        <v>85.018000000000001</v>
      </c>
      <c r="D284" s="4">
        <v>1.2631799999999997</v>
      </c>
      <c r="F284" s="7">
        <f t="shared" si="4"/>
        <v>67.30473883373709</v>
      </c>
    </row>
    <row r="285" spans="1:6" x14ac:dyDescent="0.35">
      <c r="A285" t="s">
        <v>290</v>
      </c>
      <c r="B285" s="3">
        <v>143.96</v>
      </c>
      <c r="C285" s="3">
        <v>84.256</v>
      </c>
      <c r="D285" s="4">
        <v>1.2664399999999998</v>
      </c>
      <c r="F285" s="7">
        <f t="shared" si="4"/>
        <v>66.529800069486129</v>
      </c>
    </row>
    <row r="286" spans="1:6" x14ac:dyDescent="0.35">
      <c r="A286" t="s">
        <v>291</v>
      </c>
      <c r="B286" s="3">
        <v>144.72999999999999</v>
      </c>
      <c r="C286" s="3">
        <v>85.632000000000005</v>
      </c>
      <c r="D286" s="4">
        <v>1.2768600000000001</v>
      </c>
      <c r="F286" s="7">
        <f t="shared" si="4"/>
        <v>67.064517644847513</v>
      </c>
    </row>
    <row r="287" spans="1:6" x14ac:dyDescent="0.35">
      <c r="A287" t="s">
        <v>292</v>
      </c>
      <c r="B287" s="3">
        <v>144.69999999999999</v>
      </c>
      <c r="C287" s="3">
        <v>84.52000000000001</v>
      </c>
      <c r="D287" s="4">
        <v>1.27746</v>
      </c>
      <c r="F287" s="7">
        <f t="shared" si="4"/>
        <v>66.162541292878061</v>
      </c>
    </row>
    <row r="288" spans="1:6" x14ac:dyDescent="0.35">
      <c r="A288" t="s">
        <v>293</v>
      </c>
      <c r="B288" s="3">
        <v>144.72999999999999</v>
      </c>
      <c r="C288" s="3">
        <v>85.878</v>
      </c>
      <c r="D288" s="4">
        <v>1.2684799999999998</v>
      </c>
      <c r="F288" s="7">
        <f t="shared" si="4"/>
        <v>67.701501009081738</v>
      </c>
    </row>
    <row r="289" spans="1:6" x14ac:dyDescent="0.35">
      <c r="A289" t="s">
        <v>294</v>
      </c>
      <c r="B289" s="3">
        <v>145.06</v>
      </c>
      <c r="C289" s="3">
        <v>85.8</v>
      </c>
      <c r="D289" s="4">
        <v>1.26335</v>
      </c>
      <c r="F289" s="7">
        <f t="shared" si="4"/>
        <v>67.91467131040487</v>
      </c>
    </row>
    <row r="290" spans="1:6" x14ac:dyDescent="0.35">
      <c r="A290" t="s">
        <v>295</v>
      </c>
      <c r="B290" s="3">
        <v>146.25</v>
      </c>
      <c r="C290" s="3">
        <v>90.339999999999989</v>
      </c>
      <c r="D290" s="4">
        <v>1.261725</v>
      </c>
      <c r="F290" s="7">
        <f t="shared" si="4"/>
        <v>71.600388357209368</v>
      </c>
    </row>
    <row r="291" spans="1:6" x14ac:dyDescent="0.35">
      <c r="A291" t="s">
        <v>296</v>
      </c>
      <c r="B291" s="3">
        <v>146.91</v>
      </c>
      <c r="C291" s="3">
        <v>92.00800000000001</v>
      </c>
      <c r="D291" s="4">
        <v>1.2568600000000001</v>
      </c>
      <c r="F291" s="7">
        <f t="shared" si="4"/>
        <v>73.204652865076469</v>
      </c>
    </row>
    <row r="292" spans="1:6" x14ac:dyDescent="0.35">
      <c r="A292" t="s">
        <v>297</v>
      </c>
      <c r="B292" s="3">
        <v>148.49</v>
      </c>
      <c r="C292" s="3">
        <v>89.593999999999994</v>
      </c>
      <c r="D292" s="4">
        <v>1.2444200000000001</v>
      </c>
      <c r="F292" s="7">
        <f t="shared" si="4"/>
        <v>71.996592790215516</v>
      </c>
    </row>
    <row r="293" spans="1:6" x14ac:dyDescent="0.35">
      <c r="A293" t="s">
        <v>298</v>
      </c>
      <c r="B293" s="3">
        <v>149.21</v>
      </c>
      <c r="C293" s="3">
        <v>88.532000000000011</v>
      </c>
      <c r="D293" s="4">
        <v>1.2429600000000001</v>
      </c>
      <c r="F293" s="7">
        <f t="shared" si="4"/>
        <v>71.226749050653282</v>
      </c>
    </row>
    <row r="294" spans="1:6" x14ac:dyDescent="0.35">
      <c r="A294" t="s">
        <v>299</v>
      </c>
      <c r="B294" s="3">
        <v>149.49</v>
      </c>
      <c r="C294" s="3">
        <v>85.725999999999999</v>
      </c>
      <c r="D294" s="4">
        <v>1.2518199999999999</v>
      </c>
      <c r="F294" s="7">
        <f t="shared" si="4"/>
        <v>68.481091530731263</v>
      </c>
    </row>
    <row r="295" spans="1:6" x14ac:dyDescent="0.35">
      <c r="A295" t="s">
        <v>300</v>
      </c>
      <c r="B295" s="3">
        <v>149.54</v>
      </c>
      <c r="C295" s="3">
        <v>82.947499999999991</v>
      </c>
      <c r="D295" s="4">
        <v>1.2516750000000001</v>
      </c>
      <c r="F295" s="7">
        <f t="shared" si="4"/>
        <v>66.269199272974205</v>
      </c>
    </row>
    <row r="296" spans="1:6" x14ac:dyDescent="0.35">
      <c r="A296" t="s">
        <v>301</v>
      </c>
      <c r="B296" s="3">
        <v>149.22999999999999</v>
      </c>
      <c r="C296" s="3">
        <v>81.610000000000014</v>
      </c>
      <c r="D296" s="4">
        <v>1.2633399999999999</v>
      </c>
      <c r="F296" s="7">
        <f t="shared" si="4"/>
        <v>64.598603701299751</v>
      </c>
    </row>
    <row r="297" spans="1:6" x14ac:dyDescent="0.35">
      <c r="A297" t="s">
        <v>302</v>
      </c>
      <c r="B297" s="3">
        <v>148.83000000000001</v>
      </c>
      <c r="C297" s="3">
        <v>80.239999999999995</v>
      </c>
      <c r="D297" s="4">
        <v>1.2721</v>
      </c>
      <c r="F297" s="7">
        <f t="shared" si="4"/>
        <v>63.076802138196676</v>
      </c>
    </row>
    <row r="298" spans="1:6" x14ac:dyDescent="0.35">
      <c r="A298" t="s">
        <v>303</v>
      </c>
      <c r="B298" s="3">
        <v>147.65</v>
      </c>
      <c r="C298" s="3">
        <v>80.91749999999999</v>
      </c>
      <c r="D298" s="4">
        <v>1.2740499999999999</v>
      </c>
      <c r="F298" s="7">
        <f t="shared" si="4"/>
        <v>63.512028570307287</v>
      </c>
    </row>
    <row r="299" spans="1:6" x14ac:dyDescent="0.35">
      <c r="A299" t="s">
        <v>304</v>
      </c>
      <c r="B299" s="3">
        <v>147.27000000000001</v>
      </c>
      <c r="C299" s="3">
        <v>76.585999999999999</v>
      </c>
      <c r="D299" s="4">
        <v>1.2761800000000001</v>
      </c>
      <c r="F299" s="7">
        <f t="shared" si="4"/>
        <v>60.01191054553432</v>
      </c>
    </row>
    <row r="300" spans="1:6" x14ac:dyDescent="0.35">
      <c r="A300" t="s">
        <v>305</v>
      </c>
      <c r="B300" s="3">
        <v>146.25</v>
      </c>
      <c r="C300" s="3">
        <v>80.638000000000005</v>
      </c>
      <c r="D300" s="4">
        <v>1.2741200000000001</v>
      </c>
      <c r="F300" s="7">
        <f t="shared" si="4"/>
        <v>63.289172134492823</v>
      </c>
    </row>
    <row r="301" spans="1:6" x14ac:dyDescent="0.35">
      <c r="A301" t="s">
        <v>306</v>
      </c>
      <c r="B301" s="3">
        <v>145.09</v>
      </c>
      <c r="C301" s="3">
        <v>85.044000000000011</v>
      </c>
      <c r="D301" s="4">
        <v>1.2682800000000001</v>
      </c>
      <c r="F301" s="7">
        <f t="shared" si="4"/>
        <v>67.054593622859315</v>
      </c>
    </row>
    <row r="302" spans="1:6" x14ac:dyDescent="0.35">
      <c r="A302" t="s">
        <v>307</v>
      </c>
      <c r="B302" s="3">
        <v>144.43</v>
      </c>
      <c r="C302" s="3">
        <v>86.715999999999994</v>
      </c>
      <c r="D302" s="4">
        <v>1.26552</v>
      </c>
      <c r="F302" s="7">
        <f t="shared" si="4"/>
        <v>68.522030469688346</v>
      </c>
    </row>
    <row r="303" spans="1:6" x14ac:dyDescent="0.35">
      <c r="A303" t="s">
        <v>308</v>
      </c>
      <c r="B303" s="3">
        <v>144.28</v>
      </c>
      <c r="C303" s="3">
        <v>88.02000000000001</v>
      </c>
      <c r="D303" s="4">
        <v>1.2729000000000001</v>
      </c>
      <c r="F303" s="7">
        <f t="shared" si="4"/>
        <v>69.149186896064109</v>
      </c>
    </row>
    <row r="304" spans="1:6" x14ac:dyDescent="0.35">
      <c r="A304" t="s">
        <v>309</v>
      </c>
      <c r="B304" s="3">
        <v>144.44999999999999</v>
      </c>
      <c r="C304" s="3">
        <v>86.804000000000002</v>
      </c>
      <c r="D304" s="4">
        <v>1.2874599999999998</v>
      </c>
      <c r="F304" s="7">
        <f t="shared" si="4"/>
        <v>67.422677209389036</v>
      </c>
    </row>
    <row r="305" spans="1:6" x14ac:dyDescent="0.35">
      <c r="A305" t="s">
        <v>310</v>
      </c>
      <c r="B305" s="3">
        <v>144.6</v>
      </c>
      <c r="C305" s="3">
        <v>86.045999999999992</v>
      </c>
      <c r="D305" s="4">
        <v>1.2968199999999999</v>
      </c>
      <c r="F305" s="7">
        <f t="shared" si="4"/>
        <v>66.351536836261005</v>
      </c>
    </row>
    <row r="306" spans="1:6" x14ac:dyDescent="0.35">
      <c r="A306" t="s">
        <v>311</v>
      </c>
      <c r="B306" s="3">
        <v>144.69</v>
      </c>
      <c r="C306" s="3">
        <v>82.515999999999991</v>
      </c>
      <c r="D306" s="4">
        <v>1.28938</v>
      </c>
      <c r="F306" s="7">
        <f t="shared" si="4"/>
        <v>63.996649552498091</v>
      </c>
    </row>
    <row r="307" spans="1:6" x14ac:dyDescent="0.35">
      <c r="A307" t="s">
        <v>312</v>
      </c>
      <c r="B307" s="3">
        <v>144.19</v>
      </c>
      <c r="C307" s="3">
        <v>80.261999999999986</v>
      </c>
      <c r="D307" s="4">
        <v>1.2823799999999999</v>
      </c>
      <c r="F307" s="7">
        <f t="shared" si="4"/>
        <v>62.588312356711732</v>
      </c>
    </row>
    <row r="308" spans="1:6" x14ac:dyDescent="0.35">
      <c r="A308" t="s">
        <v>313</v>
      </c>
      <c r="B308" s="3">
        <v>143.41999999999999</v>
      </c>
      <c r="C308" s="3">
        <v>78.843999999999994</v>
      </c>
      <c r="D308" s="4">
        <v>1.2732999999999999</v>
      </c>
      <c r="F308" s="7">
        <f t="shared" si="4"/>
        <v>61.920992696143877</v>
      </c>
    </row>
    <row r="309" spans="1:6" x14ac:dyDescent="0.35">
      <c r="A309" t="s">
        <v>314</v>
      </c>
      <c r="B309" s="3">
        <v>142.91</v>
      </c>
      <c r="C309" s="3">
        <v>82.474000000000004</v>
      </c>
      <c r="D309" s="4">
        <v>1.28416</v>
      </c>
      <c r="F309" s="7">
        <f t="shared" si="4"/>
        <v>64.224084226264651</v>
      </c>
    </row>
    <row r="310" spans="1:6" x14ac:dyDescent="0.35">
      <c r="A310" t="s">
        <v>315</v>
      </c>
      <c r="B310" s="3">
        <v>141.96</v>
      </c>
      <c r="C310" s="3">
        <v>79.570000000000007</v>
      </c>
      <c r="D310" s="4">
        <v>1.3073999999999999</v>
      </c>
      <c r="F310" s="7">
        <f t="shared" si="4"/>
        <v>60.861251338534508</v>
      </c>
    </row>
    <row r="311" spans="1:6" x14ac:dyDescent="0.35">
      <c r="A311" t="s">
        <v>316</v>
      </c>
      <c r="B311" s="3">
        <v>141.01</v>
      </c>
      <c r="C311" s="3">
        <v>80.825000000000003</v>
      </c>
      <c r="D311" s="4">
        <v>1.318675</v>
      </c>
      <c r="F311" s="7">
        <f t="shared" si="4"/>
        <v>61.292585360304855</v>
      </c>
    </row>
    <row r="312" spans="1:6" x14ac:dyDescent="0.35">
      <c r="A312" t="s">
        <v>317</v>
      </c>
      <c r="B312" s="3">
        <v>139.96</v>
      </c>
      <c r="C312" s="3">
        <v>75.24799999999999</v>
      </c>
      <c r="D312" s="4">
        <v>1.3145199999999999</v>
      </c>
      <c r="F312" s="7">
        <f t="shared" si="4"/>
        <v>57.243708730182874</v>
      </c>
    </row>
    <row r="313" spans="1:6" x14ac:dyDescent="0.35">
      <c r="A313" t="s">
        <v>318</v>
      </c>
      <c r="B313" s="3">
        <v>138.1</v>
      </c>
      <c r="C313" s="3">
        <v>72.102000000000004</v>
      </c>
      <c r="D313" s="4">
        <v>1.3077000000000001</v>
      </c>
      <c r="F313" s="7">
        <f t="shared" si="4"/>
        <v>55.136499197063543</v>
      </c>
    </row>
    <row r="314" spans="1:6" x14ac:dyDescent="0.35">
      <c r="A314" t="s">
        <v>319</v>
      </c>
      <c r="B314" s="3">
        <v>136.49</v>
      </c>
      <c r="C314" s="3">
        <v>74.983999999999995</v>
      </c>
      <c r="D314" s="4">
        <v>1.3226200000000001</v>
      </c>
      <c r="F314" s="7">
        <f t="shared" si="4"/>
        <v>56.693532533909959</v>
      </c>
    </row>
    <row r="315" spans="1:6" x14ac:dyDescent="0.35">
      <c r="A315" t="s">
        <v>320</v>
      </c>
      <c r="B315" s="3">
        <v>135.26</v>
      </c>
      <c r="C315" s="3">
        <v>74.066000000000003</v>
      </c>
      <c r="D315" s="4">
        <v>1.3383799999999999</v>
      </c>
      <c r="F315" s="7">
        <f t="shared" si="4"/>
        <v>55.34003795633528</v>
      </c>
    </row>
    <row r="316" spans="1:6" x14ac:dyDescent="0.35">
      <c r="A316" t="s">
        <v>321</v>
      </c>
      <c r="B316" s="3">
        <v>134.16999999999999</v>
      </c>
      <c r="C316" s="3">
        <v>75.88</v>
      </c>
      <c r="D316" s="4">
        <v>1.32348</v>
      </c>
      <c r="F316" s="7">
        <f t="shared" si="4"/>
        <v>57.333696013540056</v>
      </c>
    </row>
    <row r="317" spans="1:6" x14ac:dyDescent="0.35">
      <c r="A317" t="s">
        <v>322</v>
      </c>
      <c r="B317" s="3">
        <v>133.59</v>
      </c>
      <c r="C317" s="3">
        <v>79.341999999999999</v>
      </c>
      <c r="D317" s="4">
        <v>1.3073600000000001</v>
      </c>
      <c r="F317" s="7">
        <f t="shared" si="4"/>
        <v>60.688716191408638</v>
      </c>
    </row>
    <row r="318" spans="1:6" x14ac:dyDescent="0.35">
      <c r="A318" t="s">
        <v>323</v>
      </c>
      <c r="B318" s="3">
        <v>133.86000000000001</v>
      </c>
      <c r="C318" s="3">
        <v>74.584000000000003</v>
      </c>
      <c r="D318" s="4">
        <v>1.30386</v>
      </c>
      <c r="F318" s="7">
        <f t="shared" si="4"/>
        <v>57.202460386851349</v>
      </c>
    </row>
    <row r="319" spans="1:6" x14ac:dyDescent="0.35">
      <c r="A319" t="s">
        <v>324</v>
      </c>
      <c r="B319" s="3">
        <v>133.99</v>
      </c>
      <c r="C319" s="3">
        <v>74.69</v>
      </c>
      <c r="D319" s="4">
        <v>1.2975400000000001</v>
      </c>
      <c r="F319" s="7">
        <f t="shared" si="4"/>
        <v>57.56277263128689</v>
      </c>
    </row>
    <row r="320" spans="1:6" x14ac:dyDescent="0.35">
      <c r="A320" t="s">
        <v>325</v>
      </c>
      <c r="B320" s="3">
        <v>134.41</v>
      </c>
      <c r="C320" s="3">
        <v>72.61</v>
      </c>
      <c r="D320" s="4">
        <v>1.2960800000000001</v>
      </c>
      <c r="F320" s="7">
        <f t="shared" si="4"/>
        <v>56.022776371828897</v>
      </c>
    </row>
    <row r="321" spans="1:6" x14ac:dyDescent="0.35">
      <c r="A321" t="s">
        <v>326</v>
      </c>
      <c r="B321" s="3">
        <v>134.41</v>
      </c>
      <c r="C321" s="3">
        <v>75.632000000000005</v>
      </c>
      <c r="D321" s="4">
        <v>1.29616</v>
      </c>
      <c r="F321" s="7">
        <f t="shared" si="4"/>
        <v>58.350820886310338</v>
      </c>
    </row>
    <row r="322" spans="1:6" x14ac:dyDescent="0.35">
      <c r="A322" t="s">
        <v>327</v>
      </c>
      <c r="B322" s="3">
        <v>134.59</v>
      </c>
      <c r="C322" s="3">
        <v>72.89</v>
      </c>
      <c r="D322" s="4">
        <v>1.2739</v>
      </c>
      <c r="F322" s="7">
        <f t="shared" si="4"/>
        <v>57.217991993092078</v>
      </c>
    </row>
    <row r="323" spans="1:6" x14ac:dyDescent="0.35">
      <c r="A323" t="s">
        <v>328</v>
      </c>
      <c r="B323" s="3">
        <v>134.85</v>
      </c>
      <c r="C323" s="3">
        <v>74.838000000000008</v>
      </c>
      <c r="D323" s="4">
        <v>1.26206</v>
      </c>
      <c r="F323" s="7">
        <f t="shared" si="4"/>
        <v>59.298290097142775</v>
      </c>
    </row>
    <row r="324" spans="1:6" x14ac:dyDescent="0.35">
      <c r="A324" t="s">
        <v>329</v>
      </c>
      <c r="B324" s="3">
        <v>135.37</v>
      </c>
      <c r="C324" s="3">
        <v>74.163999999999987</v>
      </c>
      <c r="D324" s="4">
        <v>1.26362</v>
      </c>
      <c r="F324" s="7">
        <f t="shared" si="4"/>
        <v>58.691695288140416</v>
      </c>
    </row>
    <row r="325" spans="1:6" x14ac:dyDescent="0.35">
      <c r="A325" t="s">
        <v>330</v>
      </c>
      <c r="B325" s="3">
        <v>135.93</v>
      </c>
      <c r="C325" s="3">
        <v>73.97</v>
      </c>
      <c r="D325" s="4">
        <v>1.2699799999999999</v>
      </c>
      <c r="F325" s="7">
        <f t="shared" si="4"/>
        <v>58.245011732468235</v>
      </c>
    </row>
    <row r="326" spans="1:6" x14ac:dyDescent="0.35">
      <c r="A326" t="s">
        <v>331</v>
      </c>
      <c r="B326" s="3">
        <v>136.22999999999999</v>
      </c>
      <c r="C326" s="3">
        <v>74.031999999999996</v>
      </c>
      <c r="D326" s="4">
        <v>1.2716400000000001</v>
      </c>
      <c r="F326" s="7">
        <f t="shared" si="4"/>
        <v>58.21773457896888</v>
      </c>
    </row>
    <row r="327" spans="1:6" x14ac:dyDescent="0.35">
      <c r="A327" t="s">
        <v>332</v>
      </c>
      <c r="B327" s="3">
        <v>136.38999999999999</v>
      </c>
      <c r="C327" s="3">
        <v>73.793999999999997</v>
      </c>
      <c r="D327" s="4">
        <v>1.2637400000000001</v>
      </c>
      <c r="F327" s="7">
        <f t="shared" si="4"/>
        <v>58.393340402297937</v>
      </c>
    </row>
    <row r="328" spans="1:6" x14ac:dyDescent="0.35">
      <c r="A328" t="s">
        <v>333</v>
      </c>
      <c r="B328" s="3">
        <v>136.38999999999999</v>
      </c>
      <c r="C328" s="3">
        <v>73.13</v>
      </c>
      <c r="D328" s="4">
        <v>1.2544999999999999</v>
      </c>
      <c r="F328" s="7">
        <f t="shared" si="4"/>
        <v>58.29414109206855</v>
      </c>
    </row>
    <row r="329" spans="1:6" x14ac:dyDescent="0.35">
      <c r="A329" t="s">
        <v>334</v>
      </c>
      <c r="B329" s="3">
        <v>136.49</v>
      </c>
      <c r="C329" s="3">
        <v>75.419999999999987</v>
      </c>
      <c r="D329" s="4">
        <v>1.2454750000000001</v>
      </c>
      <c r="F329" s="7">
        <f t="shared" si="4"/>
        <v>60.55520985969207</v>
      </c>
    </row>
    <row r="330" spans="1:6" x14ac:dyDescent="0.35">
      <c r="A330" t="s">
        <v>335</v>
      </c>
      <c r="B330" s="3">
        <v>136.6</v>
      </c>
      <c r="C330" s="3">
        <v>78.135999999999996</v>
      </c>
      <c r="D330" s="4">
        <v>1.2376199999999999</v>
      </c>
      <c r="F330" s="7">
        <f t="shared" si="4"/>
        <v>63.134079927602983</v>
      </c>
    </row>
    <row r="331" spans="1:6" x14ac:dyDescent="0.35">
      <c r="A331" t="s">
        <v>336</v>
      </c>
      <c r="B331" s="3">
        <v>136.51</v>
      </c>
      <c r="C331" s="3">
        <v>82.793999999999997</v>
      </c>
      <c r="D331" s="4">
        <v>1.22088</v>
      </c>
      <c r="F331" s="7">
        <f t="shared" si="4"/>
        <v>67.815018675054063</v>
      </c>
    </row>
    <row r="332" spans="1:6" x14ac:dyDescent="0.35">
      <c r="A332" t="s">
        <v>337</v>
      </c>
      <c r="B332" s="3">
        <v>136.97</v>
      </c>
      <c r="C332" s="3">
        <v>79.915999999999997</v>
      </c>
      <c r="D332" s="4">
        <v>1.2343600000000001</v>
      </c>
      <c r="F332" s="7">
        <f t="shared" ref="F332:F392" si="5">C332/D332</f>
        <v>64.742862698078341</v>
      </c>
    </row>
    <row r="333" spans="1:6" x14ac:dyDescent="0.35">
      <c r="A333" t="s">
        <v>338</v>
      </c>
      <c r="B333" s="3">
        <v>138.36000000000001</v>
      </c>
      <c r="C333" s="3">
        <v>77.372</v>
      </c>
      <c r="D333" s="4">
        <v>1.24464</v>
      </c>
      <c r="F333" s="7">
        <f t="shared" si="5"/>
        <v>62.164159917727218</v>
      </c>
    </row>
    <row r="334" spans="1:6" x14ac:dyDescent="0.35">
      <c r="A334" t="s">
        <v>339</v>
      </c>
      <c r="B334" s="3">
        <v>138.74</v>
      </c>
      <c r="C334" s="3">
        <v>75.400000000000006</v>
      </c>
      <c r="D334" s="4">
        <v>1.2449000000000001</v>
      </c>
      <c r="F334" s="7">
        <f t="shared" si="5"/>
        <v>60.567113824403563</v>
      </c>
    </row>
    <row r="335" spans="1:6" x14ac:dyDescent="0.35">
      <c r="A335" t="s">
        <v>340</v>
      </c>
      <c r="B335" s="3">
        <v>139.02000000000001</v>
      </c>
      <c r="C335" s="3">
        <v>76.012</v>
      </c>
      <c r="D335" s="4">
        <v>1.24742</v>
      </c>
      <c r="F335" s="7">
        <f t="shared" si="5"/>
        <v>60.935370604928572</v>
      </c>
    </row>
    <row r="336" spans="1:6" x14ac:dyDescent="0.35">
      <c r="A336" t="s">
        <v>341</v>
      </c>
      <c r="B336" s="3">
        <v>139.22</v>
      </c>
      <c r="C336" s="3">
        <v>76.087999999999994</v>
      </c>
      <c r="D336" s="4">
        <v>1.2618199999999997</v>
      </c>
      <c r="F336" s="7">
        <f t="shared" si="5"/>
        <v>60.300201296539925</v>
      </c>
    </row>
    <row r="337" spans="1:6" x14ac:dyDescent="0.35">
      <c r="A337" t="s">
        <v>342</v>
      </c>
      <c r="B337" s="3">
        <v>139.62</v>
      </c>
      <c r="C337" s="3">
        <v>74.251999999999995</v>
      </c>
      <c r="D337" s="4">
        <v>1.2638200000000002</v>
      </c>
      <c r="F337" s="7">
        <f t="shared" si="5"/>
        <v>58.752037473690862</v>
      </c>
    </row>
    <row r="338" spans="1:6" x14ac:dyDescent="0.35">
      <c r="A338" t="s">
        <v>343</v>
      </c>
      <c r="B338" s="3">
        <v>139.61000000000001</v>
      </c>
      <c r="C338" s="3">
        <v>71.929999999999993</v>
      </c>
      <c r="D338" s="4">
        <v>1.28196</v>
      </c>
      <c r="F338" s="7">
        <f t="shared" si="5"/>
        <v>56.109394988923206</v>
      </c>
    </row>
    <row r="339" spans="1:6" x14ac:dyDescent="0.35">
      <c r="A339" t="s">
        <v>344</v>
      </c>
      <c r="B339" s="3">
        <v>139.41999999999999</v>
      </c>
      <c r="C339" s="3">
        <v>71.542000000000002</v>
      </c>
      <c r="D339" s="4">
        <v>1.29352</v>
      </c>
      <c r="F339" s="7">
        <f t="shared" si="5"/>
        <v>55.307996783969323</v>
      </c>
    </row>
    <row r="340" spans="1:6" x14ac:dyDescent="0.35">
      <c r="A340" t="s">
        <v>345</v>
      </c>
      <c r="B340" s="3">
        <v>137.97</v>
      </c>
      <c r="C340" s="3">
        <v>72.210000000000008</v>
      </c>
      <c r="D340" s="4">
        <v>1.2960400000000001</v>
      </c>
      <c r="F340" s="7">
        <f t="shared" si="5"/>
        <v>55.715872966883744</v>
      </c>
    </row>
    <row r="341" spans="1:6" x14ac:dyDescent="0.35">
      <c r="A341" t="s">
        <v>346</v>
      </c>
      <c r="B341" s="3">
        <v>135.61000000000001</v>
      </c>
      <c r="C341" s="3">
        <v>74.349999999999994</v>
      </c>
      <c r="D341" s="4">
        <v>1.2929999999999999</v>
      </c>
      <c r="F341" s="7">
        <f t="shared" si="5"/>
        <v>57.501933488012376</v>
      </c>
    </row>
    <row r="342" spans="1:6" x14ac:dyDescent="0.35">
      <c r="A342" t="s">
        <v>347</v>
      </c>
      <c r="B342" s="3">
        <v>134.91</v>
      </c>
      <c r="C342" s="3">
        <v>74.635999999999996</v>
      </c>
      <c r="D342" s="4">
        <v>1.2981400000000001</v>
      </c>
      <c r="F342" s="7">
        <f t="shared" si="5"/>
        <v>57.494569152787825</v>
      </c>
    </row>
    <row r="343" spans="1:6" x14ac:dyDescent="0.35">
      <c r="A343" t="s">
        <v>348</v>
      </c>
      <c r="B343" s="3">
        <v>135.25</v>
      </c>
      <c r="C343" s="3">
        <v>66.097999999999999</v>
      </c>
      <c r="D343" s="4">
        <v>1.2857600000000002</v>
      </c>
      <c r="F343" s="7">
        <f t="shared" si="5"/>
        <v>51.407727725236427</v>
      </c>
    </row>
    <row r="344" spans="1:6" x14ac:dyDescent="0.35">
      <c r="A344" t="s">
        <v>349</v>
      </c>
      <c r="B344" s="3">
        <v>134.85</v>
      </c>
      <c r="C344" s="3">
        <v>67.757499999999993</v>
      </c>
      <c r="D344" s="4">
        <v>1.3230500000000001</v>
      </c>
      <c r="F344" s="7">
        <f t="shared" si="5"/>
        <v>51.21310608064698</v>
      </c>
    </row>
    <row r="345" spans="1:6" x14ac:dyDescent="0.35">
      <c r="A345" t="s">
        <v>350</v>
      </c>
      <c r="B345" s="3">
        <v>134.26</v>
      </c>
      <c r="C345" s="3">
        <v>67.92</v>
      </c>
      <c r="D345" s="4">
        <v>1.33195</v>
      </c>
      <c r="F345" s="7">
        <f t="shared" si="5"/>
        <v>50.992905139081799</v>
      </c>
    </row>
    <row r="346" spans="1:6" x14ac:dyDescent="0.35">
      <c r="A346" t="s">
        <v>351</v>
      </c>
      <c r="B346" s="3">
        <v>133.84</v>
      </c>
      <c r="C346" s="3">
        <v>63.496000000000002</v>
      </c>
      <c r="D346" s="4">
        <v>1.3351</v>
      </c>
      <c r="F346" s="7">
        <f t="shared" si="5"/>
        <v>47.558984345741898</v>
      </c>
    </row>
    <row r="347" spans="1:6" x14ac:dyDescent="0.35">
      <c r="A347" t="s">
        <v>352</v>
      </c>
      <c r="B347" s="3">
        <v>133.18</v>
      </c>
      <c r="C347" s="3">
        <v>62.290000000000006</v>
      </c>
      <c r="D347" s="4">
        <v>1.3338249999999998</v>
      </c>
      <c r="F347" s="7">
        <f t="shared" si="5"/>
        <v>46.700279272018456</v>
      </c>
    </row>
    <row r="348" spans="1:6" x14ac:dyDescent="0.35">
      <c r="A348" t="s">
        <v>353</v>
      </c>
      <c r="B348" s="3">
        <v>132.32</v>
      </c>
      <c r="C348" s="3">
        <v>65.536000000000001</v>
      </c>
      <c r="D348" s="4">
        <v>1.3262200000000002</v>
      </c>
      <c r="F348" s="7">
        <f t="shared" si="5"/>
        <v>49.415632398847848</v>
      </c>
    </row>
    <row r="349" spans="1:6" x14ac:dyDescent="0.35">
      <c r="A349" t="s">
        <v>354</v>
      </c>
      <c r="B349" s="3">
        <v>132.07</v>
      </c>
      <c r="C349" s="3">
        <v>65.864000000000004</v>
      </c>
      <c r="D349" s="4">
        <v>1.3418600000000001</v>
      </c>
      <c r="F349" s="7">
        <f t="shared" si="5"/>
        <v>49.08410713487249</v>
      </c>
    </row>
    <row r="350" spans="1:6" x14ac:dyDescent="0.35">
      <c r="A350" t="s">
        <v>355</v>
      </c>
      <c r="B350" s="3">
        <v>131.99</v>
      </c>
      <c r="C350" s="3">
        <v>64.739999999999995</v>
      </c>
      <c r="D350" s="4">
        <v>1.3489250000000002</v>
      </c>
      <c r="F350" s="7">
        <f t="shared" si="5"/>
        <v>47.993772819096677</v>
      </c>
    </row>
    <row r="351" spans="1:6" x14ac:dyDescent="0.35">
      <c r="A351" t="s">
        <v>356</v>
      </c>
      <c r="B351" s="3">
        <v>131.44999999999999</v>
      </c>
      <c r="C351" s="3">
        <v>67.176000000000002</v>
      </c>
      <c r="D351" s="4">
        <v>1.35554</v>
      </c>
      <c r="F351" s="7">
        <f t="shared" si="5"/>
        <v>49.556634256458686</v>
      </c>
    </row>
    <row r="352" spans="1:6" x14ac:dyDescent="0.35">
      <c r="A352" t="s">
        <v>357</v>
      </c>
      <c r="B352" s="3">
        <v>131.35</v>
      </c>
      <c r="C352" s="3">
        <v>71.054000000000002</v>
      </c>
      <c r="D352" s="4">
        <v>1.3553799999999998</v>
      </c>
      <c r="F352" s="7">
        <f t="shared" si="5"/>
        <v>52.423674541457018</v>
      </c>
    </row>
    <row r="353" spans="1:6" x14ac:dyDescent="0.35">
      <c r="A353" t="s">
        <v>358</v>
      </c>
      <c r="B353" s="3">
        <v>131.38999999999999</v>
      </c>
      <c r="C353" s="3">
        <v>78.246000000000009</v>
      </c>
      <c r="D353" s="4">
        <v>1.34904</v>
      </c>
      <c r="F353" s="7">
        <f t="shared" si="5"/>
        <v>58.001245330012459</v>
      </c>
    </row>
    <row r="354" spans="1:6" x14ac:dyDescent="0.35">
      <c r="A354" t="s">
        <v>359</v>
      </c>
      <c r="B354" s="3">
        <v>132.33000000000001</v>
      </c>
      <c r="C354" s="3">
        <v>69.962000000000003</v>
      </c>
      <c r="D354" s="4">
        <v>1.36368</v>
      </c>
      <c r="F354" s="7">
        <f t="shared" si="5"/>
        <v>51.303824944268449</v>
      </c>
    </row>
    <row r="355" spans="1:6" x14ac:dyDescent="0.35">
      <c r="A355" t="s">
        <v>360</v>
      </c>
      <c r="B355" s="3">
        <v>132.94999999999999</v>
      </c>
      <c r="C355" s="3">
        <v>69.605999999999995</v>
      </c>
      <c r="D355" s="4">
        <v>1.36608</v>
      </c>
      <c r="F355" s="7">
        <f t="shared" si="5"/>
        <v>50.953092059030219</v>
      </c>
    </row>
    <row r="356" spans="1:6" x14ac:dyDescent="0.35">
      <c r="A356" t="s">
        <v>361</v>
      </c>
      <c r="B356" s="3">
        <v>133.19</v>
      </c>
      <c r="C356" s="3">
        <v>71.774000000000001</v>
      </c>
      <c r="D356" s="4">
        <v>1.3565800000000001</v>
      </c>
      <c r="F356" s="7">
        <f t="shared" si="5"/>
        <v>52.908048179982011</v>
      </c>
    </row>
    <row r="357" spans="1:6" x14ac:dyDescent="0.35">
      <c r="A357" t="s">
        <v>362</v>
      </c>
      <c r="B357" s="3">
        <v>133.94999999999999</v>
      </c>
      <c r="C357" s="3">
        <v>70.655999999999992</v>
      </c>
      <c r="D357" s="4">
        <v>1.3417600000000001</v>
      </c>
      <c r="F357" s="7">
        <f t="shared" si="5"/>
        <v>52.65919389458621</v>
      </c>
    </row>
    <row r="358" spans="1:6" x14ac:dyDescent="0.35">
      <c r="A358" t="s">
        <v>363</v>
      </c>
      <c r="B358" s="3">
        <v>134.09</v>
      </c>
      <c r="C358" s="3">
        <v>70.086000000000013</v>
      </c>
      <c r="D358" s="4">
        <v>1.3505199999999999</v>
      </c>
      <c r="F358" s="7">
        <f t="shared" si="5"/>
        <v>51.895566152296908</v>
      </c>
    </row>
    <row r="359" spans="1:6" x14ac:dyDescent="0.35">
      <c r="A359" t="s">
        <v>364</v>
      </c>
      <c r="B359" s="3">
        <v>134.24</v>
      </c>
      <c r="C359" s="3">
        <v>72.408000000000001</v>
      </c>
      <c r="D359" s="4">
        <v>1.3305199999999999</v>
      </c>
      <c r="F359" s="7">
        <f t="shared" si="5"/>
        <v>54.42082794696811</v>
      </c>
    </row>
    <row r="360" spans="1:6" x14ac:dyDescent="0.35">
      <c r="A360" t="s">
        <v>365</v>
      </c>
      <c r="B360" s="3">
        <v>134.30000000000001</v>
      </c>
      <c r="C360" s="3">
        <v>68.165999999999997</v>
      </c>
      <c r="D360" s="4">
        <v>1.3351600000000001</v>
      </c>
      <c r="F360" s="7">
        <f t="shared" si="5"/>
        <v>51.054555259294759</v>
      </c>
    </row>
    <row r="361" spans="1:6" x14ac:dyDescent="0.35">
      <c r="A361" t="s">
        <v>366</v>
      </c>
      <c r="B361" s="3">
        <v>134.38999999999999</v>
      </c>
      <c r="C361" s="3">
        <v>67.165999999999997</v>
      </c>
      <c r="D361" s="4">
        <v>1.3516999999999999</v>
      </c>
      <c r="F361" s="7">
        <f t="shared" si="5"/>
        <v>49.690019974846493</v>
      </c>
    </row>
    <row r="362" spans="1:6" x14ac:dyDescent="0.35">
      <c r="A362" t="s">
        <v>367</v>
      </c>
      <c r="B362" s="3">
        <v>134.30000000000001</v>
      </c>
      <c r="C362" s="3">
        <v>67.822000000000017</v>
      </c>
      <c r="D362" s="4">
        <v>1.3488599999999999</v>
      </c>
      <c r="F362" s="7">
        <f t="shared" si="5"/>
        <v>50.280978011061208</v>
      </c>
    </row>
    <row r="363" spans="1:6" x14ac:dyDescent="0.35">
      <c r="A363" t="s">
        <v>368</v>
      </c>
      <c r="B363" s="3">
        <v>133.91</v>
      </c>
      <c r="C363" s="3">
        <v>67.77</v>
      </c>
      <c r="D363" s="4">
        <v>1.348975</v>
      </c>
      <c r="F363" s="7">
        <f t="shared" si="5"/>
        <v>50.238143775829791</v>
      </c>
    </row>
    <row r="364" spans="1:6" x14ac:dyDescent="0.35">
      <c r="A364" t="s">
        <v>369</v>
      </c>
      <c r="B364" s="3">
        <v>133.86000000000001</v>
      </c>
      <c r="C364" s="3">
        <v>66.854000000000013</v>
      </c>
      <c r="D364" s="4">
        <v>1.3465199999999999</v>
      </c>
      <c r="F364" s="7">
        <f t="shared" si="5"/>
        <v>49.649466773609021</v>
      </c>
    </row>
    <row r="365" spans="1:6" x14ac:dyDescent="0.35">
      <c r="A365" t="s">
        <v>370</v>
      </c>
      <c r="B365" s="3">
        <v>133.72</v>
      </c>
      <c r="C365" s="3">
        <v>67.22999999999999</v>
      </c>
      <c r="D365" s="4">
        <v>1.3548399999999998</v>
      </c>
      <c r="F365" s="7">
        <f t="shared" si="5"/>
        <v>49.622095598004194</v>
      </c>
    </row>
    <row r="366" spans="1:6" x14ac:dyDescent="0.35">
      <c r="A366" t="s">
        <v>371</v>
      </c>
      <c r="B366" s="3">
        <v>133.81</v>
      </c>
      <c r="C366" s="3">
        <v>68.328000000000003</v>
      </c>
      <c r="D366" s="4">
        <v>1.3588200000000001</v>
      </c>
      <c r="F366" s="7">
        <f t="shared" si="5"/>
        <v>50.284805934560865</v>
      </c>
    </row>
    <row r="367" spans="1:6" x14ac:dyDescent="0.35">
      <c r="A367" t="s">
        <v>372</v>
      </c>
      <c r="B367" s="3">
        <v>134.15</v>
      </c>
      <c r="C367" s="3">
        <v>69.22</v>
      </c>
      <c r="D367" s="4">
        <v>1.3444199999999999</v>
      </c>
      <c r="F367" s="7">
        <f t="shared" si="5"/>
        <v>51.486886538432934</v>
      </c>
    </row>
    <row r="368" spans="1:6" x14ac:dyDescent="0.35">
      <c r="A368" t="s">
        <v>373</v>
      </c>
      <c r="B368" s="3">
        <v>134.36000000000001</v>
      </c>
      <c r="C368" s="3">
        <v>67.152000000000001</v>
      </c>
      <c r="D368" s="4">
        <v>1.34562</v>
      </c>
      <c r="F368" s="7">
        <f t="shared" si="5"/>
        <v>49.904133410621128</v>
      </c>
    </row>
    <row r="369" spans="1:6" x14ac:dyDescent="0.35">
      <c r="A369" t="s">
        <v>374</v>
      </c>
      <c r="B369" s="3">
        <v>134.76</v>
      </c>
      <c r="C369" s="3">
        <v>66.650000000000006</v>
      </c>
      <c r="D369" s="4">
        <v>1.33934</v>
      </c>
      <c r="F369" s="7">
        <f t="shared" si="5"/>
        <v>49.763316260247592</v>
      </c>
    </row>
    <row r="370" spans="1:6" x14ac:dyDescent="0.35">
      <c r="A370" t="s">
        <v>375</v>
      </c>
      <c r="B370" s="3">
        <v>134.81</v>
      </c>
      <c r="C370" s="3">
        <v>62.358000000000004</v>
      </c>
      <c r="D370" s="4">
        <v>1.3363</v>
      </c>
      <c r="F370" s="7">
        <f t="shared" si="5"/>
        <v>46.664671106787402</v>
      </c>
    </row>
    <row r="371" spans="1:6" x14ac:dyDescent="0.35">
      <c r="A371" t="s">
        <v>376</v>
      </c>
      <c r="B371" s="3">
        <v>134.69</v>
      </c>
      <c r="C371" s="3">
        <v>63.222000000000001</v>
      </c>
      <c r="D371" s="4">
        <v>1.33534</v>
      </c>
      <c r="F371" s="7">
        <f t="shared" si="5"/>
        <v>47.345245405664478</v>
      </c>
    </row>
    <row r="372" spans="1:6" x14ac:dyDescent="0.35">
      <c r="A372" t="s">
        <v>377</v>
      </c>
      <c r="B372" s="3">
        <v>134.4</v>
      </c>
      <c r="C372" s="3">
        <v>65.022000000000006</v>
      </c>
      <c r="D372" s="4">
        <v>1.3226800000000001</v>
      </c>
      <c r="F372" s="7">
        <f t="shared" si="5"/>
        <v>49.159282668521485</v>
      </c>
    </row>
    <row r="373" spans="1:6" x14ac:dyDescent="0.35">
      <c r="A373" t="s">
        <v>378</v>
      </c>
      <c r="B373" s="3">
        <v>134.38</v>
      </c>
      <c r="C373" s="3">
        <v>64.3</v>
      </c>
      <c r="D373" s="4">
        <v>1.30976</v>
      </c>
      <c r="F373" s="7">
        <f t="shared" si="5"/>
        <v>49.092963596384067</v>
      </c>
    </row>
    <row r="374" spans="1:6" x14ac:dyDescent="0.35">
      <c r="A374" t="s">
        <v>379</v>
      </c>
      <c r="B374" s="3">
        <v>134.65</v>
      </c>
      <c r="C374" s="3">
        <v>62.867999999999995</v>
      </c>
      <c r="D374" s="4">
        <v>1.3158000000000001</v>
      </c>
      <c r="F374" s="7">
        <f t="shared" si="5"/>
        <v>47.779297765617869</v>
      </c>
    </row>
    <row r="375" spans="1:6" x14ac:dyDescent="0.35">
      <c r="A375" t="s">
        <v>380</v>
      </c>
      <c r="B375" s="3">
        <v>135.07</v>
      </c>
      <c r="C375" s="3">
        <v>63.644000000000005</v>
      </c>
      <c r="D375" s="4">
        <v>1.3116400000000001</v>
      </c>
      <c r="F375" s="7">
        <f t="shared" si="5"/>
        <v>48.522460431215883</v>
      </c>
    </row>
    <row r="376" spans="1:6" x14ac:dyDescent="0.35">
      <c r="A376" t="s">
        <v>381</v>
      </c>
      <c r="B376" s="3">
        <v>136.07</v>
      </c>
      <c r="C376" s="3">
        <v>64.376000000000005</v>
      </c>
      <c r="D376" s="4">
        <v>1.3201000000000001</v>
      </c>
      <c r="F376" s="7">
        <f t="shared" si="5"/>
        <v>48.76600257556246</v>
      </c>
    </row>
    <row r="377" spans="1:6" x14ac:dyDescent="0.35">
      <c r="A377" t="s">
        <v>382</v>
      </c>
      <c r="B377" s="3">
        <v>136.61000000000001</v>
      </c>
      <c r="C377" s="3">
        <v>63.982000000000006</v>
      </c>
      <c r="D377" s="4">
        <v>1.3299999999999998</v>
      </c>
      <c r="F377" s="7">
        <f t="shared" si="5"/>
        <v>48.106766917293243</v>
      </c>
    </row>
    <row r="378" spans="1:6" x14ac:dyDescent="0.35">
      <c r="A378" t="s">
        <v>383</v>
      </c>
      <c r="B378" s="3">
        <v>136.68</v>
      </c>
      <c r="C378" s="3">
        <v>62.603999999999999</v>
      </c>
      <c r="D378" s="4">
        <v>1.3344</v>
      </c>
      <c r="F378" s="7">
        <f t="shared" si="5"/>
        <v>46.915467625899282</v>
      </c>
    </row>
    <row r="379" spans="1:6" x14ac:dyDescent="0.35">
      <c r="A379" t="s">
        <v>384</v>
      </c>
      <c r="B379" s="3">
        <v>136.83000000000001</v>
      </c>
      <c r="C379" s="3">
        <v>60.826000000000001</v>
      </c>
      <c r="D379" s="4">
        <v>1.3393599999999999</v>
      </c>
      <c r="F379" s="7">
        <f t="shared" si="5"/>
        <v>45.414227690837421</v>
      </c>
    </row>
    <row r="380" spans="1:6" x14ac:dyDescent="0.35">
      <c r="A380" t="s">
        <v>385</v>
      </c>
      <c r="B380" s="3">
        <v>136.22999999999999</v>
      </c>
      <c r="C380" s="3">
        <v>63.206666666666671</v>
      </c>
      <c r="D380" s="4">
        <v>1.3481666666666667</v>
      </c>
      <c r="F380" s="7">
        <f t="shared" si="5"/>
        <v>46.88342193101743</v>
      </c>
    </row>
    <row r="381" spans="1:6" x14ac:dyDescent="0.35">
      <c r="A381" t="s">
        <v>386</v>
      </c>
      <c r="B381" s="3">
        <v>135.34</v>
      </c>
      <c r="C381" s="3">
        <v>62.182499999999997</v>
      </c>
      <c r="D381" s="4">
        <v>1.3480250000000003</v>
      </c>
      <c r="F381" s="7">
        <f t="shared" si="5"/>
        <v>46.128595537916574</v>
      </c>
    </row>
    <row r="382" spans="1:6" x14ac:dyDescent="0.35">
      <c r="A382" t="s">
        <v>387</v>
      </c>
      <c r="B382" s="3">
        <v>134.9</v>
      </c>
      <c r="C382" s="3">
        <v>62.926000000000002</v>
      </c>
      <c r="D382" s="4">
        <v>1.34704</v>
      </c>
      <c r="F382" s="7">
        <f t="shared" si="5"/>
        <v>46.714277230074835</v>
      </c>
    </row>
    <row r="383" spans="1:6" x14ac:dyDescent="0.35">
      <c r="A383" t="s">
        <v>388</v>
      </c>
      <c r="B383" s="3">
        <v>133.43</v>
      </c>
      <c r="C383" s="3">
        <v>66.996000000000009</v>
      </c>
      <c r="D383" s="4">
        <v>1.3427800000000001</v>
      </c>
      <c r="F383" s="7">
        <f t="shared" si="5"/>
        <v>49.893504520472455</v>
      </c>
    </row>
    <row r="384" spans="1:6" x14ac:dyDescent="0.35">
      <c r="A384" t="s">
        <v>389</v>
      </c>
      <c r="B384" s="3">
        <v>132.63999999999999</v>
      </c>
      <c r="C384" s="3">
        <v>66.98599999999999</v>
      </c>
      <c r="D384" s="4">
        <v>1.3469799999999998</v>
      </c>
      <c r="F384" s="7">
        <f t="shared" si="5"/>
        <v>49.730508248080888</v>
      </c>
    </row>
    <row r="385" spans="1:6" x14ac:dyDescent="0.35">
      <c r="A385" t="s">
        <v>390</v>
      </c>
      <c r="B385" s="3">
        <v>132</v>
      </c>
      <c r="C385" s="3">
        <v>70.426000000000002</v>
      </c>
      <c r="D385" s="4">
        <v>1.37466</v>
      </c>
      <c r="F385" s="7">
        <f t="shared" si="5"/>
        <v>51.231577262741332</v>
      </c>
    </row>
    <row r="386" spans="1:6" x14ac:dyDescent="0.35">
      <c r="A386" t="s">
        <v>391</v>
      </c>
      <c r="B386" s="3">
        <v>131.62</v>
      </c>
      <c r="C386" s="3">
        <v>69.84</v>
      </c>
      <c r="D386" s="4">
        <v>1.3627600000000002</v>
      </c>
      <c r="F386" s="7">
        <f t="shared" si="5"/>
        <v>51.248935982858313</v>
      </c>
    </row>
    <row r="387" spans="1:6" x14ac:dyDescent="0.35">
      <c r="A387" t="s">
        <v>392</v>
      </c>
      <c r="B387" s="3">
        <v>131.46</v>
      </c>
      <c r="C387" s="3">
        <v>70.695999999999998</v>
      </c>
      <c r="D387" s="4">
        <v>1.3650199999999999</v>
      </c>
      <c r="F387" s="7">
        <f t="shared" si="5"/>
        <v>51.791182546775872</v>
      </c>
    </row>
    <row r="388" spans="1:6" x14ac:dyDescent="0.35">
      <c r="A388" t="s">
        <v>393</v>
      </c>
      <c r="B388" s="3">
        <v>131.6</v>
      </c>
      <c r="C388" s="3">
        <v>71.655999999999992</v>
      </c>
      <c r="D388" s="4">
        <v>1.3527200000000001</v>
      </c>
      <c r="F388" s="7">
        <f t="shared" si="5"/>
        <v>52.971790170914886</v>
      </c>
    </row>
    <row r="389" spans="1:6" x14ac:dyDescent="0.35">
      <c r="A389" t="s">
        <v>394</v>
      </c>
      <c r="B389" s="3">
        <v>131.71</v>
      </c>
      <c r="C389" s="3">
        <v>71.356000000000009</v>
      </c>
      <c r="D389" s="4">
        <v>1.35002</v>
      </c>
      <c r="F389" s="7">
        <f t="shared" si="5"/>
        <v>52.855513251655537</v>
      </c>
    </row>
    <row r="390" spans="1:6" x14ac:dyDescent="0.35">
      <c r="A390" t="s">
        <v>395</v>
      </c>
      <c r="B390" s="3">
        <v>132.13999999999999</v>
      </c>
      <c r="C390" s="3">
        <v>85.281999999999996</v>
      </c>
      <c r="D390" s="4">
        <v>1.3344200000000002</v>
      </c>
      <c r="F390" s="7">
        <f t="shared" si="5"/>
        <v>63.90941382773039</v>
      </c>
    </row>
    <row r="391" spans="1:6" x14ac:dyDescent="0.35">
      <c r="A391" t="s">
        <v>396</v>
      </c>
      <c r="B391" s="3">
        <v>135.66999999999999</v>
      </c>
      <c r="C391" s="3">
        <v>96.156000000000006</v>
      </c>
      <c r="D391" s="4">
        <v>1.3367400000000003</v>
      </c>
      <c r="F391" s="7">
        <f t="shared" si="5"/>
        <v>71.93321064679742</v>
      </c>
    </row>
    <row r="392" spans="1:6" x14ac:dyDescent="0.35">
      <c r="A392" t="s">
        <v>397</v>
      </c>
      <c r="B392" s="3">
        <v>140.28</v>
      </c>
      <c r="C392" s="3">
        <v>111.398</v>
      </c>
      <c r="D392" s="4">
        <v>1.3325800000000001</v>
      </c>
      <c r="F392" s="7">
        <f t="shared" si="5"/>
        <v>83.595731588347405</v>
      </c>
    </row>
    <row r="393" spans="1:6" x14ac:dyDescent="0.35">
      <c r="A393" t="s">
        <v>398</v>
      </c>
      <c r="B393" s="3">
        <v>144.16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3BCD-610E-408E-94DE-EC75411A4EE7}">
  <dimension ref="A4:C475"/>
  <sheetViews>
    <sheetView zoomScale="85" zoomScaleNormal="85" workbookViewId="0">
      <pane xSplit="1" ySplit="4" topLeftCell="B339" activePane="bottomRight" state="frozen"/>
      <selection pane="topRight" activeCell="B1" sqref="B1"/>
      <selection pane="bottomLeft" activeCell="A5" sqref="A5"/>
      <selection pane="bottomRight" activeCell="E364" sqref="E364"/>
    </sheetView>
  </sheetViews>
  <sheetFormatPr defaultRowHeight="14.5" x14ac:dyDescent="0.35"/>
  <cols>
    <col min="1" max="1" width="18.6328125" customWidth="1"/>
  </cols>
  <sheetData>
    <row r="4" spans="1:3" x14ac:dyDescent="0.35">
      <c r="B4" t="s">
        <v>399</v>
      </c>
      <c r="C4" t="s">
        <v>410</v>
      </c>
    </row>
    <row r="5" spans="1:3" x14ac:dyDescent="0.35">
      <c r="A5" s="6">
        <v>43466</v>
      </c>
      <c r="B5" s="3">
        <f>HAVERW!B16</f>
        <v>120.18</v>
      </c>
      <c r="C5" s="7">
        <f>HAVERW!C12/HAVERW!D12</f>
        <v>47.432498156544646</v>
      </c>
    </row>
    <row r="6" spans="1:3" x14ac:dyDescent="0.35">
      <c r="A6" s="6">
        <f t="shared" ref="A6:A69" si="0">A5+7</f>
        <v>43473</v>
      </c>
      <c r="B6" s="3">
        <f>HAVERW!B17</f>
        <v>120.27</v>
      </c>
      <c r="C6" s="7">
        <f>HAVERW!C13/HAVERW!D13</f>
        <v>47.304494364159538</v>
      </c>
    </row>
    <row r="7" spans="1:3" x14ac:dyDescent="0.35">
      <c r="A7" s="6">
        <f t="shared" si="0"/>
        <v>43480</v>
      </c>
      <c r="B7" s="3">
        <f>HAVERW!B18</f>
        <v>119.53</v>
      </c>
      <c r="C7" s="7">
        <f>HAVERW!C14/HAVERW!D14</f>
        <v>43.233064860673757</v>
      </c>
    </row>
    <row r="8" spans="1:3" x14ac:dyDescent="0.35">
      <c r="A8" s="6">
        <f t="shared" si="0"/>
        <v>43487</v>
      </c>
      <c r="B8" s="3">
        <f>HAVERW!B19</f>
        <v>119.12</v>
      </c>
      <c r="C8" s="7">
        <f>HAVERW!C15/HAVERW!D15</f>
        <v>40.314425659661879</v>
      </c>
    </row>
    <row r="9" spans="1:3" x14ac:dyDescent="0.35">
      <c r="A9" s="6">
        <f t="shared" si="0"/>
        <v>43494</v>
      </c>
      <c r="B9" s="3">
        <f>HAVERW!B20</f>
        <v>119.29</v>
      </c>
      <c r="C9" s="7">
        <f>HAVERW!C16/HAVERW!D16</f>
        <v>42.84643603802612</v>
      </c>
    </row>
    <row r="10" spans="1:3" x14ac:dyDescent="0.35">
      <c r="A10" s="6">
        <f t="shared" si="0"/>
        <v>43501</v>
      </c>
      <c r="B10" s="3">
        <f>HAVERW!B21</f>
        <v>119.13</v>
      </c>
      <c r="C10" s="7">
        <f>HAVERW!C17/HAVERW!D17</f>
        <v>45.922027473646295</v>
      </c>
    </row>
    <row r="11" spans="1:3" x14ac:dyDescent="0.35">
      <c r="A11" s="6">
        <f t="shared" si="0"/>
        <v>43508</v>
      </c>
      <c r="B11" s="3">
        <f>HAVERW!B22</f>
        <v>118.97</v>
      </c>
      <c r="C11" s="7">
        <f>HAVERW!C18/HAVERW!D18</f>
        <v>46.453306003292028</v>
      </c>
    </row>
    <row r="12" spans="1:3" x14ac:dyDescent="0.35">
      <c r="A12" s="6">
        <f t="shared" si="0"/>
        <v>43515</v>
      </c>
      <c r="B12" s="3">
        <f>HAVERW!B23</f>
        <v>119.05</v>
      </c>
      <c r="C12" s="7">
        <f>HAVERW!C19/HAVERW!D19</f>
        <v>47.093416042255242</v>
      </c>
    </row>
    <row r="13" spans="1:3" x14ac:dyDescent="0.35">
      <c r="A13" s="6">
        <f t="shared" si="0"/>
        <v>43522</v>
      </c>
      <c r="B13" s="3">
        <f>HAVERW!B24</f>
        <v>119.22</v>
      </c>
      <c r="C13" s="7">
        <f>HAVERW!C20/HAVERW!D20</f>
        <v>46.767852244674039</v>
      </c>
    </row>
    <row r="14" spans="1:3" x14ac:dyDescent="0.35">
      <c r="A14" s="6">
        <f t="shared" si="0"/>
        <v>43529</v>
      </c>
      <c r="B14" s="3">
        <f>HAVERW!B25</f>
        <v>119.72</v>
      </c>
      <c r="C14" s="7">
        <f>HAVERW!C21/HAVERW!D21</f>
        <v>47.535628996225249</v>
      </c>
    </row>
    <row r="15" spans="1:3" x14ac:dyDescent="0.35">
      <c r="A15" s="6">
        <f t="shared" si="0"/>
        <v>43536</v>
      </c>
      <c r="B15" s="3">
        <f>HAVERW!B26</f>
        <v>120.1</v>
      </c>
      <c r="C15" s="7">
        <f>HAVERW!C22/HAVERW!D22</f>
        <v>49.303556143490773</v>
      </c>
    </row>
    <row r="16" spans="1:3" x14ac:dyDescent="0.35">
      <c r="A16" s="6">
        <f t="shared" si="0"/>
        <v>43543</v>
      </c>
      <c r="B16" s="3">
        <f>HAVERW!B27</f>
        <v>120.48</v>
      </c>
      <c r="C16" s="7">
        <f>HAVERW!C23/HAVERW!D23</f>
        <v>51.100571007552034</v>
      </c>
    </row>
    <row r="17" spans="1:3" x14ac:dyDescent="0.35">
      <c r="A17" s="6">
        <f t="shared" si="0"/>
        <v>43550</v>
      </c>
      <c r="B17" s="3">
        <f>HAVERW!B28</f>
        <v>120.83</v>
      </c>
      <c r="C17" s="7">
        <f>HAVERW!C24/HAVERW!D24</f>
        <v>48.774665337080343</v>
      </c>
    </row>
    <row r="18" spans="1:3" x14ac:dyDescent="0.35">
      <c r="A18" s="6">
        <f t="shared" si="0"/>
        <v>43557</v>
      </c>
      <c r="B18" s="3">
        <f>HAVERW!B29</f>
        <v>121.7</v>
      </c>
      <c r="C18" s="7">
        <f>HAVERW!C25/HAVERW!D25</f>
        <v>49.372301966227859</v>
      </c>
    </row>
    <row r="19" spans="1:3" x14ac:dyDescent="0.35">
      <c r="A19" s="6">
        <f t="shared" si="0"/>
        <v>43564</v>
      </c>
      <c r="B19" s="3">
        <f>HAVERW!B30</f>
        <v>122.66</v>
      </c>
      <c r="C19" s="7">
        <f>HAVERW!C26/HAVERW!D26</f>
        <v>49.797669025931704</v>
      </c>
    </row>
    <row r="20" spans="1:3" x14ac:dyDescent="0.35">
      <c r="A20" s="6">
        <f t="shared" si="0"/>
        <v>43571</v>
      </c>
      <c r="B20" s="3">
        <f>HAVERW!B31</f>
        <v>124.06</v>
      </c>
      <c r="C20" s="7">
        <f>HAVERW!C27/HAVERW!D27</f>
        <v>51.042156164258977</v>
      </c>
    </row>
    <row r="21" spans="1:3" x14ac:dyDescent="0.35">
      <c r="A21" s="6">
        <f t="shared" si="0"/>
        <v>43578</v>
      </c>
      <c r="B21" s="3">
        <f>HAVERW!B32</f>
        <v>125.43</v>
      </c>
      <c r="C21" s="7">
        <f>HAVERW!C28/HAVERW!D28</f>
        <v>51.160950671008194</v>
      </c>
    </row>
    <row r="22" spans="1:3" x14ac:dyDescent="0.35">
      <c r="A22" s="6">
        <f t="shared" si="0"/>
        <v>43585</v>
      </c>
      <c r="B22" s="3">
        <f>HAVERW!B33</f>
        <v>126.36</v>
      </c>
      <c r="C22" s="7">
        <f>HAVERW!C29/HAVERW!D29</f>
        <v>53.146446968191611</v>
      </c>
    </row>
    <row r="23" spans="1:3" x14ac:dyDescent="0.35">
      <c r="A23" s="6">
        <f t="shared" si="0"/>
        <v>43592</v>
      </c>
      <c r="B23" s="3">
        <f>HAVERW!B34</f>
        <v>127.5</v>
      </c>
      <c r="C23" s="7">
        <f>HAVERW!C30/HAVERW!D30</f>
        <v>54.554632646505439</v>
      </c>
    </row>
    <row r="24" spans="1:3" x14ac:dyDescent="0.35">
      <c r="A24" s="6">
        <f t="shared" si="0"/>
        <v>43599</v>
      </c>
      <c r="B24" s="3">
        <f>HAVERW!B35</f>
        <v>127.97</v>
      </c>
      <c r="C24" s="7">
        <f>HAVERW!C31/HAVERW!D31</f>
        <v>54.282431785543309</v>
      </c>
    </row>
    <row r="25" spans="1:3" x14ac:dyDescent="0.35">
      <c r="A25" s="6">
        <f t="shared" si="0"/>
        <v>43606</v>
      </c>
      <c r="B25" s="3">
        <f>HAVERW!B36</f>
        <v>128.51</v>
      </c>
      <c r="C25" s="7">
        <f>HAVERW!C32/HAVERW!D32</f>
        <v>56.816205037014136</v>
      </c>
    </row>
    <row r="26" spans="1:3" x14ac:dyDescent="0.35">
      <c r="A26" s="6">
        <f t="shared" si="0"/>
        <v>43613</v>
      </c>
      <c r="B26" s="3">
        <f>HAVERW!B37</f>
        <v>129.13999999999999</v>
      </c>
      <c r="C26" s="7">
        <f>HAVERW!C33/HAVERW!D33</f>
        <v>54.905660377358487</v>
      </c>
    </row>
    <row r="27" spans="1:3" x14ac:dyDescent="0.35">
      <c r="A27" s="6">
        <f t="shared" si="0"/>
        <v>43620</v>
      </c>
      <c r="B27" s="3">
        <f>HAVERW!B38</f>
        <v>129.41</v>
      </c>
      <c r="C27" s="7">
        <f>HAVERW!C34/HAVERW!D34</f>
        <v>54.565868263473057</v>
      </c>
    </row>
    <row r="28" spans="1:3" x14ac:dyDescent="0.35">
      <c r="A28" s="6">
        <f t="shared" si="0"/>
        <v>43627</v>
      </c>
      <c r="B28" s="3">
        <f>HAVERW!B39</f>
        <v>128.88999999999999</v>
      </c>
      <c r="C28" s="7">
        <f>HAVERW!C35/HAVERW!D35</f>
        <v>57.019099166355609</v>
      </c>
    </row>
    <row r="29" spans="1:3" x14ac:dyDescent="0.35">
      <c r="A29" s="6">
        <f t="shared" si="0"/>
        <v>43634</v>
      </c>
      <c r="B29" s="3">
        <f>HAVERW!B40</f>
        <v>127.66</v>
      </c>
      <c r="C29" s="7">
        <f>HAVERW!C36/HAVERW!D36</f>
        <v>55.786574329109939</v>
      </c>
    </row>
    <row r="30" spans="1:3" x14ac:dyDescent="0.35">
      <c r="A30" s="6">
        <f t="shared" si="0"/>
        <v>43641</v>
      </c>
      <c r="B30" s="3">
        <f>HAVERW!B41</f>
        <v>126.66</v>
      </c>
      <c r="C30" s="7">
        <f>HAVERW!C37/HAVERW!D37</f>
        <v>54.886428896766141</v>
      </c>
    </row>
    <row r="31" spans="1:3" x14ac:dyDescent="0.35">
      <c r="A31" s="6">
        <f t="shared" si="0"/>
        <v>43648</v>
      </c>
      <c r="B31" s="3">
        <f>HAVERW!B42</f>
        <v>126.49</v>
      </c>
      <c r="C31" s="7">
        <f>HAVERW!C38/HAVERW!D38</f>
        <v>49.714213733486581</v>
      </c>
    </row>
    <row r="32" spans="1:3" x14ac:dyDescent="0.35">
      <c r="A32" s="6">
        <f t="shared" si="0"/>
        <v>43655</v>
      </c>
      <c r="B32" s="3">
        <f>HAVERW!B43</f>
        <v>126.86</v>
      </c>
      <c r="C32" s="7">
        <f>HAVERW!C39/HAVERW!D39</f>
        <v>49.81395055499496</v>
      </c>
    </row>
    <row r="33" spans="1:3" x14ac:dyDescent="0.35">
      <c r="A33" s="6">
        <f t="shared" si="0"/>
        <v>43662</v>
      </c>
      <c r="B33" s="3">
        <f>HAVERW!B44</f>
        <v>127.13</v>
      </c>
      <c r="C33" s="7">
        <f>HAVERW!C40/HAVERW!D40</f>
        <v>50.725579037419585</v>
      </c>
    </row>
    <row r="34" spans="1:3" x14ac:dyDescent="0.35">
      <c r="A34" s="6">
        <f t="shared" si="0"/>
        <v>43669</v>
      </c>
      <c r="B34" s="3">
        <f>HAVERW!B45</f>
        <v>127.81</v>
      </c>
      <c r="C34" s="7">
        <f>HAVERW!C41/HAVERW!D41</f>
        <v>52.351941059790299</v>
      </c>
    </row>
    <row r="35" spans="1:3" x14ac:dyDescent="0.35">
      <c r="A35" s="6">
        <f t="shared" si="0"/>
        <v>43676</v>
      </c>
      <c r="B35" s="3">
        <f>HAVERW!B46</f>
        <v>128.03</v>
      </c>
      <c r="C35" s="7">
        <f>HAVERW!C42/HAVERW!D42</f>
        <v>50.748024610884116</v>
      </c>
    </row>
    <row r="36" spans="1:3" x14ac:dyDescent="0.35">
      <c r="A36" s="6">
        <f t="shared" si="0"/>
        <v>43683</v>
      </c>
      <c r="B36" s="3">
        <f>HAVERW!B47</f>
        <v>128.37</v>
      </c>
      <c r="C36" s="7">
        <f>HAVERW!C43/HAVERW!D43</f>
        <v>52.706502636203858</v>
      </c>
    </row>
    <row r="37" spans="1:3" x14ac:dyDescent="0.35">
      <c r="A37" s="6">
        <f t="shared" si="0"/>
        <v>43690</v>
      </c>
      <c r="B37" s="3">
        <f>HAVERW!B48</f>
        <v>128.36000000000001</v>
      </c>
      <c r="C37" s="7">
        <f>HAVERW!C44/HAVERW!D44</f>
        <v>51.02567803814015</v>
      </c>
    </row>
    <row r="38" spans="1:3" x14ac:dyDescent="0.35">
      <c r="A38" s="6">
        <f t="shared" si="0"/>
        <v>43697</v>
      </c>
      <c r="B38" s="3">
        <f>HAVERW!B49</f>
        <v>128.16999999999999</v>
      </c>
      <c r="C38" s="7">
        <f>HAVERW!C45/HAVERW!D45</f>
        <v>50.387534701606299</v>
      </c>
    </row>
    <row r="39" spans="1:3" x14ac:dyDescent="0.35">
      <c r="A39" s="6">
        <f t="shared" si="0"/>
        <v>43704</v>
      </c>
      <c r="B39" s="3">
        <f>HAVERW!B50</f>
        <v>128.22</v>
      </c>
      <c r="C39" s="7">
        <f>HAVERW!C46/HAVERW!D46</f>
        <v>51.376643845737078</v>
      </c>
    </row>
    <row r="40" spans="1:3" x14ac:dyDescent="0.35">
      <c r="A40" s="6">
        <f t="shared" si="0"/>
        <v>43711</v>
      </c>
      <c r="B40" s="3">
        <f>HAVERW!B51</f>
        <v>127.86</v>
      </c>
      <c r="C40" s="7">
        <f>HAVERW!C47/HAVERW!D47</f>
        <v>47.241083789307133</v>
      </c>
    </row>
    <row r="41" spans="1:3" x14ac:dyDescent="0.35">
      <c r="A41" s="6">
        <f t="shared" si="0"/>
        <v>43718</v>
      </c>
      <c r="B41" s="3">
        <f>HAVERW!B52</f>
        <v>127.79</v>
      </c>
      <c r="C41" s="7">
        <f>HAVERW!C48/HAVERW!D48</f>
        <v>48.156476307000425</v>
      </c>
    </row>
    <row r="42" spans="1:3" x14ac:dyDescent="0.35">
      <c r="A42" s="6">
        <f t="shared" si="0"/>
        <v>43725</v>
      </c>
      <c r="B42" s="3">
        <f>HAVERW!B53</f>
        <v>126.92</v>
      </c>
      <c r="C42" s="7">
        <f>HAVERW!C49/HAVERW!D49</f>
        <v>48.889654832832733</v>
      </c>
    </row>
    <row r="43" spans="1:3" x14ac:dyDescent="0.35">
      <c r="A43" s="6">
        <f t="shared" si="0"/>
        <v>43732</v>
      </c>
      <c r="B43" s="3">
        <f>HAVERW!B54</f>
        <v>126.78</v>
      </c>
      <c r="C43" s="7">
        <f>HAVERW!C50/HAVERW!D50</f>
        <v>48.950436721418782</v>
      </c>
    </row>
    <row r="44" spans="1:3" x14ac:dyDescent="0.35">
      <c r="A44" s="6">
        <f t="shared" si="0"/>
        <v>43739</v>
      </c>
      <c r="B44" s="3">
        <f>HAVERW!B55</f>
        <v>126.92</v>
      </c>
      <c r="C44" s="7">
        <f>HAVERW!C51/HAVERW!D51</f>
        <v>49.380165289256198</v>
      </c>
    </row>
    <row r="45" spans="1:3" x14ac:dyDescent="0.35">
      <c r="A45" s="6">
        <f t="shared" si="0"/>
        <v>43746</v>
      </c>
      <c r="B45" s="3">
        <f>HAVERW!B56</f>
        <v>126.87</v>
      </c>
      <c r="C45" s="7">
        <f>HAVERW!C52/HAVERW!D52</f>
        <v>50.731809874985842</v>
      </c>
    </row>
    <row r="46" spans="1:3" x14ac:dyDescent="0.35">
      <c r="A46" s="6">
        <f t="shared" si="0"/>
        <v>43753</v>
      </c>
      <c r="B46" s="3">
        <f>HAVERW!B57</f>
        <v>126.91</v>
      </c>
      <c r="C46" s="7">
        <f>HAVERW!C53/HAVERW!D53</f>
        <v>52.549899799599203</v>
      </c>
    </row>
    <row r="47" spans="1:3" x14ac:dyDescent="0.35">
      <c r="A47" s="6">
        <f t="shared" si="0"/>
        <v>43760</v>
      </c>
      <c r="B47" s="3">
        <f>HAVERW!B58</f>
        <v>126.4</v>
      </c>
      <c r="C47" s="7">
        <f>HAVERW!C54/HAVERW!D54</f>
        <v>50.98577449096576</v>
      </c>
    </row>
    <row r="48" spans="1:3" x14ac:dyDescent="0.35">
      <c r="A48" s="6">
        <f t="shared" si="0"/>
        <v>43767</v>
      </c>
      <c r="B48" s="3">
        <f>HAVERW!B59</f>
        <v>125.77</v>
      </c>
      <c r="C48" s="7">
        <f>HAVERW!C55/HAVERW!D55</f>
        <v>48.11041788522779</v>
      </c>
    </row>
    <row r="49" spans="1:3" x14ac:dyDescent="0.35">
      <c r="A49" s="6">
        <f t="shared" si="0"/>
        <v>43774</v>
      </c>
      <c r="B49" s="3">
        <f>HAVERW!B60</f>
        <v>125.56</v>
      </c>
      <c r="C49" s="7">
        <f>HAVERW!C56/HAVERW!D56</f>
        <v>48.117242943711723</v>
      </c>
    </row>
    <row r="50" spans="1:3" x14ac:dyDescent="0.35">
      <c r="A50" s="6">
        <f t="shared" si="0"/>
        <v>43781</v>
      </c>
      <c r="B50" s="3">
        <f>HAVERW!B61</f>
        <v>125.59</v>
      </c>
      <c r="C50" s="7">
        <f>HAVERW!C57/HAVERW!D57</f>
        <v>46.412029792827184</v>
      </c>
    </row>
    <row r="51" spans="1:3" x14ac:dyDescent="0.35">
      <c r="A51" s="6">
        <f t="shared" si="0"/>
        <v>43788</v>
      </c>
      <c r="B51" s="3">
        <f>HAVERW!B62</f>
        <v>125.58</v>
      </c>
      <c r="C51" s="7">
        <f>HAVERW!C58/HAVERW!D58</f>
        <v>47.125812607636583</v>
      </c>
    </row>
    <row r="52" spans="1:3" x14ac:dyDescent="0.35">
      <c r="A52" s="6">
        <f t="shared" si="0"/>
        <v>43795</v>
      </c>
      <c r="B52" s="3">
        <f>HAVERW!B63</f>
        <v>125.32</v>
      </c>
      <c r="C52" s="7">
        <f>HAVERW!C59/HAVERW!D59</f>
        <v>46.673073048249357</v>
      </c>
    </row>
    <row r="53" spans="1:3" x14ac:dyDescent="0.35">
      <c r="A53" s="6">
        <f t="shared" si="0"/>
        <v>43802</v>
      </c>
      <c r="B53" s="3">
        <f>HAVERW!B64</f>
        <v>124.81</v>
      </c>
      <c r="C53" s="7">
        <f>HAVERW!C60/HAVERW!D60</f>
        <v>48.544973544973544</v>
      </c>
    </row>
    <row r="54" spans="1:3" x14ac:dyDescent="0.35">
      <c r="A54" s="6">
        <f t="shared" si="0"/>
        <v>43809</v>
      </c>
      <c r="B54" s="3">
        <f>HAVERW!B65</f>
        <v>124.75</v>
      </c>
      <c r="C54" s="7">
        <f>HAVERW!C61/HAVERW!D61</f>
        <v>48.647808033839787</v>
      </c>
    </row>
    <row r="55" spans="1:3" x14ac:dyDescent="0.35">
      <c r="A55" s="6">
        <f t="shared" si="0"/>
        <v>43816</v>
      </c>
      <c r="B55" s="3">
        <f>HAVERW!B66</f>
        <v>124.33</v>
      </c>
      <c r="C55" s="7">
        <f>HAVERW!C62/HAVERW!D62</f>
        <v>49.375851815140635</v>
      </c>
    </row>
    <row r="56" spans="1:3" x14ac:dyDescent="0.35">
      <c r="A56" s="6">
        <f t="shared" si="0"/>
        <v>43823</v>
      </c>
      <c r="B56" s="3">
        <f>HAVERW!B67</f>
        <v>124.16</v>
      </c>
      <c r="C56" s="7">
        <f>HAVERW!C63/HAVERW!D63</f>
        <v>50.217968010673459</v>
      </c>
    </row>
    <row r="57" spans="1:3" x14ac:dyDescent="0.35">
      <c r="A57" s="6">
        <f t="shared" si="0"/>
        <v>43830</v>
      </c>
      <c r="B57" s="3">
        <f>HAVERW!B68</f>
        <v>124.96</v>
      </c>
      <c r="C57" s="7">
        <f>HAVERW!C64/HAVERW!D64</f>
        <v>49.564964308691522</v>
      </c>
    </row>
    <row r="58" spans="1:3" x14ac:dyDescent="0.35">
      <c r="A58" s="6">
        <f t="shared" si="0"/>
        <v>43837</v>
      </c>
      <c r="B58" s="3">
        <f>HAVERW!B69</f>
        <v>126.09</v>
      </c>
      <c r="C58" s="7">
        <f>HAVERW!C65/HAVERW!D65</f>
        <v>50.404002122337609</v>
      </c>
    </row>
    <row r="59" spans="1:3" x14ac:dyDescent="0.35">
      <c r="A59" s="6">
        <f t="shared" si="0"/>
        <v>43844</v>
      </c>
      <c r="B59" s="3">
        <f>HAVERW!B70</f>
        <v>127.17</v>
      </c>
      <c r="C59" s="7">
        <f>HAVERW!C66/HAVERW!D66</f>
        <v>52.497561867609406</v>
      </c>
    </row>
    <row r="60" spans="1:3" x14ac:dyDescent="0.35">
      <c r="A60" s="6">
        <f t="shared" si="0"/>
        <v>43851</v>
      </c>
      <c r="B60" s="3">
        <f>HAVERW!B71</f>
        <v>127.18</v>
      </c>
      <c r="C60" s="7">
        <f>HAVERW!C67/HAVERW!D67</f>
        <v>52.776637240812974</v>
      </c>
    </row>
    <row r="61" spans="1:3" x14ac:dyDescent="0.35">
      <c r="A61" s="6">
        <f t="shared" si="0"/>
        <v>43858</v>
      </c>
      <c r="B61" s="3">
        <f>HAVERW!B72</f>
        <v>127.33</v>
      </c>
      <c r="C61" s="7">
        <f>HAVERW!C68/HAVERW!D68</f>
        <v>51.762826607842385</v>
      </c>
    </row>
    <row r="62" spans="1:3" x14ac:dyDescent="0.35">
      <c r="A62" s="6">
        <f t="shared" si="0"/>
        <v>43865</v>
      </c>
      <c r="B62" s="3">
        <f>HAVERW!B73</f>
        <v>125.85</v>
      </c>
      <c r="C62" s="7">
        <f>HAVERW!C69/HAVERW!D69</f>
        <v>51.862087920477627</v>
      </c>
    </row>
    <row r="63" spans="1:3" x14ac:dyDescent="0.35">
      <c r="A63" s="6">
        <f t="shared" si="0"/>
        <v>43872</v>
      </c>
      <c r="B63" s="3">
        <f>HAVERW!B74</f>
        <v>124.73</v>
      </c>
      <c r="C63" s="7">
        <f>HAVERW!C70/HAVERW!D70</f>
        <v>49.235117036308893</v>
      </c>
    </row>
    <row r="64" spans="1:3" x14ac:dyDescent="0.35">
      <c r="A64" s="6">
        <f t="shared" si="0"/>
        <v>43879</v>
      </c>
      <c r="B64" s="3">
        <f>HAVERW!B75</f>
        <v>123.8</v>
      </c>
      <c r="C64" s="7">
        <f>HAVERW!C71/HAVERW!D71</f>
        <v>47.566608546694816</v>
      </c>
    </row>
    <row r="65" spans="1:3" x14ac:dyDescent="0.35">
      <c r="A65" s="6">
        <f t="shared" si="0"/>
        <v>43886</v>
      </c>
      <c r="B65" s="3">
        <f>HAVERW!B76</f>
        <v>123.45</v>
      </c>
      <c r="C65" s="7">
        <f>HAVERW!C72/HAVERW!D72</f>
        <v>44.836032946507849</v>
      </c>
    </row>
    <row r="66" spans="1:3" x14ac:dyDescent="0.35">
      <c r="A66" s="6">
        <f t="shared" si="0"/>
        <v>43893</v>
      </c>
      <c r="B66" s="3">
        <f>HAVERW!B77</f>
        <v>122.43</v>
      </c>
      <c r="C66" s="7">
        <f>HAVERW!C73/HAVERW!D73</f>
        <v>42.06657420249654</v>
      </c>
    </row>
    <row r="67" spans="1:3" x14ac:dyDescent="0.35">
      <c r="A67" s="6">
        <f t="shared" si="0"/>
        <v>43900</v>
      </c>
      <c r="B67" s="3">
        <f>HAVERW!B78</f>
        <v>122.24</v>
      </c>
      <c r="C67" s="7">
        <f>HAVERW!C74/HAVERW!D74</f>
        <v>42.616384755214582</v>
      </c>
    </row>
    <row r="68" spans="1:3" x14ac:dyDescent="0.35">
      <c r="A68" s="6">
        <f t="shared" si="0"/>
        <v>43907</v>
      </c>
      <c r="B68" s="3">
        <f>HAVERW!B79</f>
        <v>120.33</v>
      </c>
      <c r="C68" s="7">
        <f>HAVERW!C75/HAVERW!D75</f>
        <v>45.224177552940453</v>
      </c>
    </row>
    <row r="69" spans="1:3" x14ac:dyDescent="0.35">
      <c r="A69" s="6">
        <f t="shared" si="0"/>
        <v>43914</v>
      </c>
      <c r="B69" s="3">
        <f>HAVERW!B80</f>
        <v>119.64</v>
      </c>
      <c r="C69" s="7">
        <f>HAVERW!C76/HAVERW!D76</f>
        <v>42.044150931696279</v>
      </c>
    </row>
    <row r="70" spans="1:3" x14ac:dyDescent="0.35">
      <c r="A70" s="6">
        <f t="shared" ref="A70:A133" si="1">A69+7</f>
        <v>43921</v>
      </c>
      <c r="B70" s="3">
        <f>HAVERW!B81</f>
        <v>112.45</v>
      </c>
      <c r="C70" s="7">
        <f>HAVERW!C77/HAVERW!D77</f>
        <v>39.402228819223176</v>
      </c>
    </row>
    <row r="71" spans="1:3" x14ac:dyDescent="0.35">
      <c r="A71" s="6">
        <f t="shared" si="1"/>
        <v>43928</v>
      </c>
      <c r="B71" s="3">
        <f>HAVERW!B82</f>
        <v>110.23</v>
      </c>
      <c r="C71" s="7">
        <f>HAVERW!C78/HAVERW!D78</f>
        <v>26.398434442270066</v>
      </c>
    </row>
    <row r="72" spans="1:3" x14ac:dyDescent="0.35">
      <c r="A72" s="6">
        <f t="shared" si="1"/>
        <v>43935</v>
      </c>
      <c r="B72" s="3">
        <f>HAVERW!B83</f>
        <v>109.27</v>
      </c>
      <c r="C72" s="7">
        <f>HAVERW!C79/HAVERW!D79</f>
        <v>21.574299890673622</v>
      </c>
    </row>
    <row r="73" spans="1:3" x14ac:dyDescent="0.35">
      <c r="A73" s="6">
        <f t="shared" si="1"/>
        <v>43942</v>
      </c>
      <c r="B73" s="3">
        <f>HAVERW!B84</f>
        <v>108.63</v>
      </c>
      <c r="C73" s="7">
        <f>HAVERW!C80/HAVERW!D80</f>
        <v>20.129706480283605</v>
      </c>
    </row>
    <row r="74" spans="1:3" x14ac:dyDescent="0.35">
      <c r="A74" s="6">
        <f t="shared" si="1"/>
        <v>43949</v>
      </c>
      <c r="B74" s="3">
        <f>HAVERW!B85</f>
        <v>107.88</v>
      </c>
      <c r="C74" s="7">
        <f>HAVERW!C81/HAVERW!D81</f>
        <v>15.123307152784514</v>
      </c>
    </row>
    <row r="75" spans="1:3" x14ac:dyDescent="0.35">
      <c r="A75" s="6">
        <f t="shared" si="1"/>
        <v>43956</v>
      </c>
      <c r="B75" s="3">
        <f>HAVERW!B86</f>
        <v>107.56</v>
      </c>
      <c r="C75" s="7">
        <f>HAVERW!C82/HAVERW!D82</f>
        <v>18.241985103626948</v>
      </c>
    </row>
    <row r="76" spans="1:3" x14ac:dyDescent="0.35">
      <c r="A76" s="6">
        <f t="shared" si="1"/>
        <v>43963</v>
      </c>
      <c r="B76" s="3">
        <f>HAVERW!B87</f>
        <v>107.45</v>
      </c>
      <c r="C76" s="7">
        <f>HAVERW!C83/HAVERW!D83</f>
        <v>15.980977880792057</v>
      </c>
    </row>
    <row r="77" spans="1:3" x14ac:dyDescent="0.35">
      <c r="A77" s="6">
        <f t="shared" si="1"/>
        <v>43970</v>
      </c>
      <c r="B77" s="3">
        <f>HAVERW!B88</f>
        <v>105.09</v>
      </c>
      <c r="C77" s="7">
        <f>HAVERW!C84/HAVERW!D84</f>
        <v>11.517985727924399</v>
      </c>
    </row>
    <row r="78" spans="1:3" x14ac:dyDescent="0.35">
      <c r="A78" s="6">
        <f t="shared" si="1"/>
        <v>43977</v>
      </c>
      <c r="B78" s="3">
        <f>HAVERW!B89</f>
        <v>104.87</v>
      </c>
      <c r="C78" s="7">
        <f>HAVERW!C85/HAVERW!D85</f>
        <v>13.649685302925963</v>
      </c>
    </row>
    <row r="79" spans="1:3" x14ac:dyDescent="0.35">
      <c r="A79" s="6">
        <f t="shared" si="1"/>
        <v>43984</v>
      </c>
      <c r="B79" s="3">
        <f>HAVERW!B90</f>
        <v>105.17</v>
      </c>
      <c r="C79" s="7">
        <f>HAVERW!C86/HAVERW!D86</f>
        <v>19.039253695178097</v>
      </c>
    </row>
    <row r="80" spans="1:3" x14ac:dyDescent="0.35">
      <c r="A80" s="6">
        <f t="shared" si="1"/>
        <v>43991</v>
      </c>
      <c r="B80" s="3">
        <f>HAVERW!B91</f>
        <v>105.74</v>
      </c>
      <c r="C80" s="7">
        <f>HAVERW!C87/HAVERW!D87</f>
        <v>23.009846666340078</v>
      </c>
    </row>
    <row r="81" spans="1:3" x14ac:dyDescent="0.35">
      <c r="A81" s="6">
        <f t="shared" si="1"/>
        <v>43998</v>
      </c>
      <c r="B81" s="3">
        <f>HAVERW!B92</f>
        <v>106.37</v>
      </c>
      <c r="C81" s="7">
        <f>HAVERW!C88/HAVERW!D88</f>
        <v>27.767323897570147</v>
      </c>
    </row>
    <row r="82" spans="1:3" x14ac:dyDescent="0.35">
      <c r="A82" s="6">
        <f t="shared" si="1"/>
        <v>44005</v>
      </c>
      <c r="B82" s="3">
        <f>HAVERW!B93</f>
        <v>107.13</v>
      </c>
      <c r="C82" s="7">
        <f>HAVERW!C89/HAVERW!D89</f>
        <v>27.360922246351809</v>
      </c>
    </row>
    <row r="83" spans="1:3" x14ac:dyDescent="0.35">
      <c r="A83" s="6">
        <f t="shared" si="1"/>
        <v>44012</v>
      </c>
      <c r="B83" s="3">
        <f>HAVERW!B94</f>
        <v>108.31</v>
      </c>
      <c r="C83" s="7">
        <f>HAVERW!C90/HAVERW!D90</f>
        <v>30.468340559340604</v>
      </c>
    </row>
    <row r="84" spans="1:3" x14ac:dyDescent="0.35">
      <c r="A84" s="6">
        <f t="shared" si="1"/>
        <v>44019</v>
      </c>
      <c r="B84" s="3">
        <f>HAVERW!B95</f>
        <v>109.43</v>
      </c>
      <c r="C84" s="7">
        <f>HAVERW!C91/HAVERW!D91</f>
        <v>31.185782603892104</v>
      </c>
    </row>
    <row r="85" spans="1:3" x14ac:dyDescent="0.35">
      <c r="A85" s="6">
        <f t="shared" si="1"/>
        <v>44026</v>
      </c>
      <c r="B85" s="3">
        <f>HAVERW!B96</f>
        <v>111.24</v>
      </c>
      <c r="C85" s="7">
        <f>HAVERW!C92/HAVERW!D92</f>
        <v>32.775180892617023</v>
      </c>
    </row>
    <row r="86" spans="1:3" x14ac:dyDescent="0.35">
      <c r="A86" s="6">
        <f t="shared" si="1"/>
        <v>44033</v>
      </c>
      <c r="B86" s="3">
        <f>HAVERW!B97</f>
        <v>112.23</v>
      </c>
      <c r="C86" s="7">
        <f>HAVERW!C93/HAVERW!D93</f>
        <v>33.546279608650877</v>
      </c>
    </row>
    <row r="87" spans="1:3" x14ac:dyDescent="0.35">
      <c r="A87" s="6">
        <f t="shared" si="1"/>
        <v>44040</v>
      </c>
      <c r="B87" s="3">
        <f>HAVERW!B98</f>
        <v>112.66</v>
      </c>
      <c r="C87" s="7">
        <f>HAVERW!C94/HAVERW!D94</f>
        <v>34.104064883342197</v>
      </c>
    </row>
    <row r="88" spans="1:3" x14ac:dyDescent="0.35">
      <c r="A88" s="6">
        <f t="shared" si="1"/>
        <v>44047</v>
      </c>
      <c r="B88" s="3">
        <f>HAVERW!B99</f>
        <v>112.91</v>
      </c>
      <c r="C88" s="7">
        <f>HAVERW!C95/HAVERW!D95</f>
        <v>34.197944628873678</v>
      </c>
    </row>
    <row r="89" spans="1:3" x14ac:dyDescent="0.35">
      <c r="A89" s="6">
        <f t="shared" si="1"/>
        <v>44054</v>
      </c>
      <c r="B89" s="3">
        <f>HAVERW!B100</f>
        <v>113.02</v>
      </c>
      <c r="C89" s="7">
        <f>HAVERW!C96/HAVERW!D96</f>
        <v>34.499642317780783</v>
      </c>
    </row>
    <row r="90" spans="1:3" x14ac:dyDescent="0.35">
      <c r="A90" s="6">
        <f t="shared" si="1"/>
        <v>44061</v>
      </c>
      <c r="B90" s="3">
        <f>HAVERW!B101</f>
        <v>113.04</v>
      </c>
      <c r="C90" s="7">
        <f>HAVERW!C97/HAVERW!D97</f>
        <v>34.217677457864063</v>
      </c>
    </row>
    <row r="91" spans="1:3" x14ac:dyDescent="0.35">
      <c r="A91" s="6">
        <f t="shared" si="1"/>
        <v>44068</v>
      </c>
      <c r="B91" s="3">
        <f>HAVERW!B102</f>
        <v>113.22</v>
      </c>
      <c r="C91" s="7">
        <f>HAVERW!C98/HAVERW!D98</f>
        <v>33.259464450600184</v>
      </c>
    </row>
    <row r="92" spans="1:3" x14ac:dyDescent="0.35">
      <c r="A92" s="6">
        <f t="shared" si="1"/>
        <v>44075</v>
      </c>
      <c r="B92" s="3">
        <f>HAVERW!B103</f>
        <v>113.29</v>
      </c>
      <c r="C92" s="7">
        <f>HAVERW!C99/HAVERW!D99</f>
        <v>33.88644419997555</v>
      </c>
    </row>
    <row r="93" spans="1:3" x14ac:dyDescent="0.35">
      <c r="A93" s="6">
        <f t="shared" si="1"/>
        <v>44082</v>
      </c>
      <c r="B93" s="3">
        <f>HAVERW!B104</f>
        <v>113.37</v>
      </c>
      <c r="C93" s="7">
        <f>HAVERW!C100/HAVERW!D100</f>
        <v>34.029645476772608</v>
      </c>
    </row>
    <row r="94" spans="1:3" x14ac:dyDescent="0.35">
      <c r="A94" s="6">
        <f t="shared" si="1"/>
        <v>44089</v>
      </c>
      <c r="B94" s="3">
        <f>HAVERW!B105</f>
        <v>113.32</v>
      </c>
      <c r="C94" s="7">
        <f>HAVERW!C101/HAVERW!D101</f>
        <v>34.077387745165169</v>
      </c>
    </row>
    <row r="95" spans="1:3" x14ac:dyDescent="0.35">
      <c r="A95" s="6">
        <f t="shared" si="1"/>
        <v>44096</v>
      </c>
      <c r="B95" s="3">
        <f>HAVERW!B106</f>
        <v>113.31</v>
      </c>
      <c r="C95" s="7">
        <f>HAVERW!C102/HAVERW!D102</f>
        <v>34.33787044202667</v>
      </c>
    </row>
    <row r="96" spans="1:3" x14ac:dyDescent="0.35">
      <c r="A96" s="6">
        <f t="shared" si="1"/>
        <v>44103</v>
      </c>
      <c r="B96" s="3">
        <f>HAVERW!B107</f>
        <v>113.3</v>
      </c>
      <c r="C96" s="7">
        <f>HAVERW!C103/HAVERW!D103</f>
        <v>32.361948781541813</v>
      </c>
    </row>
    <row r="97" spans="1:3" x14ac:dyDescent="0.35">
      <c r="A97" s="6">
        <f t="shared" si="1"/>
        <v>44110</v>
      </c>
      <c r="B97" s="3">
        <f>HAVERW!B108</f>
        <v>113.26</v>
      </c>
      <c r="C97" s="7">
        <f>HAVERW!C104/HAVERW!D104</f>
        <v>30.418690724034239</v>
      </c>
    </row>
    <row r="98" spans="1:3" x14ac:dyDescent="0.35">
      <c r="A98" s="6">
        <f t="shared" si="1"/>
        <v>44117</v>
      </c>
      <c r="B98" s="3">
        <f>HAVERW!B109</f>
        <v>113.19</v>
      </c>
      <c r="C98" s="7">
        <f>HAVERW!C105/HAVERW!D105</f>
        <v>31.527908811110944</v>
      </c>
    </row>
    <row r="99" spans="1:3" x14ac:dyDescent="0.35">
      <c r="A99" s="6">
        <f t="shared" si="1"/>
        <v>44124</v>
      </c>
      <c r="B99" s="3">
        <f>HAVERW!B110</f>
        <v>113.18</v>
      </c>
      <c r="C99" s="7">
        <f>HAVERW!C106/HAVERW!D106</f>
        <v>32.095761381475668</v>
      </c>
    </row>
    <row r="100" spans="1:3" x14ac:dyDescent="0.35">
      <c r="A100" s="6">
        <f t="shared" si="1"/>
        <v>44131</v>
      </c>
      <c r="B100" s="3">
        <f>HAVERW!B111</f>
        <v>113.14</v>
      </c>
      <c r="C100" s="7">
        <f>HAVERW!C107/HAVERW!D107</f>
        <v>31.046421363142368</v>
      </c>
    </row>
    <row r="101" spans="1:3" x14ac:dyDescent="0.35">
      <c r="A101" s="6">
        <f t="shared" si="1"/>
        <v>44138</v>
      </c>
      <c r="B101" s="3">
        <f>HAVERW!B112</f>
        <v>113.11</v>
      </c>
      <c r="C101" s="7">
        <f>HAVERW!C108/HAVERW!D108</f>
        <v>31.704605120919172</v>
      </c>
    </row>
    <row r="102" spans="1:3" x14ac:dyDescent="0.35">
      <c r="A102" s="6">
        <f t="shared" si="1"/>
        <v>44145</v>
      </c>
      <c r="B102" s="3">
        <f>HAVERW!B113</f>
        <v>112.5</v>
      </c>
      <c r="C102" s="7">
        <f>HAVERW!C109/HAVERW!D109</f>
        <v>31.816921797517477</v>
      </c>
    </row>
    <row r="103" spans="1:3" x14ac:dyDescent="0.35">
      <c r="A103" s="6">
        <f t="shared" si="1"/>
        <v>44152</v>
      </c>
      <c r="B103" s="3">
        <f>HAVERW!B114</f>
        <v>112.35</v>
      </c>
      <c r="C103" s="7">
        <f>HAVERW!C110/HAVERW!D110</f>
        <v>31.40935278254474</v>
      </c>
    </row>
    <row r="104" spans="1:3" x14ac:dyDescent="0.35">
      <c r="A104" s="6">
        <f t="shared" si="1"/>
        <v>44159</v>
      </c>
      <c r="B104" s="3">
        <f>HAVERW!B115</f>
        <v>112.42</v>
      </c>
      <c r="C104" s="7">
        <f>HAVERW!C111/HAVERW!D111</f>
        <v>29.195292522875008</v>
      </c>
    </row>
    <row r="105" spans="1:3" x14ac:dyDescent="0.35">
      <c r="A105" s="6">
        <f t="shared" si="1"/>
        <v>44166</v>
      </c>
      <c r="B105" s="3">
        <f>HAVERW!B116</f>
        <v>112.61</v>
      </c>
      <c r="C105" s="7">
        <f>HAVERW!C112/HAVERW!D112</f>
        <v>29.651118171632056</v>
      </c>
    </row>
    <row r="106" spans="1:3" x14ac:dyDescent="0.35">
      <c r="A106" s="6">
        <f t="shared" si="1"/>
        <v>44173</v>
      </c>
      <c r="B106" s="3">
        <f>HAVERW!B117</f>
        <v>113.17</v>
      </c>
      <c r="C106" s="7">
        <f>HAVERW!C113/HAVERW!D113</f>
        <v>31.775062609091599</v>
      </c>
    </row>
    <row r="107" spans="1:3" x14ac:dyDescent="0.35">
      <c r="A107" s="6">
        <f t="shared" si="1"/>
        <v>44180</v>
      </c>
      <c r="B107" s="3">
        <f>HAVERW!B118</f>
        <v>113.82</v>
      </c>
      <c r="C107" s="7">
        <f>HAVERW!C114/HAVERW!D114</f>
        <v>32.458867924528299</v>
      </c>
    </row>
    <row r="108" spans="1:3" x14ac:dyDescent="0.35">
      <c r="A108" s="6">
        <f t="shared" si="1"/>
        <v>44187</v>
      </c>
      <c r="B108" s="3">
        <f>HAVERW!B119</f>
        <v>114.43</v>
      </c>
      <c r="C108" s="7">
        <f>HAVERW!C115/HAVERW!D115</f>
        <v>34.80105544061648</v>
      </c>
    </row>
    <row r="109" spans="1:3" x14ac:dyDescent="0.35">
      <c r="A109" s="6">
        <f t="shared" si="1"/>
        <v>44194</v>
      </c>
      <c r="B109" s="3">
        <f>HAVERW!B120</f>
        <v>114.91</v>
      </c>
      <c r="C109" s="7">
        <f>HAVERW!C116/HAVERW!D116</f>
        <v>35.685613239222249</v>
      </c>
    </row>
    <row r="110" spans="1:3" x14ac:dyDescent="0.35">
      <c r="A110" s="6">
        <f t="shared" si="1"/>
        <v>44201</v>
      </c>
      <c r="B110" s="3">
        <f>HAVERW!B121</f>
        <v>115.39</v>
      </c>
      <c r="C110" s="7">
        <f>HAVERW!C117/HAVERW!D117</f>
        <v>37.051726987274833</v>
      </c>
    </row>
    <row r="111" spans="1:3" x14ac:dyDescent="0.35">
      <c r="A111" s="6">
        <f t="shared" si="1"/>
        <v>44208</v>
      </c>
      <c r="B111" s="3">
        <f>HAVERW!B122</f>
        <v>116.14</v>
      </c>
      <c r="C111" s="7">
        <f>HAVERW!C118/HAVERW!D118</f>
        <v>37.898112815335054</v>
      </c>
    </row>
    <row r="112" spans="1:3" x14ac:dyDescent="0.35">
      <c r="A112" s="6">
        <f t="shared" si="1"/>
        <v>44215</v>
      </c>
      <c r="B112" s="3">
        <f>HAVERW!B123</f>
        <v>116.93</v>
      </c>
      <c r="C112" s="7">
        <f>HAVERW!C119/HAVERW!D119</f>
        <v>37.66233766233767</v>
      </c>
    </row>
    <row r="113" spans="1:3" x14ac:dyDescent="0.35">
      <c r="A113" s="6">
        <f t="shared" si="1"/>
        <v>44222</v>
      </c>
      <c r="B113" s="3">
        <f>HAVERW!B124</f>
        <v>118.1</v>
      </c>
      <c r="C113" s="7">
        <f>HAVERW!C120/HAVERW!D120</f>
        <v>37.397855267355403</v>
      </c>
    </row>
    <row r="114" spans="1:3" x14ac:dyDescent="0.35">
      <c r="A114" s="6">
        <f t="shared" si="1"/>
        <v>44229</v>
      </c>
      <c r="B114" s="3">
        <f>HAVERW!B125</f>
        <v>119.14</v>
      </c>
      <c r="C114" s="7">
        <f>HAVERW!C121/HAVERW!D121</f>
        <v>39.280240509313835</v>
      </c>
    </row>
    <row r="115" spans="1:3" x14ac:dyDescent="0.35">
      <c r="A115" s="6">
        <f t="shared" si="1"/>
        <v>44236</v>
      </c>
      <c r="B115" s="3">
        <f>HAVERW!B126</f>
        <v>119.67</v>
      </c>
      <c r="C115" s="7">
        <f>HAVERW!C122/HAVERW!D122</f>
        <v>40.705024549436985</v>
      </c>
    </row>
    <row r="116" spans="1:3" x14ac:dyDescent="0.35">
      <c r="A116" s="6">
        <f t="shared" si="1"/>
        <v>44243</v>
      </c>
      <c r="B116" s="3">
        <f>HAVERW!B127</f>
        <v>120.53</v>
      </c>
      <c r="C116" s="7">
        <f>HAVERW!C123/HAVERW!D123</f>
        <v>40.48348555260727</v>
      </c>
    </row>
    <row r="117" spans="1:3" x14ac:dyDescent="0.35">
      <c r="A117" s="6">
        <f t="shared" si="1"/>
        <v>44250</v>
      </c>
      <c r="B117" s="3">
        <f>HAVERW!B128</f>
        <v>121.27</v>
      </c>
      <c r="C117" s="7">
        <f>HAVERW!C124/HAVERW!D124</f>
        <v>40.238317484394138</v>
      </c>
    </row>
    <row r="118" spans="1:3" x14ac:dyDescent="0.35">
      <c r="A118" s="6">
        <f t="shared" si="1"/>
        <v>44257</v>
      </c>
      <c r="B118" s="3">
        <f>HAVERW!B129</f>
        <v>122.17</v>
      </c>
      <c r="C118" s="7">
        <f>HAVERW!C125/HAVERW!D125</f>
        <v>42.610401206106644</v>
      </c>
    </row>
    <row r="119" spans="1:3" x14ac:dyDescent="0.35">
      <c r="A119" s="6">
        <f t="shared" si="1"/>
        <v>44264</v>
      </c>
      <c r="B119" s="3">
        <f>HAVERW!B130</f>
        <v>122.94</v>
      </c>
      <c r="C119" s="7">
        <f>HAVERW!C126/HAVERW!D126</f>
        <v>44.259731232622805</v>
      </c>
    </row>
    <row r="120" spans="1:3" x14ac:dyDescent="0.35">
      <c r="A120" s="6">
        <f t="shared" si="1"/>
        <v>44271</v>
      </c>
      <c r="B120" s="3">
        <f>HAVERW!B131</f>
        <v>123.9</v>
      </c>
      <c r="C120" s="7">
        <f>HAVERW!C127/HAVERW!D127</f>
        <v>45.864197530864203</v>
      </c>
    </row>
    <row r="121" spans="1:3" x14ac:dyDescent="0.35">
      <c r="A121" s="6">
        <f t="shared" si="1"/>
        <v>44278</v>
      </c>
      <c r="B121" s="3">
        <f>HAVERW!B132</f>
        <v>124.57</v>
      </c>
      <c r="C121" s="7">
        <f>HAVERW!C128/HAVERW!D128</f>
        <v>46.793423427264059</v>
      </c>
    </row>
    <row r="122" spans="1:3" x14ac:dyDescent="0.35">
      <c r="A122" s="6">
        <f t="shared" si="1"/>
        <v>44285</v>
      </c>
      <c r="B122" s="3">
        <f>HAVERW!B133</f>
        <v>125.13</v>
      </c>
      <c r="C122" s="7">
        <f>HAVERW!C129/HAVERW!D129</f>
        <v>47.324453120514441</v>
      </c>
    </row>
    <row r="123" spans="1:3" x14ac:dyDescent="0.35">
      <c r="A123" s="6">
        <f t="shared" si="1"/>
        <v>44292</v>
      </c>
      <c r="B123" s="3">
        <f>HAVERW!B134</f>
        <v>125.24</v>
      </c>
      <c r="C123" s="7">
        <f>HAVERW!C130/HAVERW!D130</f>
        <v>49.05212246836809</v>
      </c>
    </row>
    <row r="124" spans="1:3" x14ac:dyDescent="0.35">
      <c r="A124" s="6">
        <f t="shared" si="1"/>
        <v>44299</v>
      </c>
      <c r="B124" s="3">
        <f>HAVERW!B135</f>
        <v>125.4</v>
      </c>
      <c r="C124" s="7">
        <f>HAVERW!C131/HAVERW!D131</f>
        <v>47.595530854954347</v>
      </c>
    </row>
    <row r="125" spans="1:3" x14ac:dyDescent="0.35">
      <c r="A125" s="6">
        <f t="shared" si="1"/>
        <v>44306</v>
      </c>
      <c r="B125" s="3">
        <f>HAVERW!B136</f>
        <v>125.48</v>
      </c>
      <c r="C125" s="7">
        <f>HAVERW!C132/HAVERW!D132</f>
        <v>45.370477904883572</v>
      </c>
    </row>
    <row r="126" spans="1:3" x14ac:dyDescent="0.35">
      <c r="A126" s="6">
        <f t="shared" si="1"/>
        <v>44313</v>
      </c>
      <c r="B126" s="3">
        <f>HAVERW!B137</f>
        <v>125.8</v>
      </c>
      <c r="C126" s="7">
        <f>HAVERW!C133/HAVERW!D133</f>
        <v>46.228538240952481</v>
      </c>
    </row>
    <row r="127" spans="1:3" x14ac:dyDescent="0.35">
      <c r="A127" s="6">
        <f t="shared" si="1"/>
        <v>44320</v>
      </c>
      <c r="B127" s="3">
        <f>HAVERW!B138</f>
        <v>126.09</v>
      </c>
      <c r="C127" s="7">
        <f>HAVERW!C134/HAVERW!D134</f>
        <v>44.878960548760567</v>
      </c>
    </row>
    <row r="128" spans="1:3" x14ac:dyDescent="0.35">
      <c r="A128" s="6">
        <f t="shared" si="1"/>
        <v>44327</v>
      </c>
      <c r="B128" s="3">
        <f>HAVERW!B139</f>
        <v>126.53</v>
      </c>
      <c r="C128" s="7">
        <f>HAVERW!C135/HAVERW!D135</f>
        <v>46.963074823215095</v>
      </c>
    </row>
    <row r="129" spans="1:3" x14ac:dyDescent="0.35">
      <c r="A129" s="6">
        <f t="shared" si="1"/>
        <v>44334</v>
      </c>
      <c r="B129" s="3">
        <f>HAVERW!B140</f>
        <v>127.19</v>
      </c>
      <c r="C129" s="7">
        <f>HAVERW!C136/HAVERW!D136</f>
        <v>46.976276060388209</v>
      </c>
    </row>
    <row r="130" spans="1:3" x14ac:dyDescent="0.35">
      <c r="A130" s="6">
        <f t="shared" si="1"/>
        <v>44341</v>
      </c>
      <c r="B130" s="3">
        <f>HAVERW!B141</f>
        <v>127.89</v>
      </c>
      <c r="C130" s="7">
        <f>HAVERW!C137/HAVERW!D137</f>
        <v>48.172073951514285</v>
      </c>
    </row>
    <row r="131" spans="1:3" x14ac:dyDescent="0.35">
      <c r="A131" s="6">
        <f t="shared" si="1"/>
        <v>44348</v>
      </c>
      <c r="B131" s="3">
        <f>HAVERW!B142</f>
        <v>128.15</v>
      </c>
      <c r="C131" s="7">
        <f>HAVERW!C138/HAVERW!D138</f>
        <v>49.581386992454192</v>
      </c>
    </row>
    <row r="132" spans="1:3" x14ac:dyDescent="0.35">
      <c r="A132" s="6">
        <f t="shared" si="1"/>
        <v>44355</v>
      </c>
      <c r="B132" s="3">
        <f>HAVERW!B143</f>
        <v>128.69</v>
      </c>
      <c r="C132" s="7">
        <f>HAVERW!C139/HAVERW!D139</f>
        <v>48.737803494440655</v>
      </c>
    </row>
    <row r="133" spans="1:3" x14ac:dyDescent="0.35">
      <c r="A133" s="6">
        <f t="shared" si="1"/>
        <v>44362</v>
      </c>
      <c r="B133" s="3">
        <f>HAVERW!B144</f>
        <v>129.47</v>
      </c>
      <c r="C133" s="7">
        <f>HAVERW!C140/HAVERW!D140</f>
        <v>47.662838496419042</v>
      </c>
    </row>
    <row r="134" spans="1:3" x14ac:dyDescent="0.35">
      <c r="A134" s="6">
        <f t="shared" ref="A134:A197" si="2">A133+7</f>
        <v>44369</v>
      </c>
      <c r="B134" s="3">
        <f>HAVERW!B145</f>
        <v>130.1</v>
      </c>
      <c r="C134" s="7">
        <f>HAVERW!C141/HAVERW!D141</f>
        <v>48.763635336008591</v>
      </c>
    </row>
    <row r="135" spans="1:3" x14ac:dyDescent="0.35">
      <c r="A135" s="6">
        <f t="shared" si="2"/>
        <v>44376</v>
      </c>
      <c r="B135" s="3">
        <f>HAVERW!B146</f>
        <v>130.72999999999999</v>
      </c>
      <c r="C135" s="7">
        <f>HAVERW!C142/HAVERW!D142</f>
        <v>49.857117657435168</v>
      </c>
    </row>
    <row r="136" spans="1:3" x14ac:dyDescent="0.35">
      <c r="A136" s="6">
        <f t="shared" si="2"/>
        <v>44383</v>
      </c>
      <c r="B136" s="3">
        <f>HAVERW!B147</f>
        <v>131.69999999999999</v>
      </c>
      <c r="C136" s="7">
        <f>HAVERW!C143/HAVERW!D143</f>
        <v>50.528920944703714</v>
      </c>
    </row>
    <row r="137" spans="1:3" x14ac:dyDescent="0.35">
      <c r="A137" s="6">
        <f t="shared" si="2"/>
        <v>44390</v>
      </c>
      <c r="B137" s="3">
        <f>HAVERW!B148</f>
        <v>132.47</v>
      </c>
      <c r="C137" s="7">
        <f>HAVERW!C144/HAVERW!D144</f>
        <v>52.176705680844982</v>
      </c>
    </row>
    <row r="138" spans="1:3" x14ac:dyDescent="0.35">
      <c r="A138" s="6">
        <f t="shared" si="2"/>
        <v>44397</v>
      </c>
      <c r="B138" s="3">
        <f>HAVERW!B149</f>
        <v>133.19999999999999</v>
      </c>
      <c r="C138" s="7">
        <f>HAVERW!C145/HAVERW!D145</f>
        <v>54.17175534131237</v>
      </c>
    </row>
    <row r="139" spans="1:3" x14ac:dyDescent="0.35">
      <c r="A139" s="6">
        <f t="shared" si="2"/>
        <v>44404</v>
      </c>
      <c r="B139" s="3">
        <f>HAVERW!B150</f>
        <v>133.47999999999999</v>
      </c>
      <c r="C139" s="7">
        <f>HAVERW!C146/HAVERW!D146</f>
        <v>55.185689061278829</v>
      </c>
    </row>
    <row r="140" spans="1:3" x14ac:dyDescent="0.35">
      <c r="A140" s="6">
        <f t="shared" si="2"/>
        <v>44411</v>
      </c>
      <c r="B140" s="3">
        <f>HAVERW!B151</f>
        <v>134.21</v>
      </c>
      <c r="C140" s="7">
        <f>HAVERW!C147/HAVERW!D147</f>
        <v>55.150382475660635</v>
      </c>
    </row>
    <row r="141" spans="1:3" x14ac:dyDescent="0.35">
      <c r="A141" s="6">
        <f t="shared" si="2"/>
        <v>44418</v>
      </c>
      <c r="B141" s="3">
        <f>HAVERW!B152</f>
        <v>134.69999999999999</v>
      </c>
      <c r="C141" s="7">
        <f>HAVERW!C148/HAVERW!D148</f>
        <v>54.722920095873384</v>
      </c>
    </row>
    <row r="142" spans="1:3" x14ac:dyDescent="0.35">
      <c r="A142" s="6">
        <f t="shared" si="2"/>
        <v>44425</v>
      </c>
      <c r="B142" s="3">
        <f>HAVERW!B153</f>
        <v>134.69999999999999</v>
      </c>
      <c r="C142" s="7">
        <f>HAVERW!C149/HAVERW!D149</f>
        <v>52.736064041135926</v>
      </c>
    </row>
    <row r="143" spans="1:3" x14ac:dyDescent="0.35">
      <c r="A143" s="6">
        <f t="shared" si="2"/>
        <v>44432</v>
      </c>
      <c r="B143" s="3">
        <f>HAVERW!B154</f>
        <v>134.68</v>
      </c>
      <c r="C143" s="7">
        <f>HAVERW!C150/HAVERW!D150</f>
        <v>54.532235307667939</v>
      </c>
    </row>
    <row r="144" spans="1:3" x14ac:dyDescent="0.35">
      <c r="A144" s="6">
        <f t="shared" si="2"/>
        <v>44439</v>
      </c>
      <c r="B144" s="3">
        <f>HAVERW!B155</f>
        <v>134.66</v>
      </c>
      <c r="C144" s="7">
        <f>HAVERW!C151/HAVERW!D151</f>
        <v>51.986359515964253</v>
      </c>
    </row>
    <row r="145" spans="1:3" x14ac:dyDescent="0.35">
      <c r="A145" s="6">
        <f t="shared" si="2"/>
        <v>44446</v>
      </c>
      <c r="B145" s="3">
        <f>HAVERW!B156</f>
        <v>134.76</v>
      </c>
      <c r="C145" s="7">
        <f>HAVERW!C152/HAVERW!D152</f>
        <v>51.33066670517394</v>
      </c>
    </row>
    <row r="146" spans="1:3" x14ac:dyDescent="0.35">
      <c r="A146" s="6">
        <f t="shared" si="2"/>
        <v>44453</v>
      </c>
      <c r="B146" s="3">
        <f>HAVERW!B157</f>
        <v>134.75</v>
      </c>
      <c r="C146" s="7">
        <f>HAVERW!C153/HAVERW!D153</f>
        <v>49.600734415527647</v>
      </c>
    </row>
    <row r="147" spans="1:3" x14ac:dyDescent="0.35">
      <c r="A147" s="6">
        <f t="shared" si="2"/>
        <v>44460</v>
      </c>
      <c r="B147" s="3">
        <f>HAVERW!B158</f>
        <v>134.86000000000001</v>
      </c>
      <c r="C147" s="7">
        <f>HAVERW!C154/HAVERW!D154</f>
        <v>51.731522895147066</v>
      </c>
    </row>
    <row r="148" spans="1:3" x14ac:dyDescent="0.35">
      <c r="A148" s="6">
        <f t="shared" si="2"/>
        <v>44467</v>
      </c>
      <c r="B148" s="3">
        <f>HAVERW!B159</f>
        <v>135.19</v>
      </c>
      <c r="C148" s="7">
        <f>HAVERW!C155/HAVERW!D155</f>
        <v>52.862391630920705</v>
      </c>
    </row>
    <row r="149" spans="1:3" x14ac:dyDescent="0.35">
      <c r="A149" s="6">
        <f t="shared" si="2"/>
        <v>44474</v>
      </c>
      <c r="B149" s="3">
        <f>HAVERW!B160</f>
        <v>136.1</v>
      </c>
      <c r="C149" s="7">
        <f>HAVERW!C156/HAVERW!D156</f>
        <v>52.149291776496817</v>
      </c>
    </row>
    <row r="150" spans="1:3" x14ac:dyDescent="0.35">
      <c r="A150" s="6">
        <f t="shared" si="2"/>
        <v>44481</v>
      </c>
      <c r="B150" s="3">
        <f>HAVERW!B161</f>
        <v>137.16999999999999</v>
      </c>
      <c r="C150" s="7">
        <f>HAVERW!C157/HAVERW!D157</f>
        <v>53.671604616476252</v>
      </c>
    </row>
    <row r="151" spans="1:3" x14ac:dyDescent="0.35">
      <c r="A151" s="6">
        <f t="shared" si="2"/>
        <v>44488</v>
      </c>
      <c r="B151" s="3">
        <f>HAVERW!B162</f>
        <v>139.46</v>
      </c>
      <c r="C151" s="7">
        <f>HAVERW!C158/HAVERW!D158</f>
        <v>55.081832940866754</v>
      </c>
    </row>
    <row r="152" spans="1:3" x14ac:dyDescent="0.35">
      <c r="A152" s="6">
        <f t="shared" si="2"/>
        <v>44495</v>
      </c>
      <c r="B152" s="3">
        <f>HAVERW!B163</f>
        <v>141.81</v>
      </c>
      <c r="C152" s="7">
        <f>HAVERW!C159/HAVERW!D159</f>
        <v>57.940142405530771</v>
      </c>
    </row>
    <row r="153" spans="1:3" x14ac:dyDescent="0.35">
      <c r="A153" s="6">
        <f t="shared" si="2"/>
        <v>44502</v>
      </c>
      <c r="B153" s="3">
        <f>HAVERW!B164</f>
        <v>143.69999999999999</v>
      </c>
      <c r="C153" s="7">
        <f>HAVERW!C160/HAVERW!D160</f>
        <v>60.252435458512714</v>
      </c>
    </row>
    <row r="154" spans="1:3" x14ac:dyDescent="0.35">
      <c r="A154" s="6">
        <f t="shared" si="2"/>
        <v>44509</v>
      </c>
      <c r="B154" s="3">
        <f>HAVERW!B165</f>
        <v>144.9</v>
      </c>
      <c r="C154" s="7">
        <f>HAVERW!C161/HAVERW!D161</f>
        <v>61.385993676074492</v>
      </c>
    </row>
    <row r="155" spans="1:3" x14ac:dyDescent="0.35">
      <c r="A155" s="6">
        <f t="shared" si="2"/>
        <v>44516</v>
      </c>
      <c r="B155" s="3">
        <f>HAVERW!B166</f>
        <v>145.87</v>
      </c>
      <c r="C155" s="7">
        <f>HAVERW!C162/HAVERW!D162</f>
        <v>61.646935933147631</v>
      </c>
    </row>
    <row r="156" spans="1:3" x14ac:dyDescent="0.35">
      <c r="A156" s="6">
        <f t="shared" si="2"/>
        <v>44523</v>
      </c>
      <c r="B156" s="3">
        <f>HAVERW!B167</f>
        <v>146.88999999999999</v>
      </c>
      <c r="C156" s="7">
        <f>HAVERW!C163/HAVERW!D163</f>
        <v>61.15392444819264</v>
      </c>
    </row>
    <row r="157" spans="1:3" x14ac:dyDescent="0.35">
      <c r="A157" s="6">
        <f t="shared" si="2"/>
        <v>44530</v>
      </c>
      <c r="B157" s="3">
        <f>HAVERW!B168</f>
        <v>147.53</v>
      </c>
      <c r="C157" s="7">
        <f>HAVERW!C164/HAVERW!D164</f>
        <v>60.738679856326925</v>
      </c>
    </row>
    <row r="158" spans="1:3" x14ac:dyDescent="0.35">
      <c r="A158" s="6">
        <f t="shared" si="2"/>
        <v>44537</v>
      </c>
      <c r="B158" s="3">
        <f>HAVERW!B169</f>
        <v>146.88999999999999</v>
      </c>
      <c r="C158" s="7">
        <f>HAVERW!C165/HAVERW!D165</f>
        <v>61.88497217068646</v>
      </c>
    </row>
    <row r="159" spans="1:3" x14ac:dyDescent="0.35">
      <c r="A159" s="6">
        <f t="shared" si="2"/>
        <v>44544</v>
      </c>
      <c r="B159" s="3">
        <f>HAVERW!B170</f>
        <v>146.22</v>
      </c>
      <c r="C159" s="7">
        <f>HAVERW!C166/HAVERW!D166</f>
        <v>60.686035446651594</v>
      </c>
    </row>
    <row r="160" spans="1:3" x14ac:dyDescent="0.35">
      <c r="A160" s="6">
        <f t="shared" si="2"/>
        <v>44551</v>
      </c>
      <c r="B160" s="3">
        <f>HAVERW!B171</f>
        <v>145.16</v>
      </c>
      <c r="C160" s="7">
        <f>HAVERW!C167/HAVERW!D167</f>
        <v>60.097068472220144</v>
      </c>
    </row>
    <row r="161" spans="1:3" x14ac:dyDescent="0.35">
      <c r="A161" s="6">
        <f t="shared" si="2"/>
        <v>44558</v>
      </c>
      <c r="B161" s="3">
        <f>HAVERW!B172</f>
        <v>144.91999999999999</v>
      </c>
      <c r="C161" s="7">
        <f>HAVERW!C168/HAVERW!D168</f>
        <v>53.488827615302306</v>
      </c>
    </row>
    <row r="162" spans="1:3" x14ac:dyDescent="0.35">
      <c r="A162" s="6">
        <f t="shared" si="2"/>
        <v>44565</v>
      </c>
      <c r="B162" s="3">
        <f>HAVERW!B173</f>
        <v>145.04</v>
      </c>
      <c r="C162" s="7">
        <f>HAVERW!C169/HAVERW!D169</f>
        <v>56.553893619273765</v>
      </c>
    </row>
    <row r="163" spans="1:3" x14ac:dyDescent="0.35">
      <c r="A163" s="6">
        <f t="shared" si="2"/>
        <v>44572</v>
      </c>
      <c r="B163" s="3">
        <f>HAVERW!B174</f>
        <v>144.82</v>
      </c>
      <c r="C163" s="7">
        <f>HAVERW!C170/HAVERW!D170</f>
        <v>55.654312790487111</v>
      </c>
    </row>
    <row r="164" spans="1:3" x14ac:dyDescent="0.35">
      <c r="A164" s="6">
        <f t="shared" si="2"/>
        <v>44579</v>
      </c>
      <c r="B164" s="3">
        <f>HAVERW!B175</f>
        <v>144.80000000000001</v>
      </c>
      <c r="C164" s="7">
        <f>HAVERW!C171/HAVERW!D171</f>
        <v>55.469664675332467</v>
      </c>
    </row>
    <row r="165" spans="1:3" x14ac:dyDescent="0.35">
      <c r="A165" s="6">
        <f t="shared" si="2"/>
        <v>44586</v>
      </c>
      <c r="B165" s="3">
        <f>HAVERW!B176</f>
        <v>144.87</v>
      </c>
      <c r="C165" s="7">
        <f>HAVERW!C172/HAVERW!D172</f>
        <v>57.950669764223228</v>
      </c>
    </row>
    <row r="166" spans="1:3" x14ac:dyDescent="0.35">
      <c r="A166" s="6">
        <f t="shared" si="2"/>
        <v>44593</v>
      </c>
      <c r="B166" s="3">
        <f>HAVERW!B177</f>
        <v>145.74</v>
      </c>
      <c r="C166" s="7">
        <f>HAVERW!C173/HAVERW!D173</f>
        <v>59.392441485143031</v>
      </c>
    </row>
    <row r="167" spans="1:3" x14ac:dyDescent="0.35">
      <c r="A167" s="6">
        <f t="shared" si="2"/>
        <v>44600</v>
      </c>
      <c r="B167" s="3">
        <f>HAVERW!B178</f>
        <v>146.33000000000001</v>
      </c>
      <c r="C167" s="7">
        <f>HAVERW!C174/HAVERW!D174</f>
        <v>62.302621942287985</v>
      </c>
    </row>
    <row r="168" spans="1:3" x14ac:dyDescent="0.35">
      <c r="A168" s="6">
        <f t="shared" si="2"/>
        <v>44607</v>
      </c>
      <c r="B168" s="3">
        <f>HAVERW!B179</f>
        <v>146.94999999999999</v>
      </c>
      <c r="C168" s="7">
        <f>HAVERW!C175/HAVERW!D175</f>
        <v>65.518812463256893</v>
      </c>
    </row>
    <row r="169" spans="1:3" x14ac:dyDescent="0.35">
      <c r="A169" s="6">
        <f t="shared" si="2"/>
        <v>44614</v>
      </c>
      <c r="B169" s="3">
        <f>HAVERW!B180</f>
        <v>147.77000000000001</v>
      </c>
      <c r="C169" s="7">
        <f>HAVERW!C176/HAVERW!D176</f>
        <v>66.988761372420754</v>
      </c>
    </row>
    <row r="170" spans="1:3" x14ac:dyDescent="0.35">
      <c r="A170" s="6">
        <f t="shared" si="2"/>
        <v>44621</v>
      </c>
      <c r="B170" s="3">
        <f>HAVERW!B181</f>
        <v>149.22</v>
      </c>
      <c r="C170" s="7">
        <f>HAVERW!C177/HAVERW!D177</f>
        <v>68.583298834939981</v>
      </c>
    </row>
    <row r="171" spans="1:3" x14ac:dyDescent="0.35">
      <c r="A171" s="6">
        <f t="shared" si="2"/>
        <v>44628</v>
      </c>
      <c r="B171" s="3">
        <f>HAVERW!B182</f>
        <v>152.94999999999999</v>
      </c>
      <c r="C171" s="7">
        <f>HAVERW!C178/HAVERW!D178</f>
        <v>71.06620681523404</v>
      </c>
    </row>
    <row r="172" spans="1:3" x14ac:dyDescent="0.35">
      <c r="A172" s="6">
        <f t="shared" si="2"/>
        <v>44635</v>
      </c>
      <c r="B172" s="3">
        <f>HAVERW!B183</f>
        <v>159.96</v>
      </c>
      <c r="C172" s="7">
        <f>HAVERW!C179/HAVERW!D179</f>
        <v>72.104339619859317</v>
      </c>
    </row>
    <row r="173" spans="1:3" x14ac:dyDescent="0.35">
      <c r="A173" s="6">
        <f t="shared" si="2"/>
        <v>44642</v>
      </c>
      <c r="B173" s="3">
        <f>HAVERW!B184</f>
        <v>165.37</v>
      </c>
      <c r="C173" s="7">
        <f>HAVERW!C180/HAVERW!D180</f>
        <v>73.65861613960179</v>
      </c>
    </row>
    <row r="174" spans="1:3" x14ac:dyDescent="0.35">
      <c r="A174" s="6">
        <f t="shared" si="2"/>
        <v>44649</v>
      </c>
      <c r="B174" s="3">
        <f>HAVERW!B185</f>
        <v>162.65</v>
      </c>
      <c r="C174" s="7">
        <f>HAVERW!C181/HAVERW!D181</f>
        <v>85.857267188859865</v>
      </c>
    </row>
    <row r="175" spans="1:3" x14ac:dyDescent="0.35">
      <c r="A175" s="6">
        <f t="shared" si="2"/>
        <v>44656</v>
      </c>
      <c r="B175" s="3">
        <f>HAVERW!B186</f>
        <v>161.91</v>
      </c>
      <c r="C175" s="7">
        <f>HAVERW!C182/HAVERW!D182</f>
        <v>93.178804919306927</v>
      </c>
    </row>
    <row r="176" spans="1:3" x14ac:dyDescent="0.35">
      <c r="A176" s="6">
        <f t="shared" si="2"/>
        <v>44663</v>
      </c>
      <c r="B176" s="3">
        <f>HAVERW!B187</f>
        <v>161.78</v>
      </c>
      <c r="C176" s="7">
        <f>HAVERW!C183/HAVERW!D183</f>
        <v>83.608233265689151</v>
      </c>
    </row>
    <row r="177" spans="1:3" x14ac:dyDescent="0.35">
      <c r="A177" s="6">
        <f t="shared" si="2"/>
        <v>44670</v>
      </c>
      <c r="B177" s="3">
        <f>HAVERW!B188</f>
        <v>161.66999999999999</v>
      </c>
      <c r="C177" s="7">
        <f>HAVERW!C184/HAVERW!D184</f>
        <v>93.565383276052629</v>
      </c>
    </row>
    <row r="178" spans="1:3" x14ac:dyDescent="0.35">
      <c r="A178" s="6">
        <f t="shared" si="2"/>
        <v>44677</v>
      </c>
      <c r="B178" s="3">
        <f>HAVERW!B189</f>
        <v>161.84</v>
      </c>
      <c r="C178" s="7">
        <f>HAVERW!C185/HAVERW!D185</f>
        <v>84.712725943748183</v>
      </c>
    </row>
    <row r="179" spans="1:3" x14ac:dyDescent="0.35">
      <c r="A179" s="6">
        <f t="shared" si="2"/>
        <v>44684</v>
      </c>
      <c r="B179" s="3">
        <f>HAVERW!B190</f>
        <v>162.47999999999999</v>
      </c>
      <c r="C179" s="7">
        <f>HAVERW!C186/HAVERW!D186</f>
        <v>79.002094897319438</v>
      </c>
    </row>
    <row r="180" spans="1:3" x14ac:dyDescent="0.35">
      <c r="A180" s="6">
        <f t="shared" si="2"/>
        <v>44691</v>
      </c>
      <c r="B180" s="3">
        <f>HAVERW!B191</f>
        <v>163.68</v>
      </c>
      <c r="C180" s="7">
        <f>HAVERW!C187/HAVERW!D187</f>
        <v>80.83197546247483</v>
      </c>
    </row>
    <row r="181" spans="1:3" x14ac:dyDescent="0.35">
      <c r="A181" s="6">
        <f t="shared" si="2"/>
        <v>44698</v>
      </c>
      <c r="B181" s="3">
        <f>HAVERW!B192</f>
        <v>165.09</v>
      </c>
      <c r="C181" s="7">
        <f>HAVERW!C188/HAVERW!D188</f>
        <v>81.462860224996149</v>
      </c>
    </row>
    <row r="182" spans="1:3" x14ac:dyDescent="0.35">
      <c r="A182" s="6">
        <f t="shared" si="2"/>
        <v>44705</v>
      </c>
      <c r="B182" s="3">
        <f>HAVERW!B193</f>
        <v>167.59</v>
      </c>
      <c r="C182" s="7">
        <f>HAVERW!C189/HAVERW!D189</f>
        <v>82.691450760710424</v>
      </c>
    </row>
    <row r="183" spans="1:3" x14ac:dyDescent="0.35">
      <c r="A183" s="6">
        <f t="shared" si="2"/>
        <v>44712</v>
      </c>
      <c r="B183" s="3">
        <f>HAVERW!B194</f>
        <v>170.36</v>
      </c>
      <c r="C183" s="7">
        <f>HAVERW!C190/HAVERW!D190</f>
        <v>88.754850513702067</v>
      </c>
    </row>
    <row r="184" spans="1:3" x14ac:dyDescent="0.35">
      <c r="A184" s="6">
        <f t="shared" si="2"/>
        <v>44719</v>
      </c>
      <c r="B184" s="3">
        <f>HAVERW!B195</f>
        <v>174.99</v>
      </c>
      <c r="C184" s="7">
        <f>HAVERW!C191/HAVERW!D191</f>
        <v>87.475369257576489</v>
      </c>
    </row>
    <row r="185" spans="1:3" x14ac:dyDescent="0.35">
      <c r="A185" s="6">
        <f t="shared" si="2"/>
        <v>44726</v>
      </c>
      <c r="B185" s="3">
        <f>HAVERW!B196</f>
        <v>182.53</v>
      </c>
      <c r="C185" s="7">
        <f>HAVERW!C192/HAVERW!D192</f>
        <v>90.941888931838676</v>
      </c>
    </row>
    <row r="186" spans="1:3" x14ac:dyDescent="0.35">
      <c r="A186" s="6">
        <f t="shared" si="2"/>
        <v>44733</v>
      </c>
      <c r="B186" s="3">
        <f>HAVERW!B197</f>
        <v>186.85</v>
      </c>
      <c r="C186" s="7">
        <f>HAVERW!C193/HAVERW!D193</f>
        <v>93.636696429992512</v>
      </c>
    </row>
    <row r="187" spans="1:3" x14ac:dyDescent="0.35">
      <c r="A187" s="6">
        <f t="shared" si="2"/>
        <v>44740</v>
      </c>
      <c r="B187" s="3">
        <f>HAVERW!B198</f>
        <v>190.93</v>
      </c>
      <c r="C187" s="7">
        <f>HAVERW!C194/HAVERW!D194</f>
        <v>98.639554907934823</v>
      </c>
    </row>
    <row r="188" spans="1:3" x14ac:dyDescent="0.35">
      <c r="A188" s="6">
        <f t="shared" si="2"/>
        <v>44747</v>
      </c>
      <c r="B188" s="3">
        <f>HAVERW!B199</f>
        <v>191.55</v>
      </c>
      <c r="C188" s="7">
        <f>HAVERW!C195/HAVERW!D195</f>
        <v>101.80763329497506</v>
      </c>
    </row>
    <row r="189" spans="1:3" x14ac:dyDescent="0.35">
      <c r="A189" s="6">
        <f t="shared" si="2"/>
        <v>44754</v>
      </c>
      <c r="B189" s="3">
        <f>HAVERW!B200</f>
        <v>190.63</v>
      </c>
      <c r="C189" s="7">
        <f>HAVERW!C196/HAVERW!D196</f>
        <v>103.11273782438089</v>
      </c>
    </row>
    <row r="190" spans="1:3" x14ac:dyDescent="0.35">
      <c r="A190" s="6">
        <f t="shared" si="2"/>
        <v>44761</v>
      </c>
      <c r="B190" s="3">
        <f>HAVERW!B201</f>
        <v>188.92</v>
      </c>
      <c r="C190" s="7">
        <f>HAVERW!C197/HAVERW!D197</f>
        <v>95.262634334078058</v>
      </c>
    </row>
    <row r="191" spans="1:3" x14ac:dyDescent="0.35">
      <c r="A191" s="6">
        <f t="shared" si="2"/>
        <v>44768</v>
      </c>
      <c r="B191" s="3">
        <f>HAVERW!B202</f>
        <v>186.6</v>
      </c>
      <c r="C191" s="7">
        <f>HAVERW!C198/HAVERW!D198</f>
        <v>99.006137593997337</v>
      </c>
    </row>
    <row r="192" spans="1:3" x14ac:dyDescent="0.35">
      <c r="A192" s="6">
        <f t="shared" si="2"/>
        <v>44775</v>
      </c>
      <c r="B192" s="3">
        <f>HAVERW!B203</f>
        <v>182.77</v>
      </c>
      <c r="C192" s="7">
        <f>HAVERW!C199/HAVERW!D199</f>
        <v>94.742458855113313</v>
      </c>
    </row>
    <row r="193" spans="1:3" x14ac:dyDescent="0.35">
      <c r="A193" s="6">
        <f t="shared" si="2"/>
        <v>44782</v>
      </c>
      <c r="B193" s="3">
        <f>HAVERW!B204</f>
        <v>177.64</v>
      </c>
      <c r="C193" s="7">
        <f>HAVERW!C200/HAVERW!D200</f>
        <v>92.475617767446536</v>
      </c>
    </row>
    <row r="194" spans="1:3" x14ac:dyDescent="0.35">
      <c r="A194" s="6">
        <f t="shared" si="2"/>
        <v>44789</v>
      </c>
      <c r="B194" s="3">
        <f>HAVERW!B205</f>
        <v>174.19</v>
      </c>
      <c r="C194" s="7">
        <f>HAVERW!C201/HAVERW!D201</f>
        <v>94.551783870215516</v>
      </c>
    </row>
    <row r="195" spans="1:3" x14ac:dyDescent="0.35">
      <c r="A195" s="6">
        <f t="shared" si="2"/>
        <v>44796</v>
      </c>
      <c r="B195" s="3">
        <f>HAVERW!B206</f>
        <v>171.14</v>
      </c>
      <c r="C195" s="7">
        <f>HAVERW!C202/HAVERW!D202</f>
        <v>90.466256043446577</v>
      </c>
    </row>
    <row r="196" spans="1:3" x14ac:dyDescent="0.35">
      <c r="A196" s="6">
        <f t="shared" si="2"/>
        <v>44803</v>
      </c>
      <c r="B196" s="3">
        <f>HAVERW!B207</f>
        <v>170.12</v>
      </c>
      <c r="C196" s="7">
        <f>HAVERW!C203/HAVERW!D203</f>
        <v>84.351145038167942</v>
      </c>
    </row>
    <row r="197" spans="1:3" x14ac:dyDescent="0.35">
      <c r="A197" s="6">
        <f t="shared" si="2"/>
        <v>44810</v>
      </c>
      <c r="B197" s="3">
        <f>HAVERW!B208</f>
        <v>168.93</v>
      </c>
      <c r="C197" s="7">
        <f>HAVERW!C204/HAVERW!D204</f>
        <v>86.041769445814822</v>
      </c>
    </row>
    <row r="198" spans="1:3" x14ac:dyDescent="0.35">
      <c r="A198" s="6">
        <f t="shared" ref="A198:A261" si="3">A197+7</f>
        <v>44817</v>
      </c>
      <c r="B198" s="3">
        <f>HAVERW!B209</f>
        <v>167.61</v>
      </c>
      <c r="C198" s="7">
        <f>HAVERW!C205/HAVERW!D205</f>
        <v>80.568744065170677</v>
      </c>
    </row>
    <row r="199" spans="1:3" x14ac:dyDescent="0.35">
      <c r="A199" s="6">
        <f t="shared" si="3"/>
        <v>44824</v>
      </c>
      <c r="B199" s="3">
        <f>HAVERW!B210</f>
        <v>165.47</v>
      </c>
      <c r="C199" s="7">
        <f>HAVERW!C206/HAVERW!D206</f>
        <v>83.67920376451471</v>
      </c>
    </row>
    <row r="200" spans="1:3" x14ac:dyDescent="0.35">
      <c r="A200" s="6">
        <f t="shared" si="3"/>
        <v>44831</v>
      </c>
      <c r="B200" s="3">
        <f>HAVERW!B211</f>
        <v>164</v>
      </c>
      <c r="C200" s="7">
        <f>HAVERW!C207/HAVERW!D207</f>
        <v>82.19668384398112</v>
      </c>
    </row>
    <row r="201" spans="1:3" x14ac:dyDescent="0.35">
      <c r="A201" s="6">
        <f t="shared" si="3"/>
        <v>44838</v>
      </c>
      <c r="B201" s="3">
        <f>HAVERW!B212</f>
        <v>162.66999999999999</v>
      </c>
      <c r="C201" s="7">
        <f>HAVERW!C208/HAVERW!D208</f>
        <v>78.529621202910889</v>
      </c>
    </row>
    <row r="202" spans="1:3" x14ac:dyDescent="0.35">
      <c r="A202" s="6">
        <f t="shared" si="3"/>
        <v>44845</v>
      </c>
      <c r="B202" s="3">
        <f>HAVERW!B213</f>
        <v>162.09</v>
      </c>
      <c r="C202" s="7">
        <f>HAVERW!C209/HAVERW!D209</f>
        <v>79.144875835555723</v>
      </c>
    </row>
    <row r="203" spans="1:3" x14ac:dyDescent="0.35">
      <c r="A203" s="6">
        <f t="shared" si="3"/>
        <v>44852</v>
      </c>
      <c r="B203" s="3">
        <f>HAVERW!B214</f>
        <v>162.81</v>
      </c>
      <c r="C203" s="7">
        <f>HAVERW!C210/HAVERW!D210</f>
        <v>78.862168782008467</v>
      </c>
    </row>
    <row r="204" spans="1:3" x14ac:dyDescent="0.35">
      <c r="A204" s="6">
        <f t="shared" si="3"/>
        <v>44859</v>
      </c>
      <c r="B204" s="3">
        <f>HAVERW!B215</f>
        <v>164.62</v>
      </c>
      <c r="C204" s="7">
        <f>HAVERW!C211/HAVERW!D211</f>
        <v>80.055035773252627</v>
      </c>
    </row>
    <row r="205" spans="1:3" x14ac:dyDescent="0.35">
      <c r="A205" s="6">
        <f t="shared" si="3"/>
        <v>44866</v>
      </c>
      <c r="B205" s="3">
        <f>HAVERW!B216</f>
        <v>165.87</v>
      </c>
      <c r="C205" s="7">
        <f>HAVERW!C212/HAVERW!D212</f>
        <v>84.149702195750734</v>
      </c>
    </row>
    <row r="206" spans="1:3" x14ac:dyDescent="0.35">
      <c r="A206" s="6">
        <f t="shared" si="3"/>
        <v>44873</v>
      </c>
      <c r="B206" s="3">
        <f>HAVERW!B217</f>
        <v>165.62</v>
      </c>
      <c r="C206" s="7">
        <f>HAVERW!C213/HAVERW!D213</f>
        <v>84.954480975382026</v>
      </c>
    </row>
    <row r="207" spans="1:3" x14ac:dyDescent="0.35">
      <c r="A207" s="6">
        <f t="shared" si="3"/>
        <v>44880</v>
      </c>
      <c r="B207" s="3">
        <f>HAVERW!B218</f>
        <v>164.4</v>
      </c>
      <c r="C207" s="7">
        <f>HAVERW!C214/HAVERW!D214</f>
        <v>80.618480012752158</v>
      </c>
    </row>
    <row r="208" spans="1:3" x14ac:dyDescent="0.35">
      <c r="A208" s="6">
        <f t="shared" si="3"/>
        <v>44887</v>
      </c>
      <c r="B208" s="3">
        <f>HAVERW!B219</f>
        <v>163.28</v>
      </c>
      <c r="C208" s="7">
        <f>HAVERW!C215/HAVERW!D215</f>
        <v>80.818489877487181</v>
      </c>
    </row>
    <row r="209" spans="1:3" x14ac:dyDescent="0.35">
      <c r="A209" s="6">
        <f t="shared" si="3"/>
        <v>44894</v>
      </c>
      <c r="B209" s="3">
        <f>HAVERW!B220</f>
        <v>161.13</v>
      </c>
      <c r="C209" s="7">
        <f>HAVERW!C216/HAVERW!D216</f>
        <v>84.247622730388642</v>
      </c>
    </row>
    <row r="210" spans="1:3" x14ac:dyDescent="0.35">
      <c r="A210" s="6">
        <f t="shared" si="3"/>
        <v>44901</v>
      </c>
      <c r="B210" s="3">
        <f>HAVERW!B221</f>
        <v>159.19999999999999</v>
      </c>
      <c r="C210" s="7">
        <f>HAVERW!C217/HAVERW!D217</f>
        <v>83.032010508849552</v>
      </c>
    </row>
    <row r="211" spans="1:3" x14ac:dyDescent="0.35">
      <c r="A211" s="6">
        <f t="shared" si="3"/>
        <v>44908</v>
      </c>
      <c r="B211" s="3">
        <f>HAVERW!B222</f>
        <v>155.97</v>
      </c>
      <c r="C211" s="7">
        <f>HAVERW!C218/HAVERW!D218</f>
        <v>77.751697119119171</v>
      </c>
    </row>
    <row r="212" spans="1:3" x14ac:dyDescent="0.35">
      <c r="A212" s="6">
        <f t="shared" si="3"/>
        <v>44915</v>
      </c>
      <c r="B212" s="3">
        <f>HAVERW!B223</f>
        <v>154.07</v>
      </c>
      <c r="C212" s="7">
        <f>HAVERW!C219/HAVERW!D219</f>
        <v>72.035085378868729</v>
      </c>
    </row>
    <row r="213" spans="1:3" x14ac:dyDescent="0.35">
      <c r="A213" s="6">
        <f t="shared" si="3"/>
        <v>44922</v>
      </c>
      <c r="B213" s="3">
        <f>HAVERW!B224</f>
        <v>151.94</v>
      </c>
      <c r="C213" s="7">
        <f>HAVERW!C220/HAVERW!D220</f>
        <v>70.345980111521087</v>
      </c>
    </row>
    <row r="214" spans="1:3" x14ac:dyDescent="0.35">
      <c r="A214" s="6">
        <f t="shared" si="3"/>
        <v>44929</v>
      </c>
      <c r="B214" s="3">
        <f>HAVERW!B225</f>
        <v>150.9</v>
      </c>
      <c r="C214" s="7">
        <f>HAVERW!C221/HAVERW!D221</f>
        <v>64.229064804670259</v>
      </c>
    </row>
    <row r="215" spans="1:3" x14ac:dyDescent="0.35">
      <c r="A215" s="6">
        <f t="shared" si="3"/>
        <v>44936</v>
      </c>
      <c r="B215" s="3">
        <f>HAVERW!B226</f>
        <v>149.97</v>
      </c>
      <c r="C215" s="7">
        <f>HAVERW!C222/HAVERW!D222</f>
        <v>65.772893772893752</v>
      </c>
    </row>
    <row r="216" spans="1:3" x14ac:dyDescent="0.35">
      <c r="A216" s="6">
        <f t="shared" si="3"/>
        <v>44943</v>
      </c>
      <c r="B216" s="3">
        <f>HAVERW!B227</f>
        <v>148.79</v>
      </c>
      <c r="C216" s="7">
        <f>HAVERW!C223/HAVERW!D223</f>
        <v>66.700287707926847</v>
      </c>
    </row>
    <row r="217" spans="1:3" x14ac:dyDescent="0.35">
      <c r="A217" s="6">
        <f t="shared" si="3"/>
        <v>44950</v>
      </c>
      <c r="B217" s="3">
        <f>HAVERW!B228</f>
        <v>148.21</v>
      </c>
      <c r="C217" s="7">
        <f>HAVERW!C224/HAVERW!D224</f>
        <v>67.941656749052058</v>
      </c>
    </row>
    <row r="218" spans="1:3" x14ac:dyDescent="0.35">
      <c r="A218" s="6">
        <f t="shared" si="3"/>
        <v>44957</v>
      </c>
      <c r="B218" s="3">
        <f>HAVERW!B229</f>
        <v>148.18</v>
      </c>
      <c r="C218" s="7">
        <f>HAVERW!C225/HAVERW!D225</f>
        <v>64.368942157373638</v>
      </c>
    </row>
    <row r="219" spans="1:3" x14ac:dyDescent="0.35">
      <c r="A219" s="6">
        <f t="shared" si="3"/>
        <v>44964</v>
      </c>
      <c r="B219" s="3">
        <f>HAVERW!B230</f>
        <v>148.34</v>
      </c>
      <c r="C219" s="7">
        <f>HAVERW!C226/HAVERW!D226</f>
        <v>66.2192136437573</v>
      </c>
    </row>
    <row r="220" spans="1:3" x14ac:dyDescent="0.35">
      <c r="A220" s="6">
        <f t="shared" si="3"/>
        <v>44971</v>
      </c>
      <c r="B220" s="3">
        <f>HAVERW!B231</f>
        <v>147.97999999999999</v>
      </c>
      <c r="C220" s="7">
        <f>HAVERW!C227/HAVERW!D227</f>
        <v>68.635566809505264</v>
      </c>
    </row>
    <row r="221" spans="1:3" x14ac:dyDescent="0.35">
      <c r="A221" s="6">
        <f t="shared" si="3"/>
        <v>44978</v>
      </c>
      <c r="B221" s="3">
        <f>HAVERW!B232</f>
        <v>147.86000000000001</v>
      </c>
      <c r="C221" s="7">
        <f>HAVERW!C228/HAVERW!D228</f>
        <v>69.552262974657921</v>
      </c>
    </row>
    <row r="222" spans="1:3" x14ac:dyDescent="0.35">
      <c r="A222" s="6">
        <f t="shared" si="3"/>
        <v>44985</v>
      </c>
      <c r="B222" s="3">
        <f>HAVERW!B233</f>
        <v>147.55000000000001</v>
      </c>
      <c r="C222" s="7">
        <f>HAVERW!C229/HAVERW!D229</f>
        <v>66.653097777415951</v>
      </c>
    </row>
    <row r="223" spans="1:3" x14ac:dyDescent="0.35">
      <c r="A223" s="6">
        <f t="shared" si="3"/>
        <v>44992</v>
      </c>
      <c r="B223" s="3">
        <f>HAVERW!B234</f>
        <v>147.12</v>
      </c>
      <c r="C223" s="7">
        <f>HAVERW!C230/HAVERW!D230</f>
        <v>69.014714655000986</v>
      </c>
    </row>
    <row r="224" spans="1:3" x14ac:dyDescent="0.35">
      <c r="A224" s="6">
        <f t="shared" si="3"/>
        <v>44999</v>
      </c>
      <c r="B224" s="3">
        <f>HAVERW!B235</f>
        <v>146.97</v>
      </c>
      <c r="C224" s="7">
        <f>HAVERW!C231/HAVERW!D231</f>
        <v>69.78857474504602</v>
      </c>
    </row>
    <row r="225" spans="1:3" x14ac:dyDescent="0.35">
      <c r="A225" s="6">
        <f t="shared" si="3"/>
        <v>45006</v>
      </c>
      <c r="B225" s="3">
        <f>HAVERW!B236</f>
        <v>146.62</v>
      </c>
      <c r="C225" s="7">
        <f>HAVERW!C232/HAVERW!D232</f>
        <v>67.920861158178013</v>
      </c>
    </row>
    <row r="226" spans="1:3" x14ac:dyDescent="0.35">
      <c r="A226" s="6">
        <f t="shared" si="3"/>
        <v>45013</v>
      </c>
      <c r="B226" s="3">
        <f>HAVERW!B237</f>
        <v>146.21</v>
      </c>
      <c r="C226" s="7">
        <f>HAVERW!C233/HAVERW!D233</f>
        <v>69.5818629735668</v>
      </c>
    </row>
    <row r="227" spans="1:3" x14ac:dyDescent="0.35">
      <c r="A227" s="6">
        <f t="shared" si="3"/>
        <v>45020</v>
      </c>
      <c r="B227" s="3">
        <f>HAVERW!B238</f>
        <v>145.72</v>
      </c>
      <c r="C227" s="7">
        <f>HAVERW!C234/HAVERW!D234</f>
        <v>69.38949836697094</v>
      </c>
    </row>
    <row r="228" spans="1:3" x14ac:dyDescent="0.35">
      <c r="A228" s="6">
        <f t="shared" si="3"/>
        <v>45027</v>
      </c>
      <c r="B228" s="3">
        <f>HAVERW!B239</f>
        <v>145.82</v>
      </c>
      <c r="C228" s="7">
        <f>HAVERW!C235/HAVERW!D235</f>
        <v>61.88141692251822</v>
      </c>
    </row>
    <row r="229" spans="1:3" x14ac:dyDescent="0.35">
      <c r="A229" s="6">
        <f t="shared" si="3"/>
        <v>45034</v>
      </c>
      <c r="B229" s="3">
        <f>HAVERW!B240</f>
        <v>145.93</v>
      </c>
      <c r="C229" s="7">
        <f>HAVERW!C236/HAVERW!D236</f>
        <v>60.634075429168774</v>
      </c>
    </row>
    <row r="230" spans="1:3" x14ac:dyDescent="0.35">
      <c r="A230" s="6">
        <f t="shared" si="3"/>
        <v>45041</v>
      </c>
      <c r="B230" s="3">
        <f>HAVERW!B241</f>
        <v>145.84</v>
      </c>
      <c r="C230" s="7">
        <f>HAVERW!C237/HAVERW!D237</f>
        <v>63.257428311924215</v>
      </c>
    </row>
    <row r="231" spans="1:3" x14ac:dyDescent="0.35">
      <c r="A231" s="6">
        <f t="shared" si="3"/>
        <v>45048</v>
      </c>
      <c r="B231" s="3">
        <f>HAVERW!B242</f>
        <v>145.71</v>
      </c>
      <c r="C231" s="7">
        <f>HAVERW!C238/HAVERW!D238</f>
        <v>69.072434082374428</v>
      </c>
    </row>
    <row r="232" spans="1:3" x14ac:dyDescent="0.35">
      <c r="A232" s="6">
        <f t="shared" si="3"/>
        <v>45055</v>
      </c>
      <c r="B232" s="3">
        <f>HAVERW!B243</f>
        <v>145.30000000000001</v>
      </c>
      <c r="C232" s="7">
        <f>HAVERW!C239/HAVERW!D239</f>
        <v>70.098894706224542</v>
      </c>
    </row>
    <row r="233" spans="1:3" x14ac:dyDescent="0.35">
      <c r="A233" s="6">
        <f t="shared" si="3"/>
        <v>45062</v>
      </c>
      <c r="B233" s="3">
        <f>HAVERW!B244</f>
        <v>144.65</v>
      </c>
      <c r="C233" s="7">
        <f>HAVERW!C240/HAVERW!D240</f>
        <v>68.133142240615797</v>
      </c>
    </row>
    <row r="234" spans="1:3" x14ac:dyDescent="0.35">
      <c r="A234" s="6">
        <f t="shared" si="3"/>
        <v>45069</v>
      </c>
      <c r="B234" s="3">
        <f>HAVERW!B245</f>
        <v>143.63999999999999</v>
      </c>
      <c r="C234" s="7">
        <f>HAVERW!C241/HAVERW!D241</f>
        <v>65.231607629427799</v>
      </c>
    </row>
    <row r="235" spans="1:3" x14ac:dyDescent="0.35">
      <c r="A235" s="6">
        <f t="shared" si="3"/>
        <v>45076</v>
      </c>
      <c r="B235" s="3">
        <f>HAVERW!B246</f>
        <v>142.94</v>
      </c>
      <c r="C235" s="7">
        <f>HAVERW!C242/HAVERW!D242</f>
        <v>59.451438132419725</v>
      </c>
    </row>
    <row r="236" spans="1:3" x14ac:dyDescent="0.35">
      <c r="A236" s="6">
        <f t="shared" si="3"/>
        <v>45083</v>
      </c>
      <c r="B236" s="3">
        <f>HAVERW!B247</f>
        <v>142.9</v>
      </c>
      <c r="C236" s="7">
        <f>HAVERW!C243/HAVERW!D243</f>
        <v>60.585307585108502</v>
      </c>
    </row>
    <row r="237" spans="1:3" x14ac:dyDescent="0.35">
      <c r="A237" s="6">
        <f t="shared" si="3"/>
        <v>45090</v>
      </c>
      <c r="B237" s="3">
        <f>HAVERW!B248</f>
        <v>142.71</v>
      </c>
      <c r="C237" s="7">
        <f>HAVERW!C244/HAVERW!D244</f>
        <v>60.781513279306758</v>
      </c>
    </row>
    <row r="238" spans="1:3" x14ac:dyDescent="0.35">
      <c r="A238" s="6">
        <f t="shared" si="3"/>
        <v>45097</v>
      </c>
      <c r="B238" s="3">
        <f>HAVERW!B249</f>
        <v>142.94999999999999</v>
      </c>
      <c r="C238" s="7">
        <f>HAVERW!C245/HAVERW!D245</f>
        <v>61.779673338826157</v>
      </c>
    </row>
    <row r="239" spans="1:3" x14ac:dyDescent="0.35">
      <c r="A239" s="6">
        <f t="shared" si="3"/>
        <v>45104</v>
      </c>
      <c r="B239" s="3">
        <f>HAVERW!B250</f>
        <v>143.43</v>
      </c>
      <c r="C239" s="7">
        <f>HAVERW!C246/HAVERW!D246</f>
        <v>59.328702774320476</v>
      </c>
    </row>
    <row r="240" spans="1:3" x14ac:dyDescent="0.35">
      <c r="A240" s="6">
        <f t="shared" si="3"/>
        <v>45111</v>
      </c>
      <c r="B240" s="3">
        <f>HAVERW!B251</f>
        <v>143.4</v>
      </c>
      <c r="C240" s="7">
        <f>HAVERW!C247/HAVERW!D247</f>
        <v>60.950396666399541</v>
      </c>
    </row>
    <row r="241" spans="1:3" x14ac:dyDescent="0.35">
      <c r="A241" s="6">
        <f t="shared" si="3"/>
        <v>45118</v>
      </c>
      <c r="B241" s="3">
        <f>HAVERW!B252</f>
        <v>142.87</v>
      </c>
      <c r="C241" s="7">
        <f>HAVERW!C248/HAVERW!D248</f>
        <v>58.698019411346955</v>
      </c>
    </row>
    <row r="242" spans="1:3" x14ac:dyDescent="0.35">
      <c r="A242" s="6">
        <f t="shared" si="3"/>
        <v>45125</v>
      </c>
      <c r="B242" s="3">
        <f>HAVERW!B253</f>
        <v>142.77000000000001</v>
      </c>
      <c r="C242" s="7">
        <f>HAVERW!C249/HAVERW!D249</f>
        <v>59.062014408814818</v>
      </c>
    </row>
    <row r="243" spans="1:3" x14ac:dyDescent="0.35">
      <c r="A243" s="6">
        <f t="shared" si="3"/>
        <v>45132</v>
      </c>
      <c r="B243" s="3">
        <f>HAVERW!B254</f>
        <v>142.96</v>
      </c>
      <c r="C243" s="7">
        <f>HAVERW!C250/HAVERW!D250</f>
        <v>58.00381697449567</v>
      </c>
    </row>
    <row r="244" spans="1:3" x14ac:dyDescent="0.35">
      <c r="A244" s="6">
        <f t="shared" si="3"/>
        <v>45139</v>
      </c>
      <c r="B244" s="3">
        <f>HAVERW!B255</f>
        <v>144.13</v>
      </c>
      <c r="C244" s="7">
        <f>HAVERW!C251/HAVERW!D251</f>
        <v>60.167787343681262</v>
      </c>
    </row>
    <row r="245" spans="1:3" x14ac:dyDescent="0.35">
      <c r="A245" s="6">
        <f t="shared" si="3"/>
        <v>45146</v>
      </c>
      <c r="B245" s="3">
        <f>HAVERW!B256</f>
        <v>146.18</v>
      </c>
      <c r="C245" s="7">
        <f>HAVERW!C252/HAVERW!D252</f>
        <v>61.431497251266563</v>
      </c>
    </row>
    <row r="246" spans="1:3" x14ac:dyDescent="0.35">
      <c r="A246" s="6">
        <f t="shared" si="3"/>
        <v>45153</v>
      </c>
      <c r="B246" s="3">
        <f>HAVERW!B257</f>
        <v>147.77000000000001</v>
      </c>
      <c r="C246" s="7">
        <f>HAVERW!C253/HAVERW!D253</f>
        <v>61.38020511553195</v>
      </c>
    </row>
    <row r="247" spans="1:3" x14ac:dyDescent="0.35">
      <c r="A247" s="6">
        <f t="shared" si="3"/>
        <v>45160</v>
      </c>
      <c r="B247" s="3">
        <f>HAVERW!B258</f>
        <v>149.4</v>
      </c>
      <c r="C247" s="7">
        <f>HAVERW!C254/HAVERW!D254</f>
        <v>64.95824845667012</v>
      </c>
    </row>
    <row r="248" spans="1:3" x14ac:dyDescent="0.35">
      <c r="A248" s="6">
        <f t="shared" si="3"/>
        <v>45167</v>
      </c>
      <c r="B248" s="3">
        <f>HAVERW!B259</f>
        <v>150.72999999999999</v>
      </c>
      <c r="C248" s="7">
        <f>HAVERW!C255/HAVERW!D255</f>
        <v>67.140258436833534</v>
      </c>
    </row>
    <row r="249" spans="1:3" x14ac:dyDescent="0.35">
      <c r="A249" s="6">
        <f t="shared" si="3"/>
        <v>45174</v>
      </c>
      <c r="B249" s="3">
        <f>HAVERW!B260</f>
        <v>151.71</v>
      </c>
      <c r="C249" s="7">
        <f>HAVERW!C256/HAVERW!D256</f>
        <v>68.96849577535572</v>
      </c>
    </row>
    <row r="250" spans="1:3" x14ac:dyDescent="0.35">
      <c r="A250" s="6">
        <f t="shared" si="3"/>
        <v>45181</v>
      </c>
      <c r="B250" s="3">
        <f>HAVERW!B261</f>
        <v>153.1</v>
      </c>
      <c r="C250" s="7">
        <f>HAVERW!C257/HAVERW!D257</f>
        <v>67.470769424189101</v>
      </c>
    </row>
    <row r="251" spans="1:3" x14ac:dyDescent="0.35">
      <c r="A251" s="6">
        <f t="shared" si="3"/>
        <v>45188</v>
      </c>
      <c r="B251" s="3">
        <f>HAVERW!B262</f>
        <v>154.06</v>
      </c>
      <c r="C251" s="7">
        <f>HAVERW!C258/HAVERW!D258</f>
        <v>66.868211669613544</v>
      </c>
    </row>
    <row r="252" spans="1:3" x14ac:dyDescent="0.35">
      <c r="A252" s="6">
        <f t="shared" si="3"/>
        <v>45195</v>
      </c>
      <c r="B252" s="3">
        <f>HAVERW!B263</f>
        <v>155.41</v>
      </c>
      <c r="C252" s="7">
        <f>HAVERW!C259/HAVERW!D259</f>
        <v>69.210401517546643</v>
      </c>
    </row>
    <row r="253" spans="1:3" x14ac:dyDescent="0.35">
      <c r="A253" s="6">
        <f t="shared" si="3"/>
        <v>45202</v>
      </c>
      <c r="B253" s="3">
        <f>HAVERW!B264</f>
        <v>156.02000000000001</v>
      </c>
      <c r="C253" s="7">
        <f>HAVERW!C260/HAVERW!D260</f>
        <v>72.890585079202864</v>
      </c>
    </row>
    <row r="254" spans="1:3" x14ac:dyDescent="0.35">
      <c r="A254" s="6">
        <f t="shared" si="3"/>
        <v>45209</v>
      </c>
      <c r="B254" s="3">
        <f>HAVERW!B265</f>
        <v>155.94</v>
      </c>
      <c r="C254" s="7">
        <f>HAVERW!C261/HAVERW!D261</f>
        <v>75.341520186210772</v>
      </c>
    </row>
    <row r="255" spans="1:3" x14ac:dyDescent="0.35">
      <c r="A255" s="6">
        <f t="shared" si="3"/>
        <v>45216</v>
      </c>
      <c r="B255" s="3">
        <f>HAVERW!B266</f>
        <v>155.09</v>
      </c>
      <c r="C255" s="7">
        <f>HAVERW!C262/HAVERW!D262</f>
        <v>76.8324882963731</v>
      </c>
    </row>
    <row r="256" spans="1:3" x14ac:dyDescent="0.35">
      <c r="A256" s="6">
        <f t="shared" si="3"/>
        <v>45223</v>
      </c>
      <c r="B256" s="3">
        <f>HAVERW!B267</f>
        <v>154.63</v>
      </c>
      <c r="C256" s="7">
        <f>HAVERW!C263/HAVERW!D263</f>
        <v>78.49953202738871</v>
      </c>
    </row>
    <row r="257" spans="1:3" x14ac:dyDescent="0.35">
      <c r="A257" s="6">
        <f t="shared" si="3"/>
        <v>45230</v>
      </c>
      <c r="B257" s="3">
        <f>HAVERW!B268</f>
        <v>153.97</v>
      </c>
      <c r="C257" s="7">
        <f>HAVERW!C264/HAVERW!D264</f>
        <v>74.448199126349635</v>
      </c>
    </row>
    <row r="258" spans="1:3" x14ac:dyDescent="0.35">
      <c r="A258" s="6">
        <f t="shared" si="3"/>
        <v>45237</v>
      </c>
      <c r="B258" s="3">
        <f>HAVERW!B269</f>
        <v>153.19999999999999</v>
      </c>
      <c r="C258" s="7">
        <f>HAVERW!C265/HAVERW!D265</f>
        <v>73.998102528870987</v>
      </c>
    </row>
    <row r="259" spans="1:3" x14ac:dyDescent="0.35">
      <c r="A259" s="6">
        <f t="shared" si="3"/>
        <v>45244</v>
      </c>
      <c r="B259" s="3">
        <f>HAVERW!B270</f>
        <v>152.38999999999999</v>
      </c>
      <c r="C259" s="7">
        <f>HAVERW!C266/HAVERW!D266</f>
        <v>76.030258181220205</v>
      </c>
    </row>
    <row r="260" spans="1:3" x14ac:dyDescent="0.35">
      <c r="A260" s="6">
        <f t="shared" si="3"/>
        <v>45251</v>
      </c>
      <c r="B260" s="3">
        <f>HAVERW!B271</f>
        <v>150.5</v>
      </c>
      <c r="C260" s="7">
        <f>HAVERW!C267/HAVERW!D267</f>
        <v>73.891301487037765</v>
      </c>
    </row>
    <row r="261" spans="1:3" x14ac:dyDescent="0.35">
      <c r="A261" s="6">
        <f t="shared" si="3"/>
        <v>45258</v>
      </c>
      <c r="B261" s="3">
        <f>HAVERW!B272</f>
        <v>147.99</v>
      </c>
      <c r="C261" s="7">
        <f>HAVERW!C268/HAVERW!D268</f>
        <v>72.346707785177642</v>
      </c>
    </row>
    <row r="262" spans="1:3" x14ac:dyDescent="0.35">
      <c r="A262" s="6">
        <f t="shared" ref="A262:A325" si="4">A261+7</f>
        <v>45265</v>
      </c>
      <c r="B262" s="3">
        <f>HAVERW!B273</f>
        <v>145.71</v>
      </c>
      <c r="C262" s="7">
        <f>HAVERW!C269/HAVERW!D269</f>
        <v>67.921213994112208</v>
      </c>
    </row>
    <row r="263" spans="1:3" x14ac:dyDescent="0.35">
      <c r="A263" s="6">
        <f t="shared" si="4"/>
        <v>45272</v>
      </c>
      <c r="B263" s="3">
        <f>HAVERW!B274</f>
        <v>143.80000000000001</v>
      </c>
      <c r="C263" s="7">
        <f>HAVERW!C270/HAVERW!D270</f>
        <v>66.040078028019153</v>
      </c>
    </row>
    <row r="264" spans="1:3" x14ac:dyDescent="0.35">
      <c r="A264" s="6">
        <f t="shared" si="4"/>
        <v>45279</v>
      </c>
      <c r="B264" s="3">
        <f>HAVERW!B275</f>
        <v>141.51</v>
      </c>
      <c r="C264" s="7">
        <f>HAVERW!C271/HAVERW!D271</f>
        <v>65.165668662674648</v>
      </c>
    </row>
    <row r="265" spans="1:3" x14ac:dyDescent="0.35">
      <c r="A265" s="6">
        <f t="shared" si="4"/>
        <v>45286</v>
      </c>
      <c r="B265" s="3">
        <f>HAVERW!B276</f>
        <v>140.33000000000001</v>
      </c>
      <c r="C265" s="7">
        <f>HAVERW!C272/HAVERW!D272</f>
        <v>63.935332975125647</v>
      </c>
    </row>
    <row r="266" spans="1:3" x14ac:dyDescent="0.35">
      <c r="A266" s="6">
        <f t="shared" si="4"/>
        <v>45293</v>
      </c>
      <c r="B266" s="3">
        <f>HAVERW!B277</f>
        <v>140.78</v>
      </c>
      <c r="C266" s="7">
        <f>HAVERW!C273/HAVERW!D273</f>
        <v>60.361619981251685</v>
      </c>
    </row>
    <row r="267" spans="1:3" x14ac:dyDescent="0.35">
      <c r="A267" s="6">
        <f t="shared" si="4"/>
        <v>45300</v>
      </c>
      <c r="B267" s="3">
        <f>HAVERW!B278</f>
        <v>139.72</v>
      </c>
      <c r="C267" s="7">
        <f>HAVERW!C274/HAVERW!D274</f>
        <v>59.890327590852188</v>
      </c>
    </row>
    <row r="268" spans="1:3" x14ac:dyDescent="0.35">
      <c r="A268" s="6">
        <f t="shared" si="4"/>
        <v>45307</v>
      </c>
      <c r="B268" s="3">
        <f>HAVERW!B279</f>
        <v>139.49</v>
      </c>
      <c r="C268" s="7">
        <f>HAVERW!C275/HAVERW!D275</f>
        <v>63.189013622603426</v>
      </c>
    </row>
    <row r="269" spans="1:3" x14ac:dyDescent="0.35">
      <c r="A269" s="6">
        <f t="shared" si="4"/>
        <v>45314</v>
      </c>
      <c r="B269" s="3">
        <f>HAVERW!B280</f>
        <v>139.38999999999999</v>
      </c>
      <c r="C269" s="7">
        <f>HAVERW!C276/HAVERW!D276</f>
        <v>62.052942097843683</v>
      </c>
    </row>
    <row r="270" spans="1:3" x14ac:dyDescent="0.35">
      <c r="A270" s="6">
        <f t="shared" si="4"/>
        <v>45321</v>
      </c>
      <c r="B270" s="3">
        <f>HAVERW!B281</f>
        <v>139.91</v>
      </c>
      <c r="C270" s="7">
        <f>HAVERW!C277/HAVERW!D277</f>
        <v>60.650047333543718</v>
      </c>
    </row>
    <row r="271" spans="1:3" x14ac:dyDescent="0.35">
      <c r="A271" s="6">
        <f t="shared" si="4"/>
        <v>45328</v>
      </c>
      <c r="B271" s="3">
        <f>HAVERW!B282</f>
        <v>140.55000000000001</v>
      </c>
      <c r="C271" s="7">
        <f>HAVERW!C278/HAVERW!D278</f>
        <v>61.572292468389215</v>
      </c>
    </row>
    <row r="272" spans="1:3" x14ac:dyDescent="0.35">
      <c r="A272" s="6">
        <f t="shared" si="4"/>
        <v>45335</v>
      </c>
      <c r="B272" s="3">
        <f>HAVERW!B283</f>
        <v>141.28</v>
      </c>
      <c r="C272" s="7">
        <f>HAVERW!C279/HAVERW!D279</f>
        <v>63.170677853830867</v>
      </c>
    </row>
    <row r="273" spans="1:3" x14ac:dyDescent="0.35">
      <c r="A273" s="6">
        <f t="shared" si="4"/>
        <v>45342</v>
      </c>
      <c r="B273" s="3">
        <f>HAVERW!B284</f>
        <v>142.86000000000001</v>
      </c>
      <c r="C273" s="7">
        <f>HAVERW!C280/HAVERW!D280</f>
        <v>64.748359894907438</v>
      </c>
    </row>
    <row r="274" spans="1:3" x14ac:dyDescent="0.35">
      <c r="A274" s="6">
        <f t="shared" si="4"/>
        <v>45349</v>
      </c>
      <c r="B274" s="3">
        <f>HAVERW!B285</f>
        <v>143.96</v>
      </c>
      <c r="C274" s="7">
        <f>HAVERW!C281/HAVERW!D281</f>
        <v>65.10186703670999</v>
      </c>
    </row>
    <row r="275" spans="1:3" x14ac:dyDescent="0.35">
      <c r="A275" s="6">
        <f t="shared" si="4"/>
        <v>45356</v>
      </c>
      <c r="B275" s="3">
        <f>HAVERW!B286</f>
        <v>144.72999999999999</v>
      </c>
      <c r="C275" s="7">
        <f>HAVERW!C282/HAVERW!D282</f>
        <v>64.721203169914389</v>
      </c>
    </row>
    <row r="276" spans="1:3" x14ac:dyDescent="0.35">
      <c r="A276" s="6">
        <f t="shared" si="4"/>
        <v>45363</v>
      </c>
      <c r="B276" s="3">
        <f>HAVERW!B287</f>
        <v>144.69999999999999</v>
      </c>
      <c r="C276" s="7">
        <f>HAVERW!C283/HAVERW!D283</f>
        <v>67.089331680808456</v>
      </c>
    </row>
    <row r="277" spans="1:3" x14ac:dyDescent="0.35">
      <c r="A277" s="6">
        <f t="shared" si="4"/>
        <v>45370</v>
      </c>
      <c r="B277" s="3">
        <f>HAVERW!B288</f>
        <v>144.72999999999999</v>
      </c>
      <c r="C277" s="7">
        <f>HAVERW!C284/HAVERW!D284</f>
        <v>67.30473883373709</v>
      </c>
    </row>
    <row r="278" spans="1:3" x14ac:dyDescent="0.35">
      <c r="A278" s="6">
        <f t="shared" si="4"/>
        <v>45377</v>
      </c>
      <c r="B278" s="3">
        <f>HAVERW!B289</f>
        <v>145.06</v>
      </c>
      <c r="C278" s="7">
        <f>HAVERW!C285/HAVERW!D285</f>
        <v>66.529800069486129</v>
      </c>
    </row>
    <row r="279" spans="1:3" x14ac:dyDescent="0.35">
      <c r="A279" s="6">
        <f t="shared" si="4"/>
        <v>45384</v>
      </c>
      <c r="B279" s="3">
        <f>HAVERW!B290</f>
        <v>146.25</v>
      </c>
      <c r="C279" s="7">
        <f>HAVERW!C286/HAVERW!D286</f>
        <v>67.064517644847513</v>
      </c>
    </row>
    <row r="280" spans="1:3" x14ac:dyDescent="0.35">
      <c r="A280" s="6">
        <f t="shared" si="4"/>
        <v>45391</v>
      </c>
      <c r="B280" s="3">
        <f>HAVERW!B291</f>
        <v>146.91</v>
      </c>
      <c r="C280" s="7">
        <f>HAVERW!C287/HAVERW!D287</f>
        <v>66.162541292878061</v>
      </c>
    </row>
    <row r="281" spans="1:3" x14ac:dyDescent="0.35">
      <c r="A281" s="6">
        <f t="shared" si="4"/>
        <v>45398</v>
      </c>
      <c r="B281" s="3">
        <f>HAVERW!B292</f>
        <v>148.49</v>
      </c>
      <c r="C281" s="7">
        <f>HAVERW!C288/HAVERW!D288</f>
        <v>67.701501009081738</v>
      </c>
    </row>
    <row r="282" spans="1:3" x14ac:dyDescent="0.35">
      <c r="A282" s="6">
        <f t="shared" si="4"/>
        <v>45405</v>
      </c>
      <c r="B282" s="3">
        <f>HAVERW!B293</f>
        <v>149.21</v>
      </c>
      <c r="C282" s="7">
        <f>HAVERW!C289/HAVERW!D289</f>
        <v>67.91467131040487</v>
      </c>
    </row>
    <row r="283" spans="1:3" x14ac:dyDescent="0.35">
      <c r="A283" s="6">
        <f t="shared" si="4"/>
        <v>45412</v>
      </c>
      <c r="B283" s="3">
        <f>HAVERW!B294</f>
        <v>149.49</v>
      </c>
      <c r="C283" s="7">
        <f>HAVERW!C290/HAVERW!D290</f>
        <v>71.600388357209368</v>
      </c>
    </row>
    <row r="284" spans="1:3" x14ac:dyDescent="0.35">
      <c r="A284" s="6">
        <f t="shared" si="4"/>
        <v>45419</v>
      </c>
      <c r="B284" s="3">
        <f>HAVERW!B295</f>
        <v>149.54</v>
      </c>
      <c r="C284" s="7">
        <f>HAVERW!C291/HAVERW!D291</f>
        <v>73.204652865076469</v>
      </c>
    </row>
    <row r="285" spans="1:3" x14ac:dyDescent="0.35">
      <c r="A285" s="6">
        <f t="shared" si="4"/>
        <v>45426</v>
      </c>
      <c r="B285" s="3">
        <f>HAVERW!B296</f>
        <v>149.22999999999999</v>
      </c>
      <c r="C285" s="7">
        <f>HAVERW!C292/HAVERW!D292</f>
        <v>71.996592790215516</v>
      </c>
    </row>
    <row r="286" spans="1:3" x14ac:dyDescent="0.35">
      <c r="A286" s="6">
        <f t="shared" si="4"/>
        <v>45433</v>
      </c>
      <c r="B286" s="3">
        <f>HAVERW!B297</f>
        <v>148.83000000000001</v>
      </c>
      <c r="C286" s="7">
        <f>HAVERW!C293/HAVERW!D293</f>
        <v>71.226749050653282</v>
      </c>
    </row>
    <row r="287" spans="1:3" x14ac:dyDescent="0.35">
      <c r="A287" s="6">
        <f t="shared" si="4"/>
        <v>45440</v>
      </c>
      <c r="B287" s="3">
        <f>HAVERW!B298</f>
        <v>147.65</v>
      </c>
      <c r="C287" s="7">
        <f>HAVERW!C294/HAVERW!D294</f>
        <v>68.481091530731263</v>
      </c>
    </row>
    <row r="288" spans="1:3" x14ac:dyDescent="0.35">
      <c r="A288" s="6">
        <f t="shared" si="4"/>
        <v>45447</v>
      </c>
      <c r="B288" s="3">
        <f>HAVERW!B299</f>
        <v>147.27000000000001</v>
      </c>
      <c r="C288" s="7">
        <f>HAVERW!C295/HAVERW!D295</f>
        <v>66.269199272974205</v>
      </c>
    </row>
    <row r="289" spans="1:3" x14ac:dyDescent="0.35">
      <c r="A289" s="6">
        <f t="shared" si="4"/>
        <v>45454</v>
      </c>
      <c r="B289" s="3">
        <f>HAVERW!B300</f>
        <v>146.25</v>
      </c>
      <c r="C289" s="7">
        <f>HAVERW!C296/HAVERW!D296</f>
        <v>64.598603701299751</v>
      </c>
    </row>
    <row r="290" spans="1:3" x14ac:dyDescent="0.35">
      <c r="A290" s="6">
        <f t="shared" si="4"/>
        <v>45461</v>
      </c>
      <c r="B290" s="3">
        <f>HAVERW!B301</f>
        <v>145.09</v>
      </c>
      <c r="C290" s="7">
        <f>HAVERW!C297/HAVERW!D297</f>
        <v>63.076802138196676</v>
      </c>
    </row>
    <row r="291" spans="1:3" x14ac:dyDescent="0.35">
      <c r="A291" s="6">
        <f t="shared" si="4"/>
        <v>45468</v>
      </c>
      <c r="B291" s="3">
        <f>HAVERW!B302</f>
        <v>144.43</v>
      </c>
      <c r="C291" s="7">
        <f>HAVERW!C298/HAVERW!D298</f>
        <v>63.512028570307287</v>
      </c>
    </row>
    <row r="292" spans="1:3" x14ac:dyDescent="0.35">
      <c r="A292" s="6">
        <f t="shared" si="4"/>
        <v>45475</v>
      </c>
      <c r="B292" s="3">
        <f>HAVERW!B303</f>
        <v>144.28</v>
      </c>
      <c r="C292" s="7">
        <f>HAVERW!C299/HAVERW!D299</f>
        <v>60.01191054553432</v>
      </c>
    </row>
    <row r="293" spans="1:3" x14ac:dyDescent="0.35">
      <c r="A293" s="6">
        <f t="shared" si="4"/>
        <v>45482</v>
      </c>
      <c r="B293" s="3">
        <f>HAVERW!B304</f>
        <v>144.44999999999999</v>
      </c>
      <c r="C293" s="7">
        <f>HAVERW!C300/HAVERW!D300</f>
        <v>63.289172134492823</v>
      </c>
    </row>
    <row r="294" spans="1:3" x14ac:dyDescent="0.35">
      <c r="A294" s="6">
        <f t="shared" si="4"/>
        <v>45489</v>
      </c>
      <c r="B294" s="3">
        <f>HAVERW!B305</f>
        <v>144.6</v>
      </c>
      <c r="C294" s="7">
        <f>HAVERW!C301/HAVERW!D301</f>
        <v>67.054593622859315</v>
      </c>
    </row>
    <row r="295" spans="1:3" x14ac:dyDescent="0.35">
      <c r="A295" s="6">
        <f t="shared" si="4"/>
        <v>45496</v>
      </c>
      <c r="B295" s="3">
        <f>HAVERW!B306</f>
        <v>144.69</v>
      </c>
      <c r="C295" s="7">
        <f>HAVERW!C302/HAVERW!D302</f>
        <v>68.522030469688346</v>
      </c>
    </row>
    <row r="296" spans="1:3" x14ac:dyDescent="0.35">
      <c r="A296" s="6">
        <f t="shared" si="4"/>
        <v>45503</v>
      </c>
      <c r="B296" s="3">
        <f>HAVERW!B307</f>
        <v>144.19</v>
      </c>
      <c r="C296" s="7">
        <f>HAVERW!C303/HAVERW!D303</f>
        <v>69.149186896064109</v>
      </c>
    </row>
    <row r="297" spans="1:3" x14ac:dyDescent="0.35">
      <c r="A297" s="6">
        <f t="shared" si="4"/>
        <v>45510</v>
      </c>
      <c r="B297" s="3">
        <f>HAVERW!B308</f>
        <v>143.41999999999999</v>
      </c>
      <c r="C297" s="7">
        <f>HAVERW!C304/HAVERW!D304</f>
        <v>67.422677209389036</v>
      </c>
    </row>
    <row r="298" spans="1:3" x14ac:dyDescent="0.35">
      <c r="A298" s="6">
        <f t="shared" si="4"/>
        <v>45517</v>
      </c>
      <c r="B298" s="3">
        <f>HAVERW!B309</f>
        <v>142.91</v>
      </c>
      <c r="C298" s="7">
        <f>HAVERW!C305/HAVERW!D305</f>
        <v>66.351536836261005</v>
      </c>
    </row>
    <row r="299" spans="1:3" x14ac:dyDescent="0.35">
      <c r="A299" s="6">
        <f t="shared" si="4"/>
        <v>45524</v>
      </c>
      <c r="B299" s="3">
        <f>HAVERW!B310</f>
        <v>141.96</v>
      </c>
      <c r="C299" s="7">
        <f>HAVERW!C306/HAVERW!D306</f>
        <v>63.996649552498091</v>
      </c>
    </row>
    <row r="300" spans="1:3" x14ac:dyDescent="0.35">
      <c r="A300" s="6">
        <f t="shared" si="4"/>
        <v>45531</v>
      </c>
      <c r="B300" s="3">
        <f>HAVERW!B311</f>
        <v>141.01</v>
      </c>
      <c r="C300" s="7">
        <f>HAVERW!C307/HAVERW!D307</f>
        <v>62.588312356711732</v>
      </c>
    </row>
    <row r="301" spans="1:3" x14ac:dyDescent="0.35">
      <c r="A301" s="6">
        <f t="shared" si="4"/>
        <v>45538</v>
      </c>
      <c r="B301" s="3">
        <f>HAVERW!B312</f>
        <v>139.96</v>
      </c>
      <c r="C301" s="7">
        <f>HAVERW!C308/HAVERW!D308</f>
        <v>61.920992696143877</v>
      </c>
    </row>
    <row r="302" spans="1:3" x14ac:dyDescent="0.35">
      <c r="A302" s="6">
        <f t="shared" si="4"/>
        <v>45545</v>
      </c>
      <c r="B302" s="3">
        <f>HAVERW!B313</f>
        <v>138.1</v>
      </c>
      <c r="C302" s="7">
        <f>HAVERW!C309/HAVERW!D309</f>
        <v>64.224084226264651</v>
      </c>
    </row>
    <row r="303" spans="1:3" x14ac:dyDescent="0.35">
      <c r="A303" s="6">
        <f t="shared" si="4"/>
        <v>45552</v>
      </c>
      <c r="B303" s="3">
        <f>HAVERW!B314</f>
        <v>136.49</v>
      </c>
      <c r="C303" s="7">
        <f>HAVERW!C310/HAVERW!D310</f>
        <v>60.861251338534508</v>
      </c>
    </row>
    <row r="304" spans="1:3" x14ac:dyDescent="0.35">
      <c r="A304" s="6">
        <f t="shared" si="4"/>
        <v>45559</v>
      </c>
      <c r="B304" s="3">
        <f>HAVERW!B315</f>
        <v>135.26</v>
      </c>
      <c r="C304" s="7">
        <f>HAVERW!C311/HAVERW!D311</f>
        <v>61.292585360304855</v>
      </c>
    </row>
    <row r="305" spans="1:3" x14ac:dyDescent="0.35">
      <c r="A305" s="6">
        <f t="shared" si="4"/>
        <v>45566</v>
      </c>
      <c r="B305" s="3">
        <f>HAVERW!B316</f>
        <v>134.16999999999999</v>
      </c>
      <c r="C305" s="7">
        <f>HAVERW!C312/HAVERW!D312</f>
        <v>57.243708730182874</v>
      </c>
    </row>
    <row r="306" spans="1:3" x14ac:dyDescent="0.35">
      <c r="A306" s="6">
        <f t="shared" si="4"/>
        <v>45573</v>
      </c>
      <c r="B306" s="3">
        <f>HAVERW!B317</f>
        <v>133.59</v>
      </c>
      <c r="C306" s="7">
        <f>HAVERW!C313/HAVERW!D313</f>
        <v>55.136499197063543</v>
      </c>
    </row>
    <row r="307" spans="1:3" x14ac:dyDescent="0.35">
      <c r="A307" s="6">
        <f t="shared" si="4"/>
        <v>45580</v>
      </c>
      <c r="B307" s="3">
        <f>HAVERW!B318</f>
        <v>133.86000000000001</v>
      </c>
      <c r="C307" s="7">
        <f>HAVERW!C314/HAVERW!D314</f>
        <v>56.693532533909959</v>
      </c>
    </row>
    <row r="308" spans="1:3" x14ac:dyDescent="0.35">
      <c r="A308" s="6">
        <f t="shared" si="4"/>
        <v>45587</v>
      </c>
      <c r="B308" s="3">
        <f>HAVERW!B319</f>
        <v>133.99</v>
      </c>
      <c r="C308" s="7">
        <f>HAVERW!C315/HAVERW!D315</f>
        <v>55.34003795633528</v>
      </c>
    </row>
    <row r="309" spans="1:3" x14ac:dyDescent="0.35">
      <c r="A309" s="6">
        <f t="shared" si="4"/>
        <v>45594</v>
      </c>
      <c r="B309" s="3">
        <f>HAVERW!B320</f>
        <v>134.41</v>
      </c>
      <c r="C309" s="7">
        <f>HAVERW!C316/HAVERW!D316</f>
        <v>57.333696013540056</v>
      </c>
    </row>
    <row r="310" spans="1:3" x14ac:dyDescent="0.35">
      <c r="A310" s="6">
        <f t="shared" si="4"/>
        <v>45601</v>
      </c>
      <c r="B310" s="3">
        <f>HAVERW!B321</f>
        <v>134.41</v>
      </c>
      <c r="C310" s="7">
        <f>HAVERW!C317/HAVERW!D317</f>
        <v>60.688716191408638</v>
      </c>
    </row>
    <row r="311" spans="1:3" x14ac:dyDescent="0.35">
      <c r="A311" s="6">
        <f t="shared" si="4"/>
        <v>45608</v>
      </c>
      <c r="B311" s="3">
        <f>HAVERW!B322</f>
        <v>134.59</v>
      </c>
      <c r="C311" s="7">
        <f>HAVERW!C318/HAVERW!D318</f>
        <v>57.202460386851349</v>
      </c>
    </row>
    <row r="312" spans="1:3" x14ac:dyDescent="0.35">
      <c r="A312" s="6">
        <f t="shared" si="4"/>
        <v>45615</v>
      </c>
      <c r="B312" s="3">
        <f>HAVERW!B323</f>
        <v>134.85</v>
      </c>
      <c r="C312" s="7">
        <f>HAVERW!C319/HAVERW!D319</f>
        <v>57.56277263128689</v>
      </c>
    </row>
    <row r="313" spans="1:3" x14ac:dyDescent="0.35">
      <c r="A313" s="6">
        <f t="shared" si="4"/>
        <v>45622</v>
      </c>
      <c r="B313" s="3">
        <f>HAVERW!B324</f>
        <v>135.37</v>
      </c>
      <c r="C313" s="7">
        <f>HAVERW!C320/HAVERW!D320</f>
        <v>56.022776371828897</v>
      </c>
    </row>
    <row r="314" spans="1:3" x14ac:dyDescent="0.35">
      <c r="A314" s="6">
        <f t="shared" si="4"/>
        <v>45629</v>
      </c>
      <c r="B314" s="3">
        <f>HAVERW!B325</f>
        <v>135.93</v>
      </c>
      <c r="C314" s="7">
        <f>HAVERW!C321/HAVERW!D321</f>
        <v>58.350820886310338</v>
      </c>
    </row>
    <row r="315" spans="1:3" x14ac:dyDescent="0.35">
      <c r="A315" s="6">
        <f t="shared" si="4"/>
        <v>45636</v>
      </c>
      <c r="B315" s="3">
        <f>HAVERW!B326</f>
        <v>136.22999999999999</v>
      </c>
      <c r="C315" s="7">
        <f>HAVERW!C322/HAVERW!D322</f>
        <v>57.217991993092078</v>
      </c>
    </row>
    <row r="316" spans="1:3" x14ac:dyDescent="0.35">
      <c r="A316" s="6">
        <f t="shared" si="4"/>
        <v>45643</v>
      </c>
      <c r="B316" s="3">
        <f>HAVERW!B327</f>
        <v>136.38999999999999</v>
      </c>
      <c r="C316" s="7">
        <f>HAVERW!C323/HAVERW!D323</f>
        <v>59.298290097142775</v>
      </c>
    </row>
    <row r="317" spans="1:3" x14ac:dyDescent="0.35">
      <c r="A317" s="6">
        <f t="shared" si="4"/>
        <v>45650</v>
      </c>
      <c r="B317" s="3">
        <f>HAVERW!B328</f>
        <v>136.38999999999999</v>
      </c>
      <c r="C317" s="7">
        <f>HAVERW!C324/HAVERW!D324</f>
        <v>58.691695288140416</v>
      </c>
    </row>
    <row r="318" spans="1:3" x14ac:dyDescent="0.35">
      <c r="A318" s="6">
        <f t="shared" si="4"/>
        <v>45657</v>
      </c>
      <c r="B318" s="3">
        <f>HAVERW!B329</f>
        <v>136.49</v>
      </c>
      <c r="C318" s="7">
        <f>HAVERW!C325/HAVERW!D325</f>
        <v>58.245011732468235</v>
      </c>
    </row>
    <row r="319" spans="1:3" x14ac:dyDescent="0.35">
      <c r="A319" s="6">
        <f t="shared" si="4"/>
        <v>45664</v>
      </c>
      <c r="B319" s="3">
        <f>HAVERW!B330</f>
        <v>136.6</v>
      </c>
      <c r="C319" s="7">
        <f>HAVERW!C326/HAVERW!D326</f>
        <v>58.21773457896888</v>
      </c>
    </row>
    <row r="320" spans="1:3" x14ac:dyDescent="0.35">
      <c r="A320" s="6">
        <f t="shared" si="4"/>
        <v>45671</v>
      </c>
      <c r="B320" s="3">
        <f>HAVERW!B331</f>
        <v>136.51</v>
      </c>
      <c r="C320" s="7">
        <f>HAVERW!C327/HAVERW!D327</f>
        <v>58.393340402297937</v>
      </c>
    </row>
    <row r="321" spans="1:3" x14ac:dyDescent="0.35">
      <c r="A321" s="6">
        <f t="shared" si="4"/>
        <v>45678</v>
      </c>
      <c r="B321" s="3">
        <f>HAVERW!B332</f>
        <v>136.97</v>
      </c>
      <c r="C321" s="7">
        <f>HAVERW!C328/HAVERW!D328</f>
        <v>58.29414109206855</v>
      </c>
    </row>
    <row r="322" spans="1:3" x14ac:dyDescent="0.35">
      <c r="A322" s="6">
        <f t="shared" si="4"/>
        <v>45685</v>
      </c>
      <c r="B322" s="3">
        <f>HAVERW!B333</f>
        <v>138.36000000000001</v>
      </c>
      <c r="C322" s="7">
        <f>HAVERW!C329/HAVERW!D329</f>
        <v>60.55520985969207</v>
      </c>
    </row>
    <row r="323" spans="1:3" x14ac:dyDescent="0.35">
      <c r="A323" s="6">
        <f t="shared" si="4"/>
        <v>45692</v>
      </c>
      <c r="B323" s="3">
        <f>HAVERW!B334</f>
        <v>138.74</v>
      </c>
      <c r="C323" s="7">
        <f>HAVERW!C330/HAVERW!D330</f>
        <v>63.134079927602983</v>
      </c>
    </row>
    <row r="324" spans="1:3" x14ac:dyDescent="0.35">
      <c r="A324" s="6">
        <f t="shared" si="4"/>
        <v>45699</v>
      </c>
      <c r="B324" s="3">
        <f>HAVERW!B335</f>
        <v>139.02000000000001</v>
      </c>
      <c r="C324" s="7">
        <f>HAVERW!C331/HAVERW!D331</f>
        <v>67.815018675054063</v>
      </c>
    </row>
    <row r="325" spans="1:3" x14ac:dyDescent="0.35">
      <c r="A325" s="6">
        <f t="shared" si="4"/>
        <v>45706</v>
      </c>
      <c r="B325" s="3">
        <f>HAVERW!B336</f>
        <v>139.22</v>
      </c>
      <c r="C325" s="7">
        <f>HAVERW!C332/HAVERW!D332</f>
        <v>64.742862698078341</v>
      </c>
    </row>
    <row r="326" spans="1:3" x14ac:dyDescent="0.35">
      <c r="A326" s="6">
        <f t="shared" ref="A326:A389" si="5">A325+7</f>
        <v>45713</v>
      </c>
      <c r="B326" s="3">
        <f>HAVERW!B337</f>
        <v>139.62</v>
      </c>
      <c r="C326" s="7">
        <f>HAVERW!C333/HAVERW!D333</f>
        <v>62.164159917727218</v>
      </c>
    </row>
    <row r="327" spans="1:3" x14ac:dyDescent="0.35">
      <c r="A327" s="6">
        <f t="shared" si="5"/>
        <v>45720</v>
      </c>
      <c r="B327" s="3">
        <f>HAVERW!B338</f>
        <v>139.61000000000001</v>
      </c>
      <c r="C327" s="7">
        <f>HAVERW!C334/HAVERW!D334</f>
        <v>60.567113824403563</v>
      </c>
    </row>
    <row r="328" spans="1:3" x14ac:dyDescent="0.35">
      <c r="A328" s="6">
        <f t="shared" si="5"/>
        <v>45727</v>
      </c>
      <c r="B328" s="3">
        <f>HAVERW!B339</f>
        <v>139.41999999999999</v>
      </c>
      <c r="C328" s="7">
        <f>HAVERW!C335/HAVERW!D335</f>
        <v>60.935370604928572</v>
      </c>
    </row>
    <row r="329" spans="1:3" x14ac:dyDescent="0.35">
      <c r="A329" s="6">
        <f t="shared" si="5"/>
        <v>45734</v>
      </c>
      <c r="B329" s="3">
        <f>HAVERW!B340</f>
        <v>137.97</v>
      </c>
      <c r="C329" s="7">
        <f>HAVERW!C336/HAVERW!D336</f>
        <v>60.300201296539925</v>
      </c>
    </row>
    <row r="330" spans="1:3" x14ac:dyDescent="0.35">
      <c r="A330" s="6">
        <f t="shared" si="5"/>
        <v>45741</v>
      </c>
      <c r="B330" s="3">
        <f>HAVERW!B341</f>
        <v>135.61000000000001</v>
      </c>
      <c r="C330" s="7">
        <f>HAVERW!C337/HAVERW!D337</f>
        <v>58.752037473690862</v>
      </c>
    </row>
    <row r="331" spans="1:3" x14ac:dyDescent="0.35">
      <c r="A331" s="6">
        <f t="shared" si="5"/>
        <v>45748</v>
      </c>
      <c r="B331" s="3">
        <f>HAVERW!B342</f>
        <v>134.91</v>
      </c>
      <c r="C331" s="7">
        <f>HAVERW!C338/HAVERW!D338</f>
        <v>56.109394988923206</v>
      </c>
    </row>
    <row r="332" spans="1:3" x14ac:dyDescent="0.35">
      <c r="A332" s="6">
        <f t="shared" si="5"/>
        <v>45755</v>
      </c>
      <c r="B332" s="3">
        <f>HAVERW!B343</f>
        <v>135.25</v>
      </c>
      <c r="C332" s="7">
        <f>HAVERW!C339/HAVERW!D339</f>
        <v>55.307996783969323</v>
      </c>
    </row>
    <row r="333" spans="1:3" x14ac:dyDescent="0.35">
      <c r="A333" s="6">
        <f t="shared" si="5"/>
        <v>45762</v>
      </c>
      <c r="B333" s="3">
        <f>HAVERW!B344</f>
        <v>134.85</v>
      </c>
      <c r="C333" s="7">
        <f>HAVERW!C340/HAVERW!D340</f>
        <v>55.715872966883744</v>
      </c>
    </row>
    <row r="334" spans="1:3" x14ac:dyDescent="0.35">
      <c r="A334" s="6">
        <f t="shared" si="5"/>
        <v>45769</v>
      </c>
      <c r="B334" s="3">
        <f>HAVERW!B345</f>
        <v>134.26</v>
      </c>
      <c r="C334" s="7">
        <f>HAVERW!C341/HAVERW!D341</f>
        <v>57.501933488012376</v>
      </c>
    </row>
    <row r="335" spans="1:3" x14ac:dyDescent="0.35">
      <c r="A335" s="6">
        <f t="shared" si="5"/>
        <v>45776</v>
      </c>
      <c r="B335" s="3">
        <f>HAVERW!B346</f>
        <v>133.84</v>
      </c>
      <c r="C335" s="7">
        <f>HAVERW!C342/HAVERW!D342</f>
        <v>57.494569152787825</v>
      </c>
    </row>
    <row r="336" spans="1:3" x14ac:dyDescent="0.35">
      <c r="A336" s="6">
        <f t="shared" si="5"/>
        <v>45783</v>
      </c>
      <c r="B336" s="3">
        <f>HAVERW!B347</f>
        <v>133.18</v>
      </c>
      <c r="C336" s="7">
        <f>HAVERW!C343/HAVERW!D343</f>
        <v>51.407727725236427</v>
      </c>
    </row>
    <row r="337" spans="1:3" x14ac:dyDescent="0.35">
      <c r="A337" s="6">
        <f t="shared" si="5"/>
        <v>45790</v>
      </c>
      <c r="B337" s="3">
        <f>HAVERW!B348</f>
        <v>132.32</v>
      </c>
      <c r="C337" s="7">
        <f>HAVERW!C344/HAVERW!D344</f>
        <v>51.21310608064698</v>
      </c>
    </row>
    <row r="338" spans="1:3" x14ac:dyDescent="0.35">
      <c r="A338" s="6">
        <f t="shared" si="5"/>
        <v>45797</v>
      </c>
      <c r="B338" s="3">
        <f>HAVERW!B349</f>
        <v>132.07</v>
      </c>
      <c r="C338" s="7">
        <f>HAVERW!C345/HAVERW!D345</f>
        <v>50.992905139081799</v>
      </c>
    </row>
    <row r="339" spans="1:3" x14ac:dyDescent="0.35">
      <c r="A339" s="6">
        <f t="shared" si="5"/>
        <v>45804</v>
      </c>
      <c r="B339" s="3">
        <f>HAVERW!B350</f>
        <v>131.99</v>
      </c>
      <c r="C339" s="7">
        <f>HAVERW!C346/HAVERW!D346</f>
        <v>47.558984345741898</v>
      </c>
    </row>
    <row r="340" spans="1:3" x14ac:dyDescent="0.35">
      <c r="A340" s="6">
        <f t="shared" si="5"/>
        <v>45811</v>
      </c>
      <c r="B340" s="3">
        <f>HAVERW!B351</f>
        <v>131.44999999999999</v>
      </c>
      <c r="C340" s="7">
        <f>HAVERW!C347/HAVERW!D347</f>
        <v>46.700279272018456</v>
      </c>
    </row>
    <row r="341" spans="1:3" x14ac:dyDescent="0.35">
      <c r="A341" s="6">
        <f t="shared" si="5"/>
        <v>45818</v>
      </c>
      <c r="B341" s="3">
        <f>HAVERW!B352</f>
        <v>131.35</v>
      </c>
      <c r="C341" s="7">
        <f>HAVERW!C348/HAVERW!D348</f>
        <v>49.415632398847848</v>
      </c>
    </row>
    <row r="342" spans="1:3" x14ac:dyDescent="0.35">
      <c r="A342" s="6">
        <f t="shared" si="5"/>
        <v>45825</v>
      </c>
      <c r="B342" s="3">
        <f>HAVERW!B353</f>
        <v>131.38999999999999</v>
      </c>
      <c r="C342" s="7">
        <f>HAVERW!C349/HAVERW!D349</f>
        <v>49.08410713487249</v>
      </c>
    </row>
    <row r="343" spans="1:3" x14ac:dyDescent="0.35">
      <c r="A343" s="6">
        <f t="shared" si="5"/>
        <v>45832</v>
      </c>
      <c r="B343" s="3">
        <f>HAVERW!B354</f>
        <v>132.33000000000001</v>
      </c>
      <c r="C343" s="7">
        <f>HAVERW!C350/HAVERW!D350</f>
        <v>47.993772819096677</v>
      </c>
    </row>
    <row r="344" spans="1:3" x14ac:dyDescent="0.35">
      <c r="A344" s="6">
        <f t="shared" si="5"/>
        <v>45839</v>
      </c>
      <c r="B344" s="3">
        <f>HAVERW!B355</f>
        <v>132.94999999999999</v>
      </c>
      <c r="C344" s="7">
        <f>HAVERW!C351/HAVERW!D351</f>
        <v>49.556634256458686</v>
      </c>
    </row>
    <row r="345" spans="1:3" x14ac:dyDescent="0.35">
      <c r="A345" s="6">
        <f t="shared" si="5"/>
        <v>45846</v>
      </c>
      <c r="B345" s="3">
        <f>HAVERW!B356</f>
        <v>133.19</v>
      </c>
      <c r="C345" s="7">
        <f>HAVERW!C352/HAVERW!D352</f>
        <v>52.423674541457018</v>
      </c>
    </row>
    <row r="346" spans="1:3" x14ac:dyDescent="0.35">
      <c r="A346" s="6">
        <f t="shared" si="5"/>
        <v>45853</v>
      </c>
      <c r="B346" s="3">
        <f>HAVERW!B357</f>
        <v>133.94999999999999</v>
      </c>
      <c r="C346" s="7">
        <f>HAVERW!C353/HAVERW!D353</f>
        <v>58.001245330012459</v>
      </c>
    </row>
    <row r="347" spans="1:3" x14ac:dyDescent="0.35">
      <c r="A347" s="6">
        <f t="shared" si="5"/>
        <v>45860</v>
      </c>
      <c r="B347" s="3">
        <f>HAVERW!B358</f>
        <v>134.09</v>
      </c>
      <c r="C347" s="7">
        <f>HAVERW!C354/HAVERW!D354</f>
        <v>51.303824944268449</v>
      </c>
    </row>
    <row r="348" spans="1:3" x14ac:dyDescent="0.35">
      <c r="A348" s="6">
        <f t="shared" si="5"/>
        <v>45867</v>
      </c>
      <c r="B348" s="3">
        <f>HAVERW!B359</f>
        <v>134.24</v>
      </c>
      <c r="C348" s="7">
        <f>HAVERW!C355/HAVERW!D355</f>
        <v>50.953092059030219</v>
      </c>
    </row>
    <row r="349" spans="1:3" x14ac:dyDescent="0.35">
      <c r="A349" s="6">
        <f t="shared" si="5"/>
        <v>45874</v>
      </c>
      <c r="B349" s="3">
        <f>HAVERW!B360</f>
        <v>134.30000000000001</v>
      </c>
      <c r="C349" s="7">
        <f>HAVERW!C356/HAVERW!D356</f>
        <v>52.908048179982011</v>
      </c>
    </row>
    <row r="350" spans="1:3" x14ac:dyDescent="0.35">
      <c r="A350" s="6">
        <f t="shared" si="5"/>
        <v>45881</v>
      </c>
      <c r="B350" s="3">
        <f>HAVERW!B361</f>
        <v>134.38999999999999</v>
      </c>
      <c r="C350" s="7">
        <f>HAVERW!C357/HAVERW!D357</f>
        <v>52.65919389458621</v>
      </c>
    </row>
    <row r="351" spans="1:3" x14ac:dyDescent="0.35">
      <c r="A351" s="6">
        <f t="shared" si="5"/>
        <v>45888</v>
      </c>
      <c r="B351" s="3">
        <f>HAVERW!B362</f>
        <v>134.30000000000001</v>
      </c>
      <c r="C351" s="7">
        <f>HAVERW!C358/HAVERW!D358</f>
        <v>51.895566152296908</v>
      </c>
    </row>
    <row r="352" spans="1:3" x14ac:dyDescent="0.35">
      <c r="A352" s="6">
        <f t="shared" si="5"/>
        <v>45895</v>
      </c>
      <c r="B352" s="3">
        <f>HAVERW!B363</f>
        <v>133.91</v>
      </c>
      <c r="C352" s="7">
        <f>HAVERW!C359/HAVERW!D359</f>
        <v>54.42082794696811</v>
      </c>
    </row>
    <row r="353" spans="1:3" x14ac:dyDescent="0.35">
      <c r="A353" s="6">
        <f t="shared" si="5"/>
        <v>45902</v>
      </c>
      <c r="B353" s="3">
        <f>HAVERW!B364</f>
        <v>133.86000000000001</v>
      </c>
      <c r="C353" s="7">
        <f>HAVERW!C360/HAVERW!D360</f>
        <v>51.054555259294759</v>
      </c>
    </row>
    <row r="354" spans="1:3" x14ac:dyDescent="0.35">
      <c r="A354" s="6">
        <f t="shared" si="5"/>
        <v>45909</v>
      </c>
      <c r="B354" s="3">
        <f>HAVERW!B365</f>
        <v>133.72</v>
      </c>
      <c r="C354" s="7">
        <f>HAVERW!C361/HAVERW!D361</f>
        <v>49.690019974846493</v>
      </c>
    </row>
    <row r="355" spans="1:3" x14ac:dyDescent="0.35">
      <c r="A355" s="6">
        <f t="shared" si="5"/>
        <v>45916</v>
      </c>
      <c r="B355" s="3">
        <f>HAVERW!B366</f>
        <v>133.81</v>
      </c>
      <c r="C355" s="7">
        <f>HAVERW!C362/HAVERW!D362</f>
        <v>50.280978011061208</v>
      </c>
    </row>
    <row r="356" spans="1:3" x14ac:dyDescent="0.35">
      <c r="A356" s="6">
        <f t="shared" si="5"/>
        <v>45923</v>
      </c>
      <c r="B356" s="3">
        <f>HAVERW!B367</f>
        <v>134.15</v>
      </c>
      <c r="C356" s="7">
        <f>HAVERW!C363/HAVERW!D363</f>
        <v>50.238143775829791</v>
      </c>
    </row>
    <row r="357" spans="1:3" x14ac:dyDescent="0.35">
      <c r="A357" s="6">
        <f t="shared" si="5"/>
        <v>45930</v>
      </c>
      <c r="B357" s="3">
        <f>HAVERW!B368</f>
        <v>134.36000000000001</v>
      </c>
      <c r="C357" s="7">
        <f>HAVERW!C364/HAVERW!D364</f>
        <v>49.649466773609021</v>
      </c>
    </row>
    <row r="358" spans="1:3" x14ac:dyDescent="0.35">
      <c r="A358" s="6">
        <f t="shared" si="5"/>
        <v>45937</v>
      </c>
      <c r="B358" s="3">
        <f>HAVERW!B369</f>
        <v>134.76</v>
      </c>
      <c r="C358" s="7">
        <f>HAVERW!C365/HAVERW!D365</f>
        <v>49.622095598004194</v>
      </c>
    </row>
    <row r="359" spans="1:3" x14ac:dyDescent="0.35">
      <c r="A359" s="6">
        <f t="shared" si="5"/>
        <v>45944</v>
      </c>
      <c r="B359" s="3">
        <f>HAVERW!B370</f>
        <v>134.81</v>
      </c>
      <c r="C359" s="7">
        <f>HAVERW!C366/HAVERW!D366</f>
        <v>50.284805934560865</v>
      </c>
    </row>
    <row r="360" spans="1:3" x14ac:dyDescent="0.35">
      <c r="A360" s="6">
        <f t="shared" si="5"/>
        <v>45951</v>
      </c>
      <c r="B360" s="3">
        <f>HAVERW!B371</f>
        <v>134.69</v>
      </c>
      <c r="C360" s="7">
        <f>HAVERW!C367/HAVERW!D367</f>
        <v>51.486886538432934</v>
      </c>
    </row>
    <row r="361" spans="1:3" x14ac:dyDescent="0.35">
      <c r="A361" s="6">
        <f t="shared" si="5"/>
        <v>45958</v>
      </c>
      <c r="B361" s="3">
        <f>HAVERW!B372</f>
        <v>134.4</v>
      </c>
      <c r="C361" s="7">
        <f>HAVERW!C368/HAVERW!D368</f>
        <v>49.904133410621128</v>
      </c>
    </row>
    <row r="362" spans="1:3" x14ac:dyDescent="0.35">
      <c r="A362" s="6">
        <f t="shared" si="5"/>
        <v>45965</v>
      </c>
      <c r="B362" s="3">
        <f>HAVERW!B373</f>
        <v>134.38</v>
      </c>
      <c r="C362" s="7">
        <f>HAVERW!C369/HAVERW!D369</f>
        <v>49.763316260247592</v>
      </c>
    </row>
    <row r="363" spans="1:3" x14ac:dyDescent="0.35">
      <c r="A363" s="6">
        <f t="shared" si="5"/>
        <v>45972</v>
      </c>
      <c r="B363" s="3">
        <f>HAVERW!B374</f>
        <v>134.65</v>
      </c>
      <c r="C363" s="7">
        <f>HAVERW!C370/HAVERW!D370</f>
        <v>46.664671106787402</v>
      </c>
    </row>
    <row r="364" spans="1:3" x14ac:dyDescent="0.35">
      <c r="A364" s="6">
        <f t="shared" si="5"/>
        <v>45979</v>
      </c>
      <c r="B364" s="3">
        <f>HAVERW!B375</f>
        <v>135.07</v>
      </c>
      <c r="C364" s="7">
        <f>HAVERW!C371/HAVERW!D371</f>
        <v>47.345245405664478</v>
      </c>
    </row>
    <row r="365" spans="1:3" x14ac:dyDescent="0.35">
      <c r="A365" s="6">
        <f t="shared" si="5"/>
        <v>45986</v>
      </c>
      <c r="B365" s="3">
        <f>HAVERW!B376</f>
        <v>136.07</v>
      </c>
      <c r="C365" s="7">
        <f>HAVERW!C372/HAVERW!D372</f>
        <v>49.159282668521485</v>
      </c>
    </row>
    <row r="366" spans="1:3" x14ac:dyDescent="0.35">
      <c r="A366" s="6">
        <f t="shared" si="5"/>
        <v>45993</v>
      </c>
      <c r="B366" s="3">
        <f>HAVERW!B377</f>
        <v>136.61000000000001</v>
      </c>
      <c r="C366" s="7">
        <f>HAVERW!C373/HAVERW!D373</f>
        <v>49.092963596384067</v>
      </c>
    </row>
    <row r="367" spans="1:3" x14ac:dyDescent="0.35">
      <c r="A367" s="6">
        <f t="shared" si="5"/>
        <v>46000</v>
      </c>
      <c r="B367" s="3">
        <f>HAVERW!B378</f>
        <v>136.68</v>
      </c>
      <c r="C367" s="7">
        <f>HAVERW!C374/HAVERW!D374</f>
        <v>47.779297765617869</v>
      </c>
    </row>
    <row r="368" spans="1:3" x14ac:dyDescent="0.35">
      <c r="A368" s="6">
        <f t="shared" si="5"/>
        <v>46007</v>
      </c>
      <c r="B368" s="3">
        <f>HAVERW!B379</f>
        <v>136.83000000000001</v>
      </c>
      <c r="C368" s="7">
        <f>HAVERW!C375/HAVERW!D375</f>
        <v>48.522460431215883</v>
      </c>
    </row>
    <row r="369" spans="1:3" x14ac:dyDescent="0.35">
      <c r="A369" s="6">
        <f t="shared" si="5"/>
        <v>46014</v>
      </c>
      <c r="B369" s="3">
        <f>HAVERW!B380</f>
        <v>136.22999999999999</v>
      </c>
      <c r="C369" s="7">
        <f>HAVERW!C376/HAVERW!D376</f>
        <v>48.76600257556246</v>
      </c>
    </row>
    <row r="370" spans="1:3" x14ac:dyDescent="0.35">
      <c r="A370" s="6">
        <f t="shared" si="5"/>
        <v>46021</v>
      </c>
      <c r="B370" s="3">
        <f>HAVERW!B381</f>
        <v>135.34</v>
      </c>
      <c r="C370" s="7">
        <f>HAVERW!C377/HAVERW!D377</f>
        <v>48.106766917293243</v>
      </c>
    </row>
    <row r="371" spans="1:3" x14ac:dyDescent="0.35">
      <c r="A371" s="6">
        <f t="shared" si="5"/>
        <v>46028</v>
      </c>
      <c r="B371" s="3">
        <f>HAVERW!B382</f>
        <v>134.9</v>
      </c>
      <c r="C371" s="7">
        <f>HAVERW!C378/HAVERW!D378</f>
        <v>46.915467625899282</v>
      </c>
    </row>
    <row r="372" spans="1:3" x14ac:dyDescent="0.35">
      <c r="A372" s="6">
        <f t="shared" si="5"/>
        <v>46035</v>
      </c>
      <c r="B372" s="3">
        <f>HAVERW!B383</f>
        <v>133.43</v>
      </c>
      <c r="C372" s="7">
        <f>HAVERW!C379/HAVERW!D379</f>
        <v>45.414227690837421</v>
      </c>
    </row>
    <row r="373" spans="1:3" x14ac:dyDescent="0.35">
      <c r="A373" s="6">
        <f t="shared" si="5"/>
        <v>46042</v>
      </c>
      <c r="B373" s="3">
        <f>HAVERW!B384</f>
        <v>132.63999999999999</v>
      </c>
      <c r="C373" s="7">
        <f>HAVERW!C380/HAVERW!D380</f>
        <v>46.88342193101743</v>
      </c>
    </row>
    <row r="374" spans="1:3" x14ac:dyDescent="0.35">
      <c r="A374" s="6">
        <f t="shared" si="5"/>
        <v>46049</v>
      </c>
      <c r="B374" s="3">
        <f>HAVERW!B385</f>
        <v>132</v>
      </c>
      <c r="C374" s="7">
        <f>HAVERW!C381/HAVERW!D381</f>
        <v>46.128595537916574</v>
      </c>
    </row>
    <row r="375" spans="1:3" x14ac:dyDescent="0.35">
      <c r="A375" s="6">
        <f t="shared" si="5"/>
        <v>46056</v>
      </c>
      <c r="B375" s="3">
        <f>HAVERW!B386</f>
        <v>131.62</v>
      </c>
      <c r="C375" s="7">
        <f>HAVERW!C382/HAVERW!D382</f>
        <v>46.714277230074835</v>
      </c>
    </row>
    <row r="376" spans="1:3" x14ac:dyDescent="0.35">
      <c r="A376" s="6">
        <f t="shared" si="5"/>
        <v>46063</v>
      </c>
      <c r="B376" s="3">
        <f>HAVERW!B387</f>
        <v>131.46</v>
      </c>
      <c r="C376" s="7">
        <f>HAVERW!C383/HAVERW!D383</f>
        <v>49.893504520472455</v>
      </c>
    </row>
    <row r="377" spans="1:3" x14ac:dyDescent="0.35">
      <c r="A377" s="6">
        <f t="shared" si="5"/>
        <v>46070</v>
      </c>
      <c r="B377" s="3">
        <f>HAVERW!B388</f>
        <v>131.6</v>
      </c>
      <c r="C377" s="7">
        <f>HAVERW!C384/HAVERW!D384</f>
        <v>49.730508248080888</v>
      </c>
    </row>
    <row r="378" spans="1:3" x14ac:dyDescent="0.35">
      <c r="A378" s="6">
        <f t="shared" si="5"/>
        <v>46077</v>
      </c>
      <c r="B378" s="3">
        <f>HAVERW!B389</f>
        <v>131.71</v>
      </c>
      <c r="C378" s="7">
        <f>HAVERW!C385/HAVERW!D385</f>
        <v>51.231577262741332</v>
      </c>
    </row>
    <row r="379" spans="1:3" x14ac:dyDescent="0.35">
      <c r="A379" s="6">
        <f t="shared" si="5"/>
        <v>46084</v>
      </c>
      <c r="B379" s="3">
        <f>HAVERW!B390</f>
        <v>132.13999999999999</v>
      </c>
      <c r="C379" s="7">
        <f>HAVERW!C386/HAVERW!D386</f>
        <v>51.248935982858313</v>
      </c>
    </row>
    <row r="380" spans="1:3" x14ac:dyDescent="0.35">
      <c r="A380" s="6">
        <f t="shared" si="5"/>
        <v>46091</v>
      </c>
      <c r="B380" s="3">
        <f>HAVERW!B391</f>
        <v>135.66999999999999</v>
      </c>
      <c r="C380" s="7">
        <f>HAVERW!C387/HAVERW!D387</f>
        <v>51.791182546775872</v>
      </c>
    </row>
    <row r="381" spans="1:3" x14ac:dyDescent="0.35">
      <c r="A381" s="6">
        <f t="shared" si="5"/>
        <v>46098</v>
      </c>
      <c r="B381" s="3">
        <f>HAVERW!B392</f>
        <v>140.28</v>
      </c>
      <c r="C381" s="7">
        <f>HAVERW!C388/HAVERW!D388</f>
        <v>52.971790170914886</v>
      </c>
    </row>
    <row r="382" spans="1:3" x14ac:dyDescent="0.35">
      <c r="A382" s="6">
        <f t="shared" si="5"/>
        <v>46105</v>
      </c>
      <c r="B382" s="3">
        <f>HAVERW!B393</f>
        <v>144.16</v>
      </c>
      <c r="C382" s="7">
        <f>HAVERW!C389/HAVERW!D389</f>
        <v>52.855513251655537</v>
      </c>
    </row>
    <row r="383" spans="1:3" x14ac:dyDescent="0.35">
      <c r="A383" s="6">
        <f t="shared" si="5"/>
        <v>46112</v>
      </c>
      <c r="C383" s="7">
        <f>HAVERW!C390/HAVERW!D390</f>
        <v>63.90941382773039</v>
      </c>
    </row>
    <row r="384" spans="1:3" x14ac:dyDescent="0.35">
      <c r="A384" s="6">
        <f t="shared" si="5"/>
        <v>46119</v>
      </c>
      <c r="C384" s="7">
        <f>HAVERW!C391/HAVERW!D391</f>
        <v>71.93321064679742</v>
      </c>
    </row>
    <row r="385" spans="1:3" x14ac:dyDescent="0.35">
      <c r="A385" s="6">
        <f t="shared" si="5"/>
        <v>46126</v>
      </c>
      <c r="C385" s="7">
        <f>HAVERW!C392/HAVERW!D392</f>
        <v>83.595731588347405</v>
      </c>
    </row>
    <row r="386" spans="1:3" x14ac:dyDescent="0.35">
      <c r="A386" s="6">
        <f t="shared" si="5"/>
        <v>46133</v>
      </c>
    </row>
    <row r="387" spans="1:3" x14ac:dyDescent="0.35">
      <c r="A387" s="6">
        <f t="shared" si="5"/>
        <v>46140</v>
      </c>
    </row>
    <row r="388" spans="1:3" x14ac:dyDescent="0.35">
      <c r="A388" s="6">
        <f t="shared" si="5"/>
        <v>46147</v>
      </c>
    </row>
    <row r="389" spans="1:3" x14ac:dyDescent="0.35">
      <c r="A389" s="6">
        <f t="shared" si="5"/>
        <v>46154</v>
      </c>
    </row>
    <row r="390" spans="1:3" x14ac:dyDescent="0.35">
      <c r="A390" s="6">
        <f t="shared" ref="A390:A400" si="6">A389+7</f>
        <v>46161</v>
      </c>
    </row>
    <row r="391" spans="1:3" x14ac:dyDescent="0.35">
      <c r="A391" s="6">
        <f t="shared" si="6"/>
        <v>46168</v>
      </c>
    </row>
    <row r="392" spans="1:3" x14ac:dyDescent="0.35">
      <c r="A392" s="6">
        <f t="shared" si="6"/>
        <v>46175</v>
      </c>
    </row>
    <row r="393" spans="1:3" x14ac:dyDescent="0.35">
      <c r="A393" s="6">
        <f t="shared" si="6"/>
        <v>46182</v>
      </c>
    </row>
    <row r="394" spans="1:3" x14ac:dyDescent="0.35">
      <c r="A394" s="6">
        <f t="shared" si="6"/>
        <v>46189</v>
      </c>
    </row>
    <row r="395" spans="1:3" x14ac:dyDescent="0.35">
      <c r="A395" s="6">
        <f t="shared" si="6"/>
        <v>46196</v>
      </c>
    </row>
    <row r="396" spans="1:3" x14ac:dyDescent="0.35">
      <c r="A396" s="6">
        <f t="shared" si="6"/>
        <v>46203</v>
      </c>
    </row>
    <row r="397" spans="1:3" x14ac:dyDescent="0.35">
      <c r="A397" s="6">
        <f t="shared" si="6"/>
        <v>46210</v>
      </c>
    </row>
    <row r="398" spans="1:3" x14ac:dyDescent="0.35">
      <c r="A398" s="6">
        <f t="shared" si="6"/>
        <v>46217</v>
      </c>
    </row>
    <row r="399" spans="1:3" x14ac:dyDescent="0.35">
      <c r="A399" s="6">
        <f t="shared" si="6"/>
        <v>46224</v>
      </c>
    </row>
    <row r="400" spans="1:3" x14ac:dyDescent="0.35">
      <c r="A400" s="6">
        <f t="shared" si="6"/>
        <v>46231</v>
      </c>
    </row>
    <row r="402" spans="1:1" x14ac:dyDescent="0.35">
      <c r="A402" s="6"/>
    </row>
    <row r="403" spans="1:1" x14ac:dyDescent="0.35">
      <c r="A403" s="6"/>
    </row>
    <row r="404" spans="1:1" x14ac:dyDescent="0.35">
      <c r="A404" s="6"/>
    </row>
    <row r="405" spans="1:1" x14ac:dyDescent="0.35">
      <c r="A405" s="6"/>
    </row>
    <row r="406" spans="1:1" x14ac:dyDescent="0.35">
      <c r="A406" s="6"/>
    </row>
    <row r="407" spans="1:1" x14ac:dyDescent="0.35">
      <c r="A407" s="6"/>
    </row>
    <row r="408" spans="1:1" x14ac:dyDescent="0.35">
      <c r="A408" s="6"/>
    </row>
    <row r="409" spans="1:1" x14ac:dyDescent="0.35">
      <c r="A409" s="6"/>
    </row>
    <row r="410" spans="1:1" x14ac:dyDescent="0.35">
      <c r="A410" s="6"/>
    </row>
    <row r="411" spans="1:1" x14ac:dyDescent="0.35">
      <c r="A411" s="6"/>
    </row>
    <row r="412" spans="1:1" x14ac:dyDescent="0.35">
      <c r="A412" s="6"/>
    </row>
    <row r="413" spans="1:1" x14ac:dyDescent="0.35">
      <c r="A413" s="6"/>
    </row>
    <row r="414" spans="1:1" x14ac:dyDescent="0.35">
      <c r="A414" s="6"/>
    </row>
    <row r="415" spans="1:1" x14ac:dyDescent="0.35">
      <c r="A415" s="6"/>
    </row>
    <row r="416" spans="1:1" x14ac:dyDescent="0.35">
      <c r="A416" s="6"/>
    </row>
    <row r="417" spans="1:1" x14ac:dyDescent="0.35">
      <c r="A417" s="6"/>
    </row>
    <row r="418" spans="1:1" x14ac:dyDescent="0.35">
      <c r="A418" s="6"/>
    </row>
    <row r="419" spans="1:1" x14ac:dyDescent="0.35">
      <c r="A419" s="6"/>
    </row>
    <row r="420" spans="1:1" x14ac:dyDescent="0.35">
      <c r="A420" s="6"/>
    </row>
    <row r="421" spans="1:1" x14ac:dyDescent="0.35">
      <c r="A421" s="6"/>
    </row>
    <row r="422" spans="1:1" x14ac:dyDescent="0.35">
      <c r="A422" s="6"/>
    </row>
    <row r="423" spans="1:1" x14ac:dyDescent="0.35">
      <c r="A423" s="6"/>
    </row>
    <row r="424" spans="1:1" x14ac:dyDescent="0.35">
      <c r="A424" s="6"/>
    </row>
    <row r="425" spans="1:1" x14ac:dyDescent="0.35">
      <c r="A425" s="6"/>
    </row>
    <row r="426" spans="1:1" x14ac:dyDescent="0.35">
      <c r="A426" s="6"/>
    </row>
    <row r="427" spans="1:1" x14ac:dyDescent="0.35">
      <c r="A427" s="6"/>
    </row>
    <row r="428" spans="1:1" x14ac:dyDescent="0.35">
      <c r="A428" s="6"/>
    </row>
    <row r="429" spans="1:1" x14ac:dyDescent="0.35">
      <c r="A429" s="6"/>
    </row>
    <row r="430" spans="1:1" x14ac:dyDescent="0.35">
      <c r="A430" s="6"/>
    </row>
    <row r="431" spans="1:1" x14ac:dyDescent="0.35">
      <c r="A431" s="6"/>
    </row>
    <row r="432" spans="1:1" x14ac:dyDescent="0.35">
      <c r="A432" s="6"/>
    </row>
    <row r="433" spans="1:1" x14ac:dyDescent="0.35">
      <c r="A433" s="6"/>
    </row>
    <row r="434" spans="1:1" x14ac:dyDescent="0.35">
      <c r="A434" s="6"/>
    </row>
    <row r="435" spans="1:1" x14ac:dyDescent="0.35">
      <c r="A435" s="6"/>
    </row>
    <row r="436" spans="1:1" x14ac:dyDescent="0.35">
      <c r="A436" s="6"/>
    </row>
    <row r="437" spans="1:1" x14ac:dyDescent="0.35">
      <c r="A437" s="6"/>
    </row>
    <row r="438" spans="1:1" x14ac:dyDescent="0.35">
      <c r="A438" s="6"/>
    </row>
    <row r="439" spans="1:1" x14ac:dyDescent="0.35">
      <c r="A439" s="6"/>
    </row>
    <row r="440" spans="1:1" x14ac:dyDescent="0.35">
      <c r="A440" s="6"/>
    </row>
    <row r="441" spans="1:1" x14ac:dyDescent="0.35">
      <c r="A441" s="6"/>
    </row>
    <row r="442" spans="1:1" x14ac:dyDescent="0.35">
      <c r="A442" s="6"/>
    </row>
    <row r="443" spans="1:1" x14ac:dyDescent="0.35">
      <c r="A443" s="6"/>
    </row>
    <row r="444" spans="1:1" x14ac:dyDescent="0.35">
      <c r="A444" s="6"/>
    </row>
    <row r="445" spans="1:1" x14ac:dyDescent="0.35">
      <c r="A445" s="6"/>
    </row>
    <row r="446" spans="1:1" x14ac:dyDescent="0.35">
      <c r="A446" s="6"/>
    </row>
    <row r="447" spans="1:1" x14ac:dyDescent="0.35">
      <c r="A447" s="6"/>
    </row>
    <row r="448" spans="1:1" x14ac:dyDescent="0.35">
      <c r="A448" s="6"/>
    </row>
    <row r="449" spans="1:1" x14ac:dyDescent="0.35">
      <c r="A449" s="6"/>
    </row>
    <row r="450" spans="1:1" x14ac:dyDescent="0.35">
      <c r="A450" s="6"/>
    </row>
    <row r="451" spans="1:1" x14ac:dyDescent="0.35">
      <c r="A451" s="6"/>
    </row>
    <row r="452" spans="1:1" x14ac:dyDescent="0.35">
      <c r="A452" s="6"/>
    </row>
    <row r="453" spans="1:1" x14ac:dyDescent="0.35">
      <c r="A453" s="6"/>
    </row>
    <row r="454" spans="1:1" x14ac:dyDescent="0.35">
      <c r="A454" s="6"/>
    </row>
    <row r="455" spans="1:1" x14ac:dyDescent="0.35">
      <c r="A455" s="6"/>
    </row>
    <row r="456" spans="1:1" x14ac:dyDescent="0.35">
      <c r="A456" s="6"/>
    </row>
    <row r="457" spans="1:1" x14ac:dyDescent="0.35">
      <c r="A457" s="6"/>
    </row>
    <row r="458" spans="1:1" x14ac:dyDescent="0.35">
      <c r="A458" s="6"/>
    </row>
    <row r="459" spans="1:1" x14ac:dyDescent="0.35">
      <c r="A459" s="6"/>
    </row>
    <row r="460" spans="1:1" x14ac:dyDescent="0.35">
      <c r="A460" s="6"/>
    </row>
    <row r="461" spans="1:1" x14ac:dyDescent="0.35">
      <c r="A461" s="6"/>
    </row>
    <row r="462" spans="1:1" x14ac:dyDescent="0.35">
      <c r="A462" s="6"/>
    </row>
    <row r="463" spans="1:1" x14ac:dyDescent="0.35">
      <c r="A463" s="6"/>
    </row>
    <row r="464" spans="1:1" x14ac:dyDescent="0.35">
      <c r="A464" s="6"/>
    </row>
    <row r="465" spans="1:1" x14ac:dyDescent="0.35">
      <c r="A465" s="6"/>
    </row>
    <row r="466" spans="1:1" x14ac:dyDescent="0.35">
      <c r="A466" s="6"/>
    </row>
    <row r="467" spans="1:1" x14ac:dyDescent="0.35">
      <c r="A467" s="6"/>
    </row>
    <row r="468" spans="1:1" x14ac:dyDescent="0.35">
      <c r="A468" s="6"/>
    </row>
    <row r="469" spans="1:1" x14ac:dyDescent="0.35">
      <c r="A469" s="6"/>
    </row>
    <row r="470" spans="1:1" x14ac:dyDescent="0.35">
      <c r="A470" s="6"/>
    </row>
    <row r="471" spans="1:1" x14ac:dyDescent="0.35">
      <c r="A471" s="6"/>
    </row>
    <row r="472" spans="1:1" x14ac:dyDescent="0.35">
      <c r="A472" s="6"/>
    </row>
    <row r="473" spans="1:1" x14ac:dyDescent="0.35">
      <c r="A473" s="6"/>
    </row>
    <row r="474" spans="1:1" x14ac:dyDescent="0.35">
      <c r="A474" s="6"/>
    </row>
    <row r="475" spans="1:1" x14ac:dyDescent="0.35">
      <c r="A47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HAVERW</vt:lpstr>
      <vt:lpstr>Chart data</vt:lpstr>
      <vt:lpstr>Chart1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2026-03-26T22:45:14Z</dcterms:created>
  <dcterms:modified xsi:type="dcterms:W3CDTF">2026-03-27T00:19:15Z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2026-03-26T22:47:51Z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f1ac9789-5758-48aa-8a18-d24aace3264c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