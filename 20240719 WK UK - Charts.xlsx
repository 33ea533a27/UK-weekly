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9D16737F-6486-43C1-8F3E-B525DB65BB28}" xr6:coauthVersionLast="47" xr6:coauthVersionMax="47" xr10:uidLastSave="{00000000-0000-0000-0000-000000000000}"/>
  <bookViews>
    <workbookView xWindow="-120" yWindow="-120" windowWidth="29040" windowHeight="15840" xr2:uid="{18B870BD-58AE-4FBF-98F0-B82D746EAF7F}"/>
  </bookViews>
  <sheets>
    <sheet name="Chart1" sheetId="5" r:id="rId1"/>
    <sheet name="Calculations" sheetId="4" r:id="rId2"/>
    <sheet name="May" sheetId="2" r:id="rId3"/>
    <sheet name="June" sheetId="1" r:id="rId4"/>
    <sheet name="Glossary" sheetId="3" r:id="rId5"/>
  </sheets>
  <definedNames>
    <definedName name="_xlnm.Print_Titles" localSheetId="4">Glossary!$1:$3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" i="4" l="1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" i="4"/>
  <c r="V39" i="4"/>
  <c r="V38" i="4"/>
  <c r="G129" i="4"/>
  <c r="G4" i="4"/>
  <c r="G5" i="4"/>
  <c r="M5" i="4" s="1"/>
  <c r="G6" i="4"/>
  <c r="G7" i="4"/>
  <c r="G8" i="4"/>
  <c r="G9" i="4"/>
  <c r="L9" i="4" s="1"/>
  <c r="G10" i="4"/>
  <c r="G11" i="4"/>
  <c r="G12" i="4"/>
  <c r="G13" i="4"/>
  <c r="L13" i="4" s="1"/>
  <c r="G14" i="4"/>
  <c r="G15" i="4"/>
  <c r="G16" i="4"/>
  <c r="G17" i="4"/>
  <c r="M17" i="4" s="1"/>
  <c r="G18" i="4"/>
  <c r="G19" i="4"/>
  <c r="G20" i="4"/>
  <c r="G21" i="4"/>
  <c r="L21" i="4" s="1"/>
  <c r="G22" i="4"/>
  <c r="G23" i="4"/>
  <c r="G24" i="4"/>
  <c r="G25" i="4"/>
  <c r="L25" i="4" s="1"/>
  <c r="G26" i="4"/>
  <c r="G27" i="4"/>
  <c r="G28" i="4"/>
  <c r="G29" i="4"/>
  <c r="L29" i="4" s="1"/>
  <c r="G30" i="4"/>
  <c r="G31" i="4"/>
  <c r="G32" i="4"/>
  <c r="G33" i="4"/>
  <c r="M33" i="4" s="1"/>
  <c r="G34" i="4"/>
  <c r="G35" i="4"/>
  <c r="G36" i="4"/>
  <c r="G37" i="4"/>
  <c r="M37" i="4" s="1"/>
  <c r="G38" i="4"/>
  <c r="G39" i="4"/>
  <c r="G40" i="4"/>
  <c r="G41" i="4"/>
  <c r="L41" i="4" s="1"/>
  <c r="G42" i="4"/>
  <c r="G43" i="4"/>
  <c r="G44" i="4"/>
  <c r="G45" i="4"/>
  <c r="L45" i="4" s="1"/>
  <c r="G46" i="4"/>
  <c r="G47" i="4"/>
  <c r="G48" i="4"/>
  <c r="G49" i="4"/>
  <c r="L49" i="4" s="1"/>
  <c r="G50" i="4"/>
  <c r="G51" i="4"/>
  <c r="G52" i="4"/>
  <c r="G53" i="4"/>
  <c r="M53" i="4" s="1"/>
  <c r="G54" i="4"/>
  <c r="G55" i="4"/>
  <c r="G56" i="4"/>
  <c r="G57" i="4"/>
  <c r="L57" i="4" s="1"/>
  <c r="G58" i="4"/>
  <c r="G59" i="4"/>
  <c r="G60" i="4"/>
  <c r="G61" i="4"/>
  <c r="L61" i="4" s="1"/>
  <c r="G62" i="4"/>
  <c r="G63" i="4"/>
  <c r="G64" i="4"/>
  <c r="G65" i="4"/>
  <c r="M65" i="4" s="1"/>
  <c r="G66" i="4"/>
  <c r="G67" i="4"/>
  <c r="G68" i="4"/>
  <c r="G69" i="4"/>
  <c r="M69" i="4" s="1"/>
  <c r="G70" i="4"/>
  <c r="G71" i="4"/>
  <c r="G72" i="4"/>
  <c r="G73" i="4"/>
  <c r="L73" i="4" s="1"/>
  <c r="G74" i="4"/>
  <c r="G75" i="4"/>
  <c r="G76" i="4"/>
  <c r="G77" i="4"/>
  <c r="L77" i="4" s="1"/>
  <c r="G78" i="4"/>
  <c r="G79" i="4"/>
  <c r="G80" i="4"/>
  <c r="G81" i="4"/>
  <c r="M81" i="4" s="1"/>
  <c r="G82" i="4"/>
  <c r="G83" i="4"/>
  <c r="G84" i="4"/>
  <c r="G85" i="4"/>
  <c r="L85" i="4" s="1"/>
  <c r="G86" i="4"/>
  <c r="G87" i="4"/>
  <c r="G88" i="4"/>
  <c r="G89" i="4"/>
  <c r="L89" i="4" s="1"/>
  <c r="G90" i="4"/>
  <c r="G91" i="4"/>
  <c r="G92" i="4"/>
  <c r="G93" i="4"/>
  <c r="L93" i="4" s="1"/>
  <c r="G94" i="4"/>
  <c r="G95" i="4"/>
  <c r="G96" i="4"/>
  <c r="G97" i="4"/>
  <c r="M97" i="4" s="1"/>
  <c r="G98" i="4"/>
  <c r="G99" i="4"/>
  <c r="G100" i="4"/>
  <c r="G101" i="4"/>
  <c r="M101" i="4" s="1"/>
  <c r="G102" i="4"/>
  <c r="G103" i="4"/>
  <c r="G104" i="4"/>
  <c r="G105" i="4"/>
  <c r="L105" i="4" s="1"/>
  <c r="G106" i="4"/>
  <c r="G107" i="4"/>
  <c r="G108" i="4"/>
  <c r="G109" i="4"/>
  <c r="L109" i="4" s="1"/>
  <c r="G110" i="4"/>
  <c r="G111" i="4"/>
  <c r="G112" i="4"/>
  <c r="G113" i="4"/>
  <c r="L113" i="4" s="1"/>
  <c r="G114" i="4"/>
  <c r="G115" i="4"/>
  <c r="G116" i="4"/>
  <c r="L116" i="4" s="1"/>
  <c r="G117" i="4"/>
  <c r="L117" i="4" s="1"/>
  <c r="G118" i="4"/>
  <c r="G119" i="4"/>
  <c r="G120" i="4"/>
  <c r="G121" i="4"/>
  <c r="L121" i="4" s="1"/>
  <c r="G122" i="4"/>
  <c r="G123" i="4"/>
  <c r="G124" i="4"/>
  <c r="L124" i="4" s="1"/>
  <c r="G125" i="4"/>
  <c r="L125" i="4" s="1"/>
  <c r="G126" i="4"/>
  <c r="G127" i="4"/>
  <c r="G3" i="4"/>
  <c r="L4" i="4"/>
  <c r="L6" i="4"/>
  <c r="L11" i="4"/>
  <c r="L12" i="4"/>
  <c r="L14" i="4"/>
  <c r="L19" i="4"/>
  <c r="L20" i="4"/>
  <c r="L22" i="4"/>
  <c r="L27" i="4"/>
  <c r="L28" i="4"/>
  <c r="L30" i="4"/>
  <c r="L35" i="4"/>
  <c r="L36" i="4"/>
  <c r="L38" i="4"/>
  <c r="L43" i="4"/>
  <c r="L44" i="4"/>
  <c r="L46" i="4"/>
  <c r="L51" i="4"/>
  <c r="L52" i="4"/>
  <c r="L54" i="4"/>
  <c r="L59" i="4"/>
  <c r="L60" i="4"/>
  <c r="L62" i="4"/>
  <c r="L67" i="4"/>
  <c r="L68" i="4"/>
  <c r="L70" i="4"/>
  <c r="L75" i="4"/>
  <c r="L76" i="4"/>
  <c r="L78" i="4"/>
  <c r="L83" i="4"/>
  <c r="L84" i="4"/>
  <c r="L86" i="4"/>
  <c r="L91" i="4"/>
  <c r="L92" i="4"/>
  <c r="L94" i="4"/>
  <c r="L99" i="4"/>
  <c r="L100" i="4"/>
  <c r="L102" i="4"/>
  <c r="L107" i="4"/>
  <c r="L108" i="4"/>
  <c r="L110" i="4"/>
  <c r="L115" i="4"/>
  <c r="L118" i="4"/>
  <c r="L123" i="4"/>
  <c r="L126" i="4"/>
  <c r="H3" i="4"/>
  <c r="L5" i="4"/>
  <c r="M6" i="4"/>
  <c r="L7" i="4"/>
  <c r="M7" i="4"/>
  <c r="L8" i="4"/>
  <c r="M8" i="4"/>
  <c r="M9" i="4"/>
  <c r="L10" i="4"/>
  <c r="M10" i="4"/>
  <c r="M13" i="4"/>
  <c r="M14" i="4"/>
  <c r="L15" i="4"/>
  <c r="M15" i="4"/>
  <c r="L16" i="4"/>
  <c r="M16" i="4"/>
  <c r="L18" i="4"/>
  <c r="M18" i="4"/>
  <c r="M22" i="4"/>
  <c r="L23" i="4"/>
  <c r="M23" i="4"/>
  <c r="L24" i="4"/>
  <c r="M24" i="4"/>
  <c r="L26" i="4"/>
  <c r="M26" i="4"/>
  <c r="M30" i="4"/>
  <c r="L31" i="4"/>
  <c r="M31" i="4"/>
  <c r="L32" i="4"/>
  <c r="M32" i="4"/>
  <c r="L33" i="4"/>
  <c r="L34" i="4"/>
  <c r="M34" i="4"/>
  <c r="L37" i="4"/>
  <c r="M38" i="4"/>
  <c r="L39" i="4"/>
  <c r="M39" i="4"/>
  <c r="L40" i="4"/>
  <c r="M40" i="4"/>
  <c r="M41" i="4"/>
  <c r="L42" i="4"/>
  <c r="M42" i="4"/>
  <c r="M45" i="4"/>
  <c r="M46" i="4"/>
  <c r="L47" i="4"/>
  <c r="M47" i="4"/>
  <c r="L48" i="4"/>
  <c r="M48" i="4"/>
  <c r="L50" i="4"/>
  <c r="M50" i="4"/>
  <c r="M54" i="4"/>
  <c r="L55" i="4"/>
  <c r="M55" i="4"/>
  <c r="L56" i="4"/>
  <c r="M56" i="4"/>
  <c r="L58" i="4"/>
  <c r="M58" i="4"/>
  <c r="M62" i="4"/>
  <c r="L63" i="4"/>
  <c r="M63" i="4"/>
  <c r="L64" i="4"/>
  <c r="M64" i="4"/>
  <c r="L65" i="4"/>
  <c r="L66" i="4"/>
  <c r="M66" i="4"/>
  <c r="L69" i="4"/>
  <c r="M70" i="4"/>
  <c r="L71" i="4"/>
  <c r="M71" i="4"/>
  <c r="L72" i="4"/>
  <c r="M72" i="4"/>
  <c r="M73" i="4"/>
  <c r="L74" i="4"/>
  <c r="M74" i="4"/>
  <c r="M77" i="4"/>
  <c r="M78" i="4"/>
  <c r="L79" i="4"/>
  <c r="M79" i="4"/>
  <c r="L80" i="4"/>
  <c r="M80" i="4"/>
  <c r="L82" i="4"/>
  <c r="M82" i="4"/>
  <c r="M86" i="4"/>
  <c r="L87" i="4"/>
  <c r="M87" i="4"/>
  <c r="L88" i="4"/>
  <c r="M88" i="4"/>
  <c r="L90" i="4"/>
  <c r="M90" i="4"/>
  <c r="M94" i="4"/>
  <c r="L95" i="4"/>
  <c r="M95" i="4"/>
  <c r="L96" i="4"/>
  <c r="M96" i="4"/>
  <c r="L97" i="4"/>
  <c r="L98" i="4"/>
  <c r="M98" i="4"/>
  <c r="L101" i="4"/>
  <c r="M102" i="4"/>
  <c r="L103" i="4"/>
  <c r="M103" i="4"/>
  <c r="L104" i="4"/>
  <c r="M104" i="4"/>
  <c r="M105" i="4"/>
  <c r="L106" i="4"/>
  <c r="M106" i="4"/>
  <c r="M109" i="4"/>
  <c r="M110" i="4"/>
  <c r="L111" i="4"/>
  <c r="M111" i="4"/>
  <c r="L112" i="4"/>
  <c r="M112" i="4"/>
  <c r="L114" i="4"/>
  <c r="M114" i="4"/>
  <c r="M118" i="4"/>
  <c r="L119" i="4"/>
  <c r="M119" i="4"/>
  <c r="L120" i="4"/>
  <c r="M120" i="4"/>
  <c r="L122" i="4"/>
  <c r="M122" i="4"/>
  <c r="M126" i="4"/>
  <c r="L127" i="4"/>
  <c r="M127" i="4"/>
  <c r="P4" i="4"/>
  <c r="P5" i="4" s="1"/>
  <c r="P6" i="4" s="1"/>
  <c r="P7" i="4" s="1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P34" i="4" s="1"/>
  <c r="P35" i="4" s="1"/>
  <c r="P36" i="4" s="1"/>
  <c r="P37" i="4" s="1"/>
  <c r="P38" i="4" s="1"/>
  <c r="P39" i="4" s="1"/>
  <c r="P40" i="4" s="1"/>
  <c r="P41" i="4" s="1"/>
  <c r="P42" i="4" s="1"/>
  <c r="P43" i="4" s="1"/>
  <c r="P44" i="4" s="1"/>
  <c r="P45" i="4" s="1"/>
  <c r="P46" i="4" s="1"/>
  <c r="P47" i="4" s="1"/>
  <c r="P48" i="4" s="1"/>
  <c r="P49" i="4" s="1"/>
  <c r="P50" i="4" s="1"/>
  <c r="P51" i="4" s="1"/>
  <c r="P52" i="4" s="1"/>
  <c r="P53" i="4" s="1"/>
  <c r="P54" i="4" s="1"/>
  <c r="P55" i="4" s="1"/>
  <c r="P56" i="4" s="1"/>
  <c r="P57" i="4" s="1"/>
  <c r="P58" i="4" s="1"/>
  <c r="P59" i="4" s="1"/>
  <c r="P60" i="4" s="1"/>
  <c r="P61" i="4" s="1"/>
  <c r="P62" i="4" s="1"/>
  <c r="P63" i="4" s="1"/>
  <c r="P64" i="4" s="1"/>
  <c r="P65" i="4" s="1"/>
  <c r="P66" i="4" s="1"/>
  <c r="P67" i="4" s="1"/>
  <c r="P68" i="4" s="1"/>
  <c r="P69" i="4" s="1"/>
  <c r="P70" i="4" s="1"/>
  <c r="P71" i="4" s="1"/>
  <c r="P72" i="4" s="1"/>
  <c r="P73" i="4" s="1"/>
  <c r="P74" i="4" s="1"/>
  <c r="P75" i="4" s="1"/>
  <c r="P76" i="4" s="1"/>
  <c r="P77" i="4" s="1"/>
  <c r="P78" i="4" s="1"/>
  <c r="P79" i="4" s="1"/>
  <c r="P80" i="4" s="1"/>
  <c r="P81" i="4" s="1"/>
  <c r="P82" i="4" s="1"/>
  <c r="P83" i="4" s="1"/>
  <c r="P84" i="4" s="1"/>
  <c r="P85" i="4" s="1"/>
  <c r="P86" i="4" s="1"/>
  <c r="P87" i="4" s="1"/>
  <c r="P88" i="4" s="1"/>
  <c r="P89" i="4" s="1"/>
  <c r="P90" i="4" s="1"/>
  <c r="P91" i="4" s="1"/>
  <c r="P92" i="4" s="1"/>
  <c r="P93" i="4" s="1"/>
  <c r="P94" i="4" s="1"/>
  <c r="P95" i="4" s="1"/>
  <c r="P96" i="4" s="1"/>
  <c r="P97" i="4" s="1"/>
  <c r="P98" i="4" s="1"/>
  <c r="P99" i="4" s="1"/>
  <c r="P100" i="4" s="1"/>
  <c r="P101" i="4" s="1"/>
  <c r="P102" i="4" s="1"/>
  <c r="P103" i="4" s="1"/>
  <c r="P104" i="4" s="1"/>
  <c r="P105" i="4" s="1"/>
  <c r="P106" i="4" s="1"/>
  <c r="P107" i="4" s="1"/>
  <c r="P108" i="4" s="1"/>
  <c r="P109" i="4" s="1"/>
  <c r="P110" i="4" s="1"/>
  <c r="P111" i="4" s="1"/>
  <c r="P112" i="4" s="1"/>
  <c r="P113" i="4" s="1"/>
  <c r="P114" i="4" s="1"/>
  <c r="P115" i="4" s="1"/>
  <c r="P116" i="4" s="1"/>
  <c r="P117" i="4" s="1"/>
  <c r="P118" i="4" s="1"/>
  <c r="P119" i="4" s="1"/>
  <c r="P120" i="4" s="1"/>
  <c r="P121" i="4" s="1"/>
  <c r="P122" i="4" s="1"/>
  <c r="P123" i="4" s="1"/>
  <c r="P124" i="4" s="1"/>
  <c r="P125" i="4" s="1"/>
  <c r="P126" i="4" s="1"/>
  <c r="P127" i="4" s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K127" i="4" s="1"/>
  <c r="C3" i="4"/>
  <c r="D4" i="4"/>
  <c r="D5" i="4"/>
  <c r="D6" i="4"/>
  <c r="D7" i="4"/>
  <c r="D8" i="4"/>
  <c r="D9" i="4"/>
  <c r="D10" i="4"/>
  <c r="D11" i="4"/>
  <c r="E11" i="4" s="1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E27" i="4" s="1"/>
  <c r="D28" i="4"/>
  <c r="D29" i="4"/>
  <c r="D30" i="4"/>
  <c r="D31" i="4"/>
  <c r="D32" i="4"/>
  <c r="D33" i="4"/>
  <c r="D34" i="4"/>
  <c r="D35" i="4"/>
  <c r="E35" i="4" s="1"/>
  <c r="D36" i="4"/>
  <c r="D37" i="4"/>
  <c r="D38" i="4"/>
  <c r="D39" i="4"/>
  <c r="D40" i="4"/>
  <c r="D41" i="4"/>
  <c r="D42" i="4"/>
  <c r="D43" i="4"/>
  <c r="E43" i="4" s="1"/>
  <c r="D44" i="4"/>
  <c r="D45" i="4"/>
  <c r="D46" i="4"/>
  <c r="D47" i="4"/>
  <c r="D48" i="4"/>
  <c r="D49" i="4"/>
  <c r="D50" i="4"/>
  <c r="D51" i="4"/>
  <c r="E51" i="4" s="1"/>
  <c r="D52" i="4"/>
  <c r="D53" i="4"/>
  <c r="D54" i="4"/>
  <c r="D55" i="4"/>
  <c r="D56" i="4"/>
  <c r="D57" i="4"/>
  <c r="D58" i="4"/>
  <c r="D59" i="4"/>
  <c r="E59" i="4" s="1"/>
  <c r="D60" i="4"/>
  <c r="D61" i="4"/>
  <c r="D62" i="4"/>
  <c r="D63" i="4"/>
  <c r="D64" i="4"/>
  <c r="D65" i="4"/>
  <c r="D66" i="4"/>
  <c r="D67" i="4"/>
  <c r="E67" i="4" s="1"/>
  <c r="D68" i="4"/>
  <c r="D69" i="4"/>
  <c r="D70" i="4"/>
  <c r="E70" i="4" s="1"/>
  <c r="D71" i="4"/>
  <c r="D72" i="4"/>
  <c r="D73" i="4"/>
  <c r="D74" i="4"/>
  <c r="D75" i="4"/>
  <c r="E75" i="4" s="1"/>
  <c r="D76" i="4"/>
  <c r="D77" i="4"/>
  <c r="D78" i="4"/>
  <c r="E78" i="4" s="1"/>
  <c r="D79" i="4"/>
  <c r="D80" i="4"/>
  <c r="D81" i="4"/>
  <c r="D82" i="4"/>
  <c r="D83" i="4"/>
  <c r="E83" i="4" s="1"/>
  <c r="D84" i="4"/>
  <c r="D85" i="4"/>
  <c r="D86" i="4"/>
  <c r="E86" i="4" s="1"/>
  <c r="D87" i="4"/>
  <c r="D88" i="4"/>
  <c r="D89" i="4"/>
  <c r="D90" i="4"/>
  <c r="D91" i="4"/>
  <c r="E91" i="4" s="1"/>
  <c r="D92" i="4"/>
  <c r="D93" i="4"/>
  <c r="D94" i="4"/>
  <c r="E94" i="4" s="1"/>
  <c r="D95" i="4"/>
  <c r="D96" i="4"/>
  <c r="D97" i="4"/>
  <c r="D98" i="4"/>
  <c r="D99" i="4"/>
  <c r="E99" i="4" s="1"/>
  <c r="D100" i="4"/>
  <c r="D101" i="4"/>
  <c r="D102" i="4"/>
  <c r="E102" i="4" s="1"/>
  <c r="D103" i="4"/>
  <c r="D104" i="4"/>
  <c r="D105" i="4"/>
  <c r="D106" i="4"/>
  <c r="D107" i="4"/>
  <c r="E107" i="4" s="1"/>
  <c r="D108" i="4"/>
  <c r="D109" i="4"/>
  <c r="D110" i="4"/>
  <c r="E110" i="4" s="1"/>
  <c r="D111" i="4"/>
  <c r="D112" i="4"/>
  <c r="D113" i="4"/>
  <c r="D114" i="4"/>
  <c r="D115" i="4"/>
  <c r="E115" i="4" s="1"/>
  <c r="D116" i="4"/>
  <c r="D117" i="4"/>
  <c r="D118" i="4"/>
  <c r="E118" i="4" s="1"/>
  <c r="D119" i="4"/>
  <c r="D120" i="4"/>
  <c r="D121" i="4"/>
  <c r="D122" i="4"/>
  <c r="D123" i="4"/>
  <c r="E123" i="4" s="1"/>
  <c r="D124" i="4"/>
  <c r="D125" i="4"/>
  <c r="D126" i="4"/>
  <c r="E126" i="4" s="1"/>
  <c r="D127" i="4"/>
  <c r="D3" i="4"/>
  <c r="M117" i="4" l="1"/>
  <c r="M121" i="4"/>
  <c r="M93" i="4"/>
  <c r="L81" i="4"/>
  <c r="M57" i="4"/>
  <c r="L53" i="4"/>
  <c r="M29" i="4"/>
  <c r="L17" i="4"/>
  <c r="Q125" i="4"/>
  <c r="M113" i="4"/>
  <c r="M85" i="4"/>
  <c r="M49" i="4"/>
  <c r="M21" i="4"/>
  <c r="M125" i="4"/>
  <c r="M89" i="4"/>
  <c r="M61" i="4"/>
  <c r="M25" i="4"/>
  <c r="M124" i="4"/>
  <c r="M116" i="4"/>
  <c r="M108" i="4"/>
  <c r="M100" i="4"/>
  <c r="M92" i="4"/>
  <c r="M84" i="4"/>
  <c r="M76" i="4"/>
  <c r="M68" i="4"/>
  <c r="M60" i="4"/>
  <c r="M52" i="4"/>
  <c r="M44" i="4"/>
  <c r="M36" i="4"/>
  <c r="M28" i="4"/>
  <c r="M20" i="4"/>
  <c r="M12" i="4"/>
  <c r="M4" i="4"/>
  <c r="M123" i="4"/>
  <c r="M115" i="4"/>
  <c r="M107" i="4"/>
  <c r="M99" i="4"/>
  <c r="M91" i="4"/>
  <c r="M83" i="4"/>
  <c r="M75" i="4"/>
  <c r="M67" i="4"/>
  <c r="M59" i="4"/>
  <c r="M51" i="4"/>
  <c r="M43" i="4"/>
  <c r="M35" i="4"/>
  <c r="M27" i="4"/>
  <c r="M19" i="4"/>
  <c r="M11" i="4"/>
  <c r="L3" i="4"/>
  <c r="M3" i="4"/>
  <c r="E121" i="4"/>
  <c r="E113" i="4"/>
  <c r="E105" i="4"/>
  <c r="E97" i="4"/>
  <c r="E89" i="4"/>
  <c r="E81" i="4"/>
  <c r="E73" i="4"/>
  <c r="E65" i="4"/>
  <c r="E57" i="4"/>
  <c r="E49" i="4"/>
  <c r="E41" i="4"/>
  <c r="E33" i="4"/>
  <c r="E25" i="4"/>
  <c r="E17" i="4"/>
  <c r="E9" i="4"/>
  <c r="Q68" i="4"/>
  <c r="H4" i="4"/>
  <c r="E62" i="4"/>
  <c r="E54" i="4"/>
  <c r="E46" i="4"/>
  <c r="E38" i="4"/>
  <c r="E30" i="4"/>
  <c r="E22" i="4"/>
  <c r="E14" i="4"/>
  <c r="E6" i="4"/>
  <c r="E19" i="4"/>
  <c r="K125" i="4"/>
  <c r="E116" i="4"/>
  <c r="E108" i="4"/>
  <c r="E100" i="4"/>
  <c r="E92" i="4"/>
  <c r="E84" i="4"/>
  <c r="E76" i="4"/>
  <c r="E68" i="4"/>
  <c r="E60" i="4"/>
  <c r="E52" i="4"/>
  <c r="E44" i="4"/>
  <c r="E36" i="4"/>
  <c r="E28" i="4"/>
  <c r="E20" i="4"/>
  <c r="E12" i="4"/>
  <c r="E4" i="4"/>
  <c r="Q127" i="4"/>
  <c r="E122" i="4"/>
  <c r="E114" i="4"/>
  <c r="E106" i="4"/>
  <c r="E98" i="4"/>
  <c r="E90" i="4"/>
  <c r="E82" i="4"/>
  <c r="E74" i="4"/>
  <c r="E66" i="4"/>
  <c r="E58" i="4"/>
  <c r="E50" i="4"/>
  <c r="E42" i="4"/>
  <c r="E34" i="4"/>
  <c r="E26" i="4"/>
  <c r="E18" i="4"/>
  <c r="E10" i="4"/>
  <c r="H87" i="4"/>
  <c r="N63" i="4"/>
  <c r="H23" i="4"/>
  <c r="H15" i="4"/>
  <c r="H116" i="4"/>
  <c r="I108" i="4"/>
  <c r="H92" i="4"/>
  <c r="H84" i="4"/>
  <c r="H76" i="4"/>
  <c r="H60" i="4"/>
  <c r="I52" i="4"/>
  <c r="H36" i="4"/>
  <c r="H12" i="4"/>
  <c r="E120" i="4"/>
  <c r="E104" i="4"/>
  <c r="E80" i="4"/>
  <c r="E56" i="4"/>
  <c r="E32" i="4"/>
  <c r="E3" i="4"/>
  <c r="E112" i="4"/>
  <c r="E96" i="4"/>
  <c r="E72" i="4"/>
  <c r="E48" i="4"/>
  <c r="E24" i="4"/>
  <c r="E8" i="4"/>
  <c r="E88" i="4"/>
  <c r="E64" i="4"/>
  <c r="E40" i="4"/>
  <c r="E16" i="4"/>
  <c r="N31" i="4"/>
  <c r="E119" i="4"/>
  <c r="E103" i="4"/>
  <c r="E87" i="4"/>
  <c r="E63" i="4"/>
  <c r="E47" i="4"/>
  <c r="E31" i="4"/>
  <c r="E15" i="4"/>
  <c r="N100" i="4"/>
  <c r="N20" i="4"/>
  <c r="N103" i="4"/>
  <c r="E127" i="4"/>
  <c r="E111" i="4"/>
  <c r="E95" i="4"/>
  <c r="E79" i="4"/>
  <c r="E55" i="4"/>
  <c r="E39" i="4"/>
  <c r="E23" i="4"/>
  <c r="N76" i="4"/>
  <c r="N36" i="4"/>
  <c r="N127" i="4"/>
  <c r="H7" i="4"/>
  <c r="E7" i="4"/>
  <c r="H71" i="4"/>
  <c r="E71" i="4"/>
  <c r="N47" i="4"/>
  <c r="I125" i="4"/>
  <c r="N125" i="4"/>
  <c r="H118" i="4"/>
  <c r="H70" i="4"/>
  <c r="I54" i="4"/>
  <c r="H46" i="4"/>
  <c r="I14" i="4"/>
  <c r="H93" i="4"/>
  <c r="H61" i="4"/>
  <c r="I21" i="4"/>
  <c r="H13" i="4"/>
  <c r="I5" i="4"/>
  <c r="H106" i="4"/>
  <c r="H74" i="4"/>
  <c r="H66" i="4"/>
  <c r="H42" i="4"/>
  <c r="H10" i="4"/>
  <c r="E124" i="4"/>
  <c r="H105" i="4"/>
  <c r="H41" i="4"/>
  <c r="H9" i="4"/>
  <c r="H53" i="4"/>
  <c r="H100" i="4"/>
  <c r="I36" i="4"/>
  <c r="H108" i="4"/>
  <c r="H117" i="4"/>
  <c r="E125" i="4"/>
  <c r="E117" i="4"/>
  <c r="E109" i="4"/>
  <c r="E101" i="4"/>
  <c r="E93" i="4"/>
  <c r="E85" i="4"/>
  <c r="E77" i="4"/>
  <c r="E69" i="4"/>
  <c r="E61" i="4"/>
  <c r="E53" i="4"/>
  <c r="E45" i="4"/>
  <c r="E37" i="4"/>
  <c r="E29" i="4"/>
  <c r="E21" i="4"/>
  <c r="E13" i="4"/>
  <c r="E5" i="4"/>
  <c r="H50" i="4"/>
  <c r="I50" i="4"/>
  <c r="H28" i="4"/>
  <c r="I76" i="4"/>
  <c r="H127" i="4"/>
  <c r="I127" i="4"/>
  <c r="H55" i="4"/>
  <c r="H119" i="4"/>
  <c r="I111" i="4"/>
  <c r="H103" i="4"/>
  <c r="I103" i="4"/>
  <c r="H47" i="4"/>
  <c r="I39" i="4"/>
  <c r="H31" i="4"/>
  <c r="I31" i="4"/>
  <c r="I4" i="4"/>
  <c r="H126" i="4"/>
  <c r="I126" i="4"/>
  <c r="I110" i="4"/>
  <c r="H102" i="4"/>
  <c r="I78" i="4"/>
  <c r="H62" i="4"/>
  <c r="I62" i="4"/>
  <c r="H38" i="4"/>
  <c r="H124" i="4"/>
  <c r="I124" i="4"/>
  <c r="H125" i="4"/>
  <c r="I106" i="4" l="1"/>
  <c r="I84" i="4"/>
  <c r="I63" i="4"/>
  <c r="H63" i="4"/>
  <c r="I12" i="4"/>
  <c r="N12" i="4" s="1"/>
  <c r="Q12" i="4" s="1"/>
  <c r="I42" i="4"/>
  <c r="N42" i="4" s="1"/>
  <c r="Q42" i="4" s="1"/>
  <c r="I13" i="4"/>
  <c r="I74" i="4"/>
  <c r="I68" i="4"/>
  <c r="I92" i="4"/>
  <c r="H52" i="4"/>
  <c r="N52" i="4" s="1"/>
  <c r="Q52" i="4" s="1"/>
  <c r="K68" i="4"/>
  <c r="I7" i="4"/>
  <c r="H68" i="4"/>
  <c r="N68" i="4"/>
  <c r="I10" i="4"/>
  <c r="H21" i="4"/>
  <c r="H14" i="4"/>
  <c r="K51" i="4"/>
  <c r="Q51" i="4"/>
  <c r="H109" i="4"/>
  <c r="Q109" i="4"/>
  <c r="K109" i="4"/>
  <c r="I23" i="4"/>
  <c r="Q64" i="4"/>
  <c r="K64" i="4"/>
  <c r="K123" i="4"/>
  <c r="Q123" i="4"/>
  <c r="Q105" i="4"/>
  <c r="K105" i="4"/>
  <c r="Q106" i="4"/>
  <c r="K106" i="4"/>
  <c r="Q117" i="4"/>
  <c r="K117" i="4"/>
  <c r="Q126" i="4"/>
  <c r="K126" i="4"/>
  <c r="K7" i="4"/>
  <c r="Q7" i="4"/>
  <c r="Q76" i="4"/>
  <c r="K76" i="4"/>
  <c r="Q31" i="4"/>
  <c r="K31" i="4"/>
  <c r="Q103" i="4"/>
  <c r="K103" i="4"/>
  <c r="K120" i="4"/>
  <c r="Q120" i="4"/>
  <c r="Q97" i="4"/>
  <c r="K97" i="4"/>
  <c r="Q95" i="4"/>
  <c r="K95" i="4"/>
  <c r="I60" i="4"/>
  <c r="K8" i="4"/>
  <c r="Q8" i="4"/>
  <c r="K72" i="4"/>
  <c r="Q72" i="4"/>
  <c r="Q67" i="4"/>
  <c r="K67" i="4"/>
  <c r="H49" i="4"/>
  <c r="K49" i="4"/>
  <c r="Q49" i="4"/>
  <c r="H113" i="4"/>
  <c r="Q113" i="4"/>
  <c r="K113" i="4"/>
  <c r="Q61" i="4"/>
  <c r="K61" i="4"/>
  <c r="I6" i="4"/>
  <c r="Q6" i="4"/>
  <c r="K6" i="4"/>
  <c r="I70" i="4"/>
  <c r="Q70" i="4"/>
  <c r="K70" i="4"/>
  <c r="N84" i="4"/>
  <c r="Q84" i="4"/>
  <c r="K84" i="4"/>
  <c r="H39" i="4"/>
  <c r="N39" i="4" s="1"/>
  <c r="Q39" i="4" s="1"/>
  <c r="N111" i="4"/>
  <c r="Q111" i="4"/>
  <c r="K111" i="4"/>
  <c r="Q115" i="4"/>
  <c r="K115" i="4"/>
  <c r="H45" i="4"/>
  <c r="Q23" i="4"/>
  <c r="K23" i="4"/>
  <c r="I95" i="4"/>
  <c r="Q16" i="4"/>
  <c r="K16" i="4"/>
  <c r="K57" i="4"/>
  <c r="Q57" i="4"/>
  <c r="H58" i="4"/>
  <c r="H5" i="4"/>
  <c r="Q5" i="4"/>
  <c r="K5" i="4"/>
  <c r="H69" i="4"/>
  <c r="Q69" i="4"/>
  <c r="K69" i="4"/>
  <c r="Q14" i="4"/>
  <c r="K14" i="4"/>
  <c r="H78" i="4"/>
  <c r="K78" i="4"/>
  <c r="Q78" i="4"/>
  <c r="N95" i="4"/>
  <c r="H20" i="4"/>
  <c r="Q20" i="4"/>
  <c r="K20" i="4"/>
  <c r="N92" i="4"/>
  <c r="Q92" i="4"/>
  <c r="K92" i="4"/>
  <c r="I47" i="4"/>
  <c r="Q47" i="4"/>
  <c r="K47" i="4"/>
  <c r="I119" i="4"/>
  <c r="N119" i="4" s="1"/>
  <c r="Q119" i="4" s="1"/>
  <c r="K122" i="4"/>
  <c r="Q122" i="4"/>
  <c r="H34" i="4"/>
  <c r="Q60" i="4"/>
  <c r="K60" i="4"/>
  <c r="N124" i="4"/>
  <c r="Q124" i="4" s="1"/>
  <c r="H95" i="4"/>
  <c r="Q24" i="4"/>
  <c r="K24" i="4"/>
  <c r="Q88" i="4"/>
  <c r="K88" i="4"/>
  <c r="K19" i="4"/>
  <c r="Q19" i="4"/>
  <c r="K83" i="4"/>
  <c r="Q83" i="4"/>
  <c r="I66" i="4"/>
  <c r="Q66" i="4"/>
  <c r="K66" i="4"/>
  <c r="Q13" i="4"/>
  <c r="K13" i="4"/>
  <c r="H77" i="4"/>
  <c r="Q77" i="4"/>
  <c r="K77" i="4"/>
  <c r="H22" i="4"/>
  <c r="Q22" i="4"/>
  <c r="K22" i="4"/>
  <c r="H86" i="4"/>
  <c r="Q86" i="4"/>
  <c r="K86" i="4"/>
  <c r="N23" i="4"/>
  <c r="I28" i="4"/>
  <c r="Q28" i="4"/>
  <c r="K28" i="4"/>
  <c r="I100" i="4"/>
  <c r="Q100" i="4"/>
  <c r="K100" i="4"/>
  <c r="N55" i="4"/>
  <c r="Q55" i="4"/>
  <c r="K55" i="4"/>
  <c r="I118" i="4"/>
  <c r="Q118" i="4"/>
  <c r="K118" i="4"/>
  <c r="Q96" i="4"/>
  <c r="K96" i="4"/>
  <c r="K27" i="4"/>
  <c r="Q27" i="4"/>
  <c r="K91" i="4"/>
  <c r="Q91" i="4"/>
  <c r="H73" i="4"/>
  <c r="K73" i="4"/>
  <c r="Q73" i="4"/>
  <c r="K10" i="4"/>
  <c r="Q10" i="4"/>
  <c r="K74" i="4"/>
  <c r="Q74" i="4"/>
  <c r="Q21" i="4"/>
  <c r="K21" i="4"/>
  <c r="Q85" i="4"/>
  <c r="K85" i="4"/>
  <c r="H30" i="4"/>
  <c r="Q30" i="4"/>
  <c r="K30" i="4"/>
  <c r="H94" i="4"/>
  <c r="Q94" i="4"/>
  <c r="K94" i="4"/>
  <c r="Q36" i="4"/>
  <c r="K36" i="4"/>
  <c r="Q63" i="4"/>
  <c r="K63" i="4"/>
  <c r="K56" i="4"/>
  <c r="Q56" i="4"/>
  <c r="H98" i="4"/>
  <c r="K98" i="4"/>
  <c r="Q98" i="4"/>
  <c r="Q104" i="4"/>
  <c r="K104" i="4"/>
  <c r="K35" i="4"/>
  <c r="Q35" i="4"/>
  <c r="K99" i="4"/>
  <c r="Q99" i="4"/>
  <c r="I17" i="4"/>
  <c r="Q17" i="4"/>
  <c r="K17" i="4"/>
  <c r="H81" i="4"/>
  <c r="K81" i="4"/>
  <c r="Q81" i="4"/>
  <c r="I18" i="4"/>
  <c r="Q18" i="4"/>
  <c r="K18" i="4"/>
  <c r="H82" i="4"/>
  <c r="K82" i="4"/>
  <c r="Q82" i="4"/>
  <c r="Q29" i="4"/>
  <c r="K29" i="4"/>
  <c r="K38" i="4"/>
  <c r="Q38" i="4"/>
  <c r="Q102" i="4"/>
  <c r="K102" i="4"/>
  <c r="H44" i="4"/>
  <c r="N116" i="4"/>
  <c r="Q116" i="4"/>
  <c r="K116" i="4"/>
  <c r="H79" i="4"/>
  <c r="Q33" i="4"/>
  <c r="K33" i="4"/>
  <c r="H54" i="4"/>
  <c r="Q54" i="4"/>
  <c r="K54" i="4"/>
  <c r="N60" i="4"/>
  <c r="Q112" i="4"/>
  <c r="K112" i="4"/>
  <c r="Q114" i="4"/>
  <c r="K114" i="4"/>
  <c r="K43" i="4"/>
  <c r="Q43" i="4"/>
  <c r="K107" i="4"/>
  <c r="Q107" i="4"/>
  <c r="Q25" i="4"/>
  <c r="K25" i="4"/>
  <c r="K89" i="4"/>
  <c r="Q89" i="4"/>
  <c r="H26" i="4"/>
  <c r="Q26" i="4"/>
  <c r="K26" i="4"/>
  <c r="K90" i="4"/>
  <c r="Q90" i="4"/>
  <c r="H37" i="4"/>
  <c r="K37" i="4"/>
  <c r="Q37" i="4"/>
  <c r="H101" i="4"/>
  <c r="I46" i="4"/>
  <c r="N46" i="4" s="1"/>
  <c r="Q46" i="4" s="1"/>
  <c r="H110" i="4"/>
  <c r="Q110" i="4"/>
  <c r="K110" i="4"/>
  <c r="I71" i="4"/>
  <c r="N71" i="4" s="1"/>
  <c r="Q71" i="4" s="1"/>
  <c r="I15" i="4"/>
  <c r="N15" i="4" s="1"/>
  <c r="Q15" i="4" s="1"/>
  <c r="I87" i="4"/>
  <c r="N87" i="4" s="1"/>
  <c r="Q87" i="4" s="1"/>
  <c r="N4" i="4"/>
  <c r="Q4" i="4" s="1"/>
  <c r="I55" i="4"/>
  <c r="I116" i="4"/>
  <c r="N28" i="4"/>
  <c r="I79" i="4"/>
  <c r="I44" i="4"/>
  <c r="H111" i="4"/>
  <c r="I20" i="4"/>
  <c r="I82" i="4"/>
  <c r="H6" i="4"/>
  <c r="N108" i="4"/>
  <c r="Q108" i="4" s="1"/>
  <c r="N13" i="4"/>
  <c r="N8" i="4"/>
  <c r="N107" i="4"/>
  <c r="I89" i="4"/>
  <c r="N89" i="4"/>
  <c r="H89" i="4"/>
  <c r="N90" i="4"/>
  <c r="I93" i="4"/>
  <c r="N93" i="4" s="1"/>
  <c r="Q93" i="4" s="1"/>
  <c r="N102" i="4"/>
  <c r="I94" i="4"/>
  <c r="N88" i="4"/>
  <c r="I58" i="4"/>
  <c r="N51" i="4"/>
  <c r="N33" i="4"/>
  <c r="I37" i="4"/>
  <c r="N37" i="4"/>
  <c r="N96" i="4"/>
  <c r="H33" i="4"/>
  <c r="H90" i="4"/>
  <c r="N123" i="4"/>
  <c r="I41" i="4"/>
  <c r="N41" i="4" s="1"/>
  <c r="Q41" i="4" s="1"/>
  <c r="I105" i="4"/>
  <c r="N105" i="4"/>
  <c r="N106" i="4"/>
  <c r="I45" i="4"/>
  <c r="N45" i="4" s="1"/>
  <c r="Q45" i="4" s="1"/>
  <c r="I109" i="4"/>
  <c r="N109" i="4"/>
  <c r="N54" i="4"/>
  <c r="N118" i="4"/>
  <c r="N56" i="4"/>
  <c r="I77" i="4"/>
  <c r="N77" i="4"/>
  <c r="I22" i="4"/>
  <c r="N99" i="4"/>
  <c r="I81" i="4"/>
  <c r="N81" i="4"/>
  <c r="N18" i="4"/>
  <c r="N82" i="4"/>
  <c r="I85" i="4"/>
  <c r="N85" i="4"/>
  <c r="N30" i="4"/>
  <c r="N16" i="4"/>
  <c r="H17" i="4"/>
  <c r="H18" i="4"/>
  <c r="N122" i="4"/>
  <c r="N43" i="4"/>
  <c r="I25" i="4"/>
  <c r="N25" i="4"/>
  <c r="N26" i="4"/>
  <c r="I29" i="4"/>
  <c r="N29" i="4"/>
  <c r="N38" i="4"/>
  <c r="I30" i="4"/>
  <c r="N24" i="4"/>
  <c r="I26" i="4"/>
  <c r="I90" i="4"/>
  <c r="H85" i="4"/>
  <c r="N115" i="4"/>
  <c r="I97" i="4"/>
  <c r="N97" i="4"/>
  <c r="H97" i="4"/>
  <c r="N98" i="4"/>
  <c r="I101" i="4"/>
  <c r="N110" i="4"/>
  <c r="H25" i="4"/>
  <c r="I38" i="4"/>
  <c r="I102" i="4"/>
  <c r="H29" i="4"/>
  <c r="N104" i="4"/>
  <c r="I33" i="4"/>
  <c r="I34" i="4"/>
  <c r="I98" i="4"/>
  <c r="N67" i="4"/>
  <c r="I49" i="4"/>
  <c r="N49" i="4"/>
  <c r="I113" i="4"/>
  <c r="N113" i="4"/>
  <c r="N50" i="4"/>
  <c r="Q50" i="4" s="1"/>
  <c r="I53" i="4"/>
  <c r="N53" i="4" s="1"/>
  <c r="Q53" i="4" s="1"/>
  <c r="I117" i="4"/>
  <c r="N117" i="4"/>
  <c r="N62" i="4"/>
  <c r="Q62" i="4" s="1"/>
  <c r="N126" i="4"/>
  <c r="N7" i="4"/>
  <c r="I57" i="4"/>
  <c r="N57" i="4"/>
  <c r="H57" i="4"/>
  <c r="I121" i="4"/>
  <c r="H121" i="4"/>
  <c r="I61" i="4"/>
  <c r="N61" i="4"/>
  <c r="N6" i="4"/>
  <c r="N70" i="4"/>
  <c r="N120" i="4"/>
  <c r="N19" i="4"/>
  <c r="N83" i="4"/>
  <c r="I65" i="4"/>
  <c r="H65" i="4"/>
  <c r="N66" i="4"/>
  <c r="N5" i="4"/>
  <c r="I69" i="4"/>
  <c r="N69" i="4"/>
  <c r="N14" i="4"/>
  <c r="N78" i="4"/>
  <c r="N27" i="4"/>
  <c r="N91" i="4"/>
  <c r="N74" i="4"/>
  <c r="N22" i="4"/>
  <c r="N86" i="4"/>
  <c r="I73" i="4"/>
  <c r="N73" i="4"/>
  <c r="N72" i="4"/>
  <c r="N114" i="4"/>
  <c r="N35" i="4"/>
  <c r="N21" i="4"/>
  <c r="N64" i="4"/>
  <c r="I86" i="4"/>
  <c r="I9" i="4"/>
  <c r="N9" i="4" s="1"/>
  <c r="Q9" i="4" s="1"/>
  <c r="N94" i="4"/>
  <c r="N112" i="4"/>
  <c r="N10" i="4"/>
  <c r="N17" i="4"/>
  <c r="H104" i="4"/>
  <c r="I104" i="4"/>
  <c r="H51" i="4"/>
  <c r="I51" i="4"/>
  <c r="H115" i="4"/>
  <c r="I115" i="4"/>
  <c r="H19" i="4"/>
  <c r="I19" i="4"/>
  <c r="H27" i="4"/>
  <c r="I27" i="4"/>
  <c r="H24" i="4"/>
  <c r="I24" i="4"/>
  <c r="H40" i="4"/>
  <c r="I40" i="4"/>
  <c r="H48" i="4"/>
  <c r="I48" i="4"/>
  <c r="H112" i="4"/>
  <c r="I112" i="4"/>
  <c r="H59" i="4"/>
  <c r="I59" i="4"/>
  <c r="H123" i="4"/>
  <c r="I123" i="4"/>
  <c r="H56" i="4"/>
  <c r="I56" i="4"/>
  <c r="H120" i="4"/>
  <c r="I120" i="4"/>
  <c r="H114" i="4"/>
  <c r="I114" i="4"/>
  <c r="H67" i="4"/>
  <c r="I67" i="4"/>
  <c r="H64" i="4"/>
  <c r="I64" i="4"/>
  <c r="I3" i="4"/>
  <c r="H122" i="4"/>
  <c r="I122" i="4"/>
  <c r="H11" i="4"/>
  <c r="I11" i="4"/>
  <c r="H75" i="4"/>
  <c r="I75" i="4"/>
  <c r="H8" i="4"/>
  <c r="I8" i="4"/>
  <c r="H83" i="4"/>
  <c r="I83" i="4"/>
  <c r="H16" i="4"/>
  <c r="I16" i="4"/>
  <c r="H72" i="4"/>
  <c r="I72" i="4"/>
  <c r="H80" i="4"/>
  <c r="I80" i="4"/>
  <c r="H91" i="4"/>
  <c r="I91" i="4"/>
  <c r="H88" i="4"/>
  <c r="I88" i="4"/>
  <c r="H35" i="4"/>
  <c r="I35" i="4"/>
  <c r="H99" i="4"/>
  <c r="I99" i="4"/>
  <c r="H32" i="4"/>
  <c r="I32" i="4"/>
  <c r="H96" i="4"/>
  <c r="I96" i="4"/>
  <c r="H43" i="4"/>
  <c r="I43" i="4"/>
  <c r="H107" i="4"/>
  <c r="I107" i="4"/>
  <c r="N79" i="4" l="1"/>
  <c r="Q79" i="4" s="1"/>
  <c r="N3" i="4"/>
  <c r="Q3" i="4" s="1"/>
  <c r="N58" i="4"/>
  <c r="Q58" i="4" s="1"/>
  <c r="N34" i="4"/>
  <c r="Q34" i="4" s="1"/>
  <c r="N101" i="4"/>
  <c r="Q101" i="4" s="1"/>
  <c r="N44" i="4"/>
  <c r="Q44" i="4" s="1"/>
  <c r="N75" i="4"/>
  <c r="Q75" i="4" s="1"/>
  <c r="N11" i="4"/>
  <c r="Q11" i="4" s="1"/>
  <c r="N40" i="4"/>
  <c r="Q40" i="4" s="1"/>
  <c r="N32" i="4"/>
  <c r="Q32" i="4" s="1"/>
  <c r="N59" i="4"/>
  <c r="Q59" i="4" s="1"/>
  <c r="N80" i="4"/>
  <c r="Q80" i="4" s="1"/>
  <c r="N65" i="4"/>
  <c r="Q65" i="4" s="1"/>
  <c r="N121" i="4"/>
  <c r="Q121" i="4" s="1"/>
  <c r="N48" i="4"/>
  <c r="Q48" i="4" s="1"/>
  <c r="K3" i="4" l="1"/>
  <c r="U8" i="4" s="1"/>
  <c r="T8" i="4"/>
  <c r="K42" i="4"/>
  <c r="K39" i="4"/>
  <c r="K53" i="4"/>
  <c r="K65" i="4"/>
  <c r="K80" i="4"/>
  <c r="K62" i="4"/>
  <c r="K108" i="4"/>
  <c r="K75" i="4"/>
  <c r="K46" i="4"/>
  <c r="K44" i="4"/>
  <c r="K12" i="4"/>
  <c r="K71" i="4"/>
  <c r="K87" i="4"/>
  <c r="K59" i="4"/>
  <c r="K41" i="4"/>
  <c r="K15" i="4"/>
  <c r="K93" i="4"/>
  <c r="K32" i="4"/>
  <c r="K119" i="4"/>
  <c r="K101" i="4"/>
  <c r="K40" i="4"/>
  <c r="K58" i="4"/>
  <c r="K48" i="4"/>
  <c r="K4" i="4"/>
  <c r="K79" i="4"/>
  <c r="K34" i="4"/>
  <c r="K11" i="4"/>
  <c r="K124" i="4"/>
  <c r="K45" i="4"/>
  <c r="K121" i="4"/>
  <c r="K52" i="4"/>
  <c r="K50" i="4"/>
  <c r="K9" i="4"/>
  <c r="V8" i="4" l="1"/>
  <c r="U26" i="4"/>
  <c r="U6" i="4"/>
  <c r="U5" i="4"/>
  <c r="V33" i="4"/>
  <c r="V30" i="4"/>
  <c r="U24" i="4"/>
  <c r="V32" i="4"/>
  <c r="T24" i="4"/>
  <c r="U35" i="4"/>
  <c r="V23" i="4"/>
  <c r="V36" i="4"/>
  <c r="U15" i="4"/>
  <c r="T31" i="4"/>
  <c r="V9" i="4"/>
  <c r="T28" i="4"/>
  <c r="V6" i="4"/>
  <c r="U22" i="4"/>
  <c r="V5" i="4"/>
  <c r="V21" i="4"/>
  <c r="T7" i="4"/>
  <c r="T6" i="4"/>
  <c r="T19" i="4"/>
  <c r="V18" i="4"/>
  <c r="U11" i="4"/>
  <c r="U18" i="4"/>
  <c r="U31" i="4"/>
  <c r="T10" i="4"/>
  <c r="V25" i="4"/>
  <c r="U4" i="4"/>
  <c r="V22" i="4"/>
  <c r="V16" i="4"/>
  <c r="T17" i="4"/>
  <c r="T27" i="4"/>
  <c r="T22" i="4"/>
  <c r="U28" i="4"/>
  <c r="T3" i="4"/>
  <c r="U16" i="4"/>
  <c r="U3" i="4"/>
  <c r="T16" i="4"/>
  <c r="V3" i="4"/>
  <c r="V15" i="4"/>
  <c r="V28" i="4"/>
  <c r="U7" i="4"/>
  <c r="T23" i="4"/>
  <c r="T30" i="4"/>
  <c r="T20" i="4"/>
  <c r="V35" i="4"/>
  <c r="U14" i="4"/>
  <c r="V26" i="4"/>
  <c r="T18" i="4"/>
  <c r="U12" i="4"/>
  <c r="U9" i="4"/>
  <c r="T25" i="4"/>
  <c r="U27" i="4"/>
  <c r="V24" i="4"/>
  <c r="V12" i="4"/>
  <c r="T4" i="4"/>
  <c r="T35" i="4"/>
  <c r="V13" i="4"/>
  <c r="V34" i="4"/>
  <c r="U13" i="4"/>
  <c r="U34" i="4"/>
  <c r="T13" i="4"/>
  <c r="T26" i="4"/>
  <c r="V4" i="4"/>
  <c r="U20" i="4"/>
  <c r="T14" i="4"/>
  <c r="U17" i="4"/>
  <c r="T33" i="4"/>
  <c r="V11" i="4"/>
  <c r="T5" i="4"/>
  <c r="T21" i="4"/>
  <c r="U32" i="4"/>
  <c r="T11" i="4"/>
  <c r="T32" i="4"/>
  <c r="V10" i="4"/>
  <c r="V31" i="4"/>
  <c r="U10" i="4"/>
  <c r="U23" i="4"/>
  <c r="U19" i="4"/>
  <c r="V17" i="4"/>
  <c r="T36" i="4"/>
  <c r="V14" i="4"/>
  <c r="U30" i="4"/>
  <c r="T9" i="4"/>
  <c r="U21" i="4"/>
  <c r="T34" i="4"/>
  <c r="U25" i="4"/>
  <c r="V19" i="4"/>
  <c r="V29" i="4"/>
  <c r="U29" i="4"/>
  <c r="T29" i="4"/>
  <c r="V7" i="4"/>
  <c r="V20" i="4"/>
  <c r="U36" i="4"/>
  <c r="T15" i="4"/>
  <c r="U33" i="4"/>
  <c r="T12" i="4"/>
  <c r="V27" i="4"/>
</calcChain>
</file>

<file path=xl/sharedStrings.xml><?xml version="1.0" encoding="utf-8"?>
<sst xmlns="http://schemas.openxmlformats.org/spreadsheetml/2006/main" count="643" uniqueCount="110">
  <si>
    <t>HOTEL 1 NIGHT PRICE</t>
  </si>
  <si>
    <t>T</t>
  </si>
  <si>
    <t>QUOTE_DATE</t>
  </si>
  <si>
    <t>ITEM_ID</t>
  </si>
  <si>
    <t>ITEM_DESC</t>
  </si>
  <si>
    <t>VALIDITY</t>
  </si>
  <si>
    <t>SHOP_CODE</t>
  </si>
  <si>
    <t>PRICE</t>
  </si>
  <si>
    <t>INDICATOR_BOX</t>
  </si>
  <si>
    <t>ORIG_INDICATOR_BOX</t>
  </si>
  <si>
    <t>PRICE_RELATIVE</t>
  </si>
  <si>
    <t>LOG_PRICE_RELATIVE</t>
  </si>
  <si>
    <t>STRATUM_WEIGHT</t>
  </si>
  <si>
    <t>STRATUM_TYPE</t>
  </si>
  <si>
    <t>START_DATE</t>
  </si>
  <si>
    <t>END_DATE</t>
  </si>
  <si>
    <t>REGION</t>
  </si>
  <si>
    <t>SHOP_TYPE</t>
  </si>
  <si>
    <t>SHOP_WEIGHT</t>
  </si>
  <si>
    <t>BASE_PRICE</t>
  </si>
  <si>
    <t>BASE_VALIDITY</t>
  </si>
  <si>
    <t>STRATUM_CELL</t>
  </si>
  <si>
    <t>https://www.ons.gov.uk/file?uri=/economy/inflationandpriceindices/datasets/consumerpriceindicescpiandretailpricesindexrpiitemindicesandpricequotes/pricequotesjune2024/upload-pricequotes202406.csv</t>
  </si>
  <si>
    <t>https://www.ons.gov.uk/file?uri=/economy/inflationandpriceindices/datasets/consumerpriceindicescpiandretailpricesindexrpiitemindicesandpricequotes/pricequotesmay2024/upload-pricequotes202405.csv</t>
  </si>
  <si>
    <t>Data set that contains raw price quotes collected that underpin the CPI and RPI.</t>
  </si>
  <si>
    <t>Column Heading</t>
  </si>
  <si>
    <t>Description</t>
  </si>
  <si>
    <t>quote_date</t>
  </si>
  <si>
    <t>year and month of data collection (yyyymm)</t>
  </si>
  <si>
    <t>item_id</t>
  </si>
  <si>
    <t>identification of the item collected</t>
  </si>
  <si>
    <t>validity</t>
  </si>
  <si>
    <t>validity of the quote (only codes 3 and 4 used, except where indicator_box = 'N')</t>
  </si>
  <si>
    <t>3 = Validated by system</t>
  </si>
  <si>
    <t>4 = Accepted internally by ONS staff</t>
  </si>
  <si>
    <t>shop_code</t>
  </si>
  <si>
    <t>code of shop that the price was collected from</t>
  </si>
  <si>
    <t>price</t>
  </si>
  <si>
    <t>price of the item collected in the quote month</t>
  </si>
  <si>
    <t>indicator_box</t>
  </si>
  <si>
    <t>indicator used to highlight any item or price change</t>
  </si>
  <si>
    <t>S = Sale</t>
  </si>
  <si>
    <t>R = Recovery</t>
  </si>
  <si>
    <t>M = Missing</t>
  </si>
  <si>
    <t>C = Comparable</t>
  </si>
  <si>
    <t>N = Non comparable</t>
  </si>
  <si>
    <t>T = Temporarily out of stock</t>
  </si>
  <si>
    <t>X = Comparable item on sale</t>
  </si>
  <si>
    <t>Z = Non comparable item on sale</t>
  </si>
  <si>
    <t>price_relative</t>
  </si>
  <si>
    <t>collected price (current month) divided by base price</t>
  </si>
  <si>
    <t>stratum_weight</t>
  </si>
  <si>
    <t>the weight of the stratum that the price quote contributes to</t>
  </si>
  <si>
    <t>stratum_type</t>
  </si>
  <si>
    <t>type of stratification used</t>
  </si>
  <si>
    <t>0 = not stratified</t>
  </si>
  <si>
    <t>1 = region.</t>
  </si>
  <si>
    <t>2 = region and shop</t>
  </si>
  <si>
    <t>3 =shop</t>
  </si>
  <si>
    <t>end_date</t>
  </si>
  <si>
    <t>where end = 999999 price contributed to index for period otherwise price was omitted</t>
  </si>
  <si>
    <t>region</t>
  </si>
  <si>
    <t xml:space="preserve">where the location is </t>
  </si>
  <si>
    <t xml:space="preserve">1 = Catalogue collections </t>
  </si>
  <si>
    <t>2 = London</t>
  </si>
  <si>
    <t>3 = SE</t>
  </si>
  <si>
    <t>4 = SW</t>
  </si>
  <si>
    <t>5 = East Anglia</t>
  </si>
  <si>
    <t>6 = East Midlands</t>
  </si>
  <si>
    <t>7  = West Midlands</t>
  </si>
  <si>
    <t>8 = Yorks &amp; Humber</t>
  </si>
  <si>
    <t>9 = NW</t>
  </si>
  <si>
    <t>10 = North</t>
  </si>
  <si>
    <t>11 = Wales</t>
  </si>
  <si>
    <t>12 = Scotland</t>
  </si>
  <si>
    <t>13 = NI</t>
  </si>
  <si>
    <t>shop_type</t>
  </si>
  <si>
    <t xml:space="preserve">either multiple or independents.   </t>
  </si>
  <si>
    <t>1 = Multiple (10 or more outlets)</t>
  </si>
  <si>
    <t>2 = Independents (less than 10 outlets)</t>
  </si>
  <si>
    <t>shop_weight</t>
  </si>
  <si>
    <t>estimated number of a specific supermarket within a region</t>
  </si>
  <si>
    <t>base_price</t>
  </si>
  <si>
    <t>price of an item at the base date (January of that year).</t>
  </si>
  <si>
    <t>base_validity</t>
  </si>
  <si>
    <t>validity in the base month (see validity above)</t>
  </si>
  <si>
    <t>stratum_cell</t>
  </si>
  <si>
    <t xml:space="preserve">There are 3 types of stratum, </t>
  </si>
  <si>
    <t xml:space="preserve">by shop, by region and by region and shop. </t>
  </si>
  <si>
    <t>The stratum types and cells are as follows,</t>
  </si>
  <si>
    <t>Not stratified = 0</t>
  </si>
  <si>
    <t>By shop;</t>
  </si>
  <si>
    <t xml:space="preserve">By region, </t>
  </si>
  <si>
    <t>By region and shop type,</t>
  </si>
  <si>
    <t xml:space="preserve">If the shop type is a multiple, then the stratum cell is </t>
  </si>
  <si>
    <t xml:space="preserve">equal to the regional stratum code. </t>
  </si>
  <si>
    <t xml:space="preserve">If the shop type is an independent, </t>
  </si>
  <si>
    <t>then the stratum cell is equal to the multiple code + 13</t>
  </si>
  <si>
    <t>Shop Code</t>
  </si>
  <si>
    <t>May</t>
  </si>
  <si>
    <t>June</t>
  </si>
  <si>
    <t>Region</t>
  </si>
  <si>
    <t>% change</t>
  </si>
  <si>
    <t>small value to allow ranking</t>
  </si>
  <si>
    <t>Values for ranking</t>
  </si>
  <si>
    <t>Rank</t>
  </si>
  <si>
    <t>Only includes shops with both quotes</t>
  </si>
  <si>
    <t>Shop code</t>
  </si>
  <si>
    <t>Mean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</si>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</sst>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0" xfId="1" applyFont="1" applyFill="1"/>
    <xf numFmtId="0" fontId="3" fillId="3" borderId="0" xfId="1" applyFont="1" applyFill="1"/>
    <xf numFmtId="0" fontId="3" fillId="2" borderId="0" xfId="1" applyFont="1" applyFill="1"/>
    <xf numFmtId="0" fontId="2" fillId="0" borderId="0" xfId="1" applyFont="1"/>
    <xf numFmtId="0" fontId="2" fillId="2" borderId="0" xfId="1" applyFont="1" applyFill="1" applyAlignment="1">
      <alignment horizontal="left"/>
    </xf>
    <xf numFmtId="1" fontId="0" fillId="0" borderId="0" xfId="0" applyNumberFormat="1"/>
    <xf numFmtId="164" fontId="0" fillId="0" borderId="0" xfId="0" applyNumberFormat="1"/>
    <xf numFmtId="0" fontId="4" fillId="0" borderId="0" xfId="0" applyFont="1"/>
    <xf numFmtId="0" fontId="2" fillId="2" borderId="0" xfId="1" applyFont="1" applyFill="1" applyAlignment="1">
      <alignment horizontal="left"/>
    </xf>
  </cellXfs>
  <cellStyles count="2">
    <cellStyle name="Normal" xfId="0" builtinId="0"/>
    <cellStyle name="Normal 2" xfId="1" xr:uid="{94647F70-09E7-492E-A0A8-9CB251E9C746}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6053971082090661E-2"/>
          <c:y val="0.20187054231670329"/>
          <c:w val="0.90357399167503938"/>
          <c:h val="0.669260451354471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Calculations!$V$2</c:f>
              <c:strCache>
                <c:ptCount val="1"/>
                <c:pt idx="0">
                  <c:v>% change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</a:ln>
          </c:spPr>
          <c:invertIfNegative val="0"/>
          <c:val>
            <c:numRef>
              <c:f>Calculations!$V$3:$V$36</c:f>
              <c:numCache>
                <c:formatCode>0.0</c:formatCode>
                <c:ptCount val="34"/>
                <c:pt idx="0">
                  <c:v>176.40449438202248</c:v>
                </c:pt>
                <c:pt idx="1">
                  <c:v>145.36574020234912</c:v>
                </c:pt>
                <c:pt idx="2">
                  <c:v>56.521739130434788</c:v>
                </c:pt>
                <c:pt idx="3">
                  <c:v>36.537380550871305</c:v>
                </c:pt>
                <c:pt idx="4">
                  <c:v>23.49514563106796</c:v>
                </c:pt>
                <c:pt idx="5">
                  <c:v>23.255813953488371</c:v>
                </c:pt>
                <c:pt idx="6">
                  <c:v>18.75</c:v>
                </c:pt>
                <c:pt idx="7">
                  <c:v>18.183471224656799</c:v>
                </c:pt>
                <c:pt idx="8">
                  <c:v>17.324198755807551</c:v>
                </c:pt>
                <c:pt idx="9">
                  <c:v>15.94202898550725</c:v>
                </c:pt>
                <c:pt idx="10">
                  <c:v>15.037593984962406</c:v>
                </c:pt>
                <c:pt idx="11">
                  <c:v>3.0487804878048808</c:v>
                </c:pt>
                <c:pt idx="12">
                  <c:v>1.0000000000000009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-6.6666666666666652</c:v>
                </c:pt>
                <c:pt idx="23">
                  <c:v>-7.5474546209290949</c:v>
                </c:pt>
                <c:pt idx="24">
                  <c:v>-8.4421066303006711</c:v>
                </c:pt>
                <c:pt idx="25">
                  <c:v>-13.157894736842103</c:v>
                </c:pt>
                <c:pt idx="26">
                  <c:v>-15.151515151515149</c:v>
                </c:pt>
                <c:pt idx="27">
                  <c:v>-15.639662183296842</c:v>
                </c:pt>
                <c:pt idx="28">
                  <c:v>-15.639662183296842</c:v>
                </c:pt>
                <c:pt idx="29">
                  <c:v>-18.75</c:v>
                </c:pt>
                <c:pt idx="30">
                  <c:v>-30.303030303030297</c:v>
                </c:pt>
                <c:pt idx="31">
                  <c:v>-35.294117647058819</c:v>
                </c:pt>
                <c:pt idx="32">
                  <c:v>-36.470588235294123</c:v>
                </c:pt>
                <c:pt idx="33">
                  <c:v>-47.943666192224143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6-4E4B-91F4-0D9ED376B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4926592"/>
        <c:axId val="274950400"/>
      </c:bar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one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  <c:min val="-50"/>
        </c:scaling>
        <c:delete val="0"/>
        <c:axPos val="l"/>
        <c:numFmt formatCode="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265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BEFA4C-FB75-429A-B1A7-2820781F12A9}">
  <sheetPr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B42A8D-8DA0-0A8F-2609-0626C682938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3" name="Text 2">
          <a:extLst xmlns:a="http://schemas.openxmlformats.org/drawingml/2006/main">
            <a:ext uri="{FF2B5EF4-FFF2-40B4-BE49-F238E27FC236}">
              <a16:creationId xmlns:a16="http://schemas.microsoft.com/office/drawing/2014/main" id="{790798E4-20B9-4B63-8286-6D9D8E8881D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0.00546</cdr:x>
      <cdr:y>0.00836</cdr:y>
    </cdr:from>
    <cdr:to>
      <cdr:x>1</cdr:x>
      <cdr:y>0.15286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A0F4358-C111-099A-1F00-69A840E882C9}"/>
            </a:ext>
          </a:extLst>
        </cdr:cNvPr>
        <cdr:cNvSpPr txBox="1"/>
      </cdr:nvSpPr>
      <cdr:spPr>
        <a:xfrm xmlns:a="http://schemas.openxmlformats.org/drawingml/2006/main">
          <a:off x="46053" y="56246"/>
          <a:ext cx="8384017" cy="9724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Monthly change in hotel prices for individual quotes between May and June * </a:t>
          </a: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C3E4187A-8125-6356-E8F8-FE63BF883879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ONS</a:t>
          </a:r>
        </a:p>
      </cdr:txBody>
    </cdr:sp>
  </cdr:relSizeAnchor>
  <cdr:relSizeAnchor xmlns:cdr="http://schemas.openxmlformats.org/drawingml/2006/chartDrawing">
    <cdr:from>
      <cdr:x>0.00565</cdr:x>
      <cdr:y>0.12502</cdr:y>
    </cdr:from>
    <cdr:to>
      <cdr:x>0.17513</cdr:x>
      <cdr:y>0.17597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C5B45D89-01FF-50CA-EA3F-BFBA855D5B1F}"/>
            </a:ext>
          </a:extLst>
        </cdr:cNvPr>
        <cdr:cNvSpPr txBox="1"/>
      </cdr:nvSpPr>
      <cdr:spPr>
        <a:xfrm xmlns:a="http://schemas.openxmlformats.org/drawingml/2006/main">
          <a:off x="47625" y="841375"/>
          <a:ext cx="142875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month</a:t>
          </a:r>
        </a:p>
      </cdr:txBody>
    </cdr:sp>
  </cdr:relSizeAnchor>
  <cdr:relSizeAnchor xmlns:cdr="http://schemas.openxmlformats.org/drawingml/2006/chartDrawing">
    <cdr:from>
      <cdr:x>0.20451</cdr:x>
      <cdr:y>0.13446</cdr:y>
    </cdr:from>
    <cdr:to>
      <cdr:x>1</cdr:x>
      <cdr:y>0.21938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87F22672-4D43-513E-535C-710C5B9F2143}"/>
            </a:ext>
          </a:extLst>
        </cdr:cNvPr>
        <cdr:cNvSpPr txBox="1"/>
      </cdr:nvSpPr>
      <cdr:spPr>
        <a:xfrm xmlns:a="http://schemas.openxmlformats.org/drawingml/2006/main">
          <a:off x="1724025" y="904875"/>
          <a:ext cx="6706045" cy="571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* Chart</a:t>
          </a:r>
          <a:r>
            <a:rPr lang="en-GB" sz="18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only includes hotels with price quotes for both months  </a:t>
          </a:r>
          <a:endParaRPr lang="en-GB" sz="18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0.08173</cdr:x>
      <cdr:y>0.88119</cdr:y>
    </cdr:from>
    <cdr:to>
      <cdr:x>0.99096</cdr:x>
      <cdr:y>0.94536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BF0CA854-6E5F-6AD3-060C-C13DEC7970EC}"/>
            </a:ext>
          </a:extLst>
        </cdr:cNvPr>
        <cdr:cNvSpPr txBox="1"/>
      </cdr:nvSpPr>
      <cdr:spPr>
        <a:xfrm xmlns:a="http://schemas.openxmlformats.org/drawingml/2006/main">
          <a:off x="688975" y="5934075"/>
          <a:ext cx="7664450" cy="4321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Individual hotel price quotes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97AF8-133D-4237-BED5-C0CB42549568}">
  <dimension ref="A1:W129"/>
  <sheetViews>
    <sheetView workbookViewId="0">
      <pane ySplit="2" topLeftCell="A3" activePane="bottomLeft" state="frozen"/>
      <selection pane="bottomLeft" activeCell="A17" sqref="A17"/>
    </sheetView>
  </sheetViews>
  <sheetFormatPr defaultRowHeight="15" x14ac:dyDescent="0.25"/>
  <cols>
    <col min="1" max="1" width="10.42578125" bestFit="1" customWidth="1"/>
    <col min="2" max="2" width="10.42578125" customWidth="1"/>
    <col min="6" max="6" width="2.7109375" customWidth="1"/>
    <col min="10" max="10" width="2.7109375" customWidth="1"/>
    <col min="15" max="15" width="2.7109375" customWidth="1"/>
    <col min="18" max="18" width="2.7109375" customWidth="1"/>
  </cols>
  <sheetData>
    <row r="1" spans="1:23" x14ac:dyDescent="0.25">
      <c r="G1" s="8" t="s">
        <v>106</v>
      </c>
    </row>
    <row r="2" spans="1:23" x14ac:dyDescent="0.25">
      <c r="A2" t="s">
        <v>98</v>
      </c>
      <c r="B2" t="s">
        <v>101</v>
      </c>
      <c r="C2" t="s">
        <v>99</v>
      </c>
      <c r="D2" t="s">
        <v>100</v>
      </c>
      <c r="E2" t="s">
        <v>102</v>
      </c>
      <c r="H2" t="s">
        <v>99</v>
      </c>
      <c r="I2" t="s">
        <v>100</v>
      </c>
      <c r="K2" t="s">
        <v>105</v>
      </c>
      <c r="L2" t="s">
        <v>107</v>
      </c>
      <c r="M2" t="s">
        <v>101</v>
      </c>
      <c r="N2" t="s">
        <v>102</v>
      </c>
      <c r="P2" t="s">
        <v>103</v>
      </c>
      <c r="Q2" t="s">
        <v>104</v>
      </c>
      <c r="T2" t="s">
        <v>107</v>
      </c>
      <c r="U2" t="s">
        <v>101</v>
      </c>
      <c r="V2" t="s">
        <v>102</v>
      </c>
    </row>
    <row r="3" spans="1:23" x14ac:dyDescent="0.25">
      <c r="A3" s="6">
        <v>161</v>
      </c>
      <c r="B3">
        <f>VLOOKUP($A3,June!$E:$O,11,FALSE)</f>
        <v>4</v>
      </c>
      <c r="C3">
        <f>VLOOKUP($A3,May!$E:$F,2,FALSE)</f>
        <v>129</v>
      </c>
      <c r="D3">
        <f>VLOOKUP($A3,June!$E:$F,2,FALSE)</f>
        <v>159</v>
      </c>
      <c r="E3" s="7">
        <f>100*((D3/C3)-1)</f>
        <v>23.255813953488371</v>
      </c>
      <c r="G3" t="str">
        <f>_xlfn.IFNA(IF(AND(C3&gt;0,D3&gt;0),"Y","N"),"N")</f>
        <v>Y</v>
      </c>
      <c r="H3">
        <f>_xlfn.IFNA(IF($G3="Y",C3,""),"")</f>
        <v>129</v>
      </c>
      <c r="I3">
        <f>_xlfn.IFNA(IF($G3="Y",D3,""),"")</f>
        <v>159</v>
      </c>
      <c r="K3" s="6">
        <f t="shared" ref="K3:K34" si="0">_xlfn.IFNA(IF(G3="Y",RANK(Q3,$Q$3:$Q$127),""),"")</f>
        <v>6</v>
      </c>
      <c r="L3" s="6">
        <f>_xlfn.IFNA(IF(G3="Y",A3,""),"")</f>
        <v>161</v>
      </c>
      <c r="M3" s="6">
        <f>_xlfn.IFNA(IF(G3="Y",B3,""),"")</f>
        <v>4</v>
      </c>
      <c r="N3" s="7">
        <f>_xlfn.IFNA(IF(G3="Y",100*((I3/H3)-1),""),"")</f>
        <v>23.255813953488371</v>
      </c>
      <c r="P3" s="7">
        <v>1E-4</v>
      </c>
      <c r="Q3" s="7">
        <f>_xlfn.IFNA(IF(G3="Y",N3+P3,""),"")</f>
        <v>23.255913953488371</v>
      </c>
      <c r="S3">
        <v>1</v>
      </c>
      <c r="T3">
        <f>VLOOKUP($S3,$K$3:$N$127,2,FALSE)</f>
        <v>18982</v>
      </c>
      <c r="U3">
        <f>VLOOKUP($S3,$K$3:$N$127,3,FALSE)</f>
        <v>11</v>
      </c>
      <c r="V3" s="7">
        <f>VLOOKUP($S3,$K$3:$N$127,4,FALSE)</f>
        <v>176.40449438202248</v>
      </c>
      <c r="W3" t="str">
        <f>IF(U3=9,"NW",IF(U3=11,"WA",""))</f>
        <v>WA</v>
      </c>
    </row>
    <row r="4" spans="1:23" x14ac:dyDescent="0.25">
      <c r="A4">
        <v>167</v>
      </c>
      <c r="B4">
        <f>VLOOKUP($A4,June!$E:$O,11,FALSE)</f>
        <v>10</v>
      </c>
      <c r="C4">
        <f>VLOOKUP($A4,May!$E:$F,2,FALSE)</f>
        <v>69</v>
      </c>
      <c r="D4">
        <f>VLOOKUP($A4,June!$E:$F,2,FALSE)</f>
        <v>80</v>
      </c>
      <c r="E4" s="7">
        <f t="shared" ref="E4:E67" si="1">100*((D4/C4)-1)</f>
        <v>15.94202898550725</v>
      </c>
      <c r="G4" t="str">
        <f t="shared" ref="G4:G67" si="2">_xlfn.IFNA(IF(AND(C4&gt;0,D4&gt;0),"Y","N"),"N")</f>
        <v>Y</v>
      </c>
      <c r="H4">
        <f t="shared" ref="H4:H67" si="3">_xlfn.IFNA(IF($G4="Y",C4,""),"")</f>
        <v>69</v>
      </c>
      <c r="I4">
        <f t="shared" ref="I4:I67" si="4">_xlfn.IFNA(IF($G4="Y",D4,""),"")</f>
        <v>80</v>
      </c>
      <c r="K4" s="6">
        <f t="shared" si="0"/>
        <v>10</v>
      </c>
      <c r="L4" s="6">
        <f t="shared" ref="L4:L67" si="5">_xlfn.IFNA(IF(G4="Y",A4,""),"")</f>
        <v>167</v>
      </c>
      <c r="M4" s="6">
        <f t="shared" ref="M4:M67" si="6">_xlfn.IFNA(IF(G4="Y",B4,""),"")</f>
        <v>10</v>
      </c>
      <c r="N4" s="7">
        <f t="shared" ref="N4:N67" si="7">_xlfn.IFNA(IF(G4="Y",100*((I4/H4)-1),""),"")</f>
        <v>15.94202898550725</v>
      </c>
      <c r="P4" s="7">
        <f>P3+0.0001</f>
        <v>2.0000000000000001E-4</v>
      </c>
      <c r="Q4" s="7">
        <f t="shared" ref="Q4:Q67" si="8">_xlfn.IFNA(IF(G4="Y",N4+P4,""),"")</f>
        <v>15.942228985507249</v>
      </c>
      <c r="S4">
        <v>2</v>
      </c>
      <c r="T4">
        <f t="shared" ref="T4:T36" si="9">VLOOKUP($S4,$K$3:$N$127,2,FALSE)</f>
        <v>5106</v>
      </c>
      <c r="U4">
        <f t="shared" ref="U4:U36" si="10">VLOOKUP($S4,$K$3:$N$127,3,FALSE)</f>
        <v>9</v>
      </c>
      <c r="V4" s="7">
        <f t="shared" ref="V4:V36" si="11">VLOOKUP($S4,$K$3:$N$127,4,FALSE)</f>
        <v>145.36574020234912</v>
      </c>
      <c r="W4" t="str">
        <f t="shared" ref="W4:W36" si="12">IF(U4=9,"NW",IF(U4=11,"WA",""))</f>
        <v>NW</v>
      </c>
    </row>
    <row r="5" spans="1:23" x14ac:dyDescent="0.25">
      <c r="A5">
        <v>191</v>
      </c>
      <c r="B5">
        <f>VLOOKUP($A5,June!$E:$O,11,FALSE)</f>
        <v>7</v>
      </c>
      <c r="C5">
        <f>VLOOKUP($A5,May!$E:$F,2,FALSE)</f>
        <v>0</v>
      </c>
      <c r="D5">
        <f>VLOOKUP($A5,June!$E:$F,2,FALSE)</f>
        <v>125</v>
      </c>
      <c r="E5" s="7" t="e">
        <f t="shared" si="1"/>
        <v>#DIV/0!</v>
      </c>
      <c r="G5" t="str">
        <f t="shared" si="2"/>
        <v>N</v>
      </c>
      <c r="H5" t="str">
        <f t="shared" si="3"/>
        <v/>
      </c>
      <c r="I5" t="str">
        <f t="shared" si="4"/>
        <v/>
      </c>
      <c r="K5" s="6" t="str">
        <f t="shared" si="0"/>
        <v/>
      </c>
      <c r="L5" s="6" t="str">
        <f t="shared" si="5"/>
        <v/>
      </c>
      <c r="M5" s="6" t="str">
        <f t="shared" si="6"/>
        <v/>
      </c>
      <c r="N5" s="7" t="str">
        <f t="shared" si="7"/>
        <v/>
      </c>
      <c r="P5" s="7">
        <f t="shared" ref="P5:P68" si="13">P4+0.0001</f>
        <v>3.0000000000000003E-4</v>
      </c>
      <c r="Q5" s="7" t="str">
        <f t="shared" si="8"/>
        <v/>
      </c>
      <c r="S5">
        <v>3</v>
      </c>
      <c r="T5">
        <f t="shared" si="9"/>
        <v>14593</v>
      </c>
      <c r="U5">
        <f t="shared" si="10"/>
        <v>7</v>
      </c>
      <c r="V5" s="7">
        <f t="shared" si="11"/>
        <v>56.521739130434788</v>
      </c>
      <c r="W5" t="str">
        <f t="shared" si="12"/>
        <v/>
      </c>
    </row>
    <row r="6" spans="1:23" x14ac:dyDescent="0.25">
      <c r="A6">
        <v>210</v>
      </c>
      <c r="B6">
        <f>VLOOKUP($A6,June!$E:$O,11,FALSE)</f>
        <v>8</v>
      </c>
      <c r="C6">
        <f>VLOOKUP($A6,May!$E:$F,2,FALSE)</f>
        <v>0</v>
      </c>
      <c r="D6">
        <f>VLOOKUP($A6,June!$E:$F,2,FALSE)</f>
        <v>154</v>
      </c>
      <c r="E6" s="7" t="e">
        <f t="shared" si="1"/>
        <v>#DIV/0!</v>
      </c>
      <c r="G6" t="str">
        <f t="shared" si="2"/>
        <v>N</v>
      </c>
      <c r="H6" t="str">
        <f t="shared" si="3"/>
        <v/>
      </c>
      <c r="I6" t="str">
        <f t="shared" si="4"/>
        <v/>
      </c>
      <c r="K6" s="6" t="str">
        <f t="shared" si="0"/>
        <v/>
      </c>
      <c r="L6" s="6" t="str">
        <f t="shared" si="5"/>
        <v/>
      </c>
      <c r="M6" s="6" t="str">
        <f t="shared" si="6"/>
        <v/>
      </c>
      <c r="N6" s="7" t="str">
        <f t="shared" si="7"/>
        <v/>
      </c>
      <c r="P6" s="7">
        <f t="shared" si="13"/>
        <v>4.0000000000000002E-4</v>
      </c>
      <c r="Q6" s="7" t="str">
        <f t="shared" si="8"/>
        <v/>
      </c>
      <c r="S6">
        <v>4</v>
      </c>
      <c r="T6">
        <f t="shared" si="9"/>
        <v>18027</v>
      </c>
      <c r="U6">
        <f t="shared" si="10"/>
        <v>2</v>
      </c>
      <c r="V6" s="7">
        <f t="shared" si="11"/>
        <v>36.537380550871305</v>
      </c>
      <c r="W6" t="str">
        <f t="shared" si="12"/>
        <v/>
      </c>
    </row>
    <row r="7" spans="1:23" x14ac:dyDescent="0.25">
      <c r="A7">
        <v>211</v>
      </c>
      <c r="B7">
        <f>VLOOKUP($A7,June!$E:$O,11,FALSE)</f>
        <v>8</v>
      </c>
      <c r="C7">
        <f>VLOOKUP($A7,May!$E:$F,2,FALSE)</f>
        <v>0</v>
      </c>
      <c r="D7">
        <f>VLOOKUP($A7,June!$E:$F,2,FALSE)</f>
        <v>0</v>
      </c>
      <c r="E7" s="7" t="e">
        <f t="shared" si="1"/>
        <v>#DIV/0!</v>
      </c>
      <c r="G7" t="str">
        <f t="shared" si="2"/>
        <v>N</v>
      </c>
      <c r="H7" t="str">
        <f t="shared" si="3"/>
        <v/>
      </c>
      <c r="I7" t="str">
        <f t="shared" si="4"/>
        <v/>
      </c>
      <c r="K7" s="6" t="str">
        <f t="shared" si="0"/>
        <v/>
      </c>
      <c r="L7" s="6" t="str">
        <f t="shared" si="5"/>
        <v/>
      </c>
      <c r="M7" s="6" t="str">
        <f t="shared" si="6"/>
        <v/>
      </c>
      <c r="N7" s="7" t="str">
        <f t="shared" si="7"/>
        <v/>
      </c>
      <c r="P7" s="7">
        <f t="shared" si="13"/>
        <v>5.0000000000000001E-4</v>
      </c>
      <c r="Q7" s="7" t="str">
        <f t="shared" si="8"/>
        <v/>
      </c>
      <c r="S7">
        <v>5</v>
      </c>
      <c r="T7">
        <f t="shared" si="9"/>
        <v>5262</v>
      </c>
      <c r="U7">
        <f t="shared" si="10"/>
        <v>4</v>
      </c>
      <c r="V7" s="7">
        <f t="shared" si="11"/>
        <v>23.49514563106796</v>
      </c>
      <c r="W7" t="str">
        <f t="shared" si="12"/>
        <v/>
      </c>
    </row>
    <row r="8" spans="1:23" x14ac:dyDescent="0.25">
      <c r="A8">
        <v>221</v>
      </c>
      <c r="B8">
        <f>VLOOKUP($A8,June!$E:$O,11,FALSE)</f>
        <v>7</v>
      </c>
      <c r="C8">
        <f>VLOOKUP($A8,May!$E:$F,2,FALSE)</f>
        <v>0</v>
      </c>
      <c r="D8">
        <f>VLOOKUP($A8,June!$E:$F,2,FALSE)</f>
        <v>147.5</v>
      </c>
      <c r="E8" s="7" t="e">
        <f t="shared" si="1"/>
        <v>#DIV/0!</v>
      </c>
      <c r="G8" t="str">
        <f t="shared" si="2"/>
        <v>N</v>
      </c>
      <c r="H8" t="str">
        <f t="shared" si="3"/>
        <v/>
      </c>
      <c r="I8" t="str">
        <f t="shared" si="4"/>
        <v/>
      </c>
      <c r="K8" s="6" t="str">
        <f t="shared" si="0"/>
        <v/>
      </c>
      <c r="L8" s="6" t="str">
        <f t="shared" si="5"/>
        <v/>
      </c>
      <c r="M8" s="6" t="str">
        <f t="shared" si="6"/>
        <v/>
      </c>
      <c r="N8" s="7" t="str">
        <f t="shared" si="7"/>
        <v/>
      </c>
      <c r="P8" s="7">
        <f t="shared" si="13"/>
        <v>6.0000000000000006E-4</v>
      </c>
      <c r="Q8" s="7" t="str">
        <f t="shared" si="8"/>
        <v/>
      </c>
      <c r="S8">
        <v>6</v>
      </c>
      <c r="T8">
        <f t="shared" si="9"/>
        <v>161</v>
      </c>
      <c r="U8">
        <f t="shared" si="10"/>
        <v>4</v>
      </c>
      <c r="V8" s="7">
        <f t="shared" si="11"/>
        <v>23.255813953488371</v>
      </c>
      <c r="W8" t="str">
        <f t="shared" si="12"/>
        <v/>
      </c>
    </row>
    <row r="9" spans="1:23" x14ac:dyDescent="0.25">
      <c r="A9">
        <v>255</v>
      </c>
      <c r="B9">
        <f>VLOOKUP($A9,June!$E:$O,11,FALSE)</f>
        <v>6</v>
      </c>
      <c r="C9">
        <f>VLOOKUP($A9,May!$E:$F,2,FALSE)</f>
        <v>109.99</v>
      </c>
      <c r="D9">
        <f>VLOOKUP($A9,June!$E:$F,2,FALSE)</f>
        <v>129.99</v>
      </c>
      <c r="E9" s="7">
        <f t="shared" si="1"/>
        <v>18.183471224656799</v>
      </c>
      <c r="G9" t="str">
        <f t="shared" si="2"/>
        <v>Y</v>
      </c>
      <c r="H9">
        <f t="shared" si="3"/>
        <v>109.99</v>
      </c>
      <c r="I9">
        <f t="shared" si="4"/>
        <v>129.99</v>
      </c>
      <c r="K9" s="6">
        <f t="shared" si="0"/>
        <v>8</v>
      </c>
      <c r="L9" s="6">
        <f t="shared" si="5"/>
        <v>255</v>
      </c>
      <c r="M9" s="6">
        <f t="shared" si="6"/>
        <v>6</v>
      </c>
      <c r="N9" s="7">
        <f t="shared" si="7"/>
        <v>18.183471224656799</v>
      </c>
      <c r="P9" s="7">
        <f t="shared" si="13"/>
        <v>7.000000000000001E-4</v>
      </c>
      <c r="Q9" s="7">
        <f t="shared" si="8"/>
        <v>18.184171224656797</v>
      </c>
      <c r="S9">
        <v>7</v>
      </c>
      <c r="T9">
        <f t="shared" si="9"/>
        <v>18995</v>
      </c>
      <c r="U9">
        <f t="shared" si="10"/>
        <v>2</v>
      </c>
      <c r="V9" s="7">
        <f t="shared" si="11"/>
        <v>18.75</v>
      </c>
      <c r="W9" t="str">
        <f t="shared" si="12"/>
        <v/>
      </c>
    </row>
    <row r="10" spans="1:23" x14ac:dyDescent="0.25">
      <c r="A10">
        <v>287</v>
      </c>
      <c r="B10">
        <f>VLOOKUP($A10,June!$E:$O,11,FALSE)</f>
        <v>7</v>
      </c>
      <c r="C10">
        <f>VLOOKUP($A10,May!$E:$F,2,FALSE)</f>
        <v>0</v>
      </c>
      <c r="D10">
        <f>VLOOKUP($A10,June!$E:$F,2,FALSE)</f>
        <v>0</v>
      </c>
      <c r="E10" s="7" t="e">
        <f t="shared" si="1"/>
        <v>#DIV/0!</v>
      </c>
      <c r="G10" t="str">
        <f t="shared" si="2"/>
        <v>N</v>
      </c>
      <c r="H10" t="str">
        <f t="shared" si="3"/>
        <v/>
      </c>
      <c r="I10" t="str">
        <f t="shared" si="4"/>
        <v/>
      </c>
      <c r="K10" s="6" t="str">
        <f t="shared" si="0"/>
        <v/>
      </c>
      <c r="L10" s="6" t="str">
        <f t="shared" si="5"/>
        <v/>
      </c>
      <c r="M10" s="6" t="str">
        <f t="shared" si="6"/>
        <v/>
      </c>
      <c r="N10" s="7" t="str">
        <f t="shared" si="7"/>
        <v/>
      </c>
      <c r="P10" s="7">
        <f t="shared" si="13"/>
        <v>8.0000000000000015E-4</v>
      </c>
      <c r="Q10" s="7" t="str">
        <f t="shared" si="8"/>
        <v/>
      </c>
      <c r="S10">
        <v>8</v>
      </c>
      <c r="T10">
        <f t="shared" si="9"/>
        <v>255</v>
      </c>
      <c r="U10">
        <f t="shared" si="10"/>
        <v>6</v>
      </c>
      <c r="V10" s="7">
        <f t="shared" si="11"/>
        <v>18.183471224656799</v>
      </c>
      <c r="W10" t="str">
        <f t="shared" si="12"/>
        <v/>
      </c>
    </row>
    <row r="11" spans="1:23" x14ac:dyDescent="0.25">
      <c r="A11">
        <v>307</v>
      </c>
      <c r="B11">
        <f>VLOOKUP($A11,June!$E:$O,11,FALSE)</f>
        <v>8</v>
      </c>
      <c r="C11">
        <f>VLOOKUP($A11,May!$E:$F,2,FALSE)</f>
        <v>105</v>
      </c>
      <c r="D11">
        <f>VLOOKUP($A11,June!$E:$F,2,FALSE)</f>
        <v>105</v>
      </c>
      <c r="E11" s="7">
        <f t="shared" si="1"/>
        <v>0</v>
      </c>
      <c r="G11" t="str">
        <f t="shared" si="2"/>
        <v>Y</v>
      </c>
      <c r="H11">
        <f t="shared" si="3"/>
        <v>105</v>
      </c>
      <c r="I11">
        <f t="shared" si="4"/>
        <v>105</v>
      </c>
      <c r="K11" s="6">
        <f t="shared" si="0"/>
        <v>22</v>
      </c>
      <c r="L11" s="6">
        <f t="shared" si="5"/>
        <v>307</v>
      </c>
      <c r="M11" s="6">
        <f t="shared" si="6"/>
        <v>8</v>
      </c>
      <c r="N11" s="7">
        <f t="shared" si="7"/>
        <v>0</v>
      </c>
      <c r="P11" s="7">
        <f t="shared" si="13"/>
        <v>9.0000000000000019E-4</v>
      </c>
      <c r="Q11" s="7">
        <f t="shared" si="8"/>
        <v>9.0000000000000019E-4</v>
      </c>
      <c r="S11">
        <v>9</v>
      </c>
      <c r="T11">
        <f t="shared" si="9"/>
        <v>5226</v>
      </c>
      <c r="U11">
        <f t="shared" si="10"/>
        <v>2</v>
      </c>
      <c r="V11" s="7">
        <f t="shared" si="11"/>
        <v>17.324198755807551</v>
      </c>
      <c r="W11" t="str">
        <f t="shared" si="12"/>
        <v/>
      </c>
    </row>
    <row r="12" spans="1:23" x14ac:dyDescent="0.25">
      <c r="A12">
        <v>308</v>
      </c>
      <c r="B12">
        <f>VLOOKUP($A12,June!$E:$O,11,FALSE)</f>
        <v>12</v>
      </c>
      <c r="C12">
        <f>VLOOKUP($A12,May!$E:$F,2,FALSE)</f>
        <v>165</v>
      </c>
      <c r="D12">
        <f>VLOOKUP($A12,June!$E:$F,2,FALSE)</f>
        <v>115</v>
      </c>
      <c r="E12" s="7">
        <f t="shared" si="1"/>
        <v>-30.303030303030297</v>
      </c>
      <c r="G12" t="str">
        <f t="shared" si="2"/>
        <v>Y</v>
      </c>
      <c r="H12">
        <f t="shared" si="3"/>
        <v>165</v>
      </c>
      <c r="I12">
        <f t="shared" si="4"/>
        <v>115</v>
      </c>
      <c r="K12" s="6">
        <f t="shared" si="0"/>
        <v>31</v>
      </c>
      <c r="L12" s="6">
        <f t="shared" si="5"/>
        <v>308</v>
      </c>
      <c r="M12" s="6">
        <f t="shared" si="6"/>
        <v>12</v>
      </c>
      <c r="N12" s="7">
        <f t="shared" si="7"/>
        <v>-30.303030303030297</v>
      </c>
      <c r="P12" s="7">
        <f t="shared" si="13"/>
        <v>1.0000000000000002E-3</v>
      </c>
      <c r="Q12" s="7">
        <f t="shared" si="8"/>
        <v>-30.302030303030296</v>
      </c>
      <c r="S12">
        <v>10</v>
      </c>
      <c r="T12">
        <f t="shared" si="9"/>
        <v>167</v>
      </c>
      <c r="U12">
        <f t="shared" si="10"/>
        <v>10</v>
      </c>
      <c r="V12" s="7">
        <f t="shared" si="11"/>
        <v>15.94202898550725</v>
      </c>
      <c r="W12" t="str">
        <f t="shared" si="12"/>
        <v/>
      </c>
    </row>
    <row r="13" spans="1:23" x14ac:dyDescent="0.25">
      <c r="A13">
        <v>333</v>
      </c>
      <c r="B13">
        <f>VLOOKUP($A13,June!$E:$O,11,FALSE)</f>
        <v>12</v>
      </c>
      <c r="C13" t="e">
        <f>VLOOKUP($A13,May!$E:$F,2,FALSE)</f>
        <v>#N/A</v>
      </c>
      <c r="D13">
        <f>VLOOKUP($A13,June!$E:$F,2,FALSE)</f>
        <v>150</v>
      </c>
      <c r="E13" s="7" t="e">
        <f t="shared" si="1"/>
        <v>#N/A</v>
      </c>
      <c r="G13" t="str">
        <f t="shared" si="2"/>
        <v>N</v>
      </c>
      <c r="H13" t="str">
        <f t="shared" si="3"/>
        <v/>
      </c>
      <c r="I13" t="str">
        <f t="shared" si="4"/>
        <v/>
      </c>
      <c r="K13" s="6" t="str">
        <f t="shared" si="0"/>
        <v/>
      </c>
      <c r="L13" s="6" t="str">
        <f t="shared" si="5"/>
        <v/>
      </c>
      <c r="M13" s="6" t="str">
        <f t="shared" si="6"/>
        <v/>
      </c>
      <c r="N13" s="7" t="str">
        <f t="shared" si="7"/>
        <v/>
      </c>
      <c r="P13" s="7">
        <f t="shared" si="13"/>
        <v>1.1000000000000003E-3</v>
      </c>
      <c r="Q13" s="7" t="str">
        <f t="shared" si="8"/>
        <v/>
      </c>
      <c r="S13">
        <v>11</v>
      </c>
      <c r="T13">
        <f t="shared" si="9"/>
        <v>15450</v>
      </c>
      <c r="U13">
        <f t="shared" si="10"/>
        <v>2</v>
      </c>
      <c r="V13" s="7">
        <f t="shared" si="11"/>
        <v>15.037593984962406</v>
      </c>
      <c r="W13" t="str">
        <f t="shared" si="12"/>
        <v/>
      </c>
    </row>
    <row r="14" spans="1:23" x14ac:dyDescent="0.25">
      <c r="A14">
        <v>335</v>
      </c>
      <c r="B14">
        <f>VLOOKUP($A14,June!$E:$O,11,FALSE)</f>
        <v>12</v>
      </c>
      <c r="C14">
        <f>VLOOKUP($A14,May!$E:$F,2,FALSE)</f>
        <v>0</v>
      </c>
      <c r="D14">
        <f>VLOOKUP($A14,June!$E:$F,2,FALSE)</f>
        <v>0</v>
      </c>
      <c r="E14" s="7" t="e">
        <f t="shared" si="1"/>
        <v>#DIV/0!</v>
      </c>
      <c r="G14" t="str">
        <f t="shared" si="2"/>
        <v>N</v>
      </c>
      <c r="H14" t="str">
        <f t="shared" si="3"/>
        <v/>
      </c>
      <c r="I14" t="str">
        <f t="shared" si="4"/>
        <v/>
      </c>
      <c r="K14" s="6" t="str">
        <f t="shared" si="0"/>
        <v/>
      </c>
      <c r="L14" s="6" t="str">
        <f t="shared" si="5"/>
        <v/>
      </c>
      <c r="M14" s="6" t="str">
        <f t="shared" si="6"/>
        <v/>
      </c>
      <c r="N14" s="7" t="str">
        <f t="shared" si="7"/>
        <v/>
      </c>
      <c r="P14" s="7">
        <f t="shared" si="13"/>
        <v>1.2000000000000003E-3</v>
      </c>
      <c r="Q14" s="7" t="str">
        <f t="shared" si="8"/>
        <v/>
      </c>
      <c r="S14">
        <v>12</v>
      </c>
      <c r="T14">
        <f t="shared" si="9"/>
        <v>5247</v>
      </c>
      <c r="U14">
        <f t="shared" si="10"/>
        <v>2</v>
      </c>
      <c r="V14" s="7">
        <f t="shared" si="11"/>
        <v>3.0487804878048808</v>
      </c>
      <c r="W14" t="str">
        <f t="shared" si="12"/>
        <v/>
      </c>
    </row>
    <row r="15" spans="1:23" x14ac:dyDescent="0.25">
      <c r="A15">
        <v>340</v>
      </c>
      <c r="B15">
        <f>VLOOKUP($A15,June!$E:$O,11,FALSE)</f>
        <v>12</v>
      </c>
      <c r="C15">
        <f>VLOOKUP($A15,May!$E:$F,2,FALSE)</f>
        <v>70</v>
      </c>
      <c r="D15">
        <f>VLOOKUP($A15,June!$E:$F,2,FALSE)</f>
        <v>70</v>
      </c>
      <c r="E15" s="7">
        <f t="shared" si="1"/>
        <v>0</v>
      </c>
      <c r="G15" t="str">
        <f t="shared" si="2"/>
        <v>Y</v>
      </c>
      <c r="H15">
        <f t="shared" si="3"/>
        <v>70</v>
      </c>
      <c r="I15">
        <f t="shared" si="4"/>
        <v>70</v>
      </c>
      <c r="K15" s="6">
        <f t="shared" si="0"/>
        <v>21</v>
      </c>
      <c r="L15" s="6">
        <f t="shared" si="5"/>
        <v>340</v>
      </c>
      <c r="M15" s="6">
        <f t="shared" si="6"/>
        <v>12</v>
      </c>
      <c r="N15" s="7">
        <f t="shared" si="7"/>
        <v>0</v>
      </c>
      <c r="P15" s="7">
        <f t="shared" si="13"/>
        <v>1.3000000000000004E-3</v>
      </c>
      <c r="Q15" s="7">
        <f t="shared" si="8"/>
        <v>1.3000000000000004E-3</v>
      </c>
      <c r="S15">
        <v>13</v>
      </c>
      <c r="T15">
        <f t="shared" si="9"/>
        <v>16387</v>
      </c>
      <c r="U15">
        <f t="shared" si="10"/>
        <v>4</v>
      </c>
      <c r="V15" s="7">
        <f t="shared" si="11"/>
        <v>1.0000000000000009</v>
      </c>
      <c r="W15" t="str">
        <f t="shared" si="12"/>
        <v/>
      </c>
    </row>
    <row r="16" spans="1:23" x14ac:dyDescent="0.25">
      <c r="A16">
        <v>372</v>
      </c>
      <c r="B16">
        <f>VLOOKUP($A16,June!$E:$O,11,FALSE)</f>
        <v>9</v>
      </c>
      <c r="C16">
        <f>VLOOKUP($A16,May!$E:$F,2,FALSE)</f>
        <v>71.489999999999995</v>
      </c>
      <c r="D16">
        <f>VLOOKUP($A16,June!$E:$F,2,FALSE)</f>
        <v>0</v>
      </c>
      <c r="E16" s="7">
        <f t="shared" si="1"/>
        <v>-100</v>
      </c>
      <c r="G16" t="str">
        <f t="shared" si="2"/>
        <v>N</v>
      </c>
      <c r="H16" t="str">
        <f t="shared" si="3"/>
        <v/>
      </c>
      <c r="I16" t="str">
        <f t="shared" si="4"/>
        <v/>
      </c>
      <c r="K16" s="6" t="str">
        <f t="shared" si="0"/>
        <v/>
      </c>
      <c r="L16" s="6" t="str">
        <f t="shared" si="5"/>
        <v/>
      </c>
      <c r="M16" s="6" t="str">
        <f t="shared" si="6"/>
        <v/>
      </c>
      <c r="N16" s="7" t="str">
        <f t="shared" si="7"/>
        <v/>
      </c>
      <c r="P16" s="7">
        <f t="shared" si="13"/>
        <v>1.4000000000000004E-3</v>
      </c>
      <c r="Q16" s="7" t="str">
        <f t="shared" si="8"/>
        <v/>
      </c>
      <c r="S16">
        <v>14</v>
      </c>
      <c r="T16">
        <f t="shared" si="9"/>
        <v>14629</v>
      </c>
      <c r="U16">
        <f t="shared" si="10"/>
        <v>5</v>
      </c>
      <c r="V16" s="7">
        <f t="shared" si="11"/>
        <v>0</v>
      </c>
      <c r="W16" t="str">
        <f t="shared" si="12"/>
        <v/>
      </c>
    </row>
    <row r="17" spans="1:23" x14ac:dyDescent="0.25">
      <c r="A17">
        <v>373</v>
      </c>
      <c r="B17">
        <f>VLOOKUP($A17,June!$E:$O,11,FALSE)</f>
        <v>9</v>
      </c>
      <c r="C17">
        <f>VLOOKUP($A17,May!$E:$F,2,FALSE)</f>
        <v>0</v>
      </c>
      <c r="D17">
        <f>VLOOKUP($A17,June!$E:$F,2,FALSE)</f>
        <v>205.65</v>
      </c>
      <c r="E17" s="7" t="e">
        <f t="shared" si="1"/>
        <v>#DIV/0!</v>
      </c>
      <c r="G17" t="str">
        <f t="shared" si="2"/>
        <v>N</v>
      </c>
      <c r="H17" t="str">
        <f t="shared" si="3"/>
        <v/>
      </c>
      <c r="I17" t="str">
        <f t="shared" si="4"/>
        <v/>
      </c>
      <c r="K17" s="6" t="str">
        <f t="shared" si="0"/>
        <v/>
      </c>
      <c r="L17" s="6" t="str">
        <f t="shared" si="5"/>
        <v/>
      </c>
      <c r="M17" s="6" t="str">
        <f t="shared" si="6"/>
        <v/>
      </c>
      <c r="N17" s="7" t="str">
        <f t="shared" si="7"/>
        <v/>
      </c>
      <c r="P17" s="7">
        <f t="shared" si="13"/>
        <v>1.5000000000000005E-3</v>
      </c>
      <c r="Q17" s="7" t="str">
        <f t="shared" si="8"/>
        <v/>
      </c>
      <c r="S17">
        <v>15</v>
      </c>
      <c r="T17">
        <f t="shared" si="9"/>
        <v>14596</v>
      </c>
      <c r="U17">
        <f t="shared" si="10"/>
        <v>9</v>
      </c>
      <c r="V17" s="7">
        <f t="shared" si="11"/>
        <v>0</v>
      </c>
      <c r="W17" t="str">
        <f t="shared" si="12"/>
        <v>NW</v>
      </c>
    </row>
    <row r="18" spans="1:23" x14ac:dyDescent="0.25">
      <c r="A18">
        <v>378</v>
      </c>
      <c r="B18">
        <f>VLOOKUP($A18,June!$E:$O,11,FALSE)</f>
        <v>7</v>
      </c>
      <c r="C18">
        <f>VLOOKUP($A18,May!$E:$F,2,FALSE)</f>
        <v>0</v>
      </c>
      <c r="D18">
        <f>VLOOKUP($A18,June!$E:$F,2,FALSE)</f>
        <v>171</v>
      </c>
      <c r="E18" s="7" t="e">
        <f t="shared" si="1"/>
        <v>#DIV/0!</v>
      </c>
      <c r="G18" t="str">
        <f t="shared" si="2"/>
        <v>N</v>
      </c>
      <c r="H18" t="str">
        <f t="shared" si="3"/>
        <v/>
      </c>
      <c r="I18" t="str">
        <f t="shared" si="4"/>
        <v/>
      </c>
      <c r="K18" s="6" t="str">
        <f t="shared" si="0"/>
        <v/>
      </c>
      <c r="L18" s="6" t="str">
        <f t="shared" si="5"/>
        <v/>
      </c>
      <c r="M18" s="6" t="str">
        <f t="shared" si="6"/>
        <v/>
      </c>
      <c r="N18" s="7" t="str">
        <f t="shared" si="7"/>
        <v/>
      </c>
      <c r="P18" s="7">
        <f t="shared" si="13"/>
        <v>1.6000000000000005E-3</v>
      </c>
      <c r="Q18" s="7" t="str">
        <f t="shared" si="8"/>
        <v/>
      </c>
      <c r="S18">
        <v>16</v>
      </c>
      <c r="T18">
        <f t="shared" si="9"/>
        <v>5133</v>
      </c>
      <c r="U18">
        <f t="shared" si="10"/>
        <v>9</v>
      </c>
      <c r="V18" s="7">
        <f t="shared" si="11"/>
        <v>0</v>
      </c>
      <c r="W18" t="str">
        <f t="shared" si="12"/>
        <v>NW</v>
      </c>
    </row>
    <row r="19" spans="1:23" x14ac:dyDescent="0.25">
      <c r="A19">
        <v>393</v>
      </c>
      <c r="B19">
        <f>VLOOKUP($A19,June!$E:$O,11,FALSE)</f>
        <v>12</v>
      </c>
      <c r="C19">
        <f>VLOOKUP($A19,May!$E:$F,2,FALSE)</f>
        <v>55</v>
      </c>
      <c r="D19">
        <f>VLOOKUP($A19,June!$E:$F,2,FALSE)</f>
        <v>0</v>
      </c>
      <c r="E19" s="7">
        <f t="shared" si="1"/>
        <v>-100</v>
      </c>
      <c r="G19" t="str">
        <f t="shared" si="2"/>
        <v>N</v>
      </c>
      <c r="H19" t="str">
        <f t="shared" si="3"/>
        <v/>
      </c>
      <c r="I19" t="str">
        <f t="shared" si="4"/>
        <v/>
      </c>
      <c r="K19" s="6" t="str">
        <f t="shared" si="0"/>
        <v/>
      </c>
      <c r="L19" s="6" t="str">
        <f t="shared" si="5"/>
        <v/>
      </c>
      <c r="M19" s="6" t="str">
        <f t="shared" si="6"/>
        <v/>
      </c>
      <c r="N19" s="7" t="str">
        <f t="shared" si="7"/>
        <v/>
      </c>
      <c r="P19" s="7">
        <f t="shared" si="13"/>
        <v>1.7000000000000006E-3</v>
      </c>
      <c r="Q19" s="7" t="str">
        <f t="shared" si="8"/>
        <v/>
      </c>
      <c r="S19">
        <v>17</v>
      </c>
      <c r="T19">
        <f t="shared" si="9"/>
        <v>5117</v>
      </c>
      <c r="U19">
        <f t="shared" si="10"/>
        <v>10</v>
      </c>
      <c r="V19" s="7">
        <f t="shared" si="11"/>
        <v>0</v>
      </c>
      <c r="W19" t="str">
        <f t="shared" si="12"/>
        <v/>
      </c>
    </row>
    <row r="20" spans="1:23" x14ac:dyDescent="0.25">
      <c r="A20">
        <v>395</v>
      </c>
      <c r="B20">
        <f>VLOOKUP($A20,June!$E:$O,11,FALSE)</f>
        <v>12</v>
      </c>
      <c r="C20" t="e">
        <f>VLOOKUP($A20,May!$E:$F,2,FALSE)</f>
        <v>#N/A</v>
      </c>
      <c r="D20">
        <f>VLOOKUP($A20,June!$E:$F,2,FALSE)</f>
        <v>127</v>
      </c>
      <c r="E20" s="7" t="e">
        <f t="shared" si="1"/>
        <v>#N/A</v>
      </c>
      <c r="G20" t="str">
        <f t="shared" si="2"/>
        <v>N</v>
      </c>
      <c r="H20" t="str">
        <f t="shared" si="3"/>
        <v/>
      </c>
      <c r="I20" t="str">
        <f t="shared" si="4"/>
        <v/>
      </c>
      <c r="K20" s="6" t="str">
        <f t="shared" si="0"/>
        <v/>
      </c>
      <c r="L20" s="6" t="str">
        <f t="shared" si="5"/>
        <v/>
      </c>
      <c r="M20" s="6" t="str">
        <f t="shared" si="6"/>
        <v/>
      </c>
      <c r="N20" s="7" t="str">
        <f t="shared" si="7"/>
        <v/>
      </c>
      <c r="P20" s="7">
        <f t="shared" si="13"/>
        <v>1.8000000000000006E-3</v>
      </c>
      <c r="Q20" s="7" t="str">
        <f t="shared" si="8"/>
        <v/>
      </c>
      <c r="S20">
        <v>18</v>
      </c>
      <c r="T20">
        <f t="shared" si="9"/>
        <v>5101</v>
      </c>
      <c r="U20">
        <f t="shared" si="10"/>
        <v>9</v>
      </c>
      <c r="V20" s="7">
        <f t="shared" si="11"/>
        <v>0</v>
      </c>
      <c r="W20" t="str">
        <f t="shared" si="12"/>
        <v>NW</v>
      </c>
    </row>
    <row r="21" spans="1:23" x14ac:dyDescent="0.25">
      <c r="A21">
        <v>466</v>
      </c>
      <c r="B21">
        <f>VLOOKUP($A21,June!$E:$O,11,FALSE)</f>
        <v>5</v>
      </c>
      <c r="C21">
        <f>VLOOKUP($A21,May!$E:$F,2,FALSE)</f>
        <v>0</v>
      </c>
      <c r="D21">
        <f>VLOOKUP($A21,June!$E:$F,2,FALSE)</f>
        <v>0</v>
      </c>
      <c r="E21" s="7" t="e">
        <f t="shared" si="1"/>
        <v>#DIV/0!</v>
      </c>
      <c r="G21" t="str">
        <f t="shared" si="2"/>
        <v>N</v>
      </c>
      <c r="H21" t="str">
        <f t="shared" si="3"/>
        <v/>
      </c>
      <c r="I21" t="str">
        <f t="shared" si="4"/>
        <v/>
      </c>
      <c r="K21" s="6" t="str">
        <f t="shared" si="0"/>
        <v/>
      </c>
      <c r="L21" s="6" t="str">
        <f t="shared" si="5"/>
        <v/>
      </c>
      <c r="M21" s="6" t="str">
        <f t="shared" si="6"/>
        <v/>
      </c>
      <c r="N21" s="7" t="str">
        <f t="shared" si="7"/>
        <v/>
      </c>
      <c r="P21" s="7">
        <f t="shared" si="13"/>
        <v>1.9000000000000006E-3</v>
      </c>
      <c r="Q21" s="7" t="str">
        <f t="shared" si="8"/>
        <v/>
      </c>
      <c r="S21">
        <v>19</v>
      </c>
      <c r="T21">
        <f t="shared" si="9"/>
        <v>5101</v>
      </c>
      <c r="U21">
        <f t="shared" si="10"/>
        <v>9</v>
      </c>
      <c r="V21" s="7">
        <f t="shared" si="11"/>
        <v>0</v>
      </c>
      <c r="W21" t="str">
        <f t="shared" si="12"/>
        <v>NW</v>
      </c>
    </row>
    <row r="22" spans="1:23" x14ac:dyDescent="0.25">
      <c r="A22">
        <v>518</v>
      </c>
      <c r="B22">
        <f>VLOOKUP($A22,June!$E:$O,11,FALSE)</f>
        <v>2</v>
      </c>
      <c r="C22">
        <f>VLOOKUP($A22,May!$E:$F,2,FALSE)</f>
        <v>0</v>
      </c>
      <c r="D22">
        <f>VLOOKUP($A22,June!$E:$F,2,FALSE)</f>
        <v>569</v>
      </c>
      <c r="E22" s="7" t="e">
        <f t="shared" si="1"/>
        <v>#DIV/0!</v>
      </c>
      <c r="G22" t="str">
        <f t="shared" si="2"/>
        <v>N</v>
      </c>
      <c r="H22" t="str">
        <f t="shared" si="3"/>
        <v/>
      </c>
      <c r="I22" t="str">
        <f t="shared" si="4"/>
        <v/>
      </c>
      <c r="K22" s="6" t="str">
        <f t="shared" si="0"/>
        <v/>
      </c>
      <c r="L22" s="6" t="str">
        <f t="shared" si="5"/>
        <v/>
      </c>
      <c r="M22" s="6" t="str">
        <f t="shared" si="6"/>
        <v/>
      </c>
      <c r="N22" s="7" t="str">
        <f t="shared" si="7"/>
        <v/>
      </c>
      <c r="P22" s="7">
        <f t="shared" si="13"/>
        <v>2.0000000000000005E-3</v>
      </c>
      <c r="Q22" s="7" t="str">
        <f t="shared" si="8"/>
        <v/>
      </c>
      <c r="S22">
        <v>20</v>
      </c>
      <c r="T22">
        <f t="shared" si="9"/>
        <v>5028</v>
      </c>
      <c r="U22">
        <f t="shared" si="10"/>
        <v>8</v>
      </c>
      <c r="V22" s="7">
        <f t="shared" si="11"/>
        <v>0</v>
      </c>
      <c r="W22" t="str">
        <f t="shared" si="12"/>
        <v/>
      </c>
    </row>
    <row r="23" spans="1:23" x14ac:dyDescent="0.25">
      <c r="A23">
        <v>519</v>
      </c>
      <c r="B23">
        <f>VLOOKUP($A23,June!$E:$O,11,FALSE)</f>
        <v>2</v>
      </c>
      <c r="C23">
        <f>VLOOKUP($A23,May!$E:$F,2,FALSE)</f>
        <v>0</v>
      </c>
      <c r="D23">
        <f>VLOOKUP($A23,June!$E:$F,2,FALSE)</f>
        <v>108</v>
      </c>
      <c r="E23" s="7" t="e">
        <f t="shared" si="1"/>
        <v>#DIV/0!</v>
      </c>
      <c r="G23" t="str">
        <f t="shared" si="2"/>
        <v>N</v>
      </c>
      <c r="H23" t="str">
        <f t="shared" si="3"/>
        <v/>
      </c>
      <c r="I23" t="str">
        <f t="shared" si="4"/>
        <v/>
      </c>
      <c r="K23" s="6" t="str">
        <f t="shared" si="0"/>
        <v/>
      </c>
      <c r="L23" s="6" t="str">
        <f t="shared" si="5"/>
        <v/>
      </c>
      <c r="M23" s="6" t="str">
        <f t="shared" si="6"/>
        <v/>
      </c>
      <c r="N23" s="7" t="str">
        <f t="shared" si="7"/>
        <v/>
      </c>
      <c r="P23" s="7">
        <f t="shared" si="13"/>
        <v>2.1000000000000003E-3</v>
      </c>
      <c r="Q23" s="7" t="str">
        <f t="shared" si="8"/>
        <v/>
      </c>
      <c r="S23">
        <v>21</v>
      </c>
      <c r="T23">
        <f t="shared" si="9"/>
        <v>340</v>
      </c>
      <c r="U23">
        <f t="shared" si="10"/>
        <v>12</v>
      </c>
      <c r="V23" s="7">
        <f t="shared" si="11"/>
        <v>0</v>
      </c>
      <c r="W23" t="str">
        <f t="shared" si="12"/>
        <v/>
      </c>
    </row>
    <row r="24" spans="1:23" x14ac:dyDescent="0.25">
      <c r="A24">
        <v>541</v>
      </c>
      <c r="B24">
        <f>VLOOKUP($A24,June!$E:$O,11,FALSE)</f>
        <v>2</v>
      </c>
      <c r="C24">
        <f>VLOOKUP($A24,May!$E:$F,2,FALSE)</f>
        <v>0</v>
      </c>
      <c r="D24">
        <f>VLOOKUP($A24,June!$E:$F,2,FALSE)</f>
        <v>0</v>
      </c>
      <c r="E24" s="7" t="e">
        <f t="shared" si="1"/>
        <v>#DIV/0!</v>
      </c>
      <c r="G24" t="str">
        <f t="shared" si="2"/>
        <v>N</v>
      </c>
      <c r="H24" t="str">
        <f t="shared" si="3"/>
        <v/>
      </c>
      <c r="I24" t="str">
        <f t="shared" si="4"/>
        <v/>
      </c>
      <c r="K24" s="6" t="str">
        <f t="shared" si="0"/>
        <v/>
      </c>
      <c r="L24" s="6" t="str">
        <f t="shared" si="5"/>
        <v/>
      </c>
      <c r="M24" s="6" t="str">
        <f t="shared" si="6"/>
        <v/>
      </c>
      <c r="N24" s="7" t="str">
        <f t="shared" si="7"/>
        <v/>
      </c>
      <c r="P24" s="7">
        <f t="shared" si="13"/>
        <v>2.2000000000000001E-3</v>
      </c>
      <c r="Q24" s="7" t="str">
        <f t="shared" si="8"/>
        <v/>
      </c>
      <c r="S24">
        <v>22</v>
      </c>
      <c r="T24">
        <f t="shared" si="9"/>
        <v>307</v>
      </c>
      <c r="U24">
        <f t="shared" si="10"/>
        <v>8</v>
      </c>
      <c r="V24" s="7">
        <f t="shared" si="11"/>
        <v>0</v>
      </c>
      <c r="W24" t="str">
        <f t="shared" si="12"/>
        <v/>
      </c>
    </row>
    <row r="25" spans="1:23" x14ac:dyDescent="0.25">
      <c r="A25">
        <v>542</v>
      </c>
      <c r="B25">
        <f>VLOOKUP($A25,June!$E:$O,11,FALSE)</f>
        <v>2</v>
      </c>
      <c r="C25" t="e">
        <f>VLOOKUP($A25,May!$E:$F,2,FALSE)</f>
        <v>#N/A</v>
      </c>
      <c r="D25">
        <f>VLOOKUP($A25,June!$E:$F,2,FALSE)</f>
        <v>0</v>
      </c>
      <c r="E25" s="7" t="e">
        <f t="shared" si="1"/>
        <v>#N/A</v>
      </c>
      <c r="G25" t="str">
        <f t="shared" si="2"/>
        <v>N</v>
      </c>
      <c r="H25" t="str">
        <f t="shared" si="3"/>
        <v/>
      </c>
      <c r="I25" t="str">
        <f t="shared" si="4"/>
        <v/>
      </c>
      <c r="K25" s="6" t="str">
        <f t="shared" si="0"/>
        <v/>
      </c>
      <c r="L25" s="6" t="str">
        <f t="shared" si="5"/>
        <v/>
      </c>
      <c r="M25" s="6" t="str">
        <f t="shared" si="6"/>
        <v/>
      </c>
      <c r="N25" s="7" t="str">
        <f t="shared" si="7"/>
        <v/>
      </c>
      <c r="P25" s="7">
        <f t="shared" si="13"/>
        <v>2.3E-3</v>
      </c>
      <c r="Q25" s="7" t="str">
        <f t="shared" si="8"/>
        <v/>
      </c>
      <c r="S25">
        <v>23</v>
      </c>
      <c r="T25">
        <f t="shared" si="9"/>
        <v>16063</v>
      </c>
      <c r="U25">
        <f t="shared" si="10"/>
        <v>5</v>
      </c>
      <c r="V25" s="7">
        <f t="shared" si="11"/>
        <v>-6.6666666666666652</v>
      </c>
      <c r="W25" t="str">
        <f t="shared" si="12"/>
        <v/>
      </c>
    </row>
    <row r="26" spans="1:23" x14ac:dyDescent="0.25">
      <c r="A26">
        <v>544</v>
      </c>
      <c r="B26">
        <f>VLOOKUP($A26,June!$E:$O,11,FALSE)</f>
        <v>2</v>
      </c>
      <c r="C26">
        <f>VLOOKUP($A26,May!$E:$F,2,FALSE)</f>
        <v>196.75</v>
      </c>
      <c r="D26">
        <f>VLOOKUP($A26,June!$E:$F,2,FALSE)</f>
        <v>0</v>
      </c>
      <c r="E26" s="7">
        <f t="shared" si="1"/>
        <v>-100</v>
      </c>
      <c r="G26" t="str">
        <f t="shared" si="2"/>
        <v>N</v>
      </c>
      <c r="H26" t="str">
        <f t="shared" si="3"/>
        <v/>
      </c>
      <c r="I26" t="str">
        <f t="shared" si="4"/>
        <v/>
      </c>
      <c r="K26" s="6" t="str">
        <f t="shared" si="0"/>
        <v/>
      </c>
      <c r="L26" s="6" t="str">
        <f t="shared" si="5"/>
        <v/>
      </c>
      <c r="M26" s="6" t="str">
        <f t="shared" si="6"/>
        <v/>
      </c>
      <c r="N26" s="7" t="str">
        <f t="shared" si="7"/>
        <v/>
      </c>
      <c r="P26" s="7">
        <f t="shared" si="13"/>
        <v>2.3999999999999998E-3</v>
      </c>
      <c r="Q26" s="7" t="str">
        <f t="shared" si="8"/>
        <v/>
      </c>
      <c r="S26">
        <v>24</v>
      </c>
      <c r="T26">
        <f t="shared" si="9"/>
        <v>16107</v>
      </c>
      <c r="U26">
        <f t="shared" si="10"/>
        <v>12</v>
      </c>
      <c r="V26" s="7">
        <f t="shared" si="11"/>
        <v>-7.5474546209290949</v>
      </c>
      <c r="W26" t="str">
        <f t="shared" si="12"/>
        <v/>
      </c>
    </row>
    <row r="27" spans="1:23" x14ac:dyDescent="0.25">
      <c r="A27">
        <v>642</v>
      </c>
      <c r="B27">
        <f>VLOOKUP($A27,June!$E:$O,11,FALSE)</f>
        <v>9</v>
      </c>
      <c r="C27">
        <f>VLOOKUP($A27,May!$E:$F,2,FALSE)</f>
        <v>116</v>
      </c>
      <c r="D27">
        <f>VLOOKUP($A27,June!$E:$F,2,FALSE)</f>
        <v>0</v>
      </c>
      <c r="E27" s="7">
        <f t="shared" si="1"/>
        <v>-100</v>
      </c>
      <c r="G27" t="str">
        <f t="shared" si="2"/>
        <v>N</v>
      </c>
      <c r="H27" t="str">
        <f t="shared" si="3"/>
        <v/>
      </c>
      <c r="I27" t="str">
        <f t="shared" si="4"/>
        <v/>
      </c>
      <c r="K27" s="6" t="str">
        <f t="shared" si="0"/>
        <v/>
      </c>
      <c r="L27" s="6" t="str">
        <f t="shared" si="5"/>
        <v/>
      </c>
      <c r="M27" s="6" t="str">
        <f t="shared" si="6"/>
        <v/>
      </c>
      <c r="N27" s="7" t="str">
        <f t="shared" si="7"/>
        <v/>
      </c>
      <c r="P27" s="7">
        <f t="shared" si="13"/>
        <v>2.4999999999999996E-3</v>
      </c>
      <c r="Q27" s="7" t="str">
        <f t="shared" si="8"/>
        <v/>
      </c>
      <c r="S27">
        <v>25</v>
      </c>
      <c r="T27">
        <f t="shared" si="9"/>
        <v>5084</v>
      </c>
      <c r="U27">
        <f t="shared" si="10"/>
        <v>3</v>
      </c>
      <c r="V27" s="7">
        <f t="shared" si="11"/>
        <v>-8.4421066303006711</v>
      </c>
      <c r="W27" t="str">
        <f t="shared" si="12"/>
        <v/>
      </c>
    </row>
    <row r="28" spans="1:23" x14ac:dyDescent="0.25">
      <c r="A28">
        <v>673</v>
      </c>
      <c r="B28">
        <f>VLOOKUP($A28,June!$E:$O,11,FALSE)</f>
        <v>3</v>
      </c>
      <c r="C28">
        <f>VLOOKUP($A28,May!$E:$F,2,FALSE)</f>
        <v>99</v>
      </c>
      <c r="D28">
        <f>VLOOKUP($A28,June!$E:$F,2,FALSE)</f>
        <v>0</v>
      </c>
      <c r="E28" s="7">
        <f t="shared" si="1"/>
        <v>-100</v>
      </c>
      <c r="G28" t="str">
        <f t="shared" si="2"/>
        <v>N</v>
      </c>
      <c r="H28" t="str">
        <f t="shared" si="3"/>
        <v/>
      </c>
      <c r="I28" t="str">
        <f t="shared" si="4"/>
        <v/>
      </c>
      <c r="K28" s="6" t="str">
        <f t="shared" si="0"/>
        <v/>
      </c>
      <c r="L28" s="6" t="str">
        <f t="shared" si="5"/>
        <v/>
      </c>
      <c r="M28" s="6" t="str">
        <f t="shared" si="6"/>
        <v/>
      </c>
      <c r="N28" s="7" t="str">
        <f t="shared" si="7"/>
        <v/>
      </c>
      <c r="P28" s="7">
        <f t="shared" si="13"/>
        <v>2.5999999999999994E-3</v>
      </c>
      <c r="Q28" s="7" t="str">
        <f t="shared" si="8"/>
        <v/>
      </c>
      <c r="S28">
        <v>26</v>
      </c>
      <c r="T28">
        <f t="shared" si="9"/>
        <v>19197</v>
      </c>
      <c r="U28">
        <f t="shared" si="10"/>
        <v>2</v>
      </c>
      <c r="V28" s="7">
        <f t="shared" si="11"/>
        <v>-13.157894736842103</v>
      </c>
      <c r="W28" t="str">
        <f t="shared" si="12"/>
        <v/>
      </c>
    </row>
    <row r="29" spans="1:23" x14ac:dyDescent="0.25">
      <c r="A29">
        <v>729</v>
      </c>
      <c r="B29">
        <f>VLOOKUP($A29,June!$E:$O,11,FALSE)</f>
        <v>3</v>
      </c>
      <c r="C29">
        <f>VLOOKUP($A29,May!$E:$F,2,FALSE)</f>
        <v>0</v>
      </c>
      <c r="D29">
        <f>VLOOKUP($A29,June!$E:$F,2,FALSE)</f>
        <v>221</v>
      </c>
      <c r="E29" s="7" t="e">
        <f t="shared" si="1"/>
        <v>#DIV/0!</v>
      </c>
      <c r="G29" t="str">
        <f t="shared" si="2"/>
        <v>N</v>
      </c>
      <c r="H29" t="str">
        <f t="shared" si="3"/>
        <v/>
      </c>
      <c r="I29" t="str">
        <f t="shared" si="4"/>
        <v/>
      </c>
      <c r="K29" s="6" t="str">
        <f t="shared" si="0"/>
        <v/>
      </c>
      <c r="L29" s="6" t="str">
        <f t="shared" si="5"/>
        <v/>
      </c>
      <c r="M29" s="6" t="str">
        <f t="shared" si="6"/>
        <v/>
      </c>
      <c r="N29" s="7" t="str">
        <f t="shared" si="7"/>
        <v/>
      </c>
      <c r="P29" s="7">
        <f t="shared" si="13"/>
        <v>2.6999999999999993E-3</v>
      </c>
      <c r="Q29" s="7" t="str">
        <f t="shared" si="8"/>
        <v/>
      </c>
      <c r="S29">
        <v>27</v>
      </c>
      <c r="T29">
        <f t="shared" si="9"/>
        <v>18036</v>
      </c>
      <c r="U29">
        <f t="shared" si="10"/>
        <v>10</v>
      </c>
      <c r="V29" s="7">
        <f t="shared" si="11"/>
        <v>-15.151515151515149</v>
      </c>
      <c r="W29" t="str">
        <f t="shared" si="12"/>
        <v/>
      </c>
    </row>
    <row r="30" spans="1:23" x14ac:dyDescent="0.25">
      <c r="A30">
        <v>733</v>
      </c>
      <c r="B30">
        <f>VLOOKUP($A30,June!$E:$O,11,FALSE)</f>
        <v>3</v>
      </c>
      <c r="C30">
        <f>VLOOKUP($A30,May!$E:$F,2,FALSE)</f>
        <v>185</v>
      </c>
      <c r="D30">
        <f>VLOOKUP($A30,June!$E:$F,2,FALSE)</f>
        <v>0</v>
      </c>
      <c r="E30" s="7">
        <f t="shared" si="1"/>
        <v>-100</v>
      </c>
      <c r="G30" t="str">
        <f t="shared" si="2"/>
        <v>N</v>
      </c>
      <c r="H30" t="str">
        <f t="shared" si="3"/>
        <v/>
      </c>
      <c r="I30" t="str">
        <f t="shared" si="4"/>
        <v/>
      </c>
      <c r="K30" s="6" t="str">
        <f t="shared" si="0"/>
        <v/>
      </c>
      <c r="L30" s="6" t="str">
        <f t="shared" si="5"/>
        <v/>
      </c>
      <c r="M30" s="6" t="str">
        <f t="shared" si="6"/>
        <v/>
      </c>
      <c r="N30" s="7" t="str">
        <f t="shared" si="7"/>
        <v/>
      </c>
      <c r="P30" s="7">
        <f t="shared" si="13"/>
        <v>2.7999999999999991E-3</v>
      </c>
      <c r="Q30" s="7" t="str">
        <f t="shared" si="8"/>
        <v/>
      </c>
      <c r="S30">
        <v>28</v>
      </c>
      <c r="T30">
        <f t="shared" si="9"/>
        <v>5120</v>
      </c>
      <c r="U30">
        <f t="shared" si="10"/>
        <v>3</v>
      </c>
      <c r="V30" s="7">
        <f t="shared" si="11"/>
        <v>-15.639662183296842</v>
      </c>
      <c r="W30" t="str">
        <f t="shared" si="12"/>
        <v/>
      </c>
    </row>
    <row r="31" spans="1:23" x14ac:dyDescent="0.25">
      <c r="A31">
        <v>5001</v>
      </c>
      <c r="B31">
        <f>VLOOKUP($A31,June!$E:$O,11,FALSE)</f>
        <v>8</v>
      </c>
      <c r="C31">
        <f>VLOOKUP($A31,May!$E:$F,2,FALSE)</f>
        <v>0</v>
      </c>
      <c r="D31">
        <f>VLOOKUP($A31,June!$E:$F,2,FALSE)</f>
        <v>202</v>
      </c>
      <c r="E31" s="7" t="e">
        <f t="shared" si="1"/>
        <v>#DIV/0!</v>
      </c>
      <c r="G31" t="str">
        <f t="shared" si="2"/>
        <v>N</v>
      </c>
      <c r="H31" t="str">
        <f t="shared" si="3"/>
        <v/>
      </c>
      <c r="I31" t="str">
        <f t="shared" si="4"/>
        <v/>
      </c>
      <c r="K31" s="6" t="str">
        <f t="shared" si="0"/>
        <v/>
      </c>
      <c r="L31" s="6" t="str">
        <f t="shared" si="5"/>
        <v/>
      </c>
      <c r="M31" s="6" t="str">
        <f t="shared" si="6"/>
        <v/>
      </c>
      <c r="N31" s="7" t="str">
        <f t="shared" si="7"/>
        <v/>
      </c>
      <c r="P31" s="7">
        <f t="shared" si="13"/>
        <v>2.8999999999999989E-3</v>
      </c>
      <c r="Q31" s="7" t="str">
        <f t="shared" si="8"/>
        <v/>
      </c>
      <c r="S31">
        <v>29</v>
      </c>
      <c r="T31">
        <f t="shared" si="9"/>
        <v>5120</v>
      </c>
      <c r="U31">
        <f t="shared" si="10"/>
        <v>3</v>
      </c>
      <c r="V31" s="7">
        <f t="shared" si="11"/>
        <v>-15.639662183296842</v>
      </c>
      <c r="W31" t="str">
        <f t="shared" si="12"/>
        <v/>
      </c>
    </row>
    <row r="32" spans="1:23" x14ac:dyDescent="0.25">
      <c r="A32">
        <v>5003</v>
      </c>
      <c r="B32">
        <f>VLOOKUP($A32,June!$E:$O,11,FALSE)</f>
        <v>8</v>
      </c>
      <c r="C32">
        <f>VLOOKUP($A32,May!$E:$F,2,FALSE)</f>
        <v>133.49</v>
      </c>
      <c r="D32">
        <f>VLOOKUP($A32,June!$E:$F,2,FALSE)</f>
        <v>69.489999999999995</v>
      </c>
      <c r="E32" s="7">
        <f t="shared" si="1"/>
        <v>-47.943666192224143</v>
      </c>
      <c r="G32" t="str">
        <f t="shared" si="2"/>
        <v>Y</v>
      </c>
      <c r="H32">
        <f t="shared" si="3"/>
        <v>133.49</v>
      </c>
      <c r="I32">
        <f t="shared" si="4"/>
        <v>69.489999999999995</v>
      </c>
      <c r="K32" s="6">
        <f t="shared" si="0"/>
        <v>34</v>
      </c>
      <c r="L32" s="6">
        <f t="shared" si="5"/>
        <v>5003</v>
      </c>
      <c r="M32" s="6">
        <f t="shared" si="6"/>
        <v>8</v>
      </c>
      <c r="N32" s="7">
        <f t="shared" si="7"/>
        <v>-47.943666192224143</v>
      </c>
      <c r="P32" s="7">
        <f t="shared" si="13"/>
        <v>2.9999999999999988E-3</v>
      </c>
      <c r="Q32" s="7">
        <f t="shared" si="8"/>
        <v>-47.940666192224143</v>
      </c>
      <c r="S32">
        <v>30</v>
      </c>
      <c r="T32">
        <f t="shared" si="9"/>
        <v>18997</v>
      </c>
      <c r="U32">
        <f t="shared" si="10"/>
        <v>4</v>
      </c>
      <c r="V32" s="7">
        <f t="shared" si="11"/>
        <v>-18.75</v>
      </c>
      <c r="W32" t="str">
        <f t="shared" si="12"/>
        <v/>
      </c>
    </row>
    <row r="33" spans="1:23" x14ac:dyDescent="0.25">
      <c r="A33">
        <v>5007</v>
      </c>
      <c r="B33">
        <f>VLOOKUP($A33,June!$E:$O,11,FALSE)</f>
        <v>9</v>
      </c>
      <c r="C33">
        <f>VLOOKUP($A33,May!$E:$F,2,FALSE)</f>
        <v>130</v>
      </c>
      <c r="D33">
        <f>VLOOKUP($A33,June!$E:$F,2,FALSE)</f>
        <v>0</v>
      </c>
      <c r="E33" s="7">
        <f t="shared" si="1"/>
        <v>-100</v>
      </c>
      <c r="G33" t="str">
        <f t="shared" si="2"/>
        <v>N</v>
      </c>
      <c r="H33" t="str">
        <f t="shared" si="3"/>
        <v/>
      </c>
      <c r="I33" t="str">
        <f t="shared" si="4"/>
        <v/>
      </c>
      <c r="K33" s="6" t="str">
        <f t="shared" si="0"/>
        <v/>
      </c>
      <c r="L33" s="6" t="str">
        <f t="shared" si="5"/>
        <v/>
      </c>
      <c r="M33" s="6" t="str">
        <f t="shared" si="6"/>
        <v/>
      </c>
      <c r="N33" s="7" t="str">
        <f t="shared" si="7"/>
        <v/>
      </c>
      <c r="P33" s="7">
        <f t="shared" si="13"/>
        <v>3.0999999999999986E-3</v>
      </c>
      <c r="Q33" s="7" t="str">
        <f t="shared" si="8"/>
        <v/>
      </c>
      <c r="S33">
        <v>31</v>
      </c>
      <c r="T33">
        <f t="shared" si="9"/>
        <v>308</v>
      </c>
      <c r="U33">
        <f t="shared" si="10"/>
        <v>12</v>
      </c>
      <c r="V33" s="7">
        <f t="shared" si="11"/>
        <v>-30.303030303030297</v>
      </c>
      <c r="W33" t="str">
        <f t="shared" si="12"/>
        <v/>
      </c>
    </row>
    <row r="34" spans="1:23" x14ac:dyDescent="0.25">
      <c r="A34">
        <v>5028</v>
      </c>
      <c r="B34">
        <f>VLOOKUP($A34,June!$E:$O,11,FALSE)</f>
        <v>8</v>
      </c>
      <c r="C34">
        <f>VLOOKUP($A34,May!$E:$F,2,FALSE)</f>
        <v>65</v>
      </c>
      <c r="D34">
        <f>VLOOKUP($A34,June!$E:$F,2,FALSE)</f>
        <v>65</v>
      </c>
      <c r="E34" s="7">
        <f t="shared" si="1"/>
        <v>0</v>
      </c>
      <c r="G34" t="str">
        <f t="shared" si="2"/>
        <v>Y</v>
      </c>
      <c r="H34">
        <f t="shared" si="3"/>
        <v>65</v>
      </c>
      <c r="I34">
        <f t="shared" si="4"/>
        <v>65</v>
      </c>
      <c r="K34" s="6">
        <f t="shared" si="0"/>
        <v>20</v>
      </c>
      <c r="L34" s="6">
        <f t="shared" si="5"/>
        <v>5028</v>
      </c>
      <c r="M34" s="6">
        <f t="shared" si="6"/>
        <v>8</v>
      </c>
      <c r="N34" s="7">
        <f t="shared" si="7"/>
        <v>0</v>
      </c>
      <c r="P34" s="7">
        <f t="shared" si="13"/>
        <v>3.1999999999999984E-3</v>
      </c>
      <c r="Q34" s="7">
        <f t="shared" si="8"/>
        <v>3.1999999999999984E-3</v>
      </c>
      <c r="S34">
        <v>32</v>
      </c>
      <c r="T34">
        <f t="shared" si="9"/>
        <v>16599</v>
      </c>
      <c r="U34">
        <f t="shared" si="10"/>
        <v>3</v>
      </c>
      <c r="V34" s="7">
        <f t="shared" si="11"/>
        <v>-35.294117647058819</v>
      </c>
      <c r="W34" t="str">
        <f t="shared" si="12"/>
        <v/>
      </c>
    </row>
    <row r="35" spans="1:23" x14ac:dyDescent="0.25">
      <c r="A35">
        <v>5035</v>
      </c>
      <c r="B35">
        <f>VLOOKUP($A35,June!$E:$O,11,FALSE)</f>
        <v>3</v>
      </c>
      <c r="C35">
        <f>VLOOKUP($A35,May!$E:$F,2,FALSE)</f>
        <v>0</v>
      </c>
      <c r="D35">
        <f>VLOOKUP($A35,June!$E:$F,2,FALSE)</f>
        <v>201</v>
      </c>
      <c r="E35" s="7" t="e">
        <f t="shared" si="1"/>
        <v>#DIV/0!</v>
      </c>
      <c r="G35" t="str">
        <f t="shared" si="2"/>
        <v>N</v>
      </c>
      <c r="H35" t="str">
        <f t="shared" si="3"/>
        <v/>
      </c>
      <c r="I35" t="str">
        <f t="shared" si="4"/>
        <v/>
      </c>
      <c r="K35" s="6" t="str">
        <f t="shared" ref="K35:K66" si="14">_xlfn.IFNA(IF(G35="Y",RANK(Q35,$Q$3:$Q$127),""),"")</f>
        <v/>
      </c>
      <c r="L35" s="6" t="str">
        <f t="shared" si="5"/>
        <v/>
      </c>
      <c r="M35" s="6" t="str">
        <f t="shared" si="6"/>
        <v/>
      </c>
      <c r="N35" s="7" t="str">
        <f t="shared" si="7"/>
        <v/>
      </c>
      <c r="P35" s="7">
        <f t="shared" si="13"/>
        <v>3.2999999999999982E-3</v>
      </c>
      <c r="Q35" s="7" t="str">
        <f t="shared" si="8"/>
        <v/>
      </c>
      <c r="S35">
        <v>33</v>
      </c>
      <c r="T35">
        <f t="shared" si="9"/>
        <v>18020</v>
      </c>
      <c r="U35">
        <f t="shared" si="10"/>
        <v>6</v>
      </c>
      <c r="V35" s="7">
        <f t="shared" si="11"/>
        <v>-36.470588235294123</v>
      </c>
      <c r="W35" t="str">
        <f t="shared" si="12"/>
        <v/>
      </c>
    </row>
    <row r="36" spans="1:23" x14ac:dyDescent="0.25">
      <c r="A36">
        <v>5043</v>
      </c>
      <c r="B36">
        <f>VLOOKUP($A36,June!$E:$O,11,FALSE)</f>
        <v>5</v>
      </c>
      <c r="C36">
        <f>VLOOKUP($A36,May!$E:$F,2,FALSE)</f>
        <v>140</v>
      </c>
      <c r="D36">
        <f>VLOOKUP($A36,June!$E:$F,2,FALSE)</f>
        <v>0</v>
      </c>
      <c r="E36" s="7">
        <f t="shared" si="1"/>
        <v>-100</v>
      </c>
      <c r="G36" t="str">
        <f t="shared" si="2"/>
        <v>N</v>
      </c>
      <c r="H36" t="str">
        <f t="shared" si="3"/>
        <v/>
      </c>
      <c r="I36" t="str">
        <f t="shared" si="4"/>
        <v/>
      </c>
      <c r="K36" s="6" t="str">
        <f t="shared" si="14"/>
        <v/>
      </c>
      <c r="L36" s="6" t="str">
        <f t="shared" si="5"/>
        <v/>
      </c>
      <c r="M36" s="6" t="str">
        <f t="shared" si="6"/>
        <v/>
      </c>
      <c r="N36" s="7" t="str">
        <f t="shared" si="7"/>
        <v/>
      </c>
      <c r="P36" s="7">
        <f t="shared" si="13"/>
        <v>3.3999999999999981E-3</v>
      </c>
      <c r="Q36" s="7" t="str">
        <f t="shared" si="8"/>
        <v/>
      </c>
      <c r="S36">
        <v>34</v>
      </c>
      <c r="T36">
        <f t="shared" si="9"/>
        <v>5003</v>
      </c>
      <c r="U36">
        <f t="shared" si="10"/>
        <v>8</v>
      </c>
      <c r="V36" s="7">
        <f t="shared" si="11"/>
        <v>-47.943666192224143</v>
      </c>
      <c r="W36" t="str">
        <f t="shared" si="12"/>
        <v/>
      </c>
    </row>
    <row r="37" spans="1:23" x14ac:dyDescent="0.25">
      <c r="A37">
        <v>5046</v>
      </c>
      <c r="B37">
        <f>VLOOKUP($A37,June!$E:$O,11,FALSE)</f>
        <v>3</v>
      </c>
      <c r="C37">
        <f>VLOOKUP($A37,May!$E:$F,2,FALSE)</f>
        <v>0</v>
      </c>
      <c r="D37">
        <f>VLOOKUP($A37,June!$E:$F,2,FALSE)</f>
        <v>0</v>
      </c>
      <c r="E37" s="7" t="e">
        <f t="shared" si="1"/>
        <v>#DIV/0!</v>
      </c>
      <c r="G37" t="str">
        <f t="shared" si="2"/>
        <v>N</v>
      </c>
      <c r="H37" t="str">
        <f t="shared" si="3"/>
        <v/>
      </c>
      <c r="I37" t="str">
        <f t="shared" si="4"/>
        <v/>
      </c>
      <c r="K37" s="6" t="str">
        <f t="shared" si="14"/>
        <v/>
      </c>
      <c r="L37" s="6" t="str">
        <f t="shared" si="5"/>
        <v/>
      </c>
      <c r="M37" s="6" t="str">
        <f t="shared" si="6"/>
        <v/>
      </c>
      <c r="N37" s="7" t="str">
        <f t="shared" si="7"/>
        <v/>
      </c>
      <c r="P37" s="7">
        <f t="shared" si="13"/>
        <v>3.4999999999999979E-3</v>
      </c>
      <c r="Q37" s="7" t="str">
        <f t="shared" si="8"/>
        <v/>
      </c>
    </row>
    <row r="38" spans="1:23" x14ac:dyDescent="0.25">
      <c r="A38">
        <v>5050</v>
      </c>
      <c r="B38">
        <f>VLOOKUP($A38,June!$E:$O,11,FALSE)</f>
        <v>2</v>
      </c>
      <c r="C38">
        <f>VLOOKUP($A38,May!$E:$F,2,FALSE)</f>
        <v>0</v>
      </c>
      <c r="D38">
        <f>VLOOKUP($A38,June!$E:$F,2,FALSE)</f>
        <v>0</v>
      </c>
      <c r="E38" s="7" t="e">
        <f t="shared" si="1"/>
        <v>#DIV/0!</v>
      </c>
      <c r="G38" t="str">
        <f t="shared" si="2"/>
        <v>N</v>
      </c>
      <c r="H38" t="str">
        <f t="shared" si="3"/>
        <v/>
      </c>
      <c r="I38" t="str">
        <f t="shared" si="4"/>
        <v/>
      </c>
      <c r="K38" s="6" t="str">
        <f t="shared" si="14"/>
        <v/>
      </c>
      <c r="L38" s="6" t="str">
        <f t="shared" si="5"/>
        <v/>
      </c>
      <c r="M38" s="6" t="str">
        <f t="shared" si="6"/>
        <v/>
      </c>
      <c r="N38" s="7" t="str">
        <f t="shared" si="7"/>
        <v/>
      </c>
      <c r="P38" s="7">
        <f t="shared" si="13"/>
        <v>3.5999999999999977E-3</v>
      </c>
      <c r="Q38" s="7" t="str">
        <f t="shared" si="8"/>
        <v/>
      </c>
      <c r="U38" t="s">
        <v>108</v>
      </c>
      <c r="V38" s="7">
        <f>AVERAGE(V3:V36)</f>
        <v>8.8194124334858266</v>
      </c>
    </row>
    <row r="39" spans="1:23" x14ac:dyDescent="0.25">
      <c r="A39">
        <v>5084</v>
      </c>
      <c r="B39">
        <f>VLOOKUP($A39,June!$E:$O,11,FALSE)</f>
        <v>3</v>
      </c>
      <c r="C39">
        <f>VLOOKUP($A39,May!$E:$F,2,FALSE)</f>
        <v>153.99</v>
      </c>
      <c r="D39">
        <f>VLOOKUP($A39,June!$E:$F,2,FALSE)</f>
        <v>140.99</v>
      </c>
      <c r="E39" s="7">
        <f t="shared" si="1"/>
        <v>-8.4421066303006711</v>
      </c>
      <c r="G39" t="str">
        <f t="shared" si="2"/>
        <v>Y</v>
      </c>
      <c r="H39">
        <f t="shared" si="3"/>
        <v>153.99</v>
      </c>
      <c r="I39">
        <f t="shared" si="4"/>
        <v>140.99</v>
      </c>
      <c r="K39" s="6">
        <f t="shared" si="14"/>
        <v>25</v>
      </c>
      <c r="L39" s="6">
        <f t="shared" si="5"/>
        <v>5084</v>
      </c>
      <c r="M39" s="6">
        <f t="shared" si="6"/>
        <v>3</v>
      </c>
      <c r="N39" s="7">
        <f t="shared" si="7"/>
        <v>-8.4421066303006711</v>
      </c>
      <c r="P39" s="7">
        <f t="shared" si="13"/>
        <v>3.6999999999999976E-3</v>
      </c>
      <c r="Q39" s="7">
        <f t="shared" si="8"/>
        <v>-8.4384066303006708</v>
      </c>
      <c r="U39" t="s">
        <v>109</v>
      </c>
      <c r="V39" s="7">
        <f>MEDIAN(V3:V36)</f>
        <v>0</v>
      </c>
    </row>
    <row r="40" spans="1:23" x14ac:dyDescent="0.25">
      <c r="A40">
        <v>5101</v>
      </c>
      <c r="B40">
        <f>VLOOKUP($A40,June!$E:$O,11,FALSE)</f>
        <v>9</v>
      </c>
      <c r="C40">
        <f>VLOOKUP($A40,May!$E:$F,2,FALSE)</f>
        <v>170</v>
      </c>
      <c r="D40">
        <f>VLOOKUP($A40,June!$E:$F,2,FALSE)</f>
        <v>170</v>
      </c>
      <c r="E40" s="7">
        <f t="shared" si="1"/>
        <v>0</v>
      </c>
      <c r="G40" t="str">
        <f t="shared" si="2"/>
        <v>Y</v>
      </c>
      <c r="H40">
        <f t="shared" si="3"/>
        <v>170</v>
      </c>
      <c r="I40">
        <f t="shared" si="4"/>
        <v>170</v>
      </c>
      <c r="K40" s="6">
        <f t="shared" si="14"/>
        <v>19</v>
      </c>
      <c r="L40" s="6">
        <f t="shared" si="5"/>
        <v>5101</v>
      </c>
      <c r="M40" s="6">
        <f t="shared" si="6"/>
        <v>9</v>
      </c>
      <c r="N40" s="7">
        <f t="shared" si="7"/>
        <v>0</v>
      </c>
      <c r="P40" s="7">
        <f t="shared" si="13"/>
        <v>3.7999999999999974E-3</v>
      </c>
      <c r="Q40" s="7">
        <f t="shared" si="8"/>
        <v>3.7999999999999974E-3</v>
      </c>
    </row>
    <row r="41" spans="1:23" x14ac:dyDescent="0.25">
      <c r="A41">
        <v>5101</v>
      </c>
      <c r="B41">
        <f>VLOOKUP($A41,June!$E:$O,11,FALSE)</f>
        <v>9</v>
      </c>
      <c r="C41">
        <f>VLOOKUP($A41,May!$E:$F,2,FALSE)</f>
        <v>170</v>
      </c>
      <c r="D41">
        <f>VLOOKUP($A41,June!$E:$F,2,FALSE)</f>
        <v>170</v>
      </c>
      <c r="E41" s="7">
        <f t="shared" si="1"/>
        <v>0</v>
      </c>
      <c r="G41" t="str">
        <f t="shared" si="2"/>
        <v>Y</v>
      </c>
      <c r="H41">
        <f t="shared" si="3"/>
        <v>170</v>
      </c>
      <c r="I41">
        <f t="shared" si="4"/>
        <v>170</v>
      </c>
      <c r="K41" s="6">
        <f t="shared" si="14"/>
        <v>18</v>
      </c>
      <c r="L41" s="6">
        <f t="shared" si="5"/>
        <v>5101</v>
      </c>
      <c r="M41" s="6">
        <f t="shared" si="6"/>
        <v>9</v>
      </c>
      <c r="N41" s="7">
        <f t="shared" si="7"/>
        <v>0</v>
      </c>
      <c r="P41" s="7">
        <f t="shared" si="13"/>
        <v>3.8999999999999972E-3</v>
      </c>
      <c r="Q41" s="7">
        <f t="shared" si="8"/>
        <v>3.8999999999999972E-3</v>
      </c>
    </row>
    <row r="42" spans="1:23" x14ac:dyDescent="0.25">
      <c r="A42">
        <v>5106</v>
      </c>
      <c r="B42">
        <f>VLOOKUP($A42,June!$E:$O,11,FALSE)</f>
        <v>9</v>
      </c>
      <c r="C42">
        <f>VLOOKUP($A42,May!$E:$F,2,FALSE)</f>
        <v>85.99</v>
      </c>
      <c r="D42">
        <f>VLOOKUP($A42,June!$E:$F,2,FALSE)</f>
        <v>210.99</v>
      </c>
      <c r="E42" s="7">
        <f t="shared" si="1"/>
        <v>145.36574020234912</v>
      </c>
      <c r="G42" t="str">
        <f t="shared" si="2"/>
        <v>Y</v>
      </c>
      <c r="H42">
        <f t="shared" si="3"/>
        <v>85.99</v>
      </c>
      <c r="I42">
        <f t="shared" si="4"/>
        <v>210.99</v>
      </c>
      <c r="K42" s="6">
        <f t="shared" si="14"/>
        <v>2</v>
      </c>
      <c r="L42" s="6">
        <f t="shared" si="5"/>
        <v>5106</v>
      </c>
      <c r="M42" s="6">
        <f t="shared" si="6"/>
        <v>9</v>
      </c>
      <c r="N42" s="7">
        <f t="shared" si="7"/>
        <v>145.36574020234912</v>
      </c>
      <c r="P42" s="7">
        <f t="shared" si="13"/>
        <v>3.9999999999999975E-3</v>
      </c>
      <c r="Q42" s="7">
        <f t="shared" si="8"/>
        <v>145.36974020234911</v>
      </c>
    </row>
    <row r="43" spans="1:23" x14ac:dyDescent="0.25">
      <c r="A43">
        <v>5112</v>
      </c>
      <c r="B43">
        <f>VLOOKUP($A43,June!$E:$O,11,FALSE)</f>
        <v>13</v>
      </c>
      <c r="C43">
        <f>VLOOKUP($A43,May!$E:$F,2,FALSE)</f>
        <v>0</v>
      </c>
      <c r="D43">
        <f>VLOOKUP($A43,June!$E:$F,2,FALSE)</f>
        <v>0</v>
      </c>
      <c r="E43" s="7" t="e">
        <f t="shared" si="1"/>
        <v>#DIV/0!</v>
      </c>
      <c r="G43" t="str">
        <f t="shared" si="2"/>
        <v>N</v>
      </c>
      <c r="H43" t="str">
        <f t="shared" si="3"/>
        <v/>
      </c>
      <c r="I43" t="str">
        <f t="shared" si="4"/>
        <v/>
      </c>
      <c r="K43" s="6" t="str">
        <f t="shared" si="14"/>
        <v/>
      </c>
      <c r="L43" s="6" t="str">
        <f t="shared" si="5"/>
        <v/>
      </c>
      <c r="M43" s="6" t="str">
        <f t="shared" si="6"/>
        <v/>
      </c>
      <c r="N43" s="7" t="str">
        <f t="shared" si="7"/>
        <v/>
      </c>
      <c r="P43" s="7">
        <f t="shared" si="13"/>
        <v>4.0999999999999977E-3</v>
      </c>
      <c r="Q43" s="7" t="str">
        <f t="shared" si="8"/>
        <v/>
      </c>
    </row>
    <row r="44" spans="1:23" x14ac:dyDescent="0.25">
      <c r="A44">
        <v>5117</v>
      </c>
      <c r="B44">
        <f>VLOOKUP($A44,June!$E:$O,11,FALSE)</f>
        <v>10</v>
      </c>
      <c r="C44">
        <f>VLOOKUP($A44,May!$E:$F,2,FALSE)</f>
        <v>79</v>
      </c>
      <c r="D44">
        <f>VLOOKUP($A44,June!$E:$F,2,FALSE)</f>
        <v>79</v>
      </c>
      <c r="E44" s="7">
        <f t="shared" si="1"/>
        <v>0</v>
      </c>
      <c r="G44" t="str">
        <f t="shared" si="2"/>
        <v>Y</v>
      </c>
      <c r="H44">
        <f t="shared" si="3"/>
        <v>79</v>
      </c>
      <c r="I44">
        <f t="shared" si="4"/>
        <v>79</v>
      </c>
      <c r="K44" s="6">
        <f t="shared" si="14"/>
        <v>17</v>
      </c>
      <c r="L44" s="6">
        <f t="shared" si="5"/>
        <v>5117</v>
      </c>
      <c r="M44" s="6">
        <f t="shared" si="6"/>
        <v>10</v>
      </c>
      <c r="N44" s="7">
        <f t="shared" si="7"/>
        <v>0</v>
      </c>
      <c r="P44" s="7">
        <f t="shared" si="13"/>
        <v>4.199999999999998E-3</v>
      </c>
      <c r="Q44" s="7">
        <f t="shared" si="8"/>
        <v>4.199999999999998E-3</v>
      </c>
    </row>
    <row r="45" spans="1:23" x14ac:dyDescent="0.25">
      <c r="A45">
        <v>5120</v>
      </c>
      <c r="B45">
        <f>VLOOKUP($A45,June!$E:$O,11,FALSE)</f>
        <v>3</v>
      </c>
      <c r="C45">
        <f>VLOOKUP($A45,May!$E:$F,2,FALSE)</f>
        <v>159.85</v>
      </c>
      <c r="D45">
        <f>VLOOKUP($A45,June!$E:$F,2,FALSE)</f>
        <v>134.85</v>
      </c>
      <c r="E45" s="7">
        <f t="shared" si="1"/>
        <v>-15.639662183296842</v>
      </c>
      <c r="G45" t="str">
        <f t="shared" si="2"/>
        <v>Y</v>
      </c>
      <c r="H45">
        <f t="shared" si="3"/>
        <v>159.85</v>
      </c>
      <c r="I45">
        <f t="shared" si="4"/>
        <v>134.85</v>
      </c>
      <c r="K45" s="6">
        <f t="shared" si="14"/>
        <v>29</v>
      </c>
      <c r="L45" s="6">
        <f t="shared" si="5"/>
        <v>5120</v>
      </c>
      <c r="M45" s="6">
        <f t="shared" si="6"/>
        <v>3</v>
      </c>
      <c r="N45" s="7">
        <f t="shared" si="7"/>
        <v>-15.639662183296842</v>
      </c>
      <c r="P45" s="7">
        <f t="shared" si="13"/>
        <v>4.2999999999999983E-3</v>
      </c>
      <c r="Q45" s="7">
        <f t="shared" si="8"/>
        <v>-15.635362183296841</v>
      </c>
    </row>
    <row r="46" spans="1:23" x14ac:dyDescent="0.25">
      <c r="A46">
        <v>5120</v>
      </c>
      <c r="B46">
        <f>VLOOKUP($A46,June!$E:$O,11,FALSE)</f>
        <v>3</v>
      </c>
      <c r="C46">
        <f>VLOOKUP($A46,May!$E:$F,2,FALSE)</f>
        <v>159.85</v>
      </c>
      <c r="D46">
        <f>VLOOKUP($A46,June!$E:$F,2,FALSE)</f>
        <v>134.85</v>
      </c>
      <c r="E46" s="7">
        <f t="shared" si="1"/>
        <v>-15.639662183296842</v>
      </c>
      <c r="G46" t="str">
        <f t="shared" si="2"/>
        <v>Y</v>
      </c>
      <c r="H46">
        <f t="shared" si="3"/>
        <v>159.85</v>
      </c>
      <c r="I46">
        <f t="shared" si="4"/>
        <v>134.85</v>
      </c>
      <c r="K46" s="6">
        <f t="shared" si="14"/>
        <v>28</v>
      </c>
      <c r="L46" s="6">
        <f t="shared" si="5"/>
        <v>5120</v>
      </c>
      <c r="M46" s="6">
        <f t="shared" si="6"/>
        <v>3</v>
      </c>
      <c r="N46" s="7">
        <f t="shared" si="7"/>
        <v>-15.639662183296842</v>
      </c>
      <c r="P46" s="7">
        <f t="shared" si="13"/>
        <v>4.3999999999999985E-3</v>
      </c>
      <c r="Q46" s="7">
        <f t="shared" si="8"/>
        <v>-15.635262183296842</v>
      </c>
    </row>
    <row r="47" spans="1:23" x14ac:dyDescent="0.25">
      <c r="A47">
        <v>5122</v>
      </c>
      <c r="B47">
        <f>VLOOKUP($A47,June!$E:$O,11,FALSE)</f>
        <v>11</v>
      </c>
      <c r="C47">
        <f>VLOOKUP($A47,May!$E:$F,2,FALSE)</f>
        <v>95</v>
      </c>
      <c r="D47">
        <f>VLOOKUP($A47,June!$E:$F,2,FALSE)</f>
        <v>0</v>
      </c>
      <c r="E47" s="7">
        <f t="shared" si="1"/>
        <v>-100</v>
      </c>
      <c r="G47" t="str">
        <f t="shared" si="2"/>
        <v>N</v>
      </c>
      <c r="H47" t="str">
        <f t="shared" si="3"/>
        <v/>
      </c>
      <c r="I47" t="str">
        <f t="shared" si="4"/>
        <v/>
      </c>
      <c r="K47" s="6" t="str">
        <f t="shared" si="14"/>
        <v/>
      </c>
      <c r="L47" s="6" t="str">
        <f t="shared" si="5"/>
        <v/>
      </c>
      <c r="M47" s="6" t="str">
        <f t="shared" si="6"/>
        <v/>
      </c>
      <c r="N47" s="7" t="str">
        <f t="shared" si="7"/>
        <v/>
      </c>
      <c r="P47" s="7">
        <f t="shared" si="13"/>
        <v>4.4999999999999988E-3</v>
      </c>
      <c r="Q47" s="7" t="str">
        <f t="shared" si="8"/>
        <v/>
      </c>
    </row>
    <row r="48" spans="1:23" x14ac:dyDescent="0.25">
      <c r="A48">
        <v>5133</v>
      </c>
      <c r="B48">
        <f>VLOOKUP($A48,June!$E:$O,11,FALSE)</f>
        <v>9</v>
      </c>
      <c r="C48">
        <f>VLOOKUP($A48,May!$E:$F,2,FALSE)</f>
        <v>90</v>
      </c>
      <c r="D48">
        <f>VLOOKUP($A48,June!$E:$F,2,FALSE)</f>
        <v>90</v>
      </c>
      <c r="E48" s="7">
        <f t="shared" si="1"/>
        <v>0</v>
      </c>
      <c r="G48" t="str">
        <f t="shared" si="2"/>
        <v>Y</v>
      </c>
      <c r="H48">
        <f t="shared" si="3"/>
        <v>90</v>
      </c>
      <c r="I48">
        <f t="shared" si="4"/>
        <v>90</v>
      </c>
      <c r="K48" s="6">
        <f t="shared" si="14"/>
        <v>16</v>
      </c>
      <c r="L48" s="6">
        <f t="shared" si="5"/>
        <v>5133</v>
      </c>
      <c r="M48" s="6">
        <f t="shared" si="6"/>
        <v>9</v>
      </c>
      <c r="N48" s="7">
        <f t="shared" si="7"/>
        <v>0</v>
      </c>
      <c r="P48" s="7">
        <f t="shared" si="13"/>
        <v>4.5999999999999991E-3</v>
      </c>
      <c r="Q48" s="7">
        <f t="shared" si="8"/>
        <v>4.5999999999999991E-3</v>
      </c>
    </row>
    <row r="49" spans="1:17" x14ac:dyDescent="0.25">
      <c r="A49">
        <v>5180</v>
      </c>
      <c r="B49">
        <f>VLOOKUP($A49,June!$E:$O,11,FALSE)</f>
        <v>12</v>
      </c>
      <c r="C49">
        <f>VLOOKUP($A49,May!$E:$F,2,FALSE)</f>
        <v>0</v>
      </c>
      <c r="D49">
        <f>VLOOKUP($A49,June!$E:$F,2,FALSE)</f>
        <v>150</v>
      </c>
      <c r="E49" s="7" t="e">
        <f t="shared" si="1"/>
        <v>#DIV/0!</v>
      </c>
      <c r="G49" t="str">
        <f t="shared" si="2"/>
        <v>N</v>
      </c>
      <c r="H49" t="str">
        <f t="shared" si="3"/>
        <v/>
      </c>
      <c r="I49" t="str">
        <f t="shared" si="4"/>
        <v/>
      </c>
      <c r="K49" s="6" t="str">
        <f t="shared" si="14"/>
        <v/>
      </c>
      <c r="L49" s="6" t="str">
        <f t="shared" si="5"/>
        <v/>
      </c>
      <c r="M49" s="6" t="str">
        <f t="shared" si="6"/>
        <v/>
      </c>
      <c r="N49" s="7" t="str">
        <f t="shared" si="7"/>
        <v/>
      </c>
      <c r="P49" s="7">
        <f t="shared" si="13"/>
        <v>4.6999999999999993E-3</v>
      </c>
      <c r="Q49" s="7" t="str">
        <f t="shared" si="8"/>
        <v/>
      </c>
    </row>
    <row r="50" spans="1:17" x14ac:dyDescent="0.25">
      <c r="A50">
        <v>5226</v>
      </c>
      <c r="B50">
        <f>VLOOKUP($A50,June!$E:$O,11,FALSE)</f>
        <v>2</v>
      </c>
      <c r="C50">
        <f>VLOOKUP($A50,May!$E:$F,2,FALSE)</f>
        <v>126.99</v>
      </c>
      <c r="D50">
        <f>VLOOKUP($A50,June!$E:$F,2,FALSE)</f>
        <v>148.99</v>
      </c>
      <c r="E50" s="7">
        <f t="shared" si="1"/>
        <v>17.324198755807551</v>
      </c>
      <c r="G50" t="str">
        <f t="shared" si="2"/>
        <v>Y</v>
      </c>
      <c r="H50">
        <f t="shared" si="3"/>
        <v>126.99</v>
      </c>
      <c r="I50">
        <f t="shared" si="4"/>
        <v>148.99</v>
      </c>
      <c r="K50" s="6">
        <f t="shared" si="14"/>
        <v>9</v>
      </c>
      <c r="L50" s="6">
        <f t="shared" si="5"/>
        <v>5226</v>
      </c>
      <c r="M50" s="6">
        <f t="shared" si="6"/>
        <v>2</v>
      </c>
      <c r="N50" s="7">
        <f t="shared" si="7"/>
        <v>17.324198755807551</v>
      </c>
      <c r="P50" s="7">
        <f t="shared" si="13"/>
        <v>4.7999999999999996E-3</v>
      </c>
      <c r="Q50" s="7">
        <f t="shared" si="8"/>
        <v>17.32899875580755</v>
      </c>
    </row>
    <row r="51" spans="1:17" x14ac:dyDescent="0.25">
      <c r="A51">
        <v>5246</v>
      </c>
      <c r="B51">
        <f>VLOOKUP($A51,June!$E:$O,11,FALSE)</f>
        <v>2</v>
      </c>
      <c r="C51">
        <f>VLOOKUP($A51,May!$E:$F,2,FALSE)</f>
        <v>0</v>
      </c>
      <c r="D51">
        <f>VLOOKUP($A51,June!$E:$F,2,FALSE)</f>
        <v>144</v>
      </c>
      <c r="E51" s="7" t="e">
        <f t="shared" si="1"/>
        <v>#DIV/0!</v>
      </c>
      <c r="G51" t="str">
        <f t="shared" si="2"/>
        <v>N</v>
      </c>
      <c r="H51" t="str">
        <f t="shared" si="3"/>
        <v/>
      </c>
      <c r="I51" t="str">
        <f t="shared" si="4"/>
        <v/>
      </c>
      <c r="K51" s="6" t="str">
        <f t="shared" si="14"/>
        <v/>
      </c>
      <c r="L51" s="6" t="str">
        <f t="shared" si="5"/>
        <v/>
      </c>
      <c r="M51" s="6" t="str">
        <f t="shared" si="6"/>
        <v/>
      </c>
      <c r="N51" s="7" t="str">
        <f t="shared" si="7"/>
        <v/>
      </c>
      <c r="P51" s="7">
        <f t="shared" si="13"/>
        <v>4.8999999999999998E-3</v>
      </c>
      <c r="Q51" s="7" t="str">
        <f t="shared" si="8"/>
        <v/>
      </c>
    </row>
    <row r="52" spans="1:17" x14ac:dyDescent="0.25">
      <c r="A52">
        <v>5247</v>
      </c>
      <c r="B52">
        <f>VLOOKUP($A52,June!$E:$O,11,FALSE)</f>
        <v>2</v>
      </c>
      <c r="C52">
        <f>VLOOKUP($A52,May!$E:$F,2,FALSE)</f>
        <v>164</v>
      </c>
      <c r="D52">
        <f>VLOOKUP($A52,June!$E:$F,2,FALSE)</f>
        <v>169</v>
      </c>
      <c r="E52" s="7">
        <f t="shared" si="1"/>
        <v>3.0487804878048808</v>
      </c>
      <c r="G52" t="str">
        <f t="shared" si="2"/>
        <v>Y</v>
      </c>
      <c r="H52">
        <f t="shared" si="3"/>
        <v>164</v>
      </c>
      <c r="I52">
        <f t="shared" si="4"/>
        <v>169</v>
      </c>
      <c r="K52" s="6">
        <f t="shared" si="14"/>
        <v>12</v>
      </c>
      <c r="L52" s="6">
        <f t="shared" si="5"/>
        <v>5247</v>
      </c>
      <c r="M52" s="6">
        <f t="shared" si="6"/>
        <v>2</v>
      </c>
      <c r="N52" s="7">
        <f t="shared" si="7"/>
        <v>3.0487804878048808</v>
      </c>
      <c r="P52" s="7">
        <f t="shared" si="13"/>
        <v>5.0000000000000001E-3</v>
      </c>
      <c r="Q52" s="7">
        <f t="shared" si="8"/>
        <v>3.0537804878048807</v>
      </c>
    </row>
    <row r="53" spans="1:17" x14ac:dyDescent="0.25">
      <c r="A53">
        <v>5262</v>
      </c>
      <c r="B53">
        <f>VLOOKUP($A53,June!$E:$O,11,FALSE)</f>
        <v>4</v>
      </c>
      <c r="C53">
        <f>VLOOKUP($A53,May!$E:$F,2,FALSE)</f>
        <v>515</v>
      </c>
      <c r="D53">
        <f>VLOOKUP($A53,June!$E:$F,2,FALSE)</f>
        <v>636</v>
      </c>
      <c r="E53" s="7">
        <f t="shared" si="1"/>
        <v>23.49514563106796</v>
      </c>
      <c r="G53" t="str">
        <f t="shared" si="2"/>
        <v>Y</v>
      </c>
      <c r="H53">
        <f t="shared" si="3"/>
        <v>515</v>
      </c>
      <c r="I53">
        <f t="shared" si="4"/>
        <v>636</v>
      </c>
      <c r="K53" s="6">
        <f t="shared" si="14"/>
        <v>5</v>
      </c>
      <c r="L53" s="6">
        <f t="shared" si="5"/>
        <v>5262</v>
      </c>
      <c r="M53" s="6">
        <f t="shared" si="6"/>
        <v>4</v>
      </c>
      <c r="N53" s="7">
        <f t="shared" si="7"/>
        <v>23.49514563106796</v>
      </c>
      <c r="P53" s="7">
        <f t="shared" si="13"/>
        <v>5.1000000000000004E-3</v>
      </c>
      <c r="Q53" s="7">
        <f t="shared" si="8"/>
        <v>23.500245631067958</v>
      </c>
    </row>
    <row r="54" spans="1:17" x14ac:dyDescent="0.25">
      <c r="A54">
        <v>5291</v>
      </c>
      <c r="B54">
        <f>VLOOKUP($A54,June!$E:$O,11,FALSE)</f>
        <v>2</v>
      </c>
      <c r="C54">
        <f>VLOOKUP($A54,May!$E:$F,2,FALSE)</f>
        <v>0</v>
      </c>
      <c r="D54">
        <f>VLOOKUP($A54,June!$E:$F,2,FALSE)</f>
        <v>0</v>
      </c>
      <c r="E54" s="7" t="e">
        <f t="shared" si="1"/>
        <v>#DIV/0!</v>
      </c>
      <c r="G54" t="str">
        <f t="shared" si="2"/>
        <v>N</v>
      </c>
      <c r="H54" t="str">
        <f t="shared" si="3"/>
        <v/>
      </c>
      <c r="I54" t="str">
        <f t="shared" si="4"/>
        <v/>
      </c>
      <c r="K54" s="6" t="str">
        <f t="shared" si="14"/>
        <v/>
      </c>
      <c r="L54" s="6" t="str">
        <f t="shared" si="5"/>
        <v/>
      </c>
      <c r="M54" s="6" t="str">
        <f t="shared" si="6"/>
        <v/>
      </c>
      <c r="N54" s="7" t="str">
        <f t="shared" si="7"/>
        <v/>
      </c>
      <c r="P54" s="7">
        <f t="shared" si="13"/>
        <v>5.2000000000000006E-3</v>
      </c>
      <c r="Q54" s="7" t="str">
        <f t="shared" si="8"/>
        <v/>
      </c>
    </row>
    <row r="55" spans="1:17" x14ac:dyDescent="0.25">
      <c r="A55">
        <v>5295</v>
      </c>
      <c r="B55">
        <f>VLOOKUP($A55,June!$E:$O,11,FALSE)</f>
        <v>2</v>
      </c>
      <c r="C55">
        <f>VLOOKUP($A55,May!$E:$F,2,FALSE)</f>
        <v>0</v>
      </c>
      <c r="D55">
        <f>VLOOKUP($A55,June!$E:$F,2,FALSE)</f>
        <v>0</v>
      </c>
      <c r="E55" s="7" t="e">
        <f t="shared" si="1"/>
        <v>#DIV/0!</v>
      </c>
      <c r="G55" t="str">
        <f t="shared" si="2"/>
        <v>N</v>
      </c>
      <c r="H55" t="str">
        <f t="shared" si="3"/>
        <v/>
      </c>
      <c r="I55" t="str">
        <f t="shared" si="4"/>
        <v/>
      </c>
      <c r="K55" s="6" t="str">
        <f t="shared" si="14"/>
        <v/>
      </c>
      <c r="L55" s="6" t="str">
        <f t="shared" si="5"/>
        <v/>
      </c>
      <c r="M55" s="6" t="str">
        <f t="shared" si="6"/>
        <v/>
      </c>
      <c r="N55" s="7" t="str">
        <f t="shared" si="7"/>
        <v/>
      </c>
      <c r="P55" s="7">
        <f t="shared" si="13"/>
        <v>5.3000000000000009E-3</v>
      </c>
      <c r="Q55" s="7" t="str">
        <f t="shared" si="8"/>
        <v/>
      </c>
    </row>
    <row r="56" spans="1:17" x14ac:dyDescent="0.25">
      <c r="A56">
        <v>5323</v>
      </c>
      <c r="B56">
        <f>VLOOKUP($A56,June!$E:$O,11,FALSE)</f>
        <v>12</v>
      </c>
      <c r="C56">
        <f>VLOOKUP($A56,May!$E:$F,2,FALSE)</f>
        <v>110</v>
      </c>
      <c r="D56">
        <f>VLOOKUP($A56,June!$E:$F,2,FALSE)</f>
        <v>0</v>
      </c>
      <c r="E56" s="7">
        <f t="shared" si="1"/>
        <v>-100</v>
      </c>
      <c r="G56" t="str">
        <f t="shared" si="2"/>
        <v>N</v>
      </c>
      <c r="H56" t="str">
        <f t="shared" si="3"/>
        <v/>
      </c>
      <c r="I56" t="str">
        <f t="shared" si="4"/>
        <v/>
      </c>
      <c r="K56" s="6" t="str">
        <f t="shared" si="14"/>
        <v/>
      </c>
      <c r="L56" s="6" t="str">
        <f t="shared" si="5"/>
        <v/>
      </c>
      <c r="M56" s="6" t="str">
        <f t="shared" si="6"/>
        <v/>
      </c>
      <c r="N56" s="7" t="str">
        <f t="shared" si="7"/>
        <v/>
      </c>
      <c r="P56" s="7">
        <f t="shared" si="13"/>
        <v>5.4000000000000012E-3</v>
      </c>
      <c r="Q56" s="7" t="str">
        <f t="shared" si="8"/>
        <v/>
      </c>
    </row>
    <row r="57" spans="1:17" x14ac:dyDescent="0.25">
      <c r="A57">
        <v>14310</v>
      </c>
      <c r="B57">
        <f>VLOOKUP($A57,June!$E:$O,11,FALSE)</f>
        <v>2</v>
      </c>
      <c r="C57">
        <f>VLOOKUP($A57,May!$E:$F,2,FALSE)</f>
        <v>0</v>
      </c>
      <c r="D57">
        <f>VLOOKUP($A57,June!$E:$F,2,FALSE)</f>
        <v>59</v>
      </c>
      <c r="E57" s="7" t="e">
        <f t="shared" si="1"/>
        <v>#DIV/0!</v>
      </c>
      <c r="G57" t="str">
        <f t="shared" si="2"/>
        <v>N</v>
      </c>
      <c r="H57" t="str">
        <f t="shared" si="3"/>
        <v/>
      </c>
      <c r="I57" t="str">
        <f t="shared" si="4"/>
        <v/>
      </c>
      <c r="K57" s="6" t="str">
        <f t="shared" si="14"/>
        <v/>
      </c>
      <c r="L57" s="6" t="str">
        <f t="shared" si="5"/>
        <v/>
      </c>
      <c r="M57" s="6" t="str">
        <f t="shared" si="6"/>
        <v/>
      </c>
      <c r="N57" s="7" t="str">
        <f t="shared" si="7"/>
        <v/>
      </c>
      <c r="P57" s="7">
        <f t="shared" si="13"/>
        <v>5.5000000000000014E-3</v>
      </c>
      <c r="Q57" s="7" t="str">
        <f t="shared" si="8"/>
        <v/>
      </c>
    </row>
    <row r="58" spans="1:17" x14ac:dyDescent="0.25">
      <c r="A58">
        <v>14593</v>
      </c>
      <c r="B58">
        <f>VLOOKUP($A58,June!$E:$O,11,FALSE)</f>
        <v>7</v>
      </c>
      <c r="C58">
        <f>VLOOKUP($A58,May!$E:$F,2,FALSE)</f>
        <v>46</v>
      </c>
      <c r="D58">
        <f>VLOOKUP($A58,June!$E:$F,2,FALSE)</f>
        <v>72</v>
      </c>
      <c r="E58" s="7">
        <f t="shared" si="1"/>
        <v>56.521739130434788</v>
      </c>
      <c r="G58" t="str">
        <f t="shared" si="2"/>
        <v>Y</v>
      </c>
      <c r="H58">
        <f t="shared" si="3"/>
        <v>46</v>
      </c>
      <c r="I58">
        <f t="shared" si="4"/>
        <v>72</v>
      </c>
      <c r="K58" s="6">
        <f t="shared" si="14"/>
        <v>3</v>
      </c>
      <c r="L58" s="6">
        <f t="shared" si="5"/>
        <v>14593</v>
      </c>
      <c r="M58" s="6">
        <f t="shared" si="6"/>
        <v>7</v>
      </c>
      <c r="N58" s="7">
        <f t="shared" si="7"/>
        <v>56.521739130434788</v>
      </c>
      <c r="P58" s="7">
        <f t="shared" si="13"/>
        <v>5.6000000000000017E-3</v>
      </c>
      <c r="Q58" s="7">
        <f t="shared" si="8"/>
        <v>56.52733913043479</v>
      </c>
    </row>
    <row r="59" spans="1:17" x14ac:dyDescent="0.25">
      <c r="A59">
        <v>14596</v>
      </c>
      <c r="B59">
        <f>VLOOKUP($A59,June!$E:$O,11,FALSE)</f>
        <v>9</v>
      </c>
      <c r="C59">
        <f>VLOOKUP($A59,May!$E:$F,2,FALSE)</f>
        <v>60</v>
      </c>
      <c r="D59">
        <f>VLOOKUP($A59,June!$E:$F,2,FALSE)</f>
        <v>60</v>
      </c>
      <c r="E59" s="7">
        <f t="shared" si="1"/>
        <v>0</v>
      </c>
      <c r="G59" t="str">
        <f t="shared" si="2"/>
        <v>Y</v>
      </c>
      <c r="H59">
        <f t="shared" si="3"/>
        <v>60</v>
      </c>
      <c r="I59">
        <f t="shared" si="4"/>
        <v>60</v>
      </c>
      <c r="K59" s="6">
        <f t="shared" si="14"/>
        <v>15</v>
      </c>
      <c r="L59" s="6">
        <f t="shared" si="5"/>
        <v>14596</v>
      </c>
      <c r="M59" s="6">
        <f t="shared" si="6"/>
        <v>9</v>
      </c>
      <c r="N59" s="7">
        <f t="shared" si="7"/>
        <v>0</v>
      </c>
      <c r="P59" s="7">
        <f t="shared" si="13"/>
        <v>5.7000000000000019E-3</v>
      </c>
      <c r="Q59" s="7">
        <f t="shared" si="8"/>
        <v>5.7000000000000019E-3</v>
      </c>
    </row>
    <row r="60" spans="1:17" x14ac:dyDescent="0.25">
      <c r="A60">
        <v>14598</v>
      </c>
      <c r="B60">
        <f>VLOOKUP($A60,June!$E:$O,11,FALSE)</f>
        <v>4</v>
      </c>
      <c r="C60">
        <f>VLOOKUP($A60,May!$E:$F,2,FALSE)</f>
        <v>85</v>
      </c>
      <c r="D60">
        <f>VLOOKUP($A60,June!$E:$F,2,FALSE)</f>
        <v>0</v>
      </c>
      <c r="E60" s="7">
        <f t="shared" si="1"/>
        <v>-100</v>
      </c>
      <c r="G60" t="str">
        <f t="shared" si="2"/>
        <v>N</v>
      </c>
      <c r="H60" t="str">
        <f t="shared" si="3"/>
        <v/>
      </c>
      <c r="I60" t="str">
        <f t="shared" si="4"/>
        <v/>
      </c>
      <c r="K60" s="6" t="str">
        <f t="shared" si="14"/>
        <v/>
      </c>
      <c r="L60" s="6" t="str">
        <f t="shared" si="5"/>
        <v/>
      </c>
      <c r="M60" s="6" t="str">
        <f t="shared" si="6"/>
        <v/>
      </c>
      <c r="N60" s="7" t="str">
        <f t="shared" si="7"/>
        <v/>
      </c>
      <c r="P60" s="7">
        <f t="shared" si="13"/>
        <v>5.8000000000000022E-3</v>
      </c>
      <c r="Q60" s="7" t="str">
        <f t="shared" si="8"/>
        <v/>
      </c>
    </row>
    <row r="61" spans="1:17" x14ac:dyDescent="0.25">
      <c r="A61">
        <v>14601</v>
      </c>
      <c r="B61">
        <f>VLOOKUP($A61,June!$E:$O,11,FALSE)</f>
        <v>8</v>
      </c>
      <c r="C61">
        <f>VLOOKUP($A61,May!$E:$F,2,FALSE)</f>
        <v>96</v>
      </c>
      <c r="D61">
        <f>VLOOKUP($A61,June!$E:$F,2,FALSE)</f>
        <v>0</v>
      </c>
      <c r="E61" s="7">
        <f t="shared" si="1"/>
        <v>-100</v>
      </c>
      <c r="G61" t="str">
        <f t="shared" si="2"/>
        <v>N</v>
      </c>
      <c r="H61" t="str">
        <f t="shared" si="3"/>
        <v/>
      </c>
      <c r="I61" t="str">
        <f t="shared" si="4"/>
        <v/>
      </c>
      <c r="K61" s="6" t="str">
        <f t="shared" si="14"/>
        <v/>
      </c>
      <c r="L61" s="6" t="str">
        <f t="shared" si="5"/>
        <v/>
      </c>
      <c r="M61" s="6" t="str">
        <f t="shared" si="6"/>
        <v/>
      </c>
      <c r="N61" s="7" t="str">
        <f t="shared" si="7"/>
        <v/>
      </c>
      <c r="P61" s="7">
        <f t="shared" si="13"/>
        <v>5.9000000000000025E-3</v>
      </c>
      <c r="Q61" s="7" t="str">
        <f t="shared" si="8"/>
        <v/>
      </c>
    </row>
    <row r="62" spans="1:17" x14ac:dyDescent="0.25">
      <c r="A62">
        <v>14629</v>
      </c>
      <c r="B62">
        <f>VLOOKUP($A62,June!$E:$O,11,FALSE)</f>
        <v>5</v>
      </c>
      <c r="C62">
        <f>VLOOKUP($A62,May!$E:$F,2,FALSE)</f>
        <v>105</v>
      </c>
      <c r="D62">
        <f>VLOOKUP($A62,June!$E:$F,2,FALSE)</f>
        <v>105</v>
      </c>
      <c r="E62" s="7">
        <f t="shared" si="1"/>
        <v>0</v>
      </c>
      <c r="G62" t="str">
        <f t="shared" si="2"/>
        <v>Y</v>
      </c>
      <c r="H62">
        <f t="shared" si="3"/>
        <v>105</v>
      </c>
      <c r="I62">
        <f t="shared" si="4"/>
        <v>105</v>
      </c>
      <c r="K62" s="6">
        <f t="shared" si="14"/>
        <v>14</v>
      </c>
      <c r="L62" s="6">
        <f t="shared" si="5"/>
        <v>14629</v>
      </c>
      <c r="M62" s="6">
        <f t="shared" si="6"/>
        <v>5</v>
      </c>
      <c r="N62" s="7">
        <f t="shared" si="7"/>
        <v>0</v>
      </c>
      <c r="P62" s="7">
        <f t="shared" si="13"/>
        <v>6.0000000000000027E-3</v>
      </c>
      <c r="Q62" s="7">
        <f t="shared" si="8"/>
        <v>6.0000000000000027E-3</v>
      </c>
    </row>
    <row r="63" spans="1:17" x14ac:dyDescent="0.25">
      <c r="A63">
        <v>14804</v>
      </c>
      <c r="B63">
        <f>VLOOKUP($A63,June!$E:$O,11,FALSE)</f>
        <v>5</v>
      </c>
      <c r="C63">
        <f>VLOOKUP($A63,May!$E:$F,2,FALSE)</f>
        <v>0</v>
      </c>
      <c r="D63">
        <f>VLOOKUP($A63,June!$E:$F,2,FALSE)</f>
        <v>0</v>
      </c>
      <c r="E63" s="7" t="e">
        <f t="shared" si="1"/>
        <v>#DIV/0!</v>
      </c>
      <c r="G63" t="str">
        <f t="shared" si="2"/>
        <v>N</v>
      </c>
      <c r="H63" t="str">
        <f t="shared" si="3"/>
        <v/>
      </c>
      <c r="I63" t="str">
        <f t="shared" si="4"/>
        <v/>
      </c>
      <c r="K63" s="6" t="str">
        <f t="shared" si="14"/>
        <v/>
      </c>
      <c r="L63" s="6" t="str">
        <f t="shared" si="5"/>
        <v/>
      </c>
      <c r="M63" s="6" t="str">
        <f t="shared" si="6"/>
        <v/>
      </c>
      <c r="N63" s="7" t="str">
        <f t="shared" si="7"/>
        <v/>
      </c>
      <c r="P63" s="7">
        <f t="shared" si="13"/>
        <v>6.100000000000003E-3</v>
      </c>
      <c r="Q63" s="7" t="str">
        <f t="shared" si="8"/>
        <v/>
      </c>
    </row>
    <row r="64" spans="1:17" x14ac:dyDescent="0.25">
      <c r="A64">
        <v>15449</v>
      </c>
      <c r="B64">
        <f>VLOOKUP($A64,June!$E:$O,11,FALSE)</f>
        <v>3</v>
      </c>
      <c r="C64">
        <f>VLOOKUP($A64,May!$E:$F,2,FALSE)</f>
        <v>0</v>
      </c>
      <c r="D64">
        <f>VLOOKUP($A64,June!$E:$F,2,FALSE)</f>
        <v>0</v>
      </c>
      <c r="E64" s="7" t="e">
        <f t="shared" si="1"/>
        <v>#DIV/0!</v>
      </c>
      <c r="G64" t="str">
        <f t="shared" si="2"/>
        <v>N</v>
      </c>
      <c r="H64" t="str">
        <f t="shared" si="3"/>
        <v/>
      </c>
      <c r="I64" t="str">
        <f t="shared" si="4"/>
        <v/>
      </c>
      <c r="K64" s="6" t="str">
        <f t="shared" si="14"/>
        <v/>
      </c>
      <c r="L64" s="6" t="str">
        <f t="shared" si="5"/>
        <v/>
      </c>
      <c r="M64" s="6" t="str">
        <f t="shared" si="6"/>
        <v/>
      </c>
      <c r="N64" s="7" t="str">
        <f t="shared" si="7"/>
        <v/>
      </c>
      <c r="P64" s="7">
        <f t="shared" si="13"/>
        <v>6.2000000000000033E-3</v>
      </c>
      <c r="Q64" s="7" t="str">
        <f t="shared" si="8"/>
        <v/>
      </c>
    </row>
    <row r="65" spans="1:17" x14ac:dyDescent="0.25">
      <c r="A65">
        <v>15450</v>
      </c>
      <c r="B65">
        <f>VLOOKUP($A65,June!$E:$O,11,FALSE)</f>
        <v>2</v>
      </c>
      <c r="C65">
        <f>VLOOKUP($A65,May!$E:$F,2,FALSE)</f>
        <v>399</v>
      </c>
      <c r="D65">
        <f>VLOOKUP($A65,June!$E:$F,2,FALSE)</f>
        <v>459</v>
      </c>
      <c r="E65" s="7">
        <f t="shared" si="1"/>
        <v>15.037593984962406</v>
      </c>
      <c r="G65" t="str">
        <f t="shared" si="2"/>
        <v>Y</v>
      </c>
      <c r="H65">
        <f t="shared" si="3"/>
        <v>399</v>
      </c>
      <c r="I65">
        <f t="shared" si="4"/>
        <v>459</v>
      </c>
      <c r="K65" s="6">
        <f t="shared" si="14"/>
        <v>11</v>
      </c>
      <c r="L65" s="6">
        <f t="shared" si="5"/>
        <v>15450</v>
      </c>
      <c r="M65" s="6">
        <f t="shared" si="6"/>
        <v>2</v>
      </c>
      <c r="N65" s="7">
        <f t="shared" si="7"/>
        <v>15.037593984962406</v>
      </c>
      <c r="P65" s="7">
        <f t="shared" si="13"/>
        <v>6.3000000000000035E-3</v>
      </c>
      <c r="Q65" s="7">
        <f t="shared" si="8"/>
        <v>15.043893984962406</v>
      </c>
    </row>
    <row r="66" spans="1:17" x14ac:dyDescent="0.25">
      <c r="A66">
        <v>15452</v>
      </c>
      <c r="B66">
        <f>VLOOKUP($A66,June!$E:$O,11,FALSE)</f>
        <v>5</v>
      </c>
      <c r="C66">
        <f>VLOOKUP($A66,May!$E:$F,2,FALSE)</f>
        <v>0</v>
      </c>
      <c r="D66">
        <f>VLOOKUP($A66,June!$E:$F,2,FALSE)</f>
        <v>0</v>
      </c>
      <c r="E66" s="7" t="e">
        <f t="shared" si="1"/>
        <v>#DIV/0!</v>
      </c>
      <c r="G66" t="str">
        <f t="shared" si="2"/>
        <v>N</v>
      </c>
      <c r="H66" t="str">
        <f t="shared" si="3"/>
        <v/>
      </c>
      <c r="I66" t="str">
        <f t="shared" si="4"/>
        <v/>
      </c>
      <c r="K66" s="6" t="str">
        <f t="shared" si="14"/>
        <v/>
      </c>
      <c r="L66" s="6" t="str">
        <f t="shared" si="5"/>
        <v/>
      </c>
      <c r="M66" s="6" t="str">
        <f t="shared" si="6"/>
        <v/>
      </c>
      <c r="N66" s="7" t="str">
        <f t="shared" si="7"/>
        <v/>
      </c>
      <c r="P66" s="7">
        <f t="shared" si="13"/>
        <v>6.4000000000000038E-3</v>
      </c>
      <c r="Q66" s="7" t="str">
        <f t="shared" si="8"/>
        <v/>
      </c>
    </row>
    <row r="67" spans="1:17" x14ac:dyDescent="0.25">
      <c r="A67">
        <v>15609</v>
      </c>
      <c r="B67">
        <f>VLOOKUP($A67,June!$E:$O,11,FALSE)</f>
        <v>2</v>
      </c>
      <c r="C67">
        <f>VLOOKUP($A67,May!$E:$F,2,FALSE)</f>
        <v>99</v>
      </c>
      <c r="D67">
        <f>VLOOKUP($A67,June!$E:$F,2,FALSE)</f>
        <v>0</v>
      </c>
      <c r="E67" s="7">
        <f t="shared" si="1"/>
        <v>-100</v>
      </c>
      <c r="G67" t="str">
        <f t="shared" si="2"/>
        <v>N</v>
      </c>
      <c r="H67" t="str">
        <f t="shared" si="3"/>
        <v/>
      </c>
      <c r="I67" t="str">
        <f t="shared" si="4"/>
        <v/>
      </c>
      <c r="K67" s="6" t="str">
        <f t="shared" ref="K67:K98" si="15">_xlfn.IFNA(IF(G67="Y",RANK(Q67,$Q$3:$Q$127),""),"")</f>
        <v/>
      </c>
      <c r="L67" s="6" t="str">
        <f t="shared" si="5"/>
        <v/>
      </c>
      <c r="M67" s="6" t="str">
        <f t="shared" si="6"/>
        <v/>
      </c>
      <c r="N67" s="7" t="str">
        <f t="shared" si="7"/>
        <v/>
      </c>
      <c r="P67" s="7">
        <f t="shared" si="13"/>
        <v>6.500000000000004E-3</v>
      </c>
      <c r="Q67" s="7" t="str">
        <f t="shared" si="8"/>
        <v/>
      </c>
    </row>
    <row r="68" spans="1:17" x14ac:dyDescent="0.25">
      <c r="A68">
        <v>15671</v>
      </c>
      <c r="B68">
        <f>VLOOKUP($A68,June!$E:$O,11,FALSE)</f>
        <v>11</v>
      </c>
      <c r="C68">
        <f>VLOOKUP($A68,May!$E:$F,2,FALSE)</f>
        <v>64</v>
      </c>
      <c r="D68">
        <f>VLOOKUP($A68,June!$E:$F,2,FALSE)</f>
        <v>0</v>
      </c>
      <c r="E68" s="7">
        <f t="shared" ref="E68:E127" si="16">100*((D68/C68)-1)</f>
        <v>-100</v>
      </c>
      <c r="G68" t="str">
        <f t="shared" ref="G68:G127" si="17">_xlfn.IFNA(IF(AND(C68&gt;0,D68&gt;0),"Y","N"),"N")</f>
        <v>N</v>
      </c>
      <c r="H68" t="str">
        <f t="shared" ref="H68:H127" si="18">_xlfn.IFNA(IF($G68="Y",C68,""),"")</f>
        <v/>
      </c>
      <c r="I68" t="str">
        <f t="shared" ref="I68:I127" si="19">_xlfn.IFNA(IF($G68="Y",D68,""),"")</f>
        <v/>
      </c>
      <c r="K68" s="6" t="str">
        <f t="shared" si="15"/>
        <v/>
      </c>
      <c r="L68" s="6" t="str">
        <f t="shared" ref="L68:L127" si="20">_xlfn.IFNA(IF(G68="Y",A68,""),"")</f>
        <v/>
      </c>
      <c r="M68" s="6" t="str">
        <f t="shared" ref="M68:M127" si="21">_xlfn.IFNA(IF(G68="Y",B68,""),"")</f>
        <v/>
      </c>
      <c r="N68" s="7" t="str">
        <f t="shared" ref="N68:N127" si="22">_xlfn.IFNA(IF(G68="Y",100*((I68/H68)-1),""),"")</f>
        <v/>
      </c>
      <c r="P68" s="7">
        <f t="shared" si="13"/>
        <v>6.6000000000000043E-3</v>
      </c>
      <c r="Q68" s="7" t="str">
        <f t="shared" ref="Q68:Q127" si="23">_xlfn.IFNA(IF(G68="Y",N68+P68,""),"")</f>
        <v/>
      </c>
    </row>
    <row r="69" spans="1:17" x14ac:dyDescent="0.25">
      <c r="A69">
        <v>15689</v>
      </c>
      <c r="B69">
        <f>VLOOKUP($A69,June!$E:$O,11,FALSE)</f>
        <v>13</v>
      </c>
      <c r="C69">
        <f>VLOOKUP($A69,May!$E:$F,2,FALSE)</f>
        <v>0</v>
      </c>
      <c r="D69">
        <f>VLOOKUP($A69,June!$E:$F,2,FALSE)</f>
        <v>0</v>
      </c>
      <c r="E69" s="7" t="e">
        <f t="shared" si="16"/>
        <v>#DIV/0!</v>
      </c>
      <c r="G69" t="str">
        <f t="shared" si="17"/>
        <v>N</v>
      </c>
      <c r="H69" t="str">
        <f t="shared" si="18"/>
        <v/>
      </c>
      <c r="I69" t="str">
        <f t="shared" si="19"/>
        <v/>
      </c>
      <c r="K69" s="6" t="str">
        <f t="shared" si="15"/>
        <v/>
      </c>
      <c r="L69" s="6" t="str">
        <f t="shared" si="20"/>
        <v/>
      </c>
      <c r="M69" s="6" t="str">
        <f t="shared" si="21"/>
        <v/>
      </c>
      <c r="N69" s="7" t="str">
        <f t="shared" si="22"/>
        <v/>
      </c>
      <c r="P69" s="7">
        <f t="shared" ref="P69:P127" si="24">P68+0.0001</f>
        <v>6.7000000000000046E-3</v>
      </c>
      <c r="Q69" s="7" t="str">
        <f t="shared" si="23"/>
        <v/>
      </c>
    </row>
    <row r="70" spans="1:17" x14ac:dyDescent="0.25">
      <c r="A70">
        <v>16040</v>
      </c>
      <c r="B70">
        <f>VLOOKUP($A70,June!$E:$O,11,FALSE)</f>
        <v>6</v>
      </c>
      <c r="C70">
        <f>VLOOKUP($A70,May!$E:$F,2,FALSE)</f>
        <v>0</v>
      </c>
      <c r="D70">
        <f>VLOOKUP($A70,June!$E:$F,2,FALSE)</f>
        <v>228.99</v>
      </c>
      <c r="E70" s="7" t="e">
        <f t="shared" si="16"/>
        <v>#DIV/0!</v>
      </c>
      <c r="G70" t="str">
        <f t="shared" si="17"/>
        <v>N</v>
      </c>
      <c r="H70" t="str">
        <f t="shared" si="18"/>
        <v/>
      </c>
      <c r="I70" t="str">
        <f t="shared" si="19"/>
        <v/>
      </c>
      <c r="K70" s="6" t="str">
        <f t="shared" si="15"/>
        <v/>
      </c>
      <c r="L70" s="6" t="str">
        <f t="shared" si="20"/>
        <v/>
      </c>
      <c r="M70" s="6" t="str">
        <f t="shared" si="21"/>
        <v/>
      </c>
      <c r="N70" s="7" t="str">
        <f t="shared" si="22"/>
        <v/>
      </c>
      <c r="P70" s="7">
        <f t="shared" si="24"/>
        <v>6.8000000000000048E-3</v>
      </c>
      <c r="Q70" s="7" t="str">
        <f t="shared" si="23"/>
        <v/>
      </c>
    </row>
    <row r="71" spans="1:17" x14ac:dyDescent="0.25">
      <c r="A71">
        <v>16063</v>
      </c>
      <c r="B71">
        <f>VLOOKUP($A71,June!$E:$O,11,FALSE)</f>
        <v>5</v>
      </c>
      <c r="C71">
        <f>VLOOKUP($A71,May!$E:$F,2,FALSE)</f>
        <v>75</v>
      </c>
      <c r="D71">
        <f>VLOOKUP($A71,June!$E:$F,2,FALSE)</f>
        <v>70</v>
      </c>
      <c r="E71" s="7">
        <f t="shared" si="16"/>
        <v>-6.6666666666666652</v>
      </c>
      <c r="G71" t="str">
        <f t="shared" si="17"/>
        <v>Y</v>
      </c>
      <c r="H71">
        <f t="shared" si="18"/>
        <v>75</v>
      </c>
      <c r="I71">
        <f t="shared" si="19"/>
        <v>70</v>
      </c>
      <c r="K71" s="6">
        <f t="shared" si="15"/>
        <v>23</v>
      </c>
      <c r="L71" s="6">
        <f t="shared" si="20"/>
        <v>16063</v>
      </c>
      <c r="M71" s="6">
        <f t="shared" si="21"/>
        <v>5</v>
      </c>
      <c r="N71" s="7">
        <f t="shared" si="22"/>
        <v>-6.6666666666666652</v>
      </c>
      <c r="P71" s="7">
        <f t="shared" si="24"/>
        <v>6.9000000000000051E-3</v>
      </c>
      <c r="Q71" s="7">
        <f t="shared" si="23"/>
        <v>-6.6597666666666653</v>
      </c>
    </row>
    <row r="72" spans="1:17" x14ac:dyDescent="0.25">
      <c r="A72">
        <v>16065</v>
      </c>
      <c r="B72">
        <f>VLOOKUP($A72,June!$E:$O,11,FALSE)</f>
        <v>5</v>
      </c>
      <c r="C72">
        <f>VLOOKUP($A72,May!$E:$F,2,FALSE)</f>
        <v>142.99</v>
      </c>
      <c r="D72">
        <f>VLOOKUP($A72,June!$E:$F,2,FALSE)</f>
        <v>0</v>
      </c>
      <c r="E72" s="7">
        <f t="shared" si="16"/>
        <v>-100</v>
      </c>
      <c r="G72" t="str">
        <f t="shared" si="17"/>
        <v>N</v>
      </c>
      <c r="H72" t="str">
        <f t="shared" si="18"/>
        <v/>
      </c>
      <c r="I72" t="str">
        <f t="shared" si="19"/>
        <v/>
      </c>
      <c r="K72" s="6" t="str">
        <f t="shared" si="15"/>
        <v/>
      </c>
      <c r="L72" s="6" t="str">
        <f t="shared" si="20"/>
        <v/>
      </c>
      <c r="M72" s="6" t="str">
        <f t="shared" si="21"/>
        <v/>
      </c>
      <c r="N72" s="7" t="str">
        <f t="shared" si="22"/>
        <v/>
      </c>
      <c r="P72" s="7">
        <f t="shared" si="24"/>
        <v>7.0000000000000053E-3</v>
      </c>
      <c r="Q72" s="7" t="str">
        <f t="shared" si="23"/>
        <v/>
      </c>
    </row>
    <row r="73" spans="1:17" x14ac:dyDescent="0.25">
      <c r="A73">
        <v>16067</v>
      </c>
      <c r="B73">
        <f>VLOOKUP($A73,June!$E:$O,11,FALSE)</f>
        <v>10</v>
      </c>
      <c r="C73">
        <f>VLOOKUP($A73,May!$E:$F,2,FALSE)</f>
        <v>83.99</v>
      </c>
      <c r="D73">
        <f>VLOOKUP($A73,June!$E:$F,2,FALSE)</f>
        <v>0</v>
      </c>
      <c r="E73" s="7">
        <f t="shared" si="16"/>
        <v>-100</v>
      </c>
      <c r="G73" t="str">
        <f t="shared" si="17"/>
        <v>N</v>
      </c>
      <c r="H73" t="str">
        <f t="shared" si="18"/>
        <v/>
      </c>
      <c r="I73" t="str">
        <f t="shared" si="19"/>
        <v/>
      </c>
      <c r="K73" s="6" t="str">
        <f t="shared" si="15"/>
        <v/>
      </c>
      <c r="L73" s="6" t="str">
        <f t="shared" si="20"/>
        <v/>
      </c>
      <c r="M73" s="6" t="str">
        <f t="shared" si="21"/>
        <v/>
      </c>
      <c r="N73" s="7" t="str">
        <f t="shared" si="22"/>
        <v/>
      </c>
      <c r="P73" s="7">
        <f t="shared" si="24"/>
        <v>7.1000000000000056E-3</v>
      </c>
      <c r="Q73" s="7" t="str">
        <f t="shared" si="23"/>
        <v/>
      </c>
    </row>
    <row r="74" spans="1:17" x14ac:dyDescent="0.25">
      <c r="A74">
        <v>16103</v>
      </c>
      <c r="B74">
        <f>VLOOKUP($A74,June!$E:$O,11,FALSE)</f>
        <v>8</v>
      </c>
      <c r="C74">
        <f>VLOOKUP($A74,May!$E:$F,2,FALSE)</f>
        <v>0</v>
      </c>
      <c r="D74">
        <f>VLOOKUP($A74,June!$E:$F,2,FALSE)</f>
        <v>0</v>
      </c>
      <c r="E74" s="7" t="e">
        <f t="shared" si="16"/>
        <v>#DIV/0!</v>
      </c>
      <c r="G74" t="str">
        <f t="shared" si="17"/>
        <v>N</v>
      </c>
      <c r="H74" t="str">
        <f t="shared" si="18"/>
        <v/>
      </c>
      <c r="I74" t="str">
        <f t="shared" si="19"/>
        <v/>
      </c>
      <c r="K74" s="6" t="str">
        <f t="shared" si="15"/>
        <v/>
      </c>
      <c r="L74" s="6" t="str">
        <f t="shared" si="20"/>
        <v/>
      </c>
      <c r="M74" s="6" t="str">
        <f t="shared" si="21"/>
        <v/>
      </c>
      <c r="N74" s="7" t="str">
        <f t="shared" si="22"/>
        <v/>
      </c>
      <c r="P74" s="7">
        <f t="shared" si="24"/>
        <v>7.2000000000000059E-3</v>
      </c>
      <c r="Q74" s="7" t="str">
        <f t="shared" si="23"/>
        <v/>
      </c>
    </row>
    <row r="75" spans="1:17" x14ac:dyDescent="0.25">
      <c r="A75">
        <v>16107</v>
      </c>
      <c r="B75">
        <f>VLOOKUP($A75,June!$E:$O,11,FALSE)</f>
        <v>12</v>
      </c>
      <c r="C75">
        <f>VLOOKUP($A75,May!$E:$F,2,FALSE)</f>
        <v>264.99</v>
      </c>
      <c r="D75">
        <f>VLOOKUP($A75,June!$E:$F,2,FALSE)</f>
        <v>244.99</v>
      </c>
      <c r="E75" s="7">
        <f t="shared" si="16"/>
        <v>-7.5474546209290949</v>
      </c>
      <c r="G75" t="str">
        <f t="shared" si="17"/>
        <v>Y</v>
      </c>
      <c r="H75">
        <f t="shared" si="18"/>
        <v>264.99</v>
      </c>
      <c r="I75">
        <f t="shared" si="19"/>
        <v>244.99</v>
      </c>
      <c r="K75" s="6">
        <f t="shared" si="15"/>
        <v>24</v>
      </c>
      <c r="L75" s="6">
        <f t="shared" si="20"/>
        <v>16107</v>
      </c>
      <c r="M75" s="6">
        <f t="shared" si="21"/>
        <v>12</v>
      </c>
      <c r="N75" s="7">
        <f t="shared" si="22"/>
        <v>-7.5474546209290949</v>
      </c>
      <c r="P75" s="7">
        <f t="shared" si="24"/>
        <v>7.3000000000000061E-3</v>
      </c>
      <c r="Q75" s="7">
        <f t="shared" si="23"/>
        <v>-7.5401546209290951</v>
      </c>
    </row>
    <row r="76" spans="1:17" x14ac:dyDescent="0.25">
      <c r="A76">
        <v>16111</v>
      </c>
      <c r="B76">
        <f>VLOOKUP($A76,June!$E:$O,11,FALSE)</f>
        <v>9</v>
      </c>
      <c r="C76">
        <f>VLOOKUP($A76,May!$E:$F,2,FALSE)</f>
        <v>109.75</v>
      </c>
      <c r="D76">
        <f>VLOOKUP($A76,June!$E:$F,2,FALSE)</f>
        <v>0</v>
      </c>
      <c r="E76" s="7">
        <f t="shared" si="16"/>
        <v>-100</v>
      </c>
      <c r="G76" t="str">
        <f t="shared" si="17"/>
        <v>N</v>
      </c>
      <c r="H76" t="str">
        <f t="shared" si="18"/>
        <v/>
      </c>
      <c r="I76" t="str">
        <f t="shared" si="19"/>
        <v/>
      </c>
      <c r="K76" s="6" t="str">
        <f t="shared" si="15"/>
        <v/>
      </c>
      <c r="L76" s="6" t="str">
        <f t="shared" si="20"/>
        <v/>
      </c>
      <c r="M76" s="6" t="str">
        <f t="shared" si="21"/>
        <v/>
      </c>
      <c r="N76" s="7" t="str">
        <f t="shared" si="22"/>
        <v/>
      </c>
      <c r="P76" s="7">
        <f t="shared" si="24"/>
        <v>7.4000000000000064E-3</v>
      </c>
      <c r="Q76" s="7" t="str">
        <f t="shared" si="23"/>
        <v/>
      </c>
    </row>
    <row r="77" spans="1:17" x14ac:dyDescent="0.25">
      <c r="A77">
        <v>16123</v>
      </c>
      <c r="B77">
        <f>VLOOKUP($A77,June!$E:$O,11,FALSE)</f>
        <v>12</v>
      </c>
      <c r="C77">
        <f>VLOOKUP($A77,May!$E:$F,2,FALSE)</f>
        <v>0</v>
      </c>
      <c r="D77">
        <f>VLOOKUP($A77,June!$E:$F,2,FALSE)</f>
        <v>0</v>
      </c>
      <c r="E77" s="7" t="e">
        <f t="shared" si="16"/>
        <v>#DIV/0!</v>
      </c>
      <c r="G77" t="str">
        <f t="shared" si="17"/>
        <v>N</v>
      </c>
      <c r="H77" t="str">
        <f t="shared" si="18"/>
        <v/>
      </c>
      <c r="I77" t="str">
        <f t="shared" si="19"/>
        <v/>
      </c>
      <c r="K77" s="6" t="str">
        <f t="shared" si="15"/>
        <v/>
      </c>
      <c r="L77" s="6" t="str">
        <f t="shared" si="20"/>
        <v/>
      </c>
      <c r="M77" s="6" t="str">
        <f t="shared" si="21"/>
        <v/>
      </c>
      <c r="N77" s="7" t="str">
        <f t="shared" si="22"/>
        <v/>
      </c>
      <c r="P77" s="7">
        <f t="shared" si="24"/>
        <v>7.5000000000000067E-3</v>
      </c>
      <c r="Q77" s="7" t="str">
        <f t="shared" si="23"/>
        <v/>
      </c>
    </row>
    <row r="78" spans="1:17" x14ac:dyDescent="0.25">
      <c r="A78">
        <v>16386</v>
      </c>
      <c r="B78">
        <f>VLOOKUP($A78,June!$E:$O,11,FALSE)</f>
        <v>6</v>
      </c>
      <c r="C78">
        <f>VLOOKUP($A78,May!$E:$F,2,FALSE)</f>
        <v>160</v>
      </c>
      <c r="D78">
        <f>VLOOKUP($A78,June!$E:$F,2,FALSE)</f>
        <v>0</v>
      </c>
      <c r="E78" s="7">
        <f t="shared" si="16"/>
        <v>-100</v>
      </c>
      <c r="G78" t="str">
        <f t="shared" si="17"/>
        <v>N</v>
      </c>
      <c r="H78" t="str">
        <f t="shared" si="18"/>
        <v/>
      </c>
      <c r="I78" t="str">
        <f t="shared" si="19"/>
        <v/>
      </c>
      <c r="K78" s="6" t="str">
        <f t="shared" si="15"/>
        <v/>
      </c>
      <c r="L78" s="6" t="str">
        <f t="shared" si="20"/>
        <v/>
      </c>
      <c r="M78" s="6" t="str">
        <f t="shared" si="21"/>
        <v/>
      </c>
      <c r="N78" s="7" t="str">
        <f t="shared" si="22"/>
        <v/>
      </c>
      <c r="P78" s="7">
        <f t="shared" si="24"/>
        <v>7.6000000000000069E-3</v>
      </c>
      <c r="Q78" s="7" t="str">
        <f t="shared" si="23"/>
        <v/>
      </c>
    </row>
    <row r="79" spans="1:17" x14ac:dyDescent="0.25">
      <c r="A79">
        <v>16387</v>
      </c>
      <c r="B79">
        <f>VLOOKUP($A79,June!$E:$O,11,FALSE)</f>
        <v>4</v>
      </c>
      <c r="C79">
        <f>VLOOKUP($A79,May!$E:$F,2,FALSE)</f>
        <v>90</v>
      </c>
      <c r="D79">
        <f>VLOOKUP($A79,June!$E:$F,2,FALSE)</f>
        <v>90.9</v>
      </c>
      <c r="E79" s="7">
        <f t="shared" si="16"/>
        <v>1.0000000000000009</v>
      </c>
      <c r="G79" t="str">
        <f t="shared" si="17"/>
        <v>Y</v>
      </c>
      <c r="H79">
        <f t="shared" si="18"/>
        <v>90</v>
      </c>
      <c r="I79">
        <f t="shared" si="19"/>
        <v>90.9</v>
      </c>
      <c r="K79" s="6">
        <f t="shared" si="15"/>
        <v>13</v>
      </c>
      <c r="L79" s="6">
        <f t="shared" si="20"/>
        <v>16387</v>
      </c>
      <c r="M79" s="6">
        <f t="shared" si="21"/>
        <v>4</v>
      </c>
      <c r="N79" s="7">
        <f t="shared" si="22"/>
        <v>1.0000000000000009</v>
      </c>
      <c r="P79" s="7">
        <f t="shared" si="24"/>
        <v>7.7000000000000072E-3</v>
      </c>
      <c r="Q79" s="7">
        <f t="shared" si="23"/>
        <v>1.0077000000000009</v>
      </c>
    </row>
    <row r="80" spans="1:17" x14ac:dyDescent="0.25">
      <c r="A80">
        <v>16599</v>
      </c>
      <c r="B80">
        <f>VLOOKUP($A80,June!$E:$O,11,FALSE)</f>
        <v>3</v>
      </c>
      <c r="C80">
        <f>VLOOKUP($A80,May!$E:$F,2,FALSE)</f>
        <v>85</v>
      </c>
      <c r="D80">
        <f>VLOOKUP($A80,June!$E:$F,2,FALSE)</f>
        <v>55</v>
      </c>
      <c r="E80" s="7">
        <f t="shared" si="16"/>
        <v>-35.294117647058819</v>
      </c>
      <c r="G80" t="str">
        <f t="shared" si="17"/>
        <v>Y</v>
      </c>
      <c r="H80">
        <f t="shared" si="18"/>
        <v>85</v>
      </c>
      <c r="I80">
        <f t="shared" si="19"/>
        <v>55</v>
      </c>
      <c r="K80" s="6">
        <f t="shared" si="15"/>
        <v>32</v>
      </c>
      <c r="L80" s="6">
        <f t="shared" si="20"/>
        <v>16599</v>
      </c>
      <c r="M80" s="6">
        <f t="shared" si="21"/>
        <v>3</v>
      </c>
      <c r="N80" s="7">
        <f t="shared" si="22"/>
        <v>-35.294117647058819</v>
      </c>
      <c r="P80" s="7">
        <f t="shared" si="24"/>
        <v>7.8000000000000074E-3</v>
      </c>
      <c r="Q80" s="7">
        <f t="shared" si="23"/>
        <v>-35.286317647058816</v>
      </c>
    </row>
    <row r="81" spans="1:17" x14ac:dyDescent="0.25">
      <c r="A81">
        <v>18012</v>
      </c>
      <c r="B81">
        <f>VLOOKUP($A81,June!$E:$O,11,FALSE)</f>
        <v>2</v>
      </c>
      <c r="C81">
        <f>VLOOKUP($A81,May!$E:$F,2,FALSE)</f>
        <v>0</v>
      </c>
      <c r="D81">
        <f>VLOOKUP($A81,June!$E:$F,2,FALSE)</f>
        <v>0</v>
      </c>
      <c r="E81" s="7" t="e">
        <f t="shared" si="16"/>
        <v>#DIV/0!</v>
      </c>
      <c r="G81" t="str">
        <f t="shared" si="17"/>
        <v>N</v>
      </c>
      <c r="H81" t="str">
        <f t="shared" si="18"/>
        <v/>
      </c>
      <c r="I81" t="str">
        <f t="shared" si="19"/>
        <v/>
      </c>
      <c r="K81" s="6" t="str">
        <f t="shared" si="15"/>
        <v/>
      </c>
      <c r="L81" s="6" t="str">
        <f t="shared" si="20"/>
        <v/>
      </c>
      <c r="M81" s="6" t="str">
        <f t="shared" si="21"/>
        <v/>
      </c>
      <c r="N81" s="7" t="str">
        <f t="shared" si="22"/>
        <v/>
      </c>
      <c r="P81" s="7">
        <f t="shared" si="24"/>
        <v>7.9000000000000077E-3</v>
      </c>
      <c r="Q81" s="7" t="str">
        <f t="shared" si="23"/>
        <v/>
      </c>
    </row>
    <row r="82" spans="1:17" x14ac:dyDescent="0.25">
      <c r="A82">
        <v>18013</v>
      </c>
      <c r="B82">
        <f>VLOOKUP($A82,June!$E:$O,11,FALSE)</f>
        <v>2</v>
      </c>
      <c r="C82">
        <f>VLOOKUP($A82,May!$E:$F,2,FALSE)</f>
        <v>50</v>
      </c>
      <c r="D82">
        <f>VLOOKUP($A82,June!$E:$F,2,FALSE)</f>
        <v>0</v>
      </c>
      <c r="E82" s="7">
        <f t="shared" si="16"/>
        <v>-100</v>
      </c>
      <c r="G82" t="str">
        <f t="shared" si="17"/>
        <v>N</v>
      </c>
      <c r="H82" t="str">
        <f t="shared" si="18"/>
        <v/>
      </c>
      <c r="I82" t="str">
        <f t="shared" si="19"/>
        <v/>
      </c>
      <c r="K82" s="6" t="str">
        <f t="shared" si="15"/>
        <v/>
      </c>
      <c r="L82" s="6" t="str">
        <f t="shared" si="20"/>
        <v/>
      </c>
      <c r="M82" s="6" t="str">
        <f t="shared" si="21"/>
        <v/>
      </c>
      <c r="N82" s="7" t="str">
        <f t="shared" si="22"/>
        <v/>
      </c>
      <c r="P82" s="7">
        <f t="shared" si="24"/>
        <v>8.0000000000000071E-3</v>
      </c>
      <c r="Q82" s="7" t="str">
        <f t="shared" si="23"/>
        <v/>
      </c>
    </row>
    <row r="83" spans="1:17" x14ac:dyDescent="0.25">
      <c r="A83">
        <v>18015</v>
      </c>
      <c r="B83">
        <f>VLOOKUP($A83,June!$E:$O,11,FALSE)</f>
        <v>3</v>
      </c>
      <c r="C83">
        <f>VLOOKUP($A83,May!$E:$F,2,FALSE)</f>
        <v>0</v>
      </c>
      <c r="D83">
        <f>VLOOKUP($A83,June!$E:$F,2,FALSE)</f>
        <v>0</v>
      </c>
      <c r="E83" s="7" t="e">
        <f t="shared" si="16"/>
        <v>#DIV/0!</v>
      </c>
      <c r="G83" t="str">
        <f t="shared" si="17"/>
        <v>N</v>
      </c>
      <c r="H83" t="str">
        <f t="shared" si="18"/>
        <v/>
      </c>
      <c r="I83" t="str">
        <f t="shared" si="19"/>
        <v/>
      </c>
      <c r="K83" s="6" t="str">
        <f t="shared" si="15"/>
        <v/>
      </c>
      <c r="L83" s="6" t="str">
        <f t="shared" si="20"/>
        <v/>
      </c>
      <c r="M83" s="6" t="str">
        <f t="shared" si="21"/>
        <v/>
      </c>
      <c r="N83" s="7" t="str">
        <f t="shared" si="22"/>
        <v/>
      </c>
      <c r="P83" s="7">
        <f t="shared" si="24"/>
        <v>8.1000000000000065E-3</v>
      </c>
      <c r="Q83" s="7" t="str">
        <f t="shared" si="23"/>
        <v/>
      </c>
    </row>
    <row r="84" spans="1:17" x14ac:dyDescent="0.25">
      <c r="A84">
        <v>18016</v>
      </c>
      <c r="B84">
        <f>VLOOKUP($A84,June!$E:$O,11,FALSE)</f>
        <v>9</v>
      </c>
      <c r="C84">
        <f>VLOOKUP($A84,May!$E:$F,2,FALSE)</f>
        <v>0</v>
      </c>
      <c r="D84">
        <f>VLOOKUP($A84,June!$E:$F,2,FALSE)</f>
        <v>57</v>
      </c>
      <c r="E84" s="7" t="e">
        <f t="shared" si="16"/>
        <v>#DIV/0!</v>
      </c>
      <c r="G84" t="str">
        <f t="shared" si="17"/>
        <v>N</v>
      </c>
      <c r="H84" t="str">
        <f t="shared" si="18"/>
        <v/>
      </c>
      <c r="I84" t="str">
        <f t="shared" si="19"/>
        <v/>
      </c>
      <c r="K84" s="6" t="str">
        <f t="shared" si="15"/>
        <v/>
      </c>
      <c r="L84" s="6" t="str">
        <f t="shared" si="20"/>
        <v/>
      </c>
      <c r="M84" s="6" t="str">
        <f t="shared" si="21"/>
        <v/>
      </c>
      <c r="N84" s="7" t="str">
        <f t="shared" si="22"/>
        <v/>
      </c>
      <c r="P84" s="7">
        <f t="shared" si="24"/>
        <v>8.2000000000000059E-3</v>
      </c>
      <c r="Q84" s="7" t="str">
        <f t="shared" si="23"/>
        <v/>
      </c>
    </row>
    <row r="85" spans="1:17" x14ac:dyDescent="0.25">
      <c r="A85">
        <v>18017</v>
      </c>
      <c r="B85">
        <f>VLOOKUP($A85,June!$E:$O,11,FALSE)</f>
        <v>7</v>
      </c>
      <c r="C85">
        <f>VLOOKUP($A85,May!$E:$F,2,FALSE)</f>
        <v>0</v>
      </c>
      <c r="D85">
        <f>VLOOKUP($A85,June!$E:$F,2,FALSE)</f>
        <v>0</v>
      </c>
      <c r="E85" s="7" t="e">
        <f t="shared" si="16"/>
        <v>#DIV/0!</v>
      </c>
      <c r="G85" t="str">
        <f t="shared" si="17"/>
        <v>N</v>
      </c>
      <c r="H85" t="str">
        <f t="shared" si="18"/>
        <v/>
      </c>
      <c r="I85" t="str">
        <f t="shared" si="19"/>
        <v/>
      </c>
      <c r="K85" s="6" t="str">
        <f t="shared" si="15"/>
        <v/>
      </c>
      <c r="L85" s="6" t="str">
        <f t="shared" si="20"/>
        <v/>
      </c>
      <c r="M85" s="6" t="str">
        <f t="shared" si="21"/>
        <v/>
      </c>
      <c r="N85" s="7" t="str">
        <f t="shared" si="22"/>
        <v/>
      </c>
      <c r="P85" s="7">
        <f t="shared" si="24"/>
        <v>8.3000000000000053E-3</v>
      </c>
      <c r="Q85" s="7" t="str">
        <f t="shared" si="23"/>
        <v/>
      </c>
    </row>
    <row r="86" spans="1:17" x14ac:dyDescent="0.25">
      <c r="A86">
        <v>18019</v>
      </c>
      <c r="B86">
        <f>VLOOKUP($A86,June!$E:$O,11,FALSE)</f>
        <v>5</v>
      </c>
      <c r="C86">
        <f>VLOOKUP($A86,May!$E:$F,2,FALSE)</f>
        <v>0</v>
      </c>
      <c r="D86">
        <f>VLOOKUP($A86,June!$E:$F,2,FALSE)</f>
        <v>298</v>
      </c>
      <c r="E86" s="7" t="e">
        <f t="shared" si="16"/>
        <v>#DIV/0!</v>
      </c>
      <c r="G86" t="str">
        <f t="shared" si="17"/>
        <v>N</v>
      </c>
      <c r="H86" t="str">
        <f t="shared" si="18"/>
        <v/>
      </c>
      <c r="I86" t="str">
        <f t="shared" si="19"/>
        <v/>
      </c>
      <c r="K86" s="6" t="str">
        <f t="shared" si="15"/>
        <v/>
      </c>
      <c r="L86" s="6" t="str">
        <f t="shared" si="20"/>
        <v/>
      </c>
      <c r="M86" s="6" t="str">
        <f t="shared" si="21"/>
        <v/>
      </c>
      <c r="N86" s="7" t="str">
        <f t="shared" si="22"/>
        <v/>
      </c>
      <c r="P86" s="7">
        <f t="shared" si="24"/>
        <v>8.4000000000000047E-3</v>
      </c>
      <c r="Q86" s="7" t="str">
        <f t="shared" si="23"/>
        <v/>
      </c>
    </row>
    <row r="87" spans="1:17" x14ac:dyDescent="0.25">
      <c r="A87">
        <v>18020</v>
      </c>
      <c r="B87">
        <f>VLOOKUP($A87,June!$E:$O,11,FALSE)</f>
        <v>6</v>
      </c>
      <c r="C87">
        <f>VLOOKUP($A87,May!$E:$F,2,FALSE)</f>
        <v>85</v>
      </c>
      <c r="D87">
        <f>VLOOKUP($A87,June!$E:$F,2,FALSE)</f>
        <v>54</v>
      </c>
      <c r="E87" s="7">
        <f t="shared" si="16"/>
        <v>-36.470588235294123</v>
      </c>
      <c r="G87" t="str">
        <f t="shared" si="17"/>
        <v>Y</v>
      </c>
      <c r="H87">
        <f t="shared" si="18"/>
        <v>85</v>
      </c>
      <c r="I87">
        <f t="shared" si="19"/>
        <v>54</v>
      </c>
      <c r="K87" s="6">
        <f t="shared" si="15"/>
        <v>33</v>
      </c>
      <c r="L87" s="6">
        <f t="shared" si="20"/>
        <v>18020</v>
      </c>
      <c r="M87" s="6">
        <f t="shared" si="21"/>
        <v>6</v>
      </c>
      <c r="N87" s="7">
        <f t="shared" si="22"/>
        <v>-36.470588235294123</v>
      </c>
      <c r="P87" s="7">
        <f t="shared" si="24"/>
        <v>8.5000000000000041E-3</v>
      </c>
      <c r="Q87" s="7">
        <f t="shared" si="23"/>
        <v>-36.462088235294125</v>
      </c>
    </row>
    <row r="88" spans="1:17" x14ac:dyDescent="0.25">
      <c r="A88">
        <v>18021</v>
      </c>
      <c r="B88">
        <f>VLOOKUP($A88,June!$E:$O,11,FALSE)</f>
        <v>2</v>
      </c>
      <c r="C88">
        <f>VLOOKUP($A88,May!$E:$F,2,FALSE)</f>
        <v>0</v>
      </c>
      <c r="D88">
        <f>VLOOKUP($A88,June!$E:$F,2,FALSE)</f>
        <v>0</v>
      </c>
      <c r="E88" s="7" t="e">
        <f t="shared" si="16"/>
        <v>#DIV/0!</v>
      </c>
      <c r="G88" t="str">
        <f t="shared" si="17"/>
        <v>N</v>
      </c>
      <c r="H88" t="str">
        <f t="shared" si="18"/>
        <v/>
      </c>
      <c r="I88" t="str">
        <f t="shared" si="19"/>
        <v/>
      </c>
      <c r="K88" s="6" t="str">
        <f t="shared" si="15"/>
        <v/>
      </c>
      <c r="L88" s="6" t="str">
        <f t="shared" si="20"/>
        <v/>
      </c>
      <c r="M88" s="6" t="str">
        <f t="shared" si="21"/>
        <v/>
      </c>
      <c r="N88" s="7" t="str">
        <f t="shared" si="22"/>
        <v/>
      </c>
      <c r="P88" s="7">
        <f t="shared" si="24"/>
        <v>8.6000000000000035E-3</v>
      </c>
      <c r="Q88" s="7" t="str">
        <f t="shared" si="23"/>
        <v/>
      </c>
    </row>
    <row r="89" spans="1:17" x14ac:dyDescent="0.25">
      <c r="A89">
        <v>18022</v>
      </c>
      <c r="B89">
        <f>VLOOKUP($A89,June!$E:$O,11,FALSE)</f>
        <v>13</v>
      </c>
      <c r="C89">
        <f>VLOOKUP($A89,May!$E:$F,2,FALSE)</f>
        <v>306</v>
      </c>
      <c r="D89">
        <f>VLOOKUP($A89,June!$E:$F,2,FALSE)</f>
        <v>0</v>
      </c>
      <c r="E89" s="7">
        <f t="shared" si="16"/>
        <v>-100</v>
      </c>
      <c r="G89" t="str">
        <f t="shared" si="17"/>
        <v>N</v>
      </c>
      <c r="H89" t="str">
        <f t="shared" si="18"/>
        <v/>
      </c>
      <c r="I89" t="str">
        <f t="shared" si="19"/>
        <v/>
      </c>
      <c r="K89" s="6" t="str">
        <f t="shared" si="15"/>
        <v/>
      </c>
      <c r="L89" s="6" t="str">
        <f t="shared" si="20"/>
        <v/>
      </c>
      <c r="M89" s="6" t="str">
        <f t="shared" si="21"/>
        <v/>
      </c>
      <c r="N89" s="7" t="str">
        <f t="shared" si="22"/>
        <v/>
      </c>
      <c r="P89" s="7">
        <f t="shared" si="24"/>
        <v>8.7000000000000029E-3</v>
      </c>
      <c r="Q89" s="7" t="str">
        <f t="shared" si="23"/>
        <v/>
      </c>
    </row>
    <row r="90" spans="1:17" x14ac:dyDescent="0.25">
      <c r="A90">
        <v>18023</v>
      </c>
      <c r="B90">
        <f>VLOOKUP($A90,June!$E:$O,11,FALSE)</f>
        <v>3</v>
      </c>
      <c r="C90">
        <f>VLOOKUP($A90,May!$E:$F,2,FALSE)</f>
        <v>181</v>
      </c>
      <c r="D90">
        <f>VLOOKUP($A90,June!$E:$F,2,FALSE)</f>
        <v>0</v>
      </c>
      <c r="E90" s="7">
        <f t="shared" si="16"/>
        <v>-100</v>
      </c>
      <c r="G90" t="str">
        <f t="shared" si="17"/>
        <v>N</v>
      </c>
      <c r="H90" t="str">
        <f t="shared" si="18"/>
        <v/>
      </c>
      <c r="I90" t="str">
        <f t="shared" si="19"/>
        <v/>
      </c>
      <c r="K90" s="6" t="str">
        <f t="shared" si="15"/>
        <v/>
      </c>
      <c r="L90" s="6" t="str">
        <f t="shared" si="20"/>
        <v/>
      </c>
      <c r="M90" s="6" t="str">
        <f t="shared" si="21"/>
        <v/>
      </c>
      <c r="N90" s="7" t="str">
        <f t="shared" si="22"/>
        <v/>
      </c>
      <c r="P90" s="7">
        <f t="shared" si="24"/>
        <v>8.8000000000000023E-3</v>
      </c>
      <c r="Q90" s="7" t="str">
        <f t="shared" si="23"/>
        <v/>
      </c>
    </row>
    <row r="91" spans="1:17" x14ac:dyDescent="0.25">
      <c r="A91">
        <v>18025</v>
      </c>
      <c r="B91">
        <f>VLOOKUP($A91,June!$E:$O,11,FALSE)</f>
        <v>8</v>
      </c>
      <c r="C91">
        <f>VLOOKUP($A91,May!$E:$F,2,FALSE)</f>
        <v>93</v>
      </c>
      <c r="D91">
        <f>VLOOKUP($A91,June!$E:$F,2,FALSE)</f>
        <v>0</v>
      </c>
      <c r="E91" s="7">
        <f t="shared" si="16"/>
        <v>-100</v>
      </c>
      <c r="G91" t="str">
        <f t="shared" si="17"/>
        <v>N</v>
      </c>
      <c r="H91" t="str">
        <f t="shared" si="18"/>
        <v/>
      </c>
      <c r="I91" t="str">
        <f t="shared" si="19"/>
        <v/>
      </c>
      <c r="K91" s="6" t="str">
        <f t="shared" si="15"/>
        <v/>
      </c>
      <c r="L91" s="6" t="str">
        <f t="shared" si="20"/>
        <v/>
      </c>
      <c r="M91" s="6" t="str">
        <f t="shared" si="21"/>
        <v/>
      </c>
      <c r="N91" s="7" t="str">
        <f t="shared" si="22"/>
        <v/>
      </c>
      <c r="P91" s="7">
        <f t="shared" si="24"/>
        <v>8.9000000000000017E-3</v>
      </c>
      <c r="Q91" s="7" t="str">
        <f t="shared" si="23"/>
        <v/>
      </c>
    </row>
    <row r="92" spans="1:17" x14ac:dyDescent="0.25">
      <c r="A92">
        <v>18026</v>
      </c>
      <c r="B92">
        <f>VLOOKUP($A92,June!$E:$O,11,FALSE)</f>
        <v>5</v>
      </c>
      <c r="C92">
        <f>VLOOKUP($A92,May!$E:$F,2,FALSE)</f>
        <v>0</v>
      </c>
      <c r="D92">
        <f>VLOOKUP($A92,June!$E:$F,2,FALSE)</f>
        <v>0</v>
      </c>
      <c r="E92" s="7" t="e">
        <f t="shared" si="16"/>
        <v>#DIV/0!</v>
      </c>
      <c r="G92" t="str">
        <f t="shared" si="17"/>
        <v>N</v>
      </c>
      <c r="H92" t="str">
        <f t="shared" si="18"/>
        <v/>
      </c>
      <c r="I92" t="str">
        <f t="shared" si="19"/>
        <v/>
      </c>
      <c r="K92" s="6" t="str">
        <f t="shared" si="15"/>
        <v/>
      </c>
      <c r="L92" s="6" t="str">
        <f t="shared" si="20"/>
        <v/>
      </c>
      <c r="M92" s="6" t="str">
        <f t="shared" si="21"/>
        <v/>
      </c>
      <c r="N92" s="7" t="str">
        <f t="shared" si="22"/>
        <v/>
      </c>
      <c r="P92" s="7">
        <f t="shared" si="24"/>
        <v>9.0000000000000011E-3</v>
      </c>
      <c r="Q92" s="7" t="str">
        <f t="shared" si="23"/>
        <v/>
      </c>
    </row>
    <row r="93" spans="1:17" x14ac:dyDescent="0.25">
      <c r="A93">
        <v>18027</v>
      </c>
      <c r="B93">
        <f>VLOOKUP($A93,June!$E:$O,11,FALSE)</f>
        <v>2</v>
      </c>
      <c r="C93">
        <f>VLOOKUP($A93,May!$E:$F,2,FALSE)</f>
        <v>106.74</v>
      </c>
      <c r="D93">
        <f>VLOOKUP($A93,June!$E:$F,2,FALSE)</f>
        <v>145.74</v>
      </c>
      <c r="E93" s="7">
        <f t="shared" si="16"/>
        <v>36.537380550871305</v>
      </c>
      <c r="G93" t="str">
        <f t="shared" si="17"/>
        <v>Y</v>
      </c>
      <c r="H93">
        <f t="shared" si="18"/>
        <v>106.74</v>
      </c>
      <c r="I93">
        <f t="shared" si="19"/>
        <v>145.74</v>
      </c>
      <c r="K93" s="6">
        <f t="shared" si="15"/>
        <v>4</v>
      </c>
      <c r="L93" s="6">
        <f t="shared" si="20"/>
        <v>18027</v>
      </c>
      <c r="M93" s="6">
        <f t="shared" si="21"/>
        <v>2</v>
      </c>
      <c r="N93" s="7">
        <f t="shared" si="22"/>
        <v>36.537380550871305</v>
      </c>
      <c r="P93" s="7">
        <f t="shared" si="24"/>
        <v>9.1000000000000004E-3</v>
      </c>
      <c r="Q93" s="7">
        <f t="shared" si="23"/>
        <v>36.546480550871301</v>
      </c>
    </row>
    <row r="94" spans="1:17" x14ac:dyDescent="0.25">
      <c r="A94">
        <v>18028</v>
      </c>
      <c r="B94">
        <f>VLOOKUP($A94,June!$E:$O,11,FALSE)</f>
        <v>3</v>
      </c>
      <c r="C94">
        <f>VLOOKUP($A94,May!$E:$F,2,FALSE)</f>
        <v>110</v>
      </c>
      <c r="D94">
        <f>VLOOKUP($A94,June!$E:$F,2,FALSE)</f>
        <v>0</v>
      </c>
      <c r="E94" s="7">
        <f t="shared" si="16"/>
        <v>-100</v>
      </c>
      <c r="G94" t="str">
        <f t="shared" si="17"/>
        <v>N</v>
      </c>
      <c r="H94" t="str">
        <f t="shared" si="18"/>
        <v/>
      </c>
      <c r="I94" t="str">
        <f t="shared" si="19"/>
        <v/>
      </c>
      <c r="K94" s="6" t="str">
        <f t="shared" si="15"/>
        <v/>
      </c>
      <c r="L94" s="6" t="str">
        <f t="shared" si="20"/>
        <v/>
      </c>
      <c r="M94" s="6" t="str">
        <f t="shared" si="21"/>
        <v/>
      </c>
      <c r="N94" s="7" t="str">
        <f t="shared" si="22"/>
        <v/>
      </c>
      <c r="P94" s="7">
        <f t="shared" si="24"/>
        <v>9.1999999999999998E-3</v>
      </c>
      <c r="Q94" s="7" t="str">
        <f t="shared" si="23"/>
        <v/>
      </c>
    </row>
    <row r="95" spans="1:17" x14ac:dyDescent="0.25">
      <c r="A95">
        <v>18029</v>
      </c>
      <c r="B95">
        <f>VLOOKUP($A95,June!$E:$O,11,FALSE)</f>
        <v>4</v>
      </c>
      <c r="C95">
        <f>VLOOKUP($A95,May!$E:$F,2,FALSE)</f>
        <v>157.94</v>
      </c>
      <c r="D95">
        <f>VLOOKUP($A95,June!$E:$F,2,FALSE)</f>
        <v>0</v>
      </c>
      <c r="E95" s="7">
        <f t="shared" si="16"/>
        <v>-100</v>
      </c>
      <c r="G95" t="str">
        <f t="shared" si="17"/>
        <v>N</v>
      </c>
      <c r="H95" t="str">
        <f t="shared" si="18"/>
        <v/>
      </c>
      <c r="I95" t="str">
        <f t="shared" si="19"/>
        <v/>
      </c>
      <c r="K95" s="6" t="str">
        <f t="shared" si="15"/>
        <v/>
      </c>
      <c r="L95" s="6" t="str">
        <f t="shared" si="20"/>
        <v/>
      </c>
      <c r="M95" s="6" t="str">
        <f t="shared" si="21"/>
        <v/>
      </c>
      <c r="N95" s="7" t="str">
        <f t="shared" si="22"/>
        <v/>
      </c>
      <c r="P95" s="7">
        <f t="shared" si="24"/>
        <v>9.2999999999999992E-3</v>
      </c>
      <c r="Q95" s="7" t="str">
        <f t="shared" si="23"/>
        <v/>
      </c>
    </row>
    <row r="96" spans="1:17" x14ac:dyDescent="0.25">
      <c r="A96">
        <v>18030</v>
      </c>
      <c r="B96">
        <f>VLOOKUP($A96,June!$E:$O,11,FALSE)</f>
        <v>5</v>
      </c>
      <c r="C96">
        <f>VLOOKUP($A96,May!$E:$F,2,FALSE)</f>
        <v>0</v>
      </c>
      <c r="D96">
        <f>VLOOKUP($A96,June!$E:$F,2,FALSE)</f>
        <v>0</v>
      </c>
      <c r="E96" s="7" t="e">
        <f t="shared" si="16"/>
        <v>#DIV/0!</v>
      </c>
      <c r="G96" t="str">
        <f t="shared" si="17"/>
        <v>N</v>
      </c>
      <c r="H96" t="str">
        <f t="shared" si="18"/>
        <v/>
      </c>
      <c r="I96" t="str">
        <f t="shared" si="19"/>
        <v/>
      </c>
      <c r="K96" s="6" t="str">
        <f t="shared" si="15"/>
        <v/>
      </c>
      <c r="L96" s="6" t="str">
        <f t="shared" si="20"/>
        <v/>
      </c>
      <c r="M96" s="6" t="str">
        <f t="shared" si="21"/>
        <v/>
      </c>
      <c r="N96" s="7" t="str">
        <f t="shared" si="22"/>
        <v/>
      </c>
      <c r="P96" s="7">
        <f t="shared" si="24"/>
        <v>9.3999999999999986E-3</v>
      </c>
      <c r="Q96" s="7" t="str">
        <f t="shared" si="23"/>
        <v/>
      </c>
    </row>
    <row r="97" spans="1:17" x14ac:dyDescent="0.25">
      <c r="A97">
        <v>18031</v>
      </c>
      <c r="B97">
        <f>VLOOKUP($A97,June!$E:$O,11,FALSE)</f>
        <v>5</v>
      </c>
      <c r="C97">
        <f>VLOOKUP($A97,May!$E:$F,2,FALSE)</f>
        <v>115</v>
      </c>
      <c r="D97">
        <f>VLOOKUP($A97,June!$E:$F,2,FALSE)</f>
        <v>0</v>
      </c>
      <c r="E97" s="7">
        <f t="shared" si="16"/>
        <v>-100</v>
      </c>
      <c r="G97" t="str">
        <f t="shared" si="17"/>
        <v>N</v>
      </c>
      <c r="H97" t="str">
        <f t="shared" si="18"/>
        <v/>
      </c>
      <c r="I97" t="str">
        <f t="shared" si="19"/>
        <v/>
      </c>
      <c r="K97" s="6" t="str">
        <f t="shared" si="15"/>
        <v/>
      </c>
      <c r="L97" s="6" t="str">
        <f t="shared" si="20"/>
        <v/>
      </c>
      <c r="M97" s="6" t="str">
        <f t="shared" si="21"/>
        <v/>
      </c>
      <c r="N97" s="7" t="str">
        <f t="shared" si="22"/>
        <v/>
      </c>
      <c r="P97" s="7">
        <f t="shared" si="24"/>
        <v>9.499999999999998E-3</v>
      </c>
      <c r="Q97" s="7" t="str">
        <f t="shared" si="23"/>
        <v/>
      </c>
    </row>
    <row r="98" spans="1:17" x14ac:dyDescent="0.25">
      <c r="A98">
        <v>18032</v>
      </c>
      <c r="B98">
        <f>VLOOKUP($A98,June!$E:$O,11,FALSE)</f>
        <v>9</v>
      </c>
      <c r="C98">
        <f>VLOOKUP($A98,May!$E:$F,2,FALSE)</f>
        <v>0</v>
      </c>
      <c r="D98">
        <f>VLOOKUP($A98,June!$E:$F,2,FALSE)</f>
        <v>0</v>
      </c>
      <c r="E98" s="7" t="e">
        <f t="shared" si="16"/>
        <v>#DIV/0!</v>
      </c>
      <c r="G98" t="str">
        <f t="shared" si="17"/>
        <v>N</v>
      </c>
      <c r="H98" t="str">
        <f t="shared" si="18"/>
        <v/>
      </c>
      <c r="I98" t="str">
        <f t="shared" si="19"/>
        <v/>
      </c>
      <c r="K98" s="6" t="str">
        <f t="shared" si="15"/>
        <v/>
      </c>
      <c r="L98" s="6" t="str">
        <f t="shared" si="20"/>
        <v/>
      </c>
      <c r="M98" s="6" t="str">
        <f t="shared" si="21"/>
        <v/>
      </c>
      <c r="N98" s="7" t="str">
        <f t="shared" si="22"/>
        <v/>
      </c>
      <c r="P98" s="7">
        <f t="shared" si="24"/>
        <v>9.5999999999999974E-3</v>
      </c>
      <c r="Q98" s="7" t="str">
        <f t="shared" si="23"/>
        <v/>
      </c>
    </row>
    <row r="99" spans="1:17" x14ac:dyDescent="0.25">
      <c r="A99">
        <v>18033</v>
      </c>
      <c r="B99">
        <f>VLOOKUP($A99,June!$E:$O,11,FALSE)</f>
        <v>9</v>
      </c>
      <c r="C99">
        <f>VLOOKUP($A99,May!$E:$F,2,FALSE)</f>
        <v>132</v>
      </c>
      <c r="D99">
        <f>VLOOKUP($A99,June!$E:$F,2,FALSE)</f>
        <v>0</v>
      </c>
      <c r="E99" s="7">
        <f t="shared" si="16"/>
        <v>-100</v>
      </c>
      <c r="G99" t="str">
        <f t="shared" si="17"/>
        <v>N</v>
      </c>
      <c r="H99" t="str">
        <f t="shared" si="18"/>
        <v/>
      </c>
      <c r="I99" t="str">
        <f t="shared" si="19"/>
        <v/>
      </c>
      <c r="K99" s="6" t="str">
        <f t="shared" ref="K99:K127" si="25">_xlfn.IFNA(IF(G99="Y",RANK(Q99,$Q$3:$Q$127),""),"")</f>
        <v/>
      </c>
      <c r="L99" s="6" t="str">
        <f t="shared" si="20"/>
        <v/>
      </c>
      <c r="M99" s="6" t="str">
        <f t="shared" si="21"/>
        <v/>
      </c>
      <c r="N99" s="7" t="str">
        <f t="shared" si="22"/>
        <v/>
      </c>
      <c r="P99" s="7">
        <f t="shared" si="24"/>
        <v>9.6999999999999968E-3</v>
      </c>
      <c r="Q99" s="7" t="str">
        <f t="shared" si="23"/>
        <v/>
      </c>
    </row>
    <row r="100" spans="1:17" x14ac:dyDescent="0.25">
      <c r="A100">
        <v>18034</v>
      </c>
      <c r="B100">
        <f>VLOOKUP($A100,June!$E:$O,11,FALSE)</f>
        <v>2</v>
      </c>
      <c r="C100">
        <f>VLOOKUP($A100,May!$E:$F,2,FALSE)</f>
        <v>0</v>
      </c>
      <c r="D100">
        <f>VLOOKUP($A100,June!$E:$F,2,FALSE)</f>
        <v>151.19999999999999</v>
      </c>
      <c r="E100" s="7" t="e">
        <f t="shared" si="16"/>
        <v>#DIV/0!</v>
      </c>
      <c r="G100" t="str">
        <f t="shared" si="17"/>
        <v>N</v>
      </c>
      <c r="H100" t="str">
        <f t="shared" si="18"/>
        <v/>
      </c>
      <c r="I100" t="str">
        <f t="shared" si="19"/>
        <v/>
      </c>
      <c r="K100" s="6" t="str">
        <f t="shared" si="25"/>
        <v/>
      </c>
      <c r="L100" s="6" t="str">
        <f t="shared" si="20"/>
        <v/>
      </c>
      <c r="M100" s="6" t="str">
        <f t="shared" si="21"/>
        <v/>
      </c>
      <c r="N100" s="7" t="str">
        <f t="shared" si="22"/>
        <v/>
      </c>
      <c r="P100" s="7">
        <f t="shared" si="24"/>
        <v>9.7999999999999962E-3</v>
      </c>
      <c r="Q100" s="7" t="str">
        <f t="shared" si="23"/>
        <v/>
      </c>
    </row>
    <row r="101" spans="1:17" x14ac:dyDescent="0.25">
      <c r="A101">
        <v>18036</v>
      </c>
      <c r="B101">
        <f>VLOOKUP($A101,June!$E:$O,11,FALSE)</f>
        <v>10</v>
      </c>
      <c r="C101">
        <f>VLOOKUP($A101,May!$E:$F,2,FALSE)</f>
        <v>165</v>
      </c>
      <c r="D101">
        <f>VLOOKUP($A101,June!$E:$F,2,FALSE)</f>
        <v>140</v>
      </c>
      <c r="E101" s="7">
        <f t="shared" si="16"/>
        <v>-15.151515151515149</v>
      </c>
      <c r="G101" t="str">
        <f t="shared" si="17"/>
        <v>Y</v>
      </c>
      <c r="H101">
        <f t="shared" si="18"/>
        <v>165</v>
      </c>
      <c r="I101">
        <f t="shared" si="19"/>
        <v>140</v>
      </c>
      <c r="K101" s="6">
        <f t="shared" si="25"/>
        <v>27</v>
      </c>
      <c r="L101" s="6">
        <f t="shared" si="20"/>
        <v>18036</v>
      </c>
      <c r="M101" s="6">
        <f t="shared" si="21"/>
        <v>10</v>
      </c>
      <c r="N101" s="7">
        <f t="shared" si="22"/>
        <v>-15.151515151515149</v>
      </c>
      <c r="P101" s="7">
        <f t="shared" si="24"/>
        <v>9.8999999999999956E-3</v>
      </c>
      <c r="Q101" s="7">
        <f t="shared" si="23"/>
        <v>-15.141615151515149</v>
      </c>
    </row>
    <row r="102" spans="1:17" x14ac:dyDescent="0.25">
      <c r="A102">
        <v>18663</v>
      </c>
      <c r="B102">
        <f>VLOOKUP($A102,June!$E:$O,11,FALSE)</f>
        <v>4</v>
      </c>
      <c r="C102">
        <f>VLOOKUP($A102,May!$E:$F,2,FALSE)</f>
        <v>107.5</v>
      </c>
      <c r="D102">
        <f>VLOOKUP($A102,June!$E:$F,2,FALSE)</f>
        <v>0</v>
      </c>
      <c r="E102" s="7">
        <f t="shared" si="16"/>
        <v>-100</v>
      </c>
      <c r="G102" t="str">
        <f t="shared" si="17"/>
        <v>N</v>
      </c>
      <c r="H102" t="str">
        <f t="shared" si="18"/>
        <v/>
      </c>
      <c r="I102" t="str">
        <f t="shared" si="19"/>
        <v/>
      </c>
      <c r="K102" s="6" t="str">
        <f t="shared" si="25"/>
        <v/>
      </c>
      <c r="L102" s="6" t="str">
        <f t="shared" si="20"/>
        <v/>
      </c>
      <c r="M102" s="6" t="str">
        <f t="shared" si="21"/>
        <v/>
      </c>
      <c r="N102" s="7" t="str">
        <f t="shared" si="22"/>
        <v/>
      </c>
      <c r="P102" s="7">
        <f t="shared" si="24"/>
        <v>9.999999999999995E-3</v>
      </c>
      <c r="Q102" s="7" t="str">
        <f t="shared" si="23"/>
        <v/>
      </c>
    </row>
    <row r="103" spans="1:17" x14ac:dyDescent="0.25">
      <c r="A103">
        <v>18916</v>
      </c>
      <c r="B103">
        <f>VLOOKUP($A103,June!$E:$O,11,FALSE)</f>
        <v>5</v>
      </c>
      <c r="C103">
        <f>VLOOKUP($A103,May!$E:$F,2,FALSE)</f>
        <v>0</v>
      </c>
      <c r="D103">
        <f>VLOOKUP($A103,June!$E:$F,2,FALSE)</f>
        <v>0</v>
      </c>
      <c r="E103" s="7" t="e">
        <f t="shared" si="16"/>
        <v>#DIV/0!</v>
      </c>
      <c r="G103" t="str">
        <f t="shared" si="17"/>
        <v>N</v>
      </c>
      <c r="H103" t="str">
        <f t="shared" si="18"/>
        <v/>
      </c>
      <c r="I103" t="str">
        <f t="shared" si="19"/>
        <v/>
      </c>
      <c r="K103" s="6" t="str">
        <f t="shared" si="25"/>
        <v/>
      </c>
      <c r="L103" s="6" t="str">
        <f t="shared" si="20"/>
        <v/>
      </c>
      <c r="M103" s="6" t="str">
        <f t="shared" si="21"/>
        <v/>
      </c>
      <c r="N103" s="7" t="str">
        <f t="shared" si="22"/>
        <v/>
      </c>
      <c r="P103" s="7">
        <f t="shared" si="24"/>
        <v>1.0099999999999994E-2</v>
      </c>
      <c r="Q103" s="7" t="str">
        <f t="shared" si="23"/>
        <v/>
      </c>
    </row>
    <row r="104" spans="1:17" x14ac:dyDescent="0.25">
      <c r="A104">
        <v>18917</v>
      </c>
      <c r="B104">
        <f>VLOOKUP($A104,June!$E:$O,11,FALSE)</f>
        <v>2</v>
      </c>
      <c r="C104">
        <f>VLOOKUP($A104,May!$E:$F,2,FALSE)</f>
        <v>150</v>
      </c>
      <c r="D104">
        <f>VLOOKUP($A104,June!$E:$F,2,FALSE)</f>
        <v>0</v>
      </c>
      <c r="E104" s="7">
        <f t="shared" si="16"/>
        <v>-100</v>
      </c>
      <c r="G104" t="str">
        <f t="shared" si="17"/>
        <v>N</v>
      </c>
      <c r="H104" t="str">
        <f t="shared" si="18"/>
        <v/>
      </c>
      <c r="I104" t="str">
        <f t="shared" si="19"/>
        <v/>
      </c>
      <c r="K104" s="6" t="str">
        <f t="shared" si="25"/>
        <v/>
      </c>
      <c r="L104" s="6" t="str">
        <f t="shared" si="20"/>
        <v/>
      </c>
      <c r="M104" s="6" t="str">
        <f t="shared" si="21"/>
        <v/>
      </c>
      <c r="N104" s="7" t="str">
        <f t="shared" si="22"/>
        <v/>
      </c>
      <c r="P104" s="7">
        <f t="shared" si="24"/>
        <v>1.0199999999999994E-2</v>
      </c>
      <c r="Q104" s="7" t="str">
        <f t="shared" si="23"/>
        <v/>
      </c>
    </row>
    <row r="105" spans="1:17" x14ac:dyDescent="0.25">
      <c r="A105">
        <v>18919</v>
      </c>
      <c r="B105">
        <f>VLOOKUP($A105,June!$E:$O,11,FALSE)</f>
        <v>6</v>
      </c>
      <c r="C105">
        <f>VLOOKUP($A105,May!$E:$F,2,FALSE)</f>
        <v>0</v>
      </c>
      <c r="D105">
        <f>VLOOKUP($A105,June!$E:$F,2,FALSE)</f>
        <v>0</v>
      </c>
      <c r="E105" s="7" t="e">
        <f t="shared" si="16"/>
        <v>#DIV/0!</v>
      </c>
      <c r="G105" t="str">
        <f t="shared" si="17"/>
        <v>N</v>
      </c>
      <c r="H105" t="str">
        <f t="shared" si="18"/>
        <v/>
      </c>
      <c r="I105" t="str">
        <f t="shared" si="19"/>
        <v/>
      </c>
      <c r="K105" s="6" t="str">
        <f t="shared" si="25"/>
        <v/>
      </c>
      <c r="L105" s="6" t="str">
        <f t="shared" si="20"/>
        <v/>
      </c>
      <c r="M105" s="6" t="str">
        <f t="shared" si="21"/>
        <v/>
      </c>
      <c r="N105" s="7" t="str">
        <f t="shared" si="22"/>
        <v/>
      </c>
      <c r="P105" s="7">
        <f t="shared" si="24"/>
        <v>1.0299999999999993E-2</v>
      </c>
      <c r="Q105" s="7" t="str">
        <f t="shared" si="23"/>
        <v/>
      </c>
    </row>
    <row r="106" spans="1:17" x14ac:dyDescent="0.25">
      <c r="A106">
        <v>18920</v>
      </c>
      <c r="B106">
        <f>VLOOKUP($A106,June!$E:$O,11,FALSE)</f>
        <v>9</v>
      </c>
      <c r="C106">
        <f>VLOOKUP($A106,May!$E:$F,2,FALSE)</f>
        <v>100</v>
      </c>
      <c r="D106">
        <f>VLOOKUP($A106,June!$E:$F,2,FALSE)</f>
        <v>0</v>
      </c>
      <c r="E106" s="7">
        <f t="shared" si="16"/>
        <v>-100</v>
      </c>
      <c r="G106" t="str">
        <f t="shared" si="17"/>
        <v>N</v>
      </c>
      <c r="H106" t="str">
        <f t="shared" si="18"/>
        <v/>
      </c>
      <c r="I106" t="str">
        <f t="shared" si="19"/>
        <v/>
      </c>
      <c r="K106" s="6" t="str">
        <f t="shared" si="25"/>
        <v/>
      </c>
      <c r="L106" s="6" t="str">
        <f t="shared" si="20"/>
        <v/>
      </c>
      <c r="M106" s="6" t="str">
        <f t="shared" si="21"/>
        <v/>
      </c>
      <c r="N106" s="7" t="str">
        <f t="shared" si="22"/>
        <v/>
      </c>
      <c r="P106" s="7">
        <f t="shared" si="24"/>
        <v>1.0399999999999993E-2</v>
      </c>
      <c r="Q106" s="7" t="str">
        <f t="shared" si="23"/>
        <v/>
      </c>
    </row>
    <row r="107" spans="1:17" x14ac:dyDescent="0.25">
      <c r="A107">
        <v>18981</v>
      </c>
      <c r="B107">
        <f>VLOOKUP($A107,June!$E:$O,11,FALSE)</f>
        <v>9</v>
      </c>
      <c r="C107">
        <f>VLOOKUP($A107,May!$E:$F,2,FALSE)</f>
        <v>0</v>
      </c>
      <c r="D107">
        <f>VLOOKUP($A107,June!$E:$F,2,FALSE)</f>
        <v>0</v>
      </c>
      <c r="E107" s="7" t="e">
        <f t="shared" si="16"/>
        <v>#DIV/0!</v>
      </c>
      <c r="G107" t="str">
        <f t="shared" si="17"/>
        <v>N</v>
      </c>
      <c r="H107" t="str">
        <f t="shared" si="18"/>
        <v/>
      </c>
      <c r="I107" t="str">
        <f t="shared" si="19"/>
        <v/>
      </c>
      <c r="K107" s="6" t="str">
        <f t="shared" si="25"/>
        <v/>
      </c>
      <c r="L107" s="6" t="str">
        <f t="shared" si="20"/>
        <v/>
      </c>
      <c r="M107" s="6" t="str">
        <f t="shared" si="21"/>
        <v/>
      </c>
      <c r="N107" s="7" t="str">
        <f t="shared" si="22"/>
        <v/>
      </c>
      <c r="P107" s="7">
        <f t="shared" si="24"/>
        <v>1.0499999999999992E-2</v>
      </c>
      <c r="Q107" s="7" t="str">
        <f t="shared" si="23"/>
        <v/>
      </c>
    </row>
    <row r="108" spans="1:17" x14ac:dyDescent="0.25">
      <c r="A108">
        <v>18982</v>
      </c>
      <c r="B108">
        <f>VLOOKUP($A108,June!$E:$O,11,FALSE)</f>
        <v>11</v>
      </c>
      <c r="C108">
        <f>VLOOKUP($A108,May!$E:$F,2,FALSE)</f>
        <v>133.5</v>
      </c>
      <c r="D108">
        <f>VLOOKUP($A108,June!$E:$F,2,FALSE)</f>
        <v>369</v>
      </c>
      <c r="E108" s="7">
        <f t="shared" si="16"/>
        <v>176.40449438202248</v>
      </c>
      <c r="G108" t="str">
        <f t="shared" si="17"/>
        <v>Y</v>
      </c>
      <c r="H108">
        <f t="shared" si="18"/>
        <v>133.5</v>
      </c>
      <c r="I108">
        <f t="shared" si="19"/>
        <v>369</v>
      </c>
      <c r="K108" s="6">
        <f t="shared" si="25"/>
        <v>1</v>
      </c>
      <c r="L108" s="6">
        <f t="shared" si="20"/>
        <v>18982</v>
      </c>
      <c r="M108" s="6">
        <f t="shared" si="21"/>
        <v>11</v>
      </c>
      <c r="N108" s="7">
        <f t="shared" si="22"/>
        <v>176.40449438202248</v>
      </c>
      <c r="P108" s="7">
        <f t="shared" si="24"/>
        <v>1.0599999999999991E-2</v>
      </c>
      <c r="Q108" s="7">
        <f t="shared" si="23"/>
        <v>176.41509438202249</v>
      </c>
    </row>
    <row r="109" spans="1:17" x14ac:dyDescent="0.25">
      <c r="A109">
        <v>18984</v>
      </c>
      <c r="B109">
        <f>VLOOKUP($A109,June!$E:$O,11,FALSE)</f>
        <v>9</v>
      </c>
      <c r="C109">
        <f>VLOOKUP($A109,May!$E:$F,2,FALSE)</f>
        <v>0</v>
      </c>
      <c r="D109">
        <f>VLOOKUP($A109,June!$E:$F,2,FALSE)</f>
        <v>164</v>
      </c>
      <c r="E109" s="7" t="e">
        <f t="shared" si="16"/>
        <v>#DIV/0!</v>
      </c>
      <c r="G109" t="str">
        <f t="shared" si="17"/>
        <v>N</v>
      </c>
      <c r="H109" t="str">
        <f t="shared" si="18"/>
        <v/>
      </c>
      <c r="I109" t="str">
        <f t="shared" si="19"/>
        <v/>
      </c>
      <c r="K109" s="6" t="str">
        <f t="shared" si="25"/>
        <v/>
      </c>
      <c r="L109" s="6" t="str">
        <f t="shared" si="20"/>
        <v/>
      </c>
      <c r="M109" s="6" t="str">
        <f t="shared" si="21"/>
        <v/>
      </c>
      <c r="N109" s="7" t="str">
        <f t="shared" si="22"/>
        <v/>
      </c>
      <c r="P109" s="7">
        <f t="shared" si="24"/>
        <v>1.0699999999999991E-2</v>
      </c>
      <c r="Q109" s="7" t="str">
        <f t="shared" si="23"/>
        <v/>
      </c>
    </row>
    <row r="110" spans="1:17" x14ac:dyDescent="0.25">
      <c r="A110">
        <v>18985</v>
      </c>
      <c r="B110">
        <f>VLOOKUP($A110,June!$E:$O,11,FALSE)</f>
        <v>5</v>
      </c>
      <c r="C110">
        <f>VLOOKUP($A110,May!$E:$F,2,FALSE)</f>
        <v>0</v>
      </c>
      <c r="D110">
        <f>VLOOKUP($A110,June!$E:$F,2,FALSE)</f>
        <v>0</v>
      </c>
      <c r="E110" s="7" t="e">
        <f t="shared" si="16"/>
        <v>#DIV/0!</v>
      </c>
      <c r="G110" t="str">
        <f t="shared" si="17"/>
        <v>N</v>
      </c>
      <c r="H110" t="str">
        <f t="shared" si="18"/>
        <v/>
      </c>
      <c r="I110" t="str">
        <f t="shared" si="19"/>
        <v/>
      </c>
      <c r="K110" s="6" t="str">
        <f t="shared" si="25"/>
        <v/>
      </c>
      <c r="L110" s="6" t="str">
        <f t="shared" si="20"/>
        <v/>
      </c>
      <c r="M110" s="6" t="str">
        <f t="shared" si="21"/>
        <v/>
      </c>
      <c r="N110" s="7" t="str">
        <f t="shared" si="22"/>
        <v/>
      </c>
      <c r="P110" s="7">
        <f t="shared" si="24"/>
        <v>1.079999999999999E-2</v>
      </c>
      <c r="Q110" s="7" t="str">
        <f t="shared" si="23"/>
        <v/>
      </c>
    </row>
    <row r="111" spans="1:17" x14ac:dyDescent="0.25">
      <c r="A111">
        <v>18986</v>
      </c>
      <c r="B111">
        <f>VLOOKUP($A111,June!$E:$O,11,FALSE)</f>
        <v>9</v>
      </c>
      <c r="C111">
        <f>VLOOKUP($A111,May!$E:$F,2,FALSE)</f>
        <v>79</v>
      </c>
      <c r="D111">
        <f>VLOOKUP($A111,June!$E:$F,2,FALSE)</f>
        <v>0</v>
      </c>
      <c r="E111" s="7">
        <f t="shared" si="16"/>
        <v>-100</v>
      </c>
      <c r="G111" t="str">
        <f t="shared" si="17"/>
        <v>N</v>
      </c>
      <c r="H111" t="str">
        <f t="shared" si="18"/>
        <v/>
      </c>
      <c r="I111" t="str">
        <f t="shared" si="19"/>
        <v/>
      </c>
      <c r="K111" s="6" t="str">
        <f t="shared" si="25"/>
        <v/>
      </c>
      <c r="L111" s="6" t="str">
        <f t="shared" si="20"/>
        <v/>
      </c>
      <c r="M111" s="6" t="str">
        <f t="shared" si="21"/>
        <v/>
      </c>
      <c r="N111" s="7" t="str">
        <f t="shared" si="22"/>
        <v/>
      </c>
      <c r="P111" s="7">
        <f t="shared" si="24"/>
        <v>1.089999999999999E-2</v>
      </c>
      <c r="Q111" s="7" t="str">
        <f t="shared" si="23"/>
        <v/>
      </c>
    </row>
    <row r="112" spans="1:17" x14ac:dyDescent="0.25">
      <c r="A112">
        <v>18987</v>
      </c>
      <c r="B112">
        <f>VLOOKUP($A112,June!$E:$O,11,FALSE)</f>
        <v>2</v>
      </c>
      <c r="C112">
        <f>VLOOKUP($A112,May!$E:$F,2,FALSE)</f>
        <v>0</v>
      </c>
      <c r="D112">
        <f>VLOOKUP($A112,June!$E:$F,2,FALSE)</f>
        <v>0</v>
      </c>
      <c r="E112" s="7" t="e">
        <f t="shared" si="16"/>
        <v>#DIV/0!</v>
      </c>
      <c r="G112" t="str">
        <f t="shared" si="17"/>
        <v>N</v>
      </c>
      <c r="H112" t="str">
        <f t="shared" si="18"/>
        <v/>
      </c>
      <c r="I112" t="str">
        <f t="shared" si="19"/>
        <v/>
      </c>
      <c r="K112" s="6" t="str">
        <f t="shared" si="25"/>
        <v/>
      </c>
      <c r="L112" s="6" t="str">
        <f t="shared" si="20"/>
        <v/>
      </c>
      <c r="M112" s="6" t="str">
        <f t="shared" si="21"/>
        <v/>
      </c>
      <c r="N112" s="7" t="str">
        <f t="shared" si="22"/>
        <v/>
      </c>
      <c r="P112" s="7">
        <f t="shared" si="24"/>
        <v>1.0999999999999989E-2</v>
      </c>
      <c r="Q112" s="7" t="str">
        <f t="shared" si="23"/>
        <v/>
      </c>
    </row>
    <row r="113" spans="1:17" x14ac:dyDescent="0.25">
      <c r="A113">
        <v>18988</v>
      </c>
      <c r="B113">
        <f>VLOOKUP($A113,June!$E:$O,11,FALSE)</f>
        <v>5</v>
      </c>
      <c r="C113">
        <f>VLOOKUP($A113,May!$E:$F,2,FALSE)</f>
        <v>0</v>
      </c>
      <c r="D113">
        <f>VLOOKUP($A113,June!$E:$F,2,FALSE)</f>
        <v>0</v>
      </c>
      <c r="E113" s="7" t="e">
        <f t="shared" si="16"/>
        <v>#DIV/0!</v>
      </c>
      <c r="G113" t="str">
        <f t="shared" si="17"/>
        <v>N</v>
      </c>
      <c r="H113" t="str">
        <f t="shared" si="18"/>
        <v/>
      </c>
      <c r="I113" t="str">
        <f t="shared" si="19"/>
        <v/>
      </c>
      <c r="K113" s="6" t="str">
        <f t="shared" si="25"/>
        <v/>
      </c>
      <c r="L113" s="6" t="str">
        <f t="shared" si="20"/>
        <v/>
      </c>
      <c r="M113" s="6" t="str">
        <f t="shared" si="21"/>
        <v/>
      </c>
      <c r="N113" s="7" t="str">
        <f t="shared" si="22"/>
        <v/>
      </c>
      <c r="P113" s="7">
        <f t="shared" si="24"/>
        <v>1.1099999999999988E-2</v>
      </c>
      <c r="Q113" s="7" t="str">
        <f t="shared" si="23"/>
        <v/>
      </c>
    </row>
    <row r="114" spans="1:17" x14ac:dyDescent="0.25">
      <c r="A114">
        <v>18990</v>
      </c>
      <c r="B114">
        <f>VLOOKUP($A114,June!$E:$O,11,FALSE)</f>
        <v>6</v>
      </c>
      <c r="C114">
        <f>VLOOKUP($A114,May!$E:$F,2,FALSE)</f>
        <v>0</v>
      </c>
      <c r="D114">
        <f>VLOOKUP($A114,June!$E:$F,2,FALSE)</f>
        <v>0</v>
      </c>
      <c r="E114" s="7" t="e">
        <f t="shared" si="16"/>
        <v>#DIV/0!</v>
      </c>
      <c r="G114" t="str">
        <f t="shared" si="17"/>
        <v>N</v>
      </c>
      <c r="H114" t="str">
        <f t="shared" si="18"/>
        <v/>
      </c>
      <c r="I114" t="str">
        <f t="shared" si="19"/>
        <v/>
      </c>
      <c r="K114" s="6" t="str">
        <f t="shared" si="25"/>
        <v/>
      </c>
      <c r="L114" s="6" t="str">
        <f t="shared" si="20"/>
        <v/>
      </c>
      <c r="M114" s="6" t="str">
        <f t="shared" si="21"/>
        <v/>
      </c>
      <c r="N114" s="7" t="str">
        <f t="shared" si="22"/>
        <v/>
      </c>
      <c r="P114" s="7">
        <f t="shared" si="24"/>
        <v>1.1199999999999988E-2</v>
      </c>
      <c r="Q114" s="7" t="str">
        <f t="shared" si="23"/>
        <v/>
      </c>
    </row>
    <row r="115" spans="1:17" x14ac:dyDescent="0.25">
      <c r="A115">
        <v>18991</v>
      </c>
      <c r="B115">
        <f>VLOOKUP($A115,June!$E:$O,11,FALSE)</f>
        <v>6</v>
      </c>
      <c r="C115">
        <f>VLOOKUP($A115,May!$E:$F,2,FALSE)</f>
        <v>0</v>
      </c>
      <c r="D115">
        <f>VLOOKUP($A115,June!$E:$F,2,FALSE)</f>
        <v>0</v>
      </c>
      <c r="E115" s="7" t="e">
        <f t="shared" si="16"/>
        <v>#DIV/0!</v>
      </c>
      <c r="G115" t="str">
        <f t="shared" si="17"/>
        <v>N</v>
      </c>
      <c r="H115" t="str">
        <f t="shared" si="18"/>
        <v/>
      </c>
      <c r="I115" t="str">
        <f t="shared" si="19"/>
        <v/>
      </c>
      <c r="K115" s="6" t="str">
        <f t="shared" si="25"/>
        <v/>
      </c>
      <c r="L115" s="6" t="str">
        <f t="shared" si="20"/>
        <v/>
      </c>
      <c r="M115" s="6" t="str">
        <f t="shared" si="21"/>
        <v/>
      </c>
      <c r="N115" s="7" t="str">
        <f t="shared" si="22"/>
        <v/>
      </c>
      <c r="P115" s="7">
        <f t="shared" si="24"/>
        <v>1.1299999999999987E-2</v>
      </c>
      <c r="Q115" s="7" t="str">
        <f t="shared" si="23"/>
        <v/>
      </c>
    </row>
    <row r="116" spans="1:17" x14ac:dyDescent="0.25">
      <c r="A116">
        <v>18992</v>
      </c>
      <c r="B116">
        <f>VLOOKUP($A116,June!$E:$O,11,FALSE)</f>
        <v>7</v>
      </c>
      <c r="C116">
        <f>VLOOKUP($A116,May!$E:$F,2,FALSE)</f>
        <v>0</v>
      </c>
      <c r="D116">
        <f>VLOOKUP($A116,June!$E:$F,2,FALSE)</f>
        <v>0</v>
      </c>
      <c r="E116" s="7" t="e">
        <f t="shared" si="16"/>
        <v>#DIV/0!</v>
      </c>
      <c r="G116" t="str">
        <f t="shared" si="17"/>
        <v>N</v>
      </c>
      <c r="H116" t="str">
        <f t="shared" si="18"/>
        <v/>
      </c>
      <c r="I116" t="str">
        <f t="shared" si="19"/>
        <v/>
      </c>
      <c r="K116" s="6" t="str">
        <f t="shared" si="25"/>
        <v/>
      </c>
      <c r="L116" s="6" t="str">
        <f t="shared" si="20"/>
        <v/>
      </c>
      <c r="M116" s="6" t="str">
        <f t="shared" si="21"/>
        <v/>
      </c>
      <c r="N116" s="7" t="str">
        <f t="shared" si="22"/>
        <v/>
      </c>
      <c r="P116" s="7">
        <f t="shared" si="24"/>
        <v>1.1399999999999987E-2</v>
      </c>
      <c r="Q116" s="7" t="str">
        <f t="shared" si="23"/>
        <v/>
      </c>
    </row>
    <row r="117" spans="1:17" x14ac:dyDescent="0.25">
      <c r="A117">
        <v>18993</v>
      </c>
      <c r="B117">
        <f>VLOOKUP($A117,June!$E:$O,11,FALSE)</f>
        <v>3</v>
      </c>
      <c r="C117">
        <f>VLOOKUP($A117,May!$E:$F,2,FALSE)</f>
        <v>0</v>
      </c>
      <c r="D117">
        <f>VLOOKUP($A117,June!$E:$F,2,FALSE)</f>
        <v>0</v>
      </c>
      <c r="E117" s="7" t="e">
        <f t="shared" si="16"/>
        <v>#DIV/0!</v>
      </c>
      <c r="G117" t="str">
        <f t="shared" si="17"/>
        <v>N</v>
      </c>
      <c r="H117" t="str">
        <f t="shared" si="18"/>
        <v/>
      </c>
      <c r="I117" t="str">
        <f t="shared" si="19"/>
        <v/>
      </c>
      <c r="K117" s="6" t="str">
        <f t="shared" si="25"/>
        <v/>
      </c>
      <c r="L117" s="6" t="str">
        <f t="shared" si="20"/>
        <v/>
      </c>
      <c r="M117" s="6" t="str">
        <f t="shared" si="21"/>
        <v/>
      </c>
      <c r="N117" s="7" t="str">
        <f t="shared" si="22"/>
        <v/>
      </c>
      <c r="P117" s="7">
        <f t="shared" si="24"/>
        <v>1.1499999999999986E-2</v>
      </c>
      <c r="Q117" s="7" t="str">
        <f t="shared" si="23"/>
        <v/>
      </c>
    </row>
    <row r="118" spans="1:17" x14ac:dyDescent="0.25">
      <c r="A118">
        <v>18994</v>
      </c>
      <c r="B118">
        <f>VLOOKUP($A118,June!$E:$O,11,FALSE)</f>
        <v>2</v>
      </c>
      <c r="C118">
        <f>VLOOKUP($A118,May!$E:$F,2,FALSE)</f>
        <v>0</v>
      </c>
      <c r="D118">
        <f>VLOOKUP($A118,June!$E:$F,2,FALSE)</f>
        <v>0</v>
      </c>
      <c r="E118" s="7" t="e">
        <f t="shared" si="16"/>
        <v>#DIV/0!</v>
      </c>
      <c r="G118" t="str">
        <f t="shared" si="17"/>
        <v>N</v>
      </c>
      <c r="H118" t="str">
        <f t="shared" si="18"/>
        <v/>
      </c>
      <c r="I118" t="str">
        <f t="shared" si="19"/>
        <v/>
      </c>
      <c r="K118" s="6" t="str">
        <f t="shared" si="25"/>
        <v/>
      </c>
      <c r="L118" s="6" t="str">
        <f t="shared" si="20"/>
        <v/>
      </c>
      <c r="M118" s="6" t="str">
        <f t="shared" si="21"/>
        <v/>
      </c>
      <c r="N118" s="7" t="str">
        <f t="shared" si="22"/>
        <v/>
      </c>
      <c r="P118" s="7">
        <f t="shared" si="24"/>
        <v>1.1599999999999985E-2</v>
      </c>
      <c r="Q118" s="7" t="str">
        <f t="shared" si="23"/>
        <v/>
      </c>
    </row>
    <row r="119" spans="1:17" x14ac:dyDescent="0.25">
      <c r="A119">
        <v>18995</v>
      </c>
      <c r="B119">
        <f>VLOOKUP($A119,June!$E:$O,11,FALSE)</f>
        <v>2</v>
      </c>
      <c r="C119">
        <f>VLOOKUP($A119,May!$E:$F,2,FALSE)</f>
        <v>80</v>
      </c>
      <c r="D119">
        <f>VLOOKUP($A119,June!$E:$F,2,FALSE)</f>
        <v>95</v>
      </c>
      <c r="E119" s="7">
        <f t="shared" si="16"/>
        <v>18.75</v>
      </c>
      <c r="G119" t="str">
        <f t="shared" si="17"/>
        <v>Y</v>
      </c>
      <c r="H119">
        <f t="shared" si="18"/>
        <v>80</v>
      </c>
      <c r="I119">
        <f t="shared" si="19"/>
        <v>95</v>
      </c>
      <c r="K119" s="6">
        <f t="shared" si="25"/>
        <v>7</v>
      </c>
      <c r="L119" s="6">
        <f t="shared" si="20"/>
        <v>18995</v>
      </c>
      <c r="M119" s="6">
        <f t="shared" si="21"/>
        <v>2</v>
      </c>
      <c r="N119" s="7">
        <f t="shared" si="22"/>
        <v>18.75</v>
      </c>
      <c r="P119" s="7">
        <f t="shared" si="24"/>
        <v>1.1699999999999985E-2</v>
      </c>
      <c r="Q119" s="7">
        <f t="shared" si="23"/>
        <v>18.761700000000001</v>
      </c>
    </row>
    <row r="120" spans="1:17" x14ac:dyDescent="0.25">
      <c r="A120">
        <v>18996</v>
      </c>
      <c r="B120">
        <f>VLOOKUP($A120,June!$E:$O,11,FALSE)</f>
        <v>4</v>
      </c>
      <c r="C120" t="e">
        <f>VLOOKUP($A120,May!$E:$F,2,FALSE)</f>
        <v>#N/A</v>
      </c>
      <c r="D120">
        <f>VLOOKUP($A120,June!$E:$F,2,FALSE)</f>
        <v>126</v>
      </c>
      <c r="E120" s="7" t="e">
        <f t="shared" si="16"/>
        <v>#N/A</v>
      </c>
      <c r="G120" t="str">
        <f t="shared" si="17"/>
        <v>N</v>
      </c>
      <c r="H120" t="str">
        <f t="shared" si="18"/>
        <v/>
      </c>
      <c r="I120" t="str">
        <f t="shared" si="19"/>
        <v/>
      </c>
      <c r="K120" s="6" t="str">
        <f t="shared" si="25"/>
        <v/>
      </c>
      <c r="L120" s="6" t="str">
        <f t="shared" si="20"/>
        <v/>
      </c>
      <c r="M120" s="6" t="str">
        <f t="shared" si="21"/>
        <v/>
      </c>
      <c r="N120" s="7" t="str">
        <f t="shared" si="22"/>
        <v/>
      </c>
      <c r="P120" s="7">
        <f t="shared" si="24"/>
        <v>1.1799999999999984E-2</v>
      </c>
      <c r="Q120" s="7" t="str">
        <f t="shared" si="23"/>
        <v/>
      </c>
    </row>
    <row r="121" spans="1:17" x14ac:dyDescent="0.25">
      <c r="A121">
        <v>18997</v>
      </c>
      <c r="B121">
        <f>VLOOKUP($A121,June!$E:$O,11,FALSE)</f>
        <v>4</v>
      </c>
      <c r="C121">
        <f>VLOOKUP($A121,May!$E:$F,2,FALSE)</f>
        <v>160</v>
      </c>
      <c r="D121">
        <f>VLOOKUP($A121,June!$E:$F,2,FALSE)</f>
        <v>130</v>
      </c>
      <c r="E121" s="7">
        <f t="shared" si="16"/>
        <v>-18.75</v>
      </c>
      <c r="G121" t="str">
        <f t="shared" si="17"/>
        <v>Y</v>
      </c>
      <c r="H121">
        <f t="shared" si="18"/>
        <v>160</v>
      </c>
      <c r="I121">
        <f t="shared" si="19"/>
        <v>130</v>
      </c>
      <c r="K121" s="6">
        <f t="shared" si="25"/>
        <v>30</v>
      </c>
      <c r="L121" s="6">
        <f t="shared" si="20"/>
        <v>18997</v>
      </c>
      <c r="M121" s="6">
        <f t="shared" si="21"/>
        <v>4</v>
      </c>
      <c r="N121" s="7">
        <f t="shared" si="22"/>
        <v>-18.75</v>
      </c>
      <c r="P121" s="7">
        <f t="shared" si="24"/>
        <v>1.1899999999999984E-2</v>
      </c>
      <c r="Q121" s="7">
        <f t="shared" si="23"/>
        <v>-18.738099999999999</v>
      </c>
    </row>
    <row r="122" spans="1:17" x14ac:dyDescent="0.25">
      <c r="A122">
        <v>18998</v>
      </c>
      <c r="B122">
        <f>VLOOKUP($A122,June!$E:$O,11,FALSE)</f>
        <v>3</v>
      </c>
      <c r="C122">
        <f>VLOOKUP($A122,May!$E:$F,2,FALSE)</f>
        <v>0</v>
      </c>
      <c r="D122">
        <f>VLOOKUP($A122,June!$E:$F,2,FALSE)</f>
        <v>0</v>
      </c>
      <c r="E122" s="7" t="e">
        <f t="shared" si="16"/>
        <v>#DIV/0!</v>
      </c>
      <c r="G122" t="str">
        <f t="shared" si="17"/>
        <v>N</v>
      </c>
      <c r="H122" t="str">
        <f t="shared" si="18"/>
        <v/>
      </c>
      <c r="I122" t="str">
        <f t="shared" si="19"/>
        <v/>
      </c>
      <c r="K122" s="6" t="str">
        <f t="shared" si="25"/>
        <v/>
      </c>
      <c r="L122" s="6" t="str">
        <f t="shared" si="20"/>
        <v/>
      </c>
      <c r="M122" s="6" t="str">
        <f t="shared" si="21"/>
        <v/>
      </c>
      <c r="N122" s="7" t="str">
        <f t="shared" si="22"/>
        <v/>
      </c>
      <c r="P122" s="7">
        <f t="shared" si="24"/>
        <v>1.1999999999999983E-2</v>
      </c>
      <c r="Q122" s="7" t="str">
        <f t="shared" si="23"/>
        <v/>
      </c>
    </row>
    <row r="123" spans="1:17" x14ac:dyDescent="0.25">
      <c r="A123">
        <v>18999</v>
      </c>
      <c r="B123">
        <f>VLOOKUP($A123,June!$E:$O,11,FALSE)</f>
        <v>6</v>
      </c>
      <c r="C123">
        <f>VLOOKUP($A123,May!$E:$F,2,FALSE)</f>
        <v>87.5</v>
      </c>
      <c r="D123">
        <f>VLOOKUP($A123,June!$E:$F,2,FALSE)</f>
        <v>0</v>
      </c>
      <c r="E123" s="7">
        <f t="shared" si="16"/>
        <v>-100</v>
      </c>
      <c r="G123" t="str">
        <f t="shared" si="17"/>
        <v>N</v>
      </c>
      <c r="H123" t="str">
        <f t="shared" si="18"/>
        <v/>
      </c>
      <c r="I123" t="str">
        <f t="shared" si="19"/>
        <v/>
      </c>
      <c r="K123" s="6" t="str">
        <f t="shared" si="25"/>
        <v/>
      </c>
      <c r="L123" s="6" t="str">
        <f t="shared" si="20"/>
        <v/>
      </c>
      <c r="M123" s="6" t="str">
        <f t="shared" si="21"/>
        <v/>
      </c>
      <c r="N123" s="7" t="str">
        <f t="shared" si="22"/>
        <v/>
      </c>
      <c r="P123" s="7">
        <f t="shared" si="24"/>
        <v>1.2099999999999982E-2</v>
      </c>
      <c r="Q123" s="7" t="str">
        <f t="shared" si="23"/>
        <v/>
      </c>
    </row>
    <row r="124" spans="1:17" x14ac:dyDescent="0.25">
      <c r="A124">
        <v>19197</v>
      </c>
      <c r="B124">
        <f>VLOOKUP($A124,June!$E:$O,11,FALSE)</f>
        <v>2</v>
      </c>
      <c r="C124">
        <f>VLOOKUP($A124,May!$E:$F,2,FALSE)</f>
        <v>152</v>
      </c>
      <c r="D124">
        <f>VLOOKUP($A124,June!$E:$F,2,FALSE)</f>
        <v>132</v>
      </c>
      <c r="E124" s="7">
        <f t="shared" si="16"/>
        <v>-13.157894736842103</v>
      </c>
      <c r="G124" t="str">
        <f t="shared" si="17"/>
        <v>Y</v>
      </c>
      <c r="H124">
        <f t="shared" si="18"/>
        <v>152</v>
      </c>
      <c r="I124">
        <f t="shared" si="19"/>
        <v>132</v>
      </c>
      <c r="K124" s="6">
        <f t="shared" si="25"/>
        <v>26</v>
      </c>
      <c r="L124" s="6">
        <f t="shared" si="20"/>
        <v>19197</v>
      </c>
      <c r="M124" s="6">
        <f t="shared" si="21"/>
        <v>2</v>
      </c>
      <c r="N124" s="7">
        <f t="shared" si="22"/>
        <v>-13.157894736842103</v>
      </c>
      <c r="P124" s="7">
        <f t="shared" si="24"/>
        <v>1.2199999999999982E-2</v>
      </c>
      <c r="Q124" s="7">
        <f t="shared" si="23"/>
        <v>-13.145694736842103</v>
      </c>
    </row>
    <row r="125" spans="1:17" x14ac:dyDescent="0.25">
      <c r="A125">
        <v>19198</v>
      </c>
      <c r="B125">
        <f>VLOOKUP($A125,June!$E:$O,11,FALSE)</f>
        <v>7</v>
      </c>
      <c r="C125">
        <f>VLOOKUP($A125,May!$E:$F,2,FALSE)</f>
        <v>0</v>
      </c>
      <c r="D125">
        <f>VLOOKUP($A125,June!$E:$F,2,FALSE)</f>
        <v>339</v>
      </c>
      <c r="E125" s="7" t="e">
        <f t="shared" si="16"/>
        <v>#DIV/0!</v>
      </c>
      <c r="G125" t="str">
        <f t="shared" si="17"/>
        <v>N</v>
      </c>
      <c r="H125" t="str">
        <f t="shared" si="18"/>
        <v/>
      </c>
      <c r="I125" t="str">
        <f t="shared" si="19"/>
        <v/>
      </c>
      <c r="K125" s="6" t="str">
        <f t="shared" si="25"/>
        <v/>
      </c>
      <c r="L125" s="6" t="str">
        <f t="shared" si="20"/>
        <v/>
      </c>
      <c r="M125" s="6" t="str">
        <f t="shared" si="21"/>
        <v/>
      </c>
      <c r="N125" s="7" t="str">
        <f t="shared" si="22"/>
        <v/>
      </c>
      <c r="P125" s="7">
        <f t="shared" si="24"/>
        <v>1.2299999999999981E-2</v>
      </c>
      <c r="Q125" s="7" t="str">
        <f t="shared" si="23"/>
        <v/>
      </c>
    </row>
    <row r="126" spans="1:17" x14ac:dyDescent="0.25">
      <c r="A126">
        <v>19199</v>
      </c>
      <c r="B126">
        <f>VLOOKUP($A126,June!$E:$O,11,FALSE)</f>
        <v>3</v>
      </c>
      <c r="C126">
        <f>VLOOKUP($A126,May!$E:$F,2,FALSE)</f>
        <v>0</v>
      </c>
      <c r="D126">
        <f>VLOOKUP($A126,June!$E:$F,2,FALSE)</f>
        <v>0</v>
      </c>
      <c r="E126" s="7" t="e">
        <f t="shared" si="16"/>
        <v>#DIV/0!</v>
      </c>
      <c r="G126" t="str">
        <f t="shared" si="17"/>
        <v>N</v>
      </c>
      <c r="H126" t="str">
        <f t="shared" si="18"/>
        <v/>
      </c>
      <c r="I126" t="str">
        <f t="shared" si="19"/>
        <v/>
      </c>
      <c r="K126" s="6" t="str">
        <f t="shared" si="25"/>
        <v/>
      </c>
      <c r="L126" s="6" t="str">
        <f t="shared" si="20"/>
        <v/>
      </c>
      <c r="M126" s="6" t="str">
        <f t="shared" si="21"/>
        <v/>
      </c>
      <c r="N126" s="7" t="str">
        <f t="shared" si="22"/>
        <v/>
      </c>
      <c r="P126" s="7">
        <f t="shared" si="24"/>
        <v>1.239999999999998E-2</v>
      </c>
      <c r="Q126" s="7" t="str">
        <f t="shared" si="23"/>
        <v/>
      </c>
    </row>
    <row r="127" spans="1:17" x14ac:dyDescent="0.25">
      <c r="A127">
        <v>19466</v>
      </c>
      <c r="B127">
        <f>VLOOKUP($A127,June!$E:$O,11,FALSE)</f>
        <v>11</v>
      </c>
      <c r="C127" t="e">
        <f>VLOOKUP($A127,May!$E:$F,2,FALSE)</f>
        <v>#N/A</v>
      </c>
      <c r="D127">
        <f>VLOOKUP($A127,June!$E:$F,2,FALSE)</f>
        <v>57</v>
      </c>
      <c r="E127" s="7" t="e">
        <f t="shared" si="16"/>
        <v>#N/A</v>
      </c>
      <c r="G127" t="str">
        <f t="shared" si="17"/>
        <v>N</v>
      </c>
      <c r="H127" t="str">
        <f t="shared" si="18"/>
        <v/>
      </c>
      <c r="I127" t="str">
        <f t="shared" si="19"/>
        <v/>
      </c>
      <c r="K127" s="6" t="str">
        <f t="shared" si="25"/>
        <v/>
      </c>
      <c r="L127" s="6" t="str">
        <f t="shared" si="20"/>
        <v/>
      </c>
      <c r="M127" s="6" t="str">
        <f t="shared" si="21"/>
        <v/>
      </c>
      <c r="N127" s="7" t="str">
        <f t="shared" si="22"/>
        <v/>
      </c>
      <c r="P127" s="7">
        <f t="shared" si="24"/>
        <v>1.249999999999998E-2</v>
      </c>
      <c r="Q127" s="7" t="str">
        <f t="shared" si="23"/>
        <v/>
      </c>
    </row>
    <row r="129" spans="7:7" x14ac:dyDescent="0.25">
      <c r="G129">
        <f>COUNTIF($G$3:$G$127,"Y")</f>
        <v>34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4F009-5EC5-47D3-9950-EFA8407E20E5}">
  <dimension ref="A1:W121"/>
  <sheetViews>
    <sheetView workbookViewId="0">
      <pane ySplit="1" topLeftCell="A77" activePane="bottomLeft" state="frozen"/>
      <selection pane="bottomLeft" activeCell="C102" sqref="C102"/>
    </sheetView>
  </sheetViews>
  <sheetFormatPr defaultRowHeight="15" x14ac:dyDescent="0.25"/>
  <sheetData>
    <row r="1" spans="1:23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W1" t="s">
        <v>23</v>
      </c>
    </row>
    <row r="2" spans="1:23" x14ac:dyDescent="0.25">
      <c r="A2">
        <v>202405</v>
      </c>
      <c r="B2">
        <v>640406</v>
      </c>
      <c r="C2" t="s">
        <v>0</v>
      </c>
      <c r="D2">
        <v>3</v>
      </c>
      <c r="E2" s="6">
        <v>161</v>
      </c>
      <c r="F2">
        <v>129</v>
      </c>
      <c r="I2">
        <v>1.4490000000000001</v>
      </c>
      <c r="J2">
        <v>0.371</v>
      </c>
      <c r="K2">
        <v>10.37</v>
      </c>
      <c r="L2">
        <v>1</v>
      </c>
      <c r="M2">
        <v>202402</v>
      </c>
      <c r="N2">
        <v>999999</v>
      </c>
      <c r="O2">
        <v>4</v>
      </c>
      <c r="P2">
        <v>2</v>
      </c>
      <c r="Q2">
        <v>1</v>
      </c>
      <c r="R2">
        <v>89</v>
      </c>
      <c r="S2">
        <v>3</v>
      </c>
      <c r="T2">
        <v>4</v>
      </c>
    </row>
    <row r="3" spans="1:23" x14ac:dyDescent="0.25">
      <c r="A3">
        <v>202405</v>
      </c>
      <c r="B3">
        <v>640406</v>
      </c>
      <c r="C3" t="s">
        <v>0</v>
      </c>
      <c r="D3">
        <v>3</v>
      </c>
      <c r="E3">
        <v>167</v>
      </c>
      <c r="F3">
        <v>69</v>
      </c>
      <c r="I3">
        <v>0.97199999999999998</v>
      </c>
      <c r="J3">
        <v>-2.8999999999999901E-2</v>
      </c>
      <c r="K3">
        <v>3.39</v>
      </c>
      <c r="L3">
        <v>1</v>
      </c>
      <c r="M3">
        <v>202402</v>
      </c>
      <c r="N3">
        <v>999999</v>
      </c>
      <c r="O3">
        <v>10</v>
      </c>
      <c r="P3">
        <v>2</v>
      </c>
      <c r="Q3">
        <v>1</v>
      </c>
      <c r="R3">
        <v>71</v>
      </c>
      <c r="S3">
        <v>3</v>
      </c>
      <c r="T3">
        <v>10</v>
      </c>
    </row>
    <row r="4" spans="1:23" x14ac:dyDescent="0.25">
      <c r="A4">
        <v>202405</v>
      </c>
      <c r="B4">
        <v>640406</v>
      </c>
      <c r="C4" t="s">
        <v>0</v>
      </c>
      <c r="D4">
        <v>1</v>
      </c>
      <c r="E4">
        <v>191</v>
      </c>
      <c r="F4">
        <v>0</v>
      </c>
      <c r="G4" t="s">
        <v>1</v>
      </c>
      <c r="H4" t="s">
        <v>1</v>
      </c>
      <c r="I4">
        <v>0</v>
      </c>
      <c r="J4">
        <v>0</v>
      </c>
      <c r="K4">
        <v>8.35</v>
      </c>
      <c r="L4">
        <v>1</v>
      </c>
      <c r="M4">
        <v>202402</v>
      </c>
      <c r="N4">
        <v>999999</v>
      </c>
      <c r="O4">
        <v>7</v>
      </c>
      <c r="P4">
        <v>2</v>
      </c>
      <c r="Q4">
        <v>1</v>
      </c>
      <c r="R4">
        <v>90</v>
      </c>
      <c r="S4">
        <v>3</v>
      </c>
      <c r="T4">
        <v>7</v>
      </c>
    </row>
    <row r="5" spans="1:23" x14ac:dyDescent="0.25">
      <c r="A5">
        <v>202405</v>
      </c>
      <c r="B5">
        <v>640406</v>
      </c>
      <c r="C5" t="s">
        <v>0</v>
      </c>
      <c r="D5">
        <v>1</v>
      </c>
      <c r="E5">
        <v>210</v>
      </c>
      <c r="F5">
        <v>0</v>
      </c>
      <c r="G5" t="s">
        <v>1</v>
      </c>
      <c r="H5" t="s">
        <v>1</v>
      </c>
      <c r="I5">
        <v>0</v>
      </c>
      <c r="J5">
        <v>0</v>
      </c>
      <c r="K5">
        <v>9.36</v>
      </c>
      <c r="L5">
        <v>1</v>
      </c>
      <c r="M5">
        <v>202402</v>
      </c>
      <c r="N5">
        <v>999999</v>
      </c>
      <c r="O5">
        <v>8</v>
      </c>
      <c r="P5">
        <v>1</v>
      </c>
      <c r="Q5">
        <v>1</v>
      </c>
      <c r="R5">
        <v>126.99</v>
      </c>
      <c r="S5">
        <v>3</v>
      </c>
      <c r="T5">
        <v>8</v>
      </c>
    </row>
    <row r="6" spans="1:23" x14ac:dyDescent="0.25">
      <c r="A6">
        <v>202405</v>
      </c>
      <c r="B6">
        <v>640406</v>
      </c>
      <c r="C6" t="s">
        <v>0</v>
      </c>
      <c r="D6">
        <v>1</v>
      </c>
      <c r="E6">
        <v>211</v>
      </c>
      <c r="F6">
        <v>0</v>
      </c>
      <c r="G6" t="s">
        <v>1</v>
      </c>
      <c r="H6" t="s">
        <v>1</v>
      </c>
      <c r="I6">
        <v>0</v>
      </c>
      <c r="J6">
        <v>0</v>
      </c>
      <c r="K6">
        <v>9.36</v>
      </c>
      <c r="L6">
        <v>1</v>
      </c>
      <c r="M6">
        <v>202402</v>
      </c>
      <c r="N6">
        <v>999999</v>
      </c>
      <c r="O6">
        <v>8</v>
      </c>
      <c r="P6">
        <v>2</v>
      </c>
      <c r="Q6">
        <v>1</v>
      </c>
      <c r="R6">
        <v>40</v>
      </c>
      <c r="S6">
        <v>3</v>
      </c>
      <c r="T6">
        <v>8</v>
      </c>
    </row>
    <row r="7" spans="1:23" x14ac:dyDescent="0.25">
      <c r="A7">
        <v>202405</v>
      </c>
      <c r="B7">
        <v>640406</v>
      </c>
      <c r="C7" t="s">
        <v>0</v>
      </c>
      <c r="D7">
        <v>1</v>
      </c>
      <c r="E7">
        <v>221</v>
      </c>
      <c r="F7">
        <v>0</v>
      </c>
      <c r="G7" t="s">
        <v>1</v>
      </c>
      <c r="H7" t="s">
        <v>1</v>
      </c>
      <c r="I7">
        <v>0</v>
      </c>
      <c r="J7">
        <v>0</v>
      </c>
      <c r="K7">
        <v>8.35</v>
      </c>
      <c r="L7">
        <v>1</v>
      </c>
      <c r="M7">
        <v>202402</v>
      </c>
      <c r="N7">
        <v>999999</v>
      </c>
      <c r="O7">
        <v>7</v>
      </c>
      <c r="P7">
        <v>2</v>
      </c>
      <c r="Q7">
        <v>1</v>
      </c>
      <c r="R7">
        <v>99.95</v>
      </c>
      <c r="S7">
        <v>3</v>
      </c>
      <c r="T7">
        <v>7</v>
      </c>
    </row>
    <row r="8" spans="1:23" x14ac:dyDescent="0.25">
      <c r="A8">
        <v>202405</v>
      </c>
      <c r="B8">
        <v>640406</v>
      </c>
      <c r="C8" t="s">
        <v>0</v>
      </c>
      <c r="D8">
        <v>3</v>
      </c>
      <c r="E8">
        <v>255</v>
      </c>
      <c r="F8">
        <v>109.99</v>
      </c>
      <c r="I8">
        <v>1.089</v>
      </c>
      <c r="J8">
        <v>8.5000000000000006E-2</v>
      </c>
      <c r="K8">
        <v>7.57</v>
      </c>
      <c r="L8">
        <v>1</v>
      </c>
      <c r="M8">
        <v>202402</v>
      </c>
      <c r="N8">
        <v>999999</v>
      </c>
      <c r="O8">
        <v>6</v>
      </c>
      <c r="P8">
        <v>1</v>
      </c>
      <c r="Q8">
        <v>1</v>
      </c>
      <c r="R8">
        <v>100.99</v>
      </c>
      <c r="S8">
        <v>3</v>
      </c>
      <c r="T8">
        <v>6</v>
      </c>
    </row>
    <row r="9" spans="1:23" x14ac:dyDescent="0.25">
      <c r="A9">
        <v>202405</v>
      </c>
      <c r="B9">
        <v>640406</v>
      </c>
      <c r="C9" t="s">
        <v>0</v>
      </c>
      <c r="D9">
        <v>1</v>
      </c>
      <c r="E9">
        <v>287</v>
      </c>
      <c r="F9">
        <v>0</v>
      </c>
      <c r="G9" t="s">
        <v>1</v>
      </c>
      <c r="H9" t="s">
        <v>1</v>
      </c>
      <c r="I9">
        <v>0</v>
      </c>
      <c r="J9">
        <v>0</v>
      </c>
      <c r="K9">
        <v>8.35</v>
      </c>
      <c r="L9">
        <v>1</v>
      </c>
      <c r="M9">
        <v>202402</v>
      </c>
      <c r="N9">
        <v>999999</v>
      </c>
      <c r="O9">
        <v>7</v>
      </c>
      <c r="P9">
        <v>2</v>
      </c>
      <c r="Q9">
        <v>1</v>
      </c>
      <c r="R9">
        <v>129</v>
      </c>
      <c r="S9">
        <v>3</v>
      </c>
      <c r="T9">
        <v>7</v>
      </c>
    </row>
    <row r="10" spans="1:23" x14ac:dyDescent="0.25">
      <c r="A10">
        <v>202405</v>
      </c>
      <c r="B10">
        <v>640406</v>
      </c>
      <c r="C10" t="s">
        <v>0</v>
      </c>
      <c r="D10">
        <v>3</v>
      </c>
      <c r="E10">
        <v>307</v>
      </c>
      <c r="F10">
        <v>105</v>
      </c>
      <c r="I10">
        <v>1.167</v>
      </c>
      <c r="J10">
        <v>0.154</v>
      </c>
      <c r="K10">
        <v>9.36</v>
      </c>
      <c r="L10">
        <v>1</v>
      </c>
      <c r="M10">
        <v>202402</v>
      </c>
      <c r="N10">
        <v>999999</v>
      </c>
      <c r="O10">
        <v>8</v>
      </c>
      <c r="P10">
        <v>2</v>
      </c>
      <c r="Q10">
        <v>1</v>
      </c>
      <c r="R10">
        <v>90</v>
      </c>
      <c r="S10">
        <v>3</v>
      </c>
      <c r="T10">
        <v>8</v>
      </c>
    </row>
    <row r="11" spans="1:23" x14ac:dyDescent="0.25">
      <c r="A11">
        <v>202405</v>
      </c>
      <c r="B11">
        <v>640406</v>
      </c>
      <c r="C11" t="s">
        <v>0</v>
      </c>
      <c r="D11">
        <v>4</v>
      </c>
      <c r="E11">
        <v>308</v>
      </c>
      <c r="F11">
        <v>165</v>
      </c>
      <c r="I11">
        <v>1.7369999999999901</v>
      </c>
      <c r="J11">
        <v>0.55200000000000005</v>
      </c>
      <c r="K11">
        <v>7.87</v>
      </c>
      <c r="L11">
        <v>1</v>
      </c>
      <c r="M11">
        <v>202402</v>
      </c>
      <c r="N11">
        <v>999999</v>
      </c>
      <c r="O11">
        <v>12</v>
      </c>
      <c r="P11">
        <v>2</v>
      </c>
      <c r="Q11">
        <v>1</v>
      </c>
      <c r="R11">
        <v>95</v>
      </c>
      <c r="S11">
        <v>3</v>
      </c>
      <c r="T11">
        <v>12</v>
      </c>
    </row>
    <row r="12" spans="1:23" x14ac:dyDescent="0.25">
      <c r="A12">
        <v>202405</v>
      </c>
      <c r="B12">
        <v>640406</v>
      </c>
      <c r="C12" t="s">
        <v>0</v>
      </c>
      <c r="D12">
        <v>1</v>
      </c>
      <c r="E12">
        <v>335</v>
      </c>
      <c r="F12">
        <v>0</v>
      </c>
      <c r="G12" t="s">
        <v>1</v>
      </c>
      <c r="H12" t="s">
        <v>1</v>
      </c>
      <c r="I12">
        <v>0</v>
      </c>
      <c r="J12">
        <v>0</v>
      </c>
      <c r="K12">
        <v>7.87</v>
      </c>
      <c r="L12">
        <v>1</v>
      </c>
      <c r="M12">
        <v>202402</v>
      </c>
      <c r="N12">
        <v>999999</v>
      </c>
      <c r="O12">
        <v>12</v>
      </c>
      <c r="P12">
        <v>2</v>
      </c>
      <c r="Q12">
        <v>1</v>
      </c>
      <c r="R12">
        <v>44.1</v>
      </c>
      <c r="S12">
        <v>3</v>
      </c>
      <c r="T12">
        <v>12</v>
      </c>
    </row>
    <row r="13" spans="1:23" x14ac:dyDescent="0.25">
      <c r="A13">
        <v>202405</v>
      </c>
      <c r="B13">
        <v>640406</v>
      </c>
      <c r="C13" t="s">
        <v>0</v>
      </c>
      <c r="D13">
        <v>3</v>
      </c>
      <c r="E13">
        <v>340</v>
      </c>
      <c r="F13">
        <v>70</v>
      </c>
      <c r="I13">
        <v>1</v>
      </c>
      <c r="J13">
        <v>0</v>
      </c>
      <c r="K13">
        <v>7.87</v>
      </c>
      <c r="L13">
        <v>1</v>
      </c>
      <c r="M13">
        <v>202402</v>
      </c>
      <c r="N13">
        <v>999999</v>
      </c>
      <c r="O13">
        <v>12</v>
      </c>
      <c r="P13">
        <v>2</v>
      </c>
      <c r="Q13">
        <v>1</v>
      </c>
      <c r="R13">
        <v>70</v>
      </c>
      <c r="S13">
        <v>3</v>
      </c>
      <c r="T13">
        <v>12</v>
      </c>
    </row>
    <row r="14" spans="1:23" x14ac:dyDescent="0.25">
      <c r="A14">
        <v>202405</v>
      </c>
      <c r="B14">
        <v>640406</v>
      </c>
      <c r="C14" t="s">
        <v>0</v>
      </c>
      <c r="D14">
        <v>3</v>
      </c>
      <c r="E14">
        <v>372</v>
      </c>
      <c r="F14">
        <v>71.489999999999995</v>
      </c>
      <c r="I14">
        <v>1.81</v>
      </c>
      <c r="J14">
        <v>0.59399999999999997</v>
      </c>
      <c r="K14">
        <v>9.89</v>
      </c>
      <c r="L14">
        <v>1</v>
      </c>
      <c r="M14">
        <v>202402</v>
      </c>
      <c r="N14">
        <v>999999</v>
      </c>
      <c r="O14">
        <v>9</v>
      </c>
      <c r="P14">
        <v>1</v>
      </c>
      <c r="Q14">
        <v>1</v>
      </c>
      <c r="R14">
        <v>39.49</v>
      </c>
      <c r="S14">
        <v>3</v>
      </c>
      <c r="T14">
        <v>9</v>
      </c>
    </row>
    <row r="15" spans="1:23" x14ac:dyDescent="0.25">
      <c r="A15">
        <v>202405</v>
      </c>
      <c r="B15">
        <v>640406</v>
      </c>
      <c r="C15" t="s">
        <v>0</v>
      </c>
      <c r="D15">
        <v>1</v>
      </c>
      <c r="E15">
        <v>373</v>
      </c>
      <c r="F15">
        <v>0</v>
      </c>
      <c r="G15" t="s">
        <v>1</v>
      </c>
      <c r="H15" t="s">
        <v>1</v>
      </c>
      <c r="I15">
        <v>0</v>
      </c>
      <c r="J15">
        <v>0</v>
      </c>
      <c r="K15">
        <v>9.89</v>
      </c>
      <c r="L15">
        <v>1</v>
      </c>
      <c r="M15">
        <v>202402</v>
      </c>
      <c r="N15">
        <v>999999</v>
      </c>
      <c r="O15">
        <v>9</v>
      </c>
      <c r="P15">
        <v>2</v>
      </c>
      <c r="Q15">
        <v>1</v>
      </c>
      <c r="R15">
        <v>110.88</v>
      </c>
      <c r="S15">
        <v>3</v>
      </c>
      <c r="T15">
        <v>9</v>
      </c>
    </row>
    <row r="16" spans="1:23" x14ac:dyDescent="0.25">
      <c r="A16">
        <v>202405</v>
      </c>
      <c r="B16">
        <v>640406</v>
      </c>
      <c r="C16" t="s">
        <v>0</v>
      </c>
      <c r="D16">
        <v>1</v>
      </c>
      <c r="E16">
        <v>378</v>
      </c>
      <c r="F16">
        <v>0</v>
      </c>
      <c r="G16" t="s">
        <v>1</v>
      </c>
      <c r="H16" t="s">
        <v>1</v>
      </c>
      <c r="I16">
        <v>0</v>
      </c>
      <c r="J16">
        <v>0</v>
      </c>
      <c r="K16">
        <v>8.35</v>
      </c>
      <c r="L16">
        <v>1</v>
      </c>
      <c r="M16">
        <v>202402</v>
      </c>
      <c r="N16">
        <v>999999</v>
      </c>
      <c r="O16">
        <v>7</v>
      </c>
      <c r="P16">
        <v>2</v>
      </c>
      <c r="Q16">
        <v>1</v>
      </c>
      <c r="R16">
        <v>141</v>
      </c>
      <c r="S16">
        <v>3</v>
      </c>
      <c r="T16">
        <v>7</v>
      </c>
    </row>
    <row r="17" spans="1:20" x14ac:dyDescent="0.25">
      <c r="A17">
        <v>202405</v>
      </c>
      <c r="B17">
        <v>640406</v>
      </c>
      <c r="C17" t="s">
        <v>0</v>
      </c>
      <c r="D17">
        <v>3</v>
      </c>
      <c r="E17">
        <v>393</v>
      </c>
      <c r="F17">
        <v>55</v>
      </c>
      <c r="I17">
        <v>1</v>
      </c>
      <c r="J17">
        <v>0</v>
      </c>
      <c r="K17">
        <v>7.87</v>
      </c>
      <c r="L17">
        <v>1</v>
      </c>
      <c r="M17">
        <v>202402</v>
      </c>
      <c r="N17">
        <v>999999</v>
      </c>
      <c r="O17">
        <v>12</v>
      </c>
      <c r="P17">
        <v>2</v>
      </c>
      <c r="Q17">
        <v>1</v>
      </c>
      <c r="R17">
        <v>55</v>
      </c>
      <c r="S17">
        <v>3</v>
      </c>
      <c r="T17">
        <v>12</v>
      </c>
    </row>
    <row r="18" spans="1:20" x14ac:dyDescent="0.25">
      <c r="A18">
        <v>202405</v>
      </c>
      <c r="B18">
        <v>640406</v>
      </c>
      <c r="C18" t="s">
        <v>0</v>
      </c>
      <c r="D18">
        <v>1</v>
      </c>
      <c r="E18">
        <v>466</v>
      </c>
      <c r="F18">
        <v>0</v>
      </c>
      <c r="G18" t="s">
        <v>1</v>
      </c>
      <c r="H18" t="s">
        <v>1</v>
      </c>
      <c r="I18">
        <v>0</v>
      </c>
      <c r="J18">
        <v>0</v>
      </c>
      <c r="K18">
        <v>8.24</v>
      </c>
      <c r="L18">
        <v>1</v>
      </c>
      <c r="M18">
        <v>202404</v>
      </c>
      <c r="N18">
        <v>999999</v>
      </c>
      <c r="O18">
        <v>5</v>
      </c>
      <c r="P18">
        <v>2</v>
      </c>
      <c r="Q18">
        <v>1</v>
      </c>
      <c r="R18">
        <v>78.622</v>
      </c>
      <c r="S18">
        <v>4</v>
      </c>
      <c r="T18">
        <v>5</v>
      </c>
    </row>
    <row r="19" spans="1:20" x14ac:dyDescent="0.25">
      <c r="A19">
        <v>202405</v>
      </c>
      <c r="B19">
        <v>640406</v>
      </c>
      <c r="C19" t="s">
        <v>0</v>
      </c>
      <c r="D19">
        <v>1</v>
      </c>
      <c r="E19">
        <v>518</v>
      </c>
      <c r="F19">
        <v>0</v>
      </c>
      <c r="G19" t="s">
        <v>1</v>
      </c>
      <c r="H19" t="s">
        <v>1</v>
      </c>
      <c r="I19">
        <v>0</v>
      </c>
      <c r="J19">
        <v>0</v>
      </c>
      <c r="K19">
        <v>9.75</v>
      </c>
      <c r="L19">
        <v>1</v>
      </c>
      <c r="M19">
        <v>202402</v>
      </c>
      <c r="N19">
        <v>999999</v>
      </c>
      <c r="O19">
        <v>2</v>
      </c>
      <c r="P19">
        <v>1</v>
      </c>
      <c r="Q19">
        <v>1</v>
      </c>
      <c r="R19">
        <v>279</v>
      </c>
      <c r="S19">
        <v>3</v>
      </c>
      <c r="T19">
        <v>2</v>
      </c>
    </row>
    <row r="20" spans="1:20" x14ac:dyDescent="0.25">
      <c r="A20">
        <v>202405</v>
      </c>
      <c r="B20">
        <v>640406</v>
      </c>
      <c r="C20" t="s">
        <v>0</v>
      </c>
      <c r="D20">
        <v>1</v>
      </c>
      <c r="E20">
        <v>519</v>
      </c>
      <c r="F20">
        <v>0</v>
      </c>
      <c r="G20" t="s">
        <v>1</v>
      </c>
      <c r="H20" t="s">
        <v>1</v>
      </c>
      <c r="I20">
        <v>0</v>
      </c>
      <c r="J20">
        <v>0</v>
      </c>
      <c r="K20">
        <v>9.75</v>
      </c>
      <c r="L20">
        <v>1</v>
      </c>
      <c r="M20">
        <v>202402</v>
      </c>
      <c r="N20">
        <v>999999</v>
      </c>
      <c r="O20">
        <v>2</v>
      </c>
      <c r="P20">
        <v>2</v>
      </c>
      <c r="Q20">
        <v>1</v>
      </c>
      <c r="R20">
        <v>55</v>
      </c>
      <c r="S20">
        <v>3</v>
      </c>
      <c r="T20">
        <v>2</v>
      </c>
    </row>
    <row r="21" spans="1:20" x14ac:dyDescent="0.25">
      <c r="A21">
        <v>202405</v>
      </c>
      <c r="B21">
        <v>640406</v>
      </c>
      <c r="C21" t="s">
        <v>0</v>
      </c>
      <c r="D21">
        <v>1</v>
      </c>
      <c r="E21">
        <v>541</v>
      </c>
      <c r="F21">
        <v>0</v>
      </c>
      <c r="G21" t="s">
        <v>1</v>
      </c>
      <c r="H21" t="s">
        <v>1</v>
      </c>
      <c r="I21">
        <v>0</v>
      </c>
      <c r="J21">
        <v>0</v>
      </c>
      <c r="K21">
        <v>9.75</v>
      </c>
      <c r="L21">
        <v>1</v>
      </c>
      <c r="M21">
        <v>202402</v>
      </c>
      <c r="N21">
        <v>999999</v>
      </c>
      <c r="O21">
        <v>2</v>
      </c>
      <c r="P21">
        <v>1</v>
      </c>
      <c r="Q21">
        <v>1</v>
      </c>
      <c r="R21">
        <v>149.99</v>
      </c>
      <c r="S21">
        <v>3</v>
      </c>
      <c r="T21">
        <v>2</v>
      </c>
    </row>
    <row r="22" spans="1:20" x14ac:dyDescent="0.25">
      <c r="A22">
        <v>202405</v>
      </c>
      <c r="B22">
        <v>640406</v>
      </c>
      <c r="C22" t="s">
        <v>0</v>
      </c>
      <c r="D22">
        <v>3</v>
      </c>
      <c r="E22">
        <v>544</v>
      </c>
      <c r="F22">
        <v>196.75</v>
      </c>
      <c r="I22">
        <v>1.139</v>
      </c>
      <c r="J22">
        <v>0.13</v>
      </c>
      <c r="K22">
        <v>9.75</v>
      </c>
      <c r="L22">
        <v>1</v>
      </c>
      <c r="M22">
        <v>202402</v>
      </c>
      <c r="N22">
        <v>999999</v>
      </c>
      <c r="O22">
        <v>2</v>
      </c>
      <c r="P22">
        <v>2</v>
      </c>
      <c r="Q22">
        <v>1</v>
      </c>
      <c r="R22">
        <v>172.75</v>
      </c>
      <c r="S22">
        <v>3</v>
      </c>
      <c r="T22">
        <v>2</v>
      </c>
    </row>
    <row r="23" spans="1:20" x14ac:dyDescent="0.25">
      <c r="A23">
        <v>202405</v>
      </c>
      <c r="B23">
        <v>640406</v>
      </c>
      <c r="C23" t="s">
        <v>0</v>
      </c>
      <c r="D23">
        <v>3</v>
      </c>
      <c r="E23">
        <v>642</v>
      </c>
      <c r="F23">
        <v>116</v>
      </c>
      <c r="I23">
        <v>1.0549999999999999</v>
      </c>
      <c r="J23">
        <v>5.2999999999999999E-2</v>
      </c>
      <c r="K23">
        <v>9.89</v>
      </c>
      <c r="L23">
        <v>1</v>
      </c>
      <c r="M23">
        <v>202402</v>
      </c>
      <c r="N23">
        <v>999999</v>
      </c>
      <c r="O23">
        <v>9</v>
      </c>
      <c r="P23">
        <v>2</v>
      </c>
      <c r="Q23">
        <v>1</v>
      </c>
      <c r="R23">
        <v>110</v>
      </c>
      <c r="S23">
        <v>3</v>
      </c>
      <c r="T23">
        <v>9</v>
      </c>
    </row>
    <row r="24" spans="1:20" x14ac:dyDescent="0.25">
      <c r="A24">
        <v>202405</v>
      </c>
      <c r="B24">
        <v>640406</v>
      </c>
      <c r="C24" t="s">
        <v>0</v>
      </c>
      <c r="D24">
        <v>3</v>
      </c>
      <c r="E24">
        <v>673</v>
      </c>
      <c r="F24">
        <v>99</v>
      </c>
      <c r="I24">
        <v>1.6919999999999999</v>
      </c>
      <c r="J24">
        <v>0.52600000000000002</v>
      </c>
      <c r="K24">
        <v>18.440000000000001</v>
      </c>
      <c r="L24">
        <v>1</v>
      </c>
      <c r="M24">
        <v>202402</v>
      </c>
      <c r="N24">
        <v>999999</v>
      </c>
      <c r="O24">
        <v>3</v>
      </c>
      <c r="P24">
        <v>2</v>
      </c>
      <c r="Q24">
        <v>1</v>
      </c>
      <c r="R24">
        <v>58.5</v>
      </c>
      <c r="S24">
        <v>3</v>
      </c>
      <c r="T24">
        <v>3</v>
      </c>
    </row>
    <row r="25" spans="1:20" x14ac:dyDescent="0.25">
      <c r="A25">
        <v>202405</v>
      </c>
      <c r="B25">
        <v>640406</v>
      </c>
      <c r="C25" t="s">
        <v>0</v>
      </c>
      <c r="D25">
        <v>1</v>
      </c>
      <c r="E25">
        <v>729</v>
      </c>
      <c r="F25">
        <v>0</v>
      </c>
      <c r="G25" t="s">
        <v>1</v>
      </c>
      <c r="H25" t="s">
        <v>1</v>
      </c>
      <c r="I25">
        <v>0</v>
      </c>
      <c r="J25">
        <v>0</v>
      </c>
      <c r="K25">
        <v>18.440000000000001</v>
      </c>
      <c r="L25">
        <v>1</v>
      </c>
      <c r="M25">
        <v>202402</v>
      </c>
      <c r="N25">
        <v>999999</v>
      </c>
      <c r="O25">
        <v>3</v>
      </c>
      <c r="P25">
        <v>1</v>
      </c>
      <c r="Q25">
        <v>1</v>
      </c>
      <c r="R25">
        <v>165</v>
      </c>
      <c r="S25">
        <v>3</v>
      </c>
      <c r="T25">
        <v>3</v>
      </c>
    </row>
    <row r="26" spans="1:20" x14ac:dyDescent="0.25">
      <c r="A26">
        <v>202405</v>
      </c>
      <c r="B26">
        <v>640406</v>
      </c>
      <c r="C26" t="s">
        <v>0</v>
      </c>
      <c r="D26">
        <v>3</v>
      </c>
      <c r="E26">
        <v>733</v>
      </c>
      <c r="F26">
        <v>185</v>
      </c>
      <c r="I26">
        <v>1.1859999999999999</v>
      </c>
      <c r="J26">
        <v>0.17</v>
      </c>
      <c r="K26">
        <v>18.440000000000001</v>
      </c>
      <c r="L26">
        <v>1</v>
      </c>
      <c r="M26">
        <v>202402</v>
      </c>
      <c r="N26">
        <v>999999</v>
      </c>
      <c r="O26">
        <v>3</v>
      </c>
      <c r="P26">
        <v>1</v>
      </c>
      <c r="Q26">
        <v>1</v>
      </c>
      <c r="R26">
        <v>156</v>
      </c>
      <c r="S26">
        <v>3</v>
      </c>
      <c r="T26">
        <v>3</v>
      </c>
    </row>
    <row r="27" spans="1:20" x14ac:dyDescent="0.25">
      <c r="A27">
        <v>202405</v>
      </c>
      <c r="B27">
        <v>640406</v>
      </c>
      <c r="C27" t="s">
        <v>0</v>
      </c>
      <c r="D27">
        <v>1</v>
      </c>
      <c r="E27">
        <v>5001</v>
      </c>
      <c r="F27">
        <v>0</v>
      </c>
      <c r="G27" t="s">
        <v>1</v>
      </c>
      <c r="H27" t="s">
        <v>1</v>
      </c>
      <c r="I27">
        <v>0</v>
      </c>
      <c r="J27">
        <v>0</v>
      </c>
      <c r="K27">
        <v>9.36</v>
      </c>
      <c r="L27">
        <v>1</v>
      </c>
      <c r="M27">
        <v>202402</v>
      </c>
      <c r="N27">
        <v>999999</v>
      </c>
      <c r="O27">
        <v>8</v>
      </c>
      <c r="P27">
        <v>2</v>
      </c>
      <c r="Q27">
        <v>1</v>
      </c>
      <c r="R27">
        <v>143</v>
      </c>
      <c r="S27">
        <v>3</v>
      </c>
      <c r="T27">
        <v>8</v>
      </c>
    </row>
    <row r="28" spans="1:20" x14ac:dyDescent="0.25">
      <c r="A28">
        <v>202405</v>
      </c>
      <c r="B28">
        <v>640406</v>
      </c>
      <c r="C28" t="s">
        <v>0</v>
      </c>
      <c r="D28">
        <v>4</v>
      </c>
      <c r="E28">
        <v>5003</v>
      </c>
      <c r="F28">
        <v>133.49</v>
      </c>
      <c r="I28">
        <v>1.8159999999999901</v>
      </c>
      <c r="J28">
        <v>0.59699999999999998</v>
      </c>
      <c r="K28">
        <v>9.36</v>
      </c>
      <c r="L28">
        <v>1</v>
      </c>
      <c r="M28">
        <v>202402</v>
      </c>
      <c r="N28">
        <v>999999</v>
      </c>
      <c r="O28">
        <v>8</v>
      </c>
      <c r="P28">
        <v>1</v>
      </c>
      <c r="Q28">
        <v>1</v>
      </c>
      <c r="R28">
        <v>73.489999999999995</v>
      </c>
      <c r="S28">
        <v>3</v>
      </c>
      <c r="T28">
        <v>8</v>
      </c>
    </row>
    <row r="29" spans="1:20" x14ac:dyDescent="0.25">
      <c r="A29">
        <v>202405</v>
      </c>
      <c r="B29">
        <v>640406</v>
      </c>
      <c r="C29" t="s">
        <v>0</v>
      </c>
      <c r="D29">
        <v>3</v>
      </c>
      <c r="E29">
        <v>5007</v>
      </c>
      <c r="F29">
        <v>130</v>
      </c>
      <c r="I29">
        <v>1.171</v>
      </c>
      <c r="J29">
        <v>0.158</v>
      </c>
      <c r="K29">
        <v>9.89</v>
      </c>
      <c r="L29">
        <v>1</v>
      </c>
      <c r="M29">
        <v>202402</v>
      </c>
      <c r="N29">
        <v>999999</v>
      </c>
      <c r="O29">
        <v>9</v>
      </c>
      <c r="P29">
        <v>1</v>
      </c>
      <c r="Q29">
        <v>1</v>
      </c>
      <c r="R29">
        <v>111</v>
      </c>
      <c r="S29">
        <v>3</v>
      </c>
      <c r="T29">
        <v>9</v>
      </c>
    </row>
    <row r="30" spans="1:20" x14ac:dyDescent="0.25">
      <c r="A30">
        <v>202405</v>
      </c>
      <c r="B30">
        <v>640406</v>
      </c>
      <c r="C30" t="s">
        <v>0</v>
      </c>
      <c r="D30">
        <v>3</v>
      </c>
      <c r="E30">
        <v>5028</v>
      </c>
      <c r="F30">
        <v>65</v>
      </c>
      <c r="I30">
        <v>1.196</v>
      </c>
      <c r="J30">
        <v>0.17899999999999999</v>
      </c>
      <c r="K30">
        <v>9.36</v>
      </c>
      <c r="L30">
        <v>1</v>
      </c>
      <c r="M30">
        <v>202403</v>
      </c>
      <c r="N30">
        <v>999999</v>
      </c>
      <c r="O30">
        <v>8</v>
      </c>
      <c r="P30">
        <v>1</v>
      </c>
      <c r="Q30">
        <v>1</v>
      </c>
      <c r="R30">
        <v>54.338000000000001</v>
      </c>
      <c r="S30">
        <v>4</v>
      </c>
      <c r="T30">
        <v>8</v>
      </c>
    </row>
    <row r="31" spans="1:20" x14ac:dyDescent="0.25">
      <c r="A31">
        <v>202405</v>
      </c>
      <c r="B31">
        <v>640406</v>
      </c>
      <c r="C31" t="s">
        <v>0</v>
      </c>
      <c r="D31">
        <v>1</v>
      </c>
      <c r="E31">
        <v>5035</v>
      </c>
      <c r="F31">
        <v>0</v>
      </c>
      <c r="G31" t="s">
        <v>1</v>
      </c>
      <c r="H31" t="s">
        <v>1</v>
      </c>
      <c r="I31">
        <v>0</v>
      </c>
      <c r="J31">
        <v>0</v>
      </c>
      <c r="K31">
        <v>18.440000000000001</v>
      </c>
      <c r="L31">
        <v>1</v>
      </c>
      <c r="M31">
        <v>202402</v>
      </c>
      <c r="N31">
        <v>999999</v>
      </c>
      <c r="O31">
        <v>3</v>
      </c>
      <c r="P31">
        <v>2</v>
      </c>
      <c r="Q31">
        <v>1</v>
      </c>
      <c r="R31">
        <v>126</v>
      </c>
      <c r="S31">
        <v>3</v>
      </c>
      <c r="T31">
        <v>3</v>
      </c>
    </row>
    <row r="32" spans="1:20" x14ac:dyDescent="0.25">
      <c r="A32">
        <v>202405</v>
      </c>
      <c r="B32">
        <v>640406</v>
      </c>
      <c r="C32" t="s">
        <v>0</v>
      </c>
      <c r="D32">
        <v>3</v>
      </c>
      <c r="E32">
        <v>5043</v>
      </c>
      <c r="F32">
        <v>140</v>
      </c>
      <c r="I32">
        <v>1.274</v>
      </c>
      <c r="J32">
        <v>0.24199999999999999</v>
      </c>
      <c r="K32">
        <v>8.24</v>
      </c>
      <c r="L32">
        <v>1</v>
      </c>
      <c r="M32">
        <v>202404</v>
      </c>
      <c r="N32">
        <v>999999</v>
      </c>
      <c r="O32">
        <v>5</v>
      </c>
      <c r="P32">
        <v>2</v>
      </c>
      <c r="Q32">
        <v>1</v>
      </c>
      <c r="R32">
        <v>109.902</v>
      </c>
      <c r="S32">
        <v>4</v>
      </c>
      <c r="T32">
        <v>5</v>
      </c>
    </row>
    <row r="33" spans="1:20" x14ac:dyDescent="0.25">
      <c r="A33">
        <v>202405</v>
      </c>
      <c r="B33">
        <v>640406</v>
      </c>
      <c r="C33" t="s">
        <v>0</v>
      </c>
      <c r="D33">
        <v>1</v>
      </c>
      <c r="E33">
        <v>5046</v>
      </c>
      <c r="F33">
        <v>0</v>
      </c>
      <c r="G33" t="s">
        <v>1</v>
      </c>
      <c r="H33" t="s">
        <v>1</v>
      </c>
      <c r="I33">
        <v>0</v>
      </c>
      <c r="J33">
        <v>0</v>
      </c>
      <c r="K33">
        <v>18.440000000000001</v>
      </c>
      <c r="L33">
        <v>1</v>
      </c>
      <c r="M33">
        <v>202402</v>
      </c>
      <c r="N33">
        <v>999999</v>
      </c>
      <c r="O33">
        <v>3</v>
      </c>
      <c r="P33">
        <v>2</v>
      </c>
      <c r="Q33">
        <v>1</v>
      </c>
      <c r="R33">
        <v>120</v>
      </c>
      <c r="S33">
        <v>3</v>
      </c>
      <c r="T33">
        <v>3</v>
      </c>
    </row>
    <row r="34" spans="1:20" x14ac:dyDescent="0.25">
      <c r="A34">
        <v>202405</v>
      </c>
      <c r="B34">
        <v>640406</v>
      </c>
      <c r="C34" t="s">
        <v>0</v>
      </c>
      <c r="D34">
        <v>1</v>
      </c>
      <c r="E34">
        <v>5050</v>
      </c>
      <c r="F34">
        <v>0</v>
      </c>
      <c r="G34" t="s">
        <v>1</v>
      </c>
      <c r="H34" t="s">
        <v>1</v>
      </c>
      <c r="I34">
        <v>0</v>
      </c>
      <c r="J34">
        <v>0</v>
      </c>
      <c r="K34">
        <v>9.75</v>
      </c>
      <c r="L34">
        <v>1</v>
      </c>
      <c r="M34">
        <v>202402</v>
      </c>
      <c r="N34">
        <v>999999</v>
      </c>
      <c r="O34">
        <v>2</v>
      </c>
      <c r="P34">
        <v>1</v>
      </c>
      <c r="Q34">
        <v>1</v>
      </c>
      <c r="R34">
        <v>660</v>
      </c>
      <c r="S34">
        <v>3</v>
      </c>
      <c r="T34">
        <v>2</v>
      </c>
    </row>
    <row r="35" spans="1:20" x14ac:dyDescent="0.25">
      <c r="A35">
        <v>202405</v>
      </c>
      <c r="B35">
        <v>640406</v>
      </c>
      <c r="C35" t="s">
        <v>0</v>
      </c>
      <c r="D35">
        <v>4</v>
      </c>
      <c r="E35">
        <v>5084</v>
      </c>
      <c r="F35">
        <v>153.99</v>
      </c>
      <c r="I35">
        <v>1.4</v>
      </c>
      <c r="J35">
        <v>0.33600000000000002</v>
      </c>
      <c r="K35">
        <v>18.440000000000001</v>
      </c>
      <c r="L35">
        <v>1</v>
      </c>
      <c r="M35">
        <v>202402</v>
      </c>
      <c r="N35">
        <v>999999</v>
      </c>
      <c r="O35">
        <v>3</v>
      </c>
      <c r="P35">
        <v>2</v>
      </c>
      <c r="Q35">
        <v>1</v>
      </c>
      <c r="R35">
        <v>109.99</v>
      </c>
      <c r="S35">
        <v>3</v>
      </c>
      <c r="T35">
        <v>3</v>
      </c>
    </row>
    <row r="36" spans="1:20" x14ac:dyDescent="0.25">
      <c r="A36">
        <v>202405</v>
      </c>
      <c r="B36">
        <v>640406</v>
      </c>
      <c r="C36" t="s">
        <v>0</v>
      </c>
      <c r="D36">
        <v>3</v>
      </c>
      <c r="E36">
        <v>5101</v>
      </c>
      <c r="F36">
        <v>170</v>
      </c>
      <c r="I36">
        <v>1.3140000000000001</v>
      </c>
      <c r="J36">
        <v>0.27300000000000002</v>
      </c>
      <c r="K36">
        <v>9.89</v>
      </c>
      <c r="L36">
        <v>1</v>
      </c>
      <c r="M36">
        <v>202403</v>
      </c>
      <c r="N36">
        <v>999999</v>
      </c>
      <c r="O36">
        <v>9</v>
      </c>
      <c r="P36">
        <v>2</v>
      </c>
      <c r="Q36">
        <v>1</v>
      </c>
      <c r="R36">
        <v>129.399</v>
      </c>
      <c r="S36">
        <v>4</v>
      </c>
      <c r="T36">
        <v>9</v>
      </c>
    </row>
    <row r="37" spans="1:20" x14ac:dyDescent="0.25">
      <c r="A37">
        <v>202405</v>
      </c>
      <c r="B37">
        <v>640406</v>
      </c>
      <c r="C37" t="s">
        <v>0</v>
      </c>
      <c r="D37">
        <v>3</v>
      </c>
      <c r="E37">
        <v>5101</v>
      </c>
      <c r="F37">
        <v>57.5</v>
      </c>
      <c r="I37">
        <v>1.1499999999999999</v>
      </c>
      <c r="J37">
        <v>0.14000000000000001</v>
      </c>
      <c r="K37">
        <v>3.39</v>
      </c>
      <c r="L37">
        <v>1</v>
      </c>
      <c r="M37">
        <v>202402</v>
      </c>
      <c r="N37">
        <v>999999</v>
      </c>
      <c r="O37">
        <v>10</v>
      </c>
      <c r="P37">
        <v>2</v>
      </c>
      <c r="Q37">
        <v>1</v>
      </c>
      <c r="R37">
        <v>50</v>
      </c>
      <c r="S37">
        <v>3</v>
      </c>
      <c r="T37">
        <v>10</v>
      </c>
    </row>
    <row r="38" spans="1:20" x14ac:dyDescent="0.25">
      <c r="A38">
        <v>202405</v>
      </c>
      <c r="B38">
        <v>640406</v>
      </c>
      <c r="C38" t="s">
        <v>0</v>
      </c>
      <c r="D38">
        <v>4</v>
      </c>
      <c r="E38">
        <v>5106</v>
      </c>
      <c r="F38">
        <v>85.99</v>
      </c>
      <c r="I38">
        <v>0.48899999999999999</v>
      </c>
      <c r="J38">
        <v>-0.71599999999999997</v>
      </c>
      <c r="K38">
        <v>9.89</v>
      </c>
      <c r="L38">
        <v>1</v>
      </c>
      <c r="M38">
        <v>202402</v>
      </c>
      <c r="N38">
        <v>999999</v>
      </c>
      <c r="O38">
        <v>9</v>
      </c>
      <c r="P38">
        <v>1</v>
      </c>
      <c r="Q38">
        <v>1</v>
      </c>
      <c r="R38">
        <v>175.99</v>
      </c>
      <c r="S38">
        <v>3</v>
      </c>
      <c r="T38">
        <v>9</v>
      </c>
    </row>
    <row r="39" spans="1:20" x14ac:dyDescent="0.25">
      <c r="A39">
        <v>202405</v>
      </c>
      <c r="B39">
        <v>640406</v>
      </c>
      <c r="C39" t="s">
        <v>0</v>
      </c>
      <c r="D39">
        <v>1</v>
      </c>
      <c r="E39">
        <v>5112</v>
      </c>
      <c r="F39">
        <v>0</v>
      </c>
      <c r="G39" t="s">
        <v>1</v>
      </c>
      <c r="H39" t="s">
        <v>1</v>
      </c>
      <c r="I39">
        <v>0</v>
      </c>
      <c r="J39">
        <v>0</v>
      </c>
      <c r="K39">
        <v>1.01</v>
      </c>
      <c r="L39">
        <v>1</v>
      </c>
      <c r="M39">
        <v>202403</v>
      </c>
      <c r="N39">
        <v>999999</v>
      </c>
      <c r="O39">
        <v>13</v>
      </c>
      <c r="P39">
        <v>2</v>
      </c>
      <c r="Q39">
        <v>1</v>
      </c>
      <c r="R39">
        <v>113.423999999999</v>
      </c>
      <c r="S39">
        <v>4</v>
      </c>
      <c r="T39">
        <v>13</v>
      </c>
    </row>
    <row r="40" spans="1:20" x14ac:dyDescent="0.25">
      <c r="A40">
        <v>202405</v>
      </c>
      <c r="B40">
        <v>640406</v>
      </c>
      <c r="C40" t="s">
        <v>0</v>
      </c>
      <c r="D40">
        <v>3</v>
      </c>
      <c r="E40">
        <v>5117</v>
      </c>
      <c r="F40">
        <v>79</v>
      </c>
      <c r="I40">
        <v>1.099</v>
      </c>
      <c r="J40">
        <v>9.4E-2</v>
      </c>
      <c r="K40">
        <v>3.39</v>
      </c>
      <c r="L40">
        <v>1</v>
      </c>
      <c r="M40">
        <v>202402</v>
      </c>
      <c r="N40">
        <v>999999</v>
      </c>
      <c r="O40">
        <v>10</v>
      </c>
      <c r="P40">
        <v>2</v>
      </c>
      <c r="Q40">
        <v>1</v>
      </c>
      <c r="R40">
        <v>71.89</v>
      </c>
      <c r="S40">
        <v>3</v>
      </c>
      <c r="T40">
        <v>10</v>
      </c>
    </row>
    <row r="41" spans="1:20" x14ac:dyDescent="0.25">
      <c r="A41">
        <v>202405</v>
      </c>
      <c r="B41">
        <v>640406</v>
      </c>
      <c r="C41" t="s">
        <v>0</v>
      </c>
      <c r="D41">
        <v>3</v>
      </c>
      <c r="E41">
        <v>5120</v>
      </c>
      <c r="F41">
        <v>159.85</v>
      </c>
      <c r="I41">
        <v>1.3979999999999999</v>
      </c>
      <c r="J41">
        <v>0.33500000000000002</v>
      </c>
      <c r="K41">
        <v>18.440000000000001</v>
      </c>
      <c r="L41">
        <v>1</v>
      </c>
      <c r="M41">
        <v>202403</v>
      </c>
      <c r="N41">
        <v>999999</v>
      </c>
      <c r="O41">
        <v>3</v>
      </c>
      <c r="P41">
        <v>2</v>
      </c>
      <c r="Q41">
        <v>1</v>
      </c>
      <c r="R41">
        <v>114.36199999999999</v>
      </c>
      <c r="S41">
        <v>4</v>
      </c>
      <c r="T41">
        <v>3</v>
      </c>
    </row>
    <row r="42" spans="1:20" x14ac:dyDescent="0.25">
      <c r="A42">
        <v>202405</v>
      </c>
      <c r="B42">
        <v>640406</v>
      </c>
      <c r="C42" t="s">
        <v>0</v>
      </c>
      <c r="D42">
        <v>1</v>
      </c>
      <c r="E42">
        <v>5120</v>
      </c>
      <c r="F42">
        <v>0</v>
      </c>
      <c r="G42" t="s">
        <v>1</v>
      </c>
      <c r="H42" t="s">
        <v>1</v>
      </c>
      <c r="I42">
        <v>0</v>
      </c>
      <c r="J42">
        <v>0</v>
      </c>
      <c r="K42">
        <v>8.35</v>
      </c>
      <c r="L42">
        <v>1</v>
      </c>
      <c r="M42">
        <v>202402</v>
      </c>
      <c r="N42">
        <v>999999</v>
      </c>
      <c r="O42">
        <v>7</v>
      </c>
      <c r="P42">
        <v>2</v>
      </c>
      <c r="Q42">
        <v>1</v>
      </c>
      <c r="R42">
        <v>135.99</v>
      </c>
      <c r="S42">
        <v>3</v>
      </c>
      <c r="T42">
        <v>7</v>
      </c>
    </row>
    <row r="43" spans="1:20" x14ac:dyDescent="0.25">
      <c r="A43">
        <v>202405</v>
      </c>
      <c r="B43">
        <v>640406</v>
      </c>
      <c r="C43" t="s">
        <v>0</v>
      </c>
      <c r="D43">
        <v>3</v>
      </c>
      <c r="E43">
        <v>5122</v>
      </c>
      <c r="F43">
        <v>95</v>
      </c>
      <c r="I43">
        <v>1.208</v>
      </c>
      <c r="J43">
        <v>0.188999999999999</v>
      </c>
      <c r="K43">
        <v>5.76</v>
      </c>
      <c r="L43">
        <v>1</v>
      </c>
      <c r="M43">
        <v>202405</v>
      </c>
      <c r="N43">
        <v>999999</v>
      </c>
      <c r="O43">
        <v>11</v>
      </c>
      <c r="P43">
        <v>2</v>
      </c>
      <c r="Q43">
        <v>1</v>
      </c>
      <c r="R43">
        <v>78.650999999999996</v>
      </c>
      <c r="S43">
        <v>4</v>
      </c>
      <c r="T43">
        <v>11</v>
      </c>
    </row>
    <row r="44" spans="1:20" x14ac:dyDescent="0.25">
      <c r="A44">
        <v>202405</v>
      </c>
      <c r="B44">
        <v>640406</v>
      </c>
      <c r="C44" t="s">
        <v>0</v>
      </c>
      <c r="D44">
        <v>3</v>
      </c>
      <c r="E44">
        <v>5133</v>
      </c>
      <c r="F44">
        <v>90</v>
      </c>
      <c r="I44">
        <v>1.3140000000000001</v>
      </c>
      <c r="J44">
        <v>0.27300000000000002</v>
      </c>
      <c r="K44">
        <v>9.89</v>
      </c>
      <c r="L44">
        <v>1</v>
      </c>
      <c r="M44">
        <v>202402</v>
      </c>
      <c r="N44">
        <v>999999</v>
      </c>
      <c r="O44">
        <v>9</v>
      </c>
      <c r="P44">
        <v>2</v>
      </c>
      <c r="Q44">
        <v>1</v>
      </c>
      <c r="R44">
        <v>68.5</v>
      </c>
      <c r="S44">
        <v>3</v>
      </c>
      <c r="T44">
        <v>9</v>
      </c>
    </row>
    <row r="45" spans="1:20" x14ac:dyDescent="0.25">
      <c r="A45">
        <v>202405</v>
      </c>
      <c r="B45">
        <v>640406</v>
      </c>
      <c r="C45" t="s">
        <v>0</v>
      </c>
      <c r="D45">
        <v>1</v>
      </c>
      <c r="E45">
        <v>5180</v>
      </c>
      <c r="F45">
        <v>0</v>
      </c>
      <c r="G45" t="s">
        <v>1</v>
      </c>
      <c r="H45" t="s">
        <v>1</v>
      </c>
      <c r="I45">
        <v>0</v>
      </c>
      <c r="J45">
        <v>0</v>
      </c>
      <c r="K45">
        <v>7.87</v>
      </c>
      <c r="L45">
        <v>1</v>
      </c>
      <c r="M45">
        <v>202402</v>
      </c>
      <c r="N45">
        <v>999999</v>
      </c>
      <c r="O45">
        <v>12</v>
      </c>
      <c r="P45">
        <v>2</v>
      </c>
      <c r="Q45">
        <v>1</v>
      </c>
      <c r="R45">
        <v>100</v>
      </c>
      <c r="S45">
        <v>3</v>
      </c>
      <c r="T45">
        <v>12</v>
      </c>
    </row>
    <row r="46" spans="1:20" x14ac:dyDescent="0.25">
      <c r="A46">
        <v>202405</v>
      </c>
      <c r="B46">
        <v>640406</v>
      </c>
      <c r="C46" t="s">
        <v>0</v>
      </c>
      <c r="D46">
        <v>3</v>
      </c>
      <c r="E46">
        <v>5226</v>
      </c>
      <c r="F46">
        <v>126.99</v>
      </c>
      <c r="I46">
        <v>0.94799999999999995</v>
      </c>
      <c r="J46">
        <v>-5.3999999999999999E-2</v>
      </c>
      <c r="K46">
        <v>9.75</v>
      </c>
      <c r="L46">
        <v>1</v>
      </c>
      <c r="M46">
        <v>202402</v>
      </c>
      <c r="N46">
        <v>999999</v>
      </c>
      <c r="O46">
        <v>2</v>
      </c>
      <c r="P46">
        <v>1</v>
      </c>
      <c r="Q46">
        <v>1</v>
      </c>
      <c r="R46">
        <v>133.99</v>
      </c>
      <c r="S46">
        <v>3</v>
      </c>
      <c r="T46">
        <v>2</v>
      </c>
    </row>
    <row r="47" spans="1:20" x14ac:dyDescent="0.25">
      <c r="A47">
        <v>202405</v>
      </c>
      <c r="B47">
        <v>640406</v>
      </c>
      <c r="C47" t="s">
        <v>0</v>
      </c>
      <c r="D47">
        <v>1</v>
      </c>
      <c r="E47">
        <v>5246</v>
      </c>
      <c r="F47">
        <v>0</v>
      </c>
      <c r="G47" t="s">
        <v>1</v>
      </c>
      <c r="H47" t="s">
        <v>1</v>
      </c>
      <c r="I47">
        <v>0</v>
      </c>
      <c r="J47">
        <v>0</v>
      </c>
      <c r="K47">
        <v>9.75</v>
      </c>
      <c r="L47">
        <v>1</v>
      </c>
      <c r="M47">
        <v>202402</v>
      </c>
      <c r="N47">
        <v>999999</v>
      </c>
      <c r="O47">
        <v>2</v>
      </c>
      <c r="P47">
        <v>2</v>
      </c>
      <c r="Q47">
        <v>1</v>
      </c>
      <c r="R47">
        <v>175</v>
      </c>
      <c r="S47">
        <v>3</v>
      </c>
      <c r="T47">
        <v>2</v>
      </c>
    </row>
    <row r="48" spans="1:20" x14ac:dyDescent="0.25">
      <c r="A48">
        <v>202405</v>
      </c>
      <c r="B48">
        <v>640406</v>
      </c>
      <c r="C48" t="s">
        <v>0</v>
      </c>
      <c r="D48">
        <v>3</v>
      </c>
      <c r="E48">
        <v>5247</v>
      </c>
      <c r="F48">
        <v>164</v>
      </c>
      <c r="I48">
        <v>1.18</v>
      </c>
      <c r="J48">
        <v>0.16500000000000001</v>
      </c>
      <c r="K48">
        <v>9.75</v>
      </c>
      <c r="L48">
        <v>1</v>
      </c>
      <c r="M48">
        <v>202402</v>
      </c>
      <c r="N48">
        <v>999999</v>
      </c>
      <c r="O48">
        <v>2</v>
      </c>
      <c r="P48">
        <v>2</v>
      </c>
      <c r="Q48">
        <v>1</v>
      </c>
      <c r="R48">
        <v>139</v>
      </c>
      <c r="S48">
        <v>3</v>
      </c>
      <c r="T48">
        <v>2</v>
      </c>
    </row>
    <row r="49" spans="1:20" x14ac:dyDescent="0.25">
      <c r="A49">
        <v>202405</v>
      </c>
      <c r="B49">
        <v>640406</v>
      </c>
      <c r="C49" t="s">
        <v>0</v>
      </c>
      <c r="D49">
        <v>3</v>
      </c>
      <c r="E49">
        <v>5262</v>
      </c>
      <c r="F49">
        <v>515</v>
      </c>
      <c r="I49">
        <v>2.3839999999999999</v>
      </c>
      <c r="J49">
        <v>0.86899999999999999</v>
      </c>
      <c r="K49">
        <v>10.37</v>
      </c>
      <c r="L49">
        <v>1</v>
      </c>
      <c r="M49">
        <v>202402</v>
      </c>
      <c r="N49">
        <v>999999</v>
      </c>
      <c r="O49">
        <v>4</v>
      </c>
      <c r="P49">
        <v>2</v>
      </c>
      <c r="Q49">
        <v>1</v>
      </c>
      <c r="R49">
        <v>216</v>
      </c>
      <c r="S49">
        <v>3</v>
      </c>
      <c r="T49">
        <v>4</v>
      </c>
    </row>
    <row r="50" spans="1:20" x14ac:dyDescent="0.25">
      <c r="A50">
        <v>202405</v>
      </c>
      <c r="B50">
        <v>640406</v>
      </c>
      <c r="C50" t="s">
        <v>0</v>
      </c>
      <c r="D50">
        <v>1</v>
      </c>
      <c r="E50">
        <v>5291</v>
      </c>
      <c r="F50">
        <v>0</v>
      </c>
      <c r="G50" t="s">
        <v>1</v>
      </c>
      <c r="H50" t="s">
        <v>1</v>
      </c>
      <c r="I50">
        <v>0</v>
      </c>
      <c r="J50">
        <v>0</v>
      </c>
      <c r="K50">
        <v>9.75</v>
      </c>
      <c r="L50">
        <v>1</v>
      </c>
      <c r="M50">
        <v>202402</v>
      </c>
      <c r="N50">
        <v>999999</v>
      </c>
      <c r="O50">
        <v>2</v>
      </c>
      <c r="P50">
        <v>2</v>
      </c>
      <c r="Q50">
        <v>1</v>
      </c>
      <c r="R50">
        <v>110</v>
      </c>
      <c r="S50">
        <v>3</v>
      </c>
      <c r="T50">
        <v>2</v>
      </c>
    </row>
    <row r="51" spans="1:20" x14ac:dyDescent="0.25">
      <c r="A51">
        <v>202405</v>
      </c>
      <c r="B51">
        <v>640406</v>
      </c>
      <c r="C51" t="s">
        <v>0</v>
      </c>
      <c r="D51">
        <v>1</v>
      </c>
      <c r="E51">
        <v>5295</v>
      </c>
      <c r="F51">
        <v>0</v>
      </c>
      <c r="G51" t="s">
        <v>1</v>
      </c>
      <c r="H51" t="s">
        <v>1</v>
      </c>
      <c r="I51">
        <v>0</v>
      </c>
      <c r="J51">
        <v>0</v>
      </c>
      <c r="K51">
        <v>9.75</v>
      </c>
      <c r="L51">
        <v>1</v>
      </c>
      <c r="M51">
        <v>202402</v>
      </c>
      <c r="N51">
        <v>999999</v>
      </c>
      <c r="O51">
        <v>2</v>
      </c>
      <c r="P51">
        <v>2</v>
      </c>
      <c r="Q51">
        <v>1</v>
      </c>
      <c r="R51">
        <v>92</v>
      </c>
      <c r="S51">
        <v>3</v>
      </c>
      <c r="T51">
        <v>2</v>
      </c>
    </row>
    <row r="52" spans="1:20" x14ac:dyDescent="0.25">
      <c r="A52">
        <v>202405</v>
      </c>
      <c r="B52">
        <v>640406</v>
      </c>
      <c r="C52" t="s">
        <v>0</v>
      </c>
      <c r="D52">
        <v>3</v>
      </c>
      <c r="E52">
        <v>5323</v>
      </c>
      <c r="F52">
        <v>110</v>
      </c>
      <c r="I52">
        <v>1.4669999999999901</v>
      </c>
      <c r="J52">
        <v>0.38299999999999901</v>
      </c>
      <c r="K52">
        <v>7.87</v>
      </c>
      <c r="L52">
        <v>1</v>
      </c>
      <c r="M52">
        <v>202402</v>
      </c>
      <c r="N52">
        <v>999999</v>
      </c>
      <c r="O52">
        <v>12</v>
      </c>
      <c r="P52">
        <v>2</v>
      </c>
      <c r="Q52">
        <v>1</v>
      </c>
      <c r="R52">
        <v>75</v>
      </c>
      <c r="S52">
        <v>3</v>
      </c>
      <c r="T52">
        <v>12</v>
      </c>
    </row>
    <row r="53" spans="1:20" x14ac:dyDescent="0.25">
      <c r="A53">
        <v>202405</v>
      </c>
      <c r="B53">
        <v>640406</v>
      </c>
      <c r="C53" t="s">
        <v>0</v>
      </c>
      <c r="D53">
        <v>1</v>
      </c>
      <c r="E53">
        <v>14310</v>
      </c>
      <c r="F53">
        <v>0</v>
      </c>
      <c r="G53" t="s">
        <v>1</v>
      </c>
      <c r="H53" t="s">
        <v>1</v>
      </c>
      <c r="I53">
        <v>0</v>
      </c>
      <c r="J53">
        <v>0</v>
      </c>
      <c r="K53">
        <v>9.75</v>
      </c>
      <c r="L53">
        <v>1</v>
      </c>
      <c r="M53">
        <v>202402</v>
      </c>
      <c r="N53">
        <v>999999</v>
      </c>
      <c r="O53">
        <v>2</v>
      </c>
      <c r="P53">
        <v>2</v>
      </c>
      <c r="Q53">
        <v>1</v>
      </c>
      <c r="R53">
        <v>65</v>
      </c>
      <c r="S53">
        <v>3</v>
      </c>
      <c r="T53">
        <v>2</v>
      </c>
    </row>
    <row r="54" spans="1:20" x14ac:dyDescent="0.25">
      <c r="A54">
        <v>202405</v>
      </c>
      <c r="B54">
        <v>640406</v>
      </c>
      <c r="C54" t="s">
        <v>0</v>
      </c>
      <c r="D54">
        <v>3</v>
      </c>
      <c r="E54">
        <v>14593</v>
      </c>
      <c r="F54">
        <v>46</v>
      </c>
      <c r="I54">
        <v>1.218</v>
      </c>
      <c r="J54">
        <v>0.19699999999999901</v>
      </c>
      <c r="K54">
        <v>8.35</v>
      </c>
      <c r="L54">
        <v>1</v>
      </c>
      <c r="M54">
        <v>202404</v>
      </c>
      <c r="N54">
        <v>999999</v>
      </c>
      <c r="O54">
        <v>7</v>
      </c>
      <c r="P54">
        <v>2</v>
      </c>
      <c r="Q54">
        <v>1</v>
      </c>
      <c r="R54">
        <v>37.762999999999998</v>
      </c>
      <c r="S54">
        <v>4</v>
      </c>
      <c r="T54">
        <v>7</v>
      </c>
    </row>
    <row r="55" spans="1:20" x14ac:dyDescent="0.25">
      <c r="A55">
        <v>202405</v>
      </c>
      <c r="B55">
        <v>640406</v>
      </c>
      <c r="C55" t="s">
        <v>0</v>
      </c>
      <c r="D55">
        <v>3</v>
      </c>
      <c r="E55">
        <v>14596</v>
      </c>
      <c r="F55">
        <v>60</v>
      </c>
      <c r="I55">
        <v>1.25</v>
      </c>
      <c r="J55">
        <v>0.223</v>
      </c>
      <c r="K55">
        <v>9.89</v>
      </c>
      <c r="L55">
        <v>1</v>
      </c>
      <c r="M55">
        <v>202404</v>
      </c>
      <c r="N55">
        <v>999999</v>
      </c>
      <c r="O55">
        <v>9</v>
      </c>
      <c r="P55">
        <v>2</v>
      </c>
      <c r="Q55">
        <v>1</v>
      </c>
      <c r="R55">
        <v>48.012</v>
      </c>
      <c r="S55">
        <v>4</v>
      </c>
      <c r="T55">
        <v>9</v>
      </c>
    </row>
    <row r="56" spans="1:20" x14ac:dyDescent="0.25">
      <c r="A56">
        <v>202405</v>
      </c>
      <c r="B56">
        <v>640406</v>
      </c>
      <c r="C56" t="s">
        <v>0</v>
      </c>
      <c r="D56">
        <v>3</v>
      </c>
      <c r="E56">
        <v>14598</v>
      </c>
      <c r="F56">
        <v>85</v>
      </c>
      <c r="I56">
        <v>1.0900000000000001</v>
      </c>
      <c r="J56">
        <v>8.5999999999999993E-2</v>
      </c>
      <c r="K56">
        <v>10.37</v>
      </c>
      <c r="L56">
        <v>1</v>
      </c>
      <c r="M56">
        <v>202402</v>
      </c>
      <c r="N56">
        <v>999999</v>
      </c>
      <c r="O56">
        <v>4</v>
      </c>
      <c r="P56">
        <v>2</v>
      </c>
      <c r="Q56">
        <v>1</v>
      </c>
      <c r="R56">
        <v>78</v>
      </c>
      <c r="S56">
        <v>3</v>
      </c>
      <c r="T56">
        <v>4</v>
      </c>
    </row>
    <row r="57" spans="1:20" x14ac:dyDescent="0.25">
      <c r="A57">
        <v>202405</v>
      </c>
      <c r="B57">
        <v>640406</v>
      </c>
      <c r="C57" t="s">
        <v>0</v>
      </c>
      <c r="D57">
        <v>3</v>
      </c>
      <c r="E57">
        <v>14601</v>
      </c>
      <c r="F57">
        <v>96</v>
      </c>
      <c r="I57">
        <v>1.2629999999999999</v>
      </c>
      <c r="J57">
        <v>0.23399999999999899</v>
      </c>
      <c r="K57">
        <v>9.36</v>
      </c>
      <c r="L57">
        <v>1</v>
      </c>
      <c r="M57">
        <v>202402</v>
      </c>
      <c r="N57">
        <v>999999</v>
      </c>
      <c r="O57">
        <v>8</v>
      </c>
      <c r="P57">
        <v>2</v>
      </c>
      <c r="Q57">
        <v>1</v>
      </c>
      <c r="R57">
        <v>76</v>
      </c>
      <c r="S57">
        <v>3</v>
      </c>
      <c r="T57">
        <v>8</v>
      </c>
    </row>
    <row r="58" spans="1:20" x14ac:dyDescent="0.25">
      <c r="A58">
        <v>202405</v>
      </c>
      <c r="B58">
        <v>640406</v>
      </c>
      <c r="C58" t="s">
        <v>0</v>
      </c>
      <c r="D58">
        <v>3</v>
      </c>
      <c r="E58">
        <v>14629</v>
      </c>
      <c r="F58">
        <v>105</v>
      </c>
      <c r="I58">
        <v>0.97699999999999998</v>
      </c>
      <c r="J58">
        <v>-2.4E-2</v>
      </c>
      <c r="K58">
        <v>8.24</v>
      </c>
      <c r="L58">
        <v>1</v>
      </c>
      <c r="M58">
        <v>202402</v>
      </c>
      <c r="N58">
        <v>999999</v>
      </c>
      <c r="O58">
        <v>5</v>
      </c>
      <c r="P58">
        <v>2</v>
      </c>
      <c r="Q58">
        <v>1</v>
      </c>
      <c r="R58">
        <v>107.5</v>
      </c>
      <c r="S58">
        <v>3</v>
      </c>
      <c r="T58">
        <v>5</v>
      </c>
    </row>
    <row r="59" spans="1:20" x14ac:dyDescent="0.25">
      <c r="A59">
        <v>202405</v>
      </c>
      <c r="B59">
        <v>640406</v>
      </c>
      <c r="C59" t="s">
        <v>0</v>
      </c>
      <c r="D59">
        <v>1</v>
      </c>
      <c r="E59">
        <v>14804</v>
      </c>
      <c r="F59">
        <v>0</v>
      </c>
      <c r="G59" t="s">
        <v>1</v>
      </c>
      <c r="H59" t="s">
        <v>1</v>
      </c>
      <c r="I59">
        <v>0</v>
      </c>
      <c r="J59">
        <v>0</v>
      </c>
      <c r="K59">
        <v>8.24</v>
      </c>
      <c r="L59">
        <v>1</v>
      </c>
      <c r="M59">
        <v>202402</v>
      </c>
      <c r="N59">
        <v>999999</v>
      </c>
      <c r="O59">
        <v>5</v>
      </c>
      <c r="P59">
        <v>2</v>
      </c>
      <c r="Q59">
        <v>1</v>
      </c>
      <c r="R59">
        <v>135.5</v>
      </c>
      <c r="S59">
        <v>3</v>
      </c>
      <c r="T59">
        <v>5</v>
      </c>
    </row>
    <row r="60" spans="1:20" x14ac:dyDescent="0.25">
      <c r="A60">
        <v>202405</v>
      </c>
      <c r="B60">
        <v>640406</v>
      </c>
      <c r="C60" t="s">
        <v>0</v>
      </c>
      <c r="D60">
        <v>1</v>
      </c>
      <c r="E60">
        <v>15449</v>
      </c>
      <c r="F60">
        <v>0</v>
      </c>
      <c r="G60" t="s">
        <v>1</v>
      </c>
      <c r="H60" t="s">
        <v>1</v>
      </c>
      <c r="I60">
        <v>0</v>
      </c>
      <c r="J60">
        <v>0</v>
      </c>
      <c r="K60">
        <v>18.440000000000001</v>
      </c>
      <c r="L60">
        <v>1</v>
      </c>
      <c r="M60">
        <v>202402</v>
      </c>
      <c r="N60">
        <v>999999</v>
      </c>
      <c r="O60">
        <v>3</v>
      </c>
      <c r="P60">
        <v>2</v>
      </c>
      <c r="Q60">
        <v>1</v>
      </c>
      <c r="R60">
        <v>101</v>
      </c>
      <c r="S60">
        <v>3</v>
      </c>
      <c r="T60">
        <v>3</v>
      </c>
    </row>
    <row r="61" spans="1:20" x14ac:dyDescent="0.25">
      <c r="A61">
        <v>202405</v>
      </c>
      <c r="B61">
        <v>640406</v>
      </c>
      <c r="C61" t="s">
        <v>0</v>
      </c>
      <c r="D61">
        <v>3</v>
      </c>
      <c r="E61">
        <v>15450</v>
      </c>
      <c r="F61">
        <v>399</v>
      </c>
      <c r="I61">
        <v>1.381</v>
      </c>
      <c r="J61">
        <v>0.32299999999999901</v>
      </c>
      <c r="K61">
        <v>9.75</v>
      </c>
      <c r="L61">
        <v>1</v>
      </c>
      <c r="M61">
        <v>202402</v>
      </c>
      <c r="N61">
        <v>999999</v>
      </c>
      <c r="O61">
        <v>2</v>
      </c>
      <c r="P61">
        <v>2</v>
      </c>
      <c r="Q61">
        <v>1</v>
      </c>
      <c r="R61">
        <v>289</v>
      </c>
      <c r="S61">
        <v>3</v>
      </c>
      <c r="T61">
        <v>2</v>
      </c>
    </row>
    <row r="62" spans="1:20" x14ac:dyDescent="0.25">
      <c r="A62">
        <v>202405</v>
      </c>
      <c r="B62">
        <v>640406</v>
      </c>
      <c r="C62" t="s">
        <v>0</v>
      </c>
      <c r="D62">
        <v>1</v>
      </c>
      <c r="E62">
        <v>15452</v>
      </c>
      <c r="F62">
        <v>0</v>
      </c>
      <c r="G62" t="s">
        <v>1</v>
      </c>
      <c r="H62" t="s">
        <v>1</v>
      </c>
      <c r="I62">
        <v>0</v>
      </c>
      <c r="J62">
        <v>0</v>
      </c>
      <c r="K62">
        <v>8.24</v>
      </c>
      <c r="L62">
        <v>1</v>
      </c>
      <c r="M62">
        <v>202402</v>
      </c>
      <c r="N62">
        <v>999999</v>
      </c>
      <c r="O62">
        <v>5</v>
      </c>
      <c r="P62">
        <v>1</v>
      </c>
      <c r="Q62">
        <v>1</v>
      </c>
      <c r="R62">
        <v>148</v>
      </c>
      <c r="S62">
        <v>3</v>
      </c>
      <c r="T62">
        <v>5</v>
      </c>
    </row>
    <row r="63" spans="1:20" x14ac:dyDescent="0.25">
      <c r="A63">
        <v>202405</v>
      </c>
      <c r="B63">
        <v>640406</v>
      </c>
      <c r="C63" t="s">
        <v>0</v>
      </c>
      <c r="D63">
        <v>3</v>
      </c>
      <c r="E63">
        <v>15609</v>
      </c>
      <c r="F63">
        <v>99</v>
      </c>
      <c r="I63">
        <v>1.2529999999999999</v>
      </c>
      <c r="J63">
        <v>0.22600000000000001</v>
      </c>
      <c r="K63">
        <v>9.75</v>
      </c>
      <c r="L63">
        <v>1</v>
      </c>
      <c r="M63">
        <v>202402</v>
      </c>
      <c r="N63">
        <v>999999</v>
      </c>
      <c r="O63">
        <v>2</v>
      </c>
      <c r="P63">
        <v>2</v>
      </c>
      <c r="Q63">
        <v>1</v>
      </c>
      <c r="R63">
        <v>79</v>
      </c>
      <c r="S63">
        <v>3</v>
      </c>
      <c r="T63">
        <v>2</v>
      </c>
    </row>
    <row r="64" spans="1:20" x14ac:dyDescent="0.25">
      <c r="A64">
        <v>202405</v>
      </c>
      <c r="B64">
        <v>640406</v>
      </c>
      <c r="C64" t="s">
        <v>0</v>
      </c>
      <c r="D64">
        <v>3</v>
      </c>
      <c r="E64">
        <v>15671</v>
      </c>
      <c r="F64">
        <v>64</v>
      </c>
      <c r="I64">
        <v>1.208</v>
      </c>
      <c r="J64">
        <v>0.188999999999999</v>
      </c>
      <c r="K64">
        <v>5.76</v>
      </c>
      <c r="L64">
        <v>1</v>
      </c>
      <c r="M64">
        <v>202405</v>
      </c>
      <c r="N64">
        <v>999999</v>
      </c>
      <c r="O64">
        <v>11</v>
      </c>
      <c r="P64">
        <v>2</v>
      </c>
      <c r="Q64">
        <v>1</v>
      </c>
      <c r="R64">
        <v>52.985999999999997</v>
      </c>
      <c r="S64">
        <v>4</v>
      </c>
      <c r="T64">
        <v>11</v>
      </c>
    </row>
    <row r="65" spans="1:20" x14ac:dyDescent="0.25">
      <c r="A65">
        <v>202405</v>
      </c>
      <c r="B65">
        <v>640406</v>
      </c>
      <c r="C65" t="s">
        <v>0</v>
      </c>
      <c r="D65">
        <v>1</v>
      </c>
      <c r="E65">
        <v>15689</v>
      </c>
      <c r="F65">
        <v>0</v>
      </c>
      <c r="G65" t="s">
        <v>1</v>
      </c>
      <c r="H65" t="s">
        <v>1</v>
      </c>
      <c r="I65">
        <v>0</v>
      </c>
      <c r="J65">
        <v>0</v>
      </c>
      <c r="K65">
        <v>1.01</v>
      </c>
      <c r="L65">
        <v>1</v>
      </c>
      <c r="M65">
        <v>202402</v>
      </c>
      <c r="N65">
        <v>999999</v>
      </c>
      <c r="O65">
        <v>13</v>
      </c>
      <c r="P65">
        <v>2</v>
      </c>
      <c r="Q65">
        <v>1</v>
      </c>
      <c r="R65">
        <v>125</v>
      </c>
      <c r="S65">
        <v>3</v>
      </c>
      <c r="T65">
        <v>13</v>
      </c>
    </row>
    <row r="66" spans="1:20" x14ac:dyDescent="0.25">
      <c r="A66">
        <v>202405</v>
      </c>
      <c r="B66">
        <v>640406</v>
      </c>
      <c r="C66" t="s">
        <v>0</v>
      </c>
      <c r="D66">
        <v>1</v>
      </c>
      <c r="E66">
        <v>16040</v>
      </c>
      <c r="F66">
        <v>0</v>
      </c>
      <c r="G66" t="s">
        <v>1</v>
      </c>
      <c r="H66" t="s">
        <v>1</v>
      </c>
      <c r="I66">
        <v>0</v>
      </c>
      <c r="J66">
        <v>0</v>
      </c>
      <c r="K66">
        <v>7.57</v>
      </c>
      <c r="L66">
        <v>1</v>
      </c>
      <c r="M66">
        <v>202402</v>
      </c>
      <c r="N66">
        <v>999999</v>
      </c>
      <c r="O66">
        <v>6</v>
      </c>
      <c r="P66">
        <v>2</v>
      </c>
      <c r="Q66">
        <v>1</v>
      </c>
      <c r="R66">
        <v>122.99</v>
      </c>
      <c r="S66">
        <v>3</v>
      </c>
      <c r="T66">
        <v>6</v>
      </c>
    </row>
    <row r="67" spans="1:20" x14ac:dyDescent="0.25">
      <c r="A67">
        <v>202405</v>
      </c>
      <c r="B67">
        <v>640406</v>
      </c>
      <c r="C67" t="s">
        <v>0</v>
      </c>
      <c r="D67">
        <v>3</v>
      </c>
      <c r="E67">
        <v>16063</v>
      </c>
      <c r="F67">
        <v>75</v>
      </c>
      <c r="I67">
        <v>0.93799999999999994</v>
      </c>
      <c r="J67">
        <v>-6.5000000000000002E-2</v>
      </c>
      <c r="K67">
        <v>8.24</v>
      </c>
      <c r="L67">
        <v>1</v>
      </c>
      <c r="M67">
        <v>202402</v>
      </c>
      <c r="N67">
        <v>999999</v>
      </c>
      <c r="O67">
        <v>5</v>
      </c>
      <c r="P67">
        <v>1</v>
      </c>
      <c r="Q67">
        <v>1</v>
      </c>
      <c r="R67">
        <v>80</v>
      </c>
      <c r="S67">
        <v>3</v>
      </c>
      <c r="T67">
        <v>5</v>
      </c>
    </row>
    <row r="68" spans="1:20" x14ac:dyDescent="0.25">
      <c r="A68">
        <v>202405</v>
      </c>
      <c r="B68">
        <v>640406</v>
      </c>
      <c r="C68" t="s">
        <v>0</v>
      </c>
      <c r="D68">
        <v>4</v>
      </c>
      <c r="E68">
        <v>16065</v>
      </c>
      <c r="F68">
        <v>142.99</v>
      </c>
      <c r="I68">
        <v>1.663</v>
      </c>
      <c r="J68">
        <v>0.50900000000000001</v>
      </c>
      <c r="K68">
        <v>8.24</v>
      </c>
      <c r="L68">
        <v>1</v>
      </c>
      <c r="M68">
        <v>202402</v>
      </c>
      <c r="N68">
        <v>999999</v>
      </c>
      <c r="O68">
        <v>5</v>
      </c>
      <c r="P68">
        <v>2</v>
      </c>
      <c r="Q68">
        <v>1</v>
      </c>
      <c r="R68">
        <v>85.99</v>
      </c>
      <c r="S68">
        <v>3</v>
      </c>
      <c r="T68">
        <v>5</v>
      </c>
    </row>
    <row r="69" spans="1:20" x14ac:dyDescent="0.25">
      <c r="A69">
        <v>202405</v>
      </c>
      <c r="B69">
        <v>640406</v>
      </c>
      <c r="C69" t="s">
        <v>0</v>
      </c>
      <c r="D69">
        <v>4</v>
      </c>
      <c r="E69">
        <v>16067</v>
      </c>
      <c r="F69">
        <v>83.99</v>
      </c>
      <c r="I69">
        <v>0.80799999999999905</v>
      </c>
      <c r="J69">
        <v>-0.214</v>
      </c>
      <c r="K69">
        <v>3.39</v>
      </c>
      <c r="L69">
        <v>1</v>
      </c>
      <c r="M69">
        <v>202402</v>
      </c>
      <c r="N69">
        <v>999999</v>
      </c>
      <c r="O69">
        <v>10</v>
      </c>
      <c r="P69">
        <v>2</v>
      </c>
      <c r="Q69">
        <v>1</v>
      </c>
      <c r="R69">
        <v>103.99</v>
      </c>
      <c r="S69">
        <v>3</v>
      </c>
      <c r="T69">
        <v>10</v>
      </c>
    </row>
    <row r="70" spans="1:20" x14ac:dyDescent="0.25">
      <c r="A70">
        <v>202405</v>
      </c>
      <c r="B70">
        <v>640406</v>
      </c>
      <c r="C70" t="s">
        <v>0</v>
      </c>
      <c r="D70">
        <v>1</v>
      </c>
      <c r="E70">
        <v>16103</v>
      </c>
      <c r="F70">
        <v>0</v>
      </c>
      <c r="G70" t="s">
        <v>1</v>
      </c>
      <c r="H70" t="s">
        <v>1</v>
      </c>
      <c r="I70">
        <v>0</v>
      </c>
      <c r="J70">
        <v>0</v>
      </c>
      <c r="K70">
        <v>9.36</v>
      </c>
      <c r="L70">
        <v>1</v>
      </c>
      <c r="M70">
        <v>202402</v>
      </c>
      <c r="N70">
        <v>999999</v>
      </c>
      <c r="O70">
        <v>8</v>
      </c>
      <c r="P70">
        <v>1</v>
      </c>
      <c r="Q70">
        <v>1</v>
      </c>
      <c r="R70">
        <v>108</v>
      </c>
      <c r="S70">
        <v>3</v>
      </c>
      <c r="T70">
        <v>8</v>
      </c>
    </row>
    <row r="71" spans="1:20" x14ac:dyDescent="0.25">
      <c r="A71">
        <v>202405</v>
      </c>
      <c r="B71">
        <v>640406</v>
      </c>
      <c r="C71" t="s">
        <v>0</v>
      </c>
      <c r="D71">
        <v>4</v>
      </c>
      <c r="E71">
        <v>16107</v>
      </c>
      <c r="F71">
        <v>264.99</v>
      </c>
      <c r="I71">
        <v>2.573</v>
      </c>
      <c r="J71">
        <v>0.94499999999999995</v>
      </c>
      <c r="K71">
        <v>7.87</v>
      </c>
      <c r="L71">
        <v>1</v>
      </c>
      <c r="M71">
        <v>202402</v>
      </c>
      <c r="N71">
        <v>999999</v>
      </c>
      <c r="O71">
        <v>12</v>
      </c>
      <c r="P71">
        <v>2</v>
      </c>
      <c r="Q71">
        <v>1</v>
      </c>
      <c r="R71">
        <v>102.99</v>
      </c>
      <c r="S71">
        <v>3</v>
      </c>
      <c r="T71">
        <v>12</v>
      </c>
    </row>
    <row r="72" spans="1:20" x14ac:dyDescent="0.25">
      <c r="A72">
        <v>202405</v>
      </c>
      <c r="B72">
        <v>640406</v>
      </c>
      <c r="C72" t="s">
        <v>0</v>
      </c>
      <c r="D72">
        <v>3</v>
      </c>
      <c r="E72">
        <v>16111</v>
      </c>
      <c r="F72">
        <v>109.75</v>
      </c>
      <c r="I72">
        <v>1.3180000000000001</v>
      </c>
      <c r="J72">
        <v>0.27600000000000002</v>
      </c>
      <c r="K72">
        <v>9.89</v>
      </c>
      <c r="L72">
        <v>1</v>
      </c>
      <c r="M72">
        <v>202404</v>
      </c>
      <c r="N72">
        <v>999999</v>
      </c>
      <c r="O72">
        <v>9</v>
      </c>
      <c r="P72">
        <v>2</v>
      </c>
      <c r="Q72">
        <v>1</v>
      </c>
      <c r="R72">
        <v>83.260999999999996</v>
      </c>
      <c r="S72">
        <v>4</v>
      </c>
      <c r="T72">
        <v>9</v>
      </c>
    </row>
    <row r="73" spans="1:20" x14ac:dyDescent="0.25">
      <c r="A73">
        <v>202405</v>
      </c>
      <c r="B73">
        <v>640406</v>
      </c>
      <c r="C73" t="s">
        <v>0</v>
      </c>
      <c r="D73">
        <v>1</v>
      </c>
      <c r="E73">
        <v>16123</v>
      </c>
      <c r="F73">
        <v>0</v>
      </c>
      <c r="G73" t="s">
        <v>1</v>
      </c>
      <c r="H73" t="s">
        <v>1</v>
      </c>
      <c r="I73">
        <v>0</v>
      </c>
      <c r="J73">
        <v>0</v>
      </c>
      <c r="K73">
        <v>7.87</v>
      </c>
      <c r="L73">
        <v>1</v>
      </c>
      <c r="M73">
        <v>202403</v>
      </c>
      <c r="N73">
        <v>999999</v>
      </c>
      <c r="O73">
        <v>12</v>
      </c>
      <c r="P73">
        <v>1</v>
      </c>
      <c r="Q73">
        <v>1</v>
      </c>
      <c r="R73">
        <v>71.066999999999993</v>
      </c>
      <c r="S73">
        <v>4</v>
      </c>
      <c r="T73">
        <v>12</v>
      </c>
    </row>
    <row r="74" spans="1:20" x14ac:dyDescent="0.25">
      <c r="A74">
        <v>202405</v>
      </c>
      <c r="B74">
        <v>640406</v>
      </c>
      <c r="C74" t="s">
        <v>0</v>
      </c>
      <c r="D74">
        <v>3</v>
      </c>
      <c r="E74">
        <v>16386</v>
      </c>
      <c r="F74">
        <v>160</v>
      </c>
      <c r="I74">
        <v>1.2030000000000001</v>
      </c>
      <c r="J74">
        <v>0.185</v>
      </c>
      <c r="K74">
        <v>7.57</v>
      </c>
      <c r="L74">
        <v>1</v>
      </c>
      <c r="M74">
        <v>202402</v>
      </c>
      <c r="N74">
        <v>999999</v>
      </c>
      <c r="O74">
        <v>6</v>
      </c>
      <c r="P74">
        <v>2</v>
      </c>
      <c r="Q74">
        <v>1</v>
      </c>
      <c r="R74">
        <v>133</v>
      </c>
      <c r="S74">
        <v>3</v>
      </c>
      <c r="T74">
        <v>6</v>
      </c>
    </row>
    <row r="75" spans="1:20" x14ac:dyDescent="0.25">
      <c r="A75">
        <v>202405</v>
      </c>
      <c r="B75">
        <v>640406</v>
      </c>
      <c r="C75" t="s">
        <v>0</v>
      </c>
      <c r="D75">
        <v>3</v>
      </c>
      <c r="E75">
        <v>16387</v>
      </c>
      <c r="F75">
        <v>90</v>
      </c>
      <c r="I75">
        <v>1.25</v>
      </c>
      <c r="J75">
        <v>0.223</v>
      </c>
      <c r="K75">
        <v>10.37</v>
      </c>
      <c r="L75">
        <v>1</v>
      </c>
      <c r="M75">
        <v>202402</v>
      </c>
      <c r="N75">
        <v>999999</v>
      </c>
      <c r="O75">
        <v>4</v>
      </c>
      <c r="P75">
        <v>1</v>
      </c>
      <c r="Q75">
        <v>1</v>
      </c>
      <c r="R75">
        <v>72</v>
      </c>
      <c r="S75">
        <v>3</v>
      </c>
      <c r="T75">
        <v>4</v>
      </c>
    </row>
    <row r="76" spans="1:20" x14ac:dyDescent="0.25">
      <c r="A76">
        <v>202405</v>
      </c>
      <c r="B76">
        <v>640406</v>
      </c>
      <c r="C76" t="s">
        <v>0</v>
      </c>
      <c r="D76">
        <v>3</v>
      </c>
      <c r="E76">
        <v>16599</v>
      </c>
      <c r="F76">
        <v>85</v>
      </c>
      <c r="I76">
        <v>1.5449999999999999</v>
      </c>
      <c r="J76">
        <v>0.435</v>
      </c>
      <c r="K76">
        <v>18.440000000000001</v>
      </c>
      <c r="L76">
        <v>1</v>
      </c>
      <c r="M76">
        <v>202402</v>
      </c>
      <c r="N76">
        <v>999999</v>
      </c>
      <c r="O76">
        <v>3</v>
      </c>
      <c r="P76">
        <v>1</v>
      </c>
      <c r="Q76">
        <v>1</v>
      </c>
      <c r="R76">
        <v>55</v>
      </c>
      <c r="S76">
        <v>3</v>
      </c>
      <c r="T76">
        <v>3</v>
      </c>
    </row>
    <row r="77" spans="1:20" x14ac:dyDescent="0.25">
      <c r="A77">
        <v>202405</v>
      </c>
      <c r="B77">
        <v>640406</v>
      </c>
      <c r="C77" t="s">
        <v>0</v>
      </c>
      <c r="D77">
        <v>1</v>
      </c>
      <c r="E77">
        <v>18012</v>
      </c>
      <c r="F77">
        <v>0</v>
      </c>
      <c r="G77" t="s">
        <v>1</v>
      </c>
      <c r="H77" t="s">
        <v>1</v>
      </c>
      <c r="I77">
        <v>0</v>
      </c>
      <c r="J77">
        <v>0</v>
      </c>
      <c r="K77">
        <v>9.75</v>
      </c>
      <c r="L77">
        <v>1</v>
      </c>
      <c r="M77">
        <v>202402</v>
      </c>
      <c r="N77">
        <v>999999</v>
      </c>
      <c r="O77">
        <v>2</v>
      </c>
      <c r="P77">
        <v>2</v>
      </c>
      <c r="Q77">
        <v>1</v>
      </c>
      <c r="R77">
        <v>95</v>
      </c>
      <c r="S77">
        <v>3</v>
      </c>
      <c r="T77">
        <v>2</v>
      </c>
    </row>
    <row r="78" spans="1:20" x14ac:dyDescent="0.25">
      <c r="A78">
        <v>202405</v>
      </c>
      <c r="B78">
        <v>640406</v>
      </c>
      <c r="C78" t="s">
        <v>0</v>
      </c>
      <c r="D78">
        <v>3</v>
      </c>
      <c r="E78">
        <v>18013</v>
      </c>
      <c r="F78">
        <v>50</v>
      </c>
      <c r="I78">
        <v>1.0840000000000001</v>
      </c>
      <c r="J78">
        <v>8.1000000000000003E-2</v>
      </c>
      <c r="K78">
        <v>9.75</v>
      </c>
      <c r="L78">
        <v>1</v>
      </c>
      <c r="M78">
        <v>202404</v>
      </c>
      <c r="N78">
        <v>999999</v>
      </c>
      <c r="O78">
        <v>2</v>
      </c>
      <c r="P78">
        <v>2</v>
      </c>
      <c r="Q78">
        <v>1</v>
      </c>
      <c r="R78">
        <v>46.113</v>
      </c>
      <c r="S78">
        <v>4</v>
      </c>
      <c r="T78">
        <v>2</v>
      </c>
    </row>
    <row r="79" spans="1:20" x14ac:dyDescent="0.25">
      <c r="A79">
        <v>202405</v>
      </c>
      <c r="B79">
        <v>640406</v>
      </c>
      <c r="C79" t="s">
        <v>0</v>
      </c>
      <c r="D79">
        <v>1</v>
      </c>
      <c r="E79">
        <v>18015</v>
      </c>
      <c r="F79">
        <v>0</v>
      </c>
      <c r="G79" t="s">
        <v>1</v>
      </c>
      <c r="H79" t="s">
        <v>1</v>
      </c>
      <c r="I79">
        <v>0</v>
      </c>
      <c r="J79">
        <v>0</v>
      </c>
      <c r="K79">
        <v>18.440000000000001</v>
      </c>
      <c r="L79">
        <v>1</v>
      </c>
      <c r="M79">
        <v>202402</v>
      </c>
      <c r="N79">
        <v>999999</v>
      </c>
      <c r="O79">
        <v>3</v>
      </c>
      <c r="P79">
        <v>2</v>
      </c>
      <c r="Q79">
        <v>1</v>
      </c>
      <c r="R79">
        <v>111.5</v>
      </c>
      <c r="S79">
        <v>3</v>
      </c>
      <c r="T79">
        <v>3</v>
      </c>
    </row>
    <row r="80" spans="1:20" x14ac:dyDescent="0.25">
      <c r="A80">
        <v>202405</v>
      </c>
      <c r="B80">
        <v>640406</v>
      </c>
      <c r="C80" t="s">
        <v>0</v>
      </c>
      <c r="D80">
        <v>1</v>
      </c>
      <c r="E80">
        <v>18016</v>
      </c>
      <c r="F80">
        <v>0</v>
      </c>
      <c r="G80" t="s">
        <v>1</v>
      </c>
      <c r="H80" t="s">
        <v>1</v>
      </c>
      <c r="I80">
        <v>0</v>
      </c>
      <c r="J80">
        <v>0</v>
      </c>
      <c r="K80">
        <v>9.89</v>
      </c>
      <c r="L80">
        <v>1</v>
      </c>
      <c r="M80">
        <v>202402</v>
      </c>
      <c r="N80">
        <v>999999</v>
      </c>
      <c r="O80">
        <v>9</v>
      </c>
      <c r="P80">
        <v>2</v>
      </c>
      <c r="Q80">
        <v>1</v>
      </c>
      <c r="R80">
        <v>57</v>
      </c>
      <c r="S80">
        <v>3</v>
      </c>
      <c r="T80">
        <v>9</v>
      </c>
    </row>
    <row r="81" spans="1:20" x14ac:dyDescent="0.25">
      <c r="A81">
        <v>202405</v>
      </c>
      <c r="B81">
        <v>640406</v>
      </c>
      <c r="C81" t="s">
        <v>0</v>
      </c>
      <c r="D81">
        <v>1</v>
      </c>
      <c r="E81">
        <v>18017</v>
      </c>
      <c r="F81">
        <v>0</v>
      </c>
      <c r="G81" t="s">
        <v>1</v>
      </c>
      <c r="H81" t="s">
        <v>1</v>
      </c>
      <c r="I81">
        <v>0</v>
      </c>
      <c r="J81">
        <v>0</v>
      </c>
      <c r="K81">
        <v>8.35</v>
      </c>
      <c r="L81">
        <v>1</v>
      </c>
      <c r="M81">
        <v>202402</v>
      </c>
      <c r="N81">
        <v>999999</v>
      </c>
      <c r="O81">
        <v>7</v>
      </c>
      <c r="P81">
        <v>2</v>
      </c>
      <c r="Q81">
        <v>1</v>
      </c>
      <c r="R81">
        <v>189</v>
      </c>
      <c r="S81">
        <v>3</v>
      </c>
      <c r="T81">
        <v>7</v>
      </c>
    </row>
    <row r="82" spans="1:20" x14ac:dyDescent="0.25">
      <c r="A82">
        <v>202405</v>
      </c>
      <c r="B82">
        <v>640406</v>
      </c>
      <c r="C82" t="s">
        <v>0</v>
      </c>
      <c r="D82">
        <v>1</v>
      </c>
      <c r="E82">
        <v>18019</v>
      </c>
      <c r="F82">
        <v>0</v>
      </c>
      <c r="G82" t="s">
        <v>1</v>
      </c>
      <c r="H82" t="s">
        <v>1</v>
      </c>
      <c r="I82">
        <v>0</v>
      </c>
      <c r="J82">
        <v>0</v>
      </c>
      <c r="K82">
        <v>8.24</v>
      </c>
      <c r="L82">
        <v>1</v>
      </c>
      <c r="M82">
        <v>202402</v>
      </c>
      <c r="N82">
        <v>999999</v>
      </c>
      <c r="O82">
        <v>5</v>
      </c>
      <c r="P82">
        <v>2</v>
      </c>
      <c r="Q82">
        <v>1</v>
      </c>
      <c r="R82">
        <v>120</v>
      </c>
      <c r="S82">
        <v>3</v>
      </c>
      <c r="T82">
        <v>5</v>
      </c>
    </row>
    <row r="83" spans="1:20" x14ac:dyDescent="0.25">
      <c r="A83">
        <v>202405</v>
      </c>
      <c r="B83">
        <v>640406</v>
      </c>
      <c r="C83" t="s">
        <v>0</v>
      </c>
      <c r="D83">
        <v>3</v>
      </c>
      <c r="E83">
        <v>18020</v>
      </c>
      <c r="F83">
        <v>85</v>
      </c>
      <c r="I83">
        <v>1.635</v>
      </c>
      <c r="J83">
        <v>0.49099999999999999</v>
      </c>
      <c r="K83">
        <v>7.57</v>
      </c>
      <c r="L83">
        <v>1</v>
      </c>
      <c r="M83">
        <v>202402</v>
      </c>
      <c r="N83">
        <v>999999</v>
      </c>
      <c r="O83">
        <v>6</v>
      </c>
      <c r="P83">
        <v>2</v>
      </c>
      <c r="Q83">
        <v>1</v>
      </c>
      <c r="R83">
        <v>52</v>
      </c>
      <c r="S83">
        <v>3</v>
      </c>
      <c r="T83">
        <v>6</v>
      </c>
    </row>
    <row r="84" spans="1:20" x14ac:dyDescent="0.25">
      <c r="A84">
        <v>202405</v>
      </c>
      <c r="B84">
        <v>640406</v>
      </c>
      <c r="C84" t="s">
        <v>0</v>
      </c>
      <c r="D84">
        <v>1</v>
      </c>
      <c r="E84">
        <v>18021</v>
      </c>
      <c r="F84">
        <v>0</v>
      </c>
      <c r="G84" t="s">
        <v>1</v>
      </c>
      <c r="H84" t="s">
        <v>1</v>
      </c>
      <c r="I84">
        <v>0</v>
      </c>
      <c r="J84">
        <v>0</v>
      </c>
      <c r="K84">
        <v>9.75</v>
      </c>
      <c r="L84">
        <v>1</v>
      </c>
      <c r="M84">
        <v>202402</v>
      </c>
      <c r="N84">
        <v>999999</v>
      </c>
      <c r="O84">
        <v>2</v>
      </c>
      <c r="P84">
        <v>2</v>
      </c>
      <c r="Q84">
        <v>1</v>
      </c>
      <c r="R84">
        <v>93.6</v>
      </c>
      <c r="S84">
        <v>3</v>
      </c>
      <c r="T84">
        <v>2</v>
      </c>
    </row>
    <row r="85" spans="1:20" x14ac:dyDescent="0.25">
      <c r="A85">
        <v>202405</v>
      </c>
      <c r="B85">
        <v>640406</v>
      </c>
      <c r="C85" t="s">
        <v>0</v>
      </c>
      <c r="D85">
        <v>3</v>
      </c>
      <c r="E85">
        <v>18022</v>
      </c>
      <c r="F85">
        <v>306</v>
      </c>
      <c r="I85">
        <v>1.925</v>
      </c>
      <c r="J85">
        <v>0.65500000000000003</v>
      </c>
      <c r="K85">
        <v>1.01</v>
      </c>
      <c r="L85">
        <v>1</v>
      </c>
      <c r="M85">
        <v>202402</v>
      </c>
      <c r="N85">
        <v>999999</v>
      </c>
      <c r="O85">
        <v>13</v>
      </c>
      <c r="P85">
        <v>2</v>
      </c>
      <c r="Q85">
        <v>1</v>
      </c>
      <c r="R85">
        <v>159</v>
      </c>
      <c r="S85">
        <v>3</v>
      </c>
      <c r="T85">
        <v>13</v>
      </c>
    </row>
    <row r="86" spans="1:20" x14ac:dyDescent="0.25">
      <c r="A86">
        <v>202405</v>
      </c>
      <c r="B86">
        <v>640406</v>
      </c>
      <c r="C86" t="s">
        <v>0</v>
      </c>
      <c r="D86">
        <v>3</v>
      </c>
      <c r="E86">
        <v>18023</v>
      </c>
      <c r="F86">
        <v>181</v>
      </c>
      <c r="I86">
        <v>1.097</v>
      </c>
      <c r="J86">
        <v>9.2999999999999999E-2</v>
      </c>
      <c r="K86">
        <v>18.440000000000001</v>
      </c>
      <c r="L86">
        <v>1</v>
      </c>
      <c r="M86">
        <v>202402</v>
      </c>
      <c r="N86">
        <v>999999</v>
      </c>
      <c r="O86">
        <v>3</v>
      </c>
      <c r="P86">
        <v>1</v>
      </c>
      <c r="Q86">
        <v>1</v>
      </c>
      <c r="R86">
        <v>165</v>
      </c>
      <c r="S86">
        <v>3</v>
      </c>
      <c r="T86">
        <v>3</v>
      </c>
    </row>
    <row r="87" spans="1:20" x14ac:dyDescent="0.25">
      <c r="A87">
        <v>202405</v>
      </c>
      <c r="B87">
        <v>640406</v>
      </c>
      <c r="C87" t="s">
        <v>0</v>
      </c>
      <c r="D87">
        <v>3</v>
      </c>
      <c r="E87">
        <v>18025</v>
      </c>
      <c r="F87">
        <v>93</v>
      </c>
      <c r="I87">
        <v>1.3480000000000001</v>
      </c>
      <c r="J87">
        <v>0.29799999999999999</v>
      </c>
      <c r="K87">
        <v>9.36</v>
      </c>
      <c r="L87">
        <v>1</v>
      </c>
      <c r="M87">
        <v>202402</v>
      </c>
      <c r="N87">
        <v>999999</v>
      </c>
      <c r="O87">
        <v>8</v>
      </c>
      <c r="P87">
        <v>1</v>
      </c>
      <c r="Q87">
        <v>1</v>
      </c>
      <c r="R87">
        <v>69</v>
      </c>
      <c r="S87">
        <v>3</v>
      </c>
      <c r="T87">
        <v>8</v>
      </c>
    </row>
    <row r="88" spans="1:20" x14ac:dyDescent="0.25">
      <c r="A88">
        <v>202405</v>
      </c>
      <c r="B88">
        <v>640406</v>
      </c>
      <c r="C88" t="s">
        <v>0</v>
      </c>
      <c r="D88">
        <v>1</v>
      </c>
      <c r="E88">
        <v>18026</v>
      </c>
      <c r="F88">
        <v>0</v>
      </c>
      <c r="G88" t="s">
        <v>1</v>
      </c>
      <c r="H88" t="s">
        <v>1</v>
      </c>
      <c r="I88">
        <v>0</v>
      </c>
      <c r="J88">
        <v>0</v>
      </c>
      <c r="K88">
        <v>8.24</v>
      </c>
      <c r="L88">
        <v>1</v>
      </c>
      <c r="M88">
        <v>202403</v>
      </c>
      <c r="N88">
        <v>999999</v>
      </c>
      <c r="O88">
        <v>5</v>
      </c>
      <c r="P88">
        <v>2</v>
      </c>
      <c r="Q88">
        <v>1</v>
      </c>
      <c r="R88">
        <v>122.289</v>
      </c>
      <c r="S88">
        <v>4</v>
      </c>
      <c r="T88">
        <v>5</v>
      </c>
    </row>
    <row r="89" spans="1:20" x14ac:dyDescent="0.25">
      <c r="A89">
        <v>202405</v>
      </c>
      <c r="B89">
        <v>640406</v>
      </c>
      <c r="C89" t="s">
        <v>0</v>
      </c>
      <c r="D89">
        <v>3</v>
      </c>
      <c r="E89">
        <v>18027</v>
      </c>
      <c r="F89">
        <v>106.74</v>
      </c>
      <c r="I89">
        <v>1.052</v>
      </c>
      <c r="J89">
        <v>0.05</v>
      </c>
      <c r="K89">
        <v>9.75</v>
      </c>
      <c r="L89">
        <v>1</v>
      </c>
      <c r="M89">
        <v>202402</v>
      </c>
      <c r="N89">
        <v>999999</v>
      </c>
      <c r="O89">
        <v>2</v>
      </c>
      <c r="P89">
        <v>1</v>
      </c>
      <c r="Q89">
        <v>1</v>
      </c>
      <c r="R89">
        <v>101.49</v>
      </c>
      <c r="S89">
        <v>3</v>
      </c>
      <c r="T89">
        <v>2</v>
      </c>
    </row>
    <row r="90" spans="1:20" x14ac:dyDescent="0.25">
      <c r="A90">
        <v>202405</v>
      </c>
      <c r="B90">
        <v>640406</v>
      </c>
      <c r="C90" t="s">
        <v>0</v>
      </c>
      <c r="D90">
        <v>4</v>
      </c>
      <c r="E90">
        <v>18028</v>
      </c>
      <c r="F90">
        <v>110</v>
      </c>
      <c r="I90">
        <v>1.4669999999999901</v>
      </c>
      <c r="J90">
        <v>0.38299999999999901</v>
      </c>
      <c r="K90">
        <v>18.440000000000001</v>
      </c>
      <c r="L90">
        <v>1</v>
      </c>
      <c r="M90">
        <v>202402</v>
      </c>
      <c r="N90">
        <v>999999</v>
      </c>
      <c r="O90">
        <v>3</v>
      </c>
      <c r="P90">
        <v>2</v>
      </c>
      <c r="Q90">
        <v>1</v>
      </c>
      <c r="R90">
        <v>75</v>
      </c>
      <c r="S90">
        <v>3</v>
      </c>
      <c r="T90">
        <v>3</v>
      </c>
    </row>
    <row r="91" spans="1:20" x14ac:dyDescent="0.25">
      <c r="A91">
        <v>202405</v>
      </c>
      <c r="B91">
        <v>640406</v>
      </c>
      <c r="C91" t="s">
        <v>0</v>
      </c>
      <c r="D91">
        <v>4</v>
      </c>
      <c r="E91">
        <v>18029</v>
      </c>
      <c r="F91">
        <v>157.94</v>
      </c>
      <c r="I91">
        <v>1.43</v>
      </c>
      <c r="J91">
        <v>0.35799999999999998</v>
      </c>
      <c r="K91">
        <v>10.37</v>
      </c>
      <c r="L91">
        <v>1</v>
      </c>
      <c r="M91">
        <v>202402</v>
      </c>
      <c r="N91">
        <v>999999</v>
      </c>
      <c r="O91">
        <v>4</v>
      </c>
      <c r="P91">
        <v>2</v>
      </c>
      <c r="Q91">
        <v>1</v>
      </c>
      <c r="R91">
        <v>110.44</v>
      </c>
      <c r="S91">
        <v>3</v>
      </c>
      <c r="T91">
        <v>4</v>
      </c>
    </row>
    <row r="92" spans="1:20" x14ac:dyDescent="0.25">
      <c r="A92">
        <v>202405</v>
      </c>
      <c r="B92">
        <v>640406</v>
      </c>
      <c r="C92" t="s">
        <v>0</v>
      </c>
      <c r="D92">
        <v>1</v>
      </c>
      <c r="E92">
        <v>18030</v>
      </c>
      <c r="F92">
        <v>0</v>
      </c>
      <c r="G92" t="s">
        <v>1</v>
      </c>
      <c r="H92" t="s">
        <v>1</v>
      </c>
      <c r="I92">
        <v>0</v>
      </c>
      <c r="J92">
        <v>0</v>
      </c>
      <c r="K92">
        <v>8.24</v>
      </c>
      <c r="L92">
        <v>1</v>
      </c>
      <c r="M92">
        <v>202405</v>
      </c>
      <c r="N92">
        <v>999999</v>
      </c>
      <c r="O92">
        <v>5</v>
      </c>
      <c r="P92">
        <v>2</v>
      </c>
      <c r="Q92">
        <v>1</v>
      </c>
      <c r="R92">
        <v>70.989999999999995</v>
      </c>
      <c r="S92">
        <v>4</v>
      </c>
      <c r="T92">
        <v>5</v>
      </c>
    </row>
    <row r="93" spans="1:20" x14ac:dyDescent="0.25">
      <c r="A93">
        <v>202405</v>
      </c>
      <c r="B93">
        <v>640406</v>
      </c>
      <c r="C93" t="s">
        <v>0</v>
      </c>
      <c r="D93">
        <v>3</v>
      </c>
      <c r="E93">
        <v>18031</v>
      </c>
      <c r="F93">
        <v>115</v>
      </c>
      <c r="I93">
        <v>1.042</v>
      </c>
      <c r="J93">
        <v>4.0999999999999898E-2</v>
      </c>
      <c r="K93">
        <v>8.24</v>
      </c>
      <c r="L93">
        <v>1</v>
      </c>
      <c r="M93">
        <v>202403</v>
      </c>
      <c r="N93">
        <v>999999</v>
      </c>
      <c r="O93">
        <v>5</v>
      </c>
      <c r="P93">
        <v>2</v>
      </c>
      <c r="Q93">
        <v>1</v>
      </c>
      <c r="R93">
        <v>110.414</v>
      </c>
      <c r="S93">
        <v>4</v>
      </c>
      <c r="T93">
        <v>5</v>
      </c>
    </row>
    <row r="94" spans="1:20" x14ac:dyDescent="0.25">
      <c r="A94">
        <v>202405</v>
      </c>
      <c r="B94">
        <v>640406</v>
      </c>
      <c r="C94" t="s">
        <v>0</v>
      </c>
      <c r="D94">
        <v>1</v>
      </c>
      <c r="E94">
        <v>18032</v>
      </c>
      <c r="F94">
        <v>0</v>
      </c>
      <c r="G94" t="s">
        <v>1</v>
      </c>
      <c r="H94" t="s">
        <v>1</v>
      </c>
      <c r="I94">
        <v>0</v>
      </c>
      <c r="J94">
        <v>0</v>
      </c>
      <c r="K94">
        <v>9.89</v>
      </c>
      <c r="L94">
        <v>1</v>
      </c>
      <c r="M94">
        <v>202402</v>
      </c>
      <c r="N94">
        <v>999999</v>
      </c>
      <c r="O94">
        <v>9</v>
      </c>
      <c r="P94">
        <v>2</v>
      </c>
      <c r="Q94">
        <v>1</v>
      </c>
      <c r="R94">
        <v>117.5</v>
      </c>
      <c r="S94">
        <v>3</v>
      </c>
      <c r="T94">
        <v>9</v>
      </c>
    </row>
    <row r="95" spans="1:20" x14ac:dyDescent="0.25">
      <c r="A95">
        <v>202405</v>
      </c>
      <c r="B95">
        <v>640406</v>
      </c>
      <c r="C95" t="s">
        <v>0</v>
      </c>
      <c r="D95">
        <v>3</v>
      </c>
      <c r="E95">
        <v>18033</v>
      </c>
      <c r="F95">
        <v>132</v>
      </c>
      <c r="I95">
        <v>1.1519999999999999</v>
      </c>
      <c r="J95">
        <v>0.14099999999999999</v>
      </c>
      <c r="K95">
        <v>9.89</v>
      </c>
      <c r="L95">
        <v>1</v>
      </c>
      <c r="M95">
        <v>202402</v>
      </c>
      <c r="N95">
        <v>999999</v>
      </c>
      <c r="O95">
        <v>9</v>
      </c>
      <c r="P95">
        <v>2</v>
      </c>
      <c r="Q95">
        <v>1</v>
      </c>
      <c r="R95">
        <v>114.6</v>
      </c>
      <c r="S95">
        <v>3</v>
      </c>
      <c r="T95">
        <v>9</v>
      </c>
    </row>
    <row r="96" spans="1:20" x14ac:dyDescent="0.25">
      <c r="A96">
        <v>202405</v>
      </c>
      <c r="B96">
        <v>640406</v>
      </c>
      <c r="C96" t="s">
        <v>0</v>
      </c>
      <c r="D96">
        <v>1</v>
      </c>
      <c r="E96">
        <v>18034</v>
      </c>
      <c r="F96">
        <v>0</v>
      </c>
      <c r="G96" t="s">
        <v>1</v>
      </c>
      <c r="H96" t="s">
        <v>1</v>
      </c>
      <c r="I96">
        <v>0</v>
      </c>
      <c r="J96">
        <v>0</v>
      </c>
      <c r="K96">
        <v>9.75</v>
      </c>
      <c r="L96">
        <v>1</v>
      </c>
      <c r="M96">
        <v>202402</v>
      </c>
      <c r="N96">
        <v>999999</v>
      </c>
      <c r="O96">
        <v>2</v>
      </c>
      <c r="P96">
        <v>2</v>
      </c>
      <c r="Q96">
        <v>1</v>
      </c>
      <c r="R96">
        <v>87.3</v>
      </c>
      <c r="S96">
        <v>3</v>
      </c>
      <c r="T96">
        <v>2</v>
      </c>
    </row>
    <row r="97" spans="1:20" x14ac:dyDescent="0.25">
      <c r="A97">
        <v>202405</v>
      </c>
      <c r="B97">
        <v>640406</v>
      </c>
      <c r="C97" t="s">
        <v>0</v>
      </c>
      <c r="D97">
        <v>4</v>
      </c>
      <c r="E97">
        <v>18036</v>
      </c>
      <c r="F97">
        <v>165</v>
      </c>
      <c r="I97">
        <v>1.7549999999999999</v>
      </c>
      <c r="J97">
        <v>0.56299999999999994</v>
      </c>
      <c r="K97">
        <v>3.39</v>
      </c>
      <c r="L97">
        <v>1</v>
      </c>
      <c r="M97">
        <v>202402</v>
      </c>
      <c r="N97">
        <v>999999</v>
      </c>
      <c r="O97">
        <v>10</v>
      </c>
      <c r="P97">
        <v>2</v>
      </c>
      <c r="Q97">
        <v>1</v>
      </c>
      <c r="R97">
        <v>94</v>
      </c>
      <c r="S97">
        <v>3</v>
      </c>
      <c r="T97">
        <v>10</v>
      </c>
    </row>
    <row r="98" spans="1:20" x14ac:dyDescent="0.25">
      <c r="A98">
        <v>202405</v>
      </c>
      <c r="B98">
        <v>640406</v>
      </c>
      <c r="C98" t="s">
        <v>0</v>
      </c>
      <c r="D98">
        <v>3</v>
      </c>
      <c r="E98">
        <v>18663</v>
      </c>
      <c r="F98">
        <v>107.5</v>
      </c>
      <c r="I98">
        <v>1.4530000000000001</v>
      </c>
      <c r="J98">
        <v>0.373</v>
      </c>
      <c r="K98">
        <v>10.37</v>
      </c>
      <c r="L98">
        <v>1</v>
      </c>
      <c r="M98">
        <v>202402</v>
      </c>
      <c r="N98">
        <v>999999</v>
      </c>
      <c r="O98">
        <v>4</v>
      </c>
      <c r="P98">
        <v>1</v>
      </c>
      <c r="Q98">
        <v>1</v>
      </c>
      <c r="R98">
        <v>74</v>
      </c>
      <c r="S98">
        <v>3</v>
      </c>
      <c r="T98">
        <v>4</v>
      </c>
    </row>
    <row r="99" spans="1:20" x14ac:dyDescent="0.25">
      <c r="A99">
        <v>202405</v>
      </c>
      <c r="B99">
        <v>640406</v>
      </c>
      <c r="C99" t="s">
        <v>0</v>
      </c>
      <c r="D99">
        <v>1</v>
      </c>
      <c r="E99">
        <v>18916</v>
      </c>
      <c r="F99">
        <v>0</v>
      </c>
      <c r="G99" t="s">
        <v>1</v>
      </c>
      <c r="H99" t="s">
        <v>1</v>
      </c>
      <c r="I99">
        <v>0</v>
      </c>
      <c r="J99">
        <v>0</v>
      </c>
      <c r="K99">
        <v>8.24</v>
      </c>
      <c r="L99">
        <v>1</v>
      </c>
      <c r="M99">
        <v>202403</v>
      </c>
      <c r="N99">
        <v>999999</v>
      </c>
      <c r="O99">
        <v>5</v>
      </c>
      <c r="P99">
        <v>2</v>
      </c>
      <c r="Q99">
        <v>1</v>
      </c>
      <c r="R99">
        <v>127.848</v>
      </c>
      <c r="S99">
        <v>4</v>
      </c>
      <c r="T99">
        <v>5</v>
      </c>
    </row>
    <row r="100" spans="1:20" x14ac:dyDescent="0.25">
      <c r="A100">
        <v>202405</v>
      </c>
      <c r="B100">
        <v>640406</v>
      </c>
      <c r="C100" t="s">
        <v>0</v>
      </c>
      <c r="D100">
        <v>3</v>
      </c>
      <c r="E100">
        <v>18917</v>
      </c>
      <c r="F100">
        <v>150</v>
      </c>
      <c r="I100">
        <v>0.73199999999999998</v>
      </c>
      <c r="J100">
        <v>-0.312</v>
      </c>
      <c r="K100">
        <v>9.75</v>
      </c>
      <c r="L100">
        <v>1</v>
      </c>
      <c r="M100">
        <v>202402</v>
      </c>
      <c r="N100">
        <v>999999</v>
      </c>
      <c r="O100">
        <v>2</v>
      </c>
      <c r="P100">
        <v>1</v>
      </c>
      <c r="Q100">
        <v>1</v>
      </c>
      <c r="R100">
        <v>205</v>
      </c>
      <c r="S100">
        <v>3</v>
      </c>
      <c r="T100">
        <v>2</v>
      </c>
    </row>
    <row r="101" spans="1:20" x14ac:dyDescent="0.25">
      <c r="A101">
        <v>202405</v>
      </c>
      <c r="B101">
        <v>640406</v>
      </c>
      <c r="C101" t="s">
        <v>0</v>
      </c>
      <c r="D101">
        <v>1</v>
      </c>
      <c r="E101">
        <v>18919</v>
      </c>
      <c r="F101">
        <v>0</v>
      </c>
      <c r="G101" t="s">
        <v>1</v>
      </c>
      <c r="H101" t="s">
        <v>1</v>
      </c>
      <c r="I101">
        <v>0</v>
      </c>
      <c r="J101">
        <v>0</v>
      </c>
      <c r="K101">
        <v>7.57</v>
      </c>
      <c r="L101">
        <v>1</v>
      </c>
      <c r="M101">
        <v>202402</v>
      </c>
      <c r="N101">
        <v>999999</v>
      </c>
      <c r="O101">
        <v>6</v>
      </c>
      <c r="P101">
        <v>1</v>
      </c>
      <c r="Q101">
        <v>1</v>
      </c>
      <c r="R101">
        <v>85</v>
      </c>
      <c r="S101">
        <v>3</v>
      </c>
      <c r="T101">
        <v>6</v>
      </c>
    </row>
    <row r="102" spans="1:20" x14ac:dyDescent="0.25">
      <c r="A102">
        <v>202405</v>
      </c>
      <c r="B102">
        <v>640406</v>
      </c>
      <c r="C102" t="s">
        <v>0</v>
      </c>
      <c r="D102">
        <v>3</v>
      </c>
      <c r="E102">
        <v>18920</v>
      </c>
      <c r="F102">
        <v>100</v>
      </c>
      <c r="I102">
        <v>1</v>
      </c>
      <c r="J102">
        <v>0</v>
      </c>
      <c r="K102">
        <v>9.89</v>
      </c>
      <c r="L102">
        <v>1</v>
      </c>
      <c r="M102">
        <v>202402</v>
      </c>
      <c r="N102">
        <v>999999</v>
      </c>
      <c r="O102">
        <v>9</v>
      </c>
      <c r="P102">
        <v>1</v>
      </c>
      <c r="Q102">
        <v>1</v>
      </c>
      <c r="R102">
        <v>100</v>
      </c>
      <c r="S102">
        <v>3</v>
      </c>
      <c r="T102">
        <v>9</v>
      </c>
    </row>
    <row r="103" spans="1:20" x14ac:dyDescent="0.25">
      <c r="A103">
        <v>202405</v>
      </c>
      <c r="B103">
        <v>640406</v>
      </c>
      <c r="C103" t="s">
        <v>0</v>
      </c>
      <c r="D103">
        <v>1</v>
      </c>
      <c r="E103">
        <v>18981</v>
      </c>
      <c r="F103">
        <v>0</v>
      </c>
      <c r="G103" t="s">
        <v>1</v>
      </c>
      <c r="H103" t="s">
        <v>1</v>
      </c>
      <c r="I103">
        <v>0</v>
      </c>
      <c r="J103">
        <v>0</v>
      </c>
      <c r="K103">
        <v>9.89</v>
      </c>
      <c r="L103">
        <v>1</v>
      </c>
      <c r="M103">
        <v>202402</v>
      </c>
      <c r="N103">
        <v>999999</v>
      </c>
      <c r="O103">
        <v>9</v>
      </c>
      <c r="P103">
        <v>2</v>
      </c>
      <c r="Q103">
        <v>1</v>
      </c>
      <c r="R103">
        <v>115</v>
      </c>
      <c r="S103">
        <v>3</v>
      </c>
      <c r="T103">
        <v>9</v>
      </c>
    </row>
    <row r="104" spans="1:20" x14ac:dyDescent="0.25">
      <c r="A104">
        <v>202405</v>
      </c>
      <c r="B104">
        <v>640406</v>
      </c>
      <c r="C104" t="s">
        <v>0</v>
      </c>
      <c r="D104">
        <v>3</v>
      </c>
      <c r="E104">
        <v>18982</v>
      </c>
      <c r="F104">
        <v>133.5</v>
      </c>
      <c r="I104">
        <v>1.0820000000000001</v>
      </c>
      <c r="J104">
        <v>7.9000000000000001E-2</v>
      </c>
      <c r="K104">
        <v>5.76</v>
      </c>
      <c r="L104">
        <v>1</v>
      </c>
      <c r="M104">
        <v>202403</v>
      </c>
      <c r="N104">
        <v>999999</v>
      </c>
      <c r="O104">
        <v>11</v>
      </c>
      <c r="P104">
        <v>2</v>
      </c>
      <c r="Q104">
        <v>1</v>
      </c>
      <c r="R104">
        <v>123.357999999999</v>
      </c>
      <c r="S104">
        <v>4</v>
      </c>
      <c r="T104">
        <v>11</v>
      </c>
    </row>
    <row r="105" spans="1:20" x14ac:dyDescent="0.25">
      <c r="A105">
        <v>202405</v>
      </c>
      <c r="B105">
        <v>640406</v>
      </c>
      <c r="C105" t="s">
        <v>0</v>
      </c>
      <c r="D105">
        <v>1</v>
      </c>
      <c r="E105">
        <v>18984</v>
      </c>
      <c r="F105">
        <v>0</v>
      </c>
      <c r="G105" t="s">
        <v>1</v>
      </c>
      <c r="H105" t="s">
        <v>1</v>
      </c>
      <c r="I105">
        <v>0</v>
      </c>
      <c r="J105">
        <v>0</v>
      </c>
      <c r="K105">
        <v>9.89</v>
      </c>
      <c r="L105">
        <v>1</v>
      </c>
      <c r="M105">
        <v>202403</v>
      </c>
      <c r="N105">
        <v>999999</v>
      </c>
      <c r="O105">
        <v>9</v>
      </c>
      <c r="P105">
        <v>2</v>
      </c>
      <c r="Q105">
        <v>1</v>
      </c>
      <c r="R105">
        <v>118.464</v>
      </c>
      <c r="S105">
        <v>4</v>
      </c>
      <c r="T105">
        <v>9</v>
      </c>
    </row>
    <row r="106" spans="1:20" x14ac:dyDescent="0.25">
      <c r="A106">
        <v>202405</v>
      </c>
      <c r="B106">
        <v>640406</v>
      </c>
      <c r="C106" t="s">
        <v>0</v>
      </c>
      <c r="D106">
        <v>1</v>
      </c>
      <c r="E106">
        <v>18985</v>
      </c>
      <c r="F106">
        <v>0</v>
      </c>
      <c r="G106" t="s">
        <v>1</v>
      </c>
      <c r="H106" t="s">
        <v>1</v>
      </c>
      <c r="I106">
        <v>0</v>
      </c>
      <c r="J106">
        <v>0</v>
      </c>
      <c r="K106">
        <v>8.24</v>
      </c>
      <c r="L106">
        <v>1</v>
      </c>
      <c r="M106">
        <v>202402</v>
      </c>
      <c r="N106">
        <v>999999</v>
      </c>
      <c r="O106">
        <v>5</v>
      </c>
      <c r="P106">
        <v>2</v>
      </c>
      <c r="Q106">
        <v>1</v>
      </c>
      <c r="R106">
        <v>223</v>
      </c>
      <c r="S106">
        <v>3</v>
      </c>
      <c r="T106">
        <v>5</v>
      </c>
    </row>
    <row r="107" spans="1:20" x14ac:dyDescent="0.25">
      <c r="A107">
        <v>202405</v>
      </c>
      <c r="B107">
        <v>640406</v>
      </c>
      <c r="C107" t="s">
        <v>0</v>
      </c>
      <c r="D107">
        <v>3</v>
      </c>
      <c r="E107">
        <v>18986</v>
      </c>
      <c r="F107">
        <v>79</v>
      </c>
      <c r="I107">
        <v>1.234</v>
      </c>
      <c r="J107">
        <v>0.21099999999999999</v>
      </c>
      <c r="K107">
        <v>9.89</v>
      </c>
      <c r="L107">
        <v>1</v>
      </c>
      <c r="M107">
        <v>202402</v>
      </c>
      <c r="N107">
        <v>999999</v>
      </c>
      <c r="O107">
        <v>9</v>
      </c>
      <c r="P107">
        <v>2</v>
      </c>
      <c r="Q107">
        <v>1</v>
      </c>
      <c r="R107">
        <v>64</v>
      </c>
      <c r="S107">
        <v>3</v>
      </c>
      <c r="T107">
        <v>9</v>
      </c>
    </row>
    <row r="108" spans="1:20" x14ac:dyDescent="0.25">
      <c r="A108">
        <v>202405</v>
      </c>
      <c r="B108">
        <v>640406</v>
      </c>
      <c r="C108" t="s">
        <v>0</v>
      </c>
      <c r="D108">
        <v>1</v>
      </c>
      <c r="E108">
        <v>18987</v>
      </c>
      <c r="F108">
        <v>0</v>
      </c>
      <c r="G108" t="s">
        <v>1</v>
      </c>
      <c r="H108" t="s">
        <v>1</v>
      </c>
      <c r="I108">
        <v>0</v>
      </c>
      <c r="J108">
        <v>0</v>
      </c>
      <c r="K108">
        <v>9.75</v>
      </c>
      <c r="L108">
        <v>1</v>
      </c>
      <c r="M108">
        <v>202402</v>
      </c>
      <c r="N108">
        <v>999999</v>
      </c>
      <c r="O108">
        <v>2</v>
      </c>
      <c r="P108">
        <v>2</v>
      </c>
      <c r="Q108">
        <v>1</v>
      </c>
      <c r="R108">
        <v>130.1</v>
      </c>
      <c r="S108">
        <v>3</v>
      </c>
      <c r="T108">
        <v>2</v>
      </c>
    </row>
    <row r="109" spans="1:20" x14ac:dyDescent="0.25">
      <c r="A109">
        <v>202405</v>
      </c>
      <c r="B109">
        <v>640406</v>
      </c>
      <c r="C109" t="s">
        <v>0</v>
      </c>
      <c r="D109">
        <v>1</v>
      </c>
      <c r="E109">
        <v>18988</v>
      </c>
      <c r="F109">
        <v>0</v>
      </c>
      <c r="G109" t="s">
        <v>1</v>
      </c>
      <c r="H109" t="s">
        <v>1</v>
      </c>
      <c r="I109">
        <v>0</v>
      </c>
      <c r="J109">
        <v>0</v>
      </c>
      <c r="K109">
        <v>8.24</v>
      </c>
      <c r="L109">
        <v>1</v>
      </c>
      <c r="M109">
        <v>202404</v>
      </c>
      <c r="N109">
        <v>999999</v>
      </c>
      <c r="O109">
        <v>5</v>
      </c>
      <c r="P109">
        <v>2</v>
      </c>
      <c r="Q109">
        <v>1</v>
      </c>
      <c r="R109">
        <v>63.405000000000001</v>
      </c>
      <c r="S109">
        <v>4</v>
      </c>
      <c r="T109">
        <v>5</v>
      </c>
    </row>
    <row r="110" spans="1:20" x14ac:dyDescent="0.25">
      <c r="A110">
        <v>202405</v>
      </c>
      <c r="B110">
        <v>640406</v>
      </c>
      <c r="C110" t="s">
        <v>0</v>
      </c>
      <c r="D110">
        <v>1</v>
      </c>
      <c r="E110">
        <v>18990</v>
      </c>
      <c r="F110">
        <v>0</v>
      </c>
      <c r="G110" t="s">
        <v>1</v>
      </c>
      <c r="H110" t="s">
        <v>1</v>
      </c>
      <c r="I110">
        <v>0</v>
      </c>
      <c r="J110">
        <v>0</v>
      </c>
      <c r="K110">
        <v>7.57</v>
      </c>
      <c r="L110">
        <v>1</v>
      </c>
      <c r="M110">
        <v>202405</v>
      </c>
      <c r="N110">
        <v>999999</v>
      </c>
      <c r="O110">
        <v>6</v>
      </c>
      <c r="P110">
        <v>2</v>
      </c>
      <c r="Q110">
        <v>1</v>
      </c>
      <c r="R110">
        <v>38.494999999999997</v>
      </c>
      <c r="S110">
        <v>4</v>
      </c>
      <c r="T110">
        <v>6</v>
      </c>
    </row>
    <row r="111" spans="1:20" x14ac:dyDescent="0.25">
      <c r="A111">
        <v>202405</v>
      </c>
      <c r="B111">
        <v>640406</v>
      </c>
      <c r="C111" t="s">
        <v>0</v>
      </c>
      <c r="D111">
        <v>1</v>
      </c>
      <c r="E111">
        <v>18991</v>
      </c>
      <c r="F111">
        <v>0</v>
      </c>
      <c r="G111" t="s">
        <v>1</v>
      </c>
      <c r="H111" t="s">
        <v>1</v>
      </c>
      <c r="I111">
        <v>0</v>
      </c>
      <c r="J111">
        <v>0</v>
      </c>
      <c r="K111">
        <v>7.57</v>
      </c>
      <c r="L111">
        <v>1</v>
      </c>
      <c r="M111">
        <v>202402</v>
      </c>
      <c r="N111">
        <v>999999</v>
      </c>
      <c r="O111">
        <v>6</v>
      </c>
      <c r="P111">
        <v>2</v>
      </c>
      <c r="Q111">
        <v>1</v>
      </c>
      <c r="R111">
        <v>160</v>
      </c>
      <c r="S111">
        <v>3</v>
      </c>
      <c r="T111">
        <v>6</v>
      </c>
    </row>
    <row r="112" spans="1:20" x14ac:dyDescent="0.25">
      <c r="A112">
        <v>202405</v>
      </c>
      <c r="B112">
        <v>640406</v>
      </c>
      <c r="C112" t="s">
        <v>0</v>
      </c>
      <c r="D112">
        <v>1</v>
      </c>
      <c r="E112">
        <v>18992</v>
      </c>
      <c r="F112">
        <v>0</v>
      </c>
      <c r="G112" t="s">
        <v>1</v>
      </c>
      <c r="H112" t="s">
        <v>1</v>
      </c>
      <c r="I112">
        <v>0</v>
      </c>
      <c r="J112">
        <v>0</v>
      </c>
      <c r="K112">
        <v>8.35</v>
      </c>
      <c r="L112">
        <v>1</v>
      </c>
      <c r="M112">
        <v>202402</v>
      </c>
      <c r="N112">
        <v>999999</v>
      </c>
      <c r="O112">
        <v>7</v>
      </c>
      <c r="P112">
        <v>2</v>
      </c>
      <c r="Q112">
        <v>1</v>
      </c>
      <c r="R112">
        <v>124</v>
      </c>
      <c r="S112">
        <v>3</v>
      </c>
      <c r="T112">
        <v>7</v>
      </c>
    </row>
    <row r="113" spans="1:20" x14ac:dyDescent="0.25">
      <c r="A113">
        <v>202405</v>
      </c>
      <c r="B113">
        <v>640406</v>
      </c>
      <c r="C113" t="s">
        <v>0</v>
      </c>
      <c r="D113">
        <v>1</v>
      </c>
      <c r="E113">
        <v>18993</v>
      </c>
      <c r="F113">
        <v>0</v>
      </c>
      <c r="G113" t="s">
        <v>1</v>
      </c>
      <c r="H113" t="s">
        <v>1</v>
      </c>
      <c r="I113">
        <v>0</v>
      </c>
      <c r="J113">
        <v>0</v>
      </c>
      <c r="K113">
        <v>18.440000000000001</v>
      </c>
      <c r="L113">
        <v>1</v>
      </c>
      <c r="M113">
        <v>202403</v>
      </c>
      <c r="N113">
        <v>999999</v>
      </c>
      <c r="O113">
        <v>3</v>
      </c>
      <c r="P113">
        <v>2</v>
      </c>
      <c r="Q113">
        <v>1</v>
      </c>
      <c r="R113">
        <v>125.60899999999999</v>
      </c>
      <c r="S113">
        <v>4</v>
      </c>
      <c r="T113">
        <v>3</v>
      </c>
    </row>
    <row r="114" spans="1:20" x14ac:dyDescent="0.25">
      <c r="A114">
        <v>202405</v>
      </c>
      <c r="B114">
        <v>640406</v>
      </c>
      <c r="C114" t="s">
        <v>0</v>
      </c>
      <c r="D114">
        <v>1</v>
      </c>
      <c r="E114">
        <v>18994</v>
      </c>
      <c r="F114">
        <v>0</v>
      </c>
      <c r="G114" t="s">
        <v>1</v>
      </c>
      <c r="H114" t="s">
        <v>1</v>
      </c>
      <c r="I114">
        <v>0</v>
      </c>
      <c r="J114">
        <v>0</v>
      </c>
      <c r="K114">
        <v>9.75</v>
      </c>
      <c r="L114">
        <v>1</v>
      </c>
      <c r="M114">
        <v>202402</v>
      </c>
      <c r="N114">
        <v>999999</v>
      </c>
      <c r="O114">
        <v>2</v>
      </c>
      <c r="P114">
        <v>2</v>
      </c>
      <c r="Q114">
        <v>1</v>
      </c>
      <c r="R114">
        <v>453</v>
      </c>
      <c r="S114">
        <v>3</v>
      </c>
      <c r="T114">
        <v>2</v>
      </c>
    </row>
    <row r="115" spans="1:20" x14ac:dyDescent="0.25">
      <c r="A115">
        <v>202405</v>
      </c>
      <c r="B115">
        <v>640406</v>
      </c>
      <c r="C115" t="s">
        <v>0</v>
      </c>
      <c r="D115">
        <v>3</v>
      </c>
      <c r="E115">
        <v>18995</v>
      </c>
      <c r="F115">
        <v>80</v>
      </c>
      <c r="I115">
        <v>1.2</v>
      </c>
      <c r="J115">
        <v>0.182</v>
      </c>
      <c r="K115">
        <v>9.75</v>
      </c>
      <c r="L115">
        <v>1</v>
      </c>
      <c r="M115">
        <v>202403</v>
      </c>
      <c r="N115">
        <v>999999</v>
      </c>
      <c r="O115">
        <v>2</v>
      </c>
      <c r="P115">
        <v>2</v>
      </c>
      <c r="Q115">
        <v>1</v>
      </c>
      <c r="R115">
        <v>66.665999999999997</v>
      </c>
      <c r="S115">
        <v>4</v>
      </c>
      <c r="T115">
        <v>2</v>
      </c>
    </row>
    <row r="116" spans="1:20" x14ac:dyDescent="0.25">
      <c r="A116">
        <v>202405</v>
      </c>
      <c r="B116">
        <v>640406</v>
      </c>
      <c r="C116" t="s">
        <v>0</v>
      </c>
      <c r="D116">
        <v>4</v>
      </c>
      <c r="E116">
        <v>18997</v>
      </c>
      <c r="F116">
        <v>160</v>
      </c>
      <c r="I116">
        <v>1.6</v>
      </c>
      <c r="J116">
        <v>0.47</v>
      </c>
      <c r="K116">
        <v>10.37</v>
      </c>
      <c r="L116">
        <v>1</v>
      </c>
      <c r="M116">
        <v>202402</v>
      </c>
      <c r="N116">
        <v>999999</v>
      </c>
      <c r="O116">
        <v>4</v>
      </c>
      <c r="P116">
        <v>1</v>
      </c>
      <c r="Q116">
        <v>1</v>
      </c>
      <c r="R116">
        <v>100</v>
      </c>
      <c r="S116">
        <v>3</v>
      </c>
      <c r="T116">
        <v>4</v>
      </c>
    </row>
    <row r="117" spans="1:20" x14ac:dyDescent="0.25">
      <c r="A117">
        <v>202405</v>
      </c>
      <c r="B117">
        <v>640406</v>
      </c>
      <c r="C117" t="s">
        <v>0</v>
      </c>
      <c r="D117">
        <v>1</v>
      </c>
      <c r="E117">
        <v>18998</v>
      </c>
      <c r="F117">
        <v>0</v>
      </c>
      <c r="G117" t="s">
        <v>1</v>
      </c>
      <c r="H117" t="s">
        <v>1</v>
      </c>
      <c r="I117">
        <v>0</v>
      </c>
      <c r="J117">
        <v>0</v>
      </c>
      <c r="K117">
        <v>18.440000000000001</v>
      </c>
      <c r="L117">
        <v>1</v>
      </c>
      <c r="M117">
        <v>202402</v>
      </c>
      <c r="N117">
        <v>999999</v>
      </c>
      <c r="O117">
        <v>3</v>
      </c>
      <c r="P117">
        <v>2</v>
      </c>
      <c r="Q117">
        <v>1</v>
      </c>
      <c r="R117">
        <v>122</v>
      </c>
      <c r="S117">
        <v>3</v>
      </c>
      <c r="T117">
        <v>3</v>
      </c>
    </row>
    <row r="118" spans="1:20" x14ac:dyDescent="0.25">
      <c r="A118">
        <v>202405</v>
      </c>
      <c r="B118">
        <v>640406</v>
      </c>
      <c r="C118" t="s">
        <v>0</v>
      </c>
      <c r="D118">
        <v>3</v>
      </c>
      <c r="E118">
        <v>18999</v>
      </c>
      <c r="F118">
        <v>87.5</v>
      </c>
      <c r="I118">
        <v>0.90599999999999903</v>
      </c>
      <c r="J118">
        <v>-9.8000000000000004E-2</v>
      </c>
      <c r="K118">
        <v>7.57</v>
      </c>
      <c r="L118">
        <v>1</v>
      </c>
      <c r="M118">
        <v>202403</v>
      </c>
      <c r="N118">
        <v>999999</v>
      </c>
      <c r="O118">
        <v>6</v>
      </c>
      <c r="P118">
        <v>1</v>
      </c>
      <c r="Q118">
        <v>1</v>
      </c>
      <c r="R118">
        <v>96.537000000000006</v>
      </c>
      <c r="S118">
        <v>4</v>
      </c>
      <c r="T118">
        <v>6</v>
      </c>
    </row>
    <row r="119" spans="1:20" x14ac:dyDescent="0.25">
      <c r="A119">
        <v>202405</v>
      </c>
      <c r="B119">
        <v>640406</v>
      </c>
      <c r="C119" t="s">
        <v>0</v>
      </c>
      <c r="D119">
        <v>3</v>
      </c>
      <c r="E119">
        <v>19197</v>
      </c>
      <c r="F119">
        <v>152</v>
      </c>
      <c r="I119">
        <v>1.5649999999999999</v>
      </c>
      <c r="J119">
        <v>0.44799999999999901</v>
      </c>
      <c r="K119">
        <v>9.75</v>
      </c>
      <c r="L119">
        <v>1</v>
      </c>
      <c r="M119">
        <v>202403</v>
      </c>
      <c r="N119">
        <v>999999</v>
      </c>
      <c r="O119">
        <v>2</v>
      </c>
      <c r="P119">
        <v>2</v>
      </c>
      <c r="Q119">
        <v>1</v>
      </c>
      <c r="R119">
        <v>97.141000000000005</v>
      </c>
      <c r="S119">
        <v>4</v>
      </c>
      <c r="T119">
        <v>2</v>
      </c>
    </row>
    <row r="120" spans="1:20" x14ac:dyDescent="0.25">
      <c r="A120">
        <v>202405</v>
      </c>
      <c r="B120">
        <v>640406</v>
      </c>
      <c r="C120" t="s">
        <v>0</v>
      </c>
      <c r="D120">
        <v>1</v>
      </c>
      <c r="E120">
        <v>19198</v>
      </c>
      <c r="F120">
        <v>0</v>
      </c>
      <c r="G120" t="s">
        <v>1</v>
      </c>
      <c r="H120" t="s">
        <v>1</v>
      </c>
      <c r="I120">
        <v>0</v>
      </c>
      <c r="J120">
        <v>0</v>
      </c>
      <c r="K120">
        <v>8.35</v>
      </c>
      <c r="L120">
        <v>1</v>
      </c>
      <c r="M120">
        <v>202403</v>
      </c>
      <c r="N120">
        <v>999999</v>
      </c>
      <c r="O120">
        <v>7</v>
      </c>
      <c r="P120">
        <v>2</v>
      </c>
      <c r="Q120">
        <v>1</v>
      </c>
      <c r="R120">
        <v>151.69399999999999</v>
      </c>
      <c r="S120">
        <v>4</v>
      </c>
      <c r="T120">
        <v>7</v>
      </c>
    </row>
    <row r="121" spans="1:20" x14ac:dyDescent="0.25">
      <c r="A121">
        <v>202405</v>
      </c>
      <c r="B121">
        <v>640406</v>
      </c>
      <c r="C121" t="s">
        <v>0</v>
      </c>
      <c r="D121">
        <v>1</v>
      </c>
      <c r="E121">
        <v>19199</v>
      </c>
      <c r="F121">
        <v>0</v>
      </c>
      <c r="G121" t="s">
        <v>1</v>
      </c>
      <c r="H121" t="s">
        <v>1</v>
      </c>
      <c r="I121">
        <v>0</v>
      </c>
      <c r="J121">
        <v>0</v>
      </c>
      <c r="K121">
        <v>18.440000000000001</v>
      </c>
      <c r="L121">
        <v>1</v>
      </c>
      <c r="M121">
        <v>202403</v>
      </c>
      <c r="N121">
        <v>999999</v>
      </c>
      <c r="O121">
        <v>3</v>
      </c>
      <c r="P121">
        <v>2</v>
      </c>
      <c r="Q121">
        <v>1</v>
      </c>
      <c r="R121">
        <v>114.411</v>
      </c>
      <c r="S121">
        <v>4</v>
      </c>
      <c r="T121">
        <v>3</v>
      </c>
    </row>
  </sheetData>
  <sortState xmlns:xlrd2="http://schemas.microsoft.com/office/spreadsheetml/2017/richdata2" ref="A2:T121">
    <sortCondition ref="E2:E1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FB1A2-8EC9-4F54-8CEB-79D28821891A}">
  <dimension ref="A1:W126"/>
  <sheetViews>
    <sheetView workbookViewId="0">
      <pane ySplit="1" topLeftCell="A97" activePane="bottomLeft" state="frozen"/>
      <selection pane="bottomLeft" activeCell="N111" sqref="N111"/>
    </sheetView>
  </sheetViews>
  <sheetFormatPr defaultRowHeight="15" x14ac:dyDescent="0.25"/>
  <sheetData>
    <row r="1" spans="1:23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W1" t="s">
        <v>22</v>
      </c>
    </row>
    <row r="2" spans="1:23" x14ac:dyDescent="0.25">
      <c r="A2">
        <v>202406</v>
      </c>
      <c r="B2">
        <v>640406</v>
      </c>
      <c r="C2" t="s">
        <v>0</v>
      </c>
      <c r="D2">
        <v>3</v>
      </c>
      <c r="E2">
        <v>161</v>
      </c>
      <c r="F2">
        <v>159</v>
      </c>
      <c r="I2">
        <v>1.7869999999999999</v>
      </c>
      <c r="J2">
        <v>0.57999999999999996</v>
      </c>
      <c r="K2">
        <v>10.37</v>
      </c>
      <c r="L2">
        <v>1</v>
      </c>
      <c r="M2">
        <v>202402</v>
      </c>
      <c r="N2">
        <v>999999</v>
      </c>
      <c r="O2">
        <v>4</v>
      </c>
      <c r="P2">
        <v>2</v>
      </c>
      <c r="Q2">
        <v>1</v>
      </c>
      <c r="R2">
        <v>89</v>
      </c>
      <c r="S2">
        <v>3</v>
      </c>
      <c r="T2">
        <v>4</v>
      </c>
    </row>
    <row r="3" spans="1:23" x14ac:dyDescent="0.25">
      <c r="A3">
        <v>202406</v>
      </c>
      <c r="B3">
        <v>640406</v>
      </c>
      <c r="C3" t="s">
        <v>0</v>
      </c>
      <c r="D3">
        <v>3</v>
      </c>
      <c r="E3">
        <v>167</v>
      </c>
      <c r="F3">
        <v>80</v>
      </c>
      <c r="I3">
        <v>1.127</v>
      </c>
      <c r="J3">
        <v>0.11899999999999999</v>
      </c>
      <c r="K3">
        <v>3.39</v>
      </c>
      <c r="L3">
        <v>1</v>
      </c>
      <c r="M3">
        <v>202402</v>
      </c>
      <c r="N3">
        <v>999999</v>
      </c>
      <c r="O3">
        <v>10</v>
      </c>
      <c r="P3">
        <v>2</v>
      </c>
      <c r="Q3">
        <v>1</v>
      </c>
      <c r="R3">
        <v>71</v>
      </c>
      <c r="S3">
        <v>3</v>
      </c>
      <c r="T3">
        <v>10</v>
      </c>
    </row>
    <row r="4" spans="1:23" x14ac:dyDescent="0.25">
      <c r="A4">
        <v>202406</v>
      </c>
      <c r="B4">
        <v>640406</v>
      </c>
      <c r="C4" t="s">
        <v>0</v>
      </c>
      <c r="D4">
        <v>3</v>
      </c>
      <c r="E4">
        <v>191</v>
      </c>
      <c r="F4">
        <v>125</v>
      </c>
      <c r="I4">
        <v>1.389</v>
      </c>
      <c r="J4">
        <v>0.32899999999999902</v>
      </c>
      <c r="K4">
        <v>8.35</v>
      </c>
      <c r="L4">
        <v>1</v>
      </c>
      <c r="M4">
        <v>202402</v>
      </c>
      <c r="N4">
        <v>999999</v>
      </c>
      <c r="O4">
        <v>7</v>
      </c>
      <c r="P4">
        <v>2</v>
      </c>
      <c r="Q4">
        <v>1</v>
      </c>
      <c r="R4">
        <v>90</v>
      </c>
      <c r="S4">
        <v>3</v>
      </c>
      <c r="T4">
        <v>7</v>
      </c>
    </row>
    <row r="5" spans="1:23" x14ac:dyDescent="0.25">
      <c r="A5">
        <v>202406</v>
      </c>
      <c r="B5">
        <v>640406</v>
      </c>
      <c r="C5" t="s">
        <v>0</v>
      </c>
      <c r="D5">
        <v>3</v>
      </c>
      <c r="E5">
        <v>210</v>
      </c>
      <c r="F5">
        <v>154</v>
      </c>
      <c r="I5">
        <v>1.2130000000000001</v>
      </c>
      <c r="J5">
        <v>0.193</v>
      </c>
      <c r="K5">
        <v>9.36</v>
      </c>
      <c r="L5">
        <v>1</v>
      </c>
      <c r="M5">
        <v>202402</v>
      </c>
      <c r="N5">
        <v>999999</v>
      </c>
      <c r="O5">
        <v>8</v>
      </c>
      <c r="P5">
        <v>1</v>
      </c>
      <c r="Q5">
        <v>1</v>
      </c>
      <c r="R5">
        <v>126.99</v>
      </c>
      <c r="S5">
        <v>3</v>
      </c>
      <c r="T5">
        <v>8</v>
      </c>
    </row>
    <row r="6" spans="1:23" x14ac:dyDescent="0.25">
      <c r="A6">
        <v>202406</v>
      </c>
      <c r="B6">
        <v>640406</v>
      </c>
      <c r="C6" t="s">
        <v>0</v>
      </c>
      <c r="D6">
        <v>1</v>
      </c>
      <c r="E6">
        <v>211</v>
      </c>
      <c r="F6">
        <v>0</v>
      </c>
      <c r="G6" t="s">
        <v>1</v>
      </c>
      <c r="H6" t="s">
        <v>1</v>
      </c>
      <c r="I6">
        <v>0</v>
      </c>
      <c r="J6">
        <v>0</v>
      </c>
      <c r="K6">
        <v>9.36</v>
      </c>
      <c r="L6">
        <v>1</v>
      </c>
      <c r="M6">
        <v>202402</v>
      </c>
      <c r="N6">
        <v>999999</v>
      </c>
      <c r="O6">
        <v>8</v>
      </c>
      <c r="P6">
        <v>2</v>
      </c>
      <c r="Q6">
        <v>1</v>
      </c>
      <c r="R6">
        <v>40</v>
      </c>
      <c r="S6">
        <v>3</v>
      </c>
      <c r="T6">
        <v>8</v>
      </c>
    </row>
    <row r="7" spans="1:23" x14ac:dyDescent="0.25">
      <c r="A7">
        <v>202406</v>
      </c>
      <c r="B7">
        <v>640406</v>
      </c>
      <c r="C7" t="s">
        <v>0</v>
      </c>
      <c r="D7">
        <v>3</v>
      </c>
      <c r="E7">
        <v>221</v>
      </c>
      <c r="F7">
        <v>147.5</v>
      </c>
      <c r="I7">
        <v>1.476</v>
      </c>
      <c r="J7">
        <v>0.38900000000000001</v>
      </c>
      <c r="K7">
        <v>8.35</v>
      </c>
      <c r="L7">
        <v>1</v>
      </c>
      <c r="M7">
        <v>202402</v>
      </c>
      <c r="N7">
        <v>999999</v>
      </c>
      <c r="O7">
        <v>7</v>
      </c>
      <c r="P7">
        <v>2</v>
      </c>
      <c r="Q7">
        <v>1</v>
      </c>
      <c r="R7">
        <v>99.95</v>
      </c>
      <c r="S7">
        <v>3</v>
      </c>
      <c r="T7">
        <v>7</v>
      </c>
    </row>
    <row r="8" spans="1:23" x14ac:dyDescent="0.25">
      <c r="A8">
        <v>202406</v>
      </c>
      <c r="B8">
        <v>640406</v>
      </c>
      <c r="C8" t="s">
        <v>0</v>
      </c>
      <c r="D8">
        <v>3</v>
      </c>
      <c r="E8">
        <v>255</v>
      </c>
      <c r="F8">
        <v>129.99</v>
      </c>
      <c r="I8">
        <v>1.2869999999999999</v>
      </c>
      <c r="J8">
        <v>0.252</v>
      </c>
      <c r="K8">
        <v>7.57</v>
      </c>
      <c r="L8">
        <v>1</v>
      </c>
      <c r="M8">
        <v>202402</v>
      </c>
      <c r="N8">
        <v>999999</v>
      </c>
      <c r="O8">
        <v>6</v>
      </c>
      <c r="P8">
        <v>1</v>
      </c>
      <c r="Q8">
        <v>1</v>
      </c>
      <c r="R8">
        <v>100.99</v>
      </c>
      <c r="S8">
        <v>3</v>
      </c>
      <c r="T8">
        <v>6</v>
      </c>
    </row>
    <row r="9" spans="1:23" x14ac:dyDescent="0.25">
      <c r="A9">
        <v>202406</v>
      </c>
      <c r="B9">
        <v>640406</v>
      </c>
      <c r="C9" t="s">
        <v>0</v>
      </c>
      <c r="D9">
        <v>1</v>
      </c>
      <c r="E9">
        <v>287</v>
      </c>
      <c r="F9">
        <v>0</v>
      </c>
      <c r="G9" t="s">
        <v>1</v>
      </c>
      <c r="H9" t="s">
        <v>1</v>
      </c>
      <c r="I9">
        <v>0</v>
      </c>
      <c r="J9">
        <v>0</v>
      </c>
      <c r="K9">
        <v>8.35</v>
      </c>
      <c r="L9">
        <v>1</v>
      </c>
      <c r="M9">
        <v>202402</v>
      </c>
      <c r="N9">
        <v>999999</v>
      </c>
      <c r="O9">
        <v>7</v>
      </c>
      <c r="P9">
        <v>2</v>
      </c>
      <c r="Q9">
        <v>1</v>
      </c>
      <c r="R9">
        <v>129</v>
      </c>
      <c r="S9">
        <v>3</v>
      </c>
      <c r="T9">
        <v>7</v>
      </c>
    </row>
    <row r="10" spans="1:23" x14ac:dyDescent="0.25">
      <c r="A10">
        <v>202406</v>
      </c>
      <c r="B10">
        <v>640406</v>
      </c>
      <c r="C10" t="s">
        <v>0</v>
      </c>
      <c r="D10">
        <v>3</v>
      </c>
      <c r="E10">
        <v>307</v>
      </c>
      <c r="F10">
        <v>105</v>
      </c>
      <c r="I10">
        <v>1.167</v>
      </c>
      <c r="J10">
        <v>0.154</v>
      </c>
      <c r="K10">
        <v>9.36</v>
      </c>
      <c r="L10">
        <v>1</v>
      </c>
      <c r="M10">
        <v>202402</v>
      </c>
      <c r="N10">
        <v>999999</v>
      </c>
      <c r="O10">
        <v>8</v>
      </c>
      <c r="P10">
        <v>2</v>
      </c>
      <c r="Q10">
        <v>1</v>
      </c>
      <c r="R10">
        <v>90</v>
      </c>
      <c r="S10">
        <v>3</v>
      </c>
      <c r="T10">
        <v>8</v>
      </c>
    </row>
    <row r="11" spans="1:23" x14ac:dyDescent="0.25">
      <c r="A11">
        <v>202406</v>
      </c>
      <c r="B11">
        <v>640406</v>
      </c>
      <c r="C11" t="s">
        <v>0</v>
      </c>
      <c r="D11">
        <v>3</v>
      </c>
      <c r="E11">
        <v>308</v>
      </c>
      <c r="F11">
        <v>115</v>
      </c>
      <c r="I11">
        <v>1.2109999999999901</v>
      </c>
      <c r="J11">
        <v>0.191</v>
      </c>
      <c r="K11">
        <v>7.87</v>
      </c>
      <c r="L11">
        <v>1</v>
      </c>
      <c r="M11">
        <v>202402</v>
      </c>
      <c r="N11">
        <v>999999</v>
      </c>
      <c r="O11">
        <v>12</v>
      </c>
      <c r="P11">
        <v>2</v>
      </c>
      <c r="Q11">
        <v>1</v>
      </c>
      <c r="R11">
        <v>95</v>
      </c>
      <c r="S11">
        <v>3</v>
      </c>
      <c r="T11">
        <v>12</v>
      </c>
    </row>
    <row r="12" spans="1:23" x14ac:dyDescent="0.25">
      <c r="A12">
        <v>202406</v>
      </c>
      <c r="B12">
        <v>640406</v>
      </c>
      <c r="C12" t="s">
        <v>0</v>
      </c>
      <c r="D12">
        <v>3</v>
      </c>
      <c r="E12">
        <v>333</v>
      </c>
      <c r="F12">
        <v>150</v>
      </c>
      <c r="I12">
        <v>1.5549999999999999</v>
      </c>
      <c r="J12">
        <v>0.442</v>
      </c>
      <c r="K12">
        <v>7.87</v>
      </c>
      <c r="L12">
        <v>1</v>
      </c>
      <c r="M12">
        <v>202406</v>
      </c>
      <c r="N12">
        <v>999999</v>
      </c>
      <c r="O12">
        <v>12</v>
      </c>
      <c r="P12">
        <v>2</v>
      </c>
      <c r="Q12">
        <v>1</v>
      </c>
      <c r="R12">
        <v>96.444999999999993</v>
      </c>
      <c r="S12">
        <v>4</v>
      </c>
      <c r="T12">
        <v>12</v>
      </c>
    </row>
    <row r="13" spans="1:23" x14ac:dyDescent="0.25">
      <c r="A13">
        <v>202406</v>
      </c>
      <c r="B13">
        <v>640406</v>
      </c>
      <c r="C13" t="s">
        <v>0</v>
      </c>
      <c r="D13">
        <v>1</v>
      </c>
      <c r="E13">
        <v>335</v>
      </c>
      <c r="F13">
        <v>0</v>
      </c>
      <c r="G13" t="s">
        <v>1</v>
      </c>
      <c r="H13" t="s">
        <v>1</v>
      </c>
      <c r="I13">
        <v>0</v>
      </c>
      <c r="J13">
        <v>0</v>
      </c>
      <c r="K13">
        <v>7.87</v>
      </c>
      <c r="L13">
        <v>1</v>
      </c>
      <c r="M13">
        <v>202402</v>
      </c>
      <c r="N13">
        <v>999999</v>
      </c>
      <c r="O13">
        <v>12</v>
      </c>
      <c r="P13">
        <v>2</v>
      </c>
      <c r="Q13">
        <v>1</v>
      </c>
      <c r="R13">
        <v>44.1</v>
      </c>
      <c r="S13">
        <v>3</v>
      </c>
      <c r="T13">
        <v>12</v>
      </c>
    </row>
    <row r="14" spans="1:23" x14ac:dyDescent="0.25">
      <c r="A14">
        <v>202406</v>
      </c>
      <c r="B14">
        <v>640406</v>
      </c>
      <c r="C14" t="s">
        <v>0</v>
      </c>
      <c r="D14">
        <v>3</v>
      </c>
      <c r="E14">
        <v>340</v>
      </c>
      <c r="F14">
        <v>70</v>
      </c>
      <c r="I14">
        <v>1</v>
      </c>
      <c r="J14">
        <v>0</v>
      </c>
      <c r="K14">
        <v>7.87</v>
      </c>
      <c r="L14">
        <v>1</v>
      </c>
      <c r="M14">
        <v>202402</v>
      </c>
      <c r="N14">
        <v>999999</v>
      </c>
      <c r="O14">
        <v>12</v>
      </c>
      <c r="P14">
        <v>2</v>
      </c>
      <c r="Q14">
        <v>1</v>
      </c>
      <c r="R14">
        <v>70</v>
      </c>
      <c r="S14">
        <v>3</v>
      </c>
      <c r="T14">
        <v>12</v>
      </c>
    </row>
    <row r="15" spans="1:23" x14ac:dyDescent="0.25">
      <c r="A15">
        <v>202406</v>
      </c>
      <c r="B15">
        <v>640406</v>
      </c>
      <c r="C15" t="s">
        <v>0</v>
      </c>
      <c r="D15">
        <v>1</v>
      </c>
      <c r="E15">
        <v>372</v>
      </c>
      <c r="F15">
        <v>0</v>
      </c>
      <c r="G15" t="s">
        <v>1</v>
      </c>
      <c r="H15" t="s">
        <v>1</v>
      </c>
      <c r="I15">
        <v>0</v>
      </c>
      <c r="J15">
        <v>0</v>
      </c>
      <c r="K15">
        <v>9.89</v>
      </c>
      <c r="L15">
        <v>1</v>
      </c>
      <c r="M15">
        <v>202402</v>
      </c>
      <c r="N15">
        <v>999999</v>
      </c>
      <c r="O15">
        <v>9</v>
      </c>
      <c r="P15">
        <v>1</v>
      </c>
      <c r="Q15">
        <v>1</v>
      </c>
      <c r="R15">
        <v>39.49</v>
      </c>
      <c r="S15">
        <v>3</v>
      </c>
      <c r="T15">
        <v>9</v>
      </c>
    </row>
    <row r="16" spans="1:23" x14ac:dyDescent="0.25">
      <c r="A16">
        <v>202406</v>
      </c>
      <c r="B16">
        <v>640406</v>
      </c>
      <c r="C16" t="s">
        <v>0</v>
      </c>
      <c r="D16">
        <v>3</v>
      </c>
      <c r="E16">
        <v>373</v>
      </c>
      <c r="F16">
        <v>205.65</v>
      </c>
      <c r="I16">
        <v>1.855</v>
      </c>
      <c r="J16">
        <v>0.61799999999999999</v>
      </c>
      <c r="K16">
        <v>9.89</v>
      </c>
      <c r="L16">
        <v>1</v>
      </c>
      <c r="M16">
        <v>202402</v>
      </c>
      <c r="N16">
        <v>999999</v>
      </c>
      <c r="O16">
        <v>9</v>
      </c>
      <c r="P16">
        <v>2</v>
      </c>
      <c r="Q16">
        <v>1</v>
      </c>
      <c r="R16">
        <v>110.88</v>
      </c>
      <c r="S16">
        <v>3</v>
      </c>
      <c r="T16">
        <v>9</v>
      </c>
    </row>
    <row r="17" spans="1:20" x14ac:dyDescent="0.25">
      <c r="A17">
        <v>202406</v>
      </c>
      <c r="B17">
        <v>640406</v>
      </c>
      <c r="C17" t="s">
        <v>0</v>
      </c>
      <c r="D17">
        <v>3</v>
      </c>
      <c r="E17">
        <v>378</v>
      </c>
      <c r="F17">
        <v>171</v>
      </c>
      <c r="I17">
        <v>1.2130000000000001</v>
      </c>
      <c r="J17">
        <v>0.193</v>
      </c>
      <c r="K17">
        <v>8.35</v>
      </c>
      <c r="L17">
        <v>1</v>
      </c>
      <c r="M17">
        <v>202402</v>
      </c>
      <c r="N17">
        <v>999999</v>
      </c>
      <c r="O17">
        <v>7</v>
      </c>
      <c r="P17">
        <v>2</v>
      </c>
      <c r="Q17">
        <v>1</v>
      </c>
      <c r="R17">
        <v>141</v>
      </c>
      <c r="S17">
        <v>3</v>
      </c>
      <c r="T17">
        <v>7</v>
      </c>
    </row>
    <row r="18" spans="1:20" x14ac:dyDescent="0.25">
      <c r="A18">
        <v>202406</v>
      </c>
      <c r="B18">
        <v>640406</v>
      </c>
      <c r="C18" t="s">
        <v>0</v>
      </c>
      <c r="D18">
        <v>1</v>
      </c>
      <c r="E18">
        <v>393</v>
      </c>
      <c r="F18">
        <v>0</v>
      </c>
      <c r="G18" t="s">
        <v>1</v>
      </c>
      <c r="H18" t="s">
        <v>1</v>
      </c>
      <c r="I18">
        <v>0</v>
      </c>
      <c r="J18">
        <v>0</v>
      </c>
      <c r="K18">
        <v>7.87</v>
      </c>
      <c r="L18">
        <v>1</v>
      </c>
      <c r="M18">
        <v>202402</v>
      </c>
      <c r="N18">
        <v>999999</v>
      </c>
      <c r="O18">
        <v>12</v>
      </c>
      <c r="P18">
        <v>2</v>
      </c>
      <c r="Q18">
        <v>1</v>
      </c>
      <c r="R18">
        <v>55</v>
      </c>
      <c r="S18">
        <v>3</v>
      </c>
      <c r="T18">
        <v>12</v>
      </c>
    </row>
    <row r="19" spans="1:20" x14ac:dyDescent="0.25">
      <c r="A19">
        <v>202406</v>
      </c>
      <c r="B19">
        <v>640406</v>
      </c>
      <c r="C19" t="s">
        <v>0</v>
      </c>
      <c r="D19">
        <v>3</v>
      </c>
      <c r="E19">
        <v>395</v>
      </c>
      <c r="F19">
        <v>127</v>
      </c>
      <c r="I19">
        <v>1.0449999999999999</v>
      </c>
      <c r="J19">
        <v>4.3999999999999997E-2</v>
      </c>
      <c r="K19">
        <v>7.87</v>
      </c>
      <c r="L19">
        <v>1</v>
      </c>
      <c r="M19">
        <v>202406</v>
      </c>
      <c r="N19">
        <v>999999</v>
      </c>
      <c r="O19">
        <v>12</v>
      </c>
      <c r="P19">
        <v>2</v>
      </c>
      <c r="Q19">
        <v>1</v>
      </c>
      <c r="R19">
        <v>121.52</v>
      </c>
      <c r="S19">
        <v>4</v>
      </c>
      <c r="T19">
        <v>12</v>
      </c>
    </row>
    <row r="20" spans="1:20" x14ac:dyDescent="0.25">
      <c r="A20">
        <v>202406</v>
      </c>
      <c r="B20">
        <v>640406</v>
      </c>
      <c r="C20" t="s">
        <v>0</v>
      </c>
      <c r="D20">
        <v>1</v>
      </c>
      <c r="E20">
        <v>466</v>
      </c>
      <c r="F20">
        <v>0</v>
      </c>
      <c r="G20" t="s">
        <v>1</v>
      </c>
      <c r="H20" t="s">
        <v>1</v>
      </c>
      <c r="I20">
        <v>0</v>
      </c>
      <c r="J20">
        <v>0</v>
      </c>
      <c r="K20">
        <v>8.24</v>
      </c>
      <c r="L20">
        <v>1</v>
      </c>
      <c r="M20">
        <v>202404</v>
      </c>
      <c r="N20">
        <v>999999</v>
      </c>
      <c r="O20">
        <v>5</v>
      </c>
      <c r="P20">
        <v>2</v>
      </c>
      <c r="Q20">
        <v>1</v>
      </c>
      <c r="R20">
        <v>78.622</v>
      </c>
      <c r="S20">
        <v>4</v>
      </c>
      <c r="T20">
        <v>5</v>
      </c>
    </row>
    <row r="21" spans="1:20" x14ac:dyDescent="0.25">
      <c r="A21">
        <v>202406</v>
      </c>
      <c r="B21">
        <v>640406</v>
      </c>
      <c r="C21" t="s">
        <v>0</v>
      </c>
      <c r="D21">
        <v>3</v>
      </c>
      <c r="E21">
        <v>518</v>
      </c>
      <c r="F21">
        <v>569</v>
      </c>
      <c r="I21">
        <v>2.0390000000000001</v>
      </c>
      <c r="J21">
        <v>0.71299999999999997</v>
      </c>
      <c r="K21">
        <v>9.75</v>
      </c>
      <c r="L21">
        <v>1</v>
      </c>
      <c r="M21">
        <v>202402</v>
      </c>
      <c r="N21">
        <v>999999</v>
      </c>
      <c r="O21">
        <v>2</v>
      </c>
      <c r="P21">
        <v>1</v>
      </c>
      <c r="Q21">
        <v>1</v>
      </c>
      <c r="R21">
        <v>279</v>
      </c>
      <c r="S21">
        <v>3</v>
      </c>
      <c r="T21">
        <v>2</v>
      </c>
    </row>
    <row r="22" spans="1:20" x14ac:dyDescent="0.25">
      <c r="A22">
        <v>202406</v>
      </c>
      <c r="B22">
        <v>640406</v>
      </c>
      <c r="C22" t="s">
        <v>0</v>
      </c>
      <c r="D22">
        <v>3</v>
      </c>
      <c r="E22">
        <v>519</v>
      </c>
      <c r="F22">
        <v>108</v>
      </c>
      <c r="I22">
        <v>1.964</v>
      </c>
      <c r="J22">
        <v>0.67500000000000004</v>
      </c>
      <c r="K22">
        <v>9.75</v>
      </c>
      <c r="L22">
        <v>1</v>
      </c>
      <c r="M22">
        <v>202402</v>
      </c>
      <c r="N22">
        <v>999999</v>
      </c>
      <c r="O22">
        <v>2</v>
      </c>
      <c r="P22">
        <v>2</v>
      </c>
      <c r="Q22">
        <v>1</v>
      </c>
      <c r="R22">
        <v>55</v>
      </c>
      <c r="S22">
        <v>3</v>
      </c>
      <c r="T22">
        <v>2</v>
      </c>
    </row>
    <row r="23" spans="1:20" x14ac:dyDescent="0.25">
      <c r="A23">
        <v>202406</v>
      </c>
      <c r="B23">
        <v>640406</v>
      </c>
      <c r="C23" t="s">
        <v>0</v>
      </c>
      <c r="D23">
        <v>1</v>
      </c>
      <c r="E23">
        <v>541</v>
      </c>
      <c r="F23">
        <v>0</v>
      </c>
      <c r="G23" t="s">
        <v>1</v>
      </c>
      <c r="H23" t="s">
        <v>1</v>
      </c>
      <c r="I23">
        <v>0</v>
      </c>
      <c r="J23">
        <v>0</v>
      </c>
      <c r="K23">
        <v>9.75</v>
      </c>
      <c r="L23">
        <v>1</v>
      </c>
      <c r="M23">
        <v>202402</v>
      </c>
      <c r="N23">
        <v>999999</v>
      </c>
      <c r="O23">
        <v>2</v>
      </c>
      <c r="P23">
        <v>1</v>
      </c>
      <c r="Q23">
        <v>1</v>
      </c>
      <c r="R23">
        <v>149.99</v>
      </c>
      <c r="S23">
        <v>3</v>
      </c>
      <c r="T23">
        <v>2</v>
      </c>
    </row>
    <row r="24" spans="1:20" x14ac:dyDescent="0.25">
      <c r="A24">
        <v>202406</v>
      </c>
      <c r="B24">
        <v>640406</v>
      </c>
      <c r="C24" t="s">
        <v>0</v>
      </c>
      <c r="D24">
        <v>1</v>
      </c>
      <c r="E24">
        <v>542</v>
      </c>
      <c r="F24">
        <v>0</v>
      </c>
      <c r="G24" t="s">
        <v>1</v>
      </c>
      <c r="H24" t="s">
        <v>1</v>
      </c>
      <c r="I24">
        <v>0</v>
      </c>
      <c r="J24">
        <v>0</v>
      </c>
      <c r="K24">
        <v>9.75</v>
      </c>
      <c r="L24">
        <v>1</v>
      </c>
      <c r="M24">
        <v>202406</v>
      </c>
      <c r="N24">
        <v>999999</v>
      </c>
      <c r="O24">
        <v>2</v>
      </c>
      <c r="P24">
        <v>2</v>
      </c>
      <c r="Q24">
        <v>1</v>
      </c>
      <c r="R24">
        <v>239.31700000000001</v>
      </c>
      <c r="S24">
        <v>4</v>
      </c>
      <c r="T24">
        <v>2</v>
      </c>
    </row>
    <row r="25" spans="1:20" x14ac:dyDescent="0.25">
      <c r="A25">
        <v>202406</v>
      </c>
      <c r="B25">
        <v>640406</v>
      </c>
      <c r="C25" t="s">
        <v>0</v>
      </c>
      <c r="D25">
        <v>1</v>
      </c>
      <c r="E25">
        <v>544</v>
      </c>
      <c r="F25">
        <v>0</v>
      </c>
      <c r="G25" t="s">
        <v>1</v>
      </c>
      <c r="H25" t="s">
        <v>1</v>
      </c>
      <c r="I25">
        <v>0</v>
      </c>
      <c r="J25">
        <v>0</v>
      </c>
      <c r="K25">
        <v>9.75</v>
      </c>
      <c r="L25">
        <v>1</v>
      </c>
      <c r="M25">
        <v>202402</v>
      </c>
      <c r="N25">
        <v>999999</v>
      </c>
      <c r="O25">
        <v>2</v>
      </c>
      <c r="P25">
        <v>2</v>
      </c>
      <c r="Q25">
        <v>1</v>
      </c>
      <c r="R25">
        <v>172.75</v>
      </c>
      <c r="S25">
        <v>3</v>
      </c>
      <c r="T25">
        <v>2</v>
      </c>
    </row>
    <row r="26" spans="1:20" x14ac:dyDescent="0.25">
      <c r="A26">
        <v>202406</v>
      </c>
      <c r="B26">
        <v>640406</v>
      </c>
      <c r="C26" t="s">
        <v>0</v>
      </c>
      <c r="D26">
        <v>1</v>
      </c>
      <c r="E26">
        <v>642</v>
      </c>
      <c r="F26">
        <v>0</v>
      </c>
      <c r="G26" t="s">
        <v>1</v>
      </c>
      <c r="H26" t="s">
        <v>1</v>
      </c>
      <c r="I26">
        <v>0</v>
      </c>
      <c r="J26">
        <v>0</v>
      </c>
      <c r="K26">
        <v>9.89</v>
      </c>
      <c r="L26">
        <v>1</v>
      </c>
      <c r="M26">
        <v>202402</v>
      </c>
      <c r="N26">
        <v>999999</v>
      </c>
      <c r="O26">
        <v>9</v>
      </c>
      <c r="P26">
        <v>2</v>
      </c>
      <c r="Q26">
        <v>1</v>
      </c>
      <c r="R26">
        <v>110</v>
      </c>
      <c r="S26">
        <v>3</v>
      </c>
      <c r="T26">
        <v>9</v>
      </c>
    </row>
    <row r="27" spans="1:20" x14ac:dyDescent="0.25">
      <c r="A27">
        <v>202406</v>
      </c>
      <c r="B27">
        <v>640406</v>
      </c>
      <c r="C27" t="s">
        <v>0</v>
      </c>
      <c r="D27">
        <v>1</v>
      </c>
      <c r="E27">
        <v>673</v>
      </c>
      <c r="F27">
        <v>0</v>
      </c>
      <c r="G27" t="s">
        <v>1</v>
      </c>
      <c r="H27" t="s">
        <v>1</v>
      </c>
      <c r="I27">
        <v>0</v>
      </c>
      <c r="J27">
        <v>0</v>
      </c>
      <c r="K27">
        <v>18.440000000000001</v>
      </c>
      <c r="L27">
        <v>1</v>
      </c>
      <c r="M27">
        <v>202402</v>
      </c>
      <c r="N27">
        <v>999999</v>
      </c>
      <c r="O27">
        <v>3</v>
      </c>
      <c r="P27">
        <v>2</v>
      </c>
      <c r="Q27">
        <v>1</v>
      </c>
      <c r="R27">
        <v>58.5</v>
      </c>
      <c r="S27">
        <v>3</v>
      </c>
      <c r="T27">
        <v>3</v>
      </c>
    </row>
    <row r="28" spans="1:20" x14ac:dyDescent="0.25">
      <c r="A28">
        <v>202406</v>
      </c>
      <c r="B28">
        <v>640406</v>
      </c>
      <c r="C28" t="s">
        <v>0</v>
      </c>
      <c r="D28">
        <v>4</v>
      </c>
      <c r="E28">
        <v>729</v>
      </c>
      <c r="F28">
        <v>221</v>
      </c>
      <c r="I28">
        <v>1.339</v>
      </c>
      <c r="J28">
        <v>0.29199999999999998</v>
      </c>
      <c r="K28">
        <v>18.440000000000001</v>
      </c>
      <c r="L28">
        <v>1</v>
      </c>
      <c r="M28">
        <v>202402</v>
      </c>
      <c r="N28">
        <v>999999</v>
      </c>
      <c r="O28">
        <v>3</v>
      </c>
      <c r="P28">
        <v>1</v>
      </c>
      <c r="Q28">
        <v>1</v>
      </c>
      <c r="R28">
        <v>165</v>
      </c>
      <c r="S28">
        <v>3</v>
      </c>
      <c r="T28">
        <v>3</v>
      </c>
    </row>
    <row r="29" spans="1:20" x14ac:dyDescent="0.25">
      <c r="A29">
        <v>202406</v>
      </c>
      <c r="B29">
        <v>640406</v>
      </c>
      <c r="C29" t="s">
        <v>0</v>
      </c>
      <c r="D29">
        <v>1</v>
      </c>
      <c r="E29">
        <v>733</v>
      </c>
      <c r="F29">
        <v>0</v>
      </c>
      <c r="G29" t="s">
        <v>1</v>
      </c>
      <c r="H29" t="s">
        <v>1</v>
      </c>
      <c r="I29">
        <v>0</v>
      </c>
      <c r="J29">
        <v>0</v>
      </c>
      <c r="K29">
        <v>18.440000000000001</v>
      </c>
      <c r="L29">
        <v>1</v>
      </c>
      <c r="M29">
        <v>202402</v>
      </c>
      <c r="N29">
        <v>999999</v>
      </c>
      <c r="O29">
        <v>3</v>
      </c>
      <c r="P29">
        <v>1</v>
      </c>
      <c r="Q29">
        <v>1</v>
      </c>
      <c r="R29">
        <v>156</v>
      </c>
      <c r="S29">
        <v>3</v>
      </c>
      <c r="T29">
        <v>3</v>
      </c>
    </row>
    <row r="30" spans="1:20" x14ac:dyDescent="0.25">
      <c r="A30">
        <v>202406</v>
      </c>
      <c r="B30">
        <v>640406</v>
      </c>
      <c r="C30" t="s">
        <v>0</v>
      </c>
      <c r="D30">
        <v>4</v>
      </c>
      <c r="E30">
        <v>5001</v>
      </c>
      <c r="F30">
        <v>202</v>
      </c>
      <c r="I30">
        <v>1.413</v>
      </c>
      <c r="J30">
        <v>0.34499999999999997</v>
      </c>
      <c r="K30">
        <v>9.36</v>
      </c>
      <c r="L30">
        <v>1</v>
      </c>
      <c r="M30">
        <v>202402</v>
      </c>
      <c r="N30">
        <v>999999</v>
      </c>
      <c r="O30">
        <v>8</v>
      </c>
      <c r="P30">
        <v>2</v>
      </c>
      <c r="Q30">
        <v>1</v>
      </c>
      <c r="R30">
        <v>143</v>
      </c>
      <c r="S30">
        <v>3</v>
      </c>
      <c r="T30">
        <v>8</v>
      </c>
    </row>
    <row r="31" spans="1:20" x14ac:dyDescent="0.25">
      <c r="A31">
        <v>202406</v>
      </c>
      <c r="B31">
        <v>640406</v>
      </c>
      <c r="C31" t="s">
        <v>0</v>
      </c>
      <c r="D31">
        <v>4</v>
      </c>
      <c r="E31">
        <v>5003</v>
      </c>
      <c r="F31">
        <v>69.489999999999995</v>
      </c>
      <c r="I31">
        <v>0.94599999999999995</v>
      </c>
      <c r="J31">
        <v>-5.5999999999999897E-2</v>
      </c>
      <c r="K31">
        <v>9.36</v>
      </c>
      <c r="L31">
        <v>1</v>
      </c>
      <c r="M31">
        <v>202402</v>
      </c>
      <c r="N31">
        <v>999999</v>
      </c>
      <c r="O31">
        <v>8</v>
      </c>
      <c r="P31">
        <v>1</v>
      </c>
      <c r="Q31">
        <v>1</v>
      </c>
      <c r="R31">
        <v>73.489999999999995</v>
      </c>
      <c r="S31">
        <v>3</v>
      </c>
      <c r="T31">
        <v>8</v>
      </c>
    </row>
    <row r="32" spans="1:20" x14ac:dyDescent="0.25">
      <c r="A32">
        <v>202406</v>
      </c>
      <c r="B32">
        <v>640406</v>
      </c>
      <c r="C32" t="s">
        <v>0</v>
      </c>
      <c r="D32">
        <v>1</v>
      </c>
      <c r="E32">
        <v>5007</v>
      </c>
      <c r="F32">
        <v>0</v>
      </c>
      <c r="G32" t="s">
        <v>1</v>
      </c>
      <c r="H32" t="s">
        <v>1</v>
      </c>
      <c r="I32">
        <v>0</v>
      </c>
      <c r="J32">
        <v>0</v>
      </c>
      <c r="K32">
        <v>9.89</v>
      </c>
      <c r="L32">
        <v>1</v>
      </c>
      <c r="M32">
        <v>202402</v>
      </c>
      <c r="N32">
        <v>999999</v>
      </c>
      <c r="O32">
        <v>9</v>
      </c>
      <c r="P32">
        <v>1</v>
      </c>
      <c r="Q32">
        <v>1</v>
      </c>
      <c r="R32">
        <v>111</v>
      </c>
      <c r="S32">
        <v>3</v>
      </c>
      <c r="T32">
        <v>9</v>
      </c>
    </row>
    <row r="33" spans="1:20" x14ac:dyDescent="0.25">
      <c r="A33">
        <v>202406</v>
      </c>
      <c r="B33">
        <v>640406</v>
      </c>
      <c r="C33" t="s">
        <v>0</v>
      </c>
      <c r="D33">
        <v>3</v>
      </c>
      <c r="E33">
        <v>5028</v>
      </c>
      <c r="F33">
        <v>65</v>
      </c>
      <c r="I33">
        <v>1.196</v>
      </c>
      <c r="J33">
        <v>0.17899999999999999</v>
      </c>
      <c r="K33">
        <v>9.36</v>
      </c>
      <c r="L33">
        <v>1</v>
      </c>
      <c r="M33">
        <v>202403</v>
      </c>
      <c r="N33">
        <v>999999</v>
      </c>
      <c r="O33">
        <v>8</v>
      </c>
      <c r="P33">
        <v>1</v>
      </c>
      <c r="Q33">
        <v>1</v>
      </c>
      <c r="R33">
        <v>54.338000000000001</v>
      </c>
      <c r="S33">
        <v>4</v>
      </c>
      <c r="T33">
        <v>8</v>
      </c>
    </row>
    <row r="34" spans="1:20" x14ac:dyDescent="0.25">
      <c r="A34">
        <v>202406</v>
      </c>
      <c r="B34">
        <v>640406</v>
      </c>
      <c r="C34" t="s">
        <v>0</v>
      </c>
      <c r="D34">
        <v>3</v>
      </c>
      <c r="E34">
        <v>5035</v>
      </c>
      <c r="F34">
        <v>201</v>
      </c>
      <c r="I34">
        <v>1.595</v>
      </c>
      <c r="J34">
        <v>0.46700000000000003</v>
      </c>
      <c r="K34">
        <v>18.440000000000001</v>
      </c>
      <c r="L34">
        <v>1</v>
      </c>
      <c r="M34">
        <v>202402</v>
      </c>
      <c r="N34">
        <v>999999</v>
      </c>
      <c r="O34">
        <v>3</v>
      </c>
      <c r="P34">
        <v>2</v>
      </c>
      <c r="Q34">
        <v>1</v>
      </c>
      <c r="R34">
        <v>126</v>
      </c>
      <c r="S34">
        <v>3</v>
      </c>
      <c r="T34">
        <v>3</v>
      </c>
    </row>
    <row r="35" spans="1:20" x14ac:dyDescent="0.25">
      <c r="A35">
        <v>202406</v>
      </c>
      <c r="B35">
        <v>640406</v>
      </c>
      <c r="C35" t="s">
        <v>0</v>
      </c>
      <c r="D35">
        <v>1</v>
      </c>
      <c r="E35">
        <v>5043</v>
      </c>
      <c r="F35">
        <v>0</v>
      </c>
      <c r="G35" t="s">
        <v>1</v>
      </c>
      <c r="H35" t="s">
        <v>1</v>
      </c>
      <c r="I35">
        <v>0</v>
      </c>
      <c r="J35">
        <v>0</v>
      </c>
      <c r="K35">
        <v>8.24</v>
      </c>
      <c r="L35">
        <v>1</v>
      </c>
      <c r="M35">
        <v>202404</v>
      </c>
      <c r="N35">
        <v>999999</v>
      </c>
      <c r="O35">
        <v>5</v>
      </c>
      <c r="P35">
        <v>2</v>
      </c>
      <c r="Q35">
        <v>1</v>
      </c>
      <c r="R35">
        <v>109.902</v>
      </c>
      <c r="S35">
        <v>4</v>
      </c>
      <c r="T35">
        <v>5</v>
      </c>
    </row>
    <row r="36" spans="1:20" x14ac:dyDescent="0.25">
      <c r="A36">
        <v>202406</v>
      </c>
      <c r="B36">
        <v>640406</v>
      </c>
      <c r="C36" t="s">
        <v>0</v>
      </c>
      <c r="D36">
        <v>1</v>
      </c>
      <c r="E36">
        <v>5046</v>
      </c>
      <c r="F36">
        <v>0</v>
      </c>
      <c r="G36" t="s">
        <v>1</v>
      </c>
      <c r="H36" t="s">
        <v>1</v>
      </c>
      <c r="I36">
        <v>0</v>
      </c>
      <c r="J36">
        <v>0</v>
      </c>
      <c r="K36">
        <v>18.440000000000001</v>
      </c>
      <c r="L36">
        <v>1</v>
      </c>
      <c r="M36">
        <v>202402</v>
      </c>
      <c r="N36">
        <v>999999</v>
      </c>
      <c r="O36">
        <v>3</v>
      </c>
      <c r="P36">
        <v>2</v>
      </c>
      <c r="Q36">
        <v>1</v>
      </c>
      <c r="R36">
        <v>120</v>
      </c>
      <c r="S36">
        <v>3</v>
      </c>
      <c r="T36">
        <v>3</v>
      </c>
    </row>
    <row r="37" spans="1:20" x14ac:dyDescent="0.25">
      <c r="A37">
        <v>202406</v>
      </c>
      <c r="B37">
        <v>640406</v>
      </c>
      <c r="C37" t="s">
        <v>0</v>
      </c>
      <c r="D37">
        <v>1</v>
      </c>
      <c r="E37">
        <v>5050</v>
      </c>
      <c r="F37">
        <v>0</v>
      </c>
      <c r="G37" t="s">
        <v>1</v>
      </c>
      <c r="H37" t="s">
        <v>1</v>
      </c>
      <c r="I37">
        <v>0</v>
      </c>
      <c r="J37">
        <v>0</v>
      </c>
      <c r="K37">
        <v>9.75</v>
      </c>
      <c r="L37">
        <v>1</v>
      </c>
      <c r="M37">
        <v>202402</v>
      </c>
      <c r="N37">
        <v>999999</v>
      </c>
      <c r="O37">
        <v>2</v>
      </c>
      <c r="P37">
        <v>1</v>
      </c>
      <c r="Q37">
        <v>1</v>
      </c>
      <c r="R37">
        <v>660</v>
      </c>
      <c r="S37">
        <v>3</v>
      </c>
      <c r="T37">
        <v>2</v>
      </c>
    </row>
    <row r="38" spans="1:20" x14ac:dyDescent="0.25">
      <c r="A38">
        <v>202406</v>
      </c>
      <c r="B38">
        <v>640406</v>
      </c>
      <c r="C38" t="s">
        <v>0</v>
      </c>
      <c r="D38">
        <v>3</v>
      </c>
      <c r="E38">
        <v>5084</v>
      </c>
      <c r="F38">
        <v>140.99</v>
      </c>
      <c r="I38">
        <v>1.28199999999999</v>
      </c>
      <c r="J38">
        <v>0.248</v>
      </c>
      <c r="K38">
        <v>18.440000000000001</v>
      </c>
      <c r="L38">
        <v>1</v>
      </c>
      <c r="M38">
        <v>202402</v>
      </c>
      <c r="N38">
        <v>999999</v>
      </c>
      <c r="O38">
        <v>3</v>
      </c>
      <c r="P38">
        <v>2</v>
      </c>
      <c r="Q38">
        <v>1</v>
      </c>
      <c r="R38">
        <v>109.99</v>
      </c>
      <c r="S38">
        <v>3</v>
      </c>
      <c r="T38">
        <v>3</v>
      </c>
    </row>
    <row r="39" spans="1:20" x14ac:dyDescent="0.25">
      <c r="A39">
        <v>202406</v>
      </c>
      <c r="B39">
        <v>640406</v>
      </c>
      <c r="C39" t="s">
        <v>0</v>
      </c>
      <c r="D39">
        <v>3</v>
      </c>
      <c r="E39">
        <v>5101</v>
      </c>
      <c r="F39">
        <v>170</v>
      </c>
      <c r="I39">
        <v>1.3140000000000001</v>
      </c>
      <c r="J39">
        <v>0.27300000000000002</v>
      </c>
      <c r="K39">
        <v>9.89</v>
      </c>
      <c r="L39">
        <v>1</v>
      </c>
      <c r="M39">
        <v>202403</v>
      </c>
      <c r="N39">
        <v>999999</v>
      </c>
      <c r="O39">
        <v>9</v>
      </c>
      <c r="P39">
        <v>2</v>
      </c>
      <c r="Q39">
        <v>1</v>
      </c>
      <c r="R39">
        <v>129.399</v>
      </c>
      <c r="S39">
        <v>4</v>
      </c>
      <c r="T39">
        <v>9</v>
      </c>
    </row>
    <row r="40" spans="1:20" x14ac:dyDescent="0.25">
      <c r="A40">
        <v>202406</v>
      </c>
      <c r="B40">
        <v>640406</v>
      </c>
      <c r="C40" t="s">
        <v>0</v>
      </c>
      <c r="D40">
        <v>3</v>
      </c>
      <c r="E40">
        <v>5101</v>
      </c>
      <c r="F40">
        <v>57.5</v>
      </c>
      <c r="I40">
        <v>1.1499999999999999</v>
      </c>
      <c r="J40">
        <v>0.14000000000000001</v>
      </c>
      <c r="K40">
        <v>3.39</v>
      </c>
      <c r="L40">
        <v>1</v>
      </c>
      <c r="M40">
        <v>202402</v>
      </c>
      <c r="N40">
        <v>999999</v>
      </c>
      <c r="O40">
        <v>10</v>
      </c>
      <c r="P40">
        <v>2</v>
      </c>
      <c r="Q40">
        <v>1</v>
      </c>
      <c r="R40">
        <v>50</v>
      </c>
      <c r="S40">
        <v>3</v>
      </c>
      <c r="T40">
        <v>10</v>
      </c>
    </row>
    <row r="41" spans="1:20" x14ac:dyDescent="0.25">
      <c r="A41">
        <v>202406</v>
      </c>
      <c r="B41">
        <v>640406</v>
      </c>
      <c r="C41" t="s">
        <v>0</v>
      </c>
      <c r="D41">
        <v>4</v>
      </c>
      <c r="E41">
        <v>5106</v>
      </c>
      <c r="F41">
        <v>210.99</v>
      </c>
      <c r="I41">
        <v>1.1990000000000001</v>
      </c>
      <c r="J41">
        <v>0.18099999999999999</v>
      </c>
      <c r="K41">
        <v>9.89</v>
      </c>
      <c r="L41">
        <v>1</v>
      </c>
      <c r="M41">
        <v>202402</v>
      </c>
      <c r="N41">
        <v>999999</v>
      </c>
      <c r="O41">
        <v>9</v>
      </c>
      <c r="P41">
        <v>1</v>
      </c>
      <c r="Q41">
        <v>1</v>
      </c>
      <c r="R41">
        <v>175.99</v>
      </c>
      <c r="S41">
        <v>3</v>
      </c>
      <c r="T41">
        <v>9</v>
      </c>
    </row>
    <row r="42" spans="1:20" x14ac:dyDescent="0.25">
      <c r="A42">
        <v>202406</v>
      </c>
      <c r="B42">
        <v>640406</v>
      </c>
      <c r="C42" t="s">
        <v>0</v>
      </c>
      <c r="D42">
        <v>1</v>
      </c>
      <c r="E42">
        <v>5112</v>
      </c>
      <c r="F42">
        <v>0</v>
      </c>
      <c r="G42" t="s">
        <v>1</v>
      </c>
      <c r="H42" t="s">
        <v>1</v>
      </c>
      <c r="I42">
        <v>0</v>
      </c>
      <c r="J42">
        <v>0</v>
      </c>
      <c r="K42">
        <v>1.01</v>
      </c>
      <c r="L42">
        <v>1</v>
      </c>
      <c r="M42">
        <v>202403</v>
      </c>
      <c r="N42">
        <v>999999</v>
      </c>
      <c r="O42">
        <v>13</v>
      </c>
      <c r="P42">
        <v>2</v>
      </c>
      <c r="Q42">
        <v>1</v>
      </c>
      <c r="R42">
        <v>113.423999999999</v>
      </c>
      <c r="S42">
        <v>4</v>
      </c>
      <c r="T42">
        <v>13</v>
      </c>
    </row>
    <row r="43" spans="1:20" x14ac:dyDescent="0.25">
      <c r="A43">
        <v>202406</v>
      </c>
      <c r="B43">
        <v>640406</v>
      </c>
      <c r="C43" t="s">
        <v>0</v>
      </c>
      <c r="D43">
        <v>3</v>
      </c>
      <c r="E43">
        <v>5117</v>
      </c>
      <c r="F43">
        <v>79</v>
      </c>
      <c r="I43">
        <v>1.099</v>
      </c>
      <c r="J43">
        <v>9.4E-2</v>
      </c>
      <c r="K43">
        <v>3.39</v>
      </c>
      <c r="L43">
        <v>1</v>
      </c>
      <c r="M43">
        <v>202402</v>
      </c>
      <c r="N43">
        <v>999999</v>
      </c>
      <c r="O43">
        <v>10</v>
      </c>
      <c r="P43">
        <v>2</v>
      </c>
      <c r="Q43">
        <v>1</v>
      </c>
      <c r="R43">
        <v>71.89</v>
      </c>
      <c r="S43">
        <v>3</v>
      </c>
      <c r="T43">
        <v>10</v>
      </c>
    </row>
    <row r="44" spans="1:20" x14ac:dyDescent="0.25">
      <c r="A44">
        <v>202406</v>
      </c>
      <c r="B44">
        <v>640406</v>
      </c>
      <c r="C44" t="s">
        <v>0</v>
      </c>
      <c r="D44">
        <v>3</v>
      </c>
      <c r="E44">
        <v>5120</v>
      </c>
      <c r="F44">
        <v>134.85</v>
      </c>
      <c r="I44">
        <v>1.179</v>
      </c>
      <c r="J44">
        <v>0.16500000000000001</v>
      </c>
      <c r="K44">
        <v>18.440000000000001</v>
      </c>
      <c r="L44">
        <v>1</v>
      </c>
      <c r="M44">
        <v>202403</v>
      </c>
      <c r="N44">
        <v>999999</v>
      </c>
      <c r="O44">
        <v>3</v>
      </c>
      <c r="P44">
        <v>2</v>
      </c>
      <c r="Q44">
        <v>1</v>
      </c>
      <c r="R44">
        <v>114.36199999999999</v>
      </c>
      <c r="S44">
        <v>4</v>
      </c>
      <c r="T44">
        <v>3</v>
      </c>
    </row>
    <row r="45" spans="1:20" x14ac:dyDescent="0.25">
      <c r="A45">
        <v>202406</v>
      </c>
      <c r="B45">
        <v>640406</v>
      </c>
      <c r="C45" t="s">
        <v>0</v>
      </c>
      <c r="D45">
        <v>3</v>
      </c>
      <c r="E45">
        <v>5120</v>
      </c>
      <c r="F45">
        <v>202.99</v>
      </c>
      <c r="I45">
        <v>1.4930000000000001</v>
      </c>
      <c r="J45">
        <v>0.40100000000000002</v>
      </c>
      <c r="K45">
        <v>8.35</v>
      </c>
      <c r="L45">
        <v>1</v>
      </c>
      <c r="M45">
        <v>202402</v>
      </c>
      <c r="N45">
        <v>999999</v>
      </c>
      <c r="O45">
        <v>7</v>
      </c>
      <c r="P45">
        <v>2</v>
      </c>
      <c r="Q45">
        <v>1</v>
      </c>
      <c r="R45">
        <v>135.99</v>
      </c>
      <c r="S45">
        <v>3</v>
      </c>
      <c r="T45">
        <v>7</v>
      </c>
    </row>
    <row r="46" spans="1:20" x14ac:dyDescent="0.25">
      <c r="A46">
        <v>202406</v>
      </c>
      <c r="B46">
        <v>640406</v>
      </c>
      <c r="C46" t="s">
        <v>0</v>
      </c>
      <c r="D46">
        <v>1</v>
      </c>
      <c r="E46">
        <v>5122</v>
      </c>
      <c r="F46">
        <v>0</v>
      </c>
      <c r="G46" t="s">
        <v>1</v>
      </c>
      <c r="H46" t="s">
        <v>1</v>
      </c>
      <c r="I46">
        <v>0</v>
      </c>
      <c r="J46">
        <v>0</v>
      </c>
      <c r="K46">
        <v>5.76</v>
      </c>
      <c r="L46">
        <v>1</v>
      </c>
      <c r="M46">
        <v>202405</v>
      </c>
      <c r="N46">
        <v>999999</v>
      </c>
      <c r="O46">
        <v>11</v>
      </c>
      <c r="P46">
        <v>2</v>
      </c>
      <c r="Q46">
        <v>1</v>
      </c>
      <c r="R46">
        <v>78.650999999999996</v>
      </c>
      <c r="S46">
        <v>4</v>
      </c>
      <c r="T46">
        <v>11</v>
      </c>
    </row>
    <row r="47" spans="1:20" x14ac:dyDescent="0.25">
      <c r="A47">
        <v>202406</v>
      </c>
      <c r="B47">
        <v>640406</v>
      </c>
      <c r="C47" t="s">
        <v>0</v>
      </c>
      <c r="D47">
        <v>3</v>
      </c>
      <c r="E47">
        <v>5133</v>
      </c>
      <c r="F47">
        <v>90</v>
      </c>
      <c r="I47">
        <v>1.3140000000000001</v>
      </c>
      <c r="J47">
        <v>0.27300000000000002</v>
      </c>
      <c r="K47">
        <v>9.89</v>
      </c>
      <c r="L47">
        <v>1</v>
      </c>
      <c r="M47">
        <v>202402</v>
      </c>
      <c r="N47">
        <v>999999</v>
      </c>
      <c r="O47">
        <v>9</v>
      </c>
      <c r="P47">
        <v>2</v>
      </c>
      <c r="Q47">
        <v>1</v>
      </c>
      <c r="R47">
        <v>68.5</v>
      </c>
      <c r="S47">
        <v>3</v>
      </c>
      <c r="T47">
        <v>9</v>
      </c>
    </row>
    <row r="48" spans="1:20" x14ac:dyDescent="0.25">
      <c r="A48">
        <v>202406</v>
      </c>
      <c r="B48">
        <v>640406</v>
      </c>
      <c r="C48" t="s">
        <v>0</v>
      </c>
      <c r="D48">
        <v>3</v>
      </c>
      <c r="E48">
        <v>5180</v>
      </c>
      <c r="F48">
        <v>150</v>
      </c>
      <c r="I48">
        <v>1.5</v>
      </c>
      <c r="J48">
        <v>0.40500000000000003</v>
      </c>
      <c r="K48">
        <v>7.87</v>
      </c>
      <c r="L48">
        <v>1</v>
      </c>
      <c r="M48">
        <v>202402</v>
      </c>
      <c r="N48">
        <v>999999</v>
      </c>
      <c r="O48">
        <v>12</v>
      </c>
      <c r="P48">
        <v>2</v>
      </c>
      <c r="Q48">
        <v>1</v>
      </c>
      <c r="R48">
        <v>100</v>
      </c>
      <c r="S48">
        <v>3</v>
      </c>
      <c r="T48">
        <v>12</v>
      </c>
    </row>
    <row r="49" spans="1:20" x14ac:dyDescent="0.25">
      <c r="A49">
        <v>202406</v>
      </c>
      <c r="B49">
        <v>640406</v>
      </c>
      <c r="C49" t="s">
        <v>0</v>
      </c>
      <c r="D49">
        <v>3</v>
      </c>
      <c r="E49">
        <v>5226</v>
      </c>
      <c r="F49">
        <v>148.99</v>
      </c>
      <c r="I49">
        <v>1.1120000000000001</v>
      </c>
      <c r="J49">
        <v>0.106</v>
      </c>
      <c r="K49">
        <v>9.75</v>
      </c>
      <c r="L49">
        <v>1</v>
      </c>
      <c r="M49">
        <v>202402</v>
      </c>
      <c r="N49">
        <v>999999</v>
      </c>
      <c r="O49">
        <v>2</v>
      </c>
      <c r="P49">
        <v>1</v>
      </c>
      <c r="Q49">
        <v>1</v>
      </c>
      <c r="R49">
        <v>133.99</v>
      </c>
      <c r="S49">
        <v>3</v>
      </c>
      <c r="T49">
        <v>2</v>
      </c>
    </row>
    <row r="50" spans="1:20" x14ac:dyDescent="0.25">
      <c r="A50">
        <v>202406</v>
      </c>
      <c r="B50">
        <v>640406</v>
      </c>
      <c r="C50" t="s">
        <v>0</v>
      </c>
      <c r="D50">
        <v>3</v>
      </c>
      <c r="E50">
        <v>5246</v>
      </c>
      <c r="F50">
        <v>144</v>
      </c>
      <c r="I50">
        <v>0.82299999999999995</v>
      </c>
      <c r="J50">
        <v>-0.19500000000000001</v>
      </c>
      <c r="K50">
        <v>9.75</v>
      </c>
      <c r="L50">
        <v>1</v>
      </c>
      <c r="M50">
        <v>202402</v>
      </c>
      <c r="N50">
        <v>999999</v>
      </c>
      <c r="O50">
        <v>2</v>
      </c>
      <c r="P50">
        <v>2</v>
      </c>
      <c r="Q50">
        <v>1</v>
      </c>
      <c r="R50">
        <v>175</v>
      </c>
      <c r="S50">
        <v>3</v>
      </c>
      <c r="T50">
        <v>2</v>
      </c>
    </row>
    <row r="51" spans="1:20" x14ac:dyDescent="0.25">
      <c r="A51">
        <v>202406</v>
      </c>
      <c r="B51">
        <v>640406</v>
      </c>
      <c r="C51" t="s">
        <v>0</v>
      </c>
      <c r="D51">
        <v>3</v>
      </c>
      <c r="E51">
        <v>5247</v>
      </c>
      <c r="F51">
        <v>169</v>
      </c>
      <c r="I51">
        <v>1.216</v>
      </c>
      <c r="J51">
        <v>0.19500000000000001</v>
      </c>
      <c r="K51">
        <v>9.75</v>
      </c>
      <c r="L51">
        <v>1</v>
      </c>
      <c r="M51">
        <v>202402</v>
      </c>
      <c r="N51">
        <v>999999</v>
      </c>
      <c r="O51">
        <v>2</v>
      </c>
      <c r="P51">
        <v>2</v>
      </c>
      <c r="Q51">
        <v>1</v>
      </c>
      <c r="R51">
        <v>139</v>
      </c>
      <c r="S51">
        <v>3</v>
      </c>
      <c r="T51">
        <v>2</v>
      </c>
    </row>
    <row r="52" spans="1:20" x14ac:dyDescent="0.25">
      <c r="A52">
        <v>202406</v>
      </c>
      <c r="B52">
        <v>640406</v>
      </c>
      <c r="C52" t="s">
        <v>0</v>
      </c>
      <c r="D52">
        <v>3</v>
      </c>
      <c r="E52">
        <v>5262</v>
      </c>
      <c r="F52">
        <v>636</v>
      </c>
      <c r="I52">
        <v>2.944</v>
      </c>
      <c r="J52">
        <v>1.08</v>
      </c>
      <c r="K52">
        <v>10.37</v>
      </c>
      <c r="L52">
        <v>1</v>
      </c>
      <c r="M52">
        <v>202402</v>
      </c>
      <c r="N52">
        <v>999999</v>
      </c>
      <c r="O52">
        <v>4</v>
      </c>
      <c r="P52">
        <v>2</v>
      </c>
      <c r="Q52">
        <v>1</v>
      </c>
      <c r="R52">
        <v>216</v>
      </c>
      <c r="S52">
        <v>3</v>
      </c>
      <c r="T52">
        <v>4</v>
      </c>
    </row>
    <row r="53" spans="1:20" x14ac:dyDescent="0.25">
      <c r="A53">
        <v>202406</v>
      </c>
      <c r="B53">
        <v>640406</v>
      </c>
      <c r="C53" t="s">
        <v>0</v>
      </c>
      <c r="D53">
        <v>1</v>
      </c>
      <c r="E53">
        <v>5291</v>
      </c>
      <c r="F53">
        <v>0</v>
      </c>
      <c r="G53" t="s">
        <v>1</v>
      </c>
      <c r="H53" t="s">
        <v>1</v>
      </c>
      <c r="I53">
        <v>0</v>
      </c>
      <c r="J53">
        <v>0</v>
      </c>
      <c r="K53">
        <v>9.75</v>
      </c>
      <c r="L53">
        <v>1</v>
      </c>
      <c r="M53">
        <v>202402</v>
      </c>
      <c r="N53">
        <v>999999</v>
      </c>
      <c r="O53">
        <v>2</v>
      </c>
      <c r="P53">
        <v>2</v>
      </c>
      <c r="Q53">
        <v>1</v>
      </c>
      <c r="R53">
        <v>110</v>
      </c>
      <c r="S53">
        <v>3</v>
      </c>
      <c r="T53">
        <v>2</v>
      </c>
    </row>
    <row r="54" spans="1:20" x14ac:dyDescent="0.25">
      <c r="A54">
        <v>202406</v>
      </c>
      <c r="B54">
        <v>640406</v>
      </c>
      <c r="C54" t="s">
        <v>0</v>
      </c>
      <c r="D54">
        <v>1</v>
      </c>
      <c r="E54">
        <v>5295</v>
      </c>
      <c r="F54">
        <v>0</v>
      </c>
      <c r="G54" t="s">
        <v>1</v>
      </c>
      <c r="H54" t="s">
        <v>1</v>
      </c>
      <c r="I54">
        <v>0</v>
      </c>
      <c r="J54">
        <v>0</v>
      </c>
      <c r="K54">
        <v>9.75</v>
      </c>
      <c r="L54">
        <v>1</v>
      </c>
      <c r="M54">
        <v>202402</v>
      </c>
      <c r="N54">
        <v>999999</v>
      </c>
      <c r="O54">
        <v>2</v>
      </c>
      <c r="P54">
        <v>2</v>
      </c>
      <c r="Q54">
        <v>1</v>
      </c>
      <c r="R54">
        <v>92</v>
      </c>
      <c r="S54">
        <v>3</v>
      </c>
      <c r="T54">
        <v>2</v>
      </c>
    </row>
    <row r="55" spans="1:20" x14ac:dyDescent="0.25">
      <c r="A55">
        <v>202406</v>
      </c>
      <c r="B55">
        <v>640406</v>
      </c>
      <c r="C55" t="s">
        <v>0</v>
      </c>
      <c r="D55">
        <v>1</v>
      </c>
      <c r="E55">
        <v>5323</v>
      </c>
      <c r="F55">
        <v>0</v>
      </c>
      <c r="G55" t="s">
        <v>1</v>
      </c>
      <c r="H55" t="s">
        <v>1</v>
      </c>
      <c r="I55">
        <v>0</v>
      </c>
      <c r="J55">
        <v>0</v>
      </c>
      <c r="K55">
        <v>7.87</v>
      </c>
      <c r="L55">
        <v>1</v>
      </c>
      <c r="M55">
        <v>202402</v>
      </c>
      <c r="N55">
        <v>999999</v>
      </c>
      <c r="O55">
        <v>12</v>
      </c>
      <c r="P55">
        <v>2</v>
      </c>
      <c r="Q55">
        <v>1</v>
      </c>
      <c r="R55">
        <v>75</v>
      </c>
      <c r="S55">
        <v>3</v>
      </c>
      <c r="T55">
        <v>12</v>
      </c>
    </row>
    <row r="56" spans="1:20" x14ac:dyDescent="0.25">
      <c r="A56">
        <v>202406</v>
      </c>
      <c r="B56">
        <v>640406</v>
      </c>
      <c r="C56" t="s">
        <v>0</v>
      </c>
      <c r="D56">
        <v>4</v>
      </c>
      <c r="E56">
        <v>14310</v>
      </c>
      <c r="F56">
        <v>59</v>
      </c>
      <c r="I56">
        <v>0.90799999999999903</v>
      </c>
      <c r="J56">
        <v>-9.6999999999999906E-2</v>
      </c>
      <c r="K56">
        <v>9.75</v>
      </c>
      <c r="L56">
        <v>1</v>
      </c>
      <c r="M56">
        <v>202402</v>
      </c>
      <c r="N56">
        <v>999999</v>
      </c>
      <c r="O56">
        <v>2</v>
      </c>
      <c r="P56">
        <v>2</v>
      </c>
      <c r="Q56">
        <v>1</v>
      </c>
      <c r="R56">
        <v>65</v>
      </c>
      <c r="S56">
        <v>3</v>
      </c>
      <c r="T56">
        <v>2</v>
      </c>
    </row>
    <row r="57" spans="1:20" x14ac:dyDescent="0.25">
      <c r="A57">
        <v>202406</v>
      </c>
      <c r="B57">
        <v>640406</v>
      </c>
      <c r="C57" t="s">
        <v>0</v>
      </c>
      <c r="D57">
        <v>4</v>
      </c>
      <c r="E57">
        <v>14593</v>
      </c>
      <c r="F57">
        <v>72</v>
      </c>
      <c r="I57">
        <v>1.90699999999999</v>
      </c>
      <c r="J57">
        <v>0.64500000000000002</v>
      </c>
      <c r="K57">
        <v>8.35</v>
      </c>
      <c r="L57">
        <v>1</v>
      </c>
      <c r="M57">
        <v>202404</v>
      </c>
      <c r="N57">
        <v>999999</v>
      </c>
      <c r="O57">
        <v>7</v>
      </c>
      <c r="P57">
        <v>2</v>
      </c>
      <c r="Q57">
        <v>1</v>
      </c>
      <c r="R57">
        <v>37.762999999999998</v>
      </c>
      <c r="S57">
        <v>4</v>
      </c>
      <c r="T57">
        <v>7</v>
      </c>
    </row>
    <row r="58" spans="1:20" x14ac:dyDescent="0.25">
      <c r="A58">
        <v>202406</v>
      </c>
      <c r="B58">
        <v>640406</v>
      </c>
      <c r="C58" t="s">
        <v>0</v>
      </c>
      <c r="D58">
        <v>3</v>
      </c>
      <c r="E58">
        <v>14596</v>
      </c>
      <c r="F58">
        <v>60</v>
      </c>
      <c r="I58">
        <v>1.25</v>
      </c>
      <c r="J58">
        <v>0.223</v>
      </c>
      <c r="K58">
        <v>9.89</v>
      </c>
      <c r="L58">
        <v>1</v>
      </c>
      <c r="M58">
        <v>202404</v>
      </c>
      <c r="N58">
        <v>999999</v>
      </c>
      <c r="O58">
        <v>9</v>
      </c>
      <c r="P58">
        <v>2</v>
      </c>
      <c r="Q58">
        <v>1</v>
      </c>
      <c r="R58">
        <v>48.012</v>
      </c>
      <c r="S58">
        <v>4</v>
      </c>
      <c r="T58">
        <v>9</v>
      </c>
    </row>
    <row r="59" spans="1:20" x14ac:dyDescent="0.25">
      <c r="A59">
        <v>202406</v>
      </c>
      <c r="B59">
        <v>640406</v>
      </c>
      <c r="C59" t="s">
        <v>0</v>
      </c>
      <c r="D59">
        <v>1</v>
      </c>
      <c r="E59">
        <v>14598</v>
      </c>
      <c r="F59">
        <v>0</v>
      </c>
      <c r="G59" t="s">
        <v>1</v>
      </c>
      <c r="H59" t="s">
        <v>1</v>
      </c>
      <c r="I59">
        <v>0</v>
      </c>
      <c r="J59">
        <v>0</v>
      </c>
      <c r="K59">
        <v>10.37</v>
      </c>
      <c r="L59">
        <v>1</v>
      </c>
      <c r="M59">
        <v>202402</v>
      </c>
      <c r="N59">
        <v>999999</v>
      </c>
      <c r="O59">
        <v>4</v>
      </c>
      <c r="P59">
        <v>2</v>
      </c>
      <c r="Q59">
        <v>1</v>
      </c>
      <c r="R59">
        <v>78</v>
      </c>
      <c r="S59">
        <v>3</v>
      </c>
      <c r="T59">
        <v>4</v>
      </c>
    </row>
    <row r="60" spans="1:20" x14ac:dyDescent="0.25">
      <c r="A60">
        <v>202406</v>
      </c>
      <c r="B60">
        <v>640406</v>
      </c>
      <c r="C60" t="s">
        <v>0</v>
      </c>
      <c r="D60">
        <v>1</v>
      </c>
      <c r="E60">
        <v>14601</v>
      </c>
      <c r="F60">
        <v>0</v>
      </c>
      <c r="G60" t="s">
        <v>1</v>
      </c>
      <c r="H60" t="s">
        <v>1</v>
      </c>
      <c r="I60">
        <v>0</v>
      </c>
      <c r="J60">
        <v>0</v>
      </c>
      <c r="K60">
        <v>9.36</v>
      </c>
      <c r="L60">
        <v>1</v>
      </c>
      <c r="M60">
        <v>202402</v>
      </c>
      <c r="N60">
        <v>999999</v>
      </c>
      <c r="O60">
        <v>8</v>
      </c>
      <c r="P60">
        <v>2</v>
      </c>
      <c r="Q60">
        <v>1</v>
      </c>
      <c r="R60">
        <v>76</v>
      </c>
      <c r="S60">
        <v>3</v>
      </c>
      <c r="T60">
        <v>8</v>
      </c>
    </row>
    <row r="61" spans="1:20" x14ac:dyDescent="0.25">
      <c r="A61">
        <v>202406</v>
      </c>
      <c r="B61">
        <v>640406</v>
      </c>
      <c r="C61" t="s">
        <v>0</v>
      </c>
      <c r="D61">
        <v>3</v>
      </c>
      <c r="E61">
        <v>14629</v>
      </c>
      <c r="F61">
        <v>105</v>
      </c>
      <c r="I61">
        <v>0.97699999999999998</v>
      </c>
      <c r="J61">
        <v>-2.4E-2</v>
      </c>
      <c r="K61">
        <v>8.24</v>
      </c>
      <c r="L61">
        <v>1</v>
      </c>
      <c r="M61">
        <v>202402</v>
      </c>
      <c r="N61">
        <v>999999</v>
      </c>
      <c r="O61">
        <v>5</v>
      </c>
      <c r="P61">
        <v>2</v>
      </c>
      <c r="Q61">
        <v>1</v>
      </c>
      <c r="R61">
        <v>107.5</v>
      </c>
      <c r="S61">
        <v>3</v>
      </c>
      <c r="T61">
        <v>5</v>
      </c>
    </row>
    <row r="62" spans="1:20" x14ac:dyDescent="0.25">
      <c r="A62">
        <v>202406</v>
      </c>
      <c r="B62">
        <v>640406</v>
      </c>
      <c r="C62" t="s">
        <v>0</v>
      </c>
      <c r="D62">
        <v>1</v>
      </c>
      <c r="E62">
        <v>14804</v>
      </c>
      <c r="F62">
        <v>0</v>
      </c>
      <c r="G62" t="s">
        <v>1</v>
      </c>
      <c r="H62" t="s">
        <v>1</v>
      </c>
      <c r="I62">
        <v>0</v>
      </c>
      <c r="J62">
        <v>0</v>
      </c>
      <c r="K62">
        <v>8.24</v>
      </c>
      <c r="L62">
        <v>1</v>
      </c>
      <c r="M62">
        <v>202402</v>
      </c>
      <c r="N62">
        <v>999999</v>
      </c>
      <c r="O62">
        <v>5</v>
      </c>
      <c r="P62">
        <v>2</v>
      </c>
      <c r="Q62">
        <v>1</v>
      </c>
      <c r="R62">
        <v>135.5</v>
      </c>
      <c r="S62">
        <v>3</v>
      </c>
      <c r="T62">
        <v>5</v>
      </c>
    </row>
    <row r="63" spans="1:20" x14ac:dyDescent="0.25">
      <c r="A63">
        <v>202406</v>
      </c>
      <c r="B63">
        <v>640406</v>
      </c>
      <c r="C63" t="s">
        <v>0</v>
      </c>
      <c r="D63">
        <v>1</v>
      </c>
      <c r="E63">
        <v>15449</v>
      </c>
      <c r="F63">
        <v>0</v>
      </c>
      <c r="G63" t="s">
        <v>1</v>
      </c>
      <c r="H63" t="s">
        <v>1</v>
      </c>
      <c r="I63">
        <v>0</v>
      </c>
      <c r="J63">
        <v>0</v>
      </c>
      <c r="K63">
        <v>18.440000000000001</v>
      </c>
      <c r="L63">
        <v>1</v>
      </c>
      <c r="M63">
        <v>202402</v>
      </c>
      <c r="N63">
        <v>999999</v>
      </c>
      <c r="O63">
        <v>3</v>
      </c>
      <c r="P63">
        <v>2</v>
      </c>
      <c r="Q63">
        <v>1</v>
      </c>
      <c r="R63">
        <v>101</v>
      </c>
      <c r="S63">
        <v>3</v>
      </c>
      <c r="T63">
        <v>3</v>
      </c>
    </row>
    <row r="64" spans="1:20" x14ac:dyDescent="0.25">
      <c r="A64">
        <v>202406</v>
      </c>
      <c r="B64">
        <v>640406</v>
      </c>
      <c r="C64" t="s">
        <v>0</v>
      </c>
      <c r="D64">
        <v>3</v>
      </c>
      <c r="E64">
        <v>15450</v>
      </c>
      <c r="F64">
        <v>459</v>
      </c>
      <c r="I64">
        <v>1.5880000000000001</v>
      </c>
      <c r="J64">
        <v>0.46299999999999902</v>
      </c>
      <c r="K64">
        <v>9.75</v>
      </c>
      <c r="L64">
        <v>1</v>
      </c>
      <c r="M64">
        <v>202402</v>
      </c>
      <c r="N64">
        <v>999999</v>
      </c>
      <c r="O64">
        <v>2</v>
      </c>
      <c r="P64">
        <v>2</v>
      </c>
      <c r="Q64">
        <v>1</v>
      </c>
      <c r="R64">
        <v>289</v>
      </c>
      <c r="S64">
        <v>3</v>
      </c>
      <c r="T64">
        <v>2</v>
      </c>
    </row>
    <row r="65" spans="1:20" x14ac:dyDescent="0.25">
      <c r="A65">
        <v>202406</v>
      </c>
      <c r="B65">
        <v>640406</v>
      </c>
      <c r="C65" t="s">
        <v>0</v>
      </c>
      <c r="D65">
        <v>1</v>
      </c>
      <c r="E65">
        <v>15452</v>
      </c>
      <c r="F65">
        <v>0</v>
      </c>
      <c r="G65" t="s">
        <v>1</v>
      </c>
      <c r="H65" t="s">
        <v>1</v>
      </c>
      <c r="I65">
        <v>0</v>
      </c>
      <c r="J65">
        <v>0</v>
      </c>
      <c r="K65">
        <v>8.24</v>
      </c>
      <c r="L65">
        <v>1</v>
      </c>
      <c r="M65">
        <v>202402</v>
      </c>
      <c r="N65">
        <v>999999</v>
      </c>
      <c r="O65">
        <v>5</v>
      </c>
      <c r="P65">
        <v>1</v>
      </c>
      <c r="Q65">
        <v>1</v>
      </c>
      <c r="R65">
        <v>148</v>
      </c>
      <c r="S65">
        <v>3</v>
      </c>
      <c r="T65">
        <v>5</v>
      </c>
    </row>
    <row r="66" spans="1:20" x14ac:dyDescent="0.25">
      <c r="A66">
        <v>202406</v>
      </c>
      <c r="B66">
        <v>640406</v>
      </c>
      <c r="C66" t="s">
        <v>0</v>
      </c>
      <c r="D66">
        <v>1</v>
      </c>
      <c r="E66">
        <v>15609</v>
      </c>
      <c r="F66">
        <v>0</v>
      </c>
      <c r="G66" t="s">
        <v>1</v>
      </c>
      <c r="H66" t="s">
        <v>1</v>
      </c>
      <c r="I66">
        <v>0</v>
      </c>
      <c r="J66">
        <v>0</v>
      </c>
      <c r="K66">
        <v>9.75</v>
      </c>
      <c r="L66">
        <v>1</v>
      </c>
      <c r="M66">
        <v>202402</v>
      </c>
      <c r="N66">
        <v>999999</v>
      </c>
      <c r="O66">
        <v>2</v>
      </c>
      <c r="P66">
        <v>2</v>
      </c>
      <c r="Q66">
        <v>1</v>
      </c>
      <c r="R66">
        <v>79</v>
      </c>
      <c r="S66">
        <v>3</v>
      </c>
      <c r="T66">
        <v>2</v>
      </c>
    </row>
    <row r="67" spans="1:20" x14ac:dyDescent="0.25">
      <c r="A67">
        <v>202406</v>
      </c>
      <c r="B67">
        <v>640406</v>
      </c>
      <c r="C67" t="s">
        <v>0</v>
      </c>
      <c r="D67">
        <v>1</v>
      </c>
      <c r="E67">
        <v>15671</v>
      </c>
      <c r="F67">
        <v>0</v>
      </c>
      <c r="G67" t="s">
        <v>1</v>
      </c>
      <c r="H67" t="s">
        <v>1</v>
      </c>
      <c r="I67">
        <v>0</v>
      </c>
      <c r="J67">
        <v>0</v>
      </c>
      <c r="K67">
        <v>5.76</v>
      </c>
      <c r="L67">
        <v>1</v>
      </c>
      <c r="M67">
        <v>202405</v>
      </c>
      <c r="N67">
        <v>999999</v>
      </c>
      <c r="O67">
        <v>11</v>
      </c>
      <c r="P67">
        <v>2</v>
      </c>
      <c r="Q67">
        <v>1</v>
      </c>
      <c r="R67">
        <v>52.985999999999997</v>
      </c>
      <c r="S67">
        <v>4</v>
      </c>
      <c r="T67">
        <v>11</v>
      </c>
    </row>
    <row r="68" spans="1:20" x14ac:dyDescent="0.25">
      <c r="A68">
        <v>202406</v>
      </c>
      <c r="B68">
        <v>640406</v>
      </c>
      <c r="C68" t="s">
        <v>0</v>
      </c>
      <c r="D68">
        <v>1</v>
      </c>
      <c r="E68">
        <v>15689</v>
      </c>
      <c r="F68">
        <v>0</v>
      </c>
      <c r="G68" t="s">
        <v>1</v>
      </c>
      <c r="H68" t="s">
        <v>1</v>
      </c>
      <c r="I68">
        <v>0</v>
      </c>
      <c r="J68">
        <v>0</v>
      </c>
      <c r="K68">
        <v>1.01</v>
      </c>
      <c r="L68">
        <v>1</v>
      </c>
      <c r="M68">
        <v>202402</v>
      </c>
      <c r="N68">
        <v>999999</v>
      </c>
      <c r="O68">
        <v>13</v>
      </c>
      <c r="P68">
        <v>2</v>
      </c>
      <c r="Q68">
        <v>1</v>
      </c>
      <c r="R68">
        <v>125</v>
      </c>
      <c r="S68">
        <v>3</v>
      </c>
      <c r="T68">
        <v>13</v>
      </c>
    </row>
    <row r="69" spans="1:20" x14ac:dyDescent="0.25">
      <c r="A69">
        <v>202406</v>
      </c>
      <c r="B69">
        <v>640406</v>
      </c>
      <c r="C69" t="s">
        <v>0</v>
      </c>
      <c r="D69">
        <v>3</v>
      </c>
      <c r="E69">
        <v>16040</v>
      </c>
      <c r="F69">
        <v>228.99</v>
      </c>
      <c r="I69">
        <v>1.8619999999999901</v>
      </c>
      <c r="J69">
        <v>0.622</v>
      </c>
      <c r="K69">
        <v>7.57</v>
      </c>
      <c r="L69">
        <v>1</v>
      </c>
      <c r="M69">
        <v>202402</v>
      </c>
      <c r="N69">
        <v>999999</v>
      </c>
      <c r="O69">
        <v>6</v>
      </c>
      <c r="P69">
        <v>2</v>
      </c>
      <c r="Q69">
        <v>1</v>
      </c>
      <c r="R69">
        <v>122.99</v>
      </c>
      <c r="S69">
        <v>3</v>
      </c>
      <c r="T69">
        <v>6</v>
      </c>
    </row>
    <row r="70" spans="1:20" x14ac:dyDescent="0.25">
      <c r="A70">
        <v>202406</v>
      </c>
      <c r="B70">
        <v>640406</v>
      </c>
      <c r="C70" t="s">
        <v>0</v>
      </c>
      <c r="D70">
        <v>3</v>
      </c>
      <c r="E70">
        <v>16063</v>
      </c>
      <c r="F70">
        <v>70</v>
      </c>
      <c r="I70">
        <v>0.875</v>
      </c>
      <c r="J70">
        <v>-0.13400000000000001</v>
      </c>
      <c r="K70">
        <v>8.24</v>
      </c>
      <c r="L70">
        <v>1</v>
      </c>
      <c r="M70">
        <v>202402</v>
      </c>
      <c r="N70">
        <v>999999</v>
      </c>
      <c r="O70">
        <v>5</v>
      </c>
      <c r="P70">
        <v>1</v>
      </c>
      <c r="Q70">
        <v>1</v>
      </c>
      <c r="R70">
        <v>80</v>
      </c>
      <c r="S70">
        <v>3</v>
      </c>
      <c r="T70">
        <v>5</v>
      </c>
    </row>
    <row r="71" spans="1:20" x14ac:dyDescent="0.25">
      <c r="A71">
        <v>202406</v>
      </c>
      <c r="B71">
        <v>640406</v>
      </c>
      <c r="C71" t="s">
        <v>0</v>
      </c>
      <c r="D71">
        <v>1</v>
      </c>
      <c r="E71">
        <v>16065</v>
      </c>
      <c r="F71">
        <v>0</v>
      </c>
      <c r="G71" t="s">
        <v>1</v>
      </c>
      <c r="H71" t="s">
        <v>1</v>
      </c>
      <c r="I71">
        <v>0</v>
      </c>
      <c r="J71">
        <v>0</v>
      </c>
      <c r="K71">
        <v>8.24</v>
      </c>
      <c r="L71">
        <v>1</v>
      </c>
      <c r="M71">
        <v>202402</v>
      </c>
      <c r="N71">
        <v>999999</v>
      </c>
      <c r="O71">
        <v>5</v>
      </c>
      <c r="P71">
        <v>2</v>
      </c>
      <c r="Q71">
        <v>1</v>
      </c>
      <c r="R71">
        <v>85.99</v>
      </c>
      <c r="S71">
        <v>3</v>
      </c>
      <c r="T71">
        <v>5</v>
      </c>
    </row>
    <row r="72" spans="1:20" x14ac:dyDescent="0.25">
      <c r="A72">
        <v>202406</v>
      </c>
      <c r="B72">
        <v>640406</v>
      </c>
      <c r="C72" t="s">
        <v>0</v>
      </c>
      <c r="D72">
        <v>1</v>
      </c>
      <c r="E72">
        <v>16067</v>
      </c>
      <c r="F72">
        <v>0</v>
      </c>
      <c r="G72" t="s">
        <v>1</v>
      </c>
      <c r="H72" t="s">
        <v>1</v>
      </c>
      <c r="I72">
        <v>0</v>
      </c>
      <c r="J72">
        <v>0</v>
      </c>
      <c r="K72">
        <v>3.39</v>
      </c>
      <c r="L72">
        <v>1</v>
      </c>
      <c r="M72">
        <v>202402</v>
      </c>
      <c r="N72">
        <v>999999</v>
      </c>
      <c r="O72">
        <v>10</v>
      </c>
      <c r="P72">
        <v>2</v>
      </c>
      <c r="Q72">
        <v>1</v>
      </c>
      <c r="R72">
        <v>103.99</v>
      </c>
      <c r="S72">
        <v>3</v>
      </c>
      <c r="T72">
        <v>10</v>
      </c>
    </row>
    <row r="73" spans="1:20" x14ac:dyDescent="0.25">
      <c r="A73">
        <v>202406</v>
      </c>
      <c r="B73">
        <v>640406</v>
      </c>
      <c r="C73" t="s">
        <v>0</v>
      </c>
      <c r="D73">
        <v>1</v>
      </c>
      <c r="E73">
        <v>16103</v>
      </c>
      <c r="F73">
        <v>0</v>
      </c>
      <c r="G73" t="s">
        <v>1</v>
      </c>
      <c r="H73" t="s">
        <v>1</v>
      </c>
      <c r="I73">
        <v>0</v>
      </c>
      <c r="J73">
        <v>0</v>
      </c>
      <c r="K73">
        <v>9.36</v>
      </c>
      <c r="L73">
        <v>1</v>
      </c>
      <c r="M73">
        <v>202402</v>
      </c>
      <c r="N73">
        <v>999999</v>
      </c>
      <c r="O73">
        <v>8</v>
      </c>
      <c r="P73">
        <v>1</v>
      </c>
      <c r="Q73">
        <v>1</v>
      </c>
      <c r="R73">
        <v>108</v>
      </c>
      <c r="S73">
        <v>3</v>
      </c>
      <c r="T73">
        <v>8</v>
      </c>
    </row>
    <row r="74" spans="1:20" x14ac:dyDescent="0.25">
      <c r="A74">
        <v>202406</v>
      </c>
      <c r="B74">
        <v>640406</v>
      </c>
      <c r="C74" t="s">
        <v>0</v>
      </c>
      <c r="D74">
        <v>3</v>
      </c>
      <c r="E74">
        <v>16107</v>
      </c>
      <c r="F74">
        <v>244.99</v>
      </c>
      <c r="I74">
        <v>2.379</v>
      </c>
      <c r="J74">
        <v>0.86699999999999999</v>
      </c>
      <c r="K74">
        <v>7.87</v>
      </c>
      <c r="L74">
        <v>1</v>
      </c>
      <c r="M74">
        <v>202402</v>
      </c>
      <c r="N74">
        <v>999999</v>
      </c>
      <c r="O74">
        <v>12</v>
      </c>
      <c r="P74">
        <v>2</v>
      </c>
      <c r="Q74">
        <v>1</v>
      </c>
      <c r="R74">
        <v>102.99</v>
      </c>
      <c r="S74">
        <v>3</v>
      </c>
      <c r="T74">
        <v>12</v>
      </c>
    </row>
    <row r="75" spans="1:20" x14ac:dyDescent="0.25">
      <c r="A75">
        <v>202406</v>
      </c>
      <c r="B75">
        <v>640406</v>
      </c>
      <c r="C75" t="s">
        <v>0</v>
      </c>
      <c r="D75">
        <v>1</v>
      </c>
      <c r="E75">
        <v>16111</v>
      </c>
      <c r="F75">
        <v>0</v>
      </c>
      <c r="G75" t="s">
        <v>1</v>
      </c>
      <c r="H75" t="s">
        <v>1</v>
      </c>
      <c r="I75">
        <v>0</v>
      </c>
      <c r="J75">
        <v>0</v>
      </c>
      <c r="K75">
        <v>9.89</v>
      </c>
      <c r="L75">
        <v>1</v>
      </c>
      <c r="M75">
        <v>202404</v>
      </c>
      <c r="N75">
        <v>999999</v>
      </c>
      <c r="O75">
        <v>9</v>
      </c>
      <c r="P75">
        <v>2</v>
      </c>
      <c r="Q75">
        <v>1</v>
      </c>
      <c r="R75">
        <v>83.260999999999996</v>
      </c>
      <c r="S75">
        <v>4</v>
      </c>
      <c r="T75">
        <v>9</v>
      </c>
    </row>
    <row r="76" spans="1:20" x14ac:dyDescent="0.25">
      <c r="A76">
        <v>202406</v>
      </c>
      <c r="B76">
        <v>640406</v>
      </c>
      <c r="C76" t="s">
        <v>0</v>
      </c>
      <c r="D76">
        <v>1</v>
      </c>
      <c r="E76">
        <v>16123</v>
      </c>
      <c r="F76">
        <v>0</v>
      </c>
      <c r="G76" t="s">
        <v>1</v>
      </c>
      <c r="H76" t="s">
        <v>1</v>
      </c>
      <c r="I76">
        <v>0</v>
      </c>
      <c r="J76">
        <v>0</v>
      </c>
      <c r="K76">
        <v>7.87</v>
      </c>
      <c r="L76">
        <v>1</v>
      </c>
      <c r="M76">
        <v>202403</v>
      </c>
      <c r="N76">
        <v>999999</v>
      </c>
      <c r="O76">
        <v>12</v>
      </c>
      <c r="P76">
        <v>1</v>
      </c>
      <c r="Q76">
        <v>1</v>
      </c>
      <c r="R76">
        <v>71.066999999999993</v>
      </c>
      <c r="S76">
        <v>4</v>
      </c>
      <c r="T76">
        <v>12</v>
      </c>
    </row>
    <row r="77" spans="1:20" x14ac:dyDescent="0.25">
      <c r="A77">
        <v>202406</v>
      </c>
      <c r="B77">
        <v>640406</v>
      </c>
      <c r="C77" t="s">
        <v>0</v>
      </c>
      <c r="D77">
        <v>1</v>
      </c>
      <c r="E77">
        <v>16386</v>
      </c>
      <c r="F77">
        <v>0</v>
      </c>
      <c r="G77" t="s">
        <v>1</v>
      </c>
      <c r="H77" t="s">
        <v>1</v>
      </c>
      <c r="I77">
        <v>0</v>
      </c>
      <c r="J77">
        <v>0</v>
      </c>
      <c r="K77">
        <v>7.57</v>
      </c>
      <c r="L77">
        <v>1</v>
      </c>
      <c r="M77">
        <v>202402</v>
      </c>
      <c r="N77">
        <v>999999</v>
      </c>
      <c r="O77">
        <v>6</v>
      </c>
      <c r="P77">
        <v>2</v>
      </c>
      <c r="Q77">
        <v>1</v>
      </c>
      <c r="R77">
        <v>133</v>
      </c>
      <c r="S77">
        <v>3</v>
      </c>
      <c r="T77">
        <v>6</v>
      </c>
    </row>
    <row r="78" spans="1:20" x14ac:dyDescent="0.25">
      <c r="A78">
        <v>202406</v>
      </c>
      <c r="B78">
        <v>640406</v>
      </c>
      <c r="C78" t="s">
        <v>0</v>
      </c>
      <c r="D78">
        <v>3</v>
      </c>
      <c r="E78">
        <v>16387</v>
      </c>
      <c r="F78">
        <v>90.9</v>
      </c>
      <c r="I78">
        <v>1.2629999999999999</v>
      </c>
      <c r="J78">
        <v>0.23300000000000001</v>
      </c>
      <c r="K78">
        <v>10.37</v>
      </c>
      <c r="L78">
        <v>1</v>
      </c>
      <c r="M78">
        <v>202402</v>
      </c>
      <c r="N78">
        <v>999999</v>
      </c>
      <c r="O78">
        <v>4</v>
      </c>
      <c r="P78">
        <v>1</v>
      </c>
      <c r="Q78">
        <v>1</v>
      </c>
      <c r="R78">
        <v>72</v>
      </c>
      <c r="S78">
        <v>3</v>
      </c>
      <c r="T78">
        <v>4</v>
      </c>
    </row>
    <row r="79" spans="1:20" x14ac:dyDescent="0.25">
      <c r="A79">
        <v>202406</v>
      </c>
      <c r="B79">
        <v>640406</v>
      </c>
      <c r="C79" t="s">
        <v>0</v>
      </c>
      <c r="D79">
        <v>4</v>
      </c>
      <c r="E79">
        <v>16599</v>
      </c>
      <c r="F79">
        <v>55</v>
      </c>
      <c r="I79">
        <v>1</v>
      </c>
      <c r="J79">
        <v>0</v>
      </c>
      <c r="K79">
        <v>18.440000000000001</v>
      </c>
      <c r="L79">
        <v>1</v>
      </c>
      <c r="M79">
        <v>202402</v>
      </c>
      <c r="N79">
        <v>999999</v>
      </c>
      <c r="O79">
        <v>3</v>
      </c>
      <c r="P79">
        <v>1</v>
      </c>
      <c r="Q79">
        <v>1</v>
      </c>
      <c r="R79">
        <v>55</v>
      </c>
      <c r="S79">
        <v>3</v>
      </c>
      <c r="T79">
        <v>3</v>
      </c>
    </row>
    <row r="80" spans="1:20" x14ac:dyDescent="0.25">
      <c r="A80">
        <v>202406</v>
      </c>
      <c r="B80">
        <v>640406</v>
      </c>
      <c r="C80" t="s">
        <v>0</v>
      </c>
      <c r="D80">
        <v>1</v>
      </c>
      <c r="E80">
        <v>18012</v>
      </c>
      <c r="F80">
        <v>0</v>
      </c>
      <c r="G80" t="s">
        <v>1</v>
      </c>
      <c r="H80" t="s">
        <v>1</v>
      </c>
      <c r="I80">
        <v>0</v>
      </c>
      <c r="J80">
        <v>0</v>
      </c>
      <c r="K80">
        <v>9.75</v>
      </c>
      <c r="L80">
        <v>1</v>
      </c>
      <c r="M80">
        <v>202402</v>
      </c>
      <c r="N80">
        <v>999999</v>
      </c>
      <c r="O80">
        <v>2</v>
      </c>
      <c r="P80">
        <v>2</v>
      </c>
      <c r="Q80">
        <v>1</v>
      </c>
      <c r="R80">
        <v>95</v>
      </c>
      <c r="S80">
        <v>3</v>
      </c>
      <c r="T80">
        <v>2</v>
      </c>
    </row>
    <row r="81" spans="1:20" x14ac:dyDescent="0.25">
      <c r="A81">
        <v>202406</v>
      </c>
      <c r="B81">
        <v>640406</v>
      </c>
      <c r="C81" t="s">
        <v>0</v>
      </c>
      <c r="D81">
        <v>1</v>
      </c>
      <c r="E81">
        <v>18013</v>
      </c>
      <c r="F81">
        <v>0</v>
      </c>
      <c r="G81" t="s">
        <v>1</v>
      </c>
      <c r="H81" t="s">
        <v>1</v>
      </c>
      <c r="I81">
        <v>0</v>
      </c>
      <c r="J81">
        <v>0</v>
      </c>
      <c r="K81">
        <v>9.75</v>
      </c>
      <c r="L81">
        <v>1</v>
      </c>
      <c r="M81">
        <v>202404</v>
      </c>
      <c r="N81">
        <v>999999</v>
      </c>
      <c r="O81">
        <v>2</v>
      </c>
      <c r="P81">
        <v>2</v>
      </c>
      <c r="Q81">
        <v>1</v>
      </c>
      <c r="R81">
        <v>46.113</v>
      </c>
      <c r="S81">
        <v>4</v>
      </c>
      <c r="T81">
        <v>2</v>
      </c>
    </row>
    <row r="82" spans="1:20" x14ac:dyDescent="0.25">
      <c r="A82">
        <v>202406</v>
      </c>
      <c r="B82">
        <v>640406</v>
      </c>
      <c r="C82" t="s">
        <v>0</v>
      </c>
      <c r="D82">
        <v>1</v>
      </c>
      <c r="E82">
        <v>18015</v>
      </c>
      <c r="F82">
        <v>0</v>
      </c>
      <c r="G82" t="s">
        <v>1</v>
      </c>
      <c r="H82" t="s">
        <v>1</v>
      </c>
      <c r="I82">
        <v>0</v>
      </c>
      <c r="J82">
        <v>0</v>
      </c>
      <c r="K82">
        <v>18.440000000000001</v>
      </c>
      <c r="L82">
        <v>1</v>
      </c>
      <c r="M82">
        <v>202402</v>
      </c>
      <c r="N82">
        <v>999999</v>
      </c>
      <c r="O82">
        <v>3</v>
      </c>
      <c r="P82">
        <v>2</v>
      </c>
      <c r="Q82">
        <v>1</v>
      </c>
      <c r="R82">
        <v>111.5</v>
      </c>
      <c r="S82">
        <v>3</v>
      </c>
      <c r="T82">
        <v>3</v>
      </c>
    </row>
    <row r="83" spans="1:20" x14ac:dyDescent="0.25">
      <c r="A83">
        <v>202406</v>
      </c>
      <c r="B83">
        <v>640406</v>
      </c>
      <c r="C83" t="s">
        <v>0</v>
      </c>
      <c r="D83">
        <v>2</v>
      </c>
      <c r="E83">
        <v>18016</v>
      </c>
      <c r="F83">
        <v>57</v>
      </c>
      <c r="I83">
        <v>1</v>
      </c>
      <c r="J83">
        <v>0</v>
      </c>
      <c r="K83">
        <v>9.89</v>
      </c>
      <c r="L83">
        <v>1</v>
      </c>
      <c r="M83">
        <v>202402</v>
      </c>
      <c r="N83">
        <v>999999</v>
      </c>
      <c r="O83">
        <v>9</v>
      </c>
      <c r="P83">
        <v>2</v>
      </c>
      <c r="Q83">
        <v>1</v>
      </c>
      <c r="R83">
        <v>57</v>
      </c>
      <c r="S83">
        <v>3</v>
      </c>
      <c r="T83">
        <v>9</v>
      </c>
    </row>
    <row r="84" spans="1:20" x14ac:dyDescent="0.25">
      <c r="A84">
        <v>202406</v>
      </c>
      <c r="B84">
        <v>640406</v>
      </c>
      <c r="C84" t="s">
        <v>0</v>
      </c>
      <c r="D84">
        <v>1</v>
      </c>
      <c r="E84">
        <v>18017</v>
      </c>
      <c r="F84">
        <v>0</v>
      </c>
      <c r="G84" t="s">
        <v>1</v>
      </c>
      <c r="H84" t="s">
        <v>1</v>
      </c>
      <c r="I84">
        <v>0</v>
      </c>
      <c r="J84">
        <v>0</v>
      </c>
      <c r="K84">
        <v>8.35</v>
      </c>
      <c r="L84">
        <v>1</v>
      </c>
      <c r="M84">
        <v>202402</v>
      </c>
      <c r="N84">
        <v>999999</v>
      </c>
      <c r="O84">
        <v>7</v>
      </c>
      <c r="P84">
        <v>2</v>
      </c>
      <c r="Q84">
        <v>1</v>
      </c>
      <c r="R84">
        <v>189</v>
      </c>
      <c r="S84">
        <v>3</v>
      </c>
      <c r="T84">
        <v>7</v>
      </c>
    </row>
    <row r="85" spans="1:20" x14ac:dyDescent="0.25">
      <c r="A85">
        <v>202406</v>
      </c>
      <c r="B85">
        <v>640406</v>
      </c>
      <c r="C85" t="s">
        <v>0</v>
      </c>
      <c r="D85">
        <v>3</v>
      </c>
      <c r="E85">
        <v>18019</v>
      </c>
      <c r="F85">
        <v>298</v>
      </c>
      <c r="I85">
        <v>2.4830000000000001</v>
      </c>
      <c r="J85">
        <v>0.91</v>
      </c>
      <c r="K85">
        <v>8.24</v>
      </c>
      <c r="L85">
        <v>1</v>
      </c>
      <c r="M85">
        <v>202402</v>
      </c>
      <c r="N85">
        <v>999999</v>
      </c>
      <c r="O85">
        <v>5</v>
      </c>
      <c r="P85">
        <v>2</v>
      </c>
      <c r="Q85">
        <v>1</v>
      </c>
      <c r="R85">
        <v>120</v>
      </c>
      <c r="S85">
        <v>3</v>
      </c>
      <c r="T85">
        <v>5</v>
      </c>
    </row>
    <row r="86" spans="1:20" x14ac:dyDescent="0.25">
      <c r="A86">
        <v>202406</v>
      </c>
      <c r="B86">
        <v>640406</v>
      </c>
      <c r="C86" t="s">
        <v>0</v>
      </c>
      <c r="D86">
        <v>4</v>
      </c>
      <c r="E86">
        <v>18020</v>
      </c>
      <c r="F86">
        <v>54</v>
      </c>
      <c r="I86">
        <v>1.038</v>
      </c>
      <c r="J86">
        <v>3.7999999999999999E-2</v>
      </c>
      <c r="K86">
        <v>7.57</v>
      </c>
      <c r="L86">
        <v>1</v>
      </c>
      <c r="M86">
        <v>202402</v>
      </c>
      <c r="N86">
        <v>999999</v>
      </c>
      <c r="O86">
        <v>6</v>
      </c>
      <c r="P86">
        <v>2</v>
      </c>
      <c r="Q86">
        <v>1</v>
      </c>
      <c r="R86">
        <v>52</v>
      </c>
      <c r="S86">
        <v>3</v>
      </c>
      <c r="T86">
        <v>6</v>
      </c>
    </row>
    <row r="87" spans="1:20" x14ac:dyDescent="0.25">
      <c r="A87">
        <v>202406</v>
      </c>
      <c r="B87">
        <v>640406</v>
      </c>
      <c r="C87" t="s">
        <v>0</v>
      </c>
      <c r="D87">
        <v>1</v>
      </c>
      <c r="E87">
        <v>18021</v>
      </c>
      <c r="F87">
        <v>0</v>
      </c>
      <c r="G87" t="s">
        <v>1</v>
      </c>
      <c r="H87" t="s">
        <v>1</v>
      </c>
      <c r="I87">
        <v>0</v>
      </c>
      <c r="J87">
        <v>0</v>
      </c>
      <c r="K87">
        <v>9.75</v>
      </c>
      <c r="L87">
        <v>1</v>
      </c>
      <c r="M87">
        <v>202402</v>
      </c>
      <c r="N87">
        <v>999999</v>
      </c>
      <c r="O87">
        <v>2</v>
      </c>
      <c r="P87">
        <v>2</v>
      </c>
      <c r="Q87">
        <v>1</v>
      </c>
      <c r="R87">
        <v>93.6</v>
      </c>
      <c r="S87">
        <v>3</v>
      </c>
      <c r="T87">
        <v>2</v>
      </c>
    </row>
    <row r="88" spans="1:20" x14ac:dyDescent="0.25">
      <c r="A88">
        <v>202406</v>
      </c>
      <c r="B88">
        <v>640406</v>
      </c>
      <c r="C88" t="s">
        <v>0</v>
      </c>
      <c r="D88">
        <v>1</v>
      </c>
      <c r="E88">
        <v>18022</v>
      </c>
      <c r="F88">
        <v>0</v>
      </c>
      <c r="G88" t="s">
        <v>1</v>
      </c>
      <c r="H88" t="s">
        <v>1</v>
      </c>
      <c r="I88">
        <v>0</v>
      </c>
      <c r="J88">
        <v>0</v>
      </c>
      <c r="K88">
        <v>1.01</v>
      </c>
      <c r="L88">
        <v>1</v>
      </c>
      <c r="M88">
        <v>202402</v>
      </c>
      <c r="N88">
        <v>999999</v>
      </c>
      <c r="O88">
        <v>13</v>
      </c>
      <c r="P88">
        <v>2</v>
      </c>
      <c r="Q88">
        <v>1</v>
      </c>
      <c r="R88">
        <v>159</v>
      </c>
      <c r="S88">
        <v>3</v>
      </c>
      <c r="T88">
        <v>13</v>
      </c>
    </row>
    <row r="89" spans="1:20" x14ac:dyDescent="0.25">
      <c r="A89">
        <v>202406</v>
      </c>
      <c r="B89">
        <v>640406</v>
      </c>
      <c r="C89" t="s">
        <v>0</v>
      </c>
      <c r="D89">
        <v>1</v>
      </c>
      <c r="E89">
        <v>18023</v>
      </c>
      <c r="F89">
        <v>0</v>
      </c>
      <c r="G89" t="s">
        <v>1</v>
      </c>
      <c r="H89" t="s">
        <v>1</v>
      </c>
      <c r="I89">
        <v>0</v>
      </c>
      <c r="J89">
        <v>0</v>
      </c>
      <c r="K89">
        <v>18.440000000000001</v>
      </c>
      <c r="L89">
        <v>1</v>
      </c>
      <c r="M89">
        <v>202402</v>
      </c>
      <c r="N89">
        <v>999999</v>
      </c>
      <c r="O89">
        <v>3</v>
      </c>
      <c r="P89">
        <v>1</v>
      </c>
      <c r="Q89">
        <v>1</v>
      </c>
      <c r="R89">
        <v>165</v>
      </c>
      <c r="S89">
        <v>3</v>
      </c>
      <c r="T89">
        <v>3</v>
      </c>
    </row>
    <row r="90" spans="1:20" x14ac:dyDescent="0.25">
      <c r="A90">
        <v>202406</v>
      </c>
      <c r="B90">
        <v>640406</v>
      </c>
      <c r="C90" t="s">
        <v>0</v>
      </c>
      <c r="D90">
        <v>1</v>
      </c>
      <c r="E90">
        <v>18025</v>
      </c>
      <c r="F90">
        <v>0</v>
      </c>
      <c r="G90" t="s">
        <v>1</v>
      </c>
      <c r="H90" t="s">
        <v>1</v>
      </c>
      <c r="I90">
        <v>0</v>
      </c>
      <c r="J90">
        <v>0</v>
      </c>
      <c r="K90">
        <v>9.36</v>
      </c>
      <c r="L90">
        <v>1</v>
      </c>
      <c r="M90">
        <v>202402</v>
      </c>
      <c r="N90">
        <v>999999</v>
      </c>
      <c r="O90">
        <v>8</v>
      </c>
      <c r="P90">
        <v>1</v>
      </c>
      <c r="Q90">
        <v>1</v>
      </c>
      <c r="R90">
        <v>69</v>
      </c>
      <c r="S90">
        <v>3</v>
      </c>
      <c r="T90">
        <v>8</v>
      </c>
    </row>
    <row r="91" spans="1:20" x14ac:dyDescent="0.25">
      <c r="A91">
        <v>202406</v>
      </c>
      <c r="B91">
        <v>640406</v>
      </c>
      <c r="C91" t="s">
        <v>0</v>
      </c>
      <c r="D91">
        <v>1</v>
      </c>
      <c r="E91">
        <v>18026</v>
      </c>
      <c r="F91">
        <v>0</v>
      </c>
      <c r="G91" t="s">
        <v>1</v>
      </c>
      <c r="H91" t="s">
        <v>1</v>
      </c>
      <c r="I91">
        <v>0</v>
      </c>
      <c r="J91">
        <v>0</v>
      </c>
      <c r="K91">
        <v>8.24</v>
      </c>
      <c r="L91">
        <v>1</v>
      </c>
      <c r="M91">
        <v>202403</v>
      </c>
      <c r="N91">
        <v>999999</v>
      </c>
      <c r="O91">
        <v>5</v>
      </c>
      <c r="P91">
        <v>2</v>
      </c>
      <c r="Q91">
        <v>1</v>
      </c>
      <c r="R91">
        <v>122.289</v>
      </c>
      <c r="S91">
        <v>4</v>
      </c>
      <c r="T91">
        <v>5</v>
      </c>
    </row>
    <row r="92" spans="1:20" x14ac:dyDescent="0.25">
      <c r="A92">
        <v>202406</v>
      </c>
      <c r="B92">
        <v>640406</v>
      </c>
      <c r="C92" t="s">
        <v>0</v>
      </c>
      <c r="D92">
        <v>3</v>
      </c>
      <c r="E92">
        <v>18027</v>
      </c>
      <c r="F92">
        <v>145.74</v>
      </c>
      <c r="I92">
        <v>1.4359999999999999</v>
      </c>
      <c r="J92">
        <v>0.36199999999999999</v>
      </c>
      <c r="K92">
        <v>9.75</v>
      </c>
      <c r="L92">
        <v>1</v>
      </c>
      <c r="M92">
        <v>202402</v>
      </c>
      <c r="N92">
        <v>999999</v>
      </c>
      <c r="O92">
        <v>2</v>
      </c>
      <c r="P92">
        <v>1</v>
      </c>
      <c r="Q92">
        <v>1</v>
      </c>
      <c r="R92">
        <v>101.49</v>
      </c>
      <c r="S92">
        <v>3</v>
      </c>
      <c r="T92">
        <v>2</v>
      </c>
    </row>
    <row r="93" spans="1:20" x14ac:dyDescent="0.25">
      <c r="A93">
        <v>202406</v>
      </c>
      <c r="B93">
        <v>640406</v>
      </c>
      <c r="C93" t="s">
        <v>0</v>
      </c>
      <c r="D93">
        <v>1</v>
      </c>
      <c r="E93">
        <v>18028</v>
      </c>
      <c r="F93">
        <v>0</v>
      </c>
      <c r="G93" t="s">
        <v>1</v>
      </c>
      <c r="H93" t="s">
        <v>1</v>
      </c>
      <c r="I93">
        <v>0</v>
      </c>
      <c r="J93">
        <v>0</v>
      </c>
      <c r="K93">
        <v>18.440000000000001</v>
      </c>
      <c r="L93">
        <v>1</v>
      </c>
      <c r="M93">
        <v>202402</v>
      </c>
      <c r="N93">
        <v>999999</v>
      </c>
      <c r="O93">
        <v>3</v>
      </c>
      <c r="P93">
        <v>2</v>
      </c>
      <c r="Q93">
        <v>1</v>
      </c>
      <c r="R93">
        <v>75</v>
      </c>
      <c r="S93">
        <v>3</v>
      </c>
      <c r="T93">
        <v>3</v>
      </c>
    </row>
    <row r="94" spans="1:20" x14ac:dyDescent="0.25">
      <c r="A94">
        <v>202406</v>
      </c>
      <c r="B94">
        <v>640406</v>
      </c>
      <c r="C94" t="s">
        <v>0</v>
      </c>
      <c r="D94">
        <v>1</v>
      </c>
      <c r="E94">
        <v>18029</v>
      </c>
      <c r="F94">
        <v>0</v>
      </c>
      <c r="G94" t="s">
        <v>1</v>
      </c>
      <c r="H94" t="s">
        <v>1</v>
      </c>
      <c r="I94">
        <v>0</v>
      </c>
      <c r="J94">
        <v>0</v>
      </c>
      <c r="K94">
        <v>10.37</v>
      </c>
      <c r="L94">
        <v>1</v>
      </c>
      <c r="M94">
        <v>202402</v>
      </c>
      <c r="N94">
        <v>999999</v>
      </c>
      <c r="O94">
        <v>4</v>
      </c>
      <c r="P94">
        <v>2</v>
      </c>
      <c r="Q94">
        <v>1</v>
      </c>
      <c r="R94">
        <v>110.44</v>
      </c>
      <c r="S94">
        <v>3</v>
      </c>
      <c r="T94">
        <v>4</v>
      </c>
    </row>
    <row r="95" spans="1:20" x14ac:dyDescent="0.25">
      <c r="A95">
        <v>202406</v>
      </c>
      <c r="B95">
        <v>640406</v>
      </c>
      <c r="C95" t="s">
        <v>0</v>
      </c>
      <c r="D95">
        <v>1</v>
      </c>
      <c r="E95">
        <v>18030</v>
      </c>
      <c r="F95">
        <v>0</v>
      </c>
      <c r="G95" t="s">
        <v>1</v>
      </c>
      <c r="H95" t="s">
        <v>1</v>
      </c>
      <c r="I95">
        <v>0</v>
      </c>
      <c r="J95">
        <v>0</v>
      </c>
      <c r="K95">
        <v>8.24</v>
      </c>
      <c r="L95">
        <v>1</v>
      </c>
      <c r="M95">
        <v>202405</v>
      </c>
      <c r="N95">
        <v>999999</v>
      </c>
      <c r="O95">
        <v>5</v>
      </c>
      <c r="P95">
        <v>2</v>
      </c>
      <c r="Q95">
        <v>1</v>
      </c>
      <c r="R95">
        <v>70.989999999999995</v>
      </c>
      <c r="S95">
        <v>4</v>
      </c>
      <c r="T95">
        <v>5</v>
      </c>
    </row>
    <row r="96" spans="1:20" x14ac:dyDescent="0.25">
      <c r="A96">
        <v>202406</v>
      </c>
      <c r="B96">
        <v>640406</v>
      </c>
      <c r="C96" t="s">
        <v>0</v>
      </c>
      <c r="D96">
        <v>1</v>
      </c>
      <c r="E96">
        <v>18031</v>
      </c>
      <c r="F96">
        <v>0</v>
      </c>
      <c r="G96" t="s">
        <v>1</v>
      </c>
      <c r="H96" t="s">
        <v>1</v>
      </c>
      <c r="I96">
        <v>0</v>
      </c>
      <c r="J96">
        <v>0</v>
      </c>
      <c r="K96">
        <v>8.24</v>
      </c>
      <c r="L96">
        <v>1</v>
      </c>
      <c r="M96">
        <v>202403</v>
      </c>
      <c r="N96">
        <v>999999</v>
      </c>
      <c r="O96">
        <v>5</v>
      </c>
      <c r="P96">
        <v>2</v>
      </c>
      <c r="Q96">
        <v>1</v>
      </c>
      <c r="R96">
        <v>110.414</v>
      </c>
      <c r="S96">
        <v>4</v>
      </c>
      <c r="T96">
        <v>5</v>
      </c>
    </row>
    <row r="97" spans="1:20" x14ac:dyDescent="0.25">
      <c r="A97">
        <v>202406</v>
      </c>
      <c r="B97">
        <v>640406</v>
      </c>
      <c r="C97" t="s">
        <v>0</v>
      </c>
      <c r="D97">
        <v>1</v>
      </c>
      <c r="E97">
        <v>18032</v>
      </c>
      <c r="F97">
        <v>0</v>
      </c>
      <c r="G97" t="s">
        <v>1</v>
      </c>
      <c r="H97" t="s">
        <v>1</v>
      </c>
      <c r="I97">
        <v>0</v>
      </c>
      <c r="J97">
        <v>0</v>
      </c>
      <c r="K97">
        <v>9.89</v>
      </c>
      <c r="L97">
        <v>1</v>
      </c>
      <c r="M97">
        <v>202402</v>
      </c>
      <c r="N97">
        <v>999999</v>
      </c>
      <c r="O97">
        <v>9</v>
      </c>
      <c r="P97">
        <v>2</v>
      </c>
      <c r="Q97">
        <v>1</v>
      </c>
      <c r="R97">
        <v>117.5</v>
      </c>
      <c r="S97">
        <v>3</v>
      </c>
      <c r="T97">
        <v>9</v>
      </c>
    </row>
    <row r="98" spans="1:20" x14ac:dyDescent="0.25">
      <c r="A98">
        <v>202406</v>
      </c>
      <c r="B98">
        <v>640406</v>
      </c>
      <c r="C98" t="s">
        <v>0</v>
      </c>
      <c r="D98">
        <v>1</v>
      </c>
      <c r="E98">
        <v>18033</v>
      </c>
      <c r="F98">
        <v>0</v>
      </c>
      <c r="G98" t="s">
        <v>1</v>
      </c>
      <c r="H98" t="s">
        <v>1</v>
      </c>
      <c r="I98">
        <v>0</v>
      </c>
      <c r="J98">
        <v>0</v>
      </c>
      <c r="K98">
        <v>9.89</v>
      </c>
      <c r="L98">
        <v>1</v>
      </c>
      <c r="M98">
        <v>202402</v>
      </c>
      <c r="N98">
        <v>999999</v>
      </c>
      <c r="O98">
        <v>9</v>
      </c>
      <c r="P98">
        <v>2</v>
      </c>
      <c r="Q98">
        <v>1</v>
      </c>
      <c r="R98">
        <v>114.6</v>
      </c>
      <c r="S98">
        <v>3</v>
      </c>
      <c r="T98">
        <v>9</v>
      </c>
    </row>
    <row r="99" spans="1:20" x14ac:dyDescent="0.25">
      <c r="A99">
        <v>202406</v>
      </c>
      <c r="B99">
        <v>640406</v>
      </c>
      <c r="C99" t="s">
        <v>0</v>
      </c>
      <c r="D99">
        <v>3</v>
      </c>
      <c r="E99">
        <v>18034</v>
      </c>
      <c r="F99">
        <v>151.19999999999999</v>
      </c>
      <c r="I99">
        <v>1.732</v>
      </c>
      <c r="J99">
        <v>0.54899999999999904</v>
      </c>
      <c r="K99">
        <v>9.75</v>
      </c>
      <c r="L99">
        <v>1</v>
      </c>
      <c r="M99">
        <v>202402</v>
      </c>
      <c r="N99">
        <v>999999</v>
      </c>
      <c r="O99">
        <v>2</v>
      </c>
      <c r="P99">
        <v>2</v>
      </c>
      <c r="Q99">
        <v>1</v>
      </c>
      <c r="R99">
        <v>87.3</v>
      </c>
      <c r="S99">
        <v>3</v>
      </c>
      <c r="T99">
        <v>2</v>
      </c>
    </row>
    <row r="100" spans="1:20" x14ac:dyDescent="0.25">
      <c r="A100">
        <v>202406</v>
      </c>
      <c r="B100">
        <v>640406</v>
      </c>
      <c r="C100" t="s">
        <v>0</v>
      </c>
      <c r="D100">
        <v>3</v>
      </c>
      <c r="E100">
        <v>18036</v>
      </c>
      <c r="F100">
        <v>140</v>
      </c>
      <c r="I100">
        <v>1.4890000000000001</v>
      </c>
      <c r="J100">
        <v>0.39799999999999902</v>
      </c>
      <c r="K100">
        <v>3.39</v>
      </c>
      <c r="L100">
        <v>1</v>
      </c>
      <c r="M100">
        <v>202402</v>
      </c>
      <c r="N100">
        <v>999999</v>
      </c>
      <c r="O100">
        <v>10</v>
      </c>
      <c r="P100">
        <v>2</v>
      </c>
      <c r="Q100">
        <v>1</v>
      </c>
      <c r="R100">
        <v>94</v>
      </c>
      <c r="S100">
        <v>3</v>
      </c>
      <c r="T100">
        <v>10</v>
      </c>
    </row>
    <row r="101" spans="1:20" x14ac:dyDescent="0.25">
      <c r="A101">
        <v>202406</v>
      </c>
      <c r="B101">
        <v>640406</v>
      </c>
      <c r="C101" t="s">
        <v>0</v>
      </c>
      <c r="D101">
        <v>1</v>
      </c>
      <c r="E101">
        <v>18663</v>
      </c>
      <c r="F101">
        <v>0</v>
      </c>
      <c r="G101" t="s">
        <v>1</v>
      </c>
      <c r="H101" t="s">
        <v>1</v>
      </c>
      <c r="I101">
        <v>0</v>
      </c>
      <c r="J101">
        <v>0</v>
      </c>
      <c r="K101">
        <v>10.37</v>
      </c>
      <c r="L101">
        <v>1</v>
      </c>
      <c r="M101">
        <v>202402</v>
      </c>
      <c r="N101">
        <v>999999</v>
      </c>
      <c r="O101">
        <v>4</v>
      </c>
      <c r="P101">
        <v>1</v>
      </c>
      <c r="Q101">
        <v>1</v>
      </c>
      <c r="R101">
        <v>74</v>
      </c>
      <c r="S101">
        <v>3</v>
      </c>
      <c r="T101">
        <v>4</v>
      </c>
    </row>
    <row r="102" spans="1:20" x14ac:dyDescent="0.25">
      <c r="A102">
        <v>202406</v>
      </c>
      <c r="B102">
        <v>640406</v>
      </c>
      <c r="C102" t="s">
        <v>0</v>
      </c>
      <c r="D102">
        <v>1</v>
      </c>
      <c r="E102">
        <v>18916</v>
      </c>
      <c r="F102">
        <v>0</v>
      </c>
      <c r="G102" t="s">
        <v>1</v>
      </c>
      <c r="H102" t="s">
        <v>1</v>
      </c>
      <c r="I102">
        <v>0</v>
      </c>
      <c r="J102">
        <v>0</v>
      </c>
      <c r="K102">
        <v>8.24</v>
      </c>
      <c r="L102">
        <v>1</v>
      </c>
      <c r="M102">
        <v>202403</v>
      </c>
      <c r="N102">
        <v>999999</v>
      </c>
      <c r="O102">
        <v>5</v>
      </c>
      <c r="P102">
        <v>2</v>
      </c>
      <c r="Q102">
        <v>1</v>
      </c>
      <c r="R102">
        <v>127.848</v>
      </c>
      <c r="S102">
        <v>4</v>
      </c>
      <c r="T102">
        <v>5</v>
      </c>
    </row>
    <row r="103" spans="1:20" x14ac:dyDescent="0.25">
      <c r="A103">
        <v>202406</v>
      </c>
      <c r="B103">
        <v>640406</v>
      </c>
      <c r="C103" t="s">
        <v>0</v>
      </c>
      <c r="D103">
        <v>1</v>
      </c>
      <c r="E103">
        <v>18917</v>
      </c>
      <c r="F103">
        <v>0</v>
      </c>
      <c r="G103" t="s">
        <v>1</v>
      </c>
      <c r="H103" t="s">
        <v>1</v>
      </c>
      <c r="I103">
        <v>0</v>
      </c>
      <c r="J103">
        <v>0</v>
      </c>
      <c r="K103">
        <v>9.75</v>
      </c>
      <c r="L103">
        <v>1</v>
      </c>
      <c r="M103">
        <v>202402</v>
      </c>
      <c r="N103">
        <v>999999</v>
      </c>
      <c r="O103">
        <v>2</v>
      </c>
      <c r="P103">
        <v>1</v>
      </c>
      <c r="Q103">
        <v>1</v>
      </c>
      <c r="R103">
        <v>205</v>
      </c>
      <c r="S103">
        <v>3</v>
      </c>
      <c r="T103">
        <v>2</v>
      </c>
    </row>
    <row r="104" spans="1:20" x14ac:dyDescent="0.25">
      <c r="A104">
        <v>202406</v>
      </c>
      <c r="B104">
        <v>640406</v>
      </c>
      <c r="C104" t="s">
        <v>0</v>
      </c>
      <c r="D104">
        <v>1</v>
      </c>
      <c r="E104">
        <v>18919</v>
      </c>
      <c r="F104">
        <v>0</v>
      </c>
      <c r="G104" t="s">
        <v>1</v>
      </c>
      <c r="H104" t="s">
        <v>1</v>
      </c>
      <c r="I104">
        <v>0</v>
      </c>
      <c r="J104">
        <v>0</v>
      </c>
      <c r="K104">
        <v>7.57</v>
      </c>
      <c r="L104">
        <v>1</v>
      </c>
      <c r="M104">
        <v>202402</v>
      </c>
      <c r="N104">
        <v>999999</v>
      </c>
      <c r="O104">
        <v>6</v>
      </c>
      <c r="P104">
        <v>1</v>
      </c>
      <c r="Q104">
        <v>1</v>
      </c>
      <c r="R104">
        <v>85</v>
      </c>
      <c r="S104">
        <v>3</v>
      </c>
      <c r="T104">
        <v>6</v>
      </c>
    </row>
    <row r="105" spans="1:20" x14ac:dyDescent="0.25">
      <c r="A105">
        <v>202406</v>
      </c>
      <c r="B105">
        <v>640406</v>
      </c>
      <c r="C105" t="s">
        <v>0</v>
      </c>
      <c r="D105">
        <v>1</v>
      </c>
      <c r="E105">
        <v>18920</v>
      </c>
      <c r="F105">
        <v>0</v>
      </c>
      <c r="G105" t="s">
        <v>1</v>
      </c>
      <c r="H105" t="s">
        <v>1</v>
      </c>
      <c r="I105">
        <v>0</v>
      </c>
      <c r="J105">
        <v>0</v>
      </c>
      <c r="K105">
        <v>9.89</v>
      </c>
      <c r="L105">
        <v>1</v>
      </c>
      <c r="M105">
        <v>202402</v>
      </c>
      <c r="N105">
        <v>999999</v>
      </c>
      <c r="O105">
        <v>9</v>
      </c>
      <c r="P105">
        <v>1</v>
      </c>
      <c r="Q105">
        <v>1</v>
      </c>
      <c r="R105">
        <v>100</v>
      </c>
      <c r="S105">
        <v>3</v>
      </c>
      <c r="T105">
        <v>9</v>
      </c>
    </row>
    <row r="106" spans="1:20" x14ac:dyDescent="0.25">
      <c r="A106">
        <v>202406</v>
      </c>
      <c r="B106">
        <v>640406</v>
      </c>
      <c r="C106" t="s">
        <v>0</v>
      </c>
      <c r="D106">
        <v>1</v>
      </c>
      <c r="E106">
        <v>18981</v>
      </c>
      <c r="F106">
        <v>0</v>
      </c>
      <c r="G106" t="s">
        <v>1</v>
      </c>
      <c r="H106" t="s">
        <v>1</v>
      </c>
      <c r="I106">
        <v>0</v>
      </c>
      <c r="J106">
        <v>0</v>
      </c>
      <c r="K106">
        <v>9.89</v>
      </c>
      <c r="L106">
        <v>1</v>
      </c>
      <c r="M106">
        <v>202402</v>
      </c>
      <c r="N106">
        <v>999999</v>
      </c>
      <c r="O106">
        <v>9</v>
      </c>
      <c r="P106">
        <v>2</v>
      </c>
      <c r="Q106">
        <v>1</v>
      </c>
      <c r="R106">
        <v>115</v>
      </c>
      <c r="S106">
        <v>3</v>
      </c>
      <c r="T106">
        <v>9</v>
      </c>
    </row>
    <row r="107" spans="1:20" x14ac:dyDescent="0.25">
      <c r="A107">
        <v>202406</v>
      </c>
      <c r="B107">
        <v>640406</v>
      </c>
      <c r="C107" t="s">
        <v>0</v>
      </c>
      <c r="D107">
        <v>4</v>
      </c>
      <c r="E107">
        <v>18982</v>
      </c>
      <c r="F107">
        <v>369</v>
      </c>
      <c r="I107">
        <v>2.9910000000000001</v>
      </c>
      <c r="J107">
        <v>1.0959999999999901</v>
      </c>
      <c r="K107">
        <v>5.76</v>
      </c>
      <c r="L107">
        <v>1</v>
      </c>
      <c r="M107">
        <v>202403</v>
      </c>
      <c r="N107">
        <v>999999</v>
      </c>
      <c r="O107">
        <v>11</v>
      </c>
      <c r="P107">
        <v>2</v>
      </c>
      <c r="Q107">
        <v>1</v>
      </c>
      <c r="R107">
        <v>123.357999999999</v>
      </c>
      <c r="S107">
        <v>4</v>
      </c>
      <c r="T107">
        <v>11</v>
      </c>
    </row>
    <row r="108" spans="1:20" x14ac:dyDescent="0.25">
      <c r="A108">
        <v>202406</v>
      </c>
      <c r="B108">
        <v>640406</v>
      </c>
      <c r="C108" t="s">
        <v>0</v>
      </c>
      <c r="D108">
        <v>4</v>
      </c>
      <c r="E108">
        <v>18984</v>
      </c>
      <c r="F108">
        <v>164</v>
      </c>
      <c r="I108">
        <v>1.3839999999999999</v>
      </c>
      <c r="J108">
        <v>0.32500000000000001</v>
      </c>
      <c r="K108">
        <v>9.89</v>
      </c>
      <c r="L108">
        <v>1</v>
      </c>
      <c r="M108">
        <v>202403</v>
      </c>
      <c r="N108">
        <v>999999</v>
      </c>
      <c r="O108">
        <v>9</v>
      </c>
      <c r="P108">
        <v>2</v>
      </c>
      <c r="Q108">
        <v>1</v>
      </c>
      <c r="R108">
        <v>118.464</v>
      </c>
      <c r="S108">
        <v>4</v>
      </c>
      <c r="T108">
        <v>9</v>
      </c>
    </row>
    <row r="109" spans="1:20" x14ac:dyDescent="0.25">
      <c r="A109">
        <v>202406</v>
      </c>
      <c r="B109">
        <v>640406</v>
      </c>
      <c r="C109" t="s">
        <v>0</v>
      </c>
      <c r="D109">
        <v>1</v>
      </c>
      <c r="E109">
        <v>18985</v>
      </c>
      <c r="F109">
        <v>0</v>
      </c>
      <c r="G109" t="s">
        <v>1</v>
      </c>
      <c r="H109" t="s">
        <v>1</v>
      </c>
      <c r="I109">
        <v>0</v>
      </c>
      <c r="J109">
        <v>0</v>
      </c>
      <c r="K109">
        <v>8.24</v>
      </c>
      <c r="L109">
        <v>1</v>
      </c>
      <c r="M109">
        <v>202402</v>
      </c>
      <c r="N109">
        <v>999999</v>
      </c>
      <c r="O109">
        <v>5</v>
      </c>
      <c r="P109">
        <v>2</v>
      </c>
      <c r="Q109">
        <v>1</v>
      </c>
      <c r="R109">
        <v>223</v>
      </c>
      <c r="S109">
        <v>3</v>
      </c>
      <c r="T109">
        <v>5</v>
      </c>
    </row>
    <row r="110" spans="1:20" x14ac:dyDescent="0.25">
      <c r="A110">
        <v>202406</v>
      </c>
      <c r="B110">
        <v>640406</v>
      </c>
      <c r="C110" t="s">
        <v>0</v>
      </c>
      <c r="D110">
        <v>1</v>
      </c>
      <c r="E110">
        <v>18986</v>
      </c>
      <c r="F110">
        <v>0</v>
      </c>
      <c r="G110" t="s">
        <v>1</v>
      </c>
      <c r="H110" t="s">
        <v>1</v>
      </c>
      <c r="I110">
        <v>0</v>
      </c>
      <c r="J110">
        <v>0</v>
      </c>
      <c r="K110">
        <v>9.89</v>
      </c>
      <c r="L110">
        <v>1</v>
      </c>
      <c r="M110">
        <v>202402</v>
      </c>
      <c r="N110">
        <v>999999</v>
      </c>
      <c r="O110">
        <v>9</v>
      </c>
      <c r="P110">
        <v>2</v>
      </c>
      <c r="Q110">
        <v>1</v>
      </c>
      <c r="R110">
        <v>64</v>
      </c>
      <c r="S110">
        <v>3</v>
      </c>
      <c r="T110">
        <v>9</v>
      </c>
    </row>
    <row r="111" spans="1:20" x14ac:dyDescent="0.25">
      <c r="A111">
        <v>202406</v>
      </c>
      <c r="B111">
        <v>640406</v>
      </c>
      <c r="C111" t="s">
        <v>0</v>
      </c>
      <c r="D111">
        <v>1</v>
      </c>
      <c r="E111">
        <v>18987</v>
      </c>
      <c r="F111">
        <v>0</v>
      </c>
      <c r="G111" t="s">
        <v>1</v>
      </c>
      <c r="H111" t="s">
        <v>1</v>
      </c>
      <c r="I111">
        <v>0</v>
      </c>
      <c r="J111">
        <v>0</v>
      </c>
      <c r="K111">
        <v>9.75</v>
      </c>
      <c r="L111">
        <v>1</v>
      </c>
      <c r="M111">
        <v>202402</v>
      </c>
      <c r="N111">
        <v>999999</v>
      </c>
      <c r="O111">
        <v>2</v>
      </c>
      <c r="P111">
        <v>2</v>
      </c>
      <c r="Q111">
        <v>1</v>
      </c>
      <c r="R111">
        <v>130.1</v>
      </c>
      <c r="S111">
        <v>3</v>
      </c>
      <c r="T111">
        <v>2</v>
      </c>
    </row>
    <row r="112" spans="1:20" x14ac:dyDescent="0.25">
      <c r="A112">
        <v>202406</v>
      </c>
      <c r="B112">
        <v>640406</v>
      </c>
      <c r="C112" t="s">
        <v>0</v>
      </c>
      <c r="D112">
        <v>1</v>
      </c>
      <c r="E112">
        <v>18988</v>
      </c>
      <c r="F112">
        <v>0</v>
      </c>
      <c r="G112" t="s">
        <v>1</v>
      </c>
      <c r="H112" t="s">
        <v>1</v>
      </c>
      <c r="I112">
        <v>0</v>
      </c>
      <c r="J112">
        <v>0</v>
      </c>
      <c r="K112">
        <v>8.24</v>
      </c>
      <c r="L112">
        <v>1</v>
      </c>
      <c r="M112">
        <v>202404</v>
      </c>
      <c r="N112">
        <v>999999</v>
      </c>
      <c r="O112">
        <v>5</v>
      </c>
      <c r="P112">
        <v>2</v>
      </c>
      <c r="Q112">
        <v>1</v>
      </c>
      <c r="R112">
        <v>63.405000000000001</v>
      </c>
      <c r="S112">
        <v>4</v>
      </c>
      <c r="T112">
        <v>5</v>
      </c>
    </row>
    <row r="113" spans="1:20" x14ac:dyDescent="0.25">
      <c r="A113">
        <v>202406</v>
      </c>
      <c r="B113">
        <v>640406</v>
      </c>
      <c r="C113" t="s">
        <v>0</v>
      </c>
      <c r="D113">
        <v>1</v>
      </c>
      <c r="E113">
        <v>18990</v>
      </c>
      <c r="F113">
        <v>0</v>
      </c>
      <c r="G113" t="s">
        <v>1</v>
      </c>
      <c r="H113" t="s">
        <v>1</v>
      </c>
      <c r="I113">
        <v>0</v>
      </c>
      <c r="J113">
        <v>0</v>
      </c>
      <c r="K113">
        <v>7.57</v>
      </c>
      <c r="L113">
        <v>1</v>
      </c>
      <c r="M113">
        <v>202405</v>
      </c>
      <c r="N113">
        <v>999999</v>
      </c>
      <c r="O113">
        <v>6</v>
      </c>
      <c r="P113">
        <v>2</v>
      </c>
      <c r="Q113">
        <v>1</v>
      </c>
      <c r="R113">
        <v>38.494999999999997</v>
      </c>
      <c r="S113">
        <v>4</v>
      </c>
      <c r="T113">
        <v>6</v>
      </c>
    </row>
    <row r="114" spans="1:20" x14ac:dyDescent="0.25">
      <c r="A114">
        <v>202406</v>
      </c>
      <c r="B114">
        <v>640406</v>
      </c>
      <c r="C114" t="s">
        <v>0</v>
      </c>
      <c r="D114">
        <v>1</v>
      </c>
      <c r="E114">
        <v>18991</v>
      </c>
      <c r="F114">
        <v>0</v>
      </c>
      <c r="G114" t="s">
        <v>1</v>
      </c>
      <c r="H114" t="s">
        <v>1</v>
      </c>
      <c r="I114">
        <v>0</v>
      </c>
      <c r="J114">
        <v>0</v>
      </c>
      <c r="K114">
        <v>7.57</v>
      </c>
      <c r="L114">
        <v>1</v>
      </c>
      <c r="M114">
        <v>202402</v>
      </c>
      <c r="N114">
        <v>999999</v>
      </c>
      <c r="O114">
        <v>6</v>
      </c>
      <c r="P114">
        <v>2</v>
      </c>
      <c r="Q114">
        <v>1</v>
      </c>
      <c r="R114">
        <v>160</v>
      </c>
      <c r="S114">
        <v>3</v>
      </c>
      <c r="T114">
        <v>6</v>
      </c>
    </row>
    <row r="115" spans="1:20" x14ac:dyDescent="0.25">
      <c r="A115">
        <v>202406</v>
      </c>
      <c r="B115">
        <v>640406</v>
      </c>
      <c r="C115" t="s">
        <v>0</v>
      </c>
      <c r="D115">
        <v>1</v>
      </c>
      <c r="E115">
        <v>18992</v>
      </c>
      <c r="F115">
        <v>0</v>
      </c>
      <c r="G115" t="s">
        <v>1</v>
      </c>
      <c r="H115" t="s">
        <v>1</v>
      </c>
      <c r="I115">
        <v>0</v>
      </c>
      <c r="J115">
        <v>0</v>
      </c>
      <c r="K115">
        <v>8.35</v>
      </c>
      <c r="L115">
        <v>1</v>
      </c>
      <c r="M115">
        <v>202402</v>
      </c>
      <c r="N115">
        <v>999999</v>
      </c>
      <c r="O115">
        <v>7</v>
      </c>
      <c r="P115">
        <v>2</v>
      </c>
      <c r="Q115">
        <v>1</v>
      </c>
      <c r="R115">
        <v>124</v>
      </c>
      <c r="S115">
        <v>3</v>
      </c>
      <c r="T115">
        <v>7</v>
      </c>
    </row>
    <row r="116" spans="1:20" x14ac:dyDescent="0.25">
      <c r="A116">
        <v>202406</v>
      </c>
      <c r="B116">
        <v>640406</v>
      </c>
      <c r="C116" t="s">
        <v>0</v>
      </c>
      <c r="D116">
        <v>1</v>
      </c>
      <c r="E116">
        <v>18993</v>
      </c>
      <c r="F116">
        <v>0</v>
      </c>
      <c r="G116" t="s">
        <v>1</v>
      </c>
      <c r="H116" t="s">
        <v>1</v>
      </c>
      <c r="I116">
        <v>0</v>
      </c>
      <c r="J116">
        <v>0</v>
      </c>
      <c r="K116">
        <v>18.440000000000001</v>
      </c>
      <c r="L116">
        <v>1</v>
      </c>
      <c r="M116">
        <v>202403</v>
      </c>
      <c r="N116">
        <v>999999</v>
      </c>
      <c r="O116">
        <v>3</v>
      </c>
      <c r="P116">
        <v>2</v>
      </c>
      <c r="Q116">
        <v>1</v>
      </c>
      <c r="R116">
        <v>125.60899999999999</v>
      </c>
      <c r="S116">
        <v>4</v>
      </c>
      <c r="T116">
        <v>3</v>
      </c>
    </row>
    <row r="117" spans="1:20" x14ac:dyDescent="0.25">
      <c r="A117">
        <v>202406</v>
      </c>
      <c r="B117">
        <v>640406</v>
      </c>
      <c r="C117" t="s">
        <v>0</v>
      </c>
      <c r="D117">
        <v>1</v>
      </c>
      <c r="E117">
        <v>18994</v>
      </c>
      <c r="F117">
        <v>0</v>
      </c>
      <c r="G117" t="s">
        <v>1</v>
      </c>
      <c r="H117" t="s">
        <v>1</v>
      </c>
      <c r="I117">
        <v>0</v>
      </c>
      <c r="J117">
        <v>0</v>
      </c>
      <c r="K117">
        <v>9.75</v>
      </c>
      <c r="L117">
        <v>1</v>
      </c>
      <c r="M117">
        <v>202402</v>
      </c>
      <c r="N117">
        <v>999999</v>
      </c>
      <c r="O117">
        <v>2</v>
      </c>
      <c r="P117">
        <v>2</v>
      </c>
      <c r="Q117">
        <v>1</v>
      </c>
      <c r="R117">
        <v>453</v>
      </c>
      <c r="S117">
        <v>3</v>
      </c>
      <c r="T117">
        <v>2</v>
      </c>
    </row>
    <row r="118" spans="1:20" x14ac:dyDescent="0.25">
      <c r="A118">
        <v>202406</v>
      </c>
      <c r="B118">
        <v>640406</v>
      </c>
      <c r="C118" t="s">
        <v>0</v>
      </c>
      <c r="D118">
        <v>3</v>
      </c>
      <c r="E118">
        <v>18995</v>
      </c>
      <c r="F118">
        <v>95</v>
      </c>
      <c r="I118">
        <v>1.425</v>
      </c>
      <c r="J118">
        <v>0.35399999999999998</v>
      </c>
      <c r="K118">
        <v>9.75</v>
      </c>
      <c r="L118">
        <v>1</v>
      </c>
      <c r="M118">
        <v>202403</v>
      </c>
      <c r="N118">
        <v>999999</v>
      </c>
      <c r="O118">
        <v>2</v>
      </c>
      <c r="P118">
        <v>2</v>
      </c>
      <c r="Q118">
        <v>1</v>
      </c>
      <c r="R118">
        <v>66.665999999999997</v>
      </c>
      <c r="S118">
        <v>4</v>
      </c>
      <c r="T118">
        <v>2</v>
      </c>
    </row>
    <row r="119" spans="1:20" x14ac:dyDescent="0.25">
      <c r="A119">
        <v>202406</v>
      </c>
      <c r="B119">
        <v>640406</v>
      </c>
      <c r="C119" t="s">
        <v>0</v>
      </c>
      <c r="D119">
        <v>3</v>
      </c>
      <c r="E119">
        <v>18996</v>
      </c>
      <c r="F119">
        <v>126</v>
      </c>
      <c r="I119">
        <v>1.776</v>
      </c>
      <c r="J119">
        <v>0.57399999999999995</v>
      </c>
      <c r="K119">
        <v>10.37</v>
      </c>
      <c r="L119">
        <v>1</v>
      </c>
      <c r="M119">
        <v>202406</v>
      </c>
      <c r="N119">
        <v>999999</v>
      </c>
      <c r="O119">
        <v>4</v>
      </c>
      <c r="P119">
        <v>2</v>
      </c>
      <c r="Q119">
        <v>1</v>
      </c>
      <c r="R119">
        <v>70.944000000000003</v>
      </c>
      <c r="S119">
        <v>4</v>
      </c>
      <c r="T119">
        <v>4</v>
      </c>
    </row>
    <row r="120" spans="1:20" x14ac:dyDescent="0.25">
      <c r="A120">
        <v>202406</v>
      </c>
      <c r="B120">
        <v>640406</v>
      </c>
      <c r="C120" t="s">
        <v>0</v>
      </c>
      <c r="D120">
        <v>3</v>
      </c>
      <c r="E120">
        <v>18997</v>
      </c>
      <c r="F120">
        <v>130</v>
      </c>
      <c r="I120">
        <v>1.3</v>
      </c>
      <c r="J120">
        <v>0.26200000000000001</v>
      </c>
      <c r="K120">
        <v>10.37</v>
      </c>
      <c r="L120">
        <v>1</v>
      </c>
      <c r="M120">
        <v>202402</v>
      </c>
      <c r="N120">
        <v>999999</v>
      </c>
      <c r="O120">
        <v>4</v>
      </c>
      <c r="P120">
        <v>1</v>
      </c>
      <c r="Q120">
        <v>1</v>
      </c>
      <c r="R120">
        <v>100</v>
      </c>
      <c r="S120">
        <v>3</v>
      </c>
      <c r="T120">
        <v>4</v>
      </c>
    </row>
    <row r="121" spans="1:20" x14ac:dyDescent="0.25">
      <c r="A121">
        <v>202406</v>
      </c>
      <c r="B121">
        <v>640406</v>
      </c>
      <c r="C121" t="s">
        <v>0</v>
      </c>
      <c r="D121">
        <v>1</v>
      </c>
      <c r="E121">
        <v>18998</v>
      </c>
      <c r="F121">
        <v>0</v>
      </c>
      <c r="G121" t="s">
        <v>1</v>
      </c>
      <c r="H121" t="s">
        <v>1</v>
      </c>
      <c r="I121">
        <v>0</v>
      </c>
      <c r="J121">
        <v>0</v>
      </c>
      <c r="K121">
        <v>18.440000000000001</v>
      </c>
      <c r="L121">
        <v>1</v>
      </c>
      <c r="M121">
        <v>202402</v>
      </c>
      <c r="N121">
        <v>999999</v>
      </c>
      <c r="O121">
        <v>3</v>
      </c>
      <c r="P121">
        <v>2</v>
      </c>
      <c r="Q121">
        <v>1</v>
      </c>
      <c r="R121">
        <v>122</v>
      </c>
      <c r="S121">
        <v>3</v>
      </c>
      <c r="T121">
        <v>3</v>
      </c>
    </row>
    <row r="122" spans="1:20" x14ac:dyDescent="0.25">
      <c r="A122">
        <v>202406</v>
      </c>
      <c r="B122">
        <v>640406</v>
      </c>
      <c r="C122" t="s">
        <v>0</v>
      </c>
      <c r="D122">
        <v>1</v>
      </c>
      <c r="E122">
        <v>18999</v>
      </c>
      <c r="F122">
        <v>0</v>
      </c>
      <c r="G122" t="s">
        <v>1</v>
      </c>
      <c r="H122" t="s">
        <v>1</v>
      </c>
      <c r="I122">
        <v>0</v>
      </c>
      <c r="J122">
        <v>0</v>
      </c>
      <c r="K122">
        <v>7.57</v>
      </c>
      <c r="L122">
        <v>1</v>
      </c>
      <c r="M122">
        <v>202403</v>
      </c>
      <c r="N122">
        <v>999999</v>
      </c>
      <c r="O122">
        <v>6</v>
      </c>
      <c r="P122">
        <v>1</v>
      </c>
      <c r="Q122">
        <v>1</v>
      </c>
      <c r="R122">
        <v>96.537000000000006</v>
      </c>
      <c r="S122">
        <v>4</v>
      </c>
      <c r="T122">
        <v>6</v>
      </c>
    </row>
    <row r="123" spans="1:20" x14ac:dyDescent="0.25">
      <c r="A123">
        <v>202406</v>
      </c>
      <c r="B123">
        <v>640406</v>
      </c>
      <c r="C123" t="s">
        <v>0</v>
      </c>
      <c r="D123">
        <v>3</v>
      </c>
      <c r="E123">
        <v>19197</v>
      </c>
      <c r="F123">
        <v>132</v>
      </c>
      <c r="I123">
        <v>1.359</v>
      </c>
      <c r="J123">
        <v>0.307</v>
      </c>
      <c r="K123">
        <v>9.75</v>
      </c>
      <c r="L123">
        <v>1</v>
      </c>
      <c r="M123">
        <v>202403</v>
      </c>
      <c r="N123">
        <v>999999</v>
      </c>
      <c r="O123">
        <v>2</v>
      </c>
      <c r="P123">
        <v>2</v>
      </c>
      <c r="Q123">
        <v>1</v>
      </c>
      <c r="R123">
        <v>97.141000000000005</v>
      </c>
      <c r="S123">
        <v>4</v>
      </c>
      <c r="T123">
        <v>2</v>
      </c>
    </row>
    <row r="124" spans="1:20" x14ac:dyDescent="0.25">
      <c r="A124">
        <v>202406</v>
      </c>
      <c r="B124">
        <v>640406</v>
      </c>
      <c r="C124" t="s">
        <v>0</v>
      </c>
      <c r="D124">
        <v>3</v>
      </c>
      <c r="E124">
        <v>19198</v>
      </c>
      <c r="F124">
        <v>339</v>
      </c>
      <c r="I124">
        <v>2.2349999999999999</v>
      </c>
      <c r="J124">
        <v>0.80400000000000005</v>
      </c>
      <c r="K124">
        <v>8.35</v>
      </c>
      <c r="L124">
        <v>1</v>
      </c>
      <c r="M124">
        <v>202403</v>
      </c>
      <c r="N124">
        <v>999999</v>
      </c>
      <c r="O124">
        <v>7</v>
      </c>
      <c r="P124">
        <v>2</v>
      </c>
      <c r="Q124">
        <v>1</v>
      </c>
      <c r="R124">
        <v>151.69399999999999</v>
      </c>
      <c r="S124">
        <v>4</v>
      </c>
      <c r="T124">
        <v>7</v>
      </c>
    </row>
    <row r="125" spans="1:20" x14ac:dyDescent="0.25">
      <c r="A125">
        <v>202406</v>
      </c>
      <c r="B125">
        <v>640406</v>
      </c>
      <c r="C125" t="s">
        <v>0</v>
      </c>
      <c r="D125">
        <v>1</v>
      </c>
      <c r="E125">
        <v>19199</v>
      </c>
      <c r="F125">
        <v>0</v>
      </c>
      <c r="G125" t="s">
        <v>1</v>
      </c>
      <c r="H125" t="s">
        <v>1</v>
      </c>
      <c r="I125">
        <v>0</v>
      </c>
      <c r="J125">
        <v>0</v>
      </c>
      <c r="K125">
        <v>18.440000000000001</v>
      </c>
      <c r="L125">
        <v>1</v>
      </c>
      <c r="M125">
        <v>202403</v>
      </c>
      <c r="N125">
        <v>999999</v>
      </c>
      <c r="O125">
        <v>3</v>
      </c>
      <c r="P125">
        <v>2</v>
      </c>
      <c r="Q125">
        <v>1</v>
      </c>
      <c r="R125">
        <v>114.411</v>
      </c>
      <c r="S125">
        <v>4</v>
      </c>
      <c r="T125">
        <v>3</v>
      </c>
    </row>
    <row r="126" spans="1:20" x14ac:dyDescent="0.25">
      <c r="A126">
        <v>202406</v>
      </c>
      <c r="B126">
        <v>640406</v>
      </c>
      <c r="C126" t="s">
        <v>0</v>
      </c>
      <c r="D126">
        <v>3</v>
      </c>
      <c r="E126">
        <v>19466</v>
      </c>
      <c r="F126">
        <v>57</v>
      </c>
      <c r="I126">
        <v>1</v>
      </c>
      <c r="J126">
        <v>0</v>
      </c>
      <c r="K126">
        <v>5.76</v>
      </c>
      <c r="L126">
        <v>1</v>
      </c>
      <c r="M126">
        <v>202406</v>
      </c>
      <c r="N126">
        <v>999999</v>
      </c>
      <c r="O126">
        <v>11</v>
      </c>
      <c r="P126">
        <v>2</v>
      </c>
      <c r="Q126">
        <v>1</v>
      </c>
      <c r="R126">
        <v>57</v>
      </c>
      <c r="S126">
        <v>3</v>
      </c>
      <c r="T126">
        <v>11</v>
      </c>
    </row>
  </sheetData>
  <sortState xmlns:xlrd2="http://schemas.microsoft.com/office/spreadsheetml/2017/richdata2" ref="A2:T126">
    <sortCondition ref="E2:E12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41F8F-B752-4B0B-B162-ACBF5BC449EA}">
  <sheetPr>
    <pageSetUpPr fitToPage="1"/>
  </sheetPr>
  <dimension ref="A1:B74"/>
  <sheetViews>
    <sheetView workbookViewId="0">
      <pane ySplit="3" topLeftCell="A4" activePane="bottomLeft" state="frozen"/>
      <selection pane="bottomLeft" activeCell="B13" sqref="B13"/>
    </sheetView>
  </sheetViews>
  <sheetFormatPr defaultRowHeight="12.75" x14ac:dyDescent="0.2"/>
  <cols>
    <col min="1" max="1" width="21.140625" style="1" customWidth="1"/>
    <col min="2" max="2" width="88" style="1" bestFit="1" customWidth="1"/>
    <col min="3" max="3" width="15.7109375" style="1" bestFit="1" customWidth="1"/>
    <col min="4" max="4" width="47.85546875" style="1" bestFit="1" customWidth="1"/>
    <col min="5" max="256" width="9.140625" style="1"/>
    <col min="257" max="257" width="21.140625" style="1" customWidth="1"/>
    <col min="258" max="258" width="88" style="1" bestFit="1" customWidth="1"/>
    <col min="259" max="259" width="15.7109375" style="1" bestFit="1" customWidth="1"/>
    <col min="260" max="260" width="47.85546875" style="1" bestFit="1" customWidth="1"/>
    <col min="261" max="512" width="9.140625" style="1"/>
    <col min="513" max="513" width="21.140625" style="1" customWidth="1"/>
    <col min="514" max="514" width="88" style="1" bestFit="1" customWidth="1"/>
    <col min="515" max="515" width="15.7109375" style="1" bestFit="1" customWidth="1"/>
    <col min="516" max="516" width="47.85546875" style="1" bestFit="1" customWidth="1"/>
    <col min="517" max="768" width="9.140625" style="1"/>
    <col min="769" max="769" width="21.140625" style="1" customWidth="1"/>
    <col min="770" max="770" width="88" style="1" bestFit="1" customWidth="1"/>
    <col min="771" max="771" width="15.7109375" style="1" bestFit="1" customWidth="1"/>
    <col min="772" max="772" width="47.85546875" style="1" bestFit="1" customWidth="1"/>
    <col min="773" max="1024" width="9.140625" style="1"/>
    <col min="1025" max="1025" width="21.140625" style="1" customWidth="1"/>
    <col min="1026" max="1026" width="88" style="1" bestFit="1" customWidth="1"/>
    <col min="1027" max="1027" width="15.7109375" style="1" bestFit="1" customWidth="1"/>
    <col min="1028" max="1028" width="47.85546875" style="1" bestFit="1" customWidth="1"/>
    <col min="1029" max="1280" width="9.140625" style="1"/>
    <col min="1281" max="1281" width="21.140625" style="1" customWidth="1"/>
    <col min="1282" max="1282" width="88" style="1" bestFit="1" customWidth="1"/>
    <col min="1283" max="1283" width="15.7109375" style="1" bestFit="1" customWidth="1"/>
    <col min="1284" max="1284" width="47.85546875" style="1" bestFit="1" customWidth="1"/>
    <col min="1285" max="1536" width="9.140625" style="1"/>
    <col min="1537" max="1537" width="21.140625" style="1" customWidth="1"/>
    <col min="1538" max="1538" width="88" style="1" bestFit="1" customWidth="1"/>
    <col min="1539" max="1539" width="15.7109375" style="1" bestFit="1" customWidth="1"/>
    <col min="1540" max="1540" width="47.85546875" style="1" bestFit="1" customWidth="1"/>
    <col min="1541" max="1792" width="9.140625" style="1"/>
    <col min="1793" max="1793" width="21.140625" style="1" customWidth="1"/>
    <col min="1794" max="1794" width="88" style="1" bestFit="1" customWidth="1"/>
    <col min="1795" max="1795" width="15.7109375" style="1" bestFit="1" customWidth="1"/>
    <col min="1796" max="1796" width="47.85546875" style="1" bestFit="1" customWidth="1"/>
    <col min="1797" max="2048" width="9.140625" style="1"/>
    <col min="2049" max="2049" width="21.140625" style="1" customWidth="1"/>
    <col min="2050" max="2050" width="88" style="1" bestFit="1" customWidth="1"/>
    <col min="2051" max="2051" width="15.7109375" style="1" bestFit="1" customWidth="1"/>
    <col min="2052" max="2052" width="47.85546875" style="1" bestFit="1" customWidth="1"/>
    <col min="2053" max="2304" width="9.140625" style="1"/>
    <col min="2305" max="2305" width="21.140625" style="1" customWidth="1"/>
    <col min="2306" max="2306" width="88" style="1" bestFit="1" customWidth="1"/>
    <col min="2307" max="2307" width="15.7109375" style="1" bestFit="1" customWidth="1"/>
    <col min="2308" max="2308" width="47.85546875" style="1" bestFit="1" customWidth="1"/>
    <col min="2309" max="2560" width="9.140625" style="1"/>
    <col min="2561" max="2561" width="21.140625" style="1" customWidth="1"/>
    <col min="2562" max="2562" width="88" style="1" bestFit="1" customWidth="1"/>
    <col min="2563" max="2563" width="15.7109375" style="1" bestFit="1" customWidth="1"/>
    <col min="2564" max="2564" width="47.85546875" style="1" bestFit="1" customWidth="1"/>
    <col min="2565" max="2816" width="9.140625" style="1"/>
    <col min="2817" max="2817" width="21.140625" style="1" customWidth="1"/>
    <col min="2818" max="2818" width="88" style="1" bestFit="1" customWidth="1"/>
    <col min="2819" max="2819" width="15.7109375" style="1" bestFit="1" customWidth="1"/>
    <col min="2820" max="2820" width="47.85546875" style="1" bestFit="1" customWidth="1"/>
    <col min="2821" max="3072" width="9.140625" style="1"/>
    <col min="3073" max="3073" width="21.140625" style="1" customWidth="1"/>
    <col min="3074" max="3074" width="88" style="1" bestFit="1" customWidth="1"/>
    <col min="3075" max="3075" width="15.7109375" style="1" bestFit="1" customWidth="1"/>
    <col min="3076" max="3076" width="47.85546875" style="1" bestFit="1" customWidth="1"/>
    <col min="3077" max="3328" width="9.140625" style="1"/>
    <col min="3329" max="3329" width="21.140625" style="1" customWidth="1"/>
    <col min="3330" max="3330" width="88" style="1" bestFit="1" customWidth="1"/>
    <col min="3331" max="3331" width="15.7109375" style="1" bestFit="1" customWidth="1"/>
    <col min="3332" max="3332" width="47.85546875" style="1" bestFit="1" customWidth="1"/>
    <col min="3333" max="3584" width="9.140625" style="1"/>
    <col min="3585" max="3585" width="21.140625" style="1" customWidth="1"/>
    <col min="3586" max="3586" width="88" style="1" bestFit="1" customWidth="1"/>
    <col min="3587" max="3587" width="15.7109375" style="1" bestFit="1" customWidth="1"/>
    <col min="3588" max="3588" width="47.85546875" style="1" bestFit="1" customWidth="1"/>
    <col min="3589" max="3840" width="9.140625" style="1"/>
    <col min="3841" max="3841" width="21.140625" style="1" customWidth="1"/>
    <col min="3842" max="3842" width="88" style="1" bestFit="1" customWidth="1"/>
    <col min="3843" max="3843" width="15.7109375" style="1" bestFit="1" customWidth="1"/>
    <col min="3844" max="3844" width="47.85546875" style="1" bestFit="1" customWidth="1"/>
    <col min="3845" max="4096" width="9.140625" style="1"/>
    <col min="4097" max="4097" width="21.140625" style="1" customWidth="1"/>
    <col min="4098" max="4098" width="88" style="1" bestFit="1" customWidth="1"/>
    <col min="4099" max="4099" width="15.7109375" style="1" bestFit="1" customWidth="1"/>
    <col min="4100" max="4100" width="47.85546875" style="1" bestFit="1" customWidth="1"/>
    <col min="4101" max="4352" width="9.140625" style="1"/>
    <col min="4353" max="4353" width="21.140625" style="1" customWidth="1"/>
    <col min="4354" max="4354" width="88" style="1" bestFit="1" customWidth="1"/>
    <col min="4355" max="4355" width="15.7109375" style="1" bestFit="1" customWidth="1"/>
    <col min="4356" max="4356" width="47.85546875" style="1" bestFit="1" customWidth="1"/>
    <col min="4357" max="4608" width="9.140625" style="1"/>
    <col min="4609" max="4609" width="21.140625" style="1" customWidth="1"/>
    <col min="4610" max="4610" width="88" style="1" bestFit="1" customWidth="1"/>
    <col min="4611" max="4611" width="15.7109375" style="1" bestFit="1" customWidth="1"/>
    <col min="4612" max="4612" width="47.85546875" style="1" bestFit="1" customWidth="1"/>
    <col min="4613" max="4864" width="9.140625" style="1"/>
    <col min="4865" max="4865" width="21.140625" style="1" customWidth="1"/>
    <col min="4866" max="4866" width="88" style="1" bestFit="1" customWidth="1"/>
    <col min="4867" max="4867" width="15.7109375" style="1" bestFit="1" customWidth="1"/>
    <col min="4868" max="4868" width="47.85546875" style="1" bestFit="1" customWidth="1"/>
    <col min="4869" max="5120" width="9.140625" style="1"/>
    <col min="5121" max="5121" width="21.140625" style="1" customWidth="1"/>
    <col min="5122" max="5122" width="88" style="1" bestFit="1" customWidth="1"/>
    <col min="5123" max="5123" width="15.7109375" style="1" bestFit="1" customWidth="1"/>
    <col min="5124" max="5124" width="47.85546875" style="1" bestFit="1" customWidth="1"/>
    <col min="5125" max="5376" width="9.140625" style="1"/>
    <col min="5377" max="5377" width="21.140625" style="1" customWidth="1"/>
    <col min="5378" max="5378" width="88" style="1" bestFit="1" customWidth="1"/>
    <col min="5379" max="5379" width="15.7109375" style="1" bestFit="1" customWidth="1"/>
    <col min="5380" max="5380" width="47.85546875" style="1" bestFit="1" customWidth="1"/>
    <col min="5381" max="5632" width="9.140625" style="1"/>
    <col min="5633" max="5633" width="21.140625" style="1" customWidth="1"/>
    <col min="5634" max="5634" width="88" style="1" bestFit="1" customWidth="1"/>
    <col min="5635" max="5635" width="15.7109375" style="1" bestFit="1" customWidth="1"/>
    <col min="5636" max="5636" width="47.85546875" style="1" bestFit="1" customWidth="1"/>
    <col min="5637" max="5888" width="9.140625" style="1"/>
    <col min="5889" max="5889" width="21.140625" style="1" customWidth="1"/>
    <col min="5890" max="5890" width="88" style="1" bestFit="1" customWidth="1"/>
    <col min="5891" max="5891" width="15.7109375" style="1" bestFit="1" customWidth="1"/>
    <col min="5892" max="5892" width="47.85546875" style="1" bestFit="1" customWidth="1"/>
    <col min="5893" max="6144" width="9.140625" style="1"/>
    <col min="6145" max="6145" width="21.140625" style="1" customWidth="1"/>
    <col min="6146" max="6146" width="88" style="1" bestFit="1" customWidth="1"/>
    <col min="6147" max="6147" width="15.7109375" style="1" bestFit="1" customWidth="1"/>
    <col min="6148" max="6148" width="47.85546875" style="1" bestFit="1" customWidth="1"/>
    <col min="6149" max="6400" width="9.140625" style="1"/>
    <col min="6401" max="6401" width="21.140625" style="1" customWidth="1"/>
    <col min="6402" max="6402" width="88" style="1" bestFit="1" customWidth="1"/>
    <col min="6403" max="6403" width="15.7109375" style="1" bestFit="1" customWidth="1"/>
    <col min="6404" max="6404" width="47.85546875" style="1" bestFit="1" customWidth="1"/>
    <col min="6405" max="6656" width="9.140625" style="1"/>
    <col min="6657" max="6657" width="21.140625" style="1" customWidth="1"/>
    <col min="6658" max="6658" width="88" style="1" bestFit="1" customWidth="1"/>
    <col min="6659" max="6659" width="15.7109375" style="1" bestFit="1" customWidth="1"/>
    <col min="6660" max="6660" width="47.85546875" style="1" bestFit="1" customWidth="1"/>
    <col min="6661" max="6912" width="9.140625" style="1"/>
    <col min="6913" max="6913" width="21.140625" style="1" customWidth="1"/>
    <col min="6914" max="6914" width="88" style="1" bestFit="1" customWidth="1"/>
    <col min="6915" max="6915" width="15.7109375" style="1" bestFit="1" customWidth="1"/>
    <col min="6916" max="6916" width="47.85546875" style="1" bestFit="1" customWidth="1"/>
    <col min="6917" max="7168" width="9.140625" style="1"/>
    <col min="7169" max="7169" width="21.140625" style="1" customWidth="1"/>
    <col min="7170" max="7170" width="88" style="1" bestFit="1" customWidth="1"/>
    <col min="7171" max="7171" width="15.7109375" style="1" bestFit="1" customWidth="1"/>
    <col min="7172" max="7172" width="47.85546875" style="1" bestFit="1" customWidth="1"/>
    <col min="7173" max="7424" width="9.140625" style="1"/>
    <col min="7425" max="7425" width="21.140625" style="1" customWidth="1"/>
    <col min="7426" max="7426" width="88" style="1" bestFit="1" customWidth="1"/>
    <col min="7427" max="7427" width="15.7109375" style="1" bestFit="1" customWidth="1"/>
    <col min="7428" max="7428" width="47.85546875" style="1" bestFit="1" customWidth="1"/>
    <col min="7429" max="7680" width="9.140625" style="1"/>
    <col min="7681" max="7681" width="21.140625" style="1" customWidth="1"/>
    <col min="7682" max="7682" width="88" style="1" bestFit="1" customWidth="1"/>
    <col min="7683" max="7683" width="15.7109375" style="1" bestFit="1" customWidth="1"/>
    <col min="7684" max="7684" width="47.85546875" style="1" bestFit="1" customWidth="1"/>
    <col min="7685" max="7936" width="9.140625" style="1"/>
    <col min="7937" max="7937" width="21.140625" style="1" customWidth="1"/>
    <col min="7938" max="7938" width="88" style="1" bestFit="1" customWidth="1"/>
    <col min="7939" max="7939" width="15.7109375" style="1" bestFit="1" customWidth="1"/>
    <col min="7940" max="7940" width="47.85546875" style="1" bestFit="1" customWidth="1"/>
    <col min="7941" max="8192" width="9.140625" style="1"/>
    <col min="8193" max="8193" width="21.140625" style="1" customWidth="1"/>
    <col min="8194" max="8194" width="88" style="1" bestFit="1" customWidth="1"/>
    <col min="8195" max="8195" width="15.7109375" style="1" bestFit="1" customWidth="1"/>
    <col min="8196" max="8196" width="47.85546875" style="1" bestFit="1" customWidth="1"/>
    <col min="8197" max="8448" width="9.140625" style="1"/>
    <col min="8449" max="8449" width="21.140625" style="1" customWidth="1"/>
    <col min="8450" max="8450" width="88" style="1" bestFit="1" customWidth="1"/>
    <col min="8451" max="8451" width="15.7109375" style="1" bestFit="1" customWidth="1"/>
    <col min="8452" max="8452" width="47.85546875" style="1" bestFit="1" customWidth="1"/>
    <col min="8453" max="8704" width="9.140625" style="1"/>
    <col min="8705" max="8705" width="21.140625" style="1" customWidth="1"/>
    <col min="8706" max="8706" width="88" style="1" bestFit="1" customWidth="1"/>
    <col min="8707" max="8707" width="15.7109375" style="1" bestFit="1" customWidth="1"/>
    <col min="8708" max="8708" width="47.85546875" style="1" bestFit="1" customWidth="1"/>
    <col min="8709" max="8960" width="9.140625" style="1"/>
    <col min="8961" max="8961" width="21.140625" style="1" customWidth="1"/>
    <col min="8962" max="8962" width="88" style="1" bestFit="1" customWidth="1"/>
    <col min="8963" max="8963" width="15.7109375" style="1" bestFit="1" customWidth="1"/>
    <col min="8964" max="8964" width="47.85546875" style="1" bestFit="1" customWidth="1"/>
    <col min="8965" max="9216" width="9.140625" style="1"/>
    <col min="9217" max="9217" width="21.140625" style="1" customWidth="1"/>
    <col min="9218" max="9218" width="88" style="1" bestFit="1" customWidth="1"/>
    <col min="9219" max="9219" width="15.7109375" style="1" bestFit="1" customWidth="1"/>
    <col min="9220" max="9220" width="47.85546875" style="1" bestFit="1" customWidth="1"/>
    <col min="9221" max="9472" width="9.140625" style="1"/>
    <col min="9473" max="9473" width="21.140625" style="1" customWidth="1"/>
    <col min="9474" max="9474" width="88" style="1" bestFit="1" customWidth="1"/>
    <col min="9475" max="9475" width="15.7109375" style="1" bestFit="1" customWidth="1"/>
    <col min="9476" max="9476" width="47.85546875" style="1" bestFit="1" customWidth="1"/>
    <col min="9477" max="9728" width="9.140625" style="1"/>
    <col min="9729" max="9729" width="21.140625" style="1" customWidth="1"/>
    <col min="9730" max="9730" width="88" style="1" bestFit="1" customWidth="1"/>
    <col min="9731" max="9731" width="15.7109375" style="1" bestFit="1" customWidth="1"/>
    <col min="9732" max="9732" width="47.85546875" style="1" bestFit="1" customWidth="1"/>
    <col min="9733" max="9984" width="9.140625" style="1"/>
    <col min="9985" max="9985" width="21.140625" style="1" customWidth="1"/>
    <col min="9986" max="9986" width="88" style="1" bestFit="1" customWidth="1"/>
    <col min="9987" max="9987" width="15.7109375" style="1" bestFit="1" customWidth="1"/>
    <col min="9988" max="9988" width="47.85546875" style="1" bestFit="1" customWidth="1"/>
    <col min="9989" max="10240" width="9.140625" style="1"/>
    <col min="10241" max="10241" width="21.140625" style="1" customWidth="1"/>
    <col min="10242" max="10242" width="88" style="1" bestFit="1" customWidth="1"/>
    <col min="10243" max="10243" width="15.7109375" style="1" bestFit="1" customWidth="1"/>
    <col min="10244" max="10244" width="47.85546875" style="1" bestFit="1" customWidth="1"/>
    <col min="10245" max="10496" width="9.140625" style="1"/>
    <col min="10497" max="10497" width="21.140625" style="1" customWidth="1"/>
    <col min="10498" max="10498" width="88" style="1" bestFit="1" customWidth="1"/>
    <col min="10499" max="10499" width="15.7109375" style="1" bestFit="1" customWidth="1"/>
    <col min="10500" max="10500" width="47.85546875" style="1" bestFit="1" customWidth="1"/>
    <col min="10501" max="10752" width="9.140625" style="1"/>
    <col min="10753" max="10753" width="21.140625" style="1" customWidth="1"/>
    <col min="10754" max="10754" width="88" style="1" bestFit="1" customWidth="1"/>
    <col min="10755" max="10755" width="15.7109375" style="1" bestFit="1" customWidth="1"/>
    <col min="10756" max="10756" width="47.85546875" style="1" bestFit="1" customWidth="1"/>
    <col min="10757" max="11008" width="9.140625" style="1"/>
    <col min="11009" max="11009" width="21.140625" style="1" customWidth="1"/>
    <col min="11010" max="11010" width="88" style="1" bestFit="1" customWidth="1"/>
    <col min="11011" max="11011" width="15.7109375" style="1" bestFit="1" customWidth="1"/>
    <col min="11012" max="11012" width="47.85546875" style="1" bestFit="1" customWidth="1"/>
    <col min="11013" max="11264" width="9.140625" style="1"/>
    <col min="11265" max="11265" width="21.140625" style="1" customWidth="1"/>
    <col min="11266" max="11266" width="88" style="1" bestFit="1" customWidth="1"/>
    <col min="11267" max="11267" width="15.7109375" style="1" bestFit="1" customWidth="1"/>
    <col min="11268" max="11268" width="47.85546875" style="1" bestFit="1" customWidth="1"/>
    <col min="11269" max="11520" width="9.140625" style="1"/>
    <col min="11521" max="11521" width="21.140625" style="1" customWidth="1"/>
    <col min="11522" max="11522" width="88" style="1" bestFit="1" customWidth="1"/>
    <col min="11523" max="11523" width="15.7109375" style="1" bestFit="1" customWidth="1"/>
    <col min="11524" max="11524" width="47.85546875" style="1" bestFit="1" customWidth="1"/>
    <col min="11525" max="11776" width="9.140625" style="1"/>
    <col min="11777" max="11777" width="21.140625" style="1" customWidth="1"/>
    <col min="11778" max="11778" width="88" style="1" bestFit="1" customWidth="1"/>
    <col min="11779" max="11779" width="15.7109375" style="1" bestFit="1" customWidth="1"/>
    <col min="11780" max="11780" width="47.85546875" style="1" bestFit="1" customWidth="1"/>
    <col min="11781" max="12032" width="9.140625" style="1"/>
    <col min="12033" max="12033" width="21.140625" style="1" customWidth="1"/>
    <col min="12034" max="12034" width="88" style="1" bestFit="1" customWidth="1"/>
    <col min="12035" max="12035" width="15.7109375" style="1" bestFit="1" customWidth="1"/>
    <col min="12036" max="12036" width="47.85546875" style="1" bestFit="1" customWidth="1"/>
    <col min="12037" max="12288" width="9.140625" style="1"/>
    <col min="12289" max="12289" width="21.140625" style="1" customWidth="1"/>
    <col min="12290" max="12290" width="88" style="1" bestFit="1" customWidth="1"/>
    <col min="12291" max="12291" width="15.7109375" style="1" bestFit="1" customWidth="1"/>
    <col min="12292" max="12292" width="47.85546875" style="1" bestFit="1" customWidth="1"/>
    <col min="12293" max="12544" width="9.140625" style="1"/>
    <col min="12545" max="12545" width="21.140625" style="1" customWidth="1"/>
    <col min="12546" max="12546" width="88" style="1" bestFit="1" customWidth="1"/>
    <col min="12547" max="12547" width="15.7109375" style="1" bestFit="1" customWidth="1"/>
    <col min="12548" max="12548" width="47.85546875" style="1" bestFit="1" customWidth="1"/>
    <col min="12549" max="12800" width="9.140625" style="1"/>
    <col min="12801" max="12801" width="21.140625" style="1" customWidth="1"/>
    <col min="12802" max="12802" width="88" style="1" bestFit="1" customWidth="1"/>
    <col min="12803" max="12803" width="15.7109375" style="1" bestFit="1" customWidth="1"/>
    <col min="12804" max="12804" width="47.85546875" style="1" bestFit="1" customWidth="1"/>
    <col min="12805" max="13056" width="9.140625" style="1"/>
    <col min="13057" max="13057" width="21.140625" style="1" customWidth="1"/>
    <col min="13058" max="13058" width="88" style="1" bestFit="1" customWidth="1"/>
    <col min="13059" max="13059" width="15.7109375" style="1" bestFit="1" customWidth="1"/>
    <col min="13060" max="13060" width="47.85546875" style="1" bestFit="1" customWidth="1"/>
    <col min="13061" max="13312" width="9.140625" style="1"/>
    <col min="13313" max="13313" width="21.140625" style="1" customWidth="1"/>
    <col min="13314" max="13314" width="88" style="1" bestFit="1" customWidth="1"/>
    <col min="13315" max="13315" width="15.7109375" style="1" bestFit="1" customWidth="1"/>
    <col min="13316" max="13316" width="47.85546875" style="1" bestFit="1" customWidth="1"/>
    <col min="13317" max="13568" width="9.140625" style="1"/>
    <col min="13569" max="13569" width="21.140625" style="1" customWidth="1"/>
    <col min="13570" max="13570" width="88" style="1" bestFit="1" customWidth="1"/>
    <col min="13571" max="13571" width="15.7109375" style="1" bestFit="1" customWidth="1"/>
    <col min="13572" max="13572" width="47.85546875" style="1" bestFit="1" customWidth="1"/>
    <col min="13573" max="13824" width="9.140625" style="1"/>
    <col min="13825" max="13825" width="21.140625" style="1" customWidth="1"/>
    <col min="13826" max="13826" width="88" style="1" bestFit="1" customWidth="1"/>
    <col min="13827" max="13827" width="15.7109375" style="1" bestFit="1" customWidth="1"/>
    <col min="13828" max="13828" width="47.85546875" style="1" bestFit="1" customWidth="1"/>
    <col min="13829" max="14080" width="9.140625" style="1"/>
    <col min="14081" max="14081" width="21.140625" style="1" customWidth="1"/>
    <col min="14082" max="14082" width="88" style="1" bestFit="1" customWidth="1"/>
    <col min="14083" max="14083" width="15.7109375" style="1" bestFit="1" customWidth="1"/>
    <col min="14084" max="14084" width="47.85546875" style="1" bestFit="1" customWidth="1"/>
    <col min="14085" max="14336" width="9.140625" style="1"/>
    <col min="14337" max="14337" width="21.140625" style="1" customWidth="1"/>
    <col min="14338" max="14338" width="88" style="1" bestFit="1" customWidth="1"/>
    <col min="14339" max="14339" width="15.7109375" style="1" bestFit="1" customWidth="1"/>
    <col min="14340" max="14340" width="47.85546875" style="1" bestFit="1" customWidth="1"/>
    <col min="14341" max="14592" width="9.140625" style="1"/>
    <col min="14593" max="14593" width="21.140625" style="1" customWidth="1"/>
    <col min="14594" max="14594" width="88" style="1" bestFit="1" customWidth="1"/>
    <col min="14595" max="14595" width="15.7109375" style="1" bestFit="1" customWidth="1"/>
    <col min="14596" max="14596" width="47.85546875" style="1" bestFit="1" customWidth="1"/>
    <col min="14597" max="14848" width="9.140625" style="1"/>
    <col min="14849" max="14849" width="21.140625" style="1" customWidth="1"/>
    <col min="14850" max="14850" width="88" style="1" bestFit="1" customWidth="1"/>
    <col min="14851" max="14851" width="15.7109375" style="1" bestFit="1" customWidth="1"/>
    <col min="14852" max="14852" width="47.85546875" style="1" bestFit="1" customWidth="1"/>
    <col min="14853" max="15104" width="9.140625" style="1"/>
    <col min="15105" max="15105" width="21.140625" style="1" customWidth="1"/>
    <col min="15106" max="15106" width="88" style="1" bestFit="1" customWidth="1"/>
    <col min="15107" max="15107" width="15.7109375" style="1" bestFit="1" customWidth="1"/>
    <col min="15108" max="15108" width="47.85546875" style="1" bestFit="1" customWidth="1"/>
    <col min="15109" max="15360" width="9.140625" style="1"/>
    <col min="15361" max="15361" width="21.140625" style="1" customWidth="1"/>
    <col min="15362" max="15362" width="88" style="1" bestFit="1" customWidth="1"/>
    <col min="15363" max="15363" width="15.7109375" style="1" bestFit="1" customWidth="1"/>
    <col min="15364" max="15364" width="47.85546875" style="1" bestFit="1" customWidth="1"/>
    <col min="15365" max="15616" width="9.140625" style="1"/>
    <col min="15617" max="15617" width="21.140625" style="1" customWidth="1"/>
    <col min="15618" max="15618" width="88" style="1" bestFit="1" customWidth="1"/>
    <col min="15619" max="15619" width="15.7109375" style="1" bestFit="1" customWidth="1"/>
    <col min="15620" max="15620" width="47.85546875" style="1" bestFit="1" customWidth="1"/>
    <col min="15621" max="15872" width="9.140625" style="1"/>
    <col min="15873" max="15873" width="21.140625" style="1" customWidth="1"/>
    <col min="15874" max="15874" width="88" style="1" bestFit="1" customWidth="1"/>
    <col min="15875" max="15875" width="15.7109375" style="1" bestFit="1" customWidth="1"/>
    <col min="15876" max="15876" width="47.85546875" style="1" bestFit="1" customWidth="1"/>
    <col min="15877" max="16128" width="9.140625" style="1"/>
    <col min="16129" max="16129" width="21.140625" style="1" customWidth="1"/>
    <col min="16130" max="16130" width="88" style="1" bestFit="1" customWidth="1"/>
    <col min="16131" max="16131" width="15.7109375" style="1" bestFit="1" customWidth="1"/>
    <col min="16132" max="16132" width="47.85546875" style="1" bestFit="1" customWidth="1"/>
    <col min="16133" max="16384" width="9.140625" style="1"/>
  </cols>
  <sheetData>
    <row r="1" spans="1:2" x14ac:dyDescent="0.2">
      <c r="A1" s="9" t="s">
        <v>24</v>
      </c>
      <c r="B1" s="9"/>
    </row>
    <row r="3" spans="1:2" x14ac:dyDescent="0.2">
      <c r="A3" s="2" t="s">
        <v>25</v>
      </c>
      <c r="B3" s="2" t="s">
        <v>26</v>
      </c>
    </row>
    <row r="5" spans="1:2" x14ac:dyDescent="0.2">
      <c r="A5" s="3" t="s">
        <v>27</v>
      </c>
      <c r="B5" s="1" t="s">
        <v>28</v>
      </c>
    </row>
    <row r="6" spans="1:2" x14ac:dyDescent="0.2">
      <c r="A6" s="3" t="s">
        <v>29</v>
      </c>
      <c r="B6" s="1" t="s">
        <v>30</v>
      </c>
    </row>
    <row r="7" spans="1:2" x14ac:dyDescent="0.2">
      <c r="A7" s="3" t="s">
        <v>31</v>
      </c>
      <c r="B7" s="1" t="s">
        <v>32</v>
      </c>
    </row>
    <row r="8" spans="1:2" x14ac:dyDescent="0.2">
      <c r="A8" s="3"/>
      <c r="B8" s="1" t="s">
        <v>33</v>
      </c>
    </row>
    <row r="9" spans="1:2" x14ac:dyDescent="0.2">
      <c r="A9" s="3"/>
      <c r="B9" s="1" t="s">
        <v>34</v>
      </c>
    </row>
    <row r="10" spans="1:2" x14ac:dyDescent="0.2">
      <c r="A10" s="3" t="s">
        <v>35</v>
      </c>
      <c r="B10" s="1" t="s">
        <v>36</v>
      </c>
    </row>
    <row r="11" spans="1:2" x14ac:dyDescent="0.2">
      <c r="A11" s="3" t="s">
        <v>37</v>
      </c>
      <c r="B11" s="1" t="s">
        <v>38</v>
      </c>
    </row>
    <row r="12" spans="1:2" x14ac:dyDescent="0.2">
      <c r="A12" s="3" t="s">
        <v>39</v>
      </c>
      <c r="B12" s="1" t="s">
        <v>40</v>
      </c>
    </row>
    <row r="13" spans="1:2" x14ac:dyDescent="0.2">
      <c r="A13" s="3"/>
      <c r="B13" s="1" t="s">
        <v>41</v>
      </c>
    </row>
    <row r="14" spans="1:2" x14ac:dyDescent="0.2">
      <c r="A14" s="3"/>
      <c r="B14" s="1" t="s">
        <v>42</v>
      </c>
    </row>
    <row r="15" spans="1:2" x14ac:dyDescent="0.2">
      <c r="A15" s="3"/>
      <c r="B15" s="1" t="s">
        <v>43</v>
      </c>
    </row>
    <row r="16" spans="1:2" x14ac:dyDescent="0.2">
      <c r="A16" s="3"/>
      <c r="B16" s="1" t="s">
        <v>44</v>
      </c>
    </row>
    <row r="17" spans="1:2" x14ac:dyDescent="0.2">
      <c r="A17" s="3"/>
      <c r="B17" s="1" t="s">
        <v>45</v>
      </c>
    </row>
    <row r="18" spans="1:2" x14ac:dyDescent="0.2">
      <c r="A18" s="3"/>
      <c r="B18" s="1" t="s">
        <v>46</v>
      </c>
    </row>
    <row r="19" spans="1:2" x14ac:dyDescent="0.2">
      <c r="A19" s="3"/>
      <c r="B19" s="1" t="s">
        <v>47</v>
      </c>
    </row>
    <row r="20" spans="1:2" x14ac:dyDescent="0.2">
      <c r="A20" s="3"/>
      <c r="B20" s="1" t="s">
        <v>48</v>
      </c>
    </row>
    <row r="21" spans="1:2" x14ac:dyDescent="0.2">
      <c r="A21" s="3" t="s">
        <v>49</v>
      </c>
      <c r="B21" s="1" t="s">
        <v>50</v>
      </c>
    </row>
    <row r="22" spans="1:2" x14ac:dyDescent="0.2">
      <c r="A22" s="3" t="s">
        <v>51</v>
      </c>
      <c r="B22" s="1" t="s">
        <v>52</v>
      </c>
    </row>
    <row r="23" spans="1:2" x14ac:dyDescent="0.2">
      <c r="A23" s="3" t="s">
        <v>53</v>
      </c>
      <c r="B23" s="1" t="s">
        <v>54</v>
      </c>
    </row>
    <row r="24" spans="1:2" x14ac:dyDescent="0.2">
      <c r="A24" s="3"/>
      <c r="B24" s="1" t="s">
        <v>55</v>
      </c>
    </row>
    <row r="25" spans="1:2" x14ac:dyDescent="0.2">
      <c r="A25" s="3"/>
      <c r="B25" s="1" t="s">
        <v>56</v>
      </c>
    </row>
    <row r="26" spans="1:2" x14ac:dyDescent="0.2">
      <c r="A26" s="3"/>
      <c r="B26" s="1" t="s">
        <v>57</v>
      </c>
    </row>
    <row r="27" spans="1:2" ht="13.5" customHeight="1" x14ac:dyDescent="0.2">
      <c r="A27" s="3"/>
      <c r="B27" s="1" t="s">
        <v>58</v>
      </c>
    </row>
    <row r="28" spans="1:2" x14ac:dyDescent="0.2">
      <c r="A28" s="3" t="s">
        <v>59</v>
      </c>
      <c r="B28" s="1" t="s">
        <v>60</v>
      </c>
    </row>
    <row r="29" spans="1:2" x14ac:dyDescent="0.2">
      <c r="A29" s="3" t="s">
        <v>61</v>
      </c>
      <c r="B29" s="1" t="s">
        <v>62</v>
      </c>
    </row>
    <row r="30" spans="1:2" x14ac:dyDescent="0.2">
      <c r="A30" s="3"/>
      <c r="B30" s="1" t="s">
        <v>63</v>
      </c>
    </row>
    <row r="31" spans="1:2" x14ac:dyDescent="0.2">
      <c r="A31" s="3"/>
      <c r="B31" s="1" t="s">
        <v>64</v>
      </c>
    </row>
    <row r="32" spans="1:2" x14ac:dyDescent="0.2">
      <c r="A32" s="3"/>
      <c r="B32" s="1" t="s">
        <v>65</v>
      </c>
    </row>
    <row r="33" spans="1:2" x14ac:dyDescent="0.2">
      <c r="A33" s="3"/>
      <c r="B33" s="1" t="s">
        <v>66</v>
      </c>
    </row>
    <row r="34" spans="1:2" x14ac:dyDescent="0.2">
      <c r="A34" s="3"/>
      <c r="B34" s="1" t="s">
        <v>67</v>
      </c>
    </row>
    <row r="35" spans="1:2" x14ac:dyDescent="0.2">
      <c r="A35" s="3"/>
      <c r="B35" s="1" t="s">
        <v>68</v>
      </c>
    </row>
    <row r="36" spans="1:2" x14ac:dyDescent="0.2">
      <c r="A36" s="3"/>
      <c r="B36" s="1" t="s">
        <v>69</v>
      </c>
    </row>
    <row r="37" spans="1:2" x14ac:dyDescent="0.2">
      <c r="A37" s="3"/>
      <c r="B37" s="1" t="s">
        <v>70</v>
      </c>
    </row>
    <row r="38" spans="1:2" x14ac:dyDescent="0.2">
      <c r="A38" s="3"/>
      <c r="B38" s="1" t="s">
        <v>71</v>
      </c>
    </row>
    <row r="39" spans="1:2" x14ac:dyDescent="0.2">
      <c r="A39" s="3"/>
      <c r="B39" s="1" t="s">
        <v>72</v>
      </c>
    </row>
    <row r="40" spans="1:2" x14ac:dyDescent="0.2">
      <c r="A40" s="3"/>
      <c r="B40" s="1" t="s">
        <v>73</v>
      </c>
    </row>
    <row r="41" spans="1:2" x14ac:dyDescent="0.2">
      <c r="A41" s="3"/>
      <c r="B41" s="1" t="s">
        <v>74</v>
      </c>
    </row>
    <row r="42" spans="1:2" x14ac:dyDescent="0.2">
      <c r="B42" s="1" t="s">
        <v>75</v>
      </c>
    </row>
    <row r="43" spans="1:2" x14ac:dyDescent="0.2">
      <c r="A43" s="3" t="s">
        <v>76</v>
      </c>
      <c r="B43" s="1" t="s">
        <v>77</v>
      </c>
    </row>
    <row r="44" spans="1:2" x14ac:dyDescent="0.2">
      <c r="A44" s="3"/>
      <c r="B44" s="1" t="s">
        <v>78</v>
      </c>
    </row>
    <row r="45" spans="1:2" x14ac:dyDescent="0.2">
      <c r="A45" s="3"/>
      <c r="B45" s="1" t="s">
        <v>79</v>
      </c>
    </row>
    <row r="46" spans="1:2" x14ac:dyDescent="0.2">
      <c r="A46" s="3" t="s">
        <v>80</v>
      </c>
      <c r="B46" s="1" t="s">
        <v>81</v>
      </c>
    </row>
    <row r="47" spans="1:2" x14ac:dyDescent="0.2">
      <c r="A47" s="3" t="s">
        <v>82</v>
      </c>
      <c r="B47" s="1" t="s">
        <v>83</v>
      </c>
    </row>
    <row r="48" spans="1:2" x14ac:dyDescent="0.2">
      <c r="A48" s="3" t="s">
        <v>84</v>
      </c>
      <c r="B48" s="1" t="s">
        <v>85</v>
      </c>
    </row>
    <row r="49" spans="1:2" x14ac:dyDescent="0.2">
      <c r="A49" s="3" t="s">
        <v>86</v>
      </c>
      <c r="B49" s="1" t="s">
        <v>54</v>
      </c>
    </row>
    <row r="50" spans="1:2" x14ac:dyDescent="0.2">
      <c r="B50" s="1" t="s">
        <v>87</v>
      </c>
    </row>
    <row r="51" spans="1:2" x14ac:dyDescent="0.2">
      <c r="B51" s="1" t="s">
        <v>88</v>
      </c>
    </row>
    <row r="52" spans="1:2" x14ac:dyDescent="0.2">
      <c r="B52" s="1" t="s">
        <v>89</v>
      </c>
    </row>
    <row r="53" spans="1:2" x14ac:dyDescent="0.2">
      <c r="B53" s="1" t="s">
        <v>90</v>
      </c>
    </row>
    <row r="54" spans="1:2" x14ac:dyDescent="0.2">
      <c r="B54" s="1" t="s">
        <v>91</v>
      </c>
    </row>
    <row r="55" spans="1:2" x14ac:dyDescent="0.2">
      <c r="B55" s="4" t="s">
        <v>78</v>
      </c>
    </row>
    <row r="56" spans="1:2" x14ac:dyDescent="0.2">
      <c r="B56" s="4" t="s">
        <v>79</v>
      </c>
    </row>
    <row r="57" spans="1:2" x14ac:dyDescent="0.2">
      <c r="B57" s="1" t="s">
        <v>92</v>
      </c>
    </row>
    <row r="58" spans="1:2" x14ac:dyDescent="0.2">
      <c r="B58" s="1" t="s">
        <v>64</v>
      </c>
    </row>
    <row r="59" spans="1:2" x14ac:dyDescent="0.2">
      <c r="B59" s="5" t="s">
        <v>65</v>
      </c>
    </row>
    <row r="60" spans="1:2" x14ac:dyDescent="0.2">
      <c r="B60" s="1" t="s">
        <v>66</v>
      </c>
    </row>
    <row r="61" spans="1:2" x14ac:dyDescent="0.2">
      <c r="B61" s="1" t="s">
        <v>67</v>
      </c>
    </row>
    <row r="62" spans="1:2" x14ac:dyDescent="0.2">
      <c r="B62" s="1" t="s">
        <v>68</v>
      </c>
    </row>
    <row r="63" spans="1:2" x14ac:dyDescent="0.2">
      <c r="B63" s="1" t="s">
        <v>69</v>
      </c>
    </row>
    <row r="64" spans="1:2" x14ac:dyDescent="0.2">
      <c r="B64" s="1" t="s">
        <v>70</v>
      </c>
    </row>
    <row r="65" spans="2:2" x14ac:dyDescent="0.2">
      <c r="B65" s="1" t="s">
        <v>71</v>
      </c>
    </row>
    <row r="66" spans="2:2" x14ac:dyDescent="0.2">
      <c r="B66" s="1" t="s">
        <v>72</v>
      </c>
    </row>
    <row r="67" spans="2:2" x14ac:dyDescent="0.2">
      <c r="B67" s="1" t="s">
        <v>73</v>
      </c>
    </row>
    <row r="68" spans="2:2" x14ac:dyDescent="0.2">
      <c r="B68" s="1" t="s">
        <v>74</v>
      </c>
    </row>
    <row r="69" spans="2:2" x14ac:dyDescent="0.2">
      <c r="B69" s="1" t="s">
        <v>75</v>
      </c>
    </row>
    <row r="70" spans="2:2" x14ac:dyDescent="0.2">
      <c r="B70" s="1" t="s">
        <v>93</v>
      </c>
    </row>
    <row r="71" spans="2:2" x14ac:dyDescent="0.2">
      <c r="B71" s="1" t="s">
        <v>94</v>
      </c>
    </row>
    <row r="72" spans="2:2" x14ac:dyDescent="0.2">
      <c r="B72" s="1" t="s">
        <v>95</v>
      </c>
    </row>
    <row r="73" spans="2:2" x14ac:dyDescent="0.2">
      <c r="B73" s="1" t="s">
        <v>96</v>
      </c>
    </row>
    <row r="74" spans="2:2" x14ac:dyDescent="0.2">
      <c r="B74" s="1" t="s">
        <v>97</v>
      </c>
    </row>
  </sheetData>
  <mergeCells count="1">
    <mergeCell ref="A1:B1"/>
  </mergeCells>
  <pageMargins left="0.75" right="0.75" top="1" bottom="1" header="0.5" footer="0.5"/>
  <pageSetup paperSize="9" scale="6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Calculations</vt:lpstr>
      <vt:lpstr>May</vt:lpstr>
      <vt:lpstr>June</vt:lpstr>
      <vt:lpstr>Glossary</vt:lpstr>
      <vt:lpstr>Chart1</vt:lpstr>
      <vt:lpstr>Glossary!Print_Titles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2024-07-18T15:12:21Z</dcterms:created>
  <dcterms:modified xsi:type="dcterms:W3CDTF">2024-07-19T19:40:57Z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2024-07-18T15:13:10Z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10e7deaa-43ed-41a7-be62-6290e230e949</vt:lpwstr>
  </property>
  <property fmtid="{D5CDD505-2E9C-101B-9397-08002B2CF9AE}" pid="8" name="MSIP_Label_231f5784-19ed-4d1e-9a93-4ea41014d730_ContentBits">
    <vt:lpwstr>0</vt:lpwstr>
  </property>
</Properties>
</file>