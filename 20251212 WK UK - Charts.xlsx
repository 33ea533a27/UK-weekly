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3.xml" ContentType="application/vnd.openxmlformats-officedocument.drawingml.chartshapes+xml"/>
  <Override PartName="/xl/drawings/drawing4.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Z:\UK Team\UK Weekly\"/>
    </mc:Choice>
  </mc:AlternateContent>
  <xr:revisionPtr revIDLastSave="0" documentId="13_ncr:9_{0CEBE648-15FC-436A-8FE9-27BA1A462FEF}" xr6:coauthVersionLast="47" xr6:coauthVersionMax="47" xr10:uidLastSave="{00000000-0000-0000-0000-000000000000}"/>
  <bookViews>
    <workbookView xWindow="-28920" yWindow="-120" windowWidth="19440" windowHeight="10320" firstSheet="2" activeTab="6" xr2:uid="{003D58B0-8048-41DD-9C28-74F03A3B5BB6}"/>
  </bookViews>
  <sheets>
    <sheet name="Cover_Sheet" sheetId="1" r:id="rId1"/>
    <sheet name="Contents" sheetId="2" r:id="rId2"/>
    <sheet name="Notes" sheetId="3" r:id="rId3"/>
    <sheet name="Monthly_Vis_01" sheetId="4" r:id="rId4"/>
    <sheet name="Chart1" sheetId="6" r:id="rId5"/>
    <sheet name="Chart2" sheetId="7" r:id="rId6"/>
    <sheet name="Chart2 (2)" sheetId="10" r:id="rId7"/>
    <sheet name="Chart Data" sheetId="5"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7" i="4" l="1"/>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B4" i="5"/>
  <c r="C4" i="5"/>
  <c r="D4" i="5"/>
  <c r="B5" i="5"/>
  <c r="C5" i="5"/>
  <c r="D5" i="5"/>
  <c r="B6" i="5"/>
  <c r="C6" i="5"/>
  <c r="D6" i="5"/>
  <c r="B7" i="5"/>
  <c r="C7" i="5"/>
  <c r="D7" i="5"/>
  <c r="B8" i="5"/>
  <c r="C8" i="5"/>
  <c r="D8" i="5"/>
  <c r="B9" i="5"/>
  <c r="C9" i="5"/>
  <c r="D9" i="5"/>
  <c r="B10" i="5"/>
  <c r="C10" i="5"/>
  <c r="D10" i="5"/>
  <c r="B11" i="5"/>
  <c r="C11" i="5"/>
  <c r="D11" i="5"/>
  <c r="B12" i="5"/>
  <c r="C12" i="5"/>
  <c r="D12" i="5"/>
  <c r="B13" i="5"/>
  <c r="C13" i="5"/>
  <c r="D13" i="5"/>
  <c r="B14" i="5"/>
  <c r="C14" i="5"/>
  <c r="D14" i="5"/>
  <c r="B15" i="5"/>
  <c r="C15" i="5"/>
  <c r="D15" i="5"/>
  <c r="B16" i="5"/>
  <c r="C16" i="5"/>
  <c r="D16" i="5"/>
  <c r="B17" i="5"/>
  <c r="C17" i="5"/>
  <c r="D17" i="5"/>
  <c r="B18" i="5"/>
  <c r="C18" i="5"/>
  <c r="D18" i="5"/>
  <c r="B19" i="5"/>
  <c r="C19" i="5"/>
  <c r="D19" i="5"/>
  <c r="B20" i="5"/>
  <c r="C20" i="5"/>
  <c r="D20" i="5"/>
  <c r="B21" i="5"/>
  <c r="C21" i="5"/>
  <c r="D21" i="5"/>
  <c r="B22" i="5"/>
  <c r="C22" i="5"/>
  <c r="D22" i="5"/>
  <c r="B23" i="5"/>
  <c r="C23" i="5"/>
  <c r="D23" i="5"/>
  <c r="B24" i="5"/>
  <c r="C24" i="5"/>
  <c r="D24" i="5"/>
  <c r="B25" i="5"/>
  <c r="C25" i="5"/>
  <c r="D25" i="5"/>
  <c r="B26" i="5"/>
  <c r="C26" i="5"/>
  <c r="D26" i="5"/>
  <c r="B27" i="5"/>
  <c r="C27" i="5"/>
  <c r="D27" i="5"/>
  <c r="B28" i="5"/>
  <c r="C28" i="5"/>
  <c r="D28" i="5"/>
  <c r="B29" i="5"/>
  <c r="C29" i="5"/>
  <c r="D29" i="5"/>
  <c r="B30" i="5"/>
  <c r="C30" i="5"/>
  <c r="D30" i="5"/>
  <c r="B31" i="5"/>
  <c r="C31" i="5"/>
  <c r="D31" i="5"/>
  <c r="B32" i="5"/>
  <c r="C32" i="5"/>
  <c r="D32" i="5"/>
  <c r="B33" i="5"/>
  <c r="C33" i="5"/>
  <c r="D33" i="5"/>
  <c r="B34" i="5"/>
  <c r="C34" i="5"/>
  <c r="D34" i="5"/>
  <c r="B35" i="5"/>
  <c r="C35" i="5"/>
  <c r="D35" i="5"/>
  <c r="B36" i="5"/>
  <c r="C36" i="5"/>
  <c r="D36" i="5"/>
  <c r="B37" i="5"/>
  <c r="C37" i="5"/>
  <c r="D37" i="5"/>
  <c r="B38" i="5"/>
  <c r="C38" i="5"/>
  <c r="D38" i="5"/>
  <c r="B39" i="5"/>
  <c r="C39" i="5"/>
  <c r="D39" i="5"/>
  <c r="B40" i="5"/>
  <c r="C40" i="5"/>
  <c r="D40" i="5"/>
  <c r="B41" i="5"/>
  <c r="C41" i="5"/>
  <c r="D41" i="5"/>
  <c r="B42" i="5"/>
  <c r="C42" i="5"/>
  <c r="D42" i="5"/>
  <c r="B43" i="5"/>
  <c r="C43" i="5"/>
  <c r="D43" i="5"/>
  <c r="B44" i="5"/>
  <c r="C44" i="5"/>
  <c r="D44" i="5"/>
  <c r="B45" i="5"/>
  <c r="C45" i="5"/>
  <c r="D45" i="5"/>
  <c r="B46" i="5"/>
  <c r="C46" i="5"/>
  <c r="D46" i="5"/>
  <c r="B47" i="5"/>
  <c r="C47" i="5"/>
  <c r="D47" i="5"/>
  <c r="B48" i="5"/>
  <c r="C48" i="5"/>
  <c r="D48" i="5"/>
  <c r="B49" i="5"/>
  <c r="C49" i="5"/>
  <c r="D49" i="5"/>
  <c r="D3" i="5"/>
  <c r="C3" i="5"/>
  <c r="B3" i="5"/>
  <c r="A3" i="4"/>
  <c r="A2" i="4"/>
</calcChain>
</file>

<file path=xl/sharedStrings.xml><?xml version="1.0" encoding="utf-8"?>
<sst xmlns="http://schemas.openxmlformats.org/spreadsheetml/2006/main" count="102" uniqueCount="62">
  <si>
    <t>Monthly Entry Clearance Visa Applications</t>
  </si>
  <si>
    <t>November 2025</t>
  </si>
  <si>
    <t>Entry Clearance Visas - Applications</t>
  </si>
  <si>
    <t>Home Office</t>
  </si>
  <si>
    <r>
      <rPr>
        <b/>
        <sz val="12"/>
        <color rgb="FF000000"/>
        <rFont val="Arial"/>
        <family val="2"/>
      </rPr>
      <t xml:space="preserve">Published: </t>
    </r>
    <r>
      <rPr>
        <sz val="12"/>
        <color rgb="FF000000"/>
        <rFont val="Arial"/>
        <family val="2"/>
      </rPr>
      <t>11 December 2025</t>
    </r>
  </si>
  <si>
    <r>
      <t xml:space="preserve">Next update: </t>
    </r>
    <r>
      <rPr>
        <sz val="12"/>
        <color rgb="FF000000"/>
        <rFont val="Arial"/>
        <family val="2"/>
      </rPr>
      <t>8 January 2026</t>
    </r>
  </si>
  <si>
    <r>
      <rPr>
        <b/>
        <sz val="12"/>
        <color rgb="FF000000"/>
        <rFont val="Arial"/>
        <family val="2"/>
      </rPr>
      <t>Responsible Statistician:</t>
    </r>
    <r>
      <rPr>
        <sz val="12"/>
        <color rgb="FF000000"/>
        <rFont val="Arial"/>
        <family val="2"/>
      </rPr>
      <t xml:space="preserve"> Jack Cooper</t>
    </r>
  </si>
  <si>
    <r>
      <rPr>
        <b/>
        <sz val="12"/>
        <color rgb="FF000000"/>
        <rFont val="Arial"/>
        <family val="2"/>
      </rPr>
      <t>Email:</t>
    </r>
    <r>
      <rPr>
        <sz val="12"/>
        <color rgb="FF000000"/>
        <rFont val="Arial"/>
        <family val="2"/>
      </rPr>
      <t xml:space="preserve"> </t>
    </r>
    <r>
      <rPr>
        <u/>
        <sz val="12"/>
        <color rgb="FF0000FF"/>
        <rFont val="Arial"/>
        <family val="2"/>
      </rPr>
      <t>MigrationStatsEnquiries@homeoffice.gov.uk</t>
    </r>
  </si>
  <si>
    <r>
      <rPr>
        <b/>
        <sz val="12"/>
        <color rgb="FF000000"/>
        <rFont val="Arial"/>
        <family val="2"/>
      </rPr>
      <t xml:space="preserve">Press enquiries: </t>
    </r>
    <r>
      <rPr>
        <sz val="12"/>
        <color rgb="FF000000"/>
        <rFont val="Arial"/>
        <family val="2"/>
      </rPr>
      <t>0300 123 3535</t>
    </r>
  </si>
  <si>
    <t>Crown copyright © 2025</t>
  </si>
  <si>
    <t>Monthly Entry Clearance Visa Applications, November 2025</t>
  </si>
  <si>
    <t>Entry clearance visa applications - Tables</t>
  </si>
  <si>
    <r>
      <rPr>
        <sz val="12"/>
        <color rgb="FF000000"/>
        <rFont val="Arial"/>
        <family val="2"/>
      </rPr>
      <t>To navigate to a specific detailed table, select the title from the list below. Detailed information on visa applications and outcomes can be found in the quarterly</t>
    </r>
    <r>
      <rPr>
        <sz val="12"/>
        <color rgb="FF0563C1"/>
        <rFont val="Arial"/>
        <family val="2"/>
      </rPr>
      <t xml:space="preserve"> Immigration System Statistics.</t>
    </r>
  </si>
  <si>
    <t>Sheet</t>
  </si>
  <si>
    <t>Title</t>
  </si>
  <si>
    <t>Variables available</t>
  </si>
  <si>
    <t>Period covered</t>
  </si>
  <si>
    <t>Official Accredited
Statistics</t>
  </si>
  <si>
    <t>Next planned update</t>
  </si>
  <si>
    <t>Monthly_Vis_01</t>
  </si>
  <si>
    <t>Monthly applications for Skilled Worker, Health and Care Worker, Sponsored study, Seasonal Worker, Youth Mobility Scheme and Family visas</t>
  </si>
  <si>
    <t>Year, month, visa type subgroup, applicant type, applications</t>
  </si>
  <si>
    <t>2022 onwards</t>
  </si>
  <si>
    <t>No</t>
  </si>
  <si>
    <t>8 January 2026</t>
  </si>
  <si>
    <t>Notes</t>
  </si>
  <si>
    <t>Note number</t>
  </si>
  <si>
    <t>Note text</t>
  </si>
  <si>
    <t>Table title</t>
  </si>
  <si>
    <t>Figures are provisional management information from live operational systems drawn on the date of reporting and are subject to change.</t>
  </si>
  <si>
    <t>Applications from dependants may relate to main applicants who applied in previous months. Dependants of care workers and senior care workers are still eligible to apply if their related main applicant applied prior to 11 March 2024.</t>
  </si>
  <si>
    <t xml:space="preserve">Individuals on Youth Mobility Scheme and Seasonal Worker visa routes are ineligible to bring dependants. </t>
  </si>
  <si>
    <t>These statistics will be updated on a monthly ongoing basis whilst we review the user need for monthly updates. The quarterly Immigration system statistics provides detailed information on visa applications and outcomes.</t>
  </si>
  <si>
    <t>Figures are rounded to the nearest 100.</t>
  </si>
  <si>
    <t>Monthly applications for Skilled Worker, Health and Care Worker, Sponsored study, Seasonal Worker, Youth Mobility Scheme and Family visas, from January 2022 to November 2025 [Notes 1, 2, 3, 4, 5]</t>
  </si>
  <si>
    <t>Year</t>
  </si>
  <si>
    <t>Month</t>
  </si>
  <si>
    <t>Skilled Worker - Main applicants</t>
  </si>
  <si>
    <t>Skilled Worker - Dependants</t>
  </si>
  <si>
    <t>Health and Care Worker - Main applicants</t>
  </si>
  <si>
    <t>Health and Care Worker - Dependants</t>
  </si>
  <si>
    <t>Sponsored Study - Main applicants</t>
  </si>
  <si>
    <t>Sponsored Study - Dependants</t>
  </si>
  <si>
    <t>Seasonal Worker - Main applicants</t>
  </si>
  <si>
    <t>Youth Mobility Scheme - Main applicants</t>
  </si>
  <si>
    <t>Family - All applicants</t>
  </si>
  <si>
    <t>January</t>
  </si>
  <si>
    <t>February</t>
  </si>
  <si>
    <t>March</t>
  </si>
  <si>
    <t>April</t>
  </si>
  <si>
    <t>May</t>
  </si>
  <si>
    <t>June</t>
  </si>
  <si>
    <t>July</t>
  </si>
  <si>
    <t>August</t>
  </si>
  <si>
    <t>September</t>
  </si>
  <si>
    <t>October</t>
  </si>
  <si>
    <t>November</t>
  </si>
  <si>
    <t>December</t>
  </si>
  <si>
    <t>Visa applications</t>
  </si>
  <si>
    <t>Skilled workers</t>
  </si>
  <si>
    <t>Health and care workers</t>
  </si>
  <si>
    <t>Dependents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</si>
</sst>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 &quot;* #,##0.00&quot; &quot;;&quot;-&quot;* #,##0.00&quot; &quot;;&quot; &quot;* &quot;-&quot;#&quot; &quot;;&quot; &quot;@&quot; &quot;"/>
    <numFmt numFmtId="165" formatCode="0.0"/>
  </numFmts>
  <fonts count="17" x14ac:knownFonts="1">
    <font>
      <sz val="11"/>
      <color rgb="FF000000"/>
      <name val="Calibri"/>
      <family val="2"/>
    </font>
    <font>
      <sz val="11"/>
      <color rgb="FF000000"/>
      <name val="Calibri"/>
      <family val="2"/>
    </font>
    <font>
      <b/>
      <sz val="15"/>
      <color rgb="FF0E2841"/>
      <name val="Aptos Narrow"/>
      <family val="2"/>
    </font>
    <font>
      <u/>
      <sz val="11"/>
      <color rgb="FF0563C1"/>
      <name val="Calibri"/>
      <family val="2"/>
    </font>
    <font>
      <u/>
      <sz val="10"/>
      <color rgb="FF0000FF"/>
      <name val="Arial"/>
      <family val="2"/>
    </font>
    <font>
      <sz val="12"/>
      <color rgb="FF000000"/>
      <name val="Arial"/>
      <family val="2"/>
    </font>
    <font>
      <sz val="10"/>
      <color rgb="FF000000"/>
      <name val="Arial"/>
      <family val="2"/>
    </font>
    <font>
      <sz val="36"/>
      <color rgb="FF0000FF"/>
      <name val="Arial"/>
      <family val="2"/>
    </font>
    <font>
      <sz val="20"/>
      <color rgb="FF0000FF"/>
      <name val="Arial"/>
      <family val="2"/>
    </font>
    <font>
      <sz val="14"/>
      <color rgb="FF000000"/>
      <name val="Arial"/>
      <family val="2"/>
    </font>
    <font>
      <b/>
      <sz val="12"/>
      <color rgb="FF000000"/>
      <name val="Arial"/>
      <family val="2"/>
    </font>
    <font>
      <u/>
      <sz val="12"/>
      <color rgb="FF0000FF"/>
      <name val="Arial"/>
      <family val="2"/>
    </font>
    <font>
      <b/>
      <sz val="14"/>
      <color rgb="FF000000"/>
      <name val="Arial"/>
      <family val="2"/>
    </font>
    <font>
      <sz val="12"/>
      <color rgb="FF0563C1"/>
      <name val="Arial"/>
      <family val="2"/>
    </font>
    <font>
      <u/>
      <sz val="12"/>
      <color rgb="FF0563C1"/>
      <name val="Arial"/>
      <family val="2"/>
    </font>
    <font>
      <u/>
      <sz val="12"/>
      <color rgb="FF467886"/>
      <name val="Arial"/>
      <family val="2"/>
    </font>
    <font>
      <b/>
      <sz val="11"/>
      <color rgb="FF000000"/>
      <name val="Calibri"/>
      <family val="2"/>
    </font>
  </fonts>
  <fills count="2">
    <fill>
      <patternFill patternType="none"/>
    </fill>
    <fill>
      <patternFill patternType="gray125"/>
    </fill>
  </fills>
  <borders count="12">
    <border>
      <left/>
      <right/>
      <top/>
      <bottom/>
      <diagonal/>
    </border>
    <border>
      <left/>
      <right/>
      <top/>
      <bottom style="thick">
        <color rgb="FF156082"/>
      </bottom>
      <diagonal/>
    </border>
    <border>
      <left/>
      <right/>
      <top/>
      <bottom style="thin">
        <color rgb="FF000000"/>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s>
  <cellStyleXfs count="15">
    <xf numFmtId="0" fontId="0" fillId="0" borderId="0"/>
    <xf numFmtId="0" fontId="2" fillId="0" borderId="1" applyNumberFormat="0" applyFill="0" applyAlignment="0" applyProtection="0"/>
    <xf numFmtId="164" fontId="1" fillId="0" borderId="0" applyFon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1" fillId="0" borderId="0" applyNumberFormat="0" applyFont="0" applyBorder="0" applyProtection="0"/>
    <xf numFmtId="0" fontId="5"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6" fillId="0" borderId="0" applyNumberFormat="0" applyBorder="0" applyProtection="0"/>
    <xf numFmtId="0" fontId="5" fillId="0" borderId="0" applyNumberFormat="0" applyBorder="0" applyProtection="0"/>
    <xf numFmtId="9" fontId="1" fillId="0" borderId="0" applyFont="0" applyFill="0" applyBorder="0" applyAlignment="0" applyProtection="0"/>
  </cellStyleXfs>
  <cellXfs count="46">
    <xf numFmtId="0" fontId="0" fillId="0" borderId="0" xfId="0"/>
    <xf numFmtId="0" fontId="7" fillId="0" borderId="0" xfId="1" applyFont="1" applyBorder="1" applyAlignment="1">
      <alignment horizontal="left" vertical="top" wrapText="1"/>
    </xf>
    <xf numFmtId="49" fontId="8" fillId="0" borderId="0" xfId="12" applyNumberFormat="1" applyFont="1" applyFill="1" applyAlignment="1">
      <alignment horizontal="left" vertical="center" wrapText="1"/>
    </xf>
    <xf numFmtId="0" fontId="9" fillId="0" borderId="0" xfId="12" applyFont="1" applyFill="1" applyAlignment="1">
      <alignment vertical="center"/>
    </xf>
    <xf numFmtId="0" fontId="5" fillId="0" borderId="0" xfId="12" applyFont="1" applyFill="1" applyAlignment="1">
      <alignment vertical="center"/>
    </xf>
    <xf numFmtId="0" fontId="10" fillId="0" borderId="0" xfId="12" applyFont="1" applyFill="1" applyAlignment="1">
      <alignment vertical="center"/>
    </xf>
    <xf numFmtId="0" fontId="11" fillId="0" borderId="0" xfId="5" applyFont="1" applyFill="1" applyAlignment="1">
      <alignment vertical="center"/>
    </xf>
    <xf numFmtId="0" fontId="5" fillId="0" borderId="0" xfId="13" applyFont="1" applyFill="1" applyAlignment="1">
      <alignment vertical="center"/>
    </xf>
    <xf numFmtId="0" fontId="12" fillId="0" borderId="0" xfId="1" applyFont="1" applyBorder="1"/>
    <xf numFmtId="0" fontId="10" fillId="0" borderId="0" xfId="9" applyFont="1" applyFill="1" applyAlignment="1"/>
    <xf numFmtId="0" fontId="5" fillId="0" borderId="0" xfId="8" applyFont="1" applyFill="1" applyAlignment="1"/>
    <xf numFmtId="0" fontId="10" fillId="0" borderId="0" xfId="8" applyFont="1" applyFill="1" applyAlignment="1"/>
    <xf numFmtId="0" fontId="10" fillId="0" borderId="0" xfId="8" applyFont="1" applyFill="1" applyAlignment="1">
      <alignment horizontal="left"/>
    </xf>
    <xf numFmtId="0" fontId="13" fillId="0" borderId="0" xfId="4" applyFont="1" applyFill="1" applyAlignment="1">
      <alignment vertical="center"/>
    </xf>
    <xf numFmtId="0" fontId="5" fillId="0" borderId="0" xfId="8" applyFont="1" applyFill="1" applyAlignment="1">
      <alignment vertical="center" wrapText="1"/>
    </xf>
    <xf numFmtId="0" fontId="5" fillId="0" borderId="0" xfId="8" applyFont="1" applyFill="1" applyAlignment="1">
      <alignment horizontal="left" vertical="center" wrapText="1"/>
    </xf>
    <xf numFmtId="0" fontId="10" fillId="0" borderId="2" xfId="8" applyFont="1" applyFill="1" applyBorder="1" applyAlignment="1">
      <alignment vertical="center"/>
    </xf>
    <xf numFmtId="0" fontId="10" fillId="0" borderId="2" xfId="8" applyFont="1" applyFill="1" applyBorder="1" applyAlignment="1">
      <alignment vertical="center" wrapText="1"/>
    </xf>
    <xf numFmtId="0" fontId="10" fillId="0" borderId="0" xfId="8" applyFont="1" applyFill="1" applyAlignment="1">
      <alignment vertical="center" wrapText="1"/>
    </xf>
    <xf numFmtId="0" fontId="14" fillId="0" borderId="3" xfId="3" applyFont="1" applyFill="1" applyBorder="1" applyAlignment="1">
      <alignment vertical="center"/>
    </xf>
    <xf numFmtId="0" fontId="5" fillId="0" borderId="3" xfId="6" applyFont="1" applyFill="1" applyBorder="1" applyAlignment="1">
      <alignment vertical="center" wrapText="1"/>
    </xf>
    <xf numFmtId="0" fontId="5" fillId="0" borderId="0" xfId="6" applyFont="1" applyFill="1" applyAlignment="1">
      <alignment vertical="top" wrapText="1"/>
    </xf>
    <xf numFmtId="0" fontId="5" fillId="0" borderId="3" xfId="8" applyFont="1" applyFill="1" applyBorder="1" applyAlignment="1">
      <alignment vertical="center"/>
    </xf>
    <xf numFmtId="49" fontId="5" fillId="0" borderId="3" xfId="8" applyNumberFormat="1" applyFont="1" applyFill="1" applyBorder="1" applyAlignment="1">
      <alignment horizontal="left" vertical="center"/>
    </xf>
    <xf numFmtId="0" fontId="14" fillId="0" borderId="0" xfId="6" applyFont="1" applyFill="1" applyAlignment="1">
      <alignment vertical="center" wrapText="1"/>
    </xf>
    <xf numFmtId="0" fontId="5" fillId="0" borderId="0" xfId="8" applyFont="1" applyFill="1" applyAlignment="1">
      <alignment vertical="center"/>
    </xf>
    <xf numFmtId="0" fontId="3" fillId="0" borderId="0" xfId="3" applyFont="1" applyFill="1" applyAlignment="1"/>
    <xf numFmtId="0" fontId="12" fillId="0" borderId="0" xfId="1" applyFont="1" applyBorder="1" applyAlignment="1">
      <alignment horizontal="left" vertical="center"/>
    </xf>
    <xf numFmtId="0" fontId="0" fillId="0" borderId="0" xfId="0" applyAlignment="1">
      <alignment wrapText="1"/>
    </xf>
    <xf numFmtId="0" fontId="10" fillId="0" borderId="4" xfId="0" applyFont="1" applyBorder="1"/>
    <xf numFmtId="0" fontId="10" fillId="0" borderId="5" xfId="0" applyFont="1" applyBorder="1" applyAlignment="1">
      <alignment wrapText="1"/>
    </xf>
    <xf numFmtId="0" fontId="10" fillId="0" borderId="6" xfId="0" applyFont="1" applyBorder="1" applyAlignment="1">
      <alignment wrapText="1"/>
    </xf>
    <xf numFmtId="0" fontId="5" fillId="0" borderId="7" xfId="0" applyFont="1" applyBorder="1" applyAlignment="1">
      <alignment horizontal="left" vertical="center"/>
    </xf>
    <xf numFmtId="0" fontId="5" fillId="0" borderId="8" xfId="0" applyFont="1" applyBorder="1" applyAlignment="1">
      <alignment wrapText="1"/>
    </xf>
    <xf numFmtId="0" fontId="5" fillId="0" borderId="9" xfId="0" applyFont="1" applyBorder="1" applyAlignment="1">
      <alignment horizontal="left" wrapText="1"/>
    </xf>
    <xf numFmtId="0" fontId="5" fillId="0" borderId="10" xfId="0" applyFont="1" applyBorder="1" applyAlignment="1">
      <alignment horizontal="left" vertical="center"/>
    </xf>
    <xf numFmtId="0" fontId="5" fillId="0" borderId="11" xfId="0" applyFont="1" applyBorder="1" applyAlignment="1">
      <alignment wrapText="1"/>
    </xf>
    <xf numFmtId="0" fontId="10" fillId="0" borderId="0" xfId="1" applyFont="1" applyBorder="1"/>
    <xf numFmtId="0" fontId="15" fillId="0" borderId="0" xfId="3" applyFont="1"/>
    <xf numFmtId="0" fontId="10" fillId="0" borderId="0" xfId="0" applyFont="1" applyAlignment="1">
      <alignment wrapText="1"/>
    </xf>
    <xf numFmtId="0" fontId="5" fillId="0" borderId="0" xfId="0" applyFont="1"/>
    <xf numFmtId="3" fontId="5" fillId="0" borderId="0" xfId="0" applyNumberFormat="1" applyFont="1"/>
    <xf numFmtId="0" fontId="16" fillId="0" borderId="0" xfId="0" applyFont="1"/>
    <xf numFmtId="14" fontId="0" fillId="0" borderId="0" xfId="0" applyNumberFormat="1"/>
    <xf numFmtId="3" fontId="0" fillId="0" borderId="0" xfId="0" applyNumberFormat="1"/>
    <xf numFmtId="165" fontId="0" fillId="0" borderId="0" xfId="0" applyNumberFormat="1"/>
  </cellXfs>
  <cellStyles count="15">
    <cellStyle name="Comma 2" xfId="2" xr:uid="{E5A7E3E1-E259-4456-9EE7-45B97B275B06}"/>
    <cellStyle name="Heading 1" xfId="1" builtinId="16" customBuiltin="1"/>
    <cellStyle name="Hyperlink" xfId="3" xr:uid="{8A8721D0-C36A-4925-94AF-DE169440FCF6}"/>
    <cellStyle name="Hyperlink 2" xfId="4" xr:uid="{C9510F0B-AAAE-4F16-9BFD-743B7C8F48E9}"/>
    <cellStyle name="Hyperlink 2 2 2" xfId="5" xr:uid="{BBA08B55-39DE-46EB-B3A4-111A31C3634B}"/>
    <cellStyle name="Hyperlink 3" xfId="6" xr:uid="{050EDE56-8C5E-4CB7-AA80-CFC00391319D}"/>
    <cellStyle name="Normal" xfId="0" builtinId="0" customBuiltin="1"/>
    <cellStyle name="Normal 2" xfId="7" xr:uid="{A1A379C4-2A3A-47C3-97B9-650B918D204F}"/>
    <cellStyle name="Normal 2 2" xfId="8" xr:uid="{B36DDEE9-6FDD-4637-B6C5-4FD6DC9DF044}"/>
    <cellStyle name="Normal 2 3" xfId="9" xr:uid="{ACD0A144-15E8-4401-9095-FB4B9E733BEB}"/>
    <cellStyle name="Normal 2 4" xfId="10" xr:uid="{42966D28-2170-42F3-86EF-E73D74198D70}"/>
    <cellStyle name="Normal 3" xfId="11" xr:uid="{76A63351-AE89-4AE4-82B1-991E5E98D715}"/>
    <cellStyle name="Normal 6 2" xfId="12" xr:uid="{3F55B6DC-CE90-40BE-ABA1-BB9E3BB0B6FE}"/>
    <cellStyle name="Normal 8" xfId="13" xr:uid="{A9FDABC8-24D4-4603-9ABE-00F3C8CC05D3}"/>
    <cellStyle name="Percent 2" xfId="14" xr:uid="{E09F4233-6A2A-498C-841B-0AB4CCEB7BD2}"/>
  </cellStyles>
  <dxfs count="0"/>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3" Type="http://schemas.openxmlformats.org/officeDocument/2006/relationships/worksheet" Target="worksheets/sheet3.xml"/><Relationship Id="rId7" Type="http://schemas.openxmlformats.org/officeDocument/2006/relationships/chartsheet" Target="chart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hartsheet" Target="chartsheets/sheet2.xml"/><Relationship Id="rId11" Type="http://schemas.openxmlformats.org/officeDocument/2006/relationships/sharedStrings" Target="sharedStrings.xml"/><Relationship Id="rId5" Type="http://schemas.openxmlformats.org/officeDocument/2006/relationships/chartsheet" Target="chartsheets/sheet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3.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5.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7.xml"/><Relationship Id="rId1" Type="http://schemas.openxmlformats.org/officeDocument/2006/relationships/themeOverride" Target="../theme/themeOverrid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335305544434066E-2"/>
          <c:y val="0.14725688325786473"/>
          <c:w val="0.88607132583003401"/>
          <c:h val="0.71318700601518292"/>
        </c:manualLayout>
      </c:layout>
      <c:areaChart>
        <c:grouping val="stacked"/>
        <c:varyColors val="0"/>
        <c:ser>
          <c:idx val="0"/>
          <c:order val="0"/>
          <c:tx>
            <c:strRef>
              <c:f>'Chart Data'!$B$2</c:f>
              <c:strCache>
                <c:ptCount val="1"/>
                <c:pt idx="0">
                  <c:v>Skilled workers</c:v>
                </c:pt>
              </c:strCache>
            </c:strRef>
          </c:tx>
          <c:spPr>
            <a:solidFill>
              <a:srgbClr val="BD1B21"/>
            </a:solidFill>
            <a:ln w="6350">
              <a:solidFill>
                <a:srgbClr val="495057"/>
              </a:solidFill>
              <a:prstDash val="solid"/>
            </a:ln>
            <a:effectLst/>
          </c:spPr>
          <c:cat>
            <c:numRef>
              <c:f>'Chart Data'!$A$3:$A$49</c:f>
              <c:numCache>
                <c:formatCode>m/d/yyyy</c:formatCode>
                <c:ptCount val="4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numCache>
            </c:numRef>
          </c:cat>
          <c:val>
            <c:numRef>
              <c:f>'Chart Data'!$B$3:$B$49</c:f>
              <c:numCache>
                <c:formatCode>#,##0</c:formatCode>
                <c:ptCount val="47"/>
                <c:pt idx="0">
                  <c:v>4100</c:v>
                </c:pt>
                <c:pt idx="1">
                  <c:v>4600</c:v>
                </c:pt>
                <c:pt idx="2">
                  <c:v>5300</c:v>
                </c:pt>
                <c:pt idx="3">
                  <c:v>4800</c:v>
                </c:pt>
                <c:pt idx="4">
                  <c:v>5700</c:v>
                </c:pt>
                <c:pt idx="5">
                  <c:v>6700</c:v>
                </c:pt>
                <c:pt idx="6">
                  <c:v>6600</c:v>
                </c:pt>
                <c:pt idx="7">
                  <c:v>6900</c:v>
                </c:pt>
                <c:pt idx="8">
                  <c:v>6100</c:v>
                </c:pt>
                <c:pt idx="9">
                  <c:v>5800</c:v>
                </c:pt>
                <c:pt idx="10">
                  <c:v>6100</c:v>
                </c:pt>
                <c:pt idx="11">
                  <c:v>5600</c:v>
                </c:pt>
                <c:pt idx="12">
                  <c:v>5300</c:v>
                </c:pt>
                <c:pt idx="13">
                  <c:v>5100</c:v>
                </c:pt>
                <c:pt idx="14">
                  <c:v>5600</c:v>
                </c:pt>
                <c:pt idx="15">
                  <c:v>4700</c:v>
                </c:pt>
                <c:pt idx="16">
                  <c:v>5900</c:v>
                </c:pt>
                <c:pt idx="17">
                  <c:v>6200</c:v>
                </c:pt>
                <c:pt idx="18">
                  <c:v>6500</c:v>
                </c:pt>
                <c:pt idx="19">
                  <c:v>6900</c:v>
                </c:pt>
                <c:pt idx="20">
                  <c:v>5500</c:v>
                </c:pt>
                <c:pt idx="21">
                  <c:v>6400</c:v>
                </c:pt>
                <c:pt idx="22">
                  <c:v>6100</c:v>
                </c:pt>
                <c:pt idx="23">
                  <c:v>6100</c:v>
                </c:pt>
                <c:pt idx="24">
                  <c:v>6900</c:v>
                </c:pt>
                <c:pt idx="25">
                  <c:v>6100</c:v>
                </c:pt>
                <c:pt idx="26">
                  <c:v>6100</c:v>
                </c:pt>
                <c:pt idx="27">
                  <c:v>10100</c:v>
                </c:pt>
                <c:pt idx="28">
                  <c:v>6900</c:v>
                </c:pt>
                <c:pt idx="29">
                  <c:v>5600</c:v>
                </c:pt>
                <c:pt idx="30">
                  <c:v>6000</c:v>
                </c:pt>
                <c:pt idx="31">
                  <c:v>5100</c:v>
                </c:pt>
                <c:pt idx="32">
                  <c:v>4200</c:v>
                </c:pt>
                <c:pt idx="33">
                  <c:v>4700</c:v>
                </c:pt>
                <c:pt idx="34">
                  <c:v>4100</c:v>
                </c:pt>
                <c:pt idx="35">
                  <c:v>4200</c:v>
                </c:pt>
                <c:pt idx="36">
                  <c:v>4000</c:v>
                </c:pt>
                <c:pt idx="37">
                  <c:v>3500</c:v>
                </c:pt>
                <c:pt idx="38">
                  <c:v>3400</c:v>
                </c:pt>
                <c:pt idx="39">
                  <c:v>3500</c:v>
                </c:pt>
                <c:pt idx="40">
                  <c:v>3600</c:v>
                </c:pt>
                <c:pt idx="41">
                  <c:v>3800</c:v>
                </c:pt>
                <c:pt idx="42">
                  <c:v>4900</c:v>
                </c:pt>
                <c:pt idx="43">
                  <c:v>3400</c:v>
                </c:pt>
                <c:pt idx="44">
                  <c:v>2700</c:v>
                </c:pt>
                <c:pt idx="45">
                  <c:v>2400</c:v>
                </c:pt>
                <c:pt idx="46">
                  <c:v>2000</c:v>
                </c:pt>
              </c:numCache>
            </c:numRef>
          </c:val>
          <c:extLst>
            <c:ext xmlns:c16="http://schemas.microsoft.com/office/drawing/2014/chart" uri="{C3380CC4-5D6E-409C-BE32-E72D297353CC}">
              <c16:uniqueId val="{00000011-3B9C-474D-B836-BD9C9C06998E}"/>
            </c:ext>
          </c:extLst>
        </c:ser>
        <c:ser>
          <c:idx val="1"/>
          <c:order val="1"/>
          <c:tx>
            <c:strRef>
              <c:f>'Chart Data'!$C$2</c:f>
              <c:strCache>
                <c:ptCount val="1"/>
                <c:pt idx="0">
                  <c:v>Health and care workers</c:v>
                </c:pt>
              </c:strCache>
            </c:strRef>
          </c:tx>
          <c:spPr>
            <a:solidFill>
              <a:srgbClr val="003469"/>
            </a:solidFill>
            <a:ln w="6350">
              <a:solidFill>
                <a:srgbClr val="495057"/>
              </a:solidFill>
              <a:prstDash val="solid"/>
            </a:ln>
            <a:effectLst/>
          </c:spPr>
          <c:cat>
            <c:numRef>
              <c:f>'Chart Data'!$A$3:$A$49</c:f>
              <c:numCache>
                <c:formatCode>m/d/yyyy</c:formatCode>
                <c:ptCount val="4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numCache>
            </c:numRef>
          </c:cat>
          <c:val>
            <c:numRef>
              <c:f>'Chart Data'!$C$3:$C$49</c:f>
              <c:numCache>
                <c:formatCode>#,##0</c:formatCode>
                <c:ptCount val="47"/>
                <c:pt idx="0">
                  <c:v>3700</c:v>
                </c:pt>
                <c:pt idx="1">
                  <c:v>4100</c:v>
                </c:pt>
                <c:pt idx="2">
                  <c:v>5300</c:v>
                </c:pt>
                <c:pt idx="3">
                  <c:v>5000</c:v>
                </c:pt>
                <c:pt idx="4">
                  <c:v>5600</c:v>
                </c:pt>
                <c:pt idx="5">
                  <c:v>7100</c:v>
                </c:pt>
                <c:pt idx="6">
                  <c:v>7300</c:v>
                </c:pt>
                <c:pt idx="7">
                  <c:v>8100</c:v>
                </c:pt>
                <c:pt idx="8">
                  <c:v>7900</c:v>
                </c:pt>
                <c:pt idx="9">
                  <c:v>8000</c:v>
                </c:pt>
                <c:pt idx="10">
                  <c:v>9700</c:v>
                </c:pt>
                <c:pt idx="11">
                  <c:v>9900</c:v>
                </c:pt>
                <c:pt idx="12">
                  <c:v>11300</c:v>
                </c:pt>
                <c:pt idx="13">
                  <c:v>13100</c:v>
                </c:pt>
                <c:pt idx="14">
                  <c:v>14300</c:v>
                </c:pt>
                <c:pt idx="15">
                  <c:v>12200</c:v>
                </c:pt>
                <c:pt idx="16">
                  <c:v>14600</c:v>
                </c:pt>
                <c:pt idx="17">
                  <c:v>14600</c:v>
                </c:pt>
                <c:pt idx="18">
                  <c:v>16200</c:v>
                </c:pt>
                <c:pt idx="19">
                  <c:v>18300</c:v>
                </c:pt>
                <c:pt idx="20">
                  <c:v>12900</c:v>
                </c:pt>
                <c:pt idx="21">
                  <c:v>14400</c:v>
                </c:pt>
                <c:pt idx="22">
                  <c:v>9800</c:v>
                </c:pt>
                <c:pt idx="23">
                  <c:v>6400</c:v>
                </c:pt>
                <c:pt idx="24">
                  <c:v>4700</c:v>
                </c:pt>
                <c:pt idx="25">
                  <c:v>3100</c:v>
                </c:pt>
                <c:pt idx="26">
                  <c:v>2400</c:v>
                </c:pt>
                <c:pt idx="27">
                  <c:v>2200</c:v>
                </c:pt>
                <c:pt idx="28">
                  <c:v>2900</c:v>
                </c:pt>
                <c:pt idx="29">
                  <c:v>2800</c:v>
                </c:pt>
                <c:pt idx="30">
                  <c:v>2900</c:v>
                </c:pt>
                <c:pt idx="31">
                  <c:v>2300</c:v>
                </c:pt>
                <c:pt idx="32">
                  <c:v>2100</c:v>
                </c:pt>
                <c:pt idx="33">
                  <c:v>2200</c:v>
                </c:pt>
                <c:pt idx="34">
                  <c:v>1900</c:v>
                </c:pt>
                <c:pt idx="35">
                  <c:v>2000</c:v>
                </c:pt>
                <c:pt idx="36">
                  <c:v>1900</c:v>
                </c:pt>
                <c:pt idx="37">
                  <c:v>1700</c:v>
                </c:pt>
                <c:pt idx="38">
                  <c:v>1700</c:v>
                </c:pt>
                <c:pt idx="39">
                  <c:v>1700</c:v>
                </c:pt>
                <c:pt idx="40">
                  <c:v>1900</c:v>
                </c:pt>
                <c:pt idx="41">
                  <c:v>1900</c:v>
                </c:pt>
                <c:pt idx="42">
                  <c:v>1500</c:v>
                </c:pt>
                <c:pt idx="43">
                  <c:v>900</c:v>
                </c:pt>
                <c:pt idx="44">
                  <c:v>700</c:v>
                </c:pt>
                <c:pt idx="45">
                  <c:v>600</c:v>
                </c:pt>
                <c:pt idx="46">
                  <c:v>600</c:v>
                </c:pt>
              </c:numCache>
            </c:numRef>
          </c:val>
          <c:extLst>
            <c:ext xmlns:c16="http://schemas.microsoft.com/office/drawing/2014/chart" uri="{C3380CC4-5D6E-409C-BE32-E72D297353CC}">
              <c16:uniqueId val="{00000013-3B9C-474D-B836-BD9C9C06998E}"/>
            </c:ext>
          </c:extLst>
        </c:ser>
        <c:ser>
          <c:idx val="2"/>
          <c:order val="2"/>
          <c:tx>
            <c:strRef>
              <c:f>'Chart Data'!$D$2</c:f>
              <c:strCache>
                <c:ptCount val="1"/>
                <c:pt idx="0">
                  <c:v>Dependents</c:v>
                </c:pt>
              </c:strCache>
            </c:strRef>
          </c:tx>
          <c:spPr>
            <a:solidFill>
              <a:srgbClr val="D1A21E"/>
            </a:solidFill>
            <a:ln w="6350">
              <a:solidFill>
                <a:srgbClr val="495057"/>
              </a:solidFill>
              <a:prstDash val="solid"/>
            </a:ln>
            <a:effectLst/>
          </c:spPr>
          <c:cat>
            <c:numRef>
              <c:f>'Chart Data'!$A$3:$A$49</c:f>
              <c:numCache>
                <c:formatCode>m/d/yyyy</c:formatCode>
                <c:ptCount val="4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numCache>
            </c:numRef>
          </c:cat>
          <c:val>
            <c:numRef>
              <c:f>'Chart Data'!$D$3:$D$49</c:f>
              <c:numCache>
                <c:formatCode>#,##0</c:formatCode>
                <c:ptCount val="47"/>
                <c:pt idx="0">
                  <c:v>6700</c:v>
                </c:pt>
                <c:pt idx="1">
                  <c:v>7500</c:v>
                </c:pt>
                <c:pt idx="2">
                  <c:v>8800</c:v>
                </c:pt>
                <c:pt idx="3">
                  <c:v>8700</c:v>
                </c:pt>
                <c:pt idx="4">
                  <c:v>10100</c:v>
                </c:pt>
                <c:pt idx="5">
                  <c:v>12100</c:v>
                </c:pt>
                <c:pt idx="6">
                  <c:v>12300</c:v>
                </c:pt>
                <c:pt idx="7">
                  <c:v>13400</c:v>
                </c:pt>
                <c:pt idx="8">
                  <c:v>12800</c:v>
                </c:pt>
                <c:pt idx="9">
                  <c:v>12200</c:v>
                </c:pt>
                <c:pt idx="10">
                  <c:v>14300</c:v>
                </c:pt>
                <c:pt idx="11">
                  <c:v>14500</c:v>
                </c:pt>
                <c:pt idx="12">
                  <c:v>16700</c:v>
                </c:pt>
                <c:pt idx="13">
                  <c:v>18600</c:v>
                </c:pt>
                <c:pt idx="14">
                  <c:v>21200</c:v>
                </c:pt>
                <c:pt idx="15">
                  <c:v>19000</c:v>
                </c:pt>
                <c:pt idx="16">
                  <c:v>24100</c:v>
                </c:pt>
                <c:pt idx="17">
                  <c:v>24300</c:v>
                </c:pt>
                <c:pt idx="18">
                  <c:v>26500</c:v>
                </c:pt>
                <c:pt idx="19">
                  <c:v>28200</c:v>
                </c:pt>
                <c:pt idx="20">
                  <c:v>22500</c:v>
                </c:pt>
                <c:pt idx="21">
                  <c:v>27600</c:v>
                </c:pt>
                <c:pt idx="22">
                  <c:v>23700</c:v>
                </c:pt>
                <c:pt idx="23">
                  <c:v>26800</c:v>
                </c:pt>
                <c:pt idx="24">
                  <c:v>27900</c:v>
                </c:pt>
                <c:pt idx="25">
                  <c:v>23200</c:v>
                </c:pt>
                <c:pt idx="26">
                  <c:v>18000</c:v>
                </c:pt>
                <c:pt idx="27">
                  <c:v>12900</c:v>
                </c:pt>
                <c:pt idx="28">
                  <c:v>11800</c:v>
                </c:pt>
                <c:pt idx="29">
                  <c:v>10000</c:v>
                </c:pt>
                <c:pt idx="30">
                  <c:v>10900</c:v>
                </c:pt>
                <c:pt idx="31">
                  <c:v>8700</c:v>
                </c:pt>
                <c:pt idx="32">
                  <c:v>7900</c:v>
                </c:pt>
                <c:pt idx="33">
                  <c:v>8200</c:v>
                </c:pt>
                <c:pt idx="34">
                  <c:v>7400</c:v>
                </c:pt>
                <c:pt idx="35">
                  <c:v>7600</c:v>
                </c:pt>
                <c:pt idx="36">
                  <c:v>7800</c:v>
                </c:pt>
                <c:pt idx="37">
                  <c:v>7400</c:v>
                </c:pt>
                <c:pt idx="38">
                  <c:v>7700</c:v>
                </c:pt>
                <c:pt idx="39">
                  <c:v>8100</c:v>
                </c:pt>
                <c:pt idx="40">
                  <c:v>8800</c:v>
                </c:pt>
                <c:pt idx="41">
                  <c:v>8500</c:v>
                </c:pt>
                <c:pt idx="42">
                  <c:v>10200</c:v>
                </c:pt>
                <c:pt idx="43">
                  <c:v>7000</c:v>
                </c:pt>
                <c:pt idx="44">
                  <c:v>6600</c:v>
                </c:pt>
                <c:pt idx="45">
                  <c:v>6000</c:v>
                </c:pt>
                <c:pt idx="46">
                  <c:v>6000</c:v>
                </c:pt>
              </c:numCache>
            </c:numRef>
          </c:val>
          <c:extLst>
            <c:ext xmlns:c16="http://schemas.microsoft.com/office/drawing/2014/chart" uri="{C3380CC4-5D6E-409C-BE32-E72D297353CC}">
              <c16:uniqueId val="{00000015-3B9C-474D-B836-BD9C9C06998E}"/>
            </c:ext>
          </c:extLst>
        </c:ser>
        <c:dLbls>
          <c:showLegendKey val="0"/>
          <c:showVal val="0"/>
          <c:showCatName val="0"/>
          <c:showSerName val="0"/>
          <c:showPercent val="0"/>
          <c:showBubbleSize val="0"/>
        </c:dLbls>
        <c:axId val="274926592"/>
        <c:axId val="274950400"/>
      </c:areaChart>
      <c:catAx>
        <c:axId val="274926592"/>
        <c:scaling>
          <c:orientation val="minMax"/>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tickLblSkip val="6"/>
        <c:tickMarkSkip val="3"/>
        <c:noMultiLvlLbl val="0"/>
      </c:catAx>
      <c:valAx>
        <c:axId val="274950400"/>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midCat"/>
        <c:dispUnits>
          <c:builtInUnit val="thousands"/>
        </c:dispUnits>
      </c:valAx>
      <c:spPr>
        <a:noFill/>
        <a:ln w="25400">
          <a:noFill/>
        </a:ln>
      </c:spPr>
    </c:plotArea>
    <c:legend>
      <c:legendPos val="t"/>
      <c:layout>
        <c:manualLayout>
          <c:xMode val="edge"/>
          <c:yMode val="edge"/>
          <c:x val="8.5730093152339426E-2"/>
          <c:y val="7.2542377076608849E-2"/>
          <c:w val="0.85220730459540017"/>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335305544434066E-2"/>
          <c:y val="0.14725688325786473"/>
          <c:w val="0.88607132583003401"/>
          <c:h val="0.71318700601518292"/>
        </c:manualLayout>
      </c:layout>
      <c:lineChart>
        <c:grouping val="standard"/>
        <c:varyColors val="0"/>
        <c:ser>
          <c:idx val="0"/>
          <c:order val="0"/>
          <c:tx>
            <c:strRef>
              <c:f>'Chart Data'!$B$2</c:f>
              <c:strCache>
                <c:ptCount val="1"/>
                <c:pt idx="0">
                  <c:v>Skilled workers</c:v>
                </c:pt>
              </c:strCache>
            </c:strRef>
          </c:tx>
          <c:spPr>
            <a:solidFill>
              <a:srgbClr val="BD1B21"/>
            </a:solidFill>
            <a:ln w="38100">
              <a:solidFill>
                <a:srgbClr val="BD1B21"/>
              </a:solidFill>
              <a:prstDash val="solid"/>
            </a:ln>
            <a:effectLst/>
          </c:spPr>
          <c:marker>
            <c:symbol val="none"/>
          </c:marker>
          <c:cat>
            <c:numRef>
              <c:f>'Chart Data'!$A$3:$A$49</c:f>
              <c:numCache>
                <c:formatCode>m/d/yyyy</c:formatCode>
                <c:ptCount val="4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numCache>
            </c:numRef>
          </c:cat>
          <c:val>
            <c:numRef>
              <c:f>'Chart Data'!$B$3:$B$49</c:f>
              <c:numCache>
                <c:formatCode>#,##0</c:formatCode>
                <c:ptCount val="47"/>
                <c:pt idx="0">
                  <c:v>4100</c:v>
                </c:pt>
                <c:pt idx="1">
                  <c:v>4600</c:v>
                </c:pt>
                <c:pt idx="2">
                  <c:v>5300</c:v>
                </c:pt>
                <c:pt idx="3">
                  <c:v>4800</c:v>
                </c:pt>
                <c:pt idx="4">
                  <c:v>5700</c:v>
                </c:pt>
                <c:pt idx="5">
                  <c:v>6700</c:v>
                </c:pt>
                <c:pt idx="6">
                  <c:v>6600</c:v>
                </c:pt>
                <c:pt idx="7">
                  <c:v>6900</c:v>
                </c:pt>
                <c:pt idx="8">
                  <c:v>6100</c:v>
                </c:pt>
                <c:pt idx="9">
                  <c:v>5800</c:v>
                </c:pt>
                <c:pt idx="10">
                  <c:v>6100</c:v>
                </c:pt>
                <c:pt idx="11">
                  <c:v>5600</c:v>
                </c:pt>
                <c:pt idx="12">
                  <c:v>5300</c:v>
                </c:pt>
                <c:pt idx="13">
                  <c:v>5100</c:v>
                </c:pt>
                <c:pt idx="14">
                  <c:v>5600</c:v>
                </c:pt>
                <c:pt idx="15">
                  <c:v>4700</c:v>
                </c:pt>
                <c:pt idx="16">
                  <c:v>5900</c:v>
                </c:pt>
                <c:pt idx="17">
                  <c:v>6200</c:v>
                </c:pt>
                <c:pt idx="18">
                  <c:v>6500</c:v>
                </c:pt>
                <c:pt idx="19">
                  <c:v>6900</c:v>
                </c:pt>
                <c:pt idx="20">
                  <c:v>5500</c:v>
                </c:pt>
                <c:pt idx="21">
                  <c:v>6400</c:v>
                </c:pt>
                <c:pt idx="22">
                  <c:v>6100</c:v>
                </c:pt>
                <c:pt idx="23">
                  <c:v>6100</c:v>
                </c:pt>
                <c:pt idx="24">
                  <c:v>6900</c:v>
                </c:pt>
                <c:pt idx="25">
                  <c:v>6100</c:v>
                </c:pt>
                <c:pt idx="26">
                  <c:v>6100</c:v>
                </c:pt>
                <c:pt idx="27">
                  <c:v>10100</c:v>
                </c:pt>
                <c:pt idx="28">
                  <c:v>6900</c:v>
                </c:pt>
                <c:pt idx="29">
                  <c:v>5600</c:v>
                </c:pt>
                <c:pt idx="30">
                  <c:v>6000</c:v>
                </c:pt>
                <c:pt idx="31">
                  <c:v>5100</c:v>
                </c:pt>
                <c:pt idx="32">
                  <c:v>4200</c:v>
                </c:pt>
                <c:pt idx="33">
                  <c:v>4700</c:v>
                </c:pt>
                <c:pt idx="34">
                  <c:v>4100</c:v>
                </c:pt>
                <c:pt idx="35">
                  <c:v>4200</c:v>
                </c:pt>
                <c:pt idx="36">
                  <c:v>4000</c:v>
                </c:pt>
                <c:pt idx="37">
                  <c:v>3500</c:v>
                </c:pt>
                <c:pt idx="38">
                  <c:v>3400</c:v>
                </c:pt>
                <c:pt idx="39">
                  <c:v>3500</c:v>
                </c:pt>
                <c:pt idx="40">
                  <c:v>3600</c:v>
                </c:pt>
                <c:pt idx="41">
                  <c:v>3800</c:v>
                </c:pt>
                <c:pt idx="42">
                  <c:v>4900</c:v>
                </c:pt>
                <c:pt idx="43">
                  <c:v>3400</c:v>
                </c:pt>
                <c:pt idx="44">
                  <c:v>2700</c:v>
                </c:pt>
                <c:pt idx="45">
                  <c:v>2400</c:v>
                </c:pt>
                <c:pt idx="46">
                  <c:v>2000</c:v>
                </c:pt>
              </c:numCache>
            </c:numRef>
          </c:val>
          <c:smooth val="0"/>
          <c:extLst>
            <c:ext xmlns:c16="http://schemas.microsoft.com/office/drawing/2014/chart" uri="{C3380CC4-5D6E-409C-BE32-E72D297353CC}">
              <c16:uniqueId val="{00000000-2795-42D8-A845-C267028E8B5F}"/>
            </c:ext>
          </c:extLst>
        </c:ser>
        <c:ser>
          <c:idx val="1"/>
          <c:order val="1"/>
          <c:tx>
            <c:strRef>
              <c:f>'Chart Data'!$C$2</c:f>
              <c:strCache>
                <c:ptCount val="1"/>
                <c:pt idx="0">
                  <c:v>Health and care workers</c:v>
                </c:pt>
              </c:strCache>
            </c:strRef>
          </c:tx>
          <c:spPr>
            <a:solidFill>
              <a:srgbClr val="003469"/>
            </a:solidFill>
            <a:ln w="38100">
              <a:solidFill>
                <a:srgbClr val="002060"/>
              </a:solidFill>
              <a:prstDash val="solid"/>
            </a:ln>
            <a:effectLst/>
          </c:spPr>
          <c:marker>
            <c:symbol val="none"/>
          </c:marker>
          <c:cat>
            <c:numRef>
              <c:f>'Chart Data'!$A$3:$A$49</c:f>
              <c:numCache>
                <c:formatCode>m/d/yyyy</c:formatCode>
                <c:ptCount val="4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numCache>
            </c:numRef>
          </c:cat>
          <c:val>
            <c:numRef>
              <c:f>'Chart Data'!$C$3:$C$49</c:f>
              <c:numCache>
                <c:formatCode>#,##0</c:formatCode>
                <c:ptCount val="47"/>
                <c:pt idx="0">
                  <c:v>3700</c:v>
                </c:pt>
                <c:pt idx="1">
                  <c:v>4100</c:v>
                </c:pt>
                <c:pt idx="2">
                  <c:v>5300</c:v>
                </c:pt>
                <c:pt idx="3">
                  <c:v>5000</c:v>
                </c:pt>
                <c:pt idx="4">
                  <c:v>5600</c:v>
                </c:pt>
                <c:pt idx="5">
                  <c:v>7100</c:v>
                </c:pt>
                <c:pt idx="6">
                  <c:v>7300</c:v>
                </c:pt>
                <c:pt idx="7">
                  <c:v>8100</c:v>
                </c:pt>
                <c:pt idx="8">
                  <c:v>7900</c:v>
                </c:pt>
                <c:pt idx="9">
                  <c:v>8000</c:v>
                </c:pt>
                <c:pt idx="10">
                  <c:v>9700</c:v>
                </c:pt>
                <c:pt idx="11">
                  <c:v>9900</c:v>
                </c:pt>
                <c:pt idx="12">
                  <c:v>11300</c:v>
                </c:pt>
                <c:pt idx="13">
                  <c:v>13100</c:v>
                </c:pt>
                <c:pt idx="14">
                  <c:v>14300</c:v>
                </c:pt>
                <c:pt idx="15">
                  <c:v>12200</c:v>
                </c:pt>
                <c:pt idx="16">
                  <c:v>14600</c:v>
                </c:pt>
                <c:pt idx="17">
                  <c:v>14600</c:v>
                </c:pt>
                <c:pt idx="18">
                  <c:v>16200</c:v>
                </c:pt>
                <c:pt idx="19">
                  <c:v>18300</c:v>
                </c:pt>
                <c:pt idx="20">
                  <c:v>12900</c:v>
                </c:pt>
                <c:pt idx="21">
                  <c:v>14400</c:v>
                </c:pt>
                <c:pt idx="22">
                  <c:v>9800</c:v>
                </c:pt>
                <c:pt idx="23">
                  <c:v>6400</c:v>
                </c:pt>
                <c:pt idx="24">
                  <c:v>4700</c:v>
                </c:pt>
                <c:pt idx="25">
                  <c:v>3100</c:v>
                </c:pt>
                <c:pt idx="26">
                  <c:v>2400</c:v>
                </c:pt>
                <c:pt idx="27">
                  <c:v>2200</c:v>
                </c:pt>
                <c:pt idx="28">
                  <c:v>2900</c:v>
                </c:pt>
                <c:pt idx="29">
                  <c:v>2800</c:v>
                </c:pt>
                <c:pt idx="30">
                  <c:v>2900</c:v>
                </c:pt>
                <c:pt idx="31">
                  <c:v>2300</c:v>
                </c:pt>
                <c:pt idx="32">
                  <c:v>2100</c:v>
                </c:pt>
                <c:pt idx="33">
                  <c:v>2200</c:v>
                </c:pt>
                <c:pt idx="34">
                  <c:v>1900</c:v>
                </c:pt>
                <c:pt idx="35">
                  <c:v>2000</c:v>
                </c:pt>
                <c:pt idx="36">
                  <c:v>1900</c:v>
                </c:pt>
                <c:pt idx="37">
                  <c:v>1700</c:v>
                </c:pt>
                <c:pt idx="38">
                  <c:v>1700</c:v>
                </c:pt>
                <c:pt idx="39">
                  <c:v>1700</c:v>
                </c:pt>
                <c:pt idx="40">
                  <c:v>1900</c:v>
                </c:pt>
                <c:pt idx="41">
                  <c:v>1900</c:v>
                </c:pt>
                <c:pt idx="42">
                  <c:v>1500</c:v>
                </c:pt>
                <c:pt idx="43">
                  <c:v>900</c:v>
                </c:pt>
                <c:pt idx="44">
                  <c:v>700</c:v>
                </c:pt>
                <c:pt idx="45">
                  <c:v>600</c:v>
                </c:pt>
                <c:pt idx="46">
                  <c:v>600</c:v>
                </c:pt>
              </c:numCache>
            </c:numRef>
          </c:val>
          <c:smooth val="0"/>
          <c:extLst>
            <c:ext xmlns:c16="http://schemas.microsoft.com/office/drawing/2014/chart" uri="{C3380CC4-5D6E-409C-BE32-E72D297353CC}">
              <c16:uniqueId val="{00000001-2795-42D8-A845-C267028E8B5F}"/>
            </c:ext>
          </c:extLst>
        </c:ser>
        <c:ser>
          <c:idx val="2"/>
          <c:order val="2"/>
          <c:tx>
            <c:strRef>
              <c:f>'Chart Data'!$D$2</c:f>
              <c:strCache>
                <c:ptCount val="1"/>
                <c:pt idx="0">
                  <c:v>Dependents</c:v>
                </c:pt>
              </c:strCache>
            </c:strRef>
          </c:tx>
          <c:spPr>
            <a:solidFill>
              <a:srgbClr val="D1A21E"/>
            </a:solidFill>
            <a:ln w="38100">
              <a:solidFill>
                <a:srgbClr val="D1A21E"/>
              </a:solidFill>
              <a:prstDash val="solid"/>
            </a:ln>
            <a:effectLst/>
          </c:spPr>
          <c:marker>
            <c:symbol val="none"/>
          </c:marker>
          <c:cat>
            <c:numRef>
              <c:f>'Chart Data'!$A$3:$A$49</c:f>
              <c:numCache>
                <c:formatCode>m/d/yyyy</c:formatCode>
                <c:ptCount val="4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numCache>
            </c:numRef>
          </c:cat>
          <c:val>
            <c:numRef>
              <c:f>'Chart Data'!$D$3:$D$49</c:f>
              <c:numCache>
                <c:formatCode>#,##0</c:formatCode>
                <c:ptCount val="47"/>
                <c:pt idx="0">
                  <c:v>6700</c:v>
                </c:pt>
                <c:pt idx="1">
                  <c:v>7500</c:v>
                </c:pt>
                <c:pt idx="2">
                  <c:v>8800</c:v>
                </c:pt>
                <c:pt idx="3">
                  <c:v>8700</c:v>
                </c:pt>
                <c:pt idx="4">
                  <c:v>10100</c:v>
                </c:pt>
                <c:pt idx="5">
                  <c:v>12100</c:v>
                </c:pt>
                <c:pt idx="6">
                  <c:v>12300</c:v>
                </c:pt>
                <c:pt idx="7">
                  <c:v>13400</c:v>
                </c:pt>
                <c:pt idx="8">
                  <c:v>12800</c:v>
                </c:pt>
                <c:pt idx="9">
                  <c:v>12200</c:v>
                </c:pt>
                <c:pt idx="10">
                  <c:v>14300</c:v>
                </c:pt>
                <c:pt idx="11">
                  <c:v>14500</c:v>
                </c:pt>
                <c:pt idx="12">
                  <c:v>16700</c:v>
                </c:pt>
                <c:pt idx="13">
                  <c:v>18600</c:v>
                </c:pt>
                <c:pt idx="14">
                  <c:v>21200</c:v>
                </c:pt>
                <c:pt idx="15">
                  <c:v>19000</c:v>
                </c:pt>
                <c:pt idx="16">
                  <c:v>24100</c:v>
                </c:pt>
                <c:pt idx="17">
                  <c:v>24300</c:v>
                </c:pt>
                <c:pt idx="18">
                  <c:v>26500</c:v>
                </c:pt>
                <c:pt idx="19">
                  <c:v>28200</c:v>
                </c:pt>
                <c:pt idx="20">
                  <c:v>22500</c:v>
                </c:pt>
                <c:pt idx="21">
                  <c:v>27600</c:v>
                </c:pt>
                <c:pt idx="22">
                  <c:v>23700</c:v>
                </c:pt>
                <c:pt idx="23">
                  <c:v>26800</c:v>
                </c:pt>
                <c:pt idx="24">
                  <c:v>27900</c:v>
                </c:pt>
                <c:pt idx="25">
                  <c:v>23200</c:v>
                </c:pt>
                <c:pt idx="26">
                  <c:v>18000</c:v>
                </c:pt>
                <c:pt idx="27">
                  <c:v>12900</c:v>
                </c:pt>
                <c:pt idx="28">
                  <c:v>11800</c:v>
                </c:pt>
                <c:pt idx="29">
                  <c:v>10000</c:v>
                </c:pt>
                <c:pt idx="30">
                  <c:v>10900</c:v>
                </c:pt>
                <c:pt idx="31">
                  <c:v>8700</c:v>
                </c:pt>
                <c:pt idx="32">
                  <c:v>7900</c:v>
                </c:pt>
                <c:pt idx="33">
                  <c:v>8200</c:v>
                </c:pt>
                <c:pt idx="34">
                  <c:v>7400</c:v>
                </c:pt>
                <c:pt idx="35">
                  <c:v>7600</c:v>
                </c:pt>
                <c:pt idx="36">
                  <c:v>7800</c:v>
                </c:pt>
                <c:pt idx="37">
                  <c:v>7400</c:v>
                </c:pt>
                <c:pt idx="38">
                  <c:v>7700</c:v>
                </c:pt>
                <c:pt idx="39">
                  <c:v>8100</c:v>
                </c:pt>
                <c:pt idx="40">
                  <c:v>8800</c:v>
                </c:pt>
                <c:pt idx="41">
                  <c:v>8500</c:v>
                </c:pt>
                <c:pt idx="42">
                  <c:v>10200</c:v>
                </c:pt>
                <c:pt idx="43">
                  <c:v>7000</c:v>
                </c:pt>
                <c:pt idx="44">
                  <c:v>6600</c:v>
                </c:pt>
                <c:pt idx="45">
                  <c:v>6000</c:v>
                </c:pt>
                <c:pt idx="46">
                  <c:v>6000</c:v>
                </c:pt>
              </c:numCache>
            </c:numRef>
          </c:val>
          <c:smooth val="0"/>
          <c:extLst>
            <c:ext xmlns:c16="http://schemas.microsoft.com/office/drawing/2014/chart" uri="{C3380CC4-5D6E-409C-BE32-E72D297353CC}">
              <c16:uniqueId val="{00000002-2795-42D8-A845-C267028E8B5F}"/>
            </c:ext>
          </c:extLst>
        </c:ser>
        <c:dLbls>
          <c:showLegendKey val="0"/>
          <c:showVal val="0"/>
          <c:showCatName val="0"/>
          <c:showSerName val="0"/>
          <c:showPercent val="0"/>
          <c:showBubbleSize val="0"/>
        </c:dLbls>
        <c:smooth val="0"/>
        <c:axId val="274926592"/>
        <c:axId val="274950400"/>
      </c:lineChart>
      <c:catAx>
        <c:axId val="274926592"/>
        <c:scaling>
          <c:orientation val="minMax"/>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tickLblSkip val="6"/>
        <c:noMultiLvlLbl val="0"/>
      </c:catAx>
      <c:valAx>
        <c:axId val="274950400"/>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midCat"/>
        <c:dispUnits>
          <c:builtInUnit val="thousands"/>
        </c:dispUnits>
      </c:valAx>
      <c:spPr>
        <a:noFill/>
        <a:ln w="25400">
          <a:noFill/>
        </a:ln>
      </c:spPr>
    </c:plotArea>
    <c:legend>
      <c:legendPos val="t"/>
      <c:layout>
        <c:manualLayout>
          <c:xMode val="edge"/>
          <c:yMode val="edge"/>
          <c:x val="8.573014813826238E-2"/>
          <c:y val="8.0096659305688767E-2"/>
          <c:w val="0.8654928303453594"/>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335305544434066E-2"/>
          <c:y val="0.14725688325786473"/>
          <c:w val="0.88607132583003401"/>
          <c:h val="0.71318700601518292"/>
        </c:manualLayout>
      </c:layout>
      <c:lineChart>
        <c:grouping val="standard"/>
        <c:varyColors val="0"/>
        <c:ser>
          <c:idx val="0"/>
          <c:order val="0"/>
          <c:tx>
            <c:strRef>
              <c:f>'Chart Data'!$B$2</c:f>
              <c:strCache>
                <c:ptCount val="1"/>
                <c:pt idx="0">
                  <c:v>Skilled workers</c:v>
                </c:pt>
              </c:strCache>
            </c:strRef>
          </c:tx>
          <c:spPr>
            <a:ln w="38100">
              <a:solidFill>
                <a:srgbClr val="BD1B21"/>
              </a:solidFill>
              <a:prstDash val="solid"/>
            </a:ln>
            <a:effectLst/>
          </c:spPr>
          <c:marker>
            <c:symbol val="none"/>
          </c:marker>
          <c:cat>
            <c:numRef>
              <c:f>'Chart Data'!$A$3:$A$49</c:f>
              <c:numCache>
                <c:formatCode>m/d/yyyy</c:formatCode>
                <c:ptCount val="4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numCache>
            </c:numRef>
          </c:cat>
          <c:val>
            <c:numRef>
              <c:f>'Chart Data'!$B$3:$B$49</c:f>
              <c:numCache>
                <c:formatCode>#,##0</c:formatCode>
                <c:ptCount val="47"/>
                <c:pt idx="0">
                  <c:v>4100</c:v>
                </c:pt>
                <c:pt idx="1">
                  <c:v>4600</c:v>
                </c:pt>
                <c:pt idx="2">
                  <c:v>5300</c:v>
                </c:pt>
                <c:pt idx="3">
                  <c:v>4800</c:v>
                </c:pt>
                <c:pt idx="4">
                  <c:v>5700</c:v>
                </c:pt>
                <c:pt idx="5">
                  <c:v>6700</c:v>
                </c:pt>
                <c:pt idx="6">
                  <c:v>6600</c:v>
                </c:pt>
                <c:pt idx="7">
                  <c:v>6900</c:v>
                </c:pt>
                <c:pt idx="8">
                  <c:v>6100</c:v>
                </c:pt>
                <c:pt idx="9">
                  <c:v>5800</c:v>
                </c:pt>
                <c:pt idx="10">
                  <c:v>6100</c:v>
                </c:pt>
                <c:pt idx="11">
                  <c:v>5600</c:v>
                </c:pt>
                <c:pt idx="12">
                  <c:v>5300</c:v>
                </c:pt>
                <c:pt idx="13">
                  <c:v>5100</c:v>
                </c:pt>
                <c:pt idx="14">
                  <c:v>5600</c:v>
                </c:pt>
                <c:pt idx="15">
                  <c:v>4700</c:v>
                </c:pt>
                <c:pt idx="16">
                  <c:v>5900</c:v>
                </c:pt>
                <c:pt idx="17">
                  <c:v>6200</c:v>
                </c:pt>
                <c:pt idx="18">
                  <c:v>6500</c:v>
                </c:pt>
                <c:pt idx="19">
                  <c:v>6900</c:v>
                </c:pt>
                <c:pt idx="20">
                  <c:v>5500</c:v>
                </c:pt>
                <c:pt idx="21">
                  <c:v>6400</c:v>
                </c:pt>
                <c:pt idx="22">
                  <c:v>6100</c:v>
                </c:pt>
                <c:pt idx="23">
                  <c:v>6100</c:v>
                </c:pt>
                <c:pt idx="24">
                  <c:v>6900</c:v>
                </c:pt>
                <c:pt idx="25">
                  <c:v>6100</c:v>
                </c:pt>
                <c:pt idx="26">
                  <c:v>6100</c:v>
                </c:pt>
                <c:pt idx="27">
                  <c:v>10100</c:v>
                </c:pt>
                <c:pt idx="28">
                  <c:v>6900</c:v>
                </c:pt>
                <c:pt idx="29">
                  <c:v>5600</c:v>
                </c:pt>
                <c:pt idx="30">
                  <c:v>6000</c:v>
                </c:pt>
                <c:pt idx="31">
                  <c:v>5100</c:v>
                </c:pt>
                <c:pt idx="32">
                  <c:v>4200</c:v>
                </c:pt>
                <c:pt idx="33">
                  <c:v>4700</c:v>
                </c:pt>
                <c:pt idx="34">
                  <c:v>4100</c:v>
                </c:pt>
                <c:pt idx="35">
                  <c:v>4200</c:v>
                </c:pt>
                <c:pt idx="36">
                  <c:v>4000</c:v>
                </c:pt>
                <c:pt idx="37">
                  <c:v>3500</c:v>
                </c:pt>
                <c:pt idx="38">
                  <c:v>3400</c:v>
                </c:pt>
                <c:pt idx="39">
                  <c:v>3500</c:v>
                </c:pt>
                <c:pt idx="40">
                  <c:v>3600</c:v>
                </c:pt>
                <c:pt idx="41">
                  <c:v>3800</c:v>
                </c:pt>
                <c:pt idx="42">
                  <c:v>4900</c:v>
                </c:pt>
                <c:pt idx="43">
                  <c:v>3400</c:v>
                </c:pt>
                <c:pt idx="44">
                  <c:v>2700</c:v>
                </c:pt>
                <c:pt idx="45">
                  <c:v>2400</c:v>
                </c:pt>
                <c:pt idx="46">
                  <c:v>2000</c:v>
                </c:pt>
              </c:numCache>
            </c:numRef>
          </c:val>
          <c:smooth val="0"/>
          <c:extLst>
            <c:ext xmlns:c16="http://schemas.microsoft.com/office/drawing/2014/chart" uri="{C3380CC4-5D6E-409C-BE32-E72D297353CC}">
              <c16:uniqueId val="{00000000-BD05-42B0-BDB5-3173C920D37C}"/>
            </c:ext>
          </c:extLst>
        </c:ser>
        <c:ser>
          <c:idx val="1"/>
          <c:order val="1"/>
          <c:tx>
            <c:strRef>
              <c:f>'Chart Data'!$C$2</c:f>
              <c:strCache>
                <c:ptCount val="1"/>
                <c:pt idx="0">
                  <c:v>Health and care workers</c:v>
                </c:pt>
              </c:strCache>
            </c:strRef>
          </c:tx>
          <c:spPr>
            <a:ln w="38100">
              <a:solidFill>
                <a:srgbClr val="002060"/>
              </a:solidFill>
              <a:prstDash val="solid"/>
            </a:ln>
            <a:effectLst/>
          </c:spPr>
          <c:marker>
            <c:symbol val="none"/>
          </c:marker>
          <c:cat>
            <c:numRef>
              <c:f>'Chart Data'!$A$3:$A$49</c:f>
              <c:numCache>
                <c:formatCode>m/d/yyyy</c:formatCode>
                <c:ptCount val="47"/>
                <c:pt idx="0">
                  <c:v>44562</c:v>
                </c:pt>
                <c:pt idx="1">
                  <c:v>44593</c:v>
                </c:pt>
                <c:pt idx="2">
                  <c:v>44621</c:v>
                </c:pt>
                <c:pt idx="3">
                  <c:v>44652</c:v>
                </c:pt>
                <c:pt idx="4">
                  <c:v>44682</c:v>
                </c:pt>
                <c:pt idx="5">
                  <c:v>44713</c:v>
                </c:pt>
                <c:pt idx="6">
                  <c:v>44743</c:v>
                </c:pt>
                <c:pt idx="7">
                  <c:v>44774</c:v>
                </c:pt>
                <c:pt idx="8">
                  <c:v>44805</c:v>
                </c:pt>
                <c:pt idx="9">
                  <c:v>44835</c:v>
                </c:pt>
                <c:pt idx="10">
                  <c:v>44866</c:v>
                </c:pt>
                <c:pt idx="11">
                  <c:v>44896</c:v>
                </c:pt>
                <c:pt idx="12">
                  <c:v>44927</c:v>
                </c:pt>
                <c:pt idx="13">
                  <c:v>44958</c:v>
                </c:pt>
                <c:pt idx="14">
                  <c:v>44986</c:v>
                </c:pt>
                <c:pt idx="15">
                  <c:v>45017</c:v>
                </c:pt>
                <c:pt idx="16">
                  <c:v>45047</c:v>
                </c:pt>
                <c:pt idx="17">
                  <c:v>45078</c:v>
                </c:pt>
                <c:pt idx="18">
                  <c:v>45108</c:v>
                </c:pt>
                <c:pt idx="19">
                  <c:v>45139</c:v>
                </c:pt>
                <c:pt idx="20">
                  <c:v>45170</c:v>
                </c:pt>
                <c:pt idx="21">
                  <c:v>45200</c:v>
                </c:pt>
                <c:pt idx="22">
                  <c:v>45231</c:v>
                </c:pt>
                <c:pt idx="23">
                  <c:v>45261</c:v>
                </c:pt>
                <c:pt idx="24">
                  <c:v>45292</c:v>
                </c:pt>
                <c:pt idx="25">
                  <c:v>45323</c:v>
                </c:pt>
                <c:pt idx="26">
                  <c:v>45352</c:v>
                </c:pt>
                <c:pt idx="27">
                  <c:v>45383</c:v>
                </c:pt>
                <c:pt idx="28">
                  <c:v>45413</c:v>
                </c:pt>
                <c:pt idx="29">
                  <c:v>45444</c:v>
                </c:pt>
                <c:pt idx="30">
                  <c:v>45474</c:v>
                </c:pt>
                <c:pt idx="31">
                  <c:v>45505</c:v>
                </c:pt>
                <c:pt idx="32">
                  <c:v>45536</c:v>
                </c:pt>
                <c:pt idx="33">
                  <c:v>45566</c:v>
                </c:pt>
                <c:pt idx="34">
                  <c:v>45597</c:v>
                </c:pt>
                <c:pt idx="35">
                  <c:v>45627</c:v>
                </c:pt>
                <c:pt idx="36">
                  <c:v>45658</c:v>
                </c:pt>
                <c:pt idx="37">
                  <c:v>45689</c:v>
                </c:pt>
                <c:pt idx="38">
                  <c:v>45717</c:v>
                </c:pt>
                <c:pt idx="39">
                  <c:v>45748</c:v>
                </c:pt>
                <c:pt idx="40">
                  <c:v>45778</c:v>
                </c:pt>
                <c:pt idx="41">
                  <c:v>45809</c:v>
                </c:pt>
                <c:pt idx="42">
                  <c:v>45839</c:v>
                </c:pt>
                <c:pt idx="43">
                  <c:v>45870</c:v>
                </c:pt>
                <c:pt idx="44">
                  <c:v>45901</c:v>
                </c:pt>
                <c:pt idx="45">
                  <c:v>45931</c:v>
                </c:pt>
                <c:pt idx="46">
                  <c:v>45962</c:v>
                </c:pt>
              </c:numCache>
            </c:numRef>
          </c:cat>
          <c:val>
            <c:numRef>
              <c:f>'Chart Data'!$C$3:$C$49</c:f>
              <c:numCache>
                <c:formatCode>#,##0</c:formatCode>
                <c:ptCount val="47"/>
                <c:pt idx="0">
                  <c:v>3700</c:v>
                </c:pt>
                <c:pt idx="1">
                  <c:v>4100</c:v>
                </c:pt>
                <c:pt idx="2">
                  <c:v>5300</c:v>
                </c:pt>
                <c:pt idx="3">
                  <c:v>5000</c:v>
                </c:pt>
                <c:pt idx="4">
                  <c:v>5600</c:v>
                </c:pt>
                <c:pt idx="5">
                  <c:v>7100</c:v>
                </c:pt>
                <c:pt idx="6">
                  <c:v>7300</c:v>
                </c:pt>
                <c:pt idx="7">
                  <c:v>8100</c:v>
                </c:pt>
                <c:pt idx="8">
                  <c:v>7900</c:v>
                </c:pt>
                <c:pt idx="9">
                  <c:v>8000</c:v>
                </c:pt>
                <c:pt idx="10">
                  <c:v>9700</c:v>
                </c:pt>
                <c:pt idx="11">
                  <c:v>9900</c:v>
                </c:pt>
                <c:pt idx="12">
                  <c:v>11300</c:v>
                </c:pt>
                <c:pt idx="13">
                  <c:v>13100</c:v>
                </c:pt>
                <c:pt idx="14">
                  <c:v>14300</c:v>
                </c:pt>
                <c:pt idx="15">
                  <c:v>12200</c:v>
                </c:pt>
                <c:pt idx="16">
                  <c:v>14600</c:v>
                </c:pt>
                <c:pt idx="17">
                  <c:v>14600</c:v>
                </c:pt>
                <c:pt idx="18">
                  <c:v>16200</c:v>
                </c:pt>
                <c:pt idx="19">
                  <c:v>18300</c:v>
                </c:pt>
                <c:pt idx="20">
                  <c:v>12900</c:v>
                </c:pt>
                <c:pt idx="21">
                  <c:v>14400</c:v>
                </c:pt>
                <c:pt idx="22">
                  <c:v>9800</c:v>
                </c:pt>
                <c:pt idx="23">
                  <c:v>6400</c:v>
                </c:pt>
                <c:pt idx="24">
                  <c:v>4700</c:v>
                </c:pt>
                <c:pt idx="25">
                  <c:v>3100</c:v>
                </c:pt>
                <c:pt idx="26">
                  <c:v>2400</c:v>
                </c:pt>
                <c:pt idx="27">
                  <c:v>2200</c:v>
                </c:pt>
                <c:pt idx="28">
                  <c:v>2900</c:v>
                </c:pt>
                <c:pt idx="29">
                  <c:v>2800</c:v>
                </c:pt>
                <c:pt idx="30">
                  <c:v>2900</c:v>
                </c:pt>
                <c:pt idx="31">
                  <c:v>2300</c:v>
                </c:pt>
                <c:pt idx="32">
                  <c:v>2100</c:v>
                </c:pt>
                <c:pt idx="33">
                  <c:v>2200</c:v>
                </c:pt>
                <c:pt idx="34">
                  <c:v>1900</c:v>
                </c:pt>
                <c:pt idx="35">
                  <c:v>2000</c:v>
                </c:pt>
                <c:pt idx="36">
                  <c:v>1900</c:v>
                </c:pt>
                <c:pt idx="37">
                  <c:v>1700</c:v>
                </c:pt>
                <c:pt idx="38">
                  <c:v>1700</c:v>
                </c:pt>
                <c:pt idx="39">
                  <c:v>1700</c:v>
                </c:pt>
                <c:pt idx="40">
                  <c:v>1900</c:v>
                </c:pt>
                <c:pt idx="41">
                  <c:v>1900</c:v>
                </c:pt>
                <c:pt idx="42">
                  <c:v>1500</c:v>
                </c:pt>
                <c:pt idx="43">
                  <c:v>900</c:v>
                </c:pt>
                <c:pt idx="44">
                  <c:v>700</c:v>
                </c:pt>
                <c:pt idx="45">
                  <c:v>600</c:v>
                </c:pt>
                <c:pt idx="46">
                  <c:v>600</c:v>
                </c:pt>
              </c:numCache>
            </c:numRef>
          </c:val>
          <c:smooth val="0"/>
          <c:extLst>
            <c:ext xmlns:c16="http://schemas.microsoft.com/office/drawing/2014/chart" uri="{C3380CC4-5D6E-409C-BE32-E72D297353CC}">
              <c16:uniqueId val="{00000001-BD05-42B0-BDB5-3173C920D37C}"/>
            </c:ext>
          </c:extLst>
        </c:ser>
        <c:dLbls>
          <c:showLegendKey val="0"/>
          <c:showVal val="0"/>
          <c:showCatName val="0"/>
          <c:showSerName val="0"/>
          <c:showPercent val="0"/>
          <c:showBubbleSize val="0"/>
        </c:dLbls>
        <c:smooth val="0"/>
        <c:axId val="274926592"/>
        <c:axId val="274950400"/>
      </c:lineChart>
      <c:catAx>
        <c:axId val="274926592"/>
        <c:scaling>
          <c:orientation val="minMax"/>
        </c:scaling>
        <c:delete val="0"/>
        <c:axPos val="b"/>
        <c:numFmt formatCode="mmm\-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tickLblSkip val="6"/>
        <c:noMultiLvlLbl val="0"/>
      </c:catAx>
      <c:valAx>
        <c:axId val="274950400"/>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midCat"/>
        <c:dispUnits>
          <c:builtInUnit val="thousands"/>
        </c:dispUnits>
      </c:valAx>
      <c:spPr>
        <a:noFill/>
        <a:ln w="25400">
          <a:noFill/>
        </a:ln>
      </c:spPr>
    </c:plotArea>
    <c:legend>
      <c:legendPos val="t"/>
      <c:layout>
        <c:manualLayout>
          <c:xMode val="edge"/>
          <c:yMode val="edge"/>
          <c:x val="8.573014813826238E-2"/>
          <c:y val="8.0096659305688767E-2"/>
          <c:w val="0.8654928303453594"/>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42F844F-92EB-4B42-884D-FA8D3151E272}">
  <sheetPr/>
  <sheetViews>
    <sheetView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7EAB67F-E85C-4EA1-B86C-53F64EBAE8B1}">
  <sheetPr/>
  <sheetViews>
    <sheetView zoomScale="50"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D3C3BC6-6D8D-4167-A99B-5E2A5C87AAC5}">
  <sheetPr/>
  <sheetViews>
    <sheetView tabSelected="1" zoomScale="50"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1511942" cy="701097"/>
    <xdr:pic>
      <xdr:nvPicPr>
        <xdr:cNvPr id="2" name="Picture 3">
          <a:extLst>
            <a:ext uri="{FF2B5EF4-FFF2-40B4-BE49-F238E27FC236}">
              <a16:creationId xmlns:a16="http://schemas.microsoft.com/office/drawing/2014/main" id="{9990B6DC-3931-40F6-BB8A-625E9D51E491}"/>
            </a:ext>
          </a:extLst>
        </xdr:cNvPr>
        <xdr:cNvPicPr>
          <a:picLocks noChangeAspect="1"/>
        </xdr:cNvPicPr>
      </xdr:nvPicPr>
      <xdr:blipFill>
        <a:blip xmlns:r="http://schemas.openxmlformats.org/officeDocument/2006/relationships" r:embed="rId1"/>
        <a:stretch>
          <a:fillRect/>
        </a:stretch>
      </xdr:blipFill>
      <xdr:spPr>
        <a:xfrm>
          <a:off x="8677275" y="0"/>
          <a:ext cx="1511942" cy="701097"/>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absoluteAnchor>
    <xdr:pos x="0" y="0"/>
    <xdr:ext cx="8429625" cy="6724650"/>
    <xdr:graphicFrame macro="">
      <xdr:nvGraphicFramePr>
        <xdr:cNvPr id="2" name="Chart 1">
          <a:extLst>
            <a:ext uri="{FF2B5EF4-FFF2-40B4-BE49-F238E27FC236}">
              <a16:creationId xmlns:a16="http://schemas.microsoft.com/office/drawing/2014/main" id="{B447F44F-6259-DC15-25AD-2CA5B24CE4A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9A956A07-E5F2-5B85-A7A0-E8A5AA675E3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Monthly visa applications</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BD317CC9-A395-5700-AE02-D0DE59C8553A}"/>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cdr:x>
      <cdr:y>0.07554</cdr:y>
    </cdr:from>
    <cdr:to>
      <cdr:x>0.21353</cdr:x>
      <cdr:y>0.12653</cdr:y>
    </cdr:to>
    <cdr:sp macro="" textlink="">
      <cdr:nvSpPr>
        <cdr:cNvPr id="4" name="TextBox 3">
          <a:extLst xmlns:a="http://schemas.openxmlformats.org/drawingml/2006/main">
            <a:ext uri="{FF2B5EF4-FFF2-40B4-BE49-F238E27FC236}">
              <a16:creationId xmlns:a16="http://schemas.microsoft.com/office/drawing/2014/main" id="{E3AC0F72-CA7A-2620-7F80-178E99DD64EF}"/>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000s</a:t>
          </a:r>
        </a:p>
      </cdr:txBody>
    </cdr:sp>
  </cdr:relSizeAnchor>
</c:userShapes>
</file>

<file path=xl/drawings/drawing4.xml><?xml version="1.0" encoding="utf-8"?>
<xdr:wsDr xmlns:xdr="http://schemas.openxmlformats.org/drawingml/2006/spreadsheetDrawing" xmlns:a="http://schemas.openxmlformats.org/drawingml/2006/main">
  <xdr:absoluteAnchor>
    <xdr:pos x="0" y="0"/>
    <xdr:ext cx="8429625" cy="6724650"/>
    <xdr:graphicFrame macro="">
      <xdr:nvGraphicFramePr>
        <xdr:cNvPr id="2" name="Chart 1">
          <a:extLst>
            <a:ext uri="{FF2B5EF4-FFF2-40B4-BE49-F238E27FC236}">
              <a16:creationId xmlns:a16="http://schemas.microsoft.com/office/drawing/2014/main" id="{6DA8CC05-D6DF-7910-5F09-B8CAB702CF5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9A956A07-E5F2-5B85-A7A0-E8A5AA675E3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Monthly visa applications</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BD317CC9-A395-5700-AE02-D0DE59C8553A}"/>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Home Office</a:t>
          </a:r>
        </a:p>
      </cdr:txBody>
    </cdr:sp>
  </cdr:relSizeAnchor>
  <cdr:relSizeAnchor xmlns:cdr="http://schemas.openxmlformats.org/drawingml/2006/chartDrawing">
    <cdr:from>
      <cdr:x>0</cdr:x>
      <cdr:y>0.07554</cdr:y>
    </cdr:from>
    <cdr:to>
      <cdr:x>0.21353</cdr:x>
      <cdr:y>0.12653</cdr:y>
    </cdr:to>
    <cdr:sp macro="" textlink="">
      <cdr:nvSpPr>
        <cdr:cNvPr id="4" name="TextBox 3">
          <a:extLst xmlns:a="http://schemas.openxmlformats.org/drawingml/2006/main">
            <a:ext uri="{FF2B5EF4-FFF2-40B4-BE49-F238E27FC236}">
              <a16:creationId xmlns:a16="http://schemas.microsoft.com/office/drawing/2014/main" id="{E3AC0F72-CA7A-2620-7F80-178E99DD64EF}"/>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000s</a:t>
          </a:r>
        </a:p>
      </cdr:txBody>
    </cdr:sp>
  </cdr:relSizeAnchor>
</c:userShapes>
</file>

<file path=xl/drawings/drawing6.xml><?xml version="1.0" encoding="utf-8"?>
<xdr:wsDr xmlns:xdr="http://schemas.openxmlformats.org/drawingml/2006/spreadsheetDrawing" xmlns:a="http://schemas.openxmlformats.org/drawingml/2006/main">
  <xdr:absoluteAnchor>
    <xdr:pos x="0" y="0"/>
    <xdr:ext cx="8429625" cy="6724650"/>
    <xdr:graphicFrame macro="">
      <xdr:nvGraphicFramePr>
        <xdr:cNvPr id="2" name="Chart 1">
          <a:extLst>
            <a:ext uri="{FF2B5EF4-FFF2-40B4-BE49-F238E27FC236}">
              <a16:creationId xmlns:a16="http://schemas.microsoft.com/office/drawing/2014/main" id="{84734A92-EAC2-DDAE-25CA-DCEB4E5D75A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9A956A07-E5F2-5B85-A7A0-E8A5AA675E3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Monthly visa applications</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BD317CC9-A395-5700-AE02-D0DE59C8553A}"/>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Home Office</a:t>
          </a:r>
        </a:p>
      </cdr:txBody>
    </cdr:sp>
  </cdr:relSizeAnchor>
  <cdr:relSizeAnchor xmlns:cdr="http://schemas.openxmlformats.org/drawingml/2006/chartDrawing">
    <cdr:from>
      <cdr:x>0</cdr:x>
      <cdr:y>0.07554</cdr:y>
    </cdr:from>
    <cdr:to>
      <cdr:x>0.21353</cdr:x>
      <cdr:y>0.12653</cdr:y>
    </cdr:to>
    <cdr:sp macro="" textlink="">
      <cdr:nvSpPr>
        <cdr:cNvPr id="4" name="TextBox 3">
          <a:extLst xmlns:a="http://schemas.openxmlformats.org/drawingml/2006/main">
            <a:ext uri="{FF2B5EF4-FFF2-40B4-BE49-F238E27FC236}">
              <a16:creationId xmlns:a16="http://schemas.microsoft.com/office/drawing/2014/main" id="{E3AC0F72-CA7A-2620-7F80-178E99DD64EF}"/>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000s</a:t>
          </a:r>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D83F6A-9367-4A67-889B-6AED3BE41E88}" name="Contents" displayName="Contents" ref="A4:F5" totalsRowShown="0">
  <tableColumns count="6">
    <tableColumn id="1" xr3:uid="{3CD8E8FA-3A2A-4C29-A52E-6DD68DFAAB10}" name="Sheet"/>
    <tableColumn id="2" xr3:uid="{AFCD9A8F-B8E2-4C4C-8F9D-B8E54912103C}" name="Title"/>
    <tableColumn id="3" xr3:uid="{6089CA42-87C5-4AE4-8E48-12799CCBAE14}" name="Variables available"/>
    <tableColumn id="4" xr3:uid="{5257AD99-89B9-440C-A6D4-C831276A39BA}" name="Period covered"/>
    <tableColumn id="5" xr3:uid="{665531BF-1237-44D9-8939-78CBF6EC5882}" name="Official Accredited_x000a_Statistics"/>
    <tableColumn id="6" xr3:uid="{FC8C2DDB-EC9A-4B6D-901B-10308884D9F2}" name="Next planned up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292398-168D-49B9-8D76-3589905F9653}" name="Notes" displayName="Notes" ref="A2:C7" totalsRowShown="0">
  <tableColumns count="3">
    <tableColumn id="1" xr3:uid="{E29CA05C-DBDB-4F1F-96EA-DDDD2B800B3B}" name="Note number"/>
    <tableColumn id="2" xr3:uid="{41A75B6D-B2F0-4327-B523-9E4B5886654A}" name="Note text"/>
    <tableColumn id="3" xr3:uid="{8B600724-0462-46D0-84B7-24B8FAB9E01F}" name="Table titl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A5C128B-DC03-4E3C-B59B-543E39A1179F}" name="monthly_vis_01" displayName="monthly_vis_01" ref="A4:K51" totalsRowShown="0">
  <autoFilter ref="A4:K51" xr:uid="{D242BB38-C946-4397-A14C-57E846080C0C}"/>
  <tableColumns count="11">
    <tableColumn id="1" xr3:uid="{3D500B26-AF05-472A-980A-A2AA4FBF49BE}" name="Year"/>
    <tableColumn id="2" xr3:uid="{D65FDCA1-196C-4206-A440-CA46AFB4B97C}" name="Month"/>
    <tableColumn id="3" xr3:uid="{2ADC1FB7-E6DC-48ED-A5FA-991BACA8B4D8}" name="Skilled Worker - Main applicants"/>
    <tableColumn id="4" xr3:uid="{67DC68AE-3EFD-4543-BFA0-B35146296076}" name="Skilled Worker - Dependants"/>
    <tableColumn id="5" xr3:uid="{CE56CA1B-7557-42EC-9AF9-7732D3B714F9}" name="Health and Care Worker - Main applicants"/>
    <tableColumn id="6" xr3:uid="{7362B4A6-A888-47C2-B70D-E9978F4251BC}" name="Health and Care Worker - Dependants"/>
    <tableColumn id="7" xr3:uid="{5FA34916-F52C-4C5A-B629-536365F0ACAF}" name="Sponsored Study - Main applicants"/>
    <tableColumn id="8" xr3:uid="{14429092-3072-4468-AE67-817C7B222CE8}" name="Sponsored Study - Dependants"/>
    <tableColumn id="9" xr3:uid="{409FBEF2-DC1E-4072-B0FA-F70C54AAB219}" name="Seasonal Worker - Main applicants"/>
    <tableColumn id="10" xr3:uid="{C398BB34-C4DA-4DF7-AC65-B26D141C3F58}" name="Youth Mobility Scheme - Main applicants"/>
    <tableColumn id="11" xr3:uid="{6D397243-D714-4882-8671-2C69A1DE67D5}" name="Family - All applicants"/>
  </tableColumns>
  <tableStyleInfo showFirstColumn="0" showLastColumn="0" showRowStripes="1" showColumnStripes="0"/>
</table>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igrationStatsEnquiries@homeoffice.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gov.uk/government/collections/immigration-statistics-quarterly-release"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F166C-D91F-4134-957F-8AEDB1B090EF}">
  <dimension ref="A1:A11"/>
  <sheetViews>
    <sheetView workbookViewId="0"/>
  </sheetViews>
  <sheetFormatPr defaultColWidth="9.42578125" defaultRowHeight="14.45" x14ac:dyDescent="0.25"/>
  <cols>
    <col min="1" max="1" width="130.140625" customWidth="1"/>
    <col min="2" max="2" width="9.42578125" customWidth="1"/>
  </cols>
  <sheetData>
    <row r="1" spans="1:1" ht="43.5" customHeight="1" x14ac:dyDescent="0.25">
      <c r="A1" s="1" t="s">
        <v>0</v>
      </c>
    </row>
    <row r="2" spans="1:1" ht="24" customHeight="1" x14ac:dyDescent="0.25">
      <c r="A2" s="2" t="s">
        <v>1</v>
      </c>
    </row>
    <row r="3" spans="1:1" ht="18" x14ac:dyDescent="0.25">
      <c r="A3" s="3" t="s">
        <v>2</v>
      </c>
    </row>
    <row r="4" spans="1:1" ht="18" x14ac:dyDescent="0.25">
      <c r="A4" s="3" t="s">
        <v>3</v>
      </c>
    </row>
    <row r="5" spans="1:1" ht="15.75" x14ac:dyDescent="0.25">
      <c r="A5" s="4" t="s">
        <v>4</v>
      </c>
    </row>
    <row r="6" spans="1:1" ht="15.75" x14ac:dyDescent="0.25">
      <c r="A6" s="5" t="s">
        <v>5</v>
      </c>
    </row>
    <row r="7" spans="1:1" ht="15.75" x14ac:dyDescent="0.25">
      <c r="A7" s="4" t="s">
        <v>6</v>
      </c>
    </row>
    <row r="8" spans="1:1" ht="15.75" x14ac:dyDescent="0.25">
      <c r="A8" s="6" t="s">
        <v>7</v>
      </c>
    </row>
    <row r="9" spans="1:1" ht="15.75" x14ac:dyDescent="0.25">
      <c r="A9" s="7" t="s">
        <v>8</v>
      </c>
    </row>
    <row r="10" spans="1:1" ht="15" x14ac:dyDescent="0.25">
      <c r="A10" s="4" t="s">
        <v>9</v>
      </c>
    </row>
    <row r="11" spans="1:1" ht="15" x14ac:dyDescent="0.25">
      <c r="A11" s="4"/>
    </row>
  </sheetData>
  <hyperlinks>
    <hyperlink ref="A8" r:id="rId1" xr:uid="{83832AD8-D020-4ECB-9D66-3508B3950429}"/>
  </hyperlinks>
  <pageMargins left="0.70000000000000007" right="0.70000000000000007" top="0.75" bottom="0.75" header="0.30000000000000004" footer="0.30000000000000004"/>
  <pageSetup paperSize="0" fitToWidth="0" fitToHeight="0" orientation="portrait" horizontalDpi="0" verticalDpi="0" copie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3F6EF-D917-42EA-BC80-BD95E871164C}">
  <dimension ref="A1:G6"/>
  <sheetViews>
    <sheetView workbookViewId="0"/>
  </sheetViews>
  <sheetFormatPr defaultColWidth="9.7109375" defaultRowHeight="15" x14ac:dyDescent="0.2"/>
  <cols>
    <col min="1" max="1" width="20.85546875" style="10" customWidth="1"/>
    <col min="2" max="2" width="63.7109375" style="10" customWidth="1"/>
    <col min="3" max="3" width="52" style="10" customWidth="1"/>
    <col min="4" max="4" width="20" style="10" customWidth="1"/>
    <col min="5" max="5" width="22.42578125" style="10" customWidth="1"/>
    <col min="6" max="6" width="24.85546875" style="10" customWidth="1"/>
    <col min="7" max="7" width="9.7109375" style="10" customWidth="1"/>
    <col min="8" max="16384" width="9.7109375" style="10"/>
  </cols>
  <sheetData>
    <row r="1" spans="1:7" ht="18" x14ac:dyDescent="0.25">
      <c r="A1" s="8" t="s">
        <v>10</v>
      </c>
      <c r="B1" s="9"/>
      <c r="C1" s="9"/>
    </row>
    <row r="2" spans="1:7" ht="14.1" customHeight="1" x14ac:dyDescent="0.25">
      <c r="A2" s="11" t="s">
        <v>11</v>
      </c>
      <c r="B2" s="11"/>
      <c r="C2" s="12"/>
    </row>
    <row r="3" spans="1:7" ht="16.5" customHeight="1" x14ac:dyDescent="0.2">
      <c r="A3" s="13" t="s">
        <v>12</v>
      </c>
      <c r="B3" s="14"/>
      <c r="C3" s="15"/>
    </row>
    <row r="4" spans="1:7" ht="31.5" x14ac:dyDescent="0.2">
      <c r="A4" s="16" t="s">
        <v>13</v>
      </c>
      <c r="B4" s="16" t="s">
        <v>14</v>
      </c>
      <c r="C4" s="16" t="s">
        <v>15</v>
      </c>
      <c r="D4" s="16" t="s">
        <v>16</v>
      </c>
      <c r="E4" s="17" t="s">
        <v>17</v>
      </c>
      <c r="F4" s="18" t="s">
        <v>18</v>
      </c>
    </row>
    <row r="5" spans="1:7" s="25" customFormat="1" ht="49.5" customHeight="1" x14ac:dyDescent="0.25">
      <c r="A5" s="19" t="s">
        <v>19</v>
      </c>
      <c r="B5" s="20" t="s">
        <v>20</v>
      </c>
      <c r="C5" s="21" t="s">
        <v>21</v>
      </c>
      <c r="D5" s="22" t="s">
        <v>22</v>
      </c>
      <c r="E5" s="22" t="s">
        <v>23</v>
      </c>
      <c r="F5" s="23" t="s">
        <v>24</v>
      </c>
      <c r="G5" s="24"/>
    </row>
    <row r="6" spans="1:7" ht="15.75" x14ac:dyDescent="0.25">
      <c r="A6" s="26"/>
    </row>
  </sheetData>
  <hyperlinks>
    <hyperlink ref="A3" r:id="rId1" xr:uid="{0F440E28-897A-4EC9-9869-BEE71BDF3CC2}"/>
    <hyperlink ref="A5" location="Monthly_Vis_01!A1" display="Monthly_Vis_01" xr:uid="{9C4E16F9-C467-4706-9CAB-B7F322C6F365}"/>
  </hyperlinks>
  <pageMargins left="0.70000000000000007" right="0.70000000000000007" top="0.75" bottom="0.75" header="0.30000000000000004" footer="0.30000000000000004"/>
  <pageSetup paperSize="0" fitToWidth="0" fitToHeight="0" orientation="portrait" horizontalDpi="0" verticalDpi="0" copie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9111C-4E65-4E25-9274-24F356DF2415}">
  <dimension ref="A1:C7"/>
  <sheetViews>
    <sheetView workbookViewId="0"/>
  </sheetViews>
  <sheetFormatPr defaultRowHeight="14.45" x14ac:dyDescent="0.25"/>
  <cols>
    <col min="1" max="1" width="16" customWidth="1"/>
    <col min="2" max="2" width="106.140625" customWidth="1"/>
    <col min="3" max="3" width="36.85546875" customWidth="1"/>
    <col min="4" max="4" width="9" customWidth="1"/>
    <col min="5" max="5" width="9.140625" customWidth="1"/>
  </cols>
  <sheetData>
    <row r="1" spans="1:3" ht="18" x14ac:dyDescent="0.25">
      <c r="A1" s="27" t="s">
        <v>25</v>
      </c>
      <c r="B1" s="28"/>
    </row>
    <row r="2" spans="1:3" ht="15.75" x14ac:dyDescent="0.25">
      <c r="A2" s="29" t="s">
        <v>26</v>
      </c>
      <c r="B2" s="30" t="s">
        <v>27</v>
      </c>
      <c r="C2" s="31" t="s">
        <v>28</v>
      </c>
    </row>
    <row r="3" spans="1:3" ht="30" customHeight="1" x14ac:dyDescent="0.25">
      <c r="A3" s="32">
        <v>1</v>
      </c>
      <c r="B3" s="33" t="s">
        <v>29</v>
      </c>
      <c r="C3" s="34" t="s">
        <v>19</v>
      </c>
    </row>
    <row r="4" spans="1:3" ht="46.5" customHeight="1" x14ac:dyDescent="0.25">
      <c r="A4" s="32">
        <v>2</v>
      </c>
      <c r="B4" s="33" t="s">
        <v>30</v>
      </c>
      <c r="C4" s="34" t="s">
        <v>19</v>
      </c>
    </row>
    <row r="5" spans="1:3" ht="33" customHeight="1" x14ac:dyDescent="0.25">
      <c r="A5" s="35">
        <v>3</v>
      </c>
      <c r="B5" s="36" t="s">
        <v>31</v>
      </c>
      <c r="C5" s="34" t="s">
        <v>19</v>
      </c>
    </row>
    <row r="6" spans="1:3" ht="46.5" customHeight="1" x14ac:dyDescent="0.25">
      <c r="A6" s="35">
        <v>4</v>
      </c>
      <c r="B6" s="36" t="s">
        <v>32</v>
      </c>
      <c r="C6" s="34" t="s">
        <v>19</v>
      </c>
    </row>
    <row r="7" spans="1:3" ht="15.75" x14ac:dyDescent="0.25">
      <c r="A7" s="35">
        <v>5</v>
      </c>
      <c r="B7" s="33" t="s">
        <v>33</v>
      </c>
      <c r="C7" s="34" t="s">
        <v>19</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D795C-5738-4A26-85BC-ED9F92E78E8B}">
  <dimension ref="A1:N51"/>
  <sheetViews>
    <sheetView workbookViewId="0">
      <pane xSplit="2" ySplit="4" topLeftCell="C45" activePane="bottomRight" state="frozen"/>
      <selection pane="topRight" activeCell="C1" sqref="C1"/>
      <selection pane="bottomLeft" activeCell="A5" sqref="A5"/>
      <selection pane="bottomRight" activeCell="D51" sqref="D51"/>
    </sheetView>
  </sheetViews>
  <sheetFormatPr defaultColWidth="9.42578125" defaultRowHeight="14.45" x14ac:dyDescent="0.25"/>
  <cols>
    <col min="1" max="1" width="10.7109375" customWidth="1"/>
    <col min="2" max="2" width="12.85546875" customWidth="1"/>
    <col min="3" max="4" width="21.140625" customWidth="1"/>
    <col min="5" max="6" width="29.5703125" customWidth="1"/>
    <col min="7" max="9" width="24.28515625" customWidth="1"/>
    <col min="10" max="10" width="28.28515625" customWidth="1"/>
    <col min="11" max="11" width="24.28515625" customWidth="1"/>
    <col min="12" max="12" width="9.42578125" customWidth="1"/>
  </cols>
  <sheetData>
    <row r="1" spans="1:13" ht="15.75" x14ac:dyDescent="0.25">
      <c r="A1" s="37" t="s">
        <v>34</v>
      </c>
    </row>
    <row r="2" spans="1:13" ht="15.75" x14ac:dyDescent="0.25">
      <c r="A2" s="38" t="str">
        <f>HYPERLINK("#'Contents'!A1", "Link to contents")</f>
        <v>Link to contents</v>
      </c>
    </row>
    <row r="3" spans="1:13" ht="15.75" x14ac:dyDescent="0.25">
      <c r="A3" s="38" t="str">
        <f>HYPERLINK("#'Notes'!A1", "Link to notes")</f>
        <v>Link to notes</v>
      </c>
    </row>
    <row r="4" spans="1:13" ht="31.5" x14ac:dyDescent="0.25">
      <c r="A4" s="39" t="s">
        <v>35</v>
      </c>
      <c r="B4" s="39" t="s">
        <v>36</v>
      </c>
      <c r="C4" s="39" t="s">
        <v>37</v>
      </c>
      <c r="D4" s="39" t="s">
        <v>38</v>
      </c>
      <c r="E4" s="39" t="s">
        <v>39</v>
      </c>
      <c r="F4" s="39" t="s">
        <v>40</v>
      </c>
      <c r="G4" s="39" t="s">
        <v>41</v>
      </c>
      <c r="H4" s="39" t="s">
        <v>42</v>
      </c>
      <c r="I4" s="39" t="s">
        <v>43</v>
      </c>
      <c r="J4" s="39" t="s">
        <v>44</v>
      </c>
      <c r="K4" s="39" t="s">
        <v>45</v>
      </c>
    </row>
    <row r="5" spans="1:13" ht="15" customHeight="1" x14ac:dyDescent="0.25">
      <c r="A5" s="40">
        <v>2022</v>
      </c>
      <c r="B5" s="40" t="s">
        <v>46</v>
      </c>
      <c r="C5" s="41">
        <v>4100</v>
      </c>
      <c r="D5" s="41">
        <v>2700</v>
      </c>
      <c r="E5" s="41">
        <v>3700</v>
      </c>
      <c r="F5" s="41">
        <v>4000</v>
      </c>
      <c r="G5" s="41">
        <v>31100</v>
      </c>
      <c r="H5" s="41">
        <v>11000</v>
      </c>
      <c r="I5" s="41">
        <v>1600</v>
      </c>
      <c r="J5" s="41">
        <v>800</v>
      </c>
      <c r="K5" s="41">
        <v>4300</v>
      </c>
      <c r="M5">
        <f>SUM(monthly_vis_01[[#This Row],[Skilled Worker - Main applicants]:[Family - All applicants]])</f>
        <v>63300</v>
      </c>
    </row>
    <row r="6" spans="1:13" ht="15.75" x14ac:dyDescent="0.25">
      <c r="A6" s="40">
        <v>2022</v>
      </c>
      <c r="B6" s="40" t="s">
        <v>47</v>
      </c>
      <c r="C6" s="41">
        <v>4600</v>
      </c>
      <c r="D6" s="41">
        <v>3100</v>
      </c>
      <c r="E6" s="41">
        <v>4100</v>
      </c>
      <c r="F6" s="41">
        <v>4400</v>
      </c>
      <c r="G6" s="41">
        <v>9600</v>
      </c>
      <c r="H6" s="41">
        <v>6800</v>
      </c>
      <c r="I6" s="41">
        <v>3100</v>
      </c>
      <c r="J6" s="41">
        <v>1300</v>
      </c>
      <c r="K6" s="41">
        <v>5100</v>
      </c>
      <c r="M6">
        <f>SUM(monthly_vis_01[[#This Row],[Skilled Worker - Main applicants]:[Family - All applicants]])</f>
        <v>42100</v>
      </c>
    </row>
    <row r="7" spans="1:13" ht="15.75" x14ac:dyDescent="0.25">
      <c r="A7" s="40">
        <v>2022</v>
      </c>
      <c r="B7" s="40" t="s">
        <v>48</v>
      </c>
      <c r="C7" s="41">
        <v>5300</v>
      </c>
      <c r="D7" s="41">
        <v>3600</v>
      </c>
      <c r="E7" s="41">
        <v>5300</v>
      </c>
      <c r="F7" s="41">
        <v>5200</v>
      </c>
      <c r="G7" s="41">
        <v>6200</v>
      </c>
      <c r="H7" s="41">
        <v>6000</v>
      </c>
      <c r="I7" s="41">
        <v>3400</v>
      </c>
      <c r="J7" s="41">
        <v>1900</v>
      </c>
      <c r="K7" s="41">
        <v>6300</v>
      </c>
      <c r="M7">
        <f>SUM(monthly_vis_01[[#This Row],[Skilled Worker - Main applicants]:[Family - All applicants]])</f>
        <v>43200</v>
      </c>
    </row>
    <row r="8" spans="1:13" ht="15.75" x14ac:dyDescent="0.25">
      <c r="A8" s="40">
        <v>2022</v>
      </c>
      <c r="B8" s="40" t="s">
        <v>49</v>
      </c>
      <c r="C8" s="41">
        <v>4800</v>
      </c>
      <c r="D8" s="41">
        <v>3500</v>
      </c>
      <c r="E8" s="41">
        <v>5000</v>
      </c>
      <c r="F8" s="41">
        <v>5200</v>
      </c>
      <c r="G8" s="41">
        <v>9100</v>
      </c>
      <c r="H8" s="41">
        <v>5200</v>
      </c>
      <c r="I8" s="41">
        <v>8400</v>
      </c>
      <c r="J8" s="41">
        <v>1700</v>
      </c>
      <c r="K8" s="41">
        <v>5200</v>
      </c>
      <c r="M8">
        <f>SUM(monthly_vis_01[[#This Row],[Skilled Worker - Main applicants]:[Family - All applicants]])</f>
        <v>48100</v>
      </c>
    </row>
    <row r="9" spans="1:13" ht="15.75" x14ac:dyDescent="0.25">
      <c r="A9" s="40">
        <v>2022</v>
      </c>
      <c r="B9" s="40" t="s">
        <v>50</v>
      </c>
      <c r="C9" s="41">
        <v>5700</v>
      </c>
      <c r="D9" s="41">
        <v>4100</v>
      </c>
      <c r="E9" s="41">
        <v>5600</v>
      </c>
      <c r="F9" s="41">
        <v>6000</v>
      </c>
      <c r="G9" s="41">
        <v>14100</v>
      </c>
      <c r="H9" s="41">
        <v>5300</v>
      </c>
      <c r="I9" s="41">
        <v>8600</v>
      </c>
      <c r="J9" s="41">
        <v>1900</v>
      </c>
      <c r="K9" s="41">
        <v>5400</v>
      </c>
      <c r="M9">
        <f>SUM(monthly_vis_01[[#This Row],[Skilled Worker - Main applicants]:[Family - All applicants]])</f>
        <v>56700</v>
      </c>
    </row>
    <row r="10" spans="1:13" ht="15.75" x14ac:dyDescent="0.25">
      <c r="A10" s="40">
        <v>2022</v>
      </c>
      <c r="B10" s="40" t="s">
        <v>51</v>
      </c>
      <c r="C10" s="41">
        <v>6700</v>
      </c>
      <c r="D10" s="41">
        <v>4800</v>
      </c>
      <c r="E10" s="41">
        <v>7100</v>
      </c>
      <c r="F10" s="41">
        <v>7300</v>
      </c>
      <c r="G10" s="41">
        <v>31500</v>
      </c>
      <c r="H10" s="41">
        <v>8000</v>
      </c>
      <c r="I10" s="41">
        <v>3700</v>
      </c>
      <c r="J10" s="41">
        <v>1200</v>
      </c>
      <c r="K10" s="41">
        <v>5600</v>
      </c>
      <c r="M10">
        <f>SUM(monthly_vis_01[[#This Row],[Skilled Worker - Main applicants]:[Family - All applicants]])</f>
        <v>75900</v>
      </c>
    </row>
    <row r="11" spans="1:13" ht="15.75" x14ac:dyDescent="0.25">
      <c r="A11" s="40">
        <v>2022</v>
      </c>
      <c r="B11" s="40" t="s">
        <v>52</v>
      </c>
      <c r="C11" s="41">
        <v>6600</v>
      </c>
      <c r="D11" s="41">
        <v>4800</v>
      </c>
      <c r="E11" s="41">
        <v>7300</v>
      </c>
      <c r="F11" s="41">
        <v>7500</v>
      </c>
      <c r="G11" s="41">
        <v>85000</v>
      </c>
      <c r="H11" s="41">
        <v>14800</v>
      </c>
      <c r="I11" s="41">
        <v>3200</v>
      </c>
      <c r="J11" s="41">
        <v>1100</v>
      </c>
      <c r="K11" s="41">
        <v>5800</v>
      </c>
      <c r="M11">
        <f>SUM(monthly_vis_01[[#This Row],[Skilled Worker - Main applicants]:[Family - All applicants]])</f>
        <v>136100</v>
      </c>
    </row>
    <row r="12" spans="1:13" ht="15.75" x14ac:dyDescent="0.25">
      <c r="A12" s="40">
        <v>2022</v>
      </c>
      <c r="B12" s="40" t="s">
        <v>53</v>
      </c>
      <c r="C12" s="41">
        <v>6900</v>
      </c>
      <c r="D12" s="41">
        <v>4700</v>
      </c>
      <c r="E12" s="41">
        <v>8100</v>
      </c>
      <c r="F12" s="41">
        <v>8700</v>
      </c>
      <c r="G12" s="41">
        <v>144200</v>
      </c>
      <c r="H12" s="41">
        <v>23600</v>
      </c>
      <c r="I12" s="41">
        <v>1900</v>
      </c>
      <c r="J12" s="41">
        <v>1300</v>
      </c>
      <c r="K12" s="41">
        <v>6000</v>
      </c>
      <c r="M12">
        <f>SUM(monthly_vis_01[[#This Row],[Skilled Worker - Main applicants]:[Family - All applicants]])</f>
        <v>205400</v>
      </c>
    </row>
    <row r="13" spans="1:13" ht="15.75" x14ac:dyDescent="0.25">
      <c r="A13" s="40">
        <v>2022</v>
      </c>
      <c r="B13" s="40" t="s">
        <v>54</v>
      </c>
      <c r="C13" s="41">
        <v>6100</v>
      </c>
      <c r="D13" s="41">
        <v>4100</v>
      </c>
      <c r="E13" s="41">
        <v>7900</v>
      </c>
      <c r="F13" s="41">
        <v>8700</v>
      </c>
      <c r="G13" s="41">
        <v>76600</v>
      </c>
      <c r="H13" s="41">
        <v>18300</v>
      </c>
      <c r="I13" s="41">
        <v>800</v>
      </c>
      <c r="J13" s="41">
        <v>1600</v>
      </c>
      <c r="K13" s="41">
        <v>5600</v>
      </c>
      <c r="M13">
        <f>SUM(monthly_vis_01[[#This Row],[Skilled Worker - Main applicants]:[Family - All applicants]])</f>
        <v>129700</v>
      </c>
    </row>
    <row r="14" spans="1:13" ht="15.75" x14ac:dyDescent="0.25">
      <c r="A14" s="40">
        <v>2022</v>
      </c>
      <c r="B14" s="40" t="s">
        <v>55</v>
      </c>
      <c r="C14" s="41">
        <v>5800</v>
      </c>
      <c r="D14" s="41">
        <v>3900</v>
      </c>
      <c r="E14" s="41">
        <v>8000</v>
      </c>
      <c r="F14" s="41">
        <v>8300</v>
      </c>
      <c r="G14" s="41">
        <v>11300</v>
      </c>
      <c r="H14" s="41">
        <v>10200</v>
      </c>
      <c r="I14" s="41">
        <v>1300</v>
      </c>
      <c r="J14" s="41">
        <v>1500</v>
      </c>
      <c r="K14" s="41">
        <v>5200</v>
      </c>
      <c r="M14">
        <f>SUM(monthly_vis_01[[#This Row],[Skilled Worker - Main applicants]:[Family - All applicants]])</f>
        <v>55500</v>
      </c>
    </row>
    <row r="15" spans="1:13" ht="15.75" x14ac:dyDescent="0.25">
      <c r="A15" s="40">
        <v>2022</v>
      </c>
      <c r="B15" s="40" t="s">
        <v>56</v>
      </c>
      <c r="C15" s="41">
        <v>6100</v>
      </c>
      <c r="D15" s="41">
        <v>4200</v>
      </c>
      <c r="E15" s="41">
        <v>9700</v>
      </c>
      <c r="F15" s="41">
        <v>10100</v>
      </c>
      <c r="G15" s="41">
        <v>24700</v>
      </c>
      <c r="H15" s="41">
        <v>14800</v>
      </c>
      <c r="I15" s="41">
        <v>300</v>
      </c>
      <c r="J15" s="41">
        <v>1600</v>
      </c>
      <c r="K15" s="41">
        <v>5600</v>
      </c>
      <c r="M15">
        <f>SUM(monthly_vis_01[[#This Row],[Skilled Worker - Main applicants]:[Family - All applicants]])</f>
        <v>77100</v>
      </c>
    </row>
    <row r="16" spans="1:13" ht="15.75" x14ac:dyDescent="0.25">
      <c r="A16" s="40">
        <v>2022</v>
      </c>
      <c r="B16" s="40" t="s">
        <v>57</v>
      </c>
      <c r="C16" s="41">
        <v>5600</v>
      </c>
      <c r="D16" s="41">
        <v>3900</v>
      </c>
      <c r="E16" s="41">
        <v>9900</v>
      </c>
      <c r="F16" s="41">
        <v>10600</v>
      </c>
      <c r="G16" s="41">
        <v>46200</v>
      </c>
      <c r="H16" s="41">
        <v>19800</v>
      </c>
      <c r="I16" s="41">
        <v>400</v>
      </c>
      <c r="J16" s="41">
        <v>1200</v>
      </c>
      <c r="K16" s="41">
        <v>5900</v>
      </c>
      <c r="M16">
        <f>SUM(monthly_vis_01[[#This Row],[Skilled Worker - Main applicants]:[Family - All applicants]])</f>
        <v>103500</v>
      </c>
    </row>
    <row r="17" spans="1:14" ht="15.75" x14ac:dyDescent="0.25">
      <c r="A17" s="40">
        <v>2023</v>
      </c>
      <c r="B17" s="40" t="s">
        <v>46</v>
      </c>
      <c r="C17" s="41">
        <v>5300</v>
      </c>
      <c r="D17" s="41">
        <v>3800</v>
      </c>
      <c r="E17" s="41">
        <v>11300</v>
      </c>
      <c r="F17" s="41">
        <v>12900</v>
      </c>
      <c r="G17" s="41">
        <v>26900</v>
      </c>
      <c r="H17" s="41">
        <v>17500</v>
      </c>
      <c r="I17" s="41">
        <v>2300</v>
      </c>
      <c r="J17" s="41">
        <v>1800</v>
      </c>
      <c r="K17" s="41">
        <v>5500</v>
      </c>
      <c r="M17">
        <f>SUM(monthly_vis_01[[#This Row],[Skilled Worker - Main applicants]:[Family - All applicants]])</f>
        <v>87300</v>
      </c>
      <c r="N17" s="45">
        <f t="shared" ref="N17:N50" si="0">100*((M17/M5)-1)</f>
        <v>37.914691943127956</v>
      </c>
    </row>
    <row r="18" spans="1:14" ht="15.75" x14ac:dyDescent="0.25">
      <c r="A18" s="40">
        <v>2023</v>
      </c>
      <c r="B18" s="40" t="s">
        <v>47</v>
      </c>
      <c r="C18" s="41">
        <v>5100</v>
      </c>
      <c r="D18" s="41">
        <v>4000</v>
      </c>
      <c r="E18" s="41">
        <v>13100</v>
      </c>
      <c r="F18" s="41">
        <v>14600</v>
      </c>
      <c r="G18" s="41">
        <v>5200</v>
      </c>
      <c r="H18" s="41">
        <v>7500</v>
      </c>
      <c r="I18" s="41">
        <v>2300</v>
      </c>
      <c r="J18" s="41">
        <v>2300</v>
      </c>
      <c r="K18" s="41">
        <v>6000</v>
      </c>
      <c r="M18">
        <f>SUM(monthly_vis_01[[#This Row],[Skilled Worker - Main applicants]:[Family - All applicants]])</f>
        <v>60100</v>
      </c>
      <c r="N18" s="45">
        <f t="shared" si="0"/>
        <v>42.755344418052267</v>
      </c>
    </row>
    <row r="19" spans="1:14" ht="15.75" x14ac:dyDescent="0.25">
      <c r="A19" s="40">
        <v>2023</v>
      </c>
      <c r="B19" s="40" t="s">
        <v>48</v>
      </c>
      <c r="C19" s="41">
        <v>5600</v>
      </c>
      <c r="D19" s="41">
        <v>4500</v>
      </c>
      <c r="E19" s="41">
        <v>14300</v>
      </c>
      <c r="F19" s="41">
        <v>16700</v>
      </c>
      <c r="G19" s="41">
        <v>7800</v>
      </c>
      <c r="H19" s="41">
        <v>7900</v>
      </c>
      <c r="I19" s="41">
        <v>3300</v>
      </c>
      <c r="J19" s="41">
        <v>2900</v>
      </c>
      <c r="K19" s="41">
        <v>7000</v>
      </c>
      <c r="M19">
        <f>SUM(monthly_vis_01[[#This Row],[Skilled Worker - Main applicants]:[Family - All applicants]])</f>
        <v>70000</v>
      </c>
      <c r="N19" s="45">
        <f t="shared" si="0"/>
        <v>62.037037037037045</v>
      </c>
    </row>
    <row r="20" spans="1:14" ht="15.75" x14ac:dyDescent="0.25">
      <c r="A20" s="40">
        <v>2023</v>
      </c>
      <c r="B20" s="40" t="s">
        <v>49</v>
      </c>
      <c r="C20" s="41">
        <v>4700</v>
      </c>
      <c r="D20" s="41">
        <v>3900</v>
      </c>
      <c r="E20" s="41">
        <v>12200</v>
      </c>
      <c r="F20" s="41">
        <v>15100</v>
      </c>
      <c r="G20" s="41">
        <v>9500</v>
      </c>
      <c r="H20" s="41">
        <v>6000</v>
      </c>
      <c r="I20" s="41">
        <v>5700</v>
      </c>
      <c r="J20" s="41">
        <v>3300</v>
      </c>
      <c r="K20" s="41">
        <v>5300</v>
      </c>
      <c r="M20">
        <f>SUM(monthly_vis_01[[#This Row],[Skilled Worker - Main applicants]:[Family - All applicants]])</f>
        <v>65700</v>
      </c>
      <c r="N20" s="45">
        <f t="shared" si="0"/>
        <v>36.590436590436596</v>
      </c>
    </row>
    <row r="21" spans="1:14" ht="15.75" x14ac:dyDescent="0.25">
      <c r="A21" s="40">
        <v>2023</v>
      </c>
      <c r="B21" s="40" t="s">
        <v>50</v>
      </c>
      <c r="C21" s="41">
        <v>5900</v>
      </c>
      <c r="D21" s="41">
        <v>4800</v>
      </c>
      <c r="E21" s="41">
        <v>14600</v>
      </c>
      <c r="F21" s="41">
        <v>19300</v>
      </c>
      <c r="G21" s="41">
        <v>16900</v>
      </c>
      <c r="H21" s="41">
        <v>7800</v>
      </c>
      <c r="I21" s="41">
        <v>8200</v>
      </c>
      <c r="J21" s="41">
        <v>2500</v>
      </c>
      <c r="K21" s="41">
        <v>6800</v>
      </c>
      <c r="M21">
        <f>SUM(monthly_vis_01[[#This Row],[Skilled Worker - Main applicants]:[Family - All applicants]])</f>
        <v>86800</v>
      </c>
      <c r="N21" s="45">
        <f t="shared" si="0"/>
        <v>53.08641975308641</v>
      </c>
    </row>
    <row r="22" spans="1:14" ht="15.75" x14ac:dyDescent="0.25">
      <c r="A22" s="40">
        <v>2023</v>
      </c>
      <c r="B22" s="40" t="s">
        <v>51</v>
      </c>
      <c r="C22" s="41">
        <v>6200</v>
      </c>
      <c r="D22" s="41">
        <v>5000</v>
      </c>
      <c r="E22" s="41">
        <v>14600</v>
      </c>
      <c r="F22" s="41">
        <v>19300</v>
      </c>
      <c r="G22" s="41">
        <v>38900</v>
      </c>
      <c r="H22" s="41">
        <v>9100</v>
      </c>
      <c r="I22" s="41">
        <v>3400</v>
      </c>
      <c r="J22" s="41">
        <v>1600</v>
      </c>
      <c r="K22" s="41">
        <v>6400</v>
      </c>
      <c r="M22">
        <f>SUM(monthly_vis_01[[#This Row],[Skilled Worker - Main applicants]:[Family - All applicants]])</f>
        <v>104500</v>
      </c>
      <c r="N22" s="45">
        <f t="shared" si="0"/>
        <v>37.681159420289845</v>
      </c>
    </row>
    <row r="23" spans="1:14" ht="15.75" x14ac:dyDescent="0.25">
      <c r="A23" s="40">
        <v>2023</v>
      </c>
      <c r="B23" s="40" t="s">
        <v>52</v>
      </c>
      <c r="C23" s="41">
        <v>6500</v>
      </c>
      <c r="D23" s="41">
        <v>4900</v>
      </c>
      <c r="E23" s="41">
        <v>16200</v>
      </c>
      <c r="F23" s="41">
        <v>21600</v>
      </c>
      <c r="G23" s="41">
        <v>81900</v>
      </c>
      <c r="H23" s="41">
        <v>12300</v>
      </c>
      <c r="I23" s="41">
        <v>1600</v>
      </c>
      <c r="J23" s="41">
        <v>1300</v>
      </c>
      <c r="K23" s="41">
        <v>5700</v>
      </c>
      <c r="M23">
        <f>SUM(monthly_vis_01[[#This Row],[Skilled Worker - Main applicants]:[Family - All applicants]])</f>
        <v>152000</v>
      </c>
      <c r="N23" s="45">
        <f t="shared" si="0"/>
        <v>11.682586333578261</v>
      </c>
    </row>
    <row r="24" spans="1:14" ht="15.75" x14ac:dyDescent="0.25">
      <c r="A24" s="40">
        <v>2023</v>
      </c>
      <c r="B24" s="40" t="s">
        <v>53</v>
      </c>
      <c r="C24" s="41">
        <v>6900</v>
      </c>
      <c r="D24" s="41">
        <v>4900</v>
      </c>
      <c r="E24" s="41">
        <v>18300</v>
      </c>
      <c r="F24" s="41">
        <v>23300</v>
      </c>
      <c r="G24" s="41">
        <v>147100</v>
      </c>
      <c r="H24" s="41">
        <v>25100</v>
      </c>
      <c r="I24" s="41">
        <v>1500</v>
      </c>
      <c r="J24" s="41">
        <v>1400</v>
      </c>
      <c r="K24" s="41">
        <v>7000</v>
      </c>
      <c r="M24">
        <f>SUM(monthly_vis_01[[#This Row],[Skilled Worker - Main applicants]:[Family - All applicants]])</f>
        <v>235500</v>
      </c>
      <c r="N24" s="45">
        <f t="shared" si="0"/>
        <v>14.654333008763398</v>
      </c>
    </row>
    <row r="25" spans="1:14" ht="15.75" x14ac:dyDescent="0.25">
      <c r="A25" s="40">
        <v>2023</v>
      </c>
      <c r="B25" s="40" t="s">
        <v>54</v>
      </c>
      <c r="C25" s="41">
        <v>5500</v>
      </c>
      <c r="D25" s="41">
        <v>4100</v>
      </c>
      <c r="E25" s="41">
        <v>12900</v>
      </c>
      <c r="F25" s="41">
        <v>18400</v>
      </c>
      <c r="G25" s="41">
        <v>83500</v>
      </c>
      <c r="H25" s="41">
        <v>22500</v>
      </c>
      <c r="I25" s="41">
        <v>1200</v>
      </c>
      <c r="J25" s="41">
        <v>2200</v>
      </c>
      <c r="K25" s="41">
        <v>6900</v>
      </c>
      <c r="M25">
        <f>SUM(monthly_vis_01[[#This Row],[Skilled Worker - Main applicants]:[Family - All applicants]])</f>
        <v>157200</v>
      </c>
      <c r="N25" s="45">
        <f t="shared" si="0"/>
        <v>21.20277563608326</v>
      </c>
    </row>
    <row r="26" spans="1:14" ht="15.75" x14ac:dyDescent="0.25">
      <c r="A26" s="40">
        <v>2023</v>
      </c>
      <c r="B26" s="40" t="s">
        <v>55</v>
      </c>
      <c r="C26" s="41">
        <v>6400</v>
      </c>
      <c r="D26" s="41">
        <v>4900</v>
      </c>
      <c r="E26" s="41">
        <v>14400</v>
      </c>
      <c r="F26" s="41">
        <v>22700</v>
      </c>
      <c r="G26" s="41">
        <v>10400</v>
      </c>
      <c r="H26" s="41">
        <v>12000</v>
      </c>
      <c r="I26" s="41">
        <v>1500</v>
      </c>
      <c r="J26" s="41">
        <v>1600</v>
      </c>
      <c r="K26" s="41">
        <v>8300</v>
      </c>
      <c r="M26">
        <f>SUM(monthly_vis_01[[#This Row],[Skilled Worker - Main applicants]:[Family - All applicants]])</f>
        <v>82200</v>
      </c>
      <c r="N26" s="45">
        <f t="shared" si="0"/>
        <v>48.108108108108105</v>
      </c>
    </row>
    <row r="27" spans="1:14" ht="15.75" x14ac:dyDescent="0.25">
      <c r="A27" s="40">
        <v>2023</v>
      </c>
      <c r="B27" s="40" t="s">
        <v>56</v>
      </c>
      <c r="C27" s="41">
        <v>6100</v>
      </c>
      <c r="D27" s="41">
        <v>4300</v>
      </c>
      <c r="E27" s="41">
        <v>9800</v>
      </c>
      <c r="F27" s="41">
        <v>19400</v>
      </c>
      <c r="G27" s="41">
        <v>14800</v>
      </c>
      <c r="H27" s="41">
        <v>9700</v>
      </c>
      <c r="I27" s="41">
        <v>1000</v>
      </c>
      <c r="J27" s="41">
        <v>1400</v>
      </c>
      <c r="K27" s="41">
        <v>7300</v>
      </c>
      <c r="M27">
        <f>SUM(monthly_vis_01[[#This Row],[Skilled Worker - Main applicants]:[Family - All applicants]])</f>
        <v>73800</v>
      </c>
      <c r="N27" s="45">
        <f t="shared" si="0"/>
        <v>-4.2801556420233418</v>
      </c>
    </row>
    <row r="28" spans="1:14" ht="15.75" x14ac:dyDescent="0.25">
      <c r="A28" s="40">
        <v>2023</v>
      </c>
      <c r="B28" s="40" t="s">
        <v>57</v>
      </c>
      <c r="C28" s="41">
        <v>6100</v>
      </c>
      <c r="D28" s="41">
        <v>5500</v>
      </c>
      <c r="E28" s="41">
        <v>6400</v>
      </c>
      <c r="F28" s="41">
        <v>21300</v>
      </c>
      <c r="G28" s="41">
        <v>30600</v>
      </c>
      <c r="H28" s="41">
        <v>8000</v>
      </c>
      <c r="I28" s="41">
        <v>1500</v>
      </c>
      <c r="J28" s="41">
        <v>1100</v>
      </c>
      <c r="K28" s="41">
        <v>7500</v>
      </c>
      <c r="M28">
        <f>SUM(monthly_vis_01[[#This Row],[Skilled Worker - Main applicants]:[Family - All applicants]])</f>
        <v>88000</v>
      </c>
      <c r="N28" s="45">
        <f t="shared" si="0"/>
        <v>-14.975845410628018</v>
      </c>
    </row>
    <row r="29" spans="1:14" ht="15.75" x14ac:dyDescent="0.25">
      <c r="A29" s="40">
        <v>2024</v>
      </c>
      <c r="B29" s="40" t="s">
        <v>46</v>
      </c>
      <c r="C29" s="41">
        <v>6900</v>
      </c>
      <c r="D29" s="41">
        <v>8100</v>
      </c>
      <c r="E29" s="41">
        <v>4700</v>
      </c>
      <c r="F29" s="41">
        <v>19800</v>
      </c>
      <c r="G29" s="41">
        <v>25500</v>
      </c>
      <c r="H29" s="41">
        <v>3400</v>
      </c>
      <c r="I29" s="41">
        <v>2100</v>
      </c>
      <c r="J29" s="41">
        <v>2000</v>
      </c>
      <c r="K29" s="41">
        <v>10200</v>
      </c>
      <c r="M29">
        <f>SUM(monthly_vis_01[[#This Row],[Skilled Worker - Main applicants]:[Family - All applicants]])</f>
        <v>82700</v>
      </c>
      <c r="N29" s="45">
        <f t="shared" si="0"/>
        <v>-5.269186712485685</v>
      </c>
    </row>
    <row r="30" spans="1:14" ht="15.75" x14ac:dyDescent="0.25">
      <c r="A30" s="40">
        <v>2024</v>
      </c>
      <c r="B30" s="40" t="s">
        <v>47</v>
      </c>
      <c r="C30" s="41">
        <v>6100</v>
      </c>
      <c r="D30" s="41">
        <v>6900</v>
      </c>
      <c r="E30" s="41">
        <v>3100</v>
      </c>
      <c r="F30" s="41">
        <v>16300</v>
      </c>
      <c r="G30" s="41">
        <v>3700</v>
      </c>
      <c r="H30" s="41">
        <v>1700</v>
      </c>
      <c r="I30" s="41">
        <v>3500</v>
      </c>
      <c r="J30" s="41">
        <v>3800</v>
      </c>
      <c r="K30" s="41">
        <v>10900</v>
      </c>
      <c r="M30">
        <f>SUM(monthly_vis_01[[#This Row],[Skilled Worker - Main applicants]:[Family - All applicants]])</f>
        <v>56000</v>
      </c>
      <c r="N30" s="45">
        <f t="shared" si="0"/>
        <v>-6.8219633943427667</v>
      </c>
    </row>
    <row r="31" spans="1:14" ht="15.75" x14ac:dyDescent="0.25">
      <c r="A31" s="40">
        <v>2024</v>
      </c>
      <c r="B31" s="40" t="s">
        <v>48</v>
      </c>
      <c r="C31" s="41">
        <v>6100</v>
      </c>
      <c r="D31" s="41">
        <v>4800</v>
      </c>
      <c r="E31" s="41">
        <v>2400</v>
      </c>
      <c r="F31" s="41">
        <v>13200</v>
      </c>
      <c r="G31" s="41">
        <v>4800</v>
      </c>
      <c r="H31" s="41">
        <v>1600</v>
      </c>
      <c r="I31" s="41">
        <v>5100</v>
      </c>
      <c r="J31" s="41">
        <v>2600</v>
      </c>
      <c r="K31" s="41">
        <v>10400</v>
      </c>
      <c r="M31">
        <f>SUM(monthly_vis_01[[#This Row],[Skilled Worker - Main applicants]:[Family - All applicants]])</f>
        <v>51000</v>
      </c>
      <c r="N31" s="45">
        <f t="shared" si="0"/>
        <v>-27.142857142857146</v>
      </c>
    </row>
    <row r="32" spans="1:14" ht="15.75" x14ac:dyDescent="0.25">
      <c r="A32" s="40">
        <v>2024</v>
      </c>
      <c r="B32" s="40" t="s">
        <v>49</v>
      </c>
      <c r="C32" s="41">
        <v>10100</v>
      </c>
      <c r="D32" s="41">
        <v>6500</v>
      </c>
      <c r="E32" s="41">
        <v>2200</v>
      </c>
      <c r="F32" s="41">
        <v>6400</v>
      </c>
      <c r="G32" s="41">
        <v>9600</v>
      </c>
      <c r="H32" s="41">
        <v>1600</v>
      </c>
      <c r="I32" s="41">
        <v>7000</v>
      </c>
      <c r="J32" s="41">
        <v>3300</v>
      </c>
      <c r="K32" s="41">
        <v>12700</v>
      </c>
      <c r="M32">
        <f>SUM(monthly_vis_01[[#This Row],[Skilled Worker - Main applicants]:[Family - All applicants]])</f>
        <v>59400</v>
      </c>
      <c r="N32" s="45">
        <f t="shared" si="0"/>
        <v>-9.5890410958904155</v>
      </c>
    </row>
    <row r="33" spans="1:14" ht="15.75" x14ac:dyDescent="0.25">
      <c r="A33" s="40">
        <v>2024</v>
      </c>
      <c r="B33" s="40" t="s">
        <v>50</v>
      </c>
      <c r="C33" s="41">
        <v>6900</v>
      </c>
      <c r="D33" s="41">
        <v>5900</v>
      </c>
      <c r="E33" s="41">
        <v>2900</v>
      </c>
      <c r="F33" s="41">
        <v>5900</v>
      </c>
      <c r="G33" s="41">
        <v>15500</v>
      </c>
      <c r="H33" s="41">
        <v>1400</v>
      </c>
      <c r="I33" s="41">
        <v>6100</v>
      </c>
      <c r="J33" s="41">
        <v>2400</v>
      </c>
      <c r="K33" s="41">
        <v>6900</v>
      </c>
      <c r="M33">
        <f>SUM(monthly_vis_01[[#This Row],[Skilled Worker - Main applicants]:[Family - All applicants]])</f>
        <v>53900</v>
      </c>
      <c r="N33" s="45">
        <f t="shared" si="0"/>
        <v>-37.903225806451616</v>
      </c>
    </row>
    <row r="34" spans="1:14" ht="15.75" x14ac:dyDescent="0.25">
      <c r="A34" s="40">
        <v>2024</v>
      </c>
      <c r="B34" s="40" t="s">
        <v>51</v>
      </c>
      <c r="C34" s="41">
        <v>5600</v>
      </c>
      <c r="D34" s="41">
        <v>5200</v>
      </c>
      <c r="E34" s="41">
        <v>2800</v>
      </c>
      <c r="F34" s="41">
        <v>4800</v>
      </c>
      <c r="G34" s="41">
        <v>28200</v>
      </c>
      <c r="H34" s="41">
        <v>1400</v>
      </c>
      <c r="I34" s="41">
        <v>3000</v>
      </c>
      <c r="J34" s="41">
        <v>1500</v>
      </c>
      <c r="K34" s="41">
        <v>5100</v>
      </c>
      <c r="M34">
        <f>SUM(monthly_vis_01[[#This Row],[Skilled Worker - Main applicants]:[Family - All applicants]])</f>
        <v>57600</v>
      </c>
      <c r="N34" s="45">
        <f t="shared" si="0"/>
        <v>-44.880382775119621</v>
      </c>
    </row>
    <row r="35" spans="1:14" ht="15.75" x14ac:dyDescent="0.25">
      <c r="A35" s="40">
        <v>2024</v>
      </c>
      <c r="B35" s="40" t="s">
        <v>52</v>
      </c>
      <c r="C35" s="41">
        <v>6000</v>
      </c>
      <c r="D35" s="41">
        <v>5800</v>
      </c>
      <c r="E35" s="41">
        <v>2900</v>
      </c>
      <c r="F35" s="41">
        <v>5100</v>
      </c>
      <c r="G35" s="41">
        <v>69500</v>
      </c>
      <c r="H35" s="41">
        <v>2000</v>
      </c>
      <c r="I35" s="41">
        <v>1800</v>
      </c>
      <c r="J35" s="41">
        <v>1500</v>
      </c>
      <c r="K35" s="41">
        <v>5500</v>
      </c>
      <c r="M35">
        <f>SUM(monthly_vis_01[[#This Row],[Skilled Worker - Main applicants]:[Family - All applicants]])</f>
        <v>100100</v>
      </c>
      <c r="N35" s="45">
        <f t="shared" si="0"/>
        <v>-34.14473684210526</v>
      </c>
    </row>
    <row r="36" spans="1:14" ht="15.75" x14ac:dyDescent="0.25">
      <c r="A36" s="40">
        <v>2024</v>
      </c>
      <c r="B36" s="40" t="s">
        <v>53</v>
      </c>
      <c r="C36" s="41">
        <v>5100</v>
      </c>
      <c r="D36" s="41">
        <v>4400</v>
      </c>
      <c r="E36" s="41">
        <v>2300</v>
      </c>
      <c r="F36" s="41">
        <v>4300</v>
      </c>
      <c r="G36" s="41">
        <v>121900</v>
      </c>
      <c r="H36" s="41">
        <v>2400</v>
      </c>
      <c r="I36" s="41">
        <v>1700</v>
      </c>
      <c r="J36" s="41">
        <v>1400</v>
      </c>
      <c r="K36" s="41">
        <v>5300</v>
      </c>
      <c r="M36">
        <f>SUM(monthly_vis_01[[#This Row],[Skilled Worker - Main applicants]:[Family - All applicants]])</f>
        <v>148800</v>
      </c>
      <c r="N36" s="45">
        <f t="shared" si="0"/>
        <v>-36.815286624203821</v>
      </c>
    </row>
    <row r="37" spans="1:14" ht="15.75" x14ac:dyDescent="0.25">
      <c r="A37" s="40">
        <v>2024</v>
      </c>
      <c r="B37" s="40" t="s">
        <v>54</v>
      </c>
      <c r="C37" s="41">
        <v>4200</v>
      </c>
      <c r="D37" s="41">
        <v>3800</v>
      </c>
      <c r="E37" s="41">
        <v>2100</v>
      </c>
      <c r="F37" s="41">
        <v>4100</v>
      </c>
      <c r="G37" s="41">
        <v>72000</v>
      </c>
      <c r="H37" s="41">
        <v>2300</v>
      </c>
      <c r="I37" s="41">
        <v>1300</v>
      </c>
      <c r="J37" s="41">
        <v>2000</v>
      </c>
      <c r="K37" s="41">
        <v>5500</v>
      </c>
      <c r="M37">
        <f>SUM(monthly_vis_01[[#This Row],[Skilled Worker - Main applicants]:[Family - All applicants]])</f>
        <v>97300</v>
      </c>
      <c r="N37" s="45">
        <f t="shared" si="0"/>
        <v>-38.104325699745544</v>
      </c>
    </row>
    <row r="38" spans="1:14" ht="15.75" x14ac:dyDescent="0.25">
      <c r="A38" s="40">
        <v>2024</v>
      </c>
      <c r="B38" s="40" t="s">
        <v>55</v>
      </c>
      <c r="C38" s="41">
        <v>4700</v>
      </c>
      <c r="D38" s="41">
        <v>4000</v>
      </c>
      <c r="E38" s="41">
        <v>2200</v>
      </c>
      <c r="F38" s="41">
        <v>4200</v>
      </c>
      <c r="G38" s="41">
        <v>8900</v>
      </c>
      <c r="H38" s="41">
        <v>1300</v>
      </c>
      <c r="I38" s="41">
        <v>1600</v>
      </c>
      <c r="J38" s="41">
        <v>1800</v>
      </c>
      <c r="K38" s="41">
        <v>6300</v>
      </c>
      <c r="M38">
        <f>SUM(monthly_vis_01[[#This Row],[Skilled Worker - Main applicants]:[Family - All applicants]])</f>
        <v>35000</v>
      </c>
      <c r="N38" s="45">
        <f t="shared" si="0"/>
        <v>-57.420924574209245</v>
      </c>
    </row>
    <row r="39" spans="1:14" ht="15.75" x14ac:dyDescent="0.25">
      <c r="A39" s="40">
        <v>2024</v>
      </c>
      <c r="B39" s="40" t="s">
        <v>56</v>
      </c>
      <c r="C39" s="41">
        <v>4100</v>
      </c>
      <c r="D39" s="41">
        <v>3600</v>
      </c>
      <c r="E39" s="41">
        <v>1900</v>
      </c>
      <c r="F39" s="41">
        <v>3800</v>
      </c>
      <c r="G39" s="41">
        <v>13100</v>
      </c>
      <c r="H39" s="41">
        <v>1300</v>
      </c>
      <c r="I39" s="41">
        <v>1000</v>
      </c>
      <c r="J39" s="41">
        <v>1400</v>
      </c>
      <c r="K39" s="41">
        <v>6200</v>
      </c>
      <c r="M39">
        <f>SUM(monthly_vis_01[[#This Row],[Skilled Worker - Main applicants]:[Family - All applicants]])</f>
        <v>36400</v>
      </c>
      <c r="N39" s="45">
        <f t="shared" si="0"/>
        <v>-50.677506775067748</v>
      </c>
    </row>
    <row r="40" spans="1:14" ht="15.75" x14ac:dyDescent="0.25">
      <c r="A40" s="40">
        <v>2024</v>
      </c>
      <c r="B40" s="40" t="s">
        <v>57</v>
      </c>
      <c r="C40" s="41">
        <v>4200</v>
      </c>
      <c r="D40" s="41">
        <v>3700</v>
      </c>
      <c r="E40" s="41">
        <v>2000</v>
      </c>
      <c r="F40" s="41">
        <v>3900</v>
      </c>
      <c r="G40" s="41">
        <v>35200</v>
      </c>
      <c r="H40" s="41">
        <v>2200</v>
      </c>
      <c r="I40" s="41">
        <v>2400</v>
      </c>
      <c r="J40" s="41">
        <v>1300</v>
      </c>
      <c r="K40" s="41">
        <v>6900</v>
      </c>
      <c r="M40">
        <f>SUM(monthly_vis_01[[#This Row],[Skilled Worker - Main applicants]:[Family - All applicants]])</f>
        <v>61800</v>
      </c>
      <c r="N40" s="45">
        <f t="shared" si="0"/>
        <v>-29.772727272727273</v>
      </c>
    </row>
    <row r="41" spans="1:14" ht="15.75" x14ac:dyDescent="0.25">
      <c r="A41" s="40">
        <v>2025</v>
      </c>
      <c r="B41" s="40" t="s">
        <v>46</v>
      </c>
      <c r="C41" s="41">
        <v>4000</v>
      </c>
      <c r="D41" s="41">
        <v>3800</v>
      </c>
      <c r="E41" s="41">
        <v>1900</v>
      </c>
      <c r="F41" s="41">
        <v>4000</v>
      </c>
      <c r="G41" s="41">
        <v>28700</v>
      </c>
      <c r="H41" s="41">
        <v>2300</v>
      </c>
      <c r="I41" s="41">
        <v>2600</v>
      </c>
      <c r="J41" s="41">
        <v>1900</v>
      </c>
      <c r="K41" s="41">
        <v>6100</v>
      </c>
      <c r="M41">
        <f>SUM(monthly_vis_01[[#This Row],[Skilled Worker - Main applicants]:[Family - All applicants]])</f>
        <v>55300</v>
      </c>
      <c r="N41" s="45">
        <f t="shared" si="0"/>
        <v>-33.131801692865778</v>
      </c>
    </row>
    <row r="42" spans="1:14" ht="15.75" x14ac:dyDescent="0.25">
      <c r="A42" s="40">
        <v>2025</v>
      </c>
      <c r="B42" s="40" t="s">
        <v>47</v>
      </c>
      <c r="C42" s="41">
        <v>3500</v>
      </c>
      <c r="D42" s="41">
        <v>3700</v>
      </c>
      <c r="E42" s="41">
        <v>1700</v>
      </c>
      <c r="F42" s="41">
        <v>3700</v>
      </c>
      <c r="G42" s="41">
        <v>6500</v>
      </c>
      <c r="H42" s="41">
        <v>1000</v>
      </c>
      <c r="I42" s="41">
        <v>3200</v>
      </c>
      <c r="J42" s="41">
        <v>1900</v>
      </c>
      <c r="K42" s="41">
        <v>6600</v>
      </c>
      <c r="M42">
        <f>SUM(monthly_vis_01[[#This Row],[Skilled Worker - Main applicants]:[Family - All applicants]])</f>
        <v>31800</v>
      </c>
      <c r="N42" s="45">
        <f t="shared" si="0"/>
        <v>-43.214285714285715</v>
      </c>
    </row>
    <row r="43" spans="1:14" ht="15.75" x14ac:dyDescent="0.25">
      <c r="A43" s="40">
        <v>2025</v>
      </c>
      <c r="B43" s="40" t="s">
        <v>48</v>
      </c>
      <c r="C43" s="41">
        <v>3400</v>
      </c>
      <c r="D43" s="41">
        <v>3800</v>
      </c>
      <c r="E43" s="41">
        <v>1700</v>
      </c>
      <c r="F43" s="41">
        <v>3900</v>
      </c>
      <c r="G43" s="41">
        <v>7900</v>
      </c>
      <c r="H43" s="41">
        <v>900</v>
      </c>
      <c r="I43" s="41">
        <v>4100</v>
      </c>
      <c r="J43" s="41">
        <v>2200</v>
      </c>
      <c r="K43" s="41">
        <v>6900</v>
      </c>
      <c r="M43">
        <f>SUM(monthly_vis_01[[#This Row],[Skilled Worker - Main applicants]:[Family - All applicants]])</f>
        <v>34800</v>
      </c>
      <c r="N43" s="45">
        <f t="shared" si="0"/>
        <v>-31.764705882352938</v>
      </c>
    </row>
    <row r="44" spans="1:14" ht="15.75" x14ac:dyDescent="0.25">
      <c r="A44" s="40">
        <v>2025</v>
      </c>
      <c r="B44" s="40" t="s">
        <v>49</v>
      </c>
      <c r="C44" s="41">
        <v>3500</v>
      </c>
      <c r="D44" s="41">
        <v>4000</v>
      </c>
      <c r="E44" s="41">
        <v>1700</v>
      </c>
      <c r="F44" s="41">
        <v>4100</v>
      </c>
      <c r="G44" s="41">
        <v>14800</v>
      </c>
      <c r="H44" s="41">
        <v>1000</v>
      </c>
      <c r="I44" s="41">
        <v>10400</v>
      </c>
      <c r="J44" s="41">
        <v>2800</v>
      </c>
      <c r="K44" s="41">
        <v>7100</v>
      </c>
      <c r="M44">
        <f>SUM(monthly_vis_01[[#This Row],[Skilled Worker - Main applicants]:[Family - All applicants]])</f>
        <v>49400</v>
      </c>
      <c r="N44" s="45">
        <f t="shared" si="0"/>
        <v>-16.835016835016837</v>
      </c>
    </row>
    <row r="45" spans="1:14" ht="15.75" x14ac:dyDescent="0.25">
      <c r="A45" s="40">
        <v>2025</v>
      </c>
      <c r="B45" s="40" t="s">
        <v>50</v>
      </c>
      <c r="C45" s="41">
        <v>3600</v>
      </c>
      <c r="D45" s="41">
        <v>4300</v>
      </c>
      <c r="E45" s="41">
        <v>1900</v>
      </c>
      <c r="F45" s="41">
        <v>4500</v>
      </c>
      <c r="G45" s="41">
        <v>18500</v>
      </c>
      <c r="H45" s="41">
        <v>1100</v>
      </c>
      <c r="I45" s="41">
        <v>6000</v>
      </c>
      <c r="J45" s="41">
        <v>2500</v>
      </c>
      <c r="K45" s="41">
        <v>7400</v>
      </c>
      <c r="M45">
        <f>SUM(monthly_vis_01[[#This Row],[Skilled Worker - Main applicants]:[Family - All applicants]])</f>
        <v>49800</v>
      </c>
      <c r="N45" s="45">
        <f t="shared" si="0"/>
        <v>-7.6066790352504636</v>
      </c>
    </row>
    <row r="46" spans="1:14" ht="15.75" x14ac:dyDescent="0.25">
      <c r="A46" s="40">
        <v>2025</v>
      </c>
      <c r="B46" s="40" t="s">
        <v>51</v>
      </c>
      <c r="C46" s="41">
        <v>3800</v>
      </c>
      <c r="D46" s="41">
        <v>4200</v>
      </c>
      <c r="E46" s="41">
        <v>1900</v>
      </c>
      <c r="F46" s="41">
        <v>4300</v>
      </c>
      <c r="G46" s="41">
        <v>27900</v>
      </c>
      <c r="H46" s="41">
        <v>1600</v>
      </c>
      <c r="I46" s="41">
        <v>2500</v>
      </c>
      <c r="J46" s="41">
        <v>1500</v>
      </c>
      <c r="K46" s="41">
        <v>7000</v>
      </c>
      <c r="M46">
        <f>SUM(monthly_vis_01[[#This Row],[Skilled Worker - Main applicants]:[Family - All applicants]])</f>
        <v>54700</v>
      </c>
      <c r="N46" s="45">
        <f t="shared" si="0"/>
        <v>-5.0347222222222214</v>
      </c>
    </row>
    <row r="47" spans="1:14" ht="15.75" x14ac:dyDescent="0.25">
      <c r="A47" s="40">
        <v>2025</v>
      </c>
      <c r="B47" s="40" t="s">
        <v>52</v>
      </c>
      <c r="C47" s="41">
        <v>4900</v>
      </c>
      <c r="D47" s="41">
        <v>5300</v>
      </c>
      <c r="E47" s="41">
        <v>1500</v>
      </c>
      <c r="F47" s="41">
        <v>4900</v>
      </c>
      <c r="G47" s="41">
        <v>73500</v>
      </c>
      <c r="H47" s="41">
        <v>2800</v>
      </c>
      <c r="I47" s="41">
        <v>1800</v>
      </c>
      <c r="J47" s="41">
        <v>1500</v>
      </c>
      <c r="K47" s="41">
        <v>8100</v>
      </c>
      <c r="M47">
        <f>SUM(monthly_vis_01[[#This Row],[Skilled Worker - Main applicants]:[Family - All applicants]])</f>
        <v>104300</v>
      </c>
      <c r="N47" s="45">
        <f t="shared" si="0"/>
        <v>4.195804195804187</v>
      </c>
    </row>
    <row r="48" spans="1:14" ht="15.75" x14ac:dyDescent="0.25">
      <c r="A48" s="40">
        <v>2025</v>
      </c>
      <c r="B48" s="40" t="s">
        <v>53</v>
      </c>
      <c r="C48" s="41">
        <v>3400</v>
      </c>
      <c r="D48" s="41">
        <v>3600</v>
      </c>
      <c r="E48" s="41">
        <v>900</v>
      </c>
      <c r="F48" s="41">
        <v>3400</v>
      </c>
      <c r="G48" s="41">
        <v>120100</v>
      </c>
      <c r="H48" s="41">
        <v>4000</v>
      </c>
      <c r="I48" s="41">
        <v>1700</v>
      </c>
      <c r="J48" s="41">
        <v>1300</v>
      </c>
      <c r="K48" s="41">
        <v>6800</v>
      </c>
      <c r="M48">
        <f>SUM(monthly_vis_01[[#This Row],[Skilled Worker - Main applicants]:[Family - All applicants]])</f>
        <v>145200</v>
      </c>
      <c r="N48" s="45">
        <f t="shared" si="0"/>
        <v>-2.4193548387096753</v>
      </c>
    </row>
    <row r="49" spans="1:14" ht="15.75" x14ac:dyDescent="0.25">
      <c r="A49" s="40">
        <v>2025</v>
      </c>
      <c r="B49" s="40" t="s">
        <v>54</v>
      </c>
      <c r="C49" s="41">
        <v>2700</v>
      </c>
      <c r="D49" s="41">
        <v>3400</v>
      </c>
      <c r="E49" s="41">
        <v>700</v>
      </c>
      <c r="F49" s="41">
        <v>3200</v>
      </c>
      <c r="G49" s="41">
        <v>79500</v>
      </c>
      <c r="H49" s="41">
        <v>3000</v>
      </c>
      <c r="I49" s="41">
        <v>1600</v>
      </c>
      <c r="J49" s="41">
        <v>1800</v>
      </c>
      <c r="K49" s="41">
        <v>8400</v>
      </c>
      <c r="M49">
        <f>SUM(monthly_vis_01[[#This Row],[Skilled Worker - Main applicants]:[Family - All applicants]])</f>
        <v>104300</v>
      </c>
      <c r="N49" s="45">
        <f t="shared" si="0"/>
        <v>7.1942446043165464</v>
      </c>
    </row>
    <row r="50" spans="1:14" ht="15.75" x14ac:dyDescent="0.25">
      <c r="A50" s="40">
        <v>2025</v>
      </c>
      <c r="B50" s="40" t="s">
        <v>55</v>
      </c>
      <c r="C50" s="41">
        <v>2400</v>
      </c>
      <c r="D50" s="41">
        <v>3000</v>
      </c>
      <c r="E50" s="41">
        <v>600</v>
      </c>
      <c r="F50" s="41">
        <v>3000</v>
      </c>
      <c r="G50" s="41">
        <v>8300</v>
      </c>
      <c r="H50" s="41">
        <v>1200</v>
      </c>
      <c r="I50" s="41">
        <v>1500</v>
      </c>
      <c r="J50" s="41">
        <v>2000</v>
      </c>
      <c r="K50" s="41">
        <v>6400</v>
      </c>
      <c r="M50">
        <f>SUM(monthly_vis_01[[#This Row],[Skilled Worker - Main applicants]:[Family - All applicants]])</f>
        <v>28400</v>
      </c>
      <c r="N50" s="45">
        <f t="shared" si="0"/>
        <v>-18.857142857142861</v>
      </c>
    </row>
    <row r="51" spans="1:14" ht="15.75" x14ac:dyDescent="0.25">
      <c r="A51" s="40">
        <v>2025</v>
      </c>
      <c r="B51" s="40" t="s">
        <v>56</v>
      </c>
      <c r="C51" s="41">
        <v>2000</v>
      </c>
      <c r="D51" s="41">
        <v>3100</v>
      </c>
      <c r="E51" s="41">
        <v>600</v>
      </c>
      <c r="F51" s="41">
        <v>2900</v>
      </c>
      <c r="G51" s="41">
        <v>11300</v>
      </c>
      <c r="H51" s="41">
        <v>1100</v>
      </c>
      <c r="I51" s="41">
        <v>1300</v>
      </c>
      <c r="J51" s="41">
        <v>1300</v>
      </c>
      <c r="K51" s="41">
        <v>5100</v>
      </c>
      <c r="M51">
        <f>SUM(monthly_vis_01[[#This Row],[Skilled Worker - Main applicants]:[Family - All applicants]])</f>
        <v>28700</v>
      </c>
      <c r="N51" s="45">
        <f>100*((M51/M39)-1)</f>
        <v>-21.153846153846157</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AF32A-6715-4589-8D57-8624001326C4}">
  <dimension ref="A1:D50"/>
  <sheetViews>
    <sheetView topLeftCell="A2" workbookViewId="0">
      <selection activeCell="A2" sqref="A2"/>
    </sheetView>
  </sheetViews>
  <sheetFormatPr defaultRowHeight="15" x14ac:dyDescent="0.25"/>
  <cols>
    <col min="1" max="1" width="10.7109375" bestFit="1" customWidth="1"/>
  </cols>
  <sheetData>
    <row r="1" spans="1:4" x14ac:dyDescent="0.25">
      <c r="A1" s="42" t="s">
        <v>58</v>
      </c>
    </row>
    <row r="2" spans="1:4" x14ac:dyDescent="0.25">
      <c r="B2" t="s">
        <v>59</v>
      </c>
      <c r="C2" t="s">
        <v>60</v>
      </c>
      <c r="D2" t="s">
        <v>61</v>
      </c>
    </row>
    <row r="3" spans="1:4" x14ac:dyDescent="0.25">
      <c r="A3" s="43">
        <v>44562</v>
      </c>
      <c r="B3" s="44">
        <f>Monthly_Vis_01!C5</f>
        <v>4100</v>
      </c>
      <c r="C3" s="44">
        <f>Monthly_Vis_01!E5</f>
        <v>3700</v>
      </c>
      <c r="D3" s="44">
        <f>+Monthly_Vis_01!D5+Monthly_Vis_01!F5</f>
        <v>6700</v>
      </c>
    </row>
    <row r="4" spans="1:4" x14ac:dyDescent="0.25">
      <c r="A4" s="43">
        <v>44593</v>
      </c>
      <c r="B4" s="44">
        <f>Monthly_Vis_01!C6</f>
        <v>4600</v>
      </c>
      <c r="C4" s="44">
        <f>Monthly_Vis_01!E6</f>
        <v>4100</v>
      </c>
      <c r="D4" s="44">
        <f>+Monthly_Vis_01!D6+Monthly_Vis_01!F6</f>
        <v>7500</v>
      </c>
    </row>
    <row r="5" spans="1:4" x14ac:dyDescent="0.25">
      <c r="A5" s="43">
        <v>44621</v>
      </c>
      <c r="B5" s="44">
        <f>Monthly_Vis_01!C7</f>
        <v>5300</v>
      </c>
      <c r="C5" s="44">
        <f>Monthly_Vis_01!E7</f>
        <v>5300</v>
      </c>
      <c r="D5" s="44">
        <f>+Monthly_Vis_01!D7+Monthly_Vis_01!F7</f>
        <v>8800</v>
      </c>
    </row>
    <row r="6" spans="1:4" x14ac:dyDescent="0.25">
      <c r="A6" s="43">
        <v>44652</v>
      </c>
      <c r="B6" s="44">
        <f>Monthly_Vis_01!C8</f>
        <v>4800</v>
      </c>
      <c r="C6" s="44">
        <f>Monthly_Vis_01!E8</f>
        <v>5000</v>
      </c>
      <c r="D6" s="44">
        <f>+Monthly_Vis_01!D8+Monthly_Vis_01!F8</f>
        <v>8700</v>
      </c>
    </row>
    <row r="7" spans="1:4" x14ac:dyDescent="0.25">
      <c r="A7" s="43">
        <v>44682</v>
      </c>
      <c r="B7" s="44">
        <f>Monthly_Vis_01!C9</f>
        <v>5700</v>
      </c>
      <c r="C7" s="44">
        <f>Monthly_Vis_01!E9</f>
        <v>5600</v>
      </c>
      <c r="D7" s="44">
        <f>+Monthly_Vis_01!D9+Monthly_Vis_01!F9</f>
        <v>10100</v>
      </c>
    </row>
    <row r="8" spans="1:4" x14ac:dyDescent="0.25">
      <c r="A8" s="43">
        <v>44713</v>
      </c>
      <c r="B8" s="44">
        <f>Monthly_Vis_01!C10</f>
        <v>6700</v>
      </c>
      <c r="C8" s="44">
        <f>Monthly_Vis_01!E10</f>
        <v>7100</v>
      </c>
      <c r="D8" s="44">
        <f>+Monthly_Vis_01!D10+Monthly_Vis_01!F10</f>
        <v>12100</v>
      </c>
    </row>
    <row r="9" spans="1:4" x14ac:dyDescent="0.25">
      <c r="A9" s="43">
        <v>44743</v>
      </c>
      <c r="B9" s="44">
        <f>Monthly_Vis_01!C11</f>
        <v>6600</v>
      </c>
      <c r="C9" s="44">
        <f>Monthly_Vis_01!E11</f>
        <v>7300</v>
      </c>
      <c r="D9" s="44">
        <f>+Monthly_Vis_01!D11+Monthly_Vis_01!F11</f>
        <v>12300</v>
      </c>
    </row>
    <row r="10" spans="1:4" x14ac:dyDescent="0.25">
      <c r="A10" s="43">
        <v>44774</v>
      </c>
      <c r="B10" s="44">
        <f>Monthly_Vis_01!C12</f>
        <v>6900</v>
      </c>
      <c r="C10" s="44">
        <f>Monthly_Vis_01!E12</f>
        <v>8100</v>
      </c>
      <c r="D10" s="44">
        <f>+Monthly_Vis_01!D12+Monthly_Vis_01!F12</f>
        <v>13400</v>
      </c>
    </row>
    <row r="11" spans="1:4" x14ac:dyDescent="0.25">
      <c r="A11" s="43">
        <v>44805</v>
      </c>
      <c r="B11" s="44">
        <f>Monthly_Vis_01!C13</f>
        <v>6100</v>
      </c>
      <c r="C11" s="44">
        <f>Monthly_Vis_01!E13</f>
        <v>7900</v>
      </c>
      <c r="D11" s="44">
        <f>+Monthly_Vis_01!D13+Monthly_Vis_01!F13</f>
        <v>12800</v>
      </c>
    </row>
    <row r="12" spans="1:4" x14ac:dyDescent="0.25">
      <c r="A12" s="43">
        <v>44835</v>
      </c>
      <c r="B12" s="44">
        <f>Monthly_Vis_01!C14</f>
        <v>5800</v>
      </c>
      <c r="C12" s="44">
        <f>Monthly_Vis_01!E14</f>
        <v>8000</v>
      </c>
      <c r="D12" s="44">
        <f>+Monthly_Vis_01!D14+Monthly_Vis_01!F14</f>
        <v>12200</v>
      </c>
    </row>
    <row r="13" spans="1:4" x14ac:dyDescent="0.25">
      <c r="A13" s="43">
        <v>44866</v>
      </c>
      <c r="B13" s="44">
        <f>Monthly_Vis_01!C15</f>
        <v>6100</v>
      </c>
      <c r="C13" s="44">
        <f>Monthly_Vis_01!E15</f>
        <v>9700</v>
      </c>
      <c r="D13" s="44">
        <f>+Monthly_Vis_01!D15+Monthly_Vis_01!F15</f>
        <v>14300</v>
      </c>
    </row>
    <row r="14" spans="1:4" x14ac:dyDescent="0.25">
      <c r="A14" s="43">
        <v>44896</v>
      </c>
      <c r="B14" s="44">
        <f>Monthly_Vis_01!C16</f>
        <v>5600</v>
      </c>
      <c r="C14" s="44">
        <f>Monthly_Vis_01!E16</f>
        <v>9900</v>
      </c>
      <c r="D14" s="44">
        <f>+Monthly_Vis_01!D16+Monthly_Vis_01!F16</f>
        <v>14500</v>
      </c>
    </row>
    <row r="15" spans="1:4" x14ac:dyDescent="0.25">
      <c r="A15" s="43">
        <v>44927</v>
      </c>
      <c r="B15" s="44">
        <f>Monthly_Vis_01!C17</f>
        <v>5300</v>
      </c>
      <c r="C15" s="44">
        <f>Monthly_Vis_01!E17</f>
        <v>11300</v>
      </c>
      <c r="D15" s="44">
        <f>+Monthly_Vis_01!D17+Monthly_Vis_01!F17</f>
        <v>16700</v>
      </c>
    </row>
    <row r="16" spans="1:4" x14ac:dyDescent="0.25">
      <c r="A16" s="43">
        <v>44958</v>
      </c>
      <c r="B16" s="44">
        <f>Monthly_Vis_01!C18</f>
        <v>5100</v>
      </c>
      <c r="C16" s="44">
        <f>Monthly_Vis_01!E18</f>
        <v>13100</v>
      </c>
      <c r="D16" s="44">
        <f>+Monthly_Vis_01!D18+Monthly_Vis_01!F18</f>
        <v>18600</v>
      </c>
    </row>
    <row r="17" spans="1:4" x14ac:dyDescent="0.25">
      <c r="A17" s="43">
        <v>44986</v>
      </c>
      <c r="B17" s="44">
        <f>Monthly_Vis_01!C19</f>
        <v>5600</v>
      </c>
      <c r="C17" s="44">
        <f>Monthly_Vis_01!E19</f>
        <v>14300</v>
      </c>
      <c r="D17" s="44">
        <f>+Monthly_Vis_01!D19+Monthly_Vis_01!F19</f>
        <v>21200</v>
      </c>
    </row>
    <row r="18" spans="1:4" x14ac:dyDescent="0.25">
      <c r="A18" s="43">
        <v>45017</v>
      </c>
      <c r="B18" s="44">
        <f>Monthly_Vis_01!C20</f>
        <v>4700</v>
      </c>
      <c r="C18" s="44">
        <f>Monthly_Vis_01!E20</f>
        <v>12200</v>
      </c>
      <c r="D18" s="44">
        <f>+Monthly_Vis_01!D20+Monthly_Vis_01!F20</f>
        <v>19000</v>
      </c>
    </row>
    <row r="19" spans="1:4" x14ac:dyDescent="0.25">
      <c r="A19" s="43">
        <v>45047</v>
      </c>
      <c r="B19" s="44">
        <f>Monthly_Vis_01!C21</f>
        <v>5900</v>
      </c>
      <c r="C19" s="44">
        <f>Monthly_Vis_01!E21</f>
        <v>14600</v>
      </c>
      <c r="D19" s="44">
        <f>+Monthly_Vis_01!D21+Monthly_Vis_01!F21</f>
        <v>24100</v>
      </c>
    </row>
    <row r="20" spans="1:4" x14ac:dyDescent="0.25">
      <c r="A20" s="43">
        <v>45078</v>
      </c>
      <c r="B20" s="44">
        <f>Monthly_Vis_01!C22</f>
        <v>6200</v>
      </c>
      <c r="C20" s="44">
        <f>Monthly_Vis_01!E22</f>
        <v>14600</v>
      </c>
      <c r="D20" s="44">
        <f>+Monthly_Vis_01!D22+Monthly_Vis_01!F22</f>
        <v>24300</v>
      </c>
    </row>
    <row r="21" spans="1:4" x14ac:dyDescent="0.25">
      <c r="A21" s="43">
        <v>45108</v>
      </c>
      <c r="B21" s="44">
        <f>Monthly_Vis_01!C23</f>
        <v>6500</v>
      </c>
      <c r="C21" s="44">
        <f>Monthly_Vis_01!E23</f>
        <v>16200</v>
      </c>
      <c r="D21" s="44">
        <f>+Monthly_Vis_01!D23+Monthly_Vis_01!F23</f>
        <v>26500</v>
      </c>
    </row>
    <row r="22" spans="1:4" x14ac:dyDescent="0.25">
      <c r="A22" s="43">
        <v>45139</v>
      </c>
      <c r="B22" s="44">
        <f>Monthly_Vis_01!C24</f>
        <v>6900</v>
      </c>
      <c r="C22" s="44">
        <f>Monthly_Vis_01!E24</f>
        <v>18300</v>
      </c>
      <c r="D22" s="44">
        <f>+Monthly_Vis_01!D24+Monthly_Vis_01!F24</f>
        <v>28200</v>
      </c>
    </row>
    <row r="23" spans="1:4" x14ac:dyDescent="0.25">
      <c r="A23" s="43">
        <v>45170</v>
      </c>
      <c r="B23" s="44">
        <f>Monthly_Vis_01!C25</f>
        <v>5500</v>
      </c>
      <c r="C23" s="44">
        <f>Monthly_Vis_01!E25</f>
        <v>12900</v>
      </c>
      <c r="D23" s="44">
        <f>+Monthly_Vis_01!D25+Monthly_Vis_01!F25</f>
        <v>22500</v>
      </c>
    </row>
    <row r="24" spans="1:4" x14ac:dyDescent="0.25">
      <c r="A24" s="43">
        <v>45200</v>
      </c>
      <c r="B24" s="44">
        <f>Monthly_Vis_01!C26</f>
        <v>6400</v>
      </c>
      <c r="C24" s="44">
        <f>Monthly_Vis_01!E26</f>
        <v>14400</v>
      </c>
      <c r="D24" s="44">
        <f>+Monthly_Vis_01!D26+Monthly_Vis_01!F26</f>
        <v>27600</v>
      </c>
    </row>
    <row r="25" spans="1:4" x14ac:dyDescent="0.25">
      <c r="A25" s="43">
        <v>45231</v>
      </c>
      <c r="B25" s="44">
        <f>Monthly_Vis_01!C27</f>
        <v>6100</v>
      </c>
      <c r="C25" s="44">
        <f>Monthly_Vis_01!E27</f>
        <v>9800</v>
      </c>
      <c r="D25" s="44">
        <f>+Monthly_Vis_01!D27+Monthly_Vis_01!F27</f>
        <v>23700</v>
      </c>
    </row>
    <row r="26" spans="1:4" x14ac:dyDescent="0.25">
      <c r="A26" s="43">
        <v>45261</v>
      </c>
      <c r="B26" s="44">
        <f>Monthly_Vis_01!C28</f>
        <v>6100</v>
      </c>
      <c r="C26" s="44">
        <f>Monthly_Vis_01!E28</f>
        <v>6400</v>
      </c>
      <c r="D26" s="44">
        <f>+Monthly_Vis_01!D28+Monthly_Vis_01!F28</f>
        <v>26800</v>
      </c>
    </row>
    <row r="27" spans="1:4" x14ac:dyDescent="0.25">
      <c r="A27" s="43">
        <v>45292</v>
      </c>
      <c r="B27" s="44">
        <f>Monthly_Vis_01!C29</f>
        <v>6900</v>
      </c>
      <c r="C27" s="44">
        <f>Monthly_Vis_01!E29</f>
        <v>4700</v>
      </c>
      <c r="D27" s="44">
        <f>+Monthly_Vis_01!D29+Monthly_Vis_01!F29</f>
        <v>27900</v>
      </c>
    </row>
    <row r="28" spans="1:4" x14ac:dyDescent="0.25">
      <c r="A28" s="43">
        <v>45323</v>
      </c>
      <c r="B28" s="44">
        <f>Monthly_Vis_01!C30</f>
        <v>6100</v>
      </c>
      <c r="C28" s="44">
        <f>Monthly_Vis_01!E30</f>
        <v>3100</v>
      </c>
      <c r="D28" s="44">
        <f>+Monthly_Vis_01!D30+Monthly_Vis_01!F30</f>
        <v>23200</v>
      </c>
    </row>
    <row r="29" spans="1:4" x14ac:dyDescent="0.25">
      <c r="A29" s="43">
        <v>45352</v>
      </c>
      <c r="B29" s="44">
        <f>Monthly_Vis_01!C31</f>
        <v>6100</v>
      </c>
      <c r="C29" s="44">
        <f>Monthly_Vis_01!E31</f>
        <v>2400</v>
      </c>
      <c r="D29" s="44">
        <f>+Monthly_Vis_01!D31+Monthly_Vis_01!F31</f>
        <v>18000</v>
      </c>
    </row>
    <row r="30" spans="1:4" x14ac:dyDescent="0.25">
      <c r="A30" s="43">
        <v>45383</v>
      </c>
      <c r="B30" s="44">
        <f>Monthly_Vis_01!C32</f>
        <v>10100</v>
      </c>
      <c r="C30" s="44">
        <f>Monthly_Vis_01!E32</f>
        <v>2200</v>
      </c>
      <c r="D30" s="44">
        <f>+Monthly_Vis_01!D32+Monthly_Vis_01!F32</f>
        <v>12900</v>
      </c>
    </row>
    <row r="31" spans="1:4" x14ac:dyDescent="0.25">
      <c r="A31" s="43">
        <v>45413</v>
      </c>
      <c r="B31" s="44">
        <f>Monthly_Vis_01!C33</f>
        <v>6900</v>
      </c>
      <c r="C31" s="44">
        <f>Monthly_Vis_01!E33</f>
        <v>2900</v>
      </c>
      <c r="D31" s="44">
        <f>+Monthly_Vis_01!D33+Monthly_Vis_01!F33</f>
        <v>11800</v>
      </c>
    </row>
    <row r="32" spans="1:4" x14ac:dyDescent="0.25">
      <c r="A32" s="43">
        <v>45444</v>
      </c>
      <c r="B32" s="44">
        <f>Monthly_Vis_01!C34</f>
        <v>5600</v>
      </c>
      <c r="C32" s="44">
        <f>Monthly_Vis_01!E34</f>
        <v>2800</v>
      </c>
      <c r="D32" s="44">
        <f>+Monthly_Vis_01!D34+Monthly_Vis_01!F34</f>
        <v>10000</v>
      </c>
    </row>
    <row r="33" spans="1:4" x14ac:dyDescent="0.25">
      <c r="A33" s="43">
        <v>45474</v>
      </c>
      <c r="B33" s="44">
        <f>Monthly_Vis_01!C35</f>
        <v>6000</v>
      </c>
      <c r="C33" s="44">
        <f>Monthly_Vis_01!E35</f>
        <v>2900</v>
      </c>
      <c r="D33" s="44">
        <f>+Monthly_Vis_01!D35+Monthly_Vis_01!F35</f>
        <v>10900</v>
      </c>
    </row>
    <row r="34" spans="1:4" x14ac:dyDescent="0.25">
      <c r="A34" s="43">
        <v>45505</v>
      </c>
      <c r="B34" s="44">
        <f>Monthly_Vis_01!C36</f>
        <v>5100</v>
      </c>
      <c r="C34" s="44">
        <f>Monthly_Vis_01!E36</f>
        <v>2300</v>
      </c>
      <c r="D34" s="44">
        <f>+Monthly_Vis_01!D36+Monthly_Vis_01!F36</f>
        <v>8700</v>
      </c>
    </row>
    <row r="35" spans="1:4" x14ac:dyDescent="0.25">
      <c r="A35" s="43">
        <v>45536</v>
      </c>
      <c r="B35" s="44">
        <f>Monthly_Vis_01!C37</f>
        <v>4200</v>
      </c>
      <c r="C35" s="44">
        <f>Monthly_Vis_01!E37</f>
        <v>2100</v>
      </c>
      <c r="D35" s="44">
        <f>+Monthly_Vis_01!D37+Monthly_Vis_01!F37</f>
        <v>7900</v>
      </c>
    </row>
    <row r="36" spans="1:4" x14ac:dyDescent="0.25">
      <c r="A36" s="43">
        <v>45566</v>
      </c>
      <c r="B36" s="44">
        <f>Monthly_Vis_01!C38</f>
        <v>4700</v>
      </c>
      <c r="C36" s="44">
        <f>Monthly_Vis_01!E38</f>
        <v>2200</v>
      </c>
      <c r="D36" s="44">
        <f>+Monthly_Vis_01!D38+Monthly_Vis_01!F38</f>
        <v>8200</v>
      </c>
    </row>
    <row r="37" spans="1:4" x14ac:dyDescent="0.25">
      <c r="A37" s="43">
        <v>45597</v>
      </c>
      <c r="B37" s="44">
        <f>Monthly_Vis_01!C39</f>
        <v>4100</v>
      </c>
      <c r="C37" s="44">
        <f>Monthly_Vis_01!E39</f>
        <v>1900</v>
      </c>
      <c r="D37" s="44">
        <f>+Monthly_Vis_01!D39+Monthly_Vis_01!F39</f>
        <v>7400</v>
      </c>
    </row>
    <row r="38" spans="1:4" x14ac:dyDescent="0.25">
      <c r="A38" s="43">
        <v>45627</v>
      </c>
      <c r="B38" s="44">
        <f>Monthly_Vis_01!C40</f>
        <v>4200</v>
      </c>
      <c r="C38" s="44">
        <f>Monthly_Vis_01!E40</f>
        <v>2000</v>
      </c>
      <c r="D38" s="44">
        <f>+Monthly_Vis_01!D40+Monthly_Vis_01!F40</f>
        <v>7600</v>
      </c>
    </row>
    <row r="39" spans="1:4" x14ac:dyDescent="0.25">
      <c r="A39" s="43">
        <v>45658</v>
      </c>
      <c r="B39" s="44">
        <f>Monthly_Vis_01!C41</f>
        <v>4000</v>
      </c>
      <c r="C39" s="44">
        <f>Monthly_Vis_01!E41</f>
        <v>1900</v>
      </c>
      <c r="D39" s="44">
        <f>+Monthly_Vis_01!D41+Monthly_Vis_01!F41</f>
        <v>7800</v>
      </c>
    </row>
    <row r="40" spans="1:4" x14ac:dyDescent="0.25">
      <c r="A40" s="43">
        <v>45689</v>
      </c>
      <c r="B40" s="44">
        <f>Monthly_Vis_01!C42</f>
        <v>3500</v>
      </c>
      <c r="C40" s="44">
        <f>Monthly_Vis_01!E42</f>
        <v>1700</v>
      </c>
      <c r="D40" s="44">
        <f>+Monthly_Vis_01!D42+Monthly_Vis_01!F42</f>
        <v>7400</v>
      </c>
    </row>
    <row r="41" spans="1:4" x14ac:dyDescent="0.25">
      <c r="A41" s="43">
        <v>45717</v>
      </c>
      <c r="B41" s="44">
        <f>Monthly_Vis_01!C43</f>
        <v>3400</v>
      </c>
      <c r="C41" s="44">
        <f>Monthly_Vis_01!E43</f>
        <v>1700</v>
      </c>
      <c r="D41" s="44">
        <f>+Monthly_Vis_01!D43+Monthly_Vis_01!F43</f>
        <v>7700</v>
      </c>
    </row>
    <row r="42" spans="1:4" x14ac:dyDescent="0.25">
      <c r="A42" s="43">
        <v>45748</v>
      </c>
      <c r="B42" s="44">
        <f>Monthly_Vis_01!C44</f>
        <v>3500</v>
      </c>
      <c r="C42" s="44">
        <f>Monthly_Vis_01!E44</f>
        <v>1700</v>
      </c>
      <c r="D42" s="44">
        <f>+Monthly_Vis_01!D44+Monthly_Vis_01!F44</f>
        <v>8100</v>
      </c>
    </row>
    <row r="43" spans="1:4" x14ac:dyDescent="0.25">
      <c r="A43" s="43">
        <v>45778</v>
      </c>
      <c r="B43" s="44">
        <f>Monthly_Vis_01!C45</f>
        <v>3600</v>
      </c>
      <c r="C43" s="44">
        <f>Monthly_Vis_01!E45</f>
        <v>1900</v>
      </c>
      <c r="D43" s="44">
        <f>+Monthly_Vis_01!D45+Monthly_Vis_01!F45</f>
        <v>8800</v>
      </c>
    </row>
    <row r="44" spans="1:4" x14ac:dyDescent="0.25">
      <c r="A44" s="43">
        <v>45809</v>
      </c>
      <c r="B44" s="44">
        <f>Monthly_Vis_01!C46</f>
        <v>3800</v>
      </c>
      <c r="C44" s="44">
        <f>Monthly_Vis_01!E46</f>
        <v>1900</v>
      </c>
      <c r="D44" s="44">
        <f>+Monthly_Vis_01!D46+Monthly_Vis_01!F46</f>
        <v>8500</v>
      </c>
    </row>
    <row r="45" spans="1:4" x14ac:dyDescent="0.25">
      <c r="A45" s="43">
        <v>45839</v>
      </c>
      <c r="B45" s="44">
        <f>Monthly_Vis_01!C47</f>
        <v>4900</v>
      </c>
      <c r="C45" s="44">
        <f>Monthly_Vis_01!E47</f>
        <v>1500</v>
      </c>
      <c r="D45" s="44">
        <f>+Monthly_Vis_01!D47+Monthly_Vis_01!F47</f>
        <v>10200</v>
      </c>
    </row>
    <row r="46" spans="1:4" x14ac:dyDescent="0.25">
      <c r="A46" s="43">
        <v>45870</v>
      </c>
      <c r="B46" s="44">
        <f>Monthly_Vis_01!C48</f>
        <v>3400</v>
      </c>
      <c r="C46" s="44">
        <f>Monthly_Vis_01!E48</f>
        <v>900</v>
      </c>
      <c r="D46" s="44">
        <f>+Monthly_Vis_01!D48+Monthly_Vis_01!F48</f>
        <v>7000</v>
      </c>
    </row>
    <row r="47" spans="1:4" x14ac:dyDescent="0.25">
      <c r="A47" s="43">
        <v>45901</v>
      </c>
      <c r="B47" s="44">
        <f>Monthly_Vis_01!C49</f>
        <v>2700</v>
      </c>
      <c r="C47" s="44">
        <f>Monthly_Vis_01!E49</f>
        <v>700</v>
      </c>
      <c r="D47" s="44">
        <f>+Monthly_Vis_01!D49+Monthly_Vis_01!F49</f>
        <v>6600</v>
      </c>
    </row>
    <row r="48" spans="1:4" x14ac:dyDescent="0.25">
      <c r="A48" s="43">
        <v>45931</v>
      </c>
      <c r="B48" s="44">
        <f>Monthly_Vis_01!C50</f>
        <v>2400</v>
      </c>
      <c r="C48" s="44">
        <f>Monthly_Vis_01!E50</f>
        <v>600</v>
      </c>
      <c r="D48" s="44">
        <f>+Monthly_Vis_01!D50+Monthly_Vis_01!F50</f>
        <v>6000</v>
      </c>
    </row>
    <row r="49" spans="1:4" x14ac:dyDescent="0.25">
      <c r="A49" s="43">
        <v>45962</v>
      </c>
      <c r="B49" s="44">
        <f>Monthly_Vis_01!C51</f>
        <v>2000</v>
      </c>
      <c r="C49" s="44">
        <f>Monthly_Vis_01!E51</f>
        <v>600</v>
      </c>
      <c r="D49" s="44">
        <f>+Monthly_Vis_01!D51+Monthly_Vis_01!F51</f>
        <v>6000</v>
      </c>
    </row>
    <row r="50" spans="1:4" x14ac:dyDescent="0.25">
      <c r="A50" s="43">
        <v>45992</v>
      </c>
      <c r="B50" s="44"/>
      <c r="C50" s="44"/>
      <c r="D50" s="4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Charts</vt:lpstr>
      </vt:variant>
      <vt:variant>
        <vt:i4>3</vt:i4>
      </vt:variant>
    </vt:vector>
  </HeadingPairs>
  <TitlesOfParts>
    <vt:vector size="8" baseType="lpstr">
      <vt:lpstr>Cover_Sheet</vt:lpstr>
      <vt:lpstr>Contents</vt:lpstr>
      <vt:lpstr>Notes</vt:lpstr>
      <vt:lpstr>Monthly_Vis_01</vt:lpstr>
      <vt:lpstr>Chart Data</vt:lpstr>
      <vt:lpstr>Chart1</vt:lpstr>
      <vt:lpstr>Chart2</vt:lpstr>
      <vt:lpstr>Chart2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Monthly entry clearance visa applications: data tables, November 2025</dc:title>
  <dc:subject/>
  <dc:creator>Andrew Goodwin</dc:creator>
  <cp:keywords>data tables, entry clearance, visas, 2025</cp:keywords>
  <dc:description/>
  <cp:lastModifiedBy>Andrew Goodwin</cp:lastModifiedBy>
  <cp:revision>1</cp:revision>
  <dcterms:created xsi:type="dcterms:W3CDTF">2025-12-09T15:07:01Z</dcterms:created>
  <dcterms:modified xsi:type="dcterms:W3CDTF">2025-12-11T22:06:38Z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2025-12-11T21:14:15Z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57a1daef-8ed0-4473-9795-1ef7045477a2</vt:lpwstr>
  </property>
  <property fmtid="{D5CDD505-2E9C-101B-9397-08002B2CF9AE}" pid="8" name="MSIP_Label_231f5784-19ed-4d1e-9a93-4ea41014d730_ContentBits">
    <vt:lpwstr>0</vt:lpwstr>
  </property>
  <property fmtid="{D5CDD505-2E9C-101B-9397-08002B2CF9AE}" pid="9" name="MSIP_Label_231f5784-19ed-4d1e-9a93-4ea41014d730_Tag">
    <vt:lpwstr>10, 0, 1, 1</vt:lpwstr>
  </property>
</Properties>
</file>